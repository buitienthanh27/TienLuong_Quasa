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14d57326868fa3ac/Desktop/Tháng 01_2026_Mekong/"/>
    </mc:Choice>
  </mc:AlternateContent>
  <xr:revisionPtr revIDLastSave="6" documentId="8_{6972D702-5A75-48EA-AC9B-0AF596187667}" xr6:coauthVersionLast="47" xr6:coauthVersionMax="47" xr10:uidLastSave="{E9C9661C-C6EE-4F29-AE3B-954040DE643F}"/>
  <bookViews>
    <workbookView xWindow="-108" yWindow="-108" windowWidth="23256" windowHeight="12456" tabRatio="883" activeTab="3" xr2:uid="{7053EAEE-F935-4801-A949-AA843AB31332}"/>
  </bookViews>
  <sheets>
    <sheet name="Tên thang 01-26" sheetId="328" r:id="rId1"/>
    <sheet name="tên hang mục" sheetId="355" r:id="rId2"/>
    <sheet name="SAN LUONG" sheetId="318" r:id="rId3"/>
    <sheet name="CHAM CONG" sheetId="312" r:id="rId4"/>
    <sheet name="PTL " sheetId="270" r:id="rId5"/>
    <sheet name="CĐCN" sheetId="271" r:id="rId6"/>
    <sheet name="KL 1" sheetId="269" r:id="rId7"/>
    <sheet name="KL 2" sheetId="322" r:id="rId8"/>
    <sheet name="Sheet3" sheetId="370" r:id="rId9"/>
    <sheet name="TTL 1" sheetId="301" r:id="rId10"/>
    <sheet name="TTL 2" sheetId="326" r:id="rId11"/>
  </sheets>
  <externalReferences>
    <externalReference r:id="rId12"/>
  </externalReferences>
  <definedNames>
    <definedName name="_xlnm._FilterDatabase" localSheetId="3" hidden="1">'CHAM CONG'!$A$312:$DD$389</definedName>
    <definedName name="_xlnm._FilterDatabase" localSheetId="0" hidden="1">'Tên thang 01-26'!$A$4:$AB$518</definedName>
    <definedName name="_xlnm.Print_Area" localSheetId="5">CĐCN!$A$1:$H$40</definedName>
    <definedName name="_xlnm.Print_Area" localSheetId="6">'KL 1'!$A$1:$AH$510</definedName>
    <definedName name="_xlnm.Print_Area" localSheetId="7">'KL 2'!$A$1:$AC$58</definedName>
    <definedName name="_xlnm.Print_Area" localSheetId="4">'PTL '!$A$1:$G$42</definedName>
    <definedName name="_xlnm.Print_Area" localSheetId="0">'Tên thang 01-26'!$A$1:$T$524</definedName>
    <definedName name="_xlnm.Print_Area" localSheetId="9">'TTL 1'!$A$1:$S$509</definedName>
    <definedName name="_xlnm.Print_Area" localSheetId="10">'TTL 2'!$A$1:$Q$57</definedName>
    <definedName name="_xlnm.Print_Titles" localSheetId="6">'KL 1'!$11:$14</definedName>
    <definedName name="_xlnm.Print_Titles" localSheetId="7">'KL 2'!$11:$14</definedName>
    <definedName name="_xlnm.Print_Titles" localSheetId="4">'PTL '!$11:$12</definedName>
    <definedName name="_xlnm.Print_Titles" localSheetId="0">'Tên thang 01-26'!$2:$3</definedName>
    <definedName name="_xlnm.Print_Titles" localSheetId="9">'TTL 1'!$11:$12</definedName>
    <definedName name="_xlnm.Print_Titles" localSheetId="10">'TTL 2'!$11:$12</definedName>
    <definedName name="ten_hang_muc_KD">'[1]Ten hang muc (2)'!$B$1:$C$31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270" l="1"/>
  <c r="D18" i="270"/>
  <c r="D22" i="270"/>
  <c r="E20" i="270"/>
  <c r="F20" i="270" s="1"/>
  <c r="E16" i="270"/>
  <c r="F16" i="270" s="1"/>
  <c r="J26" i="322"/>
  <c r="J18" i="322"/>
  <c r="J19" i="322"/>
  <c r="J20" i="322"/>
  <c r="J21" i="322"/>
  <c r="J22" i="322"/>
  <c r="J23" i="322"/>
  <c r="J24" i="322"/>
  <c r="J25" i="322"/>
  <c r="L45" i="322"/>
  <c r="L44" i="322"/>
  <c r="AE500" i="269"/>
  <c r="AE435" i="269"/>
  <c r="AE436" i="269"/>
  <c r="AE437" i="269"/>
  <c r="AE438" i="269"/>
  <c r="AE439" i="269"/>
  <c r="AE440" i="269"/>
  <c r="AE441" i="269"/>
  <c r="AE442" i="269"/>
  <c r="AE443" i="269"/>
  <c r="AE444" i="269"/>
  <c r="AE423" i="269"/>
  <c r="AE424" i="269"/>
  <c r="AE425" i="269"/>
  <c r="AE426" i="269"/>
  <c r="AE427" i="269"/>
  <c r="AE428" i="269"/>
  <c r="AE429" i="269"/>
  <c r="AE430" i="269"/>
  <c r="AE431" i="269"/>
  <c r="AE432" i="269"/>
  <c r="AE433" i="269"/>
  <c r="AE434" i="269"/>
  <c r="AE418" i="269"/>
  <c r="AE419" i="269"/>
  <c r="AE420" i="269"/>
  <c r="AE421" i="269"/>
  <c r="AE422" i="269"/>
  <c r="AE417" i="269"/>
  <c r="AC427" i="269"/>
  <c r="AC428" i="269"/>
  <c r="AC416" i="269"/>
  <c r="AC417" i="269"/>
  <c r="AC418" i="269"/>
  <c r="AC419" i="269"/>
  <c r="AC420" i="269"/>
  <c r="AC421" i="269"/>
  <c r="AC422" i="269"/>
  <c r="AC423" i="269"/>
  <c r="AC424" i="269"/>
  <c r="AC425" i="269"/>
  <c r="AC426" i="269"/>
  <c r="AC429" i="269"/>
  <c r="AC430" i="269"/>
  <c r="AC431" i="269"/>
  <c r="AC432" i="269"/>
  <c r="AC433" i="269"/>
  <c r="AC434" i="269"/>
  <c r="AC435" i="269"/>
  <c r="AC436" i="269"/>
  <c r="AC437" i="269"/>
  <c r="AC438" i="269"/>
  <c r="AC439" i="269"/>
  <c r="AC440" i="269"/>
  <c r="AC441" i="269"/>
  <c r="AC442" i="269"/>
  <c r="AC443" i="269"/>
  <c r="AC444" i="269"/>
  <c r="AC473" i="269"/>
  <c r="AC474" i="269"/>
  <c r="AC475" i="269"/>
  <c r="AC476" i="269"/>
  <c r="AC477" i="269"/>
  <c r="AC478" i="269"/>
  <c r="AC479" i="269"/>
  <c r="AC480" i="269"/>
  <c r="AC481" i="269"/>
  <c r="AC482" i="269"/>
  <c r="AC483" i="269"/>
  <c r="AC484" i="269"/>
  <c r="AC485" i="269"/>
  <c r="AC486" i="269"/>
  <c r="AC487" i="269"/>
  <c r="AC488" i="269"/>
  <c r="AC489" i="269"/>
  <c r="AC490" i="269"/>
  <c r="AC491" i="269"/>
  <c r="AC492" i="269"/>
  <c r="AC493" i="269"/>
  <c r="AC494" i="269"/>
  <c r="AC495" i="269"/>
  <c r="AC496" i="269"/>
  <c r="AC497" i="269"/>
  <c r="AC498" i="269"/>
  <c r="AC499" i="269"/>
  <c r="AC500" i="269"/>
  <c r="AC463" i="269"/>
  <c r="AC464" i="269"/>
  <c r="AC465" i="269"/>
  <c r="AC466" i="269"/>
  <c r="AC467" i="269"/>
  <c r="AC468" i="269"/>
  <c r="AC469" i="269"/>
  <c r="AC470" i="269"/>
  <c r="AC471" i="269"/>
  <c r="AC472" i="269"/>
  <c r="AA436" i="269"/>
  <c r="AA437" i="269"/>
  <c r="AA438" i="269"/>
  <c r="AA439" i="269"/>
  <c r="AA440" i="269"/>
  <c r="AA441" i="269"/>
  <c r="AA442" i="269"/>
  <c r="AA443" i="269"/>
  <c r="AA444" i="269"/>
  <c r="AA445" i="269"/>
  <c r="AA446" i="269"/>
  <c r="AA447" i="269"/>
  <c r="AA448" i="269"/>
  <c r="AA449" i="269"/>
  <c r="AA450" i="269"/>
  <c r="AA451" i="269"/>
  <c r="AA452" i="269"/>
  <c r="AA453" i="269"/>
  <c r="AA454" i="269"/>
  <c r="AA455" i="269"/>
  <c r="AA456" i="269"/>
  <c r="AA457" i="269"/>
  <c r="AA458" i="269"/>
  <c r="AA459" i="269"/>
  <c r="AA460" i="269"/>
  <c r="AA461" i="269"/>
  <c r="AA462" i="269"/>
  <c r="AA463" i="269"/>
  <c r="AA464" i="269"/>
  <c r="AA465" i="269"/>
  <c r="AA466" i="269"/>
  <c r="AA467" i="269"/>
  <c r="AA468" i="269"/>
  <c r="AA469" i="269"/>
  <c r="AA470" i="269"/>
  <c r="AA471" i="269"/>
  <c r="AA472" i="269"/>
  <c r="AA192" i="269"/>
  <c r="AA193" i="269"/>
  <c r="AA194" i="269"/>
  <c r="AA195" i="269"/>
  <c r="AA196" i="269"/>
  <c r="AA197" i="269"/>
  <c r="AA198" i="269"/>
  <c r="AA199" i="269"/>
  <c r="AA200" i="269"/>
  <c r="AA201" i="269"/>
  <c r="AA202" i="269"/>
  <c r="AA203" i="269"/>
  <c r="AA204" i="269"/>
  <c r="AA205" i="269"/>
  <c r="AA206" i="269"/>
  <c r="AA207" i="269"/>
  <c r="AA208" i="269"/>
  <c r="AA209" i="269"/>
  <c r="AA210" i="269"/>
  <c r="AA211" i="269"/>
  <c r="AA212" i="269"/>
  <c r="AA213" i="269"/>
  <c r="AA214" i="269"/>
  <c r="AA215" i="269"/>
  <c r="AA216" i="269"/>
  <c r="AA217" i="269"/>
  <c r="AA218" i="269"/>
  <c r="AA219" i="269"/>
  <c r="AA220" i="269"/>
  <c r="AA221" i="269"/>
  <c r="AA222" i="269"/>
  <c r="AA223" i="269"/>
  <c r="AA224" i="269"/>
  <c r="AA225" i="269"/>
  <c r="AA226" i="269"/>
  <c r="AA227" i="269"/>
  <c r="AA228" i="269"/>
  <c r="AA229" i="269"/>
  <c r="AA230" i="269"/>
  <c r="AA231" i="269"/>
  <c r="AA232" i="269"/>
  <c r="AA233" i="269"/>
  <c r="AA234" i="269"/>
  <c r="AA235" i="269"/>
  <c r="AA236" i="269"/>
  <c r="AA237" i="269"/>
  <c r="AA238" i="269"/>
  <c r="AA239" i="269"/>
  <c r="AA240" i="269"/>
  <c r="AA241" i="269"/>
  <c r="AA242" i="269"/>
  <c r="AA243" i="269"/>
  <c r="AA244" i="269"/>
  <c r="AA245" i="269"/>
  <c r="AA246" i="269"/>
  <c r="AA247" i="269"/>
  <c r="AA248" i="269"/>
  <c r="AA249" i="269"/>
  <c r="AA250" i="269"/>
  <c r="AA251" i="269"/>
  <c r="AA252" i="269"/>
  <c r="AA253" i="269"/>
  <c r="AA254" i="269"/>
  <c r="AA255" i="269"/>
  <c r="AA256" i="269"/>
  <c r="AA257" i="269"/>
  <c r="AA258" i="269"/>
  <c r="AA259" i="269"/>
  <c r="AA260" i="269"/>
  <c r="AA261" i="269"/>
  <c r="AA262" i="269"/>
  <c r="AA263" i="269"/>
  <c r="AA264" i="269"/>
  <c r="AA265" i="269"/>
  <c r="AA266" i="269"/>
  <c r="AA267" i="269"/>
  <c r="AA268" i="269"/>
  <c r="AA269" i="269"/>
  <c r="AA270" i="269"/>
  <c r="AA271" i="269"/>
  <c r="AA272" i="269"/>
  <c r="AA273" i="269"/>
  <c r="AA274" i="269"/>
  <c r="AA275" i="269"/>
  <c r="AA276" i="269"/>
  <c r="AA277" i="269"/>
  <c r="AA278" i="269"/>
  <c r="AA279" i="269"/>
  <c r="AA280" i="269"/>
  <c r="AA281" i="269"/>
  <c r="AA282" i="269"/>
  <c r="AA283" i="269"/>
  <c r="AA284" i="269"/>
  <c r="AA285" i="269"/>
  <c r="AA286" i="269"/>
  <c r="AA287" i="269"/>
  <c r="AA288" i="269"/>
  <c r="AA289" i="269"/>
  <c r="AA290" i="269"/>
  <c r="AA291" i="269"/>
  <c r="AA292" i="269"/>
  <c r="AA293" i="269"/>
  <c r="AA294" i="269"/>
  <c r="AA295" i="269"/>
  <c r="AA296" i="269"/>
  <c r="AA297" i="269"/>
  <c r="AA298" i="269"/>
  <c r="AA299" i="269"/>
  <c r="AA300" i="269"/>
  <c r="AA301" i="269"/>
  <c r="AA302" i="269"/>
  <c r="AA303" i="269"/>
  <c r="AA304" i="269"/>
  <c r="AA305" i="269"/>
  <c r="AA306" i="269"/>
  <c r="AA307" i="269"/>
  <c r="AA308" i="269"/>
  <c r="AA309" i="269"/>
  <c r="AA310" i="269"/>
  <c r="AA311" i="269"/>
  <c r="AA312" i="269"/>
  <c r="AA313" i="269"/>
  <c r="AA314" i="269"/>
  <c r="AA315" i="269"/>
  <c r="AA316" i="269"/>
  <c r="AA317" i="269"/>
  <c r="AA318" i="269"/>
  <c r="AA319" i="269"/>
  <c r="AA320" i="269"/>
  <c r="AA321" i="269"/>
  <c r="AA322" i="269"/>
  <c r="AA323" i="269"/>
  <c r="AA324" i="269"/>
  <c r="AA325" i="269"/>
  <c r="AA326" i="269"/>
  <c r="AA327" i="269"/>
  <c r="AA328" i="269"/>
  <c r="AA329" i="269"/>
  <c r="AA330" i="269"/>
  <c r="AA331" i="269"/>
  <c r="AA332" i="269"/>
  <c r="AA333" i="269"/>
  <c r="AA334" i="269"/>
  <c r="AA335" i="269"/>
  <c r="AA336" i="269"/>
  <c r="AA337" i="269"/>
  <c r="AA338" i="269"/>
  <c r="AA339" i="269"/>
  <c r="AA340" i="269"/>
  <c r="AA341" i="269"/>
  <c r="AA342" i="269"/>
  <c r="AA343" i="269"/>
  <c r="AA344" i="269"/>
  <c r="AA345" i="269"/>
  <c r="AA346" i="269"/>
  <c r="AA347" i="269"/>
  <c r="AA348" i="269"/>
  <c r="AA349" i="269"/>
  <c r="AA350" i="269"/>
  <c r="AA351" i="269"/>
  <c r="AA352" i="269"/>
  <c r="AA353" i="269"/>
  <c r="AA354" i="269"/>
  <c r="AA355" i="269"/>
  <c r="AA356" i="269"/>
  <c r="AA357" i="269"/>
  <c r="AA358" i="269"/>
  <c r="AA359" i="269"/>
  <c r="AA360" i="269"/>
  <c r="AA361" i="269"/>
  <c r="AA362" i="269"/>
  <c r="AA363" i="269"/>
  <c r="AA364" i="269"/>
  <c r="AA365" i="269"/>
  <c r="AA366" i="269"/>
  <c r="AA367" i="269"/>
  <c r="AA368" i="269"/>
  <c r="AA369" i="269"/>
  <c r="AA370" i="269"/>
  <c r="AA371" i="269"/>
  <c r="AA372" i="269"/>
  <c r="AA373" i="269"/>
  <c r="AA374" i="269"/>
  <c r="AA375" i="269"/>
  <c r="AA376" i="269"/>
  <c r="AA377" i="269"/>
  <c r="AA378" i="269"/>
  <c r="AA379" i="269"/>
  <c r="AA380" i="269"/>
  <c r="AA381" i="269"/>
  <c r="AA382" i="269"/>
  <c r="AA383" i="269"/>
  <c r="AA384" i="269"/>
  <c r="AA385" i="269"/>
  <c r="AA386" i="269"/>
  <c r="AA387" i="269"/>
  <c r="AA388" i="269"/>
  <c r="AA389" i="269"/>
  <c r="AA390" i="269"/>
  <c r="AA391" i="269"/>
  <c r="AA392" i="269"/>
  <c r="AA393" i="269"/>
  <c r="AA394" i="269"/>
  <c r="AA395" i="269"/>
  <c r="AA396" i="269"/>
  <c r="AA397" i="269"/>
  <c r="AA398" i="269"/>
  <c r="AA399" i="269"/>
  <c r="AA400" i="269"/>
  <c r="AA401" i="269"/>
  <c r="AA402" i="269"/>
  <c r="AA403" i="269"/>
  <c r="AA404" i="269"/>
  <c r="AA405" i="269"/>
  <c r="AA406" i="269"/>
  <c r="AA407" i="269"/>
  <c r="AA408" i="269"/>
  <c r="AA409" i="269"/>
  <c r="AA410" i="269"/>
  <c r="AA411" i="269"/>
  <c r="AA412" i="269"/>
  <c r="AA413" i="269"/>
  <c r="AA414" i="269"/>
  <c r="AA415" i="269"/>
  <c r="AA416" i="269"/>
  <c r="AA417" i="269"/>
  <c r="AA418" i="269"/>
  <c r="AA419" i="269"/>
  <c r="AA420" i="269"/>
  <c r="AA421" i="269"/>
  <c r="AA422" i="269"/>
  <c r="AA423" i="269"/>
  <c r="AA424" i="269"/>
  <c r="AA425" i="269"/>
  <c r="AA426" i="269"/>
  <c r="AA427" i="269"/>
  <c r="AA428" i="269"/>
  <c r="AA429" i="269"/>
  <c r="AA430" i="269"/>
  <c r="AA431" i="269"/>
  <c r="AA432" i="269"/>
  <c r="AA433" i="269"/>
  <c r="AA434" i="269"/>
  <c r="AA435" i="269"/>
  <c r="AA17" i="269"/>
  <c r="AA18" i="269"/>
  <c r="AA19" i="269"/>
  <c r="AA20" i="269"/>
  <c r="AA21" i="269"/>
  <c r="AA22" i="269"/>
  <c r="AA23" i="269"/>
  <c r="AA24" i="269"/>
  <c r="AA25" i="269"/>
  <c r="AA26" i="269"/>
  <c r="AA27" i="269"/>
  <c r="AA28" i="269"/>
  <c r="AA29" i="269"/>
  <c r="AA30" i="269"/>
  <c r="AA31" i="269"/>
  <c r="AA32" i="269"/>
  <c r="AA33" i="269"/>
  <c r="AA34" i="269"/>
  <c r="AA35" i="269"/>
  <c r="AA36" i="269"/>
  <c r="AA37" i="269"/>
  <c r="AA38" i="269"/>
  <c r="AA39" i="269"/>
  <c r="AA40" i="269"/>
  <c r="AA41" i="269"/>
  <c r="AA42" i="269"/>
  <c r="AA43" i="269"/>
  <c r="AA44" i="269"/>
  <c r="AA45" i="269"/>
  <c r="AA46" i="269"/>
  <c r="AA47" i="269"/>
  <c r="AA48" i="269"/>
  <c r="AA49" i="269"/>
  <c r="AA50" i="269"/>
  <c r="AA51" i="269"/>
  <c r="AA52" i="269"/>
  <c r="AA53" i="269"/>
  <c r="AA54" i="269"/>
  <c r="AA55" i="269"/>
  <c r="AA56" i="269"/>
  <c r="AA57" i="269"/>
  <c r="AA58" i="269"/>
  <c r="AA59" i="269"/>
  <c r="AA60" i="269"/>
  <c r="AA61" i="269"/>
  <c r="AA62" i="269"/>
  <c r="AA63" i="269"/>
  <c r="AA64" i="269"/>
  <c r="AA65" i="269"/>
  <c r="AA66" i="269"/>
  <c r="AA67" i="269"/>
  <c r="AA68" i="269"/>
  <c r="AA69" i="269"/>
  <c r="AA70" i="269"/>
  <c r="AA71" i="269"/>
  <c r="AA72" i="269"/>
  <c r="AA73" i="269"/>
  <c r="AA74" i="269"/>
  <c r="AA75" i="269"/>
  <c r="AA76" i="269"/>
  <c r="AA77" i="269"/>
  <c r="AA78" i="269"/>
  <c r="AA79" i="269"/>
  <c r="AA80" i="269"/>
  <c r="AA81" i="269"/>
  <c r="AA82" i="269"/>
  <c r="AA83" i="269"/>
  <c r="AA84" i="269"/>
  <c r="AA85" i="269"/>
  <c r="AA86" i="269"/>
  <c r="AA87" i="269"/>
  <c r="AA88" i="269"/>
  <c r="AA89" i="269"/>
  <c r="AA90" i="269"/>
  <c r="AA91" i="269"/>
  <c r="AA92" i="269"/>
  <c r="AA93" i="269"/>
  <c r="AA94" i="269"/>
  <c r="AA95" i="269"/>
  <c r="AA96" i="269"/>
  <c r="AA97" i="269"/>
  <c r="AA98" i="269"/>
  <c r="AA99" i="269"/>
  <c r="AA100" i="269"/>
  <c r="AA101" i="269"/>
  <c r="AA102" i="269"/>
  <c r="AA103" i="269"/>
  <c r="AA104" i="269"/>
  <c r="AA105" i="269"/>
  <c r="AA106" i="269"/>
  <c r="AA107" i="269"/>
  <c r="AA108" i="269"/>
  <c r="AA109" i="269"/>
  <c r="AA110" i="269"/>
  <c r="AA111" i="269"/>
  <c r="AA112" i="269"/>
  <c r="AA113" i="269"/>
  <c r="AA114" i="269"/>
  <c r="AA115" i="269"/>
  <c r="AA116" i="269"/>
  <c r="AA117" i="269"/>
  <c r="AA118" i="269"/>
  <c r="AA119" i="269"/>
  <c r="AA120" i="269"/>
  <c r="AA121" i="269"/>
  <c r="AA122" i="269"/>
  <c r="AA123" i="269"/>
  <c r="AA124" i="269"/>
  <c r="AA125" i="269"/>
  <c r="AA126" i="269"/>
  <c r="AA127" i="269"/>
  <c r="AA128" i="269"/>
  <c r="AA129" i="269"/>
  <c r="AA130" i="269"/>
  <c r="AA131" i="269"/>
  <c r="AA132" i="269"/>
  <c r="AA133" i="269"/>
  <c r="AA134" i="269"/>
  <c r="AA135" i="269"/>
  <c r="AA136" i="269"/>
  <c r="AA137" i="269"/>
  <c r="AA138" i="269"/>
  <c r="AA139" i="269"/>
  <c r="AA140" i="269"/>
  <c r="AA141" i="269"/>
  <c r="AA142" i="269"/>
  <c r="AA143" i="269"/>
  <c r="AA144" i="269"/>
  <c r="AA145" i="269"/>
  <c r="AA146" i="269"/>
  <c r="AA147" i="269"/>
  <c r="AA148" i="269"/>
  <c r="AA149" i="269"/>
  <c r="AA150" i="269"/>
  <c r="AA151" i="269"/>
  <c r="AA152" i="269"/>
  <c r="AA153" i="269"/>
  <c r="AA154" i="269"/>
  <c r="AA155" i="269"/>
  <c r="AA156" i="269"/>
  <c r="AA157" i="269"/>
  <c r="AA158" i="269"/>
  <c r="AA159" i="269"/>
  <c r="AA160" i="269"/>
  <c r="AA161" i="269"/>
  <c r="AA162" i="269"/>
  <c r="AA163" i="269"/>
  <c r="AA164" i="269"/>
  <c r="AA165" i="269"/>
  <c r="AA166" i="269"/>
  <c r="AA167" i="269"/>
  <c r="AA168" i="269"/>
  <c r="AA169" i="269"/>
  <c r="AA170" i="269"/>
  <c r="AA171" i="269"/>
  <c r="AA172" i="269"/>
  <c r="AA173" i="269"/>
  <c r="AA174" i="269"/>
  <c r="AA175" i="269"/>
  <c r="AA176" i="269"/>
  <c r="AA177" i="269"/>
  <c r="AA178" i="269"/>
  <c r="AA179" i="269"/>
  <c r="AA180" i="269"/>
  <c r="AA181" i="269"/>
  <c r="AA182" i="269"/>
  <c r="AA183" i="269"/>
  <c r="AA184" i="269"/>
  <c r="AA185" i="269"/>
  <c r="AA186" i="269"/>
  <c r="AA187" i="269"/>
  <c r="AA188" i="269"/>
  <c r="AA189" i="269"/>
  <c r="AA190" i="269"/>
  <c r="AA191" i="269"/>
  <c r="AA500" i="269"/>
  <c r="AC18" i="269"/>
  <c r="AE18" i="269"/>
  <c r="AC19" i="269"/>
  <c r="AE19" i="269"/>
  <c r="AC20" i="269"/>
  <c r="AE20" i="269"/>
  <c r="AC21" i="269"/>
  <c r="AE21" i="269"/>
  <c r="AC22" i="269"/>
  <c r="AE22" i="269"/>
  <c r="AC23" i="269"/>
  <c r="AE23" i="269"/>
  <c r="AC24" i="269"/>
  <c r="AE24" i="269"/>
  <c r="AC25" i="269"/>
  <c r="AE25" i="269"/>
  <c r="AC26" i="269"/>
  <c r="AE26" i="269"/>
  <c r="AC27" i="269"/>
  <c r="AE27" i="269"/>
  <c r="AC28" i="269"/>
  <c r="AE28" i="269"/>
  <c r="AC29" i="269"/>
  <c r="AE29" i="269"/>
  <c r="AC30" i="269"/>
  <c r="AE30" i="269"/>
  <c r="AC31" i="269"/>
  <c r="AE31" i="269"/>
  <c r="AC32" i="269"/>
  <c r="AE32" i="269"/>
  <c r="AC33" i="269"/>
  <c r="AE33" i="269"/>
  <c r="AC34" i="269"/>
  <c r="AE34" i="269"/>
  <c r="AC35" i="269"/>
  <c r="AE35" i="269"/>
  <c r="AC36" i="269"/>
  <c r="AE36" i="269"/>
  <c r="AC37" i="269"/>
  <c r="AE37" i="269"/>
  <c r="AC38" i="269"/>
  <c r="AE38" i="269"/>
  <c r="AC39" i="269"/>
  <c r="AE39" i="269"/>
  <c r="AC40" i="269"/>
  <c r="AE40" i="269"/>
  <c r="AC41" i="269"/>
  <c r="AE41" i="269"/>
  <c r="AC42" i="269"/>
  <c r="AE42" i="269"/>
  <c r="AC43" i="269"/>
  <c r="AE43" i="269"/>
  <c r="AC44" i="269"/>
  <c r="AE44" i="269"/>
  <c r="AC45" i="269"/>
  <c r="AE45" i="269"/>
  <c r="AC46" i="269"/>
  <c r="AE46" i="269"/>
  <c r="AC47" i="269"/>
  <c r="AE47" i="269"/>
  <c r="AC48" i="269"/>
  <c r="AE48" i="269"/>
  <c r="AC49" i="269"/>
  <c r="AE49" i="269"/>
  <c r="AC50" i="269"/>
  <c r="AE50" i="269"/>
  <c r="AC51" i="269"/>
  <c r="AE51" i="269"/>
  <c r="AC52" i="269"/>
  <c r="AE52" i="269"/>
  <c r="AC53" i="269"/>
  <c r="AE53" i="269"/>
  <c r="AC54" i="269"/>
  <c r="AE54" i="269"/>
  <c r="AC55" i="269"/>
  <c r="AE55" i="269"/>
  <c r="AC56" i="269"/>
  <c r="AE56" i="269"/>
  <c r="AC57" i="269"/>
  <c r="AE57" i="269"/>
  <c r="AC58" i="269"/>
  <c r="AE58" i="269"/>
  <c r="AC59" i="269"/>
  <c r="AE59" i="269"/>
  <c r="AC60" i="269"/>
  <c r="AE60" i="269"/>
  <c r="AC61" i="269"/>
  <c r="AE61" i="269"/>
  <c r="AC62" i="269"/>
  <c r="AE62" i="269"/>
  <c r="AC63" i="269"/>
  <c r="AE63" i="269"/>
  <c r="AC64" i="269"/>
  <c r="AE64" i="269"/>
  <c r="AC65" i="269"/>
  <c r="AE65" i="269"/>
  <c r="AC66" i="269"/>
  <c r="AE66" i="269"/>
  <c r="AC67" i="269"/>
  <c r="AE67" i="269"/>
  <c r="AC68" i="269"/>
  <c r="AE68" i="269"/>
  <c r="AC69" i="269"/>
  <c r="AE69" i="269"/>
  <c r="AC70" i="269"/>
  <c r="AE70" i="269"/>
  <c r="AC71" i="269"/>
  <c r="AE71" i="269"/>
  <c r="AC72" i="269"/>
  <c r="AE72" i="269"/>
  <c r="AC73" i="269"/>
  <c r="AE73" i="269"/>
  <c r="AC74" i="269"/>
  <c r="AE74" i="269"/>
  <c r="AC75" i="269"/>
  <c r="AE75" i="269"/>
  <c r="AC76" i="269"/>
  <c r="AE76" i="269"/>
  <c r="AC77" i="269"/>
  <c r="AE77" i="269"/>
  <c r="AC78" i="269"/>
  <c r="AE78" i="269"/>
  <c r="AC79" i="269"/>
  <c r="AE79" i="269"/>
  <c r="AC80" i="269"/>
  <c r="AE80" i="269"/>
  <c r="AC81" i="269"/>
  <c r="AE81" i="269"/>
  <c r="AC82" i="269"/>
  <c r="AE82" i="269"/>
  <c r="AC83" i="269"/>
  <c r="AE83" i="269"/>
  <c r="AC84" i="269"/>
  <c r="AE84" i="269"/>
  <c r="AC85" i="269"/>
  <c r="AE85" i="269"/>
  <c r="AC86" i="269"/>
  <c r="AE86" i="269"/>
  <c r="AC87" i="269"/>
  <c r="AE87" i="269"/>
  <c r="AC88" i="269"/>
  <c r="AE88" i="269"/>
  <c r="AC89" i="269"/>
  <c r="AE89" i="269"/>
  <c r="AC90" i="269"/>
  <c r="AE90" i="269"/>
  <c r="AC91" i="269"/>
  <c r="AE91" i="269"/>
  <c r="AC92" i="269"/>
  <c r="AE92" i="269"/>
  <c r="AC93" i="269"/>
  <c r="AE93" i="269"/>
  <c r="AC94" i="269"/>
  <c r="AE94" i="269"/>
  <c r="AC95" i="269"/>
  <c r="AE95" i="269"/>
  <c r="AC96" i="269"/>
  <c r="AE96" i="269"/>
  <c r="AC97" i="269"/>
  <c r="AE97" i="269"/>
  <c r="AC98" i="269"/>
  <c r="AE98" i="269"/>
  <c r="AC99" i="269"/>
  <c r="AE99" i="269"/>
  <c r="AC100" i="269"/>
  <c r="AE100" i="269"/>
  <c r="AC101" i="269"/>
  <c r="AE101" i="269"/>
  <c r="AC102" i="269"/>
  <c r="AE102" i="269"/>
  <c r="AC103" i="269"/>
  <c r="AE103" i="269"/>
  <c r="AC104" i="269"/>
  <c r="AE104" i="269"/>
  <c r="AC105" i="269"/>
  <c r="AE105" i="269"/>
  <c r="AC106" i="269"/>
  <c r="AE106" i="269"/>
  <c r="AC107" i="269"/>
  <c r="AE107" i="269"/>
  <c r="AC108" i="269"/>
  <c r="AE108" i="269"/>
  <c r="AC109" i="269"/>
  <c r="AE109" i="269"/>
  <c r="AC110" i="269"/>
  <c r="AE110" i="269"/>
  <c r="AC111" i="269"/>
  <c r="AE111" i="269"/>
  <c r="AC112" i="269"/>
  <c r="AE112" i="269"/>
  <c r="AC113" i="269"/>
  <c r="AE113" i="269"/>
  <c r="AC114" i="269"/>
  <c r="AE114" i="269"/>
  <c r="AC115" i="269"/>
  <c r="AE115" i="269"/>
  <c r="AC116" i="269"/>
  <c r="AE116" i="269"/>
  <c r="AC117" i="269"/>
  <c r="AE117" i="269"/>
  <c r="AC118" i="269"/>
  <c r="AE118" i="269"/>
  <c r="AC119" i="269"/>
  <c r="AE119" i="269"/>
  <c r="AC120" i="269"/>
  <c r="AE120" i="269"/>
  <c r="AC121" i="269"/>
  <c r="AE121" i="269"/>
  <c r="AC122" i="269"/>
  <c r="AE122" i="269"/>
  <c r="AC123" i="269"/>
  <c r="AE123" i="269"/>
  <c r="AC124" i="269"/>
  <c r="AE124" i="269"/>
  <c r="AC125" i="269"/>
  <c r="AE125" i="269"/>
  <c r="AC126" i="269"/>
  <c r="AE126" i="269"/>
  <c r="AC127" i="269"/>
  <c r="AE127" i="269"/>
  <c r="AC128" i="269"/>
  <c r="AE128" i="269"/>
  <c r="AC129" i="269"/>
  <c r="AE129" i="269"/>
  <c r="AC130" i="269"/>
  <c r="AE130" i="269"/>
  <c r="AC131" i="269"/>
  <c r="AE131" i="269"/>
  <c r="AC132" i="269"/>
  <c r="AE132" i="269"/>
  <c r="AC133" i="269"/>
  <c r="AE133" i="269"/>
  <c r="AC134" i="269"/>
  <c r="AE134" i="269"/>
  <c r="AC135" i="269"/>
  <c r="AE135" i="269"/>
  <c r="AC136" i="269"/>
  <c r="AE136" i="269"/>
  <c r="AC137" i="269"/>
  <c r="AE137" i="269"/>
  <c r="AC138" i="269"/>
  <c r="AE138" i="269"/>
  <c r="AC139" i="269"/>
  <c r="AE139" i="269"/>
  <c r="AC140" i="269"/>
  <c r="AE140" i="269"/>
  <c r="AC141" i="269"/>
  <c r="AE141" i="269"/>
  <c r="AC142" i="269"/>
  <c r="AE142" i="269"/>
  <c r="AC143" i="269"/>
  <c r="AE143" i="269"/>
  <c r="AC144" i="269"/>
  <c r="AE144" i="269"/>
  <c r="AC145" i="269"/>
  <c r="AE145" i="269"/>
  <c r="AC146" i="269"/>
  <c r="AE146" i="269"/>
  <c r="AC147" i="269"/>
  <c r="AE147" i="269"/>
  <c r="AC148" i="269"/>
  <c r="AE148" i="269"/>
  <c r="AC149" i="269"/>
  <c r="AE149" i="269"/>
  <c r="AC150" i="269"/>
  <c r="AE150" i="269"/>
  <c r="AC151" i="269"/>
  <c r="AE151" i="269"/>
  <c r="AC152" i="269"/>
  <c r="AE152" i="269"/>
  <c r="AC153" i="269"/>
  <c r="AE153" i="269"/>
  <c r="AC154" i="269"/>
  <c r="AE154" i="269"/>
  <c r="AC155" i="269"/>
  <c r="AE155" i="269"/>
  <c r="AC156" i="269"/>
  <c r="AE156" i="269"/>
  <c r="AC157" i="269"/>
  <c r="AE157" i="269"/>
  <c r="AC158" i="269"/>
  <c r="AE158" i="269"/>
  <c r="AC159" i="269"/>
  <c r="AE159" i="269"/>
  <c r="AC160" i="269"/>
  <c r="AE160" i="269"/>
  <c r="AC161" i="269"/>
  <c r="AE161" i="269"/>
  <c r="AC162" i="269"/>
  <c r="AE162" i="269"/>
  <c r="AC163" i="269"/>
  <c r="AE163" i="269"/>
  <c r="AC164" i="269"/>
  <c r="AE164" i="269"/>
  <c r="AC165" i="269"/>
  <c r="AE165" i="269"/>
  <c r="AC166" i="269"/>
  <c r="AE166" i="269"/>
  <c r="AC167" i="269"/>
  <c r="AE167" i="269"/>
  <c r="AC168" i="269"/>
  <c r="AE168" i="269"/>
  <c r="AC169" i="269"/>
  <c r="AE169" i="269"/>
  <c r="AC170" i="269"/>
  <c r="AE170" i="269"/>
  <c r="AC171" i="269"/>
  <c r="AE171" i="269"/>
  <c r="AC172" i="269"/>
  <c r="AE172" i="269"/>
  <c r="AC173" i="269"/>
  <c r="AE173" i="269"/>
  <c r="AC174" i="269"/>
  <c r="AE174" i="269"/>
  <c r="AC175" i="269"/>
  <c r="AE175" i="269"/>
  <c r="AC176" i="269"/>
  <c r="AE176" i="269"/>
  <c r="AC177" i="269"/>
  <c r="AE177" i="269"/>
  <c r="AC178" i="269"/>
  <c r="AE178" i="269"/>
  <c r="AC179" i="269"/>
  <c r="AE179" i="269"/>
  <c r="AC180" i="269"/>
  <c r="AE180" i="269"/>
  <c r="AC181" i="269"/>
  <c r="AE181" i="269"/>
  <c r="AC182" i="269"/>
  <c r="AE182" i="269"/>
  <c r="AC183" i="269"/>
  <c r="AE183" i="269"/>
  <c r="AC184" i="269"/>
  <c r="AE184" i="269"/>
  <c r="AC185" i="269"/>
  <c r="AE185" i="269"/>
  <c r="AC186" i="269"/>
  <c r="AE186" i="269"/>
  <c r="AC187" i="269"/>
  <c r="AE187" i="269"/>
  <c r="AC188" i="269"/>
  <c r="AE188" i="269"/>
  <c r="AC189" i="269"/>
  <c r="AE189" i="269"/>
  <c r="AC190" i="269"/>
  <c r="AE190" i="269"/>
  <c r="AC191" i="269"/>
  <c r="AE191" i="269"/>
  <c r="AC192" i="269"/>
  <c r="AE192" i="269"/>
  <c r="AC193" i="269"/>
  <c r="AE193" i="269"/>
  <c r="AC194" i="269"/>
  <c r="AE194" i="269"/>
  <c r="AC195" i="269"/>
  <c r="AE195" i="269"/>
  <c r="AC196" i="269"/>
  <c r="AE196" i="269"/>
  <c r="AC197" i="269"/>
  <c r="AE197" i="269"/>
  <c r="AC198" i="269"/>
  <c r="AE198" i="269"/>
  <c r="AC199" i="269"/>
  <c r="AE199" i="269"/>
  <c r="AC200" i="269"/>
  <c r="AE200" i="269"/>
  <c r="AC201" i="269"/>
  <c r="AE201" i="269"/>
  <c r="AC202" i="269"/>
  <c r="AE202" i="269"/>
  <c r="AC203" i="269"/>
  <c r="AE203" i="269"/>
  <c r="AC204" i="269"/>
  <c r="AE204" i="269"/>
  <c r="AC205" i="269"/>
  <c r="AE205" i="269"/>
  <c r="AC206" i="269"/>
  <c r="AE206" i="269"/>
  <c r="AC207" i="269"/>
  <c r="AE207" i="269"/>
  <c r="AC208" i="269"/>
  <c r="AE208" i="269"/>
  <c r="AC209" i="269"/>
  <c r="AE209" i="269"/>
  <c r="AC210" i="269"/>
  <c r="AE210" i="269"/>
  <c r="AC211" i="269"/>
  <c r="AE211" i="269"/>
  <c r="AC212" i="269"/>
  <c r="AE212" i="269"/>
  <c r="AC213" i="269"/>
  <c r="AE213" i="269"/>
  <c r="AC214" i="269"/>
  <c r="AE214" i="269"/>
  <c r="AC215" i="269"/>
  <c r="AE215" i="269"/>
  <c r="AC216" i="269"/>
  <c r="AE216" i="269"/>
  <c r="AC217" i="269"/>
  <c r="AE217" i="269"/>
  <c r="AC218" i="269"/>
  <c r="AE218" i="269"/>
  <c r="AC219" i="269"/>
  <c r="AE219" i="269"/>
  <c r="AC220" i="269"/>
  <c r="AE220" i="269"/>
  <c r="AC221" i="269"/>
  <c r="AE221" i="269"/>
  <c r="AC222" i="269"/>
  <c r="AE222" i="269"/>
  <c r="AC223" i="269"/>
  <c r="AE223" i="269"/>
  <c r="AC224" i="269"/>
  <c r="AE224" i="269"/>
  <c r="AC225" i="269"/>
  <c r="AE225" i="269"/>
  <c r="AC226" i="269"/>
  <c r="AE226" i="269"/>
  <c r="AC227" i="269"/>
  <c r="AE227" i="269"/>
  <c r="AC228" i="269"/>
  <c r="AE228" i="269"/>
  <c r="AC229" i="269"/>
  <c r="AE229" i="269"/>
  <c r="AC230" i="269"/>
  <c r="AE230" i="269"/>
  <c r="AC231" i="269"/>
  <c r="AE231" i="269"/>
  <c r="AC232" i="269"/>
  <c r="AE232" i="269"/>
  <c r="AC233" i="269"/>
  <c r="AE233" i="269"/>
  <c r="AC234" i="269"/>
  <c r="AE234" i="269"/>
  <c r="AC235" i="269"/>
  <c r="AE235" i="269"/>
  <c r="AC236" i="269"/>
  <c r="AE236" i="269"/>
  <c r="AC237" i="269"/>
  <c r="AE237" i="269"/>
  <c r="AC238" i="269"/>
  <c r="AE238" i="269"/>
  <c r="AC239" i="269"/>
  <c r="AE239" i="269"/>
  <c r="AC240" i="269"/>
  <c r="AE240" i="269"/>
  <c r="AC241" i="269"/>
  <c r="AE241" i="269"/>
  <c r="AC242" i="269"/>
  <c r="AE242" i="269"/>
  <c r="AC243" i="269"/>
  <c r="AE243" i="269"/>
  <c r="AC244" i="269"/>
  <c r="AE244" i="269"/>
  <c r="AC245" i="269"/>
  <c r="AE245" i="269"/>
  <c r="AC246" i="269"/>
  <c r="AE246" i="269"/>
  <c r="AC247" i="269"/>
  <c r="AE247" i="269"/>
  <c r="AC248" i="269"/>
  <c r="AE248" i="269"/>
  <c r="AC249" i="269"/>
  <c r="AE249" i="269"/>
  <c r="AC250" i="269"/>
  <c r="AE250" i="269"/>
  <c r="AC251" i="269"/>
  <c r="AE251" i="269"/>
  <c r="AC252" i="269"/>
  <c r="AE252" i="269"/>
  <c r="AC253" i="269"/>
  <c r="AE253" i="269"/>
  <c r="AC254" i="269"/>
  <c r="AE254" i="269"/>
  <c r="AC255" i="269"/>
  <c r="AE255" i="269"/>
  <c r="AC256" i="269"/>
  <c r="AE256" i="269"/>
  <c r="AC257" i="269"/>
  <c r="AE257" i="269"/>
  <c r="AC258" i="269"/>
  <c r="AE258" i="269"/>
  <c r="AC259" i="269"/>
  <c r="AE259" i="269"/>
  <c r="AC260" i="269"/>
  <c r="AE260" i="269"/>
  <c r="AC261" i="269"/>
  <c r="AE261" i="269"/>
  <c r="AC262" i="269"/>
  <c r="AE262" i="269"/>
  <c r="AC263" i="269"/>
  <c r="AE263" i="269"/>
  <c r="AC264" i="269"/>
  <c r="AE264" i="269"/>
  <c r="AC265" i="269"/>
  <c r="AE265" i="269"/>
  <c r="AC266" i="269"/>
  <c r="AE266" i="269"/>
  <c r="AC267" i="269"/>
  <c r="AE267" i="269"/>
  <c r="AC268" i="269"/>
  <c r="AE268" i="269"/>
  <c r="AC269" i="269"/>
  <c r="AE269" i="269"/>
  <c r="AC270" i="269"/>
  <c r="AE270" i="269"/>
  <c r="AC271" i="269"/>
  <c r="AE271" i="269"/>
  <c r="AC272" i="269"/>
  <c r="AE272" i="269"/>
  <c r="AC273" i="269"/>
  <c r="AE273" i="269"/>
  <c r="AC274" i="269"/>
  <c r="AE274" i="269"/>
  <c r="AC275" i="269"/>
  <c r="AE275" i="269"/>
  <c r="AC276" i="269"/>
  <c r="AE276" i="269"/>
  <c r="AC277" i="269"/>
  <c r="AE277" i="269"/>
  <c r="AC278" i="269"/>
  <c r="AE278" i="269"/>
  <c r="AC279" i="269"/>
  <c r="AE279" i="269"/>
  <c r="AC280" i="269"/>
  <c r="AE280" i="269"/>
  <c r="AC281" i="269"/>
  <c r="AE281" i="269"/>
  <c r="AC282" i="269"/>
  <c r="AE282" i="269"/>
  <c r="AC283" i="269"/>
  <c r="AE283" i="269"/>
  <c r="AC284" i="269"/>
  <c r="AE284" i="269"/>
  <c r="AC285" i="269"/>
  <c r="AE285" i="269"/>
  <c r="AC286" i="269"/>
  <c r="AE286" i="269"/>
  <c r="AC287" i="269"/>
  <c r="AE287" i="269"/>
  <c r="AC288" i="269"/>
  <c r="AE288" i="269"/>
  <c r="AC289" i="269"/>
  <c r="AE289" i="269"/>
  <c r="AC290" i="269"/>
  <c r="AE290" i="269"/>
  <c r="AC291" i="269"/>
  <c r="AE291" i="269"/>
  <c r="AC292" i="269"/>
  <c r="AE292" i="269"/>
  <c r="AC293" i="269"/>
  <c r="AE293" i="269"/>
  <c r="AC294" i="269"/>
  <c r="AE294" i="269"/>
  <c r="AC295" i="269"/>
  <c r="AE295" i="269"/>
  <c r="AC296" i="269"/>
  <c r="AE296" i="269"/>
  <c r="AC297" i="269"/>
  <c r="AE297" i="269"/>
  <c r="AC298" i="269"/>
  <c r="AE298" i="269"/>
  <c r="AC299" i="269"/>
  <c r="AE299" i="269"/>
  <c r="AC300" i="269"/>
  <c r="AE300" i="269"/>
  <c r="AC301" i="269"/>
  <c r="AE301" i="269"/>
  <c r="AC302" i="269"/>
  <c r="AE302" i="269"/>
  <c r="AC303" i="269"/>
  <c r="AE303" i="269"/>
  <c r="AC304" i="269"/>
  <c r="AE304" i="269"/>
  <c r="AC305" i="269"/>
  <c r="AE305" i="269"/>
  <c r="AC306" i="269"/>
  <c r="AE306" i="269"/>
  <c r="AC307" i="269"/>
  <c r="AE307" i="269"/>
  <c r="AC308" i="269"/>
  <c r="AE308" i="269"/>
  <c r="AC309" i="269"/>
  <c r="AE309" i="269"/>
  <c r="AC310" i="269"/>
  <c r="AE310" i="269"/>
  <c r="AC311" i="269"/>
  <c r="AE311" i="269"/>
  <c r="AC312" i="269"/>
  <c r="AE312" i="269"/>
  <c r="AC313" i="269"/>
  <c r="AE313" i="269"/>
  <c r="AC314" i="269"/>
  <c r="AE314" i="269"/>
  <c r="AC315" i="269"/>
  <c r="AE315" i="269"/>
  <c r="AC316" i="269"/>
  <c r="AE316" i="269"/>
  <c r="AC317" i="269"/>
  <c r="AE317" i="269"/>
  <c r="AC318" i="269"/>
  <c r="AE318" i="269"/>
  <c r="AC319" i="269"/>
  <c r="AE319" i="269"/>
  <c r="AC320" i="269"/>
  <c r="AE320" i="269"/>
  <c r="AC321" i="269"/>
  <c r="AE321" i="269"/>
  <c r="AC322" i="269"/>
  <c r="AE322" i="269"/>
  <c r="AC323" i="269"/>
  <c r="AE323" i="269"/>
  <c r="AC324" i="269"/>
  <c r="AE324" i="269"/>
  <c r="AC325" i="269"/>
  <c r="AE325" i="269"/>
  <c r="AC326" i="269"/>
  <c r="AE326" i="269"/>
  <c r="AC327" i="269"/>
  <c r="AE327" i="269"/>
  <c r="AC328" i="269"/>
  <c r="AE328" i="269"/>
  <c r="AC329" i="269"/>
  <c r="AE329" i="269"/>
  <c r="AC330" i="269"/>
  <c r="AE330" i="269"/>
  <c r="AC331" i="269"/>
  <c r="AE331" i="269"/>
  <c r="AC332" i="269"/>
  <c r="AE332" i="269"/>
  <c r="AC333" i="269"/>
  <c r="AE333" i="269"/>
  <c r="AC334" i="269"/>
  <c r="AE334" i="269"/>
  <c r="AC335" i="269"/>
  <c r="AE335" i="269"/>
  <c r="AC336" i="269"/>
  <c r="AE336" i="269"/>
  <c r="AC337" i="269"/>
  <c r="AE337" i="269"/>
  <c r="AC338" i="269"/>
  <c r="AE338" i="269"/>
  <c r="AC339" i="269"/>
  <c r="AE339" i="269"/>
  <c r="AC340" i="269"/>
  <c r="AE340" i="269"/>
  <c r="AC341" i="269"/>
  <c r="AE341" i="269"/>
  <c r="AC342" i="269"/>
  <c r="AE342" i="269"/>
  <c r="AC343" i="269"/>
  <c r="AE343" i="269"/>
  <c r="AC344" i="269"/>
  <c r="AE344" i="269"/>
  <c r="AC345" i="269"/>
  <c r="AE345" i="269"/>
  <c r="AC346" i="269"/>
  <c r="AE346" i="269"/>
  <c r="AC347" i="269"/>
  <c r="AE347" i="269"/>
  <c r="AC348" i="269"/>
  <c r="AE348" i="269"/>
  <c r="AC349" i="269"/>
  <c r="AE349" i="269"/>
  <c r="AC350" i="269"/>
  <c r="AE350" i="269"/>
  <c r="AC351" i="269"/>
  <c r="AE351" i="269"/>
  <c r="AC352" i="269"/>
  <c r="AE352" i="269"/>
  <c r="AC353" i="269"/>
  <c r="AE353" i="269"/>
  <c r="AC354" i="269"/>
  <c r="AE354" i="269"/>
  <c r="AC355" i="269"/>
  <c r="AE355" i="269"/>
  <c r="AC356" i="269"/>
  <c r="AE356" i="269"/>
  <c r="AC357" i="269"/>
  <c r="AE357" i="269"/>
  <c r="AC358" i="269"/>
  <c r="AE358" i="269"/>
  <c r="AC359" i="269"/>
  <c r="AE359" i="269"/>
  <c r="AC360" i="269"/>
  <c r="AE360" i="269"/>
  <c r="AC361" i="269"/>
  <c r="AE361" i="269"/>
  <c r="AC362" i="269"/>
  <c r="AE362" i="269"/>
  <c r="AC363" i="269"/>
  <c r="AE363" i="269"/>
  <c r="AC364" i="269"/>
  <c r="AE364" i="269"/>
  <c r="AC365" i="269"/>
  <c r="AE365" i="269"/>
  <c r="AC366" i="269"/>
  <c r="AE366" i="269"/>
  <c r="AC367" i="269"/>
  <c r="AE367" i="269"/>
  <c r="AC368" i="269"/>
  <c r="AE368" i="269"/>
  <c r="AC369" i="269"/>
  <c r="AE369" i="269"/>
  <c r="AC370" i="269"/>
  <c r="AE370" i="269"/>
  <c r="AC371" i="269"/>
  <c r="AE371" i="269"/>
  <c r="AC372" i="269"/>
  <c r="AE372" i="269"/>
  <c r="AC373" i="269"/>
  <c r="AE373" i="269"/>
  <c r="AC374" i="269"/>
  <c r="AE374" i="269"/>
  <c r="AC375" i="269"/>
  <c r="AE375" i="269"/>
  <c r="AC376" i="269"/>
  <c r="AE376" i="269"/>
  <c r="AC377" i="269"/>
  <c r="AE377" i="269"/>
  <c r="AC378" i="269"/>
  <c r="AE378" i="269"/>
  <c r="AC379" i="269"/>
  <c r="AE379" i="269"/>
  <c r="AC380" i="269"/>
  <c r="AE380" i="269"/>
  <c r="AC381" i="269"/>
  <c r="AE381" i="269"/>
  <c r="AC382" i="269"/>
  <c r="AE382" i="269"/>
  <c r="AC383" i="269"/>
  <c r="AE383" i="269"/>
  <c r="AC384" i="269"/>
  <c r="AE384" i="269"/>
  <c r="AC385" i="269"/>
  <c r="AE385" i="269"/>
  <c r="AC386" i="269"/>
  <c r="AE386" i="269"/>
  <c r="AC387" i="269"/>
  <c r="AE387" i="269"/>
  <c r="AC388" i="269"/>
  <c r="AE388" i="269"/>
  <c r="AC389" i="269"/>
  <c r="AE389" i="269"/>
  <c r="AC390" i="269"/>
  <c r="AE390" i="269"/>
  <c r="AC391" i="269"/>
  <c r="AE391" i="269"/>
  <c r="AC392" i="269"/>
  <c r="AE392" i="269"/>
  <c r="AC393" i="269"/>
  <c r="AE393" i="269"/>
  <c r="AC394" i="269"/>
  <c r="AE394" i="269"/>
  <c r="AC395" i="269"/>
  <c r="AE395" i="269"/>
  <c r="AC396" i="269"/>
  <c r="AE396" i="269"/>
  <c r="AC397" i="269"/>
  <c r="AE397" i="269"/>
  <c r="AC398" i="269"/>
  <c r="AE398" i="269"/>
  <c r="AC399" i="269"/>
  <c r="AE399" i="269"/>
  <c r="AC400" i="269"/>
  <c r="AE400" i="269"/>
  <c r="AC401" i="269"/>
  <c r="AE401" i="269"/>
  <c r="AC402" i="269"/>
  <c r="AE402" i="269"/>
  <c r="AC403" i="269"/>
  <c r="AE403" i="269"/>
  <c r="AC404" i="269"/>
  <c r="AE404" i="269"/>
  <c r="AC405" i="269"/>
  <c r="AE405" i="269"/>
  <c r="AC406" i="269"/>
  <c r="AE406" i="269"/>
  <c r="AC407" i="269"/>
  <c r="AE407" i="269"/>
  <c r="AC408" i="269"/>
  <c r="AE408" i="269"/>
  <c r="AC409" i="269"/>
  <c r="AE409" i="269"/>
  <c r="AC410" i="269"/>
  <c r="AE410" i="269"/>
  <c r="AC411" i="269"/>
  <c r="AE411" i="269"/>
  <c r="AC412" i="269"/>
  <c r="AE412" i="269"/>
  <c r="AC413" i="269"/>
  <c r="AE413" i="269"/>
  <c r="AC414" i="269"/>
  <c r="AE414" i="269"/>
  <c r="AC415" i="269"/>
  <c r="AE415" i="269"/>
  <c r="AE416" i="269"/>
  <c r="AC445" i="269"/>
  <c r="AE445" i="269"/>
  <c r="AC446" i="269"/>
  <c r="AE446" i="269"/>
  <c r="AC447" i="269"/>
  <c r="AE447" i="269"/>
  <c r="AC448" i="269"/>
  <c r="AE448" i="269"/>
  <c r="AC449" i="269"/>
  <c r="AE449" i="269"/>
  <c r="AC450" i="269"/>
  <c r="AE450" i="269"/>
  <c r="AC451" i="269"/>
  <c r="AE451" i="269"/>
  <c r="AC452" i="269"/>
  <c r="AE452" i="269"/>
  <c r="AC453" i="269"/>
  <c r="AE453" i="269"/>
  <c r="AC454" i="269"/>
  <c r="AE454" i="269"/>
  <c r="AC455" i="269"/>
  <c r="AE455" i="269"/>
  <c r="AC456" i="269"/>
  <c r="AE456" i="269"/>
  <c r="AC457" i="269"/>
  <c r="AE457" i="269"/>
  <c r="AC458" i="269"/>
  <c r="AE458" i="269"/>
  <c r="AC459" i="269"/>
  <c r="AE459" i="269"/>
  <c r="AC460" i="269"/>
  <c r="AE460" i="269"/>
  <c r="AC461" i="269"/>
  <c r="AE461" i="269"/>
  <c r="AC462" i="269"/>
  <c r="AE462" i="269"/>
  <c r="AE463" i="269"/>
  <c r="AE464" i="269"/>
  <c r="AE465" i="269"/>
  <c r="AE466" i="269"/>
  <c r="AE467" i="269"/>
  <c r="AE468" i="269"/>
  <c r="AE469" i="269"/>
  <c r="AE470" i="269"/>
  <c r="AE471" i="269"/>
  <c r="AE472" i="269"/>
  <c r="AA473" i="269"/>
  <c r="AE473" i="269"/>
  <c r="AA474" i="269"/>
  <c r="AE474" i="269"/>
  <c r="AA475" i="269"/>
  <c r="AE475" i="269"/>
  <c r="AA476" i="269"/>
  <c r="AE476" i="269"/>
  <c r="AA477" i="269"/>
  <c r="AE477" i="269"/>
  <c r="AA478" i="269"/>
  <c r="AE478" i="269"/>
  <c r="AA479" i="269"/>
  <c r="AE479" i="269"/>
  <c r="AA480" i="269"/>
  <c r="AE480" i="269"/>
  <c r="AA481" i="269"/>
  <c r="AE481" i="269"/>
  <c r="AA482" i="269"/>
  <c r="AE482" i="269"/>
  <c r="AA483" i="269"/>
  <c r="AE483" i="269"/>
  <c r="AA484" i="269"/>
  <c r="AE484" i="269"/>
  <c r="AA485" i="269"/>
  <c r="AE485" i="269"/>
  <c r="AA486" i="269"/>
  <c r="AE486" i="269"/>
  <c r="AA487" i="269"/>
  <c r="AE487" i="269"/>
  <c r="AA488" i="269"/>
  <c r="AE488" i="269"/>
  <c r="AA489" i="269"/>
  <c r="AE489" i="269"/>
  <c r="AA490" i="269"/>
  <c r="AE490" i="269"/>
  <c r="AA491" i="269"/>
  <c r="AE491" i="269"/>
  <c r="AA492" i="269"/>
  <c r="AE492" i="269"/>
  <c r="AA493" i="269"/>
  <c r="AE493" i="269"/>
  <c r="AA494" i="269"/>
  <c r="AE494" i="269"/>
  <c r="AA495" i="269"/>
  <c r="AE495" i="269"/>
  <c r="AA496" i="269"/>
  <c r="AE496" i="269"/>
  <c r="AA497" i="269"/>
  <c r="AE497" i="269"/>
  <c r="AA498" i="269"/>
  <c r="AE498" i="269"/>
  <c r="AA499" i="269"/>
  <c r="AE499" i="269"/>
  <c r="AE17" i="269"/>
  <c r="AC17" i="269"/>
  <c r="AC502" i="269" s="1"/>
  <c r="Z502" i="269"/>
  <c r="S28" i="322"/>
  <c r="S29" i="322"/>
  <c r="S30" i="322"/>
  <c r="S31" i="322"/>
  <c r="S32" i="322"/>
  <c r="S33" i="322"/>
  <c r="S34" i="322"/>
  <c r="S35" i="322"/>
  <c r="S36" i="322"/>
  <c r="S37" i="322"/>
  <c r="S38" i="322"/>
  <c r="S39" i="322"/>
  <c r="S40" i="322"/>
  <c r="S41" i="322"/>
  <c r="S42" i="322"/>
  <c r="S27" i="322"/>
  <c r="F500" i="269"/>
  <c r="G500" i="269" s="1"/>
  <c r="AT174" i="312"/>
  <c r="AT313" i="312"/>
  <c r="AT399" i="312"/>
  <c r="AT497" i="312"/>
  <c r="AJ502" i="269"/>
  <c r="AK18" i="269"/>
  <c r="AK19" i="269"/>
  <c r="AK20" i="269"/>
  <c r="AK21" i="269"/>
  <c r="AK22" i="269"/>
  <c r="AK23" i="269"/>
  <c r="AK24" i="269"/>
  <c r="AK25" i="269"/>
  <c r="AK26" i="269"/>
  <c r="AK27" i="269"/>
  <c r="AK28" i="269"/>
  <c r="AK29" i="269"/>
  <c r="AK30" i="269"/>
  <c r="AK31" i="269"/>
  <c r="AK32" i="269"/>
  <c r="AK33" i="269"/>
  <c r="AK34" i="269"/>
  <c r="AK35" i="269"/>
  <c r="AK36" i="269"/>
  <c r="AK37" i="269"/>
  <c r="AK38" i="269"/>
  <c r="AK39" i="269"/>
  <c r="AK40" i="269"/>
  <c r="AK41" i="269"/>
  <c r="AK42" i="269"/>
  <c r="AK43" i="269"/>
  <c r="AK44" i="269"/>
  <c r="AK45" i="269"/>
  <c r="AK46" i="269"/>
  <c r="AK47" i="269"/>
  <c r="AK48" i="269"/>
  <c r="AK49" i="269"/>
  <c r="AK50" i="269"/>
  <c r="AK51" i="269"/>
  <c r="AK52" i="269"/>
  <c r="AK53" i="269"/>
  <c r="AK54" i="269"/>
  <c r="AK55" i="269"/>
  <c r="AK56" i="269"/>
  <c r="AK57" i="269"/>
  <c r="AK58" i="269"/>
  <c r="AK59" i="269"/>
  <c r="AK60" i="269"/>
  <c r="AK61" i="269"/>
  <c r="AK62" i="269"/>
  <c r="AK63" i="269"/>
  <c r="AK64" i="269"/>
  <c r="AK65" i="269"/>
  <c r="AK66" i="269"/>
  <c r="AK67" i="269"/>
  <c r="AK68" i="269"/>
  <c r="AK69" i="269"/>
  <c r="AK70" i="269"/>
  <c r="AK71" i="269"/>
  <c r="AK72" i="269"/>
  <c r="AK73" i="269"/>
  <c r="AK74" i="269"/>
  <c r="AK75" i="269"/>
  <c r="AK76" i="269"/>
  <c r="AK77" i="269"/>
  <c r="AK78" i="269"/>
  <c r="AK79" i="269"/>
  <c r="AK80" i="269"/>
  <c r="AK81" i="269"/>
  <c r="AK82" i="269"/>
  <c r="AK83" i="269"/>
  <c r="AK84" i="269"/>
  <c r="AK85" i="269"/>
  <c r="AK86" i="269"/>
  <c r="AK87" i="269"/>
  <c r="AK88" i="269"/>
  <c r="AK89" i="269"/>
  <c r="AK90" i="269"/>
  <c r="AK91" i="269"/>
  <c r="AK92" i="269"/>
  <c r="AK93" i="269"/>
  <c r="AK94" i="269"/>
  <c r="AK95" i="269"/>
  <c r="AK96" i="269"/>
  <c r="AK97" i="269"/>
  <c r="AK98" i="269"/>
  <c r="AK99" i="269"/>
  <c r="AK100" i="269"/>
  <c r="AK101" i="269"/>
  <c r="AK102" i="269"/>
  <c r="AK103" i="269"/>
  <c r="AK104" i="269"/>
  <c r="AK105" i="269"/>
  <c r="AK106" i="269"/>
  <c r="AK107" i="269"/>
  <c r="AK108" i="269"/>
  <c r="AK109" i="269"/>
  <c r="AK110" i="269"/>
  <c r="AK111" i="269"/>
  <c r="AK112" i="269"/>
  <c r="AK113" i="269"/>
  <c r="AK114" i="269"/>
  <c r="AK115" i="269"/>
  <c r="AK116" i="269"/>
  <c r="AK117" i="269"/>
  <c r="AK118" i="269"/>
  <c r="AK119" i="269"/>
  <c r="AK120" i="269"/>
  <c r="AK121" i="269"/>
  <c r="AK122" i="269"/>
  <c r="AK123" i="269"/>
  <c r="AK124" i="269"/>
  <c r="AK125" i="269"/>
  <c r="AK126" i="269"/>
  <c r="AK127" i="269"/>
  <c r="AK128" i="269"/>
  <c r="AK129" i="269"/>
  <c r="AK130" i="269"/>
  <c r="AK131" i="269"/>
  <c r="AK132" i="269"/>
  <c r="AK133" i="269"/>
  <c r="AK134" i="269"/>
  <c r="AK135" i="269"/>
  <c r="AK136" i="269"/>
  <c r="AK137" i="269"/>
  <c r="AK138" i="269"/>
  <c r="AK139" i="269"/>
  <c r="AK140" i="269"/>
  <c r="AK141" i="269"/>
  <c r="AK142" i="269"/>
  <c r="AK143" i="269"/>
  <c r="AK144" i="269"/>
  <c r="AK145" i="269"/>
  <c r="AK146" i="269"/>
  <c r="AK147" i="269"/>
  <c r="AK148" i="269"/>
  <c r="AK149" i="269"/>
  <c r="AK150" i="269"/>
  <c r="AK151" i="269"/>
  <c r="AK152" i="269"/>
  <c r="AK153" i="269"/>
  <c r="AK154" i="269"/>
  <c r="AK155" i="269"/>
  <c r="AK156" i="269"/>
  <c r="AK157" i="269"/>
  <c r="AK158" i="269"/>
  <c r="AK159" i="269"/>
  <c r="AK160" i="269"/>
  <c r="AK161" i="269"/>
  <c r="AK162" i="269"/>
  <c r="AK163" i="269"/>
  <c r="AK164" i="269"/>
  <c r="AK165" i="269"/>
  <c r="AK166" i="269"/>
  <c r="AK167" i="269"/>
  <c r="AK168" i="269"/>
  <c r="AK169" i="269"/>
  <c r="AK170" i="269"/>
  <c r="AK171" i="269"/>
  <c r="AK172" i="269"/>
  <c r="AK173" i="269"/>
  <c r="AK174" i="269"/>
  <c r="AK175" i="269"/>
  <c r="AK176" i="269"/>
  <c r="AK177" i="269"/>
  <c r="AK178" i="269"/>
  <c r="AK179" i="269"/>
  <c r="AK180" i="269"/>
  <c r="AK181" i="269"/>
  <c r="AK182" i="269"/>
  <c r="AK183" i="269"/>
  <c r="AK184" i="269"/>
  <c r="AK185" i="269"/>
  <c r="AK186" i="269"/>
  <c r="AK187" i="269"/>
  <c r="AK188" i="269"/>
  <c r="AK189" i="269"/>
  <c r="AK190" i="269"/>
  <c r="AK191" i="269"/>
  <c r="AK192" i="269"/>
  <c r="AK193" i="269"/>
  <c r="AK194" i="269"/>
  <c r="AK195" i="269"/>
  <c r="AK196" i="269"/>
  <c r="AK197" i="269"/>
  <c r="AK198" i="269"/>
  <c r="AK199" i="269"/>
  <c r="AK200" i="269"/>
  <c r="AK201" i="269"/>
  <c r="AK202" i="269"/>
  <c r="AK203" i="269"/>
  <c r="AK204" i="269"/>
  <c r="AK205" i="269"/>
  <c r="AK206" i="269"/>
  <c r="AK207" i="269"/>
  <c r="AK208" i="269"/>
  <c r="AK209" i="269"/>
  <c r="AK210" i="269"/>
  <c r="AK211" i="269"/>
  <c r="AK212" i="269"/>
  <c r="AK213" i="269"/>
  <c r="AK214" i="269"/>
  <c r="AK215" i="269"/>
  <c r="AK216" i="269"/>
  <c r="AK217" i="269"/>
  <c r="AK218" i="269"/>
  <c r="AK219" i="269"/>
  <c r="AK220" i="269"/>
  <c r="AK221" i="269"/>
  <c r="AK222" i="269"/>
  <c r="AK223" i="269"/>
  <c r="AK224" i="269"/>
  <c r="AK225" i="269"/>
  <c r="AK226" i="269"/>
  <c r="AK227" i="269"/>
  <c r="AK228" i="269"/>
  <c r="AK229" i="269"/>
  <c r="AK230" i="269"/>
  <c r="AK231" i="269"/>
  <c r="AK232" i="269"/>
  <c r="AK233" i="269"/>
  <c r="AK234" i="269"/>
  <c r="AK235" i="269"/>
  <c r="AK236" i="269"/>
  <c r="AK237" i="269"/>
  <c r="AK238" i="269"/>
  <c r="AK239" i="269"/>
  <c r="AK240" i="269"/>
  <c r="AK241" i="269"/>
  <c r="AK242" i="269"/>
  <c r="AK243" i="269"/>
  <c r="AK244" i="269"/>
  <c r="AK245" i="269"/>
  <c r="AK246" i="269"/>
  <c r="AK247" i="269"/>
  <c r="AK248" i="269"/>
  <c r="AK249" i="269"/>
  <c r="AK250" i="269"/>
  <c r="AK251" i="269"/>
  <c r="AK252" i="269"/>
  <c r="AK253" i="269"/>
  <c r="AK254" i="269"/>
  <c r="AK255" i="269"/>
  <c r="AK256" i="269"/>
  <c r="AK257" i="269"/>
  <c r="AK258" i="269"/>
  <c r="AK259" i="269"/>
  <c r="AK260" i="269"/>
  <c r="AK261" i="269"/>
  <c r="AK262" i="269"/>
  <c r="AK263" i="269"/>
  <c r="AK264" i="269"/>
  <c r="AK265" i="269"/>
  <c r="AK266" i="269"/>
  <c r="AK267" i="269"/>
  <c r="AK268" i="269"/>
  <c r="AK269" i="269"/>
  <c r="AK270" i="269"/>
  <c r="AK271" i="269"/>
  <c r="AK272" i="269"/>
  <c r="AK273" i="269"/>
  <c r="AK274" i="269"/>
  <c r="AK275" i="269"/>
  <c r="AK276" i="269"/>
  <c r="AK277" i="269"/>
  <c r="AK278" i="269"/>
  <c r="AK279" i="269"/>
  <c r="AK280" i="269"/>
  <c r="AK281" i="269"/>
  <c r="AK282" i="269"/>
  <c r="AK283" i="269"/>
  <c r="AK284" i="269"/>
  <c r="AK285" i="269"/>
  <c r="AK286" i="269"/>
  <c r="AK287" i="269"/>
  <c r="AK288" i="269"/>
  <c r="AK289" i="269"/>
  <c r="AK290" i="269"/>
  <c r="AK291" i="269"/>
  <c r="AK292" i="269"/>
  <c r="AK293" i="269"/>
  <c r="AK294" i="269"/>
  <c r="AK295" i="269"/>
  <c r="AK296" i="269"/>
  <c r="AK297" i="269"/>
  <c r="AK298" i="269"/>
  <c r="AK299" i="269"/>
  <c r="AK300" i="269"/>
  <c r="AK301" i="269"/>
  <c r="AK302" i="269"/>
  <c r="AK303" i="269"/>
  <c r="AK304" i="269"/>
  <c r="AK305" i="269"/>
  <c r="AK306" i="269"/>
  <c r="AK307" i="269"/>
  <c r="AK308" i="269"/>
  <c r="AK309" i="269"/>
  <c r="AK310" i="269"/>
  <c r="AK311" i="269"/>
  <c r="AK312" i="269"/>
  <c r="AK313" i="269"/>
  <c r="AK314" i="269"/>
  <c r="AK315" i="269"/>
  <c r="AK316" i="269"/>
  <c r="AK317" i="269"/>
  <c r="AK318" i="269"/>
  <c r="AK319" i="269"/>
  <c r="AK320" i="269"/>
  <c r="AK321" i="269"/>
  <c r="AK322" i="269"/>
  <c r="AK323" i="269"/>
  <c r="AK324" i="269"/>
  <c r="AK325" i="269"/>
  <c r="AK326" i="269"/>
  <c r="AK327" i="269"/>
  <c r="AK328" i="269"/>
  <c r="AK329" i="269"/>
  <c r="AK330" i="269"/>
  <c r="AK331" i="269"/>
  <c r="AK332" i="269"/>
  <c r="AK333" i="269"/>
  <c r="AK334" i="269"/>
  <c r="AK335" i="269"/>
  <c r="AK336" i="269"/>
  <c r="AK337" i="269"/>
  <c r="AK338" i="269"/>
  <c r="AK339" i="269"/>
  <c r="AK340" i="269"/>
  <c r="AK341" i="269"/>
  <c r="AK342" i="269"/>
  <c r="AK343" i="269"/>
  <c r="AK344" i="269"/>
  <c r="AK345" i="269"/>
  <c r="AK346" i="269"/>
  <c r="AK347" i="269"/>
  <c r="AK348" i="269"/>
  <c r="AK349" i="269"/>
  <c r="AK350" i="269"/>
  <c r="AK351" i="269"/>
  <c r="AK352" i="269"/>
  <c r="AK353" i="269"/>
  <c r="AK354" i="269"/>
  <c r="AK355" i="269"/>
  <c r="AK356" i="269"/>
  <c r="AK357" i="269"/>
  <c r="AK358" i="269"/>
  <c r="AK359" i="269"/>
  <c r="AK360" i="269"/>
  <c r="AK361" i="269"/>
  <c r="AK362" i="269"/>
  <c r="AK363" i="269"/>
  <c r="AK364" i="269"/>
  <c r="AK365" i="269"/>
  <c r="AK366" i="269"/>
  <c r="AK367" i="269"/>
  <c r="AK368" i="269"/>
  <c r="AK369" i="269"/>
  <c r="AK370" i="269"/>
  <c r="AK371" i="269"/>
  <c r="AK372" i="269"/>
  <c r="AK373" i="269"/>
  <c r="AK374" i="269"/>
  <c r="AK375" i="269"/>
  <c r="AK376" i="269"/>
  <c r="AK377" i="269"/>
  <c r="AK378" i="269"/>
  <c r="AK379" i="269"/>
  <c r="AK380" i="269"/>
  <c r="AK381" i="269"/>
  <c r="AK382" i="269"/>
  <c r="AK383" i="269"/>
  <c r="AK384" i="269"/>
  <c r="AK385" i="269"/>
  <c r="AK386" i="269"/>
  <c r="AK387" i="269"/>
  <c r="AK388" i="269"/>
  <c r="AK389" i="269"/>
  <c r="AK390" i="269"/>
  <c r="AK391" i="269"/>
  <c r="AK392" i="269"/>
  <c r="AK393" i="269"/>
  <c r="AK394" i="269"/>
  <c r="AK395" i="269"/>
  <c r="AK396" i="269"/>
  <c r="AK397" i="269"/>
  <c r="AK398" i="269"/>
  <c r="AK399" i="269"/>
  <c r="AK400" i="269"/>
  <c r="AK401" i="269"/>
  <c r="AK402" i="269"/>
  <c r="AK403" i="269"/>
  <c r="AK404" i="269"/>
  <c r="AK405" i="269"/>
  <c r="AK406" i="269"/>
  <c r="AK407" i="269"/>
  <c r="AK408" i="269"/>
  <c r="AK409" i="269"/>
  <c r="AK410" i="269"/>
  <c r="AK411" i="269"/>
  <c r="AK412" i="269"/>
  <c r="AK413" i="269"/>
  <c r="AK414" i="269"/>
  <c r="AK415" i="269"/>
  <c r="AK416" i="269"/>
  <c r="AK417" i="269"/>
  <c r="AK418" i="269"/>
  <c r="AK419" i="269"/>
  <c r="AK420" i="269"/>
  <c r="AK421" i="269"/>
  <c r="AK422" i="269"/>
  <c r="AK423" i="269"/>
  <c r="AK424" i="269"/>
  <c r="AK425" i="269"/>
  <c r="AK426" i="269"/>
  <c r="AK427" i="269"/>
  <c r="AK428" i="269"/>
  <c r="AK429" i="269"/>
  <c r="AK430" i="269"/>
  <c r="AK431" i="269"/>
  <c r="AK432" i="269"/>
  <c r="AK433" i="269"/>
  <c r="AK434" i="269"/>
  <c r="AK435" i="269"/>
  <c r="AK436" i="269"/>
  <c r="AK437" i="269"/>
  <c r="AK438" i="269"/>
  <c r="AK439" i="269"/>
  <c r="AK440" i="269"/>
  <c r="AK441" i="269"/>
  <c r="AK442" i="269"/>
  <c r="AK443" i="269"/>
  <c r="AK444" i="269"/>
  <c r="AK445" i="269"/>
  <c r="AK446" i="269"/>
  <c r="AK447" i="269"/>
  <c r="AK448" i="269"/>
  <c r="AK449" i="269"/>
  <c r="AK450" i="269"/>
  <c r="AK451" i="269"/>
  <c r="AK452" i="269"/>
  <c r="AK453" i="269"/>
  <c r="AK454" i="269"/>
  <c r="AK455" i="269"/>
  <c r="AK456" i="269"/>
  <c r="AK457" i="269"/>
  <c r="AK458" i="269"/>
  <c r="AK459" i="269"/>
  <c r="AK460" i="269"/>
  <c r="AK461" i="269"/>
  <c r="AK462" i="269"/>
  <c r="AK463" i="269"/>
  <c r="AK464" i="269"/>
  <c r="AK465" i="269"/>
  <c r="AK466" i="269"/>
  <c r="AK467" i="269"/>
  <c r="AK468" i="269"/>
  <c r="AK469" i="269"/>
  <c r="AK470" i="269"/>
  <c r="AK471" i="269"/>
  <c r="AK472" i="269"/>
  <c r="AK473" i="269"/>
  <c r="AK474" i="269"/>
  <c r="AK475" i="269"/>
  <c r="AK476" i="269"/>
  <c r="AK477" i="269"/>
  <c r="AK478" i="269"/>
  <c r="AK479" i="269"/>
  <c r="AK480" i="269"/>
  <c r="AK481" i="269"/>
  <c r="AK482" i="269"/>
  <c r="AK483" i="269"/>
  <c r="AK484" i="269"/>
  <c r="AK485" i="269"/>
  <c r="AK486" i="269"/>
  <c r="AK487" i="269"/>
  <c r="AK488" i="269"/>
  <c r="AK489" i="269"/>
  <c r="AK490" i="269"/>
  <c r="AK491" i="269"/>
  <c r="AK492" i="269"/>
  <c r="AK493" i="269"/>
  <c r="AK494" i="269"/>
  <c r="AK495" i="269"/>
  <c r="AK496" i="269"/>
  <c r="AK497" i="269"/>
  <c r="AK498" i="269"/>
  <c r="AK499" i="269"/>
  <c r="AK500" i="269"/>
  <c r="AK17" i="269"/>
  <c r="BD401" i="312"/>
  <c r="V406" i="269"/>
  <c r="W406" i="269" s="1"/>
  <c r="BD402" i="312"/>
  <c r="V407" i="269" s="1"/>
  <c r="W407" i="269"/>
  <c r="BD403" i="312"/>
  <c r="V408" i="269" s="1"/>
  <c r="W408" i="269" s="1"/>
  <c r="BD404" i="312"/>
  <c r="V409" i="269" s="1"/>
  <c r="W409" i="269" s="1"/>
  <c r="BD405" i="312"/>
  <c r="V410" i="269"/>
  <c r="W410" i="269" s="1"/>
  <c r="BD406" i="312"/>
  <c r="V411" i="269" s="1"/>
  <c r="W411" i="269"/>
  <c r="BD407" i="312"/>
  <c r="V412" i="269" s="1"/>
  <c r="W412" i="269" s="1"/>
  <c r="BD408" i="312"/>
  <c r="V413" i="269" s="1"/>
  <c r="W413" i="269" s="1"/>
  <c r="BD409" i="312"/>
  <c r="V414" i="269" s="1"/>
  <c r="W414" i="269" s="1"/>
  <c r="BD410" i="312"/>
  <c r="V415" i="269" s="1"/>
  <c r="W415" i="269" s="1"/>
  <c r="BD411" i="312"/>
  <c r="V416" i="269" s="1"/>
  <c r="W416" i="269" s="1"/>
  <c r="BD412" i="312"/>
  <c r="V417" i="269" s="1"/>
  <c r="W417" i="269" s="1"/>
  <c r="BD413" i="312"/>
  <c r="V418" i="269" s="1"/>
  <c r="W418" i="269" s="1"/>
  <c r="BD414" i="312"/>
  <c r="V419" i="269"/>
  <c r="W419" i="269" s="1"/>
  <c r="BD415" i="312"/>
  <c r="V420" i="269" s="1"/>
  <c r="W420" i="269" s="1"/>
  <c r="BD416" i="312"/>
  <c r="V421" i="269"/>
  <c r="W421" i="269" s="1"/>
  <c r="BD417" i="312"/>
  <c r="V422" i="269"/>
  <c r="W422" i="269" s="1"/>
  <c r="BD418" i="312"/>
  <c r="V423" i="269" s="1"/>
  <c r="W423" i="269"/>
  <c r="BD419" i="312"/>
  <c r="V424" i="269" s="1"/>
  <c r="W424" i="269" s="1"/>
  <c r="BD420" i="312"/>
  <c r="V425" i="269" s="1"/>
  <c r="W425" i="269" s="1"/>
  <c r="BD421" i="312"/>
  <c r="V426" i="269"/>
  <c r="W426" i="269" s="1"/>
  <c r="BD422" i="312"/>
  <c r="V427" i="269" s="1"/>
  <c r="W427" i="269"/>
  <c r="BD423" i="312"/>
  <c r="V428" i="269" s="1"/>
  <c r="W428" i="269" s="1"/>
  <c r="BD424" i="312"/>
  <c r="V429" i="269" s="1"/>
  <c r="W429" i="269" s="1"/>
  <c r="BD425" i="312"/>
  <c r="V430" i="269" s="1"/>
  <c r="W430" i="269" s="1"/>
  <c r="BD426" i="312"/>
  <c r="V431" i="269" s="1"/>
  <c r="W431" i="269" s="1"/>
  <c r="BD427" i="312"/>
  <c r="V432" i="269" s="1"/>
  <c r="W432" i="269" s="1"/>
  <c r="BD428" i="312"/>
  <c r="V433" i="269" s="1"/>
  <c r="W433" i="269" s="1"/>
  <c r="BD429" i="312"/>
  <c r="V434" i="269" s="1"/>
  <c r="W434" i="269" s="1"/>
  <c r="BD430" i="312"/>
  <c r="V435" i="269"/>
  <c r="W435" i="269" s="1"/>
  <c r="BD431" i="312"/>
  <c r="V436" i="269" s="1"/>
  <c r="W436" i="269" s="1"/>
  <c r="BD432" i="312"/>
  <c r="V437" i="269"/>
  <c r="W437" i="269" s="1"/>
  <c r="BD433" i="312"/>
  <c r="V438" i="269"/>
  <c r="W438" i="269" s="1"/>
  <c r="BD434" i="312"/>
  <c r="V439" i="269" s="1"/>
  <c r="W439" i="269"/>
  <c r="BD435" i="312"/>
  <c r="V440" i="269" s="1"/>
  <c r="W440" i="269" s="1"/>
  <c r="BD436" i="312"/>
  <c r="V441" i="269" s="1"/>
  <c r="W441" i="269" s="1"/>
  <c r="BD437" i="312"/>
  <c r="V442" i="269"/>
  <c r="W442" i="269" s="1"/>
  <c r="BD438" i="312"/>
  <c r="V443" i="269"/>
  <c r="W443" i="269" s="1"/>
  <c r="BD439" i="312"/>
  <c r="V444" i="269" s="1"/>
  <c r="W444" i="269" s="1"/>
  <c r="BD440" i="312"/>
  <c r="V445" i="269"/>
  <c r="W445" i="269" s="1"/>
  <c r="BD441" i="312"/>
  <c r="V446" i="269"/>
  <c r="W446" i="269" s="1"/>
  <c r="BD442" i="312"/>
  <c r="V447" i="269"/>
  <c r="W447" i="269" s="1"/>
  <c r="BD443" i="312"/>
  <c r="V448" i="269" s="1"/>
  <c r="W448" i="269" s="1"/>
  <c r="BD444" i="312"/>
  <c r="V449" i="269"/>
  <c r="W449" i="269" s="1"/>
  <c r="BD445" i="312"/>
  <c r="V450" i="269"/>
  <c r="W450" i="269" s="1"/>
  <c r="BD446" i="312"/>
  <c r="V451" i="269" s="1"/>
  <c r="W451" i="269"/>
  <c r="BD447" i="312"/>
  <c r="V452" i="269" s="1"/>
  <c r="W452" i="269" s="1"/>
  <c r="BD448" i="312"/>
  <c r="V453" i="269" s="1"/>
  <c r="W453" i="269" s="1"/>
  <c r="BD449" i="312"/>
  <c r="V454" i="269" s="1"/>
  <c r="W454" i="269"/>
  <c r="BD450" i="312"/>
  <c r="V455" i="269" s="1"/>
  <c r="W455" i="269" s="1"/>
  <c r="BD451" i="312"/>
  <c r="V456" i="269" s="1"/>
  <c r="W456" i="269" s="1"/>
  <c r="BD452" i="312"/>
  <c r="V457" i="269"/>
  <c r="W457" i="269" s="1"/>
  <c r="BD453" i="312"/>
  <c r="V458" i="269" s="1"/>
  <c r="W458" i="269" s="1"/>
  <c r="BD454" i="312"/>
  <c r="V459" i="269" s="1"/>
  <c r="W459" i="269" s="1"/>
  <c r="BD455" i="312"/>
  <c r="V460" i="269" s="1"/>
  <c r="W460" i="269" s="1"/>
  <c r="BD456" i="312"/>
  <c r="V461" i="269" s="1"/>
  <c r="W461" i="269"/>
  <c r="BD457" i="312"/>
  <c r="V462" i="269" s="1"/>
  <c r="W462" i="269" s="1"/>
  <c r="BD458" i="312"/>
  <c r="V463" i="269" s="1"/>
  <c r="W463" i="269" s="1"/>
  <c r="BD459" i="312"/>
  <c r="V464" i="269" s="1"/>
  <c r="W464" i="269" s="1"/>
  <c r="BD460" i="312"/>
  <c r="V465" i="269" s="1"/>
  <c r="W465" i="269" s="1"/>
  <c r="BD461" i="312"/>
  <c r="V466" i="269" s="1"/>
  <c r="W466" i="269" s="1"/>
  <c r="BD462" i="312"/>
  <c r="V467" i="269" s="1"/>
  <c r="W467" i="269" s="1"/>
  <c r="BD463" i="312"/>
  <c r="V468" i="269" s="1"/>
  <c r="W468" i="269" s="1"/>
  <c r="BD464" i="312"/>
  <c r="V469" i="269"/>
  <c r="W469" i="269" s="1"/>
  <c r="BD465" i="312"/>
  <c r="V470" i="269" s="1"/>
  <c r="W470" i="269" s="1"/>
  <c r="BD466" i="312"/>
  <c r="V471" i="269"/>
  <c r="W471" i="269" s="1"/>
  <c r="BD467" i="312"/>
  <c r="V472" i="269" s="1"/>
  <c r="W472" i="269" s="1"/>
  <c r="BD468" i="312"/>
  <c r="V473" i="269"/>
  <c r="W473" i="269" s="1"/>
  <c r="BD469" i="312"/>
  <c r="V474" i="269"/>
  <c r="W474" i="269" s="1"/>
  <c r="BD470" i="312"/>
  <c r="V475" i="269" s="1"/>
  <c r="W475" i="269" s="1"/>
  <c r="BD471" i="312"/>
  <c r="V476" i="269" s="1"/>
  <c r="W476" i="269" s="1"/>
  <c r="BD472" i="312"/>
  <c r="V477" i="269" s="1"/>
  <c r="W477" i="269" s="1"/>
  <c r="BD473" i="312"/>
  <c r="V478" i="269"/>
  <c r="W478" i="269" s="1"/>
  <c r="BD474" i="312"/>
  <c r="V479" i="269"/>
  <c r="W479" i="269" s="1"/>
  <c r="BD475" i="312"/>
  <c r="V480" i="269" s="1"/>
  <c r="W480" i="269" s="1"/>
  <c r="BD476" i="312"/>
  <c r="V481" i="269"/>
  <c r="W481" i="269" s="1"/>
  <c r="BD477" i="312"/>
  <c r="V482" i="269"/>
  <c r="W482" i="269" s="1"/>
  <c r="BD478" i="312"/>
  <c r="V483" i="269"/>
  <c r="W483" i="269" s="1"/>
  <c r="BD479" i="312"/>
  <c r="V484" i="269" s="1"/>
  <c r="W484" i="269" s="1"/>
  <c r="BD480" i="312"/>
  <c r="V485" i="269"/>
  <c r="W485" i="269" s="1"/>
  <c r="BD481" i="312"/>
  <c r="V486" i="269"/>
  <c r="W486" i="269" s="1"/>
  <c r="BD482" i="312"/>
  <c r="V487" i="269" s="1"/>
  <c r="W487" i="269" s="1"/>
  <c r="BD483" i="312"/>
  <c r="V488" i="269" s="1"/>
  <c r="W488" i="269" s="1"/>
  <c r="BD484" i="312"/>
  <c r="V489" i="269" s="1"/>
  <c r="W489" i="269" s="1"/>
  <c r="BD485" i="312"/>
  <c r="V490" i="269" s="1"/>
  <c r="W490" i="269" s="1"/>
  <c r="BD486" i="312"/>
  <c r="V491" i="269"/>
  <c r="W491" i="269" s="1"/>
  <c r="BD487" i="312"/>
  <c r="V492" i="269" s="1"/>
  <c r="W492" i="269" s="1"/>
  <c r="BD488" i="312"/>
  <c r="V493" i="269" s="1"/>
  <c r="W493" i="269" s="1"/>
  <c r="BD489" i="312"/>
  <c r="V494" i="269" s="1"/>
  <c r="W494" i="269" s="1"/>
  <c r="BD490" i="312"/>
  <c r="V495" i="269" s="1"/>
  <c r="W495" i="269"/>
  <c r="BD491" i="312"/>
  <c r="V496" i="269" s="1"/>
  <c r="W496" i="269" s="1"/>
  <c r="BD492" i="312"/>
  <c r="V497" i="269" s="1"/>
  <c r="W497" i="269" s="1"/>
  <c r="BD493" i="312"/>
  <c r="V498" i="269" s="1"/>
  <c r="W498" i="269" s="1"/>
  <c r="BD494" i="312"/>
  <c r="V499" i="269" s="1"/>
  <c r="W499" i="269" s="1"/>
  <c r="BD495" i="312"/>
  <c r="V500" i="269" s="1"/>
  <c r="W500" i="269" s="1"/>
  <c r="BD400" i="312"/>
  <c r="V405" i="269" s="1"/>
  <c r="W405" i="269" s="1"/>
  <c r="BD315" i="312"/>
  <c r="V322" i="269" s="1"/>
  <c r="W322" i="269" s="1"/>
  <c r="BD316" i="312"/>
  <c r="V323" i="269"/>
  <c r="W323" i="269" s="1"/>
  <c r="BD317" i="312"/>
  <c r="V324" i="269" s="1"/>
  <c r="W324" i="269" s="1"/>
  <c r="BD318" i="312"/>
  <c r="V325" i="269"/>
  <c r="W325" i="269" s="1"/>
  <c r="BD319" i="312"/>
  <c r="V326" i="269"/>
  <c r="W326" i="269" s="1"/>
  <c r="BD320" i="312"/>
  <c r="V327" i="269"/>
  <c r="W327" i="269" s="1"/>
  <c r="BD321" i="312"/>
  <c r="V328" i="269" s="1"/>
  <c r="W328" i="269" s="1"/>
  <c r="BD322" i="312"/>
  <c r="V329" i="269" s="1"/>
  <c r="W329" i="269" s="1"/>
  <c r="BD323" i="312"/>
  <c r="V330" i="269" s="1"/>
  <c r="W330" i="269" s="1"/>
  <c r="BD324" i="312"/>
  <c r="V331" i="269"/>
  <c r="W331" i="269"/>
  <c r="BD325" i="312"/>
  <c r="V332" i="269" s="1"/>
  <c r="W332" i="269" s="1"/>
  <c r="BD326" i="312"/>
  <c r="V333" i="269"/>
  <c r="W333" i="269" s="1"/>
  <c r="BD327" i="312"/>
  <c r="V334" i="269" s="1"/>
  <c r="W334" i="269" s="1"/>
  <c r="BD328" i="312"/>
  <c r="V335" i="269"/>
  <c r="W335" i="269"/>
  <c r="BD329" i="312"/>
  <c r="V336" i="269" s="1"/>
  <c r="W336" i="269" s="1"/>
  <c r="BD330" i="312"/>
  <c r="V337" i="269"/>
  <c r="W337" i="269" s="1"/>
  <c r="BD331" i="312"/>
  <c r="V338" i="269" s="1"/>
  <c r="W338" i="269" s="1"/>
  <c r="BD332" i="312"/>
  <c r="V339" i="269" s="1"/>
  <c r="W339" i="269" s="1"/>
  <c r="BD333" i="312"/>
  <c r="V340" i="269" s="1"/>
  <c r="W340" i="269" s="1"/>
  <c r="BD334" i="312"/>
  <c r="V341" i="269" s="1"/>
  <c r="W341" i="269" s="1"/>
  <c r="BD335" i="312"/>
  <c r="V342" i="269" s="1"/>
  <c r="W342" i="269" s="1"/>
  <c r="BD336" i="312"/>
  <c r="V343" i="269" s="1"/>
  <c r="W343" i="269" s="1"/>
  <c r="BD337" i="312"/>
  <c r="V344" i="269" s="1"/>
  <c r="W344" i="269" s="1"/>
  <c r="BD338" i="312"/>
  <c r="V345" i="269" s="1"/>
  <c r="W345" i="269" s="1"/>
  <c r="BD339" i="312"/>
  <c r="V346" i="269" s="1"/>
  <c r="W346" i="269" s="1"/>
  <c r="BD340" i="312"/>
  <c r="V347" i="269"/>
  <c r="W347" i="269" s="1"/>
  <c r="BD341" i="312"/>
  <c r="V348" i="269" s="1"/>
  <c r="W348" i="269" s="1"/>
  <c r="BD342" i="312"/>
  <c r="V349" i="269"/>
  <c r="W349" i="269" s="1"/>
  <c r="BD343" i="312"/>
  <c r="V350" i="269" s="1"/>
  <c r="W350" i="269" s="1"/>
  <c r="BD344" i="312"/>
  <c r="V351" i="269" s="1"/>
  <c r="W351" i="269" s="1"/>
  <c r="BD345" i="312"/>
  <c r="V352" i="269" s="1"/>
  <c r="W352" i="269" s="1"/>
  <c r="BD346" i="312"/>
  <c r="V353" i="269" s="1"/>
  <c r="W353" i="269" s="1"/>
  <c r="BD347" i="312"/>
  <c r="V354" i="269" s="1"/>
  <c r="W354" i="269" s="1"/>
  <c r="BD348" i="312"/>
  <c r="V355" i="269" s="1"/>
  <c r="W355" i="269" s="1"/>
  <c r="BD349" i="312"/>
  <c r="V356" i="269"/>
  <c r="W356" i="269" s="1"/>
  <c r="BD350" i="312"/>
  <c r="V357" i="269"/>
  <c r="W357" i="269" s="1"/>
  <c r="BD351" i="312"/>
  <c r="V358" i="269" s="1"/>
  <c r="W358" i="269" s="1"/>
  <c r="BD352" i="312"/>
  <c r="V359" i="269" s="1"/>
  <c r="W359" i="269" s="1"/>
  <c r="BD353" i="312"/>
  <c r="V360" i="269"/>
  <c r="W360" i="269" s="1"/>
  <c r="BD354" i="312"/>
  <c r="V361" i="269" s="1"/>
  <c r="W361" i="269" s="1"/>
  <c r="BD355" i="312"/>
  <c r="V362" i="269" s="1"/>
  <c r="W362" i="269" s="1"/>
  <c r="BD356" i="312"/>
  <c r="V363" i="269"/>
  <c r="W363" i="269" s="1"/>
  <c r="BD357" i="312"/>
  <c r="V364" i="269"/>
  <c r="W364" i="269" s="1"/>
  <c r="BD358" i="312"/>
  <c r="V365" i="269" s="1"/>
  <c r="W365" i="269" s="1"/>
  <c r="BD359" i="312"/>
  <c r="V366" i="269" s="1"/>
  <c r="W366" i="269" s="1"/>
  <c r="BD360" i="312"/>
  <c r="V367" i="269" s="1"/>
  <c r="W367" i="269" s="1"/>
  <c r="BD361" i="312"/>
  <c r="V368" i="269"/>
  <c r="W368" i="269"/>
  <c r="BD362" i="312"/>
  <c r="V369" i="269" s="1"/>
  <c r="W369" i="269"/>
  <c r="BD363" i="312"/>
  <c r="V370" i="269" s="1"/>
  <c r="W370" i="269" s="1"/>
  <c r="BD364" i="312"/>
  <c r="V371" i="269" s="1"/>
  <c r="W371" i="269" s="1"/>
  <c r="BD365" i="312"/>
  <c r="V372" i="269"/>
  <c r="W372" i="269" s="1"/>
  <c r="BD366" i="312"/>
  <c r="V373" i="269"/>
  <c r="W373" i="269"/>
  <c r="BD367" i="312"/>
  <c r="V374" i="269" s="1"/>
  <c r="W374" i="269" s="1"/>
  <c r="BD368" i="312"/>
  <c r="V375" i="269" s="1"/>
  <c r="W375" i="269" s="1"/>
  <c r="BD369" i="312"/>
  <c r="V376" i="269"/>
  <c r="W376" i="269" s="1"/>
  <c r="BD370" i="312"/>
  <c r="V377" i="269"/>
  <c r="W377" i="269"/>
  <c r="BD371" i="312"/>
  <c r="V378" i="269" s="1"/>
  <c r="W378" i="269" s="1"/>
  <c r="BD372" i="312"/>
  <c r="V379" i="269"/>
  <c r="W379" i="269" s="1"/>
  <c r="BD373" i="312"/>
  <c r="V380" i="269" s="1"/>
  <c r="W380" i="269" s="1"/>
  <c r="BD374" i="312"/>
  <c r="V381" i="269"/>
  <c r="W381" i="269"/>
  <c r="BD375" i="312"/>
  <c r="V382" i="269" s="1"/>
  <c r="W382" i="269" s="1"/>
  <c r="BD376" i="312"/>
  <c r="V383" i="269"/>
  <c r="W383" i="269" s="1"/>
  <c r="BD377" i="312"/>
  <c r="V384" i="269" s="1"/>
  <c r="W384" i="269" s="1"/>
  <c r="BD378" i="312"/>
  <c r="V385" i="269" s="1"/>
  <c r="W385" i="269" s="1"/>
  <c r="BD379" i="312"/>
  <c r="V386" i="269" s="1"/>
  <c r="W386" i="269" s="1"/>
  <c r="BD380" i="312"/>
  <c r="V387" i="269" s="1"/>
  <c r="W387" i="269" s="1"/>
  <c r="BD381" i="312"/>
  <c r="V388" i="269" s="1"/>
  <c r="W388" i="269" s="1"/>
  <c r="BD382" i="312"/>
  <c r="V389" i="269" s="1"/>
  <c r="W389" i="269" s="1"/>
  <c r="BD383" i="312"/>
  <c r="V390" i="269" s="1"/>
  <c r="W390" i="269" s="1"/>
  <c r="BD384" i="312"/>
  <c r="V391" i="269" s="1"/>
  <c r="W391" i="269" s="1"/>
  <c r="BD385" i="312"/>
  <c r="V392" i="269" s="1"/>
  <c r="W392" i="269" s="1"/>
  <c r="BD386" i="312"/>
  <c r="V393" i="269"/>
  <c r="W393" i="269" s="1"/>
  <c r="BD387" i="312"/>
  <c r="V394" i="269" s="1"/>
  <c r="W394" i="269" s="1"/>
  <c r="BD388" i="312"/>
  <c r="V395" i="269"/>
  <c r="W395" i="269" s="1"/>
  <c r="BD389" i="312"/>
  <c r="V396" i="269" s="1"/>
  <c r="W396" i="269" s="1"/>
  <c r="BD390" i="312"/>
  <c r="V397" i="269" s="1"/>
  <c r="W397" i="269" s="1"/>
  <c r="BD391" i="312"/>
  <c r="V398" i="269" s="1"/>
  <c r="W398" i="269" s="1"/>
  <c r="BD392" i="312"/>
  <c r="V399" i="269" s="1"/>
  <c r="W399" i="269" s="1"/>
  <c r="BD393" i="312"/>
  <c r="V400" i="269" s="1"/>
  <c r="W400" i="269" s="1"/>
  <c r="BD394" i="312"/>
  <c r="V401" i="269" s="1"/>
  <c r="W401" i="269" s="1"/>
  <c r="BD395" i="312"/>
  <c r="V402" i="269" s="1"/>
  <c r="W402" i="269" s="1"/>
  <c r="BD396" i="312"/>
  <c r="V403" i="269"/>
  <c r="W403" i="269" s="1"/>
  <c r="BD397" i="312"/>
  <c r="V404" i="269"/>
  <c r="W404" i="269" s="1"/>
  <c r="BD314" i="312"/>
  <c r="BD176" i="312"/>
  <c r="BD177" i="312"/>
  <c r="V186" i="269" s="1"/>
  <c r="W186" i="269" s="1"/>
  <c r="BD178" i="312"/>
  <c r="V187" i="269" s="1"/>
  <c r="W187" i="269" s="1"/>
  <c r="BD179" i="312"/>
  <c r="V188" i="269" s="1"/>
  <c r="W188" i="269" s="1"/>
  <c r="BD180" i="312"/>
  <c r="V189" i="269" s="1"/>
  <c r="W189" i="269" s="1"/>
  <c r="BD181" i="312"/>
  <c r="V190" i="269"/>
  <c r="W190" i="269" s="1"/>
  <c r="BD182" i="312"/>
  <c r="V191" i="269"/>
  <c r="W191" i="269" s="1"/>
  <c r="BD183" i="312"/>
  <c r="V192" i="269" s="1"/>
  <c r="W192" i="269" s="1"/>
  <c r="BD184" i="312"/>
  <c r="V193" i="269" s="1"/>
  <c r="W193" i="269" s="1"/>
  <c r="BD185" i="312"/>
  <c r="V194" i="269" s="1"/>
  <c r="W194" i="269" s="1"/>
  <c r="BD186" i="312"/>
  <c r="V195" i="269"/>
  <c r="W195" i="269"/>
  <c r="BD187" i="312"/>
  <c r="V196" i="269" s="1"/>
  <c r="W196" i="269"/>
  <c r="BD188" i="312"/>
  <c r="V197" i="269" s="1"/>
  <c r="W197" i="269" s="1"/>
  <c r="BD189" i="312"/>
  <c r="V198" i="269" s="1"/>
  <c r="W198" i="269" s="1"/>
  <c r="BD190" i="312"/>
  <c r="V199" i="269"/>
  <c r="W199" i="269" s="1"/>
  <c r="BD191" i="312"/>
  <c r="V200" i="269" s="1"/>
  <c r="W200" i="269"/>
  <c r="BD192" i="312"/>
  <c r="V201" i="269" s="1"/>
  <c r="W201" i="269" s="1"/>
  <c r="BD193" i="312"/>
  <c r="V202" i="269" s="1"/>
  <c r="W202" i="269" s="1"/>
  <c r="BD194" i="312"/>
  <c r="V203" i="269"/>
  <c r="W203" i="269" s="1"/>
  <c r="BD195" i="312"/>
  <c r="V204" i="269"/>
  <c r="W204" i="269"/>
  <c r="BD196" i="312"/>
  <c r="V205" i="269" s="1"/>
  <c r="W205" i="269" s="1"/>
  <c r="BD197" i="312"/>
  <c r="V206" i="269" s="1"/>
  <c r="W206" i="269" s="1"/>
  <c r="BD198" i="312"/>
  <c r="V207" i="269"/>
  <c r="W207" i="269" s="1"/>
  <c r="BD199" i="312"/>
  <c r="V208" i="269"/>
  <c r="W208" i="269"/>
  <c r="BD200" i="312"/>
  <c r="V209" i="269" s="1"/>
  <c r="W209" i="269" s="1"/>
  <c r="BD201" i="312"/>
  <c r="V210" i="269" s="1"/>
  <c r="W210" i="269" s="1"/>
  <c r="BD202" i="312"/>
  <c r="V211" i="269"/>
  <c r="W211" i="269" s="1"/>
  <c r="BD203" i="312"/>
  <c r="V212" i="269" s="1"/>
  <c r="W212" i="269"/>
  <c r="BD204" i="312"/>
  <c r="V213" i="269" s="1"/>
  <c r="W213" i="269" s="1"/>
  <c r="BD205" i="312"/>
  <c r="V214" i="269" s="1"/>
  <c r="W214" i="269" s="1"/>
  <c r="BD206" i="312"/>
  <c r="V215" i="269"/>
  <c r="W215" i="269" s="1"/>
  <c r="BD207" i="312"/>
  <c r="V216" i="269" s="1"/>
  <c r="W216" i="269"/>
  <c r="BD208" i="312"/>
  <c r="V217" i="269" s="1"/>
  <c r="W217" i="269" s="1"/>
  <c r="BD209" i="312"/>
  <c r="V218" i="269" s="1"/>
  <c r="W218" i="269" s="1"/>
  <c r="BD210" i="312"/>
  <c r="V219" i="269"/>
  <c r="W219" i="269" s="1"/>
  <c r="BD211" i="312"/>
  <c r="V220" i="269"/>
  <c r="W220" i="269"/>
  <c r="BD212" i="312"/>
  <c r="V221" i="269" s="1"/>
  <c r="W221" i="269" s="1"/>
  <c r="BD213" i="312"/>
  <c r="V222" i="269"/>
  <c r="W222" i="269" s="1"/>
  <c r="BD214" i="312"/>
  <c r="V223" i="269" s="1"/>
  <c r="W223" i="269" s="1"/>
  <c r="BD215" i="312"/>
  <c r="V224" i="269" s="1"/>
  <c r="W224" i="269" s="1"/>
  <c r="BD216" i="312"/>
  <c r="V225" i="269" s="1"/>
  <c r="W225" i="269" s="1"/>
  <c r="BD217" i="312"/>
  <c r="V226" i="269" s="1"/>
  <c r="W226" i="269" s="1"/>
  <c r="BD218" i="312"/>
  <c r="V227" i="269"/>
  <c r="W227" i="269" s="1"/>
  <c r="BD219" i="312"/>
  <c r="V228" i="269"/>
  <c r="W228" i="269" s="1"/>
  <c r="BD220" i="312"/>
  <c r="V229" i="269" s="1"/>
  <c r="W229" i="269" s="1"/>
  <c r="BD221" i="312"/>
  <c r="V230" i="269"/>
  <c r="W230" i="269" s="1"/>
  <c r="BD222" i="312"/>
  <c r="V231" i="269" s="1"/>
  <c r="W231" i="269" s="1"/>
  <c r="BD223" i="312"/>
  <c r="V232" i="269" s="1"/>
  <c r="W232" i="269" s="1"/>
  <c r="BD224" i="312"/>
  <c r="V233" i="269"/>
  <c r="W233" i="269" s="1"/>
  <c r="BD225" i="312"/>
  <c r="V234" i="269"/>
  <c r="W234" i="269" s="1"/>
  <c r="BD226" i="312"/>
  <c r="V235" i="269" s="1"/>
  <c r="W235" i="269" s="1"/>
  <c r="BD227" i="312"/>
  <c r="V236" i="269"/>
  <c r="W236" i="269" s="1"/>
  <c r="BD228" i="312"/>
  <c r="V237" i="269"/>
  <c r="W237" i="269" s="1"/>
  <c r="BD229" i="312"/>
  <c r="V238" i="269"/>
  <c r="W238" i="269" s="1"/>
  <c r="BD230" i="312"/>
  <c r="V239" i="269" s="1"/>
  <c r="W239" i="269" s="1"/>
  <c r="BD231" i="312"/>
  <c r="V240" i="269" s="1"/>
  <c r="W240" i="269" s="1"/>
  <c r="BD232" i="312"/>
  <c r="V241" i="269" s="1"/>
  <c r="W241" i="269" s="1"/>
  <c r="BD233" i="312"/>
  <c r="V242" i="269" s="1"/>
  <c r="W242" i="269" s="1"/>
  <c r="BD234" i="312"/>
  <c r="V243" i="269" s="1"/>
  <c r="W243" i="269" s="1"/>
  <c r="BD235" i="312"/>
  <c r="V244" i="269" s="1"/>
  <c r="W244" i="269" s="1"/>
  <c r="BD236" i="312"/>
  <c r="V245" i="269"/>
  <c r="W245" i="269" s="1"/>
  <c r="BD237" i="312"/>
  <c r="V246" i="269"/>
  <c r="W246" i="269" s="1"/>
  <c r="BD238" i="312"/>
  <c r="V247" i="269" s="1"/>
  <c r="W247" i="269" s="1"/>
  <c r="BD239" i="312"/>
  <c r="V248" i="269"/>
  <c r="W248" i="269" s="1"/>
  <c r="BD240" i="312"/>
  <c r="V249" i="269" s="1"/>
  <c r="W249" i="269" s="1"/>
  <c r="BD241" i="312"/>
  <c r="V250" i="269" s="1"/>
  <c r="W250" i="269" s="1"/>
  <c r="BD242" i="312"/>
  <c r="V251" i="269" s="1"/>
  <c r="W251" i="269" s="1"/>
  <c r="BD243" i="312"/>
  <c r="V252" i="269" s="1"/>
  <c r="W252" i="269" s="1"/>
  <c r="BD244" i="312"/>
  <c r="V253" i="269" s="1"/>
  <c r="W253" i="269" s="1"/>
  <c r="BD245" i="312"/>
  <c r="V254" i="269" s="1"/>
  <c r="W254" i="269" s="1"/>
  <c r="BD246" i="312"/>
  <c r="V255" i="269" s="1"/>
  <c r="W255" i="269" s="1"/>
  <c r="BD247" i="312"/>
  <c r="V256" i="269"/>
  <c r="W256" i="269" s="1"/>
  <c r="BD248" i="312"/>
  <c r="V257" i="269" s="1"/>
  <c r="W257" i="269" s="1"/>
  <c r="BD249" i="312"/>
  <c r="V258" i="269" s="1"/>
  <c r="W258" i="269" s="1"/>
  <c r="BD250" i="312"/>
  <c r="V259" i="269" s="1"/>
  <c r="W259" i="269" s="1"/>
  <c r="BD251" i="312"/>
  <c r="V260" i="269" s="1"/>
  <c r="W260" i="269" s="1"/>
  <c r="BD252" i="312"/>
  <c r="V261" i="269" s="1"/>
  <c r="W261" i="269" s="1"/>
  <c r="BD253" i="312"/>
  <c r="V262" i="269"/>
  <c r="W262" i="269" s="1"/>
  <c r="BD254" i="312"/>
  <c r="V263" i="269" s="1"/>
  <c r="W263" i="269" s="1"/>
  <c r="BD255" i="312"/>
  <c r="V264" i="269" s="1"/>
  <c r="W264" i="269" s="1"/>
  <c r="BD256" i="312"/>
  <c r="V265" i="269"/>
  <c r="W265" i="269"/>
  <c r="BD257" i="312"/>
  <c r="V266" i="269" s="1"/>
  <c r="W266" i="269"/>
  <c r="BD258" i="312"/>
  <c r="V267" i="269" s="1"/>
  <c r="W267" i="269" s="1"/>
  <c r="BD259" i="312"/>
  <c r="V268" i="269" s="1"/>
  <c r="W268" i="269" s="1"/>
  <c r="BD260" i="312"/>
  <c r="V269" i="269"/>
  <c r="W269" i="269" s="1"/>
  <c r="BD261" i="312"/>
  <c r="V270" i="269" s="1"/>
  <c r="W270" i="269" s="1"/>
  <c r="BD262" i="312"/>
  <c r="V271" i="269" s="1"/>
  <c r="W271" i="269" s="1"/>
  <c r="BD263" i="312"/>
  <c r="V272" i="269" s="1"/>
  <c r="W272" i="269" s="1"/>
  <c r="BD264" i="312"/>
  <c r="V273" i="269" s="1"/>
  <c r="W273" i="269" s="1"/>
  <c r="BD265" i="312"/>
  <c r="V274" i="269" s="1"/>
  <c r="W274" i="269" s="1"/>
  <c r="BD266" i="312"/>
  <c r="V275" i="269" s="1"/>
  <c r="W275" i="269" s="1"/>
  <c r="BD267" i="312"/>
  <c r="V276" i="269" s="1"/>
  <c r="W276" i="269" s="1"/>
  <c r="BD268" i="312"/>
  <c r="V277" i="269" s="1"/>
  <c r="W277" i="269" s="1"/>
  <c r="BD269" i="312"/>
  <c r="V278" i="269"/>
  <c r="W278" i="269" s="1"/>
  <c r="BD270" i="312"/>
  <c r="V279" i="269" s="1"/>
  <c r="W279" i="269" s="1"/>
  <c r="BD271" i="312"/>
  <c r="V280" i="269" s="1"/>
  <c r="W280" i="269" s="1"/>
  <c r="BD272" i="312"/>
  <c r="V281" i="269" s="1"/>
  <c r="W281" i="269" s="1"/>
  <c r="BD273" i="312"/>
  <c r="V282" i="269"/>
  <c r="W282" i="269" s="1"/>
  <c r="BD274" i="312"/>
  <c r="V283" i="269" s="1"/>
  <c r="W283" i="269" s="1"/>
  <c r="BD275" i="312"/>
  <c r="V284" i="269" s="1"/>
  <c r="W284" i="269" s="1"/>
  <c r="BD276" i="312"/>
  <c r="V285" i="269" s="1"/>
  <c r="W285" i="269" s="1"/>
  <c r="BD277" i="312"/>
  <c r="V286" i="269"/>
  <c r="W286" i="269" s="1"/>
  <c r="BD278" i="312"/>
  <c r="V287" i="269" s="1"/>
  <c r="W287" i="269" s="1"/>
  <c r="BD279" i="312"/>
  <c r="V288" i="269"/>
  <c r="W288" i="269" s="1"/>
  <c r="BD280" i="312"/>
  <c r="V289" i="269"/>
  <c r="W289" i="269" s="1"/>
  <c r="BD281" i="312"/>
  <c r="V290" i="269"/>
  <c r="W290" i="269" s="1"/>
  <c r="BD282" i="312"/>
  <c r="V291" i="269" s="1"/>
  <c r="W291" i="269" s="1"/>
  <c r="BD283" i="312"/>
  <c r="V292" i="269"/>
  <c r="W292" i="269" s="1"/>
  <c r="BD284" i="312"/>
  <c r="V293" i="269"/>
  <c r="W293" i="269" s="1"/>
  <c r="BD285" i="312"/>
  <c r="V294" i="269"/>
  <c r="W294" i="269" s="1"/>
  <c r="BD286" i="312"/>
  <c r="V295" i="269" s="1"/>
  <c r="W295" i="269" s="1"/>
  <c r="BD287" i="312"/>
  <c r="V296" i="269" s="1"/>
  <c r="W296" i="269" s="1"/>
  <c r="BD288" i="312"/>
  <c r="V297" i="269"/>
  <c r="W297" i="269" s="1"/>
  <c r="BD289" i="312"/>
  <c r="V298" i="269"/>
  <c r="W298" i="269" s="1"/>
  <c r="BD290" i="312"/>
  <c r="V299" i="269" s="1"/>
  <c r="W299" i="269" s="1"/>
  <c r="BD291" i="312"/>
  <c r="V300" i="269"/>
  <c r="W300" i="269" s="1"/>
  <c r="BD292" i="312"/>
  <c r="V301" i="269" s="1"/>
  <c r="W301" i="269" s="1"/>
  <c r="BD293" i="312"/>
  <c r="V302" i="269" s="1"/>
  <c r="W302" i="269" s="1"/>
  <c r="BD294" i="312"/>
  <c r="V303" i="269" s="1"/>
  <c r="W303" i="269"/>
  <c r="BD295" i="312"/>
  <c r="V304" i="269" s="1"/>
  <c r="W304" i="269" s="1"/>
  <c r="BD296" i="312"/>
  <c r="V305" i="269"/>
  <c r="W305" i="269"/>
  <c r="BD297" i="312"/>
  <c r="V306" i="269" s="1"/>
  <c r="W306" i="269"/>
  <c r="BD298" i="312"/>
  <c r="V307" i="269" s="1"/>
  <c r="W307" i="269" s="1"/>
  <c r="BD299" i="312"/>
  <c r="V308" i="269" s="1"/>
  <c r="W308" i="269" s="1"/>
  <c r="BD300" i="312"/>
  <c r="V309" i="269" s="1"/>
  <c r="W309" i="269" s="1"/>
  <c r="BD301" i="312"/>
  <c r="V310" i="269"/>
  <c r="W310" i="269" s="1"/>
  <c r="BD302" i="312"/>
  <c r="V311" i="269" s="1"/>
  <c r="W311" i="269"/>
  <c r="BD303" i="312"/>
  <c r="V312" i="269" s="1"/>
  <c r="W312" i="269" s="1"/>
  <c r="BD304" i="312"/>
  <c r="V313" i="269" s="1"/>
  <c r="W313" i="269" s="1"/>
  <c r="BD305" i="312"/>
  <c r="V314" i="269"/>
  <c r="W314" i="269" s="1"/>
  <c r="BD306" i="312"/>
  <c r="V315" i="269" s="1"/>
  <c r="W315" i="269" s="1"/>
  <c r="BD307" i="312"/>
  <c r="V316" i="269"/>
  <c r="W316" i="269" s="1"/>
  <c r="BD308" i="312"/>
  <c r="V317" i="269" s="1"/>
  <c r="W317" i="269" s="1"/>
  <c r="BD309" i="312"/>
  <c r="V318" i="269" s="1"/>
  <c r="W318" i="269" s="1"/>
  <c r="BD310" i="312"/>
  <c r="V319" i="269" s="1"/>
  <c r="W319" i="269" s="1"/>
  <c r="BD311" i="312"/>
  <c r="V320" i="269" s="1"/>
  <c r="W320" i="269" s="1"/>
  <c r="BD175" i="312"/>
  <c r="V184" i="269"/>
  <c r="W184" i="269" s="1"/>
  <c r="BD132" i="312"/>
  <c r="V142" i="269" s="1"/>
  <c r="W142" i="269" s="1"/>
  <c r="BD133" i="312"/>
  <c r="V143" i="269" s="1"/>
  <c r="W143" i="269" s="1"/>
  <c r="BD134" i="312"/>
  <c r="V144" i="269" s="1"/>
  <c r="W144" i="269" s="1"/>
  <c r="BD135" i="312"/>
  <c r="V145" i="269" s="1"/>
  <c r="W145" i="269" s="1"/>
  <c r="BD136" i="312"/>
  <c r="V146" i="269"/>
  <c r="W146" i="269" s="1"/>
  <c r="BD137" i="312"/>
  <c r="V147" i="269" s="1"/>
  <c r="W147" i="269"/>
  <c r="BD138" i="312"/>
  <c r="V148" i="269" s="1"/>
  <c r="W148" i="269" s="1"/>
  <c r="BD139" i="312"/>
  <c r="V149" i="269" s="1"/>
  <c r="W149" i="269" s="1"/>
  <c r="BD140" i="312"/>
  <c r="V150" i="269" s="1"/>
  <c r="W150" i="269" s="1"/>
  <c r="BD141" i="312"/>
  <c r="V151" i="269" s="1"/>
  <c r="W151" i="269" s="1"/>
  <c r="BD142" i="312"/>
  <c r="V152" i="269" s="1"/>
  <c r="W152" i="269" s="1"/>
  <c r="BD143" i="312"/>
  <c r="V153" i="269" s="1"/>
  <c r="W153" i="269"/>
  <c r="BD144" i="312"/>
  <c r="V154" i="269"/>
  <c r="W154" i="269" s="1"/>
  <c r="BD145" i="312"/>
  <c r="V155" i="269"/>
  <c r="W155" i="269" s="1"/>
  <c r="BD146" i="312"/>
  <c r="V156" i="269"/>
  <c r="W156" i="269" s="1"/>
  <c r="BD147" i="312"/>
  <c r="V157" i="269" s="1"/>
  <c r="W157" i="269" s="1"/>
  <c r="BD148" i="312"/>
  <c r="V158" i="269" s="1"/>
  <c r="W158" i="269" s="1"/>
  <c r="BD149" i="312"/>
  <c r="V159" i="269" s="1"/>
  <c r="W159" i="269" s="1"/>
  <c r="BD150" i="312"/>
  <c r="V160" i="269"/>
  <c r="W160" i="269" s="1"/>
  <c r="BD151" i="312"/>
  <c r="V161" i="269" s="1"/>
  <c r="W161" i="269" s="1"/>
  <c r="BD152" i="312"/>
  <c r="V162" i="269" s="1"/>
  <c r="W162" i="269" s="1"/>
  <c r="BD153" i="312"/>
  <c r="V163" i="269" s="1"/>
  <c r="W163" i="269" s="1"/>
  <c r="BD154" i="312"/>
  <c r="V164" i="269" s="1"/>
  <c r="W164" i="269" s="1"/>
  <c r="BD155" i="312"/>
  <c r="V165" i="269" s="1"/>
  <c r="W165" i="269"/>
  <c r="BD156" i="312"/>
  <c r="V166" i="269"/>
  <c r="W166" i="269" s="1"/>
  <c r="BD157" i="312"/>
  <c r="V167" i="269" s="1"/>
  <c r="W167" i="269" s="1"/>
  <c r="BD158" i="312"/>
  <c r="V168" i="269" s="1"/>
  <c r="W168" i="269" s="1"/>
  <c r="BD159" i="312"/>
  <c r="V169" i="269" s="1"/>
  <c r="W169" i="269"/>
  <c r="BD160" i="312"/>
  <c r="V170" i="269"/>
  <c r="W170" i="269" s="1"/>
  <c r="BD161" i="312"/>
  <c r="V171" i="269" s="1"/>
  <c r="W171" i="269" s="1"/>
  <c r="BD162" i="312"/>
  <c r="V172" i="269" s="1"/>
  <c r="W172" i="269" s="1"/>
  <c r="BD163" i="312"/>
  <c r="V173" i="269" s="1"/>
  <c r="W173" i="269" s="1"/>
  <c r="BD164" i="312"/>
  <c r="V174" i="269" s="1"/>
  <c r="W174" i="269" s="1"/>
  <c r="BD165" i="312"/>
  <c r="V175" i="269"/>
  <c r="W175" i="269" s="1"/>
  <c r="BD166" i="312"/>
  <c r="V176" i="269" s="1"/>
  <c r="W176" i="269" s="1"/>
  <c r="BD167" i="312"/>
  <c r="V177" i="269" s="1"/>
  <c r="W177" i="269" s="1"/>
  <c r="BD168" i="312"/>
  <c r="V178" i="269" s="1"/>
  <c r="W178" i="269" s="1"/>
  <c r="BD169" i="312"/>
  <c r="V179" i="269" s="1"/>
  <c r="W179" i="269" s="1"/>
  <c r="BD170" i="312"/>
  <c r="V180" i="269"/>
  <c r="W180" i="269" s="1"/>
  <c r="BD171" i="312"/>
  <c r="V181" i="269" s="1"/>
  <c r="W181" i="269" s="1"/>
  <c r="BD172" i="312"/>
  <c r="V182" i="269" s="1"/>
  <c r="W182" i="269" s="1"/>
  <c r="BD173" i="312"/>
  <c r="V183" i="269" s="1"/>
  <c r="W183" i="269" s="1"/>
  <c r="BD131" i="312"/>
  <c r="V141" i="269"/>
  <c r="W141" i="269" s="1"/>
  <c r="BD7" i="312"/>
  <c r="V17" i="269" s="1"/>
  <c r="W17" i="269" s="1"/>
  <c r="AN174" i="312"/>
  <c r="AO174" i="312"/>
  <c r="AP174" i="312"/>
  <c r="AN313" i="312"/>
  <c r="AO313" i="312"/>
  <c r="AP313" i="312"/>
  <c r="AN399" i="312"/>
  <c r="AO399" i="312"/>
  <c r="AP399" i="312"/>
  <c r="AN497" i="312"/>
  <c r="AO497" i="312"/>
  <c r="AP497" i="312"/>
  <c r="E17" i="270"/>
  <c r="E15" i="270" s="1"/>
  <c r="I45" i="326"/>
  <c r="J45" i="326"/>
  <c r="AD502" i="269"/>
  <c r="BD8" i="312"/>
  <c r="V18" i="269" s="1"/>
  <c r="W18" i="269" s="1"/>
  <c r="BD9" i="312"/>
  <c r="V19" i="269" s="1"/>
  <c r="W19" i="269" s="1"/>
  <c r="BD10" i="312"/>
  <c r="V20" i="269" s="1"/>
  <c r="W20" i="269"/>
  <c r="BD11" i="312"/>
  <c r="V21" i="269" s="1"/>
  <c r="W21" i="269" s="1"/>
  <c r="BD12" i="312"/>
  <c r="V22" i="269" s="1"/>
  <c r="W22" i="269" s="1"/>
  <c r="BD13" i="312"/>
  <c r="V23" i="269"/>
  <c r="W23" i="269" s="1"/>
  <c r="BD14" i="312"/>
  <c r="V24" i="269" s="1"/>
  <c r="W24" i="269" s="1"/>
  <c r="BD15" i="312"/>
  <c r="V25" i="269" s="1"/>
  <c r="W25" i="269" s="1"/>
  <c r="BD16" i="312"/>
  <c r="V26" i="269" s="1"/>
  <c r="W26" i="269" s="1"/>
  <c r="BD17" i="312"/>
  <c r="V27" i="269" s="1"/>
  <c r="W27" i="269" s="1"/>
  <c r="BD18" i="312"/>
  <c r="V28" i="269"/>
  <c r="W28" i="269" s="1"/>
  <c r="BD19" i="312"/>
  <c r="V29" i="269" s="1"/>
  <c r="W29" i="269" s="1"/>
  <c r="BD20" i="312"/>
  <c r="V30" i="269" s="1"/>
  <c r="W30" i="269" s="1"/>
  <c r="BD21" i="312"/>
  <c r="V31" i="269" s="1"/>
  <c r="W31" i="269" s="1"/>
  <c r="BD22" i="312"/>
  <c r="V32" i="269" s="1"/>
  <c r="W32" i="269" s="1"/>
  <c r="BD23" i="312"/>
  <c r="V33" i="269"/>
  <c r="W33" i="269" s="1"/>
  <c r="BD24" i="312"/>
  <c r="V34" i="269" s="1"/>
  <c r="W34" i="269" s="1"/>
  <c r="BD25" i="312"/>
  <c r="V35" i="269" s="1"/>
  <c r="W35" i="269" s="1"/>
  <c r="BD26" i="312"/>
  <c r="V36" i="269" s="1"/>
  <c r="W36" i="269" s="1"/>
  <c r="BD27" i="312"/>
  <c r="V37" i="269" s="1"/>
  <c r="W37" i="269" s="1"/>
  <c r="BD28" i="312"/>
  <c r="V38" i="269"/>
  <c r="W38" i="269" s="1"/>
  <c r="BD29" i="312"/>
  <c r="V39" i="269"/>
  <c r="W39" i="269" s="1"/>
  <c r="BD30" i="312"/>
  <c r="V40" i="269" s="1"/>
  <c r="W40" i="269" s="1"/>
  <c r="BD31" i="312"/>
  <c r="V41" i="269"/>
  <c r="W41" i="269" s="1"/>
  <c r="BD32" i="312"/>
  <c r="V42" i="269" s="1"/>
  <c r="W42" i="269" s="1"/>
  <c r="BD33" i="312"/>
  <c r="V43" i="269" s="1"/>
  <c r="W43" i="269" s="1"/>
  <c r="BD34" i="312"/>
  <c r="V44" i="269" s="1"/>
  <c r="W44" i="269" s="1"/>
  <c r="BD35" i="312"/>
  <c r="V45" i="269" s="1"/>
  <c r="W45" i="269" s="1"/>
  <c r="BD36" i="312"/>
  <c r="V46" i="269"/>
  <c r="W46" i="269" s="1"/>
  <c r="BD37" i="312"/>
  <c r="V47" i="269" s="1"/>
  <c r="W47" i="269" s="1"/>
  <c r="BD38" i="312"/>
  <c r="V48" i="269" s="1"/>
  <c r="W48" i="269" s="1"/>
  <c r="BD39" i="312"/>
  <c r="V49" i="269" s="1"/>
  <c r="W49" i="269" s="1"/>
  <c r="BD40" i="312"/>
  <c r="V50" i="269" s="1"/>
  <c r="W50" i="269" s="1"/>
  <c r="BD41" i="312"/>
  <c r="V51" i="269"/>
  <c r="W51" i="269" s="1"/>
  <c r="BD42" i="312"/>
  <c r="V52" i="269" s="1"/>
  <c r="W52" i="269"/>
  <c r="BD43" i="312"/>
  <c r="V53" i="269" s="1"/>
  <c r="W53" i="269" s="1"/>
  <c r="BD44" i="312"/>
  <c r="V54" i="269" s="1"/>
  <c r="W54" i="269"/>
  <c r="BD45" i="312"/>
  <c r="V55" i="269"/>
  <c r="W55" i="269" s="1"/>
  <c r="BD46" i="312"/>
  <c r="V56" i="269" s="1"/>
  <c r="W56" i="269" s="1"/>
  <c r="BD47" i="312"/>
  <c r="V57" i="269"/>
  <c r="W57" i="269" s="1"/>
  <c r="BD48" i="312"/>
  <c r="V58" i="269" s="1"/>
  <c r="W58" i="269" s="1"/>
  <c r="BD49" i="312"/>
  <c r="V59" i="269" s="1"/>
  <c r="W59" i="269" s="1"/>
  <c r="BD50" i="312"/>
  <c r="V60" i="269" s="1"/>
  <c r="W60" i="269" s="1"/>
  <c r="BD51" i="312"/>
  <c r="V61" i="269" s="1"/>
  <c r="W61" i="269" s="1"/>
  <c r="BD52" i="312"/>
  <c r="V62" i="269"/>
  <c r="W62" i="269" s="1"/>
  <c r="BD53" i="312"/>
  <c r="V63" i="269" s="1"/>
  <c r="W63" i="269"/>
  <c r="BD54" i="312"/>
  <c r="V64" i="269" s="1"/>
  <c r="W64" i="269" s="1"/>
  <c r="BD55" i="312"/>
  <c r="V65" i="269" s="1"/>
  <c r="W65" i="269" s="1"/>
  <c r="BD56" i="312"/>
  <c r="V66" i="269" s="1"/>
  <c r="W66" i="269" s="1"/>
  <c r="BD57" i="312"/>
  <c r="V67" i="269"/>
  <c r="W67" i="269" s="1"/>
  <c r="BD58" i="312"/>
  <c r="V68" i="269" s="1"/>
  <c r="W68" i="269"/>
  <c r="BD59" i="312"/>
  <c r="V69" i="269" s="1"/>
  <c r="W69" i="269" s="1"/>
  <c r="BD60" i="312"/>
  <c r="V70" i="269" s="1"/>
  <c r="W70" i="269" s="1"/>
  <c r="BD61" i="312"/>
  <c r="V71" i="269" s="1"/>
  <c r="W71" i="269"/>
  <c r="BD62" i="312"/>
  <c r="V72" i="269" s="1"/>
  <c r="W72" i="269" s="1"/>
  <c r="BD63" i="312"/>
  <c r="V73" i="269" s="1"/>
  <c r="W73" i="269" s="1"/>
  <c r="BD64" i="312"/>
  <c r="V74" i="269" s="1"/>
  <c r="W74" i="269" s="1"/>
  <c r="BD65" i="312"/>
  <c r="V75" i="269"/>
  <c r="W75" i="269" s="1"/>
  <c r="BD66" i="312"/>
  <c r="V76" i="269" s="1"/>
  <c r="W76" i="269"/>
  <c r="BD67" i="312"/>
  <c r="V77" i="269" s="1"/>
  <c r="W77" i="269" s="1"/>
  <c r="BD68" i="312"/>
  <c r="V78" i="269" s="1"/>
  <c r="W78" i="269" s="1"/>
  <c r="BD69" i="312"/>
  <c r="V79" i="269"/>
  <c r="W79" i="269" s="1"/>
  <c r="BD70" i="312"/>
  <c r="V80" i="269" s="1"/>
  <c r="W80" i="269" s="1"/>
  <c r="BD71" i="312"/>
  <c r="V81" i="269"/>
  <c r="W81" i="269" s="1"/>
  <c r="BD72" i="312"/>
  <c r="V82" i="269" s="1"/>
  <c r="W82" i="269" s="1"/>
  <c r="BD73" i="312"/>
  <c r="V83" i="269" s="1"/>
  <c r="W83" i="269" s="1"/>
  <c r="BD74" i="312"/>
  <c r="V84" i="269" s="1"/>
  <c r="W84" i="269" s="1"/>
  <c r="BD75" i="312"/>
  <c r="V85" i="269" s="1"/>
  <c r="W85" i="269" s="1"/>
  <c r="BD76" i="312"/>
  <c r="V86" i="269"/>
  <c r="W86" i="269" s="1"/>
  <c r="BD77" i="312"/>
  <c r="V87" i="269" s="1"/>
  <c r="W87" i="269" s="1"/>
  <c r="BD78" i="312"/>
  <c r="V88" i="269" s="1"/>
  <c r="W88" i="269" s="1"/>
  <c r="BD79" i="312"/>
  <c r="V89" i="269" s="1"/>
  <c r="W89" i="269" s="1"/>
  <c r="BD80" i="312"/>
  <c r="V90" i="269" s="1"/>
  <c r="W90" i="269" s="1"/>
  <c r="BD81" i="312"/>
  <c r="V91" i="269"/>
  <c r="W91" i="269" s="1"/>
  <c r="BD82" i="312"/>
  <c r="V92" i="269" s="1"/>
  <c r="W92" i="269"/>
  <c r="BD83" i="312"/>
  <c r="V93" i="269" s="1"/>
  <c r="W93" i="269" s="1"/>
  <c r="BD84" i="312"/>
  <c r="V94" i="269" s="1"/>
  <c r="W94" i="269"/>
  <c r="BD85" i="312"/>
  <c r="V95" i="269"/>
  <c r="W95" i="269" s="1"/>
  <c r="BD86" i="312"/>
  <c r="V96" i="269" s="1"/>
  <c r="W96" i="269" s="1"/>
  <c r="BD87" i="312"/>
  <c r="V97" i="269"/>
  <c r="W97" i="269" s="1"/>
  <c r="BD88" i="312"/>
  <c r="V98" i="269" s="1"/>
  <c r="W98" i="269" s="1"/>
  <c r="BD89" i="312"/>
  <c r="V99" i="269" s="1"/>
  <c r="W99" i="269" s="1"/>
  <c r="BD90" i="312"/>
  <c r="V100" i="269" s="1"/>
  <c r="W100" i="269" s="1"/>
  <c r="BD91" i="312"/>
  <c r="V101" i="269" s="1"/>
  <c r="W101" i="269" s="1"/>
  <c r="BD92" i="312"/>
  <c r="V102" i="269" s="1"/>
  <c r="W102" i="269" s="1"/>
  <c r="BD93" i="312"/>
  <c r="V103" i="269" s="1"/>
  <c r="W103" i="269" s="1"/>
  <c r="BD94" i="312"/>
  <c r="V104" i="269"/>
  <c r="W104" i="269" s="1"/>
  <c r="BD95" i="312"/>
  <c r="V105" i="269" s="1"/>
  <c r="W105" i="269"/>
  <c r="BD96" i="312"/>
  <c r="V106" i="269" s="1"/>
  <c r="W106" i="269" s="1"/>
  <c r="BD97" i="312"/>
  <c r="V107" i="269" s="1"/>
  <c r="W107" i="269" s="1"/>
  <c r="BD98" i="312"/>
  <c r="V108" i="269" s="1"/>
  <c r="W108" i="269" s="1"/>
  <c r="BD99" i="312"/>
  <c r="V109" i="269"/>
  <c r="W109" i="269" s="1"/>
  <c r="BD100" i="312"/>
  <c r="V110" i="269" s="1"/>
  <c r="W110" i="269" s="1"/>
  <c r="BD101" i="312"/>
  <c r="V111" i="269" s="1"/>
  <c r="W111" i="269" s="1"/>
  <c r="BD102" i="312"/>
  <c r="V112" i="269" s="1"/>
  <c r="W112" i="269"/>
  <c r="BD103" i="312"/>
  <c r="V113" i="269"/>
  <c r="W113" i="269" s="1"/>
  <c r="BD104" i="312"/>
  <c r="V114" i="269" s="1"/>
  <c r="W114" i="269" s="1"/>
  <c r="BD105" i="312"/>
  <c r="V115" i="269" s="1"/>
  <c r="W115" i="269" s="1"/>
  <c r="BD106" i="312"/>
  <c r="V116" i="269" s="1"/>
  <c r="W116" i="269" s="1"/>
  <c r="BD107" i="312"/>
  <c r="V117" i="269" s="1"/>
  <c r="W117" i="269"/>
  <c r="BD108" i="312"/>
  <c r="V118" i="269" s="1"/>
  <c r="W118" i="269"/>
  <c r="BD109" i="312"/>
  <c r="V119" i="269"/>
  <c r="W119" i="269" s="1"/>
  <c r="BD110" i="312"/>
  <c r="V120" i="269"/>
  <c r="W120" i="269" s="1"/>
  <c r="BD111" i="312"/>
  <c r="V121" i="269" s="1"/>
  <c r="W121" i="269"/>
  <c r="BD112" i="312"/>
  <c r="V122" i="269" s="1"/>
  <c r="W122" i="269" s="1"/>
  <c r="BD113" i="312"/>
  <c r="V123" i="269"/>
  <c r="W123" i="269" s="1"/>
  <c r="BD114" i="312"/>
  <c r="V124" i="269" s="1"/>
  <c r="W124" i="269" s="1"/>
  <c r="BD115" i="312"/>
  <c r="V125" i="269"/>
  <c r="W125" i="269" s="1"/>
  <c r="BD116" i="312"/>
  <c r="V126" i="269" s="1"/>
  <c r="W126" i="269"/>
  <c r="BD117" i="312"/>
  <c r="V127" i="269" s="1"/>
  <c r="W127" i="269" s="1"/>
  <c r="BD118" i="312"/>
  <c r="V128" i="269"/>
  <c r="W128" i="269"/>
  <c r="BD119" i="312"/>
  <c r="V129" i="269" s="1"/>
  <c r="W129" i="269" s="1"/>
  <c r="BD120" i="312"/>
  <c r="V130" i="269" s="1"/>
  <c r="W130" i="269" s="1"/>
  <c r="BD121" i="312"/>
  <c r="V131" i="269"/>
  <c r="W131" i="269" s="1"/>
  <c r="BD122" i="312"/>
  <c r="V132" i="269" s="1"/>
  <c r="W132" i="269" s="1"/>
  <c r="BD123" i="312"/>
  <c r="V133" i="269"/>
  <c r="W133" i="269" s="1"/>
  <c r="BD124" i="312"/>
  <c r="V134" i="269" s="1"/>
  <c r="W134" i="269" s="1"/>
  <c r="BD125" i="312"/>
  <c r="V135" i="269" s="1"/>
  <c r="W135" i="269" s="1"/>
  <c r="BD126" i="312"/>
  <c r="V136" i="269" s="1"/>
  <c r="W136" i="269" s="1"/>
  <c r="BD127" i="312"/>
  <c r="V137" i="269"/>
  <c r="W137" i="269" s="1"/>
  <c r="BD128" i="312"/>
  <c r="V138" i="269" s="1"/>
  <c r="W138" i="269"/>
  <c r="BD129" i="312"/>
  <c r="V139" i="269" s="1"/>
  <c r="W139" i="269" s="1"/>
  <c r="BD130" i="312"/>
  <c r="V140" i="269"/>
  <c r="W140" i="269"/>
  <c r="X47" i="322"/>
  <c r="R47" i="322"/>
  <c r="N47" i="322"/>
  <c r="L47" i="322"/>
  <c r="K47" i="322"/>
  <c r="I47" i="322"/>
  <c r="M47" i="322"/>
  <c r="P47" i="322"/>
  <c r="J17" i="322"/>
  <c r="O18" i="322"/>
  <c r="O19" i="322"/>
  <c r="O20" i="322"/>
  <c r="O21" i="322"/>
  <c r="O22" i="322"/>
  <c r="O23" i="322"/>
  <c r="O24" i="322"/>
  <c r="O25" i="322"/>
  <c r="Y39" i="322"/>
  <c r="Y40" i="322"/>
  <c r="Y41" i="322"/>
  <c r="Y42" i="322"/>
  <c r="Y43" i="322"/>
  <c r="Y44" i="322"/>
  <c r="Y45" i="322"/>
  <c r="U40" i="322"/>
  <c r="U41" i="322"/>
  <c r="U42" i="322"/>
  <c r="U43" i="322"/>
  <c r="U44" i="322"/>
  <c r="U45" i="322"/>
  <c r="W40" i="322"/>
  <c r="W41" i="322"/>
  <c r="O42" i="322"/>
  <c r="O40" i="322"/>
  <c r="O41" i="322"/>
  <c r="DY94" i="318"/>
  <c r="DY55" i="318"/>
  <c r="R246" i="269"/>
  <c r="S246" i="269" s="1"/>
  <c r="R247" i="269"/>
  <c r="S247" i="269"/>
  <c r="R248" i="269"/>
  <c r="S248" i="269" s="1"/>
  <c r="R249" i="269"/>
  <c r="S249" i="269" s="1"/>
  <c r="R250" i="269"/>
  <c r="S250" i="269" s="1"/>
  <c r="R251" i="269"/>
  <c r="S251" i="269" s="1"/>
  <c r="R252" i="269"/>
  <c r="S252" i="269" s="1"/>
  <c r="R253" i="269"/>
  <c r="S253" i="269" s="1"/>
  <c r="R254" i="269"/>
  <c r="S254" i="269" s="1"/>
  <c r="R255" i="269"/>
  <c r="S255" i="269"/>
  <c r="R256" i="269"/>
  <c r="S256" i="269" s="1"/>
  <c r="R257" i="269"/>
  <c r="S257" i="269" s="1"/>
  <c r="R258" i="269"/>
  <c r="S258" i="269" s="1"/>
  <c r="R259" i="269"/>
  <c r="S259" i="269" s="1"/>
  <c r="R260" i="269"/>
  <c r="S260" i="269" s="1"/>
  <c r="R261" i="269"/>
  <c r="S261" i="269" s="1"/>
  <c r="R262" i="269"/>
  <c r="S262" i="269" s="1"/>
  <c r="R263" i="269"/>
  <c r="S263" i="269"/>
  <c r="R264" i="269"/>
  <c r="S264" i="269" s="1"/>
  <c r="R265" i="269"/>
  <c r="S265" i="269" s="1"/>
  <c r="R266" i="269"/>
  <c r="S266" i="269" s="1"/>
  <c r="R267" i="269"/>
  <c r="S267" i="269" s="1"/>
  <c r="R268" i="269"/>
  <c r="S268" i="269" s="1"/>
  <c r="R269" i="269"/>
  <c r="S269" i="269" s="1"/>
  <c r="R270" i="269"/>
  <c r="S270" i="269" s="1"/>
  <c r="R271" i="269"/>
  <c r="S271" i="269"/>
  <c r="R272" i="269"/>
  <c r="S272" i="269" s="1"/>
  <c r="R273" i="269"/>
  <c r="S273" i="269" s="1"/>
  <c r="R274" i="269"/>
  <c r="S274" i="269" s="1"/>
  <c r="R275" i="269"/>
  <c r="S275" i="269" s="1"/>
  <c r="R276" i="269"/>
  <c r="S276" i="269" s="1"/>
  <c r="R277" i="269"/>
  <c r="S277" i="269" s="1"/>
  <c r="R278" i="269"/>
  <c r="S278" i="269" s="1"/>
  <c r="R279" i="269"/>
  <c r="S279" i="269"/>
  <c r="R280" i="269"/>
  <c r="S280" i="269" s="1"/>
  <c r="R281" i="269"/>
  <c r="S281" i="269" s="1"/>
  <c r="R282" i="269"/>
  <c r="S282" i="269" s="1"/>
  <c r="R283" i="269"/>
  <c r="S283" i="269" s="1"/>
  <c r="R284" i="269"/>
  <c r="S284" i="269" s="1"/>
  <c r="R285" i="269"/>
  <c r="S285" i="269" s="1"/>
  <c r="R286" i="269"/>
  <c r="S286" i="269" s="1"/>
  <c r="R287" i="269"/>
  <c r="S287" i="269"/>
  <c r="R288" i="269"/>
  <c r="S288" i="269" s="1"/>
  <c r="R289" i="269"/>
  <c r="S289" i="269"/>
  <c r="R290" i="269"/>
  <c r="S290" i="269" s="1"/>
  <c r="R291" i="269"/>
  <c r="S291" i="269" s="1"/>
  <c r="R292" i="269"/>
  <c r="S292" i="269" s="1"/>
  <c r="R293" i="269"/>
  <c r="S293" i="269" s="1"/>
  <c r="R294" i="269"/>
  <c r="S294" i="269" s="1"/>
  <c r="R295" i="269"/>
  <c r="S295" i="269"/>
  <c r="R296" i="269"/>
  <c r="S296" i="269" s="1"/>
  <c r="R297" i="269"/>
  <c r="S297" i="269"/>
  <c r="R298" i="269"/>
  <c r="S298" i="269" s="1"/>
  <c r="R299" i="269"/>
  <c r="S299" i="269" s="1"/>
  <c r="R300" i="269"/>
  <c r="S300" i="269" s="1"/>
  <c r="R301" i="269"/>
  <c r="S301" i="269" s="1"/>
  <c r="R302" i="269"/>
  <c r="S302" i="269" s="1"/>
  <c r="R303" i="269"/>
  <c r="S303" i="269"/>
  <c r="R304" i="269"/>
  <c r="S304" i="269" s="1"/>
  <c r="R305" i="269"/>
  <c r="S305" i="269"/>
  <c r="R306" i="269"/>
  <c r="S306" i="269" s="1"/>
  <c r="R307" i="269"/>
  <c r="S307" i="269" s="1"/>
  <c r="R308" i="269"/>
  <c r="S308" i="269" s="1"/>
  <c r="R309" i="269"/>
  <c r="S309" i="269" s="1"/>
  <c r="R310" i="269"/>
  <c r="S310" i="269" s="1"/>
  <c r="R311" i="269"/>
  <c r="S311" i="269"/>
  <c r="R312" i="269"/>
  <c r="S312" i="269" s="1"/>
  <c r="R313" i="269"/>
  <c r="S313" i="269"/>
  <c r="R314" i="269"/>
  <c r="S314" i="269" s="1"/>
  <c r="R315" i="269"/>
  <c r="S315" i="269" s="1"/>
  <c r="R316" i="269"/>
  <c r="S316" i="269" s="1"/>
  <c r="R317" i="269"/>
  <c r="S317" i="269" s="1"/>
  <c r="R318" i="269"/>
  <c r="S318" i="269" s="1"/>
  <c r="R319" i="269"/>
  <c r="S319" i="269"/>
  <c r="R320" i="269"/>
  <c r="S320" i="269" s="1"/>
  <c r="R185" i="269"/>
  <c r="S185" i="269"/>
  <c r="R186" i="269"/>
  <c r="S186" i="269" s="1"/>
  <c r="R187" i="269"/>
  <c r="S187" i="269"/>
  <c r="R188" i="269"/>
  <c r="S188" i="269" s="1"/>
  <c r="R189" i="269"/>
  <c r="S189" i="269" s="1"/>
  <c r="R190" i="269"/>
  <c r="S190" i="269" s="1"/>
  <c r="R191" i="269"/>
  <c r="S191" i="269"/>
  <c r="R192" i="269"/>
  <c r="S192" i="269" s="1"/>
  <c r="R193" i="269"/>
  <c r="S193" i="269"/>
  <c r="R194" i="269"/>
  <c r="S194" i="269" s="1"/>
  <c r="R195" i="269"/>
  <c r="S195" i="269"/>
  <c r="R196" i="269"/>
  <c r="S196" i="269" s="1"/>
  <c r="R197" i="269"/>
  <c r="S197" i="269" s="1"/>
  <c r="R198" i="269"/>
  <c r="S198" i="269" s="1"/>
  <c r="R199" i="269"/>
  <c r="S199" i="269"/>
  <c r="R200" i="269"/>
  <c r="S200" i="269" s="1"/>
  <c r="R201" i="269"/>
  <c r="S201" i="269"/>
  <c r="R202" i="269"/>
  <c r="S202" i="269" s="1"/>
  <c r="R203" i="269"/>
  <c r="S203" i="269"/>
  <c r="R204" i="269"/>
  <c r="S204" i="269" s="1"/>
  <c r="R205" i="269"/>
  <c r="S205" i="269" s="1"/>
  <c r="R206" i="269"/>
  <c r="S206" i="269" s="1"/>
  <c r="R207" i="269"/>
  <c r="S207" i="269"/>
  <c r="R208" i="269"/>
  <c r="S208" i="269" s="1"/>
  <c r="R209" i="269"/>
  <c r="S209" i="269"/>
  <c r="R210" i="269"/>
  <c r="S210" i="269" s="1"/>
  <c r="R211" i="269"/>
  <c r="S211" i="269"/>
  <c r="R212" i="269"/>
  <c r="S212" i="269" s="1"/>
  <c r="R213" i="269"/>
  <c r="S213" i="269" s="1"/>
  <c r="R214" i="269"/>
  <c r="S214" i="269" s="1"/>
  <c r="R215" i="269"/>
  <c r="S215" i="269"/>
  <c r="R216" i="269"/>
  <c r="S216" i="269" s="1"/>
  <c r="R217" i="269"/>
  <c r="S217" i="269"/>
  <c r="R218" i="269"/>
  <c r="S218" i="269" s="1"/>
  <c r="R219" i="269"/>
  <c r="S219" i="269"/>
  <c r="R220" i="269"/>
  <c r="S220" i="269" s="1"/>
  <c r="R221" i="269"/>
  <c r="S221" i="269" s="1"/>
  <c r="R222" i="269"/>
  <c r="S222" i="269" s="1"/>
  <c r="R223" i="269"/>
  <c r="S223" i="269" s="1"/>
  <c r="R224" i="269"/>
  <c r="S224" i="269" s="1"/>
  <c r="R225" i="269"/>
  <c r="S225" i="269"/>
  <c r="R226" i="269"/>
  <c r="S226" i="269" s="1"/>
  <c r="R227" i="269"/>
  <c r="S227" i="269"/>
  <c r="R228" i="269"/>
  <c r="S228" i="269" s="1"/>
  <c r="R229" i="269"/>
  <c r="S229" i="269" s="1"/>
  <c r="R230" i="269"/>
  <c r="S230" i="269" s="1"/>
  <c r="R231" i="269"/>
  <c r="S231" i="269" s="1"/>
  <c r="R232" i="269"/>
  <c r="S232" i="269" s="1"/>
  <c r="R233" i="269"/>
  <c r="S233" i="269"/>
  <c r="R234" i="269"/>
  <c r="S234" i="269" s="1"/>
  <c r="R235" i="269"/>
  <c r="S235" i="269"/>
  <c r="R236" i="269"/>
  <c r="S236" i="269" s="1"/>
  <c r="R237" i="269"/>
  <c r="S237" i="269" s="1"/>
  <c r="R238" i="269"/>
  <c r="S238" i="269" s="1"/>
  <c r="R239" i="269"/>
  <c r="S239" i="269" s="1"/>
  <c r="R240" i="269"/>
  <c r="S240" i="269" s="1"/>
  <c r="R241" i="269"/>
  <c r="S241" i="269" s="1"/>
  <c r="R242" i="269"/>
  <c r="S242" i="269" s="1"/>
  <c r="R243" i="269"/>
  <c r="S243" i="269" s="1"/>
  <c r="R244" i="269"/>
  <c r="S244" i="269" s="1"/>
  <c r="R245" i="269"/>
  <c r="S245" i="269" s="1"/>
  <c r="R184" i="269"/>
  <c r="S184" i="269" s="1"/>
  <c r="R406" i="269"/>
  <c r="S406" i="269"/>
  <c r="R407" i="269"/>
  <c r="S407" i="269" s="1"/>
  <c r="R408" i="269"/>
  <c r="S408" i="269"/>
  <c r="R409" i="269"/>
  <c r="S409" i="269" s="1"/>
  <c r="R410" i="269"/>
  <c r="S410" i="269" s="1"/>
  <c r="R411" i="269"/>
  <c r="S411" i="269" s="1"/>
  <c r="R412" i="269"/>
  <c r="S412" i="269" s="1"/>
  <c r="R413" i="269"/>
  <c r="S413" i="269" s="1"/>
  <c r="R414" i="269"/>
  <c r="S414" i="269"/>
  <c r="R415" i="269"/>
  <c r="S415" i="269" s="1"/>
  <c r="R416" i="269"/>
  <c r="S416" i="269" s="1"/>
  <c r="R417" i="269"/>
  <c r="S417" i="269" s="1"/>
  <c r="R418" i="269"/>
  <c r="S418" i="269" s="1"/>
  <c r="R419" i="269"/>
  <c r="S419" i="269" s="1"/>
  <c r="R420" i="269"/>
  <c r="S420" i="269" s="1"/>
  <c r="R421" i="269"/>
  <c r="S421" i="269" s="1"/>
  <c r="R422" i="269"/>
  <c r="S422" i="269"/>
  <c r="R423" i="269"/>
  <c r="S423" i="269" s="1"/>
  <c r="R424" i="269"/>
  <c r="S424" i="269"/>
  <c r="R425" i="269"/>
  <c r="S425" i="269" s="1"/>
  <c r="R426" i="269"/>
  <c r="S426" i="269" s="1"/>
  <c r="R427" i="269"/>
  <c r="S427" i="269" s="1"/>
  <c r="R428" i="269"/>
  <c r="S428" i="269" s="1"/>
  <c r="R429" i="269"/>
  <c r="S429" i="269" s="1"/>
  <c r="R430" i="269"/>
  <c r="S430" i="269"/>
  <c r="R431" i="269"/>
  <c r="S431" i="269" s="1"/>
  <c r="R432" i="269"/>
  <c r="S432" i="269"/>
  <c r="R433" i="269"/>
  <c r="S433" i="269" s="1"/>
  <c r="R434" i="269"/>
  <c r="S434" i="269" s="1"/>
  <c r="R435" i="269"/>
  <c r="S435" i="269" s="1"/>
  <c r="R436" i="269"/>
  <c r="S436" i="269" s="1"/>
  <c r="R437" i="269"/>
  <c r="S437" i="269" s="1"/>
  <c r="R438" i="269"/>
  <c r="S438" i="269"/>
  <c r="R439" i="269"/>
  <c r="S439" i="269" s="1"/>
  <c r="R440" i="269"/>
  <c r="S440" i="269"/>
  <c r="R441" i="269"/>
  <c r="S441" i="269" s="1"/>
  <c r="R442" i="269"/>
  <c r="S442" i="269" s="1"/>
  <c r="R443" i="269"/>
  <c r="S443" i="269" s="1"/>
  <c r="R444" i="269"/>
  <c r="S444" i="269" s="1"/>
  <c r="R445" i="269"/>
  <c r="S445" i="269" s="1"/>
  <c r="R446" i="269"/>
  <c r="S446" i="269"/>
  <c r="R447" i="269"/>
  <c r="S447" i="269" s="1"/>
  <c r="R448" i="269"/>
  <c r="S448" i="269"/>
  <c r="R449" i="269"/>
  <c r="S449" i="269" s="1"/>
  <c r="R450" i="269"/>
  <c r="S450" i="269" s="1"/>
  <c r="R451" i="269"/>
  <c r="S451" i="269" s="1"/>
  <c r="R452" i="269"/>
  <c r="S452" i="269" s="1"/>
  <c r="R453" i="269"/>
  <c r="S453" i="269" s="1"/>
  <c r="R454" i="269"/>
  <c r="S454" i="269"/>
  <c r="R455" i="269"/>
  <c r="S455" i="269" s="1"/>
  <c r="R456" i="269"/>
  <c r="S456" i="269" s="1"/>
  <c r="R457" i="269"/>
  <c r="S457" i="269" s="1"/>
  <c r="R458" i="269"/>
  <c r="S458" i="269" s="1"/>
  <c r="R459" i="269"/>
  <c r="S459" i="269" s="1"/>
  <c r="R460" i="269"/>
  <c r="S460" i="269" s="1"/>
  <c r="R461" i="269"/>
  <c r="S461" i="269" s="1"/>
  <c r="R462" i="269"/>
  <c r="S462" i="269"/>
  <c r="R463" i="269"/>
  <c r="S463" i="269" s="1"/>
  <c r="R464" i="269"/>
  <c r="S464" i="269" s="1"/>
  <c r="R465" i="269"/>
  <c r="S465" i="269" s="1"/>
  <c r="R466" i="269"/>
  <c r="S466" i="269" s="1"/>
  <c r="R467" i="269"/>
  <c r="S467" i="269" s="1"/>
  <c r="R468" i="269"/>
  <c r="S468" i="269" s="1"/>
  <c r="R469" i="269"/>
  <c r="S469" i="269" s="1"/>
  <c r="R470" i="269"/>
  <c r="S470" i="269"/>
  <c r="R471" i="269"/>
  <c r="S471" i="269" s="1"/>
  <c r="R472" i="269"/>
  <c r="S472" i="269" s="1"/>
  <c r="R473" i="269"/>
  <c r="S473" i="269" s="1"/>
  <c r="R474" i="269"/>
  <c r="S474" i="269" s="1"/>
  <c r="R475" i="269"/>
  <c r="S475" i="269" s="1"/>
  <c r="R476" i="269"/>
  <c r="S476" i="269" s="1"/>
  <c r="R477" i="269"/>
  <c r="S477" i="269" s="1"/>
  <c r="R478" i="269"/>
  <c r="S478" i="269"/>
  <c r="R479" i="269"/>
  <c r="S479" i="269" s="1"/>
  <c r="R480" i="269"/>
  <c r="S480" i="269" s="1"/>
  <c r="R481" i="269"/>
  <c r="S481" i="269" s="1"/>
  <c r="R482" i="269"/>
  <c r="S482" i="269" s="1"/>
  <c r="R483" i="269"/>
  <c r="S483" i="269" s="1"/>
  <c r="R484" i="269"/>
  <c r="S484" i="269" s="1"/>
  <c r="R485" i="269"/>
  <c r="S485" i="269" s="1"/>
  <c r="R486" i="269"/>
  <c r="S486" i="269"/>
  <c r="R487" i="269"/>
  <c r="S487" i="269" s="1"/>
  <c r="R488" i="269"/>
  <c r="S488" i="269" s="1"/>
  <c r="R489" i="269"/>
  <c r="S489" i="269" s="1"/>
  <c r="R490" i="269"/>
  <c r="S490" i="269" s="1"/>
  <c r="R491" i="269"/>
  <c r="S491" i="269" s="1"/>
  <c r="R492" i="269"/>
  <c r="S492" i="269" s="1"/>
  <c r="R493" i="269"/>
  <c r="S493" i="269" s="1"/>
  <c r="R494" i="269"/>
  <c r="S494" i="269"/>
  <c r="R495" i="269"/>
  <c r="S495" i="269" s="1"/>
  <c r="R496" i="269"/>
  <c r="S496" i="269" s="1"/>
  <c r="R497" i="269"/>
  <c r="S497" i="269" s="1"/>
  <c r="R498" i="269"/>
  <c r="S498" i="269" s="1"/>
  <c r="R499" i="269"/>
  <c r="S499" i="269" s="1"/>
  <c r="R500" i="269"/>
  <c r="S500" i="269" s="1"/>
  <c r="R322" i="269"/>
  <c r="S322" i="269" s="1"/>
  <c r="R323" i="269"/>
  <c r="S323" i="269"/>
  <c r="R324" i="269"/>
  <c r="S324" i="269" s="1"/>
  <c r="R325" i="269"/>
  <c r="S325" i="269" s="1"/>
  <c r="R326" i="269"/>
  <c r="S326" i="269" s="1"/>
  <c r="R327" i="269"/>
  <c r="S327" i="269" s="1"/>
  <c r="R328" i="269"/>
  <c r="S328" i="269" s="1"/>
  <c r="R329" i="269"/>
  <c r="S329" i="269" s="1"/>
  <c r="R330" i="269"/>
  <c r="S330" i="269" s="1"/>
  <c r="R331" i="269"/>
  <c r="S331" i="269"/>
  <c r="R332" i="269"/>
  <c r="S332" i="269" s="1"/>
  <c r="R333" i="269"/>
  <c r="S333" i="269" s="1"/>
  <c r="R334" i="269"/>
  <c r="S334" i="269" s="1"/>
  <c r="R335" i="269"/>
  <c r="S335" i="269" s="1"/>
  <c r="R336" i="269"/>
  <c r="S336" i="269" s="1"/>
  <c r="R337" i="269"/>
  <c r="S337" i="269" s="1"/>
  <c r="R338" i="269"/>
  <c r="S338" i="269" s="1"/>
  <c r="R339" i="269"/>
  <c r="S339" i="269"/>
  <c r="R340" i="269"/>
  <c r="S340" i="269" s="1"/>
  <c r="R341" i="269"/>
  <c r="S341" i="269" s="1"/>
  <c r="R342" i="269"/>
  <c r="S342" i="269" s="1"/>
  <c r="R343" i="269"/>
  <c r="S343" i="269" s="1"/>
  <c r="R344" i="269"/>
  <c r="S344" i="269" s="1"/>
  <c r="R345" i="269"/>
  <c r="S345" i="269" s="1"/>
  <c r="R346" i="269"/>
  <c r="S346" i="269" s="1"/>
  <c r="R347" i="269"/>
  <c r="S347" i="269"/>
  <c r="R348" i="269"/>
  <c r="S348" i="269" s="1"/>
  <c r="R349" i="269"/>
  <c r="S349" i="269" s="1"/>
  <c r="R350" i="269"/>
  <c r="S350" i="269" s="1"/>
  <c r="R351" i="269"/>
  <c r="S351" i="269" s="1"/>
  <c r="R352" i="269"/>
  <c r="S352" i="269" s="1"/>
  <c r="R353" i="269"/>
  <c r="S353" i="269" s="1"/>
  <c r="R354" i="269"/>
  <c r="S354" i="269" s="1"/>
  <c r="R355" i="269"/>
  <c r="S355" i="269"/>
  <c r="R356" i="269"/>
  <c r="S356" i="269" s="1"/>
  <c r="R357" i="269"/>
  <c r="S357" i="269" s="1"/>
  <c r="R358" i="269"/>
  <c r="S358" i="269" s="1"/>
  <c r="R359" i="269"/>
  <c r="S359" i="269" s="1"/>
  <c r="R360" i="269"/>
  <c r="S360" i="269" s="1"/>
  <c r="R361" i="269"/>
  <c r="S361" i="269" s="1"/>
  <c r="R362" i="269"/>
  <c r="S362" i="269" s="1"/>
  <c r="R363" i="269"/>
  <c r="S363" i="269"/>
  <c r="R364" i="269"/>
  <c r="S364" i="269" s="1"/>
  <c r="R365" i="269"/>
  <c r="S365" i="269" s="1"/>
  <c r="R366" i="269"/>
  <c r="S366" i="269" s="1"/>
  <c r="R367" i="269"/>
  <c r="S367" i="269" s="1"/>
  <c r="R368" i="269"/>
  <c r="S368" i="269" s="1"/>
  <c r="R369" i="269"/>
  <c r="S369" i="269" s="1"/>
  <c r="R370" i="269"/>
  <c r="S370" i="269" s="1"/>
  <c r="R371" i="269"/>
  <c r="S371" i="269"/>
  <c r="R372" i="269"/>
  <c r="S372" i="269" s="1"/>
  <c r="R373" i="269"/>
  <c r="S373" i="269" s="1"/>
  <c r="R374" i="269"/>
  <c r="S374" i="269" s="1"/>
  <c r="R375" i="269"/>
  <c r="S375" i="269" s="1"/>
  <c r="R376" i="269"/>
  <c r="S376" i="269" s="1"/>
  <c r="R377" i="269"/>
  <c r="S377" i="269" s="1"/>
  <c r="R378" i="269"/>
  <c r="S378" i="269" s="1"/>
  <c r="R379" i="269"/>
  <c r="S379" i="269"/>
  <c r="R380" i="269"/>
  <c r="S380" i="269" s="1"/>
  <c r="R381" i="269"/>
  <c r="S381" i="269" s="1"/>
  <c r="R382" i="269"/>
  <c r="S382" i="269" s="1"/>
  <c r="R383" i="269"/>
  <c r="S383" i="269" s="1"/>
  <c r="R384" i="269"/>
  <c r="S384" i="269" s="1"/>
  <c r="R385" i="269"/>
  <c r="S385" i="269" s="1"/>
  <c r="R386" i="269"/>
  <c r="S386" i="269" s="1"/>
  <c r="R387" i="269"/>
  <c r="S387" i="269"/>
  <c r="R388" i="269"/>
  <c r="S388" i="269" s="1"/>
  <c r="R389" i="269"/>
  <c r="S389" i="269" s="1"/>
  <c r="R390" i="269"/>
  <c r="S390" i="269" s="1"/>
  <c r="R391" i="269"/>
  <c r="S391" i="269" s="1"/>
  <c r="R392" i="269"/>
  <c r="S392" i="269" s="1"/>
  <c r="R393" i="269"/>
  <c r="S393" i="269" s="1"/>
  <c r="R394" i="269"/>
  <c r="S394" i="269" s="1"/>
  <c r="R395" i="269"/>
  <c r="S395" i="269"/>
  <c r="R396" i="269"/>
  <c r="S396" i="269" s="1"/>
  <c r="R397" i="269"/>
  <c r="S397" i="269" s="1"/>
  <c r="R398" i="269"/>
  <c r="S398" i="269" s="1"/>
  <c r="R399" i="269"/>
  <c r="S399" i="269" s="1"/>
  <c r="R400" i="269"/>
  <c r="S400" i="269" s="1"/>
  <c r="R401" i="269"/>
  <c r="S401" i="269" s="1"/>
  <c r="R402" i="269"/>
  <c r="S402" i="269" s="1"/>
  <c r="R403" i="269"/>
  <c r="S403" i="269"/>
  <c r="R404" i="269"/>
  <c r="S404" i="269" s="1"/>
  <c r="R143" i="269"/>
  <c r="S143" i="269"/>
  <c r="R144" i="269"/>
  <c r="S144" i="269" s="1"/>
  <c r="R145" i="269"/>
  <c r="S145" i="269" s="1"/>
  <c r="R146" i="269"/>
  <c r="S146" i="269" s="1"/>
  <c r="R147" i="269"/>
  <c r="S147" i="269" s="1"/>
  <c r="R148" i="269"/>
  <c r="S148" i="269" s="1"/>
  <c r="R149" i="269"/>
  <c r="S149" i="269"/>
  <c r="R150" i="269"/>
  <c r="S150" i="269" s="1"/>
  <c r="R151" i="269"/>
  <c r="S151" i="269"/>
  <c r="R152" i="269"/>
  <c r="S152" i="269" s="1"/>
  <c r="R153" i="269"/>
  <c r="S153" i="269" s="1"/>
  <c r="R154" i="269"/>
  <c r="S154" i="269" s="1"/>
  <c r="R155" i="269"/>
  <c r="S155" i="269" s="1"/>
  <c r="R156" i="269"/>
  <c r="S156" i="269" s="1"/>
  <c r="R157" i="269"/>
  <c r="S157" i="269"/>
  <c r="R158" i="269"/>
  <c r="S158" i="269" s="1"/>
  <c r="R159" i="269"/>
  <c r="S159" i="269" s="1"/>
  <c r="R160" i="269"/>
  <c r="S160" i="269" s="1"/>
  <c r="R161" i="269"/>
  <c r="S161" i="269" s="1"/>
  <c r="R162" i="269"/>
  <c r="S162" i="269" s="1"/>
  <c r="R163" i="269"/>
  <c r="S163" i="269" s="1"/>
  <c r="R164" i="269"/>
  <c r="S164" i="269" s="1"/>
  <c r="R165" i="269"/>
  <c r="S165" i="269"/>
  <c r="R166" i="269"/>
  <c r="S166" i="269" s="1"/>
  <c r="R167" i="269"/>
  <c r="S167" i="269" s="1"/>
  <c r="R168" i="269"/>
  <c r="S168" i="269" s="1"/>
  <c r="R169" i="269"/>
  <c r="S169" i="269" s="1"/>
  <c r="R170" i="269"/>
  <c r="S170" i="269" s="1"/>
  <c r="R171" i="269"/>
  <c r="S171" i="269" s="1"/>
  <c r="R172" i="269"/>
  <c r="S172" i="269" s="1"/>
  <c r="R173" i="269"/>
  <c r="S173" i="269"/>
  <c r="R174" i="269"/>
  <c r="S174" i="269" s="1"/>
  <c r="R175" i="269"/>
  <c r="S175" i="269"/>
  <c r="R176" i="269"/>
  <c r="S176" i="269" s="1"/>
  <c r="R177" i="269"/>
  <c r="S177" i="269" s="1"/>
  <c r="R178" i="269"/>
  <c r="S178" i="269" s="1"/>
  <c r="R179" i="269"/>
  <c r="S179" i="269" s="1"/>
  <c r="R180" i="269"/>
  <c r="S180" i="269" s="1"/>
  <c r="R181" i="269"/>
  <c r="S181" i="269"/>
  <c r="R182" i="269"/>
  <c r="S182" i="269" s="1"/>
  <c r="R183" i="269"/>
  <c r="S183" i="269" s="1"/>
  <c r="R18" i="269"/>
  <c r="S18" i="269" s="1"/>
  <c r="R19" i="269"/>
  <c r="S19" i="269" s="1"/>
  <c r="R20" i="269"/>
  <c r="S20" i="269" s="1"/>
  <c r="R21" i="269"/>
  <c r="S21" i="269" s="1"/>
  <c r="R22" i="269"/>
  <c r="S22" i="269" s="1"/>
  <c r="R23" i="269"/>
  <c r="S23" i="269"/>
  <c r="R24" i="269"/>
  <c r="S24" i="269" s="1"/>
  <c r="R25" i="269"/>
  <c r="S25" i="269" s="1"/>
  <c r="R26" i="269"/>
  <c r="S26" i="269" s="1"/>
  <c r="R27" i="269"/>
  <c r="S27" i="269" s="1"/>
  <c r="R28" i="269"/>
  <c r="S28" i="269" s="1"/>
  <c r="R29" i="269"/>
  <c r="S29" i="269" s="1"/>
  <c r="R30" i="269"/>
  <c r="S30" i="269" s="1"/>
  <c r="R31" i="269"/>
  <c r="S31" i="269"/>
  <c r="R32" i="269"/>
  <c r="S32" i="269" s="1"/>
  <c r="R33" i="269"/>
  <c r="S33" i="269" s="1"/>
  <c r="R34" i="269"/>
  <c r="S34" i="269" s="1"/>
  <c r="R35" i="269"/>
  <c r="S35" i="269" s="1"/>
  <c r="R36" i="269"/>
  <c r="S36" i="269" s="1"/>
  <c r="R37" i="269"/>
  <c r="S37" i="269" s="1"/>
  <c r="R38" i="269"/>
  <c r="S38" i="269" s="1"/>
  <c r="R39" i="269"/>
  <c r="S39" i="269"/>
  <c r="R40" i="269"/>
  <c r="S40" i="269" s="1"/>
  <c r="R41" i="269"/>
  <c r="S41" i="269" s="1"/>
  <c r="R42" i="269"/>
  <c r="S42" i="269" s="1"/>
  <c r="R43" i="269"/>
  <c r="S43" i="269" s="1"/>
  <c r="R44" i="269"/>
  <c r="S44" i="269" s="1"/>
  <c r="R45" i="269"/>
  <c r="S45" i="269" s="1"/>
  <c r="R46" i="269"/>
  <c r="S46" i="269" s="1"/>
  <c r="R47" i="269"/>
  <c r="S47" i="269"/>
  <c r="R48" i="269"/>
  <c r="S48" i="269" s="1"/>
  <c r="R49" i="269"/>
  <c r="S49" i="269" s="1"/>
  <c r="R50" i="269"/>
  <c r="S50" i="269" s="1"/>
  <c r="R51" i="269"/>
  <c r="S51" i="269" s="1"/>
  <c r="R52" i="269"/>
  <c r="S52" i="269" s="1"/>
  <c r="R53" i="269"/>
  <c r="S53" i="269" s="1"/>
  <c r="R54" i="269"/>
  <c r="S54" i="269" s="1"/>
  <c r="R55" i="269"/>
  <c r="S55" i="269"/>
  <c r="R56" i="269"/>
  <c r="S56" i="269" s="1"/>
  <c r="R57" i="269"/>
  <c r="S57" i="269"/>
  <c r="R58" i="269"/>
  <c r="S58" i="269" s="1"/>
  <c r="R59" i="269"/>
  <c r="S59" i="269" s="1"/>
  <c r="R60" i="269"/>
  <c r="S60" i="269" s="1"/>
  <c r="R61" i="269"/>
  <c r="S61" i="269" s="1"/>
  <c r="R62" i="269"/>
  <c r="S62" i="269" s="1"/>
  <c r="R63" i="269"/>
  <c r="S63" i="269"/>
  <c r="R64" i="269"/>
  <c r="S64" i="269" s="1"/>
  <c r="R65" i="269"/>
  <c r="S65" i="269"/>
  <c r="R66" i="269"/>
  <c r="S66" i="269" s="1"/>
  <c r="R67" i="269"/>
  <c r="S67" i="269" s="1"/>
  <c r="R68" i="269"/>
  <c r="S68" i="269" s="1"/>
  <c r="R69" i="269"/>
  <c r="S69" i="269" s="1"/>
  <c r="R70" i="269"/>
  <c r="S70" i="269" s="1"/>
  <c r="R71" i="269"/>
  <c r="S71" i="269"/>
  <c r="R72" i="269"/>
  <c r="S72" i="269" s="1"/>
  <c r="R73" i="269"/>
  <c r="S73" i="269"/>
  <c r="R74" i="269"/>
  <c r="S74" i="269" s="1"/>
  <c r="R75" i="269"/>
  <c r="S75" i="269" s="1"/>
  <c r="R76" i="269"/>
  <c r="S76" i="269" s="1"/>
  <c r="R77" i="269"/>
  <c r="S77" i="269" s="1"/>
  <c r="R78" i="269"/>
  <c r="S78" i="269" s="1"/>
  <c r="R79" i="269"/>
  <c r="S79" i="269"/>
  <c r="R80" i="269"/>
  <c r="S80" i="269" s="1"/>
  <c r="R81" i="269"/>
  <c r="S81" i="269" s="1"/>
  <c r="R82" i="269"/>
  <c r="S82" i="269" s="1"/>
  <c r="R83" i="269"/>
  <c r="S83" i="269" s="1"/>
  <c r="R84" i="269"/>
  <c r="S84" i="269" s="1"/>
  <c r="R85" i="269"/>
  <c r="S85" i="269" s="1"/>
  <c r="R86" i="269"/>
  <c r="S86" i="269" s="1"/>
  <c r="R87" i="269"/>
  <c r="S87" i="269"/>
  <c r="R88" i="269"/>
  <c r="S88" i="269" s="1"/>
  <c r="R89" i="269"/>
  <c r="S89" i="269"/>
  <c r="R90" i="269"/>
  <c r="S90" i="269" s="1"/>
  <c r="R91" i="269"/>
  <c r="S91" i="269" s="1"/>
  <c r="R92" i="269"/>
  <c r="S92" i="269" s="1"/>
  <c r="R93" i="269"/>
  <c r="S93" i="269" s="1"/>
  <c r="R94" i="269"/>
  <c r="S94" i="269" s="1"/>
  <c r="R95" i="269"/>
  <c r="S95" i="269"/>
  <c r="R96" i="269"/>
  <c r="S96" i="269" s="1"/>
  <c r="R97" i="269"/>
  <c r="S97" i="269"/>
  <c r="R98" i="269"/>
  <c r="S98" i="269" s="1"/>
  <c r="R99" i="269"/>
  <c r="S99" i="269" s="1"/>
  <c r="R100" i="269"/>
  <c r="S100" i="269" s="1"/>
  <c r="R101" i="269"/>
  <c r="S101" i="269" s="1"/>
  <c r="R102" i="269"/>
  <c r="S102" i="269" s="1"/>
  <c r="R103" i="269"/>
  <c r="S103" i="269"/>
  <c r="R104" i="269"/>
  <c r="S104" i="269" s="1"/>
  <c r="R105" i="269"/>
  <c r="S105" i="269"/>
  <c r="R106" i="269"/>
  <c r="S106" i="269" s="1"/>
  <c r="R107" i="269"/>
  <c r="S107" i="269" s="1"/>
  <c r="R108" i="269"/>
  <c r="S108" i="269" s="1"/>
  <c r="R109" i="269"/>
  <c r="S109" i="269" s="1"/>
  <c r="R110" i="269"/>
  <c r="S110" i="269" s="1"/>
  <c r="R111" i="269"/>
  <c r="S111" i="269"/>
  <c r="R112" i="269"/>
  <c r="S112" i="269" s="1"/>
  <c r="R113" i="269"/>
  <c r="S113" i="269"/>
  <c r="R114" i="269"/>
  <c r="S114" i="269" s="1"/>
  <c r="R115" i="269"/>
  <c r="S115" i="269" s="1"/>
  <c r="R116" i="269"/>
  <c r="S116" i="269" s="1"/>
  <c r="R117" i="269"/>
  <c r="S117" i="269" s="1"/>
  <c r="R118" i="269"/>
  <c r="S118" i="269" s="1"/>
  <c r="R119" i="269"/>
  <c r="S119" i="269"/>
  <c r="R120" i="269"/>
  <c r="S120" i="269" s="1"/>
  <c r="R121" i="269"/>
  <c r="S121" i="269" s="1"/>
  <c r="R122" i="269"/>
  <c r="S122" i="269" s="1"/>
  <c r="R123" i="269"/>
  <c r="S123" i="269" s="1"/>
  <c r="R124" i="269"/>
  <c r="S124" i="269" s="1"/>
  <c r="R125" i="269"/>
  <c r="S125" i="269" s="1"/>
  <c r="R126" i="269"/>
  <c r="S126" i="269" s="1"/>
  <c r="R127" i="269"/>
  <c r="S127" i="269"/>
  <c r="R128" i="269"/>
  <c r="S128" i="269" s="1"/>
  <c r="R129" i="269"/>
  <c r="S129" i="269" s="1"/>
  <c r="R130" i="269"/>
  <c r="S130" i="269" s="1"/>
  <c r="R131" i="269"/>
  <c r="S131" i="269" s="1"/>
  <c r="R132" i="269"/>
  <c r="S132" i="269" s="1"/>
  <c r="R133" i="269"/>
  <c r="S133" i="269" s="1"/>
  <c r="R134" i="269"/>
  <c r="S134" i="269" s="1"/>
  <c r="R135" i="269"/>
  <c r="S135" i="269"/>
  <c r="R136" i="269"/>
  <c r="S136" i="269" s="1"/>
  <c r="R137" i="269"/>
  <c r="S137" i="269" s="1"/>
  <c r="R138" i="269"/>
  <c r="S138" i="269" s="1"/>
  <c r="R139" i="269"/>
  <c r="S139" i="269" s="1"/>
  <c r="R140" i="269"/>
  <c r="S140" i="269" s="1"/>
  <c r="R141" i="269"/>
  <c r="S141" i="269" s="1"/>
  <c r="F492" i="269"/>
  <c r="G492" i="269" s="1"/>
  <c r="F493" i="269"/>
  <c r="G493" i="269"/>
  <c r="B38" i="326"/>
  <c r="C38" i="326"/>
  <c r="L38" i="326"/>
  <c r="B39" i="326"/>
  <c r="C39" i="326"/>
  <c r="L39" i="326"/>
  <c r="T18" i="269"/>
  <c r="U18" i="269" s="1"/>
  <c r="T19" i="269"/>
  <c r="U19" i="269" s="1"/>
  <c r="T20" i="269"/>
  <c r="U20" i="269" s="1"/>
  <c r="T21" i="269"/>
  <c r="U21" i="269" s="1"/>
  <c r="T22" i="269"/>
  <c r="U22" i="269" s="1"/>
  <c r="T23" i="269"/>
  <c r="U23" i="269" s="1"/>
  <c r="T24" i="269"/>
  <c r="U24" i="269" s="1"/>
  <c r="T25" i="269"/>
  <c r="U25" i="269" s="1"/>
  <c r="T26" i="269"/>
  <c r="U26" i="269" s="1"/>
  <c r="T27" i="269"/>
  <c r="U27" i="269" s="1"/>
  <c r="T28" i="269"/>
  <c r="U28" i="269" s="1"/>
  <c r="T29" i="269"/>
  <c r="U29" i="269" s="1"/>
  <c r="T30" i="269"/>
  <c r="U30" i="269" s="1"/>
  <c r="T31" i="269"/>
  <c r="U31" i="269" s="1"/>
  <c r="T32" i="269"/>
  <c r="U32" i="269" s="1"/>
  <c r="T33" i="269"/>
  <c r="U33" i="269" s="1"/>
  <c r="T34" i="269"/>
  <c r="U34" i="269" s="1"/>
  <c r="T35" i="269"/>
  <c r="U35" i="269" s="1"/>
  <c r="T36" i="269"/>
  <c r="U36" i="269" s="1"/>
  <c r="T37" i="269"/>
  <c r="U37" i="269" s="1"/>
  <c r="T38" i="269"/>
  <c r="U38" i="269" s="1"/>
  <c r="T39" i="269"/>
  <c r="U39" i="269" s="1"/>
  <c r="T40" i="269"/>
  <c r="U40" i="269" s="1"/>
  <c r="T41" i="269"/>
  <c r="U41" i="269" s="1"/>
  <c r="T42" i="269"/>
  <c r="U42" i="269" s="1"/>
  <c r="T43" i="269"/>
  <c r="U43" i="269" s="1"/>
  <c r="T44" i="269"/>
  <c r="U44" i="269" s="1"/>
  <c r="T45" i="269"/>
  <c r="U45" i="269" s="1"/>
  <c r="T46" i="269"/>
  <c r="U46" i="269" s="1"/>
  <c r="T47" i="269"/>
  <c r="U47" i="269" s="1"/>
  <c r="T48" i="269"/>
  <c r="U48" i="269" s="1"/>
  <c r="T49" i="269"/>
  <c r="U49" i="269" s="1"/>
  <c r="T50" i="269"/>
  <c r="U50" i="269" s="1"/>
  <c r="T51" i="269"/>
  <c r="U51" i="269" s="1"/>
  <c r="T52" i="269"/>
  <c r="U52" i="269" s="1"/>
  <c r="T53" i="269"/>
  <c r="U53" i="269" s="1"/>
  <c r="T54" i="269"/>
  <c r="U54" i="269" s="1"/>
  <c r="T55" i="269"/>
  <c r="U55" i="269" s="1"/>
  <c r="T56" i="269"/>
  <c r="U56" i="269" s="1"/>
  <c r="T57" i="269"/>
  <c r="U57" i="269" s="1"/>
  <c r="T58" i="269"/>
  <c r="U58" i="269" s="1"/>
  <c r="T59" i="269"/>
  <c r="U59" i="269" s="1"/>
  <c r="T60" i="269"/>
  <c r="U60" i="269" s="1"/>
  <c r="T61" i="269"/>
  <c r="U61" i="269" s="1"/>
  <c r="T62" i="269"/>
  <c r="U62" i="269" s="1"/>
  <c r="T63" i="269"/>
  <c r="U63" i="269" s="1"/>
  <c r="T64" i="269"/>
  <c r="U64" i="269" s="1"/>
  <c r="T65" i="269"/>
  <c r="U65" i="269" s="1"/>
  <c r="T66" i="269"/>
  <c r="U66" i="269" s="1"/>
  <c r="T67" i="269"/>
  <c r="U67" i="269" s="1"/>
  <c r="T68" i="269"/>
  <c r="U68" i="269" s="1"/>
  <c r="T69" i="269"/>
  <c r="U69" i="269" s="1"/>
  <c r="T70" i="269"/>
  <c r="U70" i="269" s="1"/>
  <c r="T71" i="269"/>
  <c r="U71" i="269" s="1"/>
  <c r="T72" i="269"/>
  <c r="U72" i="269" s="1"/>
  <c r="T73" i="269"/>
  <c r="U73" i="269" s="1"/>
  <c r="T74" i="269"/>
  <c r="U74" i="269" s="1"/>
  <c r="T75" i="269"/>
  <c r="U75" i="269" s="1"/>
  <c r="T76" i="269"/>
  <c r="U76" i="269" s="1"/>
  <c r="T77" i="269"/>
  <c r="U77" i="269" s="1"/>
  <c r="T78" i="269"/>
  <c r="U78" i="269" s="1"/>
  <c r="T79" i="269"/>
  <c r="U79" i="269" s="1"/>
  <c r="T80" i="269"/>
  <c r="U80" i="269" s="1"/>
  <c r="T81" i="269"/>
  <c r="U81" i="269" s="1"/>
  <c r="T82" i="269"/>
  <c r="U82" i="269" s="1"/>
  <c r="T83" i="269"/>
  <c r="U83" i="269" s="1"/>
  <c r="T84" i="269"/>
  <c r="U84" i="269" s="1"/>
  <c r="T85" i="269"/>
  <c r="U85" i="269" s="1"/>
  <c r="T86" i="269"/>
  <c r="U86" i="269" s="1"/>
  <c r="T87" i="269"/>
  <c r="U87" i="269" s="1"/>
  <c r="T88" i="269"/>
  <c r="U88" i="269" s="1"/>
  <c r="T89" i="269"/>
  <c r="U89" i="269" s="1"/>
  <c r="T90" i="269"/>
  <c r="U90" i="269" s="1"/>
  <c r="T91" i="269"/>
  <c r="U91" i="269" s="1"/>
  <c r="T92" i="269"/>
  <c r="U92" i="269" s="1"/>
  <c r="T93" i="269"/>
  <c r="U93" i="269" s="1"/>
  <c r="T94" i="269"/>
  <c r="U94" i="269" s="1"/>
  <c r="T95" i="269"/>
  <c r="U95" i="269" s="1"/>
  <c r="T96" i="269"/>
  <c r="U96" i="269" s="1"/>
  <c r="T97" i="269"/>
  <c r="U97" i="269" s="1"/>
  <c r="T98" i="269"/>
  <c r="U98" i="269" s="1"/>
  <c r="T99" i="269"/>
  <c r="U99" i="269" s="1"/>
  <c r="T100" i="269"/>
  <c r="U100" i="269" s="1"/>
  <c r="T101" i="269"/>
  <c r="U101" i="269" s="1"/>
  <c r="T102" i="269"/>
  <c r="U102" i="269" s="1"/>
  <c r="T103" i="269"/>
  <c r="U103" i="269" s="1"/>
  <c r="T104" i="269"/>
  <c r="U104" i="269" s="1"/>
  <c r="T105" i="269"/>
  <c r="U105" i="269" s="1"/>
  <c r="T106" i="269"/>
  <c r="U106" i="269" s="1"/>
  <c r="T107" i="269"/>
  <c r="U107" i="269" s="1"/>
  <c r="T108" i="269"/>
  <c r="U108" i="269" s="1"/>
  <c r="T109" i="269"/>
  <c r="U109" i="269" s="1"/>
  <c r="T110" i="269"/>
  <c r="U110" i="269" s="1"/>
  <c r="T111" i="269"/>
  <c r="U111" i="269" s="1"/>
  <c r="T112" i="269"/>
  <c r="U112" i="269" s="1"/>
  <c r="T113" i="269"/>
  <c r="U113" i="269" s="1"/>
  <c r="T114" i="269"/>
  <c r="U114" i="269" s="1"/>
  <c r="T115" i="269"/>
  <c r="U115" i="269" s="1"/>
  <c r="T116" i="269"/>
  <c r="U116" i="269" s="1"/>
  <c r="T117" i="269"/>
  <c r="U117" i="269" s="1"/>
  <c r="T118" i="269"/>
  <c r="U118" i="269" s="1"/>
  <c r="T119" i="269"/>
  <c r="U119" i="269" s="1"/>
  <c r="T120" i="269"/>
  <c r="U120" i="269" s="1"/>
  <c r="T121" i="269"/>
  <c r="U121" i="269" s="1"/>
  <c r="T122" i="269"/>
  <c r="U122" i="269" s="1"/>
  <c r="T123" i="269"/>
  <c r="U123" i="269" s="1"/>
  <c r="T124" i="269"/>
  <c r="U124" i="269" s="1"/>
  <c r="T125" i="269"/>
  <c r="U125" i="269" s="1"/>
  <c r="T126" i="269"/>
  <c r="U126" i="269" s="1"/>
  <c r="T127" i="269"/>
  <c r="U127" i="269" s="1"/>
  <c r="T128" i="269"/>
  <c r="U128" i="269" s="1"/>
  <c r="T129" i="269"/>
  <c r="U129" i="269" s="1"/>
  <c r="T130" i="269"/>
  <c r="U130" i="269" s="1"/>
  <c r="T131" i="269"/>
  <c r="U131" i="269" s="1"/>
  <c r="T132" i="269"/>
  <c r="U132" i="269" s="1"/>
  <c r="T133" i="269"/>
  <c r="U133" i="269" s="1"/>
  <c r="T134" i="269"/>
  <c r="U134" i="269" s="1"/>
  <c r="T135" i="269"/>
  <c r="U135" i="269" s="1"/>
  <c r="T136" i="269"/>
  <c r="U136" i="269" s="1"/>
  <c r="T137" i="269"/>
  <c r="U137" i="269" s="1"/>
  <c r="T138" i="269"/>
  <c r="U138" i="269" s="1"/>
  <c r="T139" i="269"/>
  <c r="U139" i="269" s="1"/>
  <c r="T140" i="269"/>
  <c r="U140" i="269" s="1"/>
  <c r="T141" i="269"/>
  <c r="U141" i="269" s="1"/>
  <c r="T142" i="269"/>
  <c r="U142" i="269" s="1"/>
  <c r="T143" i="269"/>
  <c r="U143" i="269" s="1"/>
  <c r="T144" i="269"/>
  <c r="U144" i="269" s="1"/>
  <c r="T145" i="269"/>
  <c r="U145" i="269" s="1"/>
  <c r="T146" i="269"/>
  <c r="U146" i="269" s="1"/>
  <c r="T147" i="269"/>
  <c r="U147" i="269" s="1"/>
  <c r="T148" i="269"/>
  <c r="U148" i="269" s="1"/>
  <c r="T149" i="269"/>
  <c r="U149" i="269" s="1"/>
  <c r="T150" i="269"/>
  <c r="U150" i="269" s="1"/>
  <c r="T151" i="269"/>
  <c r="U151" i="269" s="1"/>
  <c r="T152" i="269"/>
  <c r="U152" i="269" s="1"/>
  <c r="T153" i="269"/>
  <c r="U153" i="269" s="1"/>
  <c r="T154" i="269"/>
  <c r="U154" i="269" s="1"/>
  <c r="T155" i="269"/>
  <c r="U155" i="269" s="1"/>
  <c r="T156" i="269"/>
  <c r="U156" i="269" s="1"/>
  <c r="T157" i="269"/>
  <c r="U157" i="269" s="1"/>
  <c r="T158" i="269"/>
  <c r="U158" i="269" s="1"/>
  <c r="T159" i="269"/>
  <c r="U159" i="269" s="1"/>
  <c r="T160" i="269"/>
  <c r="U160" i="269" s="1"/>
  <c r="T161" i="269"/>
  <c r="U161" i="269" s="1"/>
  <c r="T162" i="269"/>
  <c r="U162" i="269" s="1"/>
  <c r="T163" i="269"/>
  <c r="U163" i="269" s="1"/>
  <c r="T164" i="269"/>
  <c r="U164" i="269" s="1"/>
  <c r="T165" i="269"/>
  <c r="U165" i="269" s="1"/>
  <c r="T166" i="269"/>
  <c r="U166" i="269" s="1"/>
  <c r="T167" i="269"/>
  <c r="U167" i="269" s="1"/>
  <c r="T168" i="269"/>
  <c r="U168" i="269" s="1"/>
  <c r="T169" i="269"/>
  <c r="U169" i="269" s="1"/>
  <c r="T170" i="269"/>
  <c r="U170" i="269" s="1"/>
  <c r="T171" i="269"/>
  <c r="U171" i="269" s="1"/>
  <c r="T172" i="269"/>
  <c r="U172" i="269" s="1"/>
  <c r="T173" i="269"/>
  <c r="U173" i="269" s="1"/>
  <c r="T174" i="269"/>
  <c r="U174" i="269" s="1"/>
  <c r="T175" i="269"/>
  <c r="U175" i="269" s="1"/>
  <c r="T176" i="269"/>
  <c r="U176" i="269" s="1"/>
  <c r="T177" i="269"/>
  <c r="U177" i="269" s="1"/>
  <c r="T178" i="269"/>
  <c r="U178" i="269" s="1"/>
  <c r="T179" i="269"/>
  <c r="U179" i="269" s="1"/>
  <c r="T180" i="269"/>
  <c r="U180" i="269" s="1"/>
  <c r="T181" i="269"/>
  <c r="U181" i="269" s="1"/>
  <c r="T182" i="269"/>
  <c r="U182" i="269" s="1"/>
  <c r="T183" i="269"/>
  <c r="U183" i="269" s="1"/>
  <c r="C40" i="322"/>
  <c r="D40" i="322"/>
  <c r="C41" i="322"/>
  <c r="D41" i="322"/>
  <c r="C42" i="322"/>
  <c r="D42" i="322"/>
  <c r="C43" i="322"/>
  <c r="D43" i="322"/>
  <c r="C44" i="322"/>
  <c r="D44" i="322"/>
  <c r="C45" i="322"/>
  <c r="D45" i="322"/>
  <c r="AC511" i="328"/>
  <c r="AE511" i="328" s="1"/>
  <c r="AD511" i="328"/>
  <c r="AF511" i="328" s="1"/>
  <c r="AC512" i="328"/>
  <c r="AE512" i="328" s="1"/>
  <c r="AD512" i="328"/>
  <c r="AF512" i="328" s="1"/>
  <c r="AC513" i="328"/>
  <c r="AE513" i="328" s="1"/>
  <c r="AD513" i="328"/>
  <c r="AF513" i="328" s="1"/>
  <c r="AC514" i="328"/>
  <c r="AE514" i="328" s="1"/>
  <c r="AD514" i="328"/>
  <c r="AF514" i="328" s="1"/>
  <c r="AC515" i="328"/>
  <c r="AE515" i="328" s="1"/>
  <c r="AD515" i="328"/>
  <c r="AF515" i="328" s="1"/>
  <c r="AC516" i="328"/>
  <c r="AE516" i="328" s="1"/>
  <c r="AD516" i="328"/>
  <c r="AF516" i="328"/>
  <c r="O17" i="322"/>
  <c r="R405" i="269"/>
  <c r="S405" i="269" s="1"/>
  <c r="R321" i="269"/>
  <c r="S321" i="269"/>
  <c r="R142" i="269"/>
  <c r="S142" i="269" s="1"/>
  <c r="J406" i="269"/>
  <c r="K406" i="269" s="1"/>
  <c r="J407" i="269"/>
  <c r="K407" i="269" s="1"/>
  <c r="J408" i="269"/>
  <c r="K408" i="269" s="1"/>
  <c r="J409" i="269"/>
  <c r="K409" i="269" s="1"/>
  <c r="J410" i="269"/>
  <c r="K410" i="269" s="1"/>
  <c r="J411" i="269"/>
  <c r="K411" i="269" s="1"/>
  <c r="J412" i="269"/>
  <c r="K412" i="269"/>
  <c r="J413" i="269"/>
  <c r="K413" i="269" s="1"/>
  <c r="J414" i="269"/>
  <c r="K414" i="269" s="1"/>
  <c r="J415" i="269"/>
  <c r="K415" i="269" s="1"/>
  <c r="J416" i="269"/>
  <c r="K416" i="269" s="1"/>
  <c r="J417" i="269"/>
  <c r="K417" i="269" s="1"/>
  <c r="J418" i="269"/>
  <c r="K418" i="269" s="1"/>
  <c r="J419" i="269"/>
  <c r="K419" i="269" s="1"/>
  <c r="J420" i="269"/>
  <c r="K420" i="269"/>
  <c r="J421" i="269"/>
  <c r="K421" i="269" s="1"/>
  <c r="J422" i="269"/>
  <c r="K422" i="269" s="1"/>
  <c r="J423" i="269"/>
  <c r="K423" i="269" s="1"/>
  <c r="J424" i="269"/>
  <c r="K424" i="269" s="1"/>
  <c r="J425" i="269"/>
  <c r="K425" i="269" s="1"/>
  <c r="J426" i="269"/>
  <c r="K426" i="269" s="1"/>
  <c r="J427" i="269"/>
  <c r="K427" i="269" s="1"/>
  <c r="J428" i="269"/>
  <c r="K428" i="269"/>
  <c r="J429" i="269"/>
  <c r="K429" i="269" s="1"/>
  <c r="J430" i="269"/>
  <c r="K430" i="269" s="1"/>
  <c r="J431" i="269"/>
  <c r="K431" i="269" s="1"/>
  <c r="J432" i="269"/>
  <c r="K432" i="269" s="1"/>
  <c r="J433" i="269"/>
  <c r="K433" i="269" s="1"/>
  <c r="J434" i="269"/>
  <c r="K434" i="269" s="1"/>
  <c r="J435" i="269"/>
  <c r="K435" i="269" s="1"/>
  <c r="J436" i="269"/>
  <c r="K436" i="269"/>
  <c r="J437" i="269"/>
  <c r="K437" i="269" s="1"/>
  <c r="J438" i="269"/>
  <c r="K438" i="269" s="1"/>
  <c r="J439" i="269"/>
  <c r="K439" i="269" s="1"/>
  <c r="J440" i="269"/>
  <c r="K440" i="269" s="1"/>
  <c r="J441" i="269"/>
  <c r="K441" i="269" s="1"/>
  <c r="J442" i="269"/>
  <c r="K442" i="269" s="1"/>
  <c r="J443" i="269"/>
  <c r="K443" i="269" s="1"/>
  <c r="J444" i="269"/>
  <c r="K444" i="269"/>
  <c r="J445" i="269"/>
  <c r="K445" i="269" s="1"/>
  <c r="J446" i="269"/>
  <c r="K446" i="269" s="1"/>
  <c r="J447" i="269"/>
  <c r="K447" i="269" s="1"/>
  <c r="J448" i="269"/>
  <c r="K448" i="269" s="1"/>
  <c r="J449" i="269"/>
  <c r="K449" i="269" s="1"/>
  <c r="J450" i="269"/>
  <c r="K450" i="269" s="1"/>
  <c r="J451" i="269"/>
  <c r="K451" i="269" s="1"/>
  <c r="J452" i="269"/>
  <c r="K452" i="269"/>
  <c r="J453" i="269"/>
  <c r="K453" i="269" s="1"/>
  <c r="J454" i="269"/>
  <c r="K454" i="269" s="1"/>
  <c r="J455" i="269"/>
  <c r="K455" i="269" s="1"/>
  <c r="J456" i="269"/>
  <c r="K456" i="269" s="1"/>
  <c r="J457" i="269"/>
  <c r="K457" i="269" s="1"/>
  <c r="J458" i="269"/>
  <c r="K458" i="269" s="1"/>
  <c r="J459" i="269"/>
  <c r="K459" i="269" s="1"/>
  <c r="J460" i="269"/>
  <c r="K460" i="269"/>
  <c r="J461" i="269"/>
  <c r="K461" i="269" s="1"/>
  <c r="J462" i="269"/>
  <c r="K462" i="269" s="1"/>
  <c r="J463" i="269"/>
  <c r="K463" i="269" s="1"/>
  <c r="J464" i="269"/>
  <c r="K464" i="269" s="1"/>
  <c r="J465" i="269"/>
  <c r="K465" i="269" s="1"/>
  <c r="J466" i="269"/>
  <c r="K466" i="269" s="1"/>
  <c r="J467" i="269"/>
  <c r="K467" i="269" s="1"/>
  <c r="J468" i="269"/>
  <c r="K468" i="269"/>
  <c r="J469" i="269"/>
  <c r="K469" i="269" s="1"/>
  <c r="J470" i="269"/>
  <c r="K470" i="269"/>
  <c r="J471" i="269"/>
  <c r="K471" i="269" s="1"/>
  <c r="J472" i="269"/>
  <c r="K472" i="269" s="1"/>
  <c r="J473" i="269"/>
  <c r="K473" i="269" s="1"/>
  <c r="J474" i="269"/>
  <c r="K474" i="269" s="1"/>
  <c r="J475" i="269"/>
  <c r="K475" i="269" s="1"/>
  <c r="J476" i="269"/>
  <c r="K476" i="269"/>
  <c r="J477" i="269"/>
  <c r="K477" i="269" s="1"/>
  <c r="J478" i="269"/>
  <c r="K478" i="269"/>
  <c r="J479" i="269"/>
  <c r="K479" i="269" s="1"/>
  <c r="J480" i="269"/>
  <c r="K480" i="269" s="1"/>
  <c r="J481" i="269"/>
  <c r="K481" i="269" s="1"/>
  <c r="J482" i="269"/>
  <c r="K482" i="269" s="1"/>
  <c r="J483" i="269"/>
  <c r="K483" i="269" s="1"/>
  <c r="J484" i="269"/>
  <c r="K484" i="269"/>
  <c r="J485" i="269"/>
  <c r="K485" i="269" s="1"/>
  <c r="J486" i="269"/>
  <c r="K486" i="269" s="1"/>
  <c r="J487" i="269"/>
  <c r="K487" i="269" s="1"/>
  <c r="J488" i="269"/>
  <c r="K488" i="269" s="1"/>
  <c r="J489" i="269"/>
  <c r="K489" i="269" s="1"/>
  <c r="J490" i="269"/>
  <c r="K490" i="269" s="1"/>
  <c r="J491" i="269"/>
  <c r="K491" i="269" s="1"/>
  <c r="J492" i="269"/>
  <c r="K492" i="269"/>
  <c r="J493" i="269"/>
  <c r="K493" i="269" s="1"/>
  <c r="J494" i="269"/>
  <c r="K494" i="269" s="1"/>
  <c r="J495" i="269"/>
  <c r="K495" i="269" s="1"/>
  <c r="J496" i="269"/>
  <c r="K496" i="269" s="1"/>
  <c r="J497" i="269"/>
  <c r="K497" i="269" s="1"/>
  <c r="J498" i="269"/>
  <c r="K498" i="269" s="1"/>
  <c r="J499" i="269"/>
  <c r="K499" i="269" s="1"/>
  <c r="J500" i="269"/>
  <c r="K500" i="269"/>
  <c r="J405" i="269"/>
  <c r="K405" i="269" s="1"/>
  <c r="J322" i="269"/>
  <c r="K322" i="269"/>
  <c r="J323" i="269"/>
  <c r="K323" i="269" s="1"/>
  <c r="J324" i="269"/>
  <c r="K324" i="269" s="1"/>
  <c r="J325" i="269"/>
  <c r="K325" i="269" s="1"/>
  <c r="J326" i="269"/>
  <c r="K326" i="269" s="1"/>
  <c r="J327" i="269"/>
  <c r="K327" i="269" s="1"/>
  <c r="J328" i="269"/>
  <c r="K328" i="269"/>
  <c r="J329" i="269"/>
  <c r="K329" i="269" s="1"/>
  <c r="J330" i="269"/>
  <c r="K330" i="269" s="1"/>
  <c r="J331" i="269"/>
  <c r="K331" i="269" s="1"/>
  <c r="J332" i="269"/>
  <c r="K332" i="269" s="1"/>
  <c r="J333" i="269"/>
  <c r="K333" i="269" s="1"/>
  <c r="J334" i="269"/>
  <c r="K334" i="269" s="1"/>
  <c r="J335" i="269"/>
  <c r="K335" i="269" s="1"/>
  <c r="J336" i="269"/>
  <c r="K336" i="269"/>
  <c r="J337" i="269"/>
  <c r="K337" i="269" s="1"/>
  <c r="J338" i="269"/>
  <c r="K338" i="269"/>
  <c r="J339" i="269"/>
  <c r="K339" i="269" s="1"/>
  <c r="J340" i="269"/>
  <c r="K340" i="269" s="1"/>
  <c r="J341" i="269"/>
  <c r="K341" i="269" s="1"/>
  <c r="J342" i="269"/>
  <c r="K342" i="269" s="1"/>
  <c r="J343" i="269"/>
  <c r="K343" i="269" s="1"/>
  <c r="J344" i="269"/>
  <c r="K344" i="269"/>
  <c r="J345" i="269"/>
  <c r="K345" i="269" s="1"/>
  <c r="J346" i="269"/>
  <c r="K346" i="269" s="1"/>
  <c r="J347" i="269"/>
  <c r="K347" i="269" s="1"/>
  <c r="J348" i="269"/>
  <c r="K348" i="269" s="1"/>
  <c r="J349" i="269"/>
  <c r="K349" i="269" s="1"/>
  <c r="J350" i="269"/>
  <c r="K350" i="269" s="1"/>
  <c r="J351" i="269"/>
  <c r="K351" i="269" s="1"/>
  <c r="J352" i="269"/>
  <c r="K352" i="269"/>
  <c r="J353" i="269"/>
  <c r="K353" i="269" s="1"/>
  <c r="J354" i="269"/>
  <c r="K354" i="269" s="1"/>
  <c r="J355" i="269"/>
  <c r="K355" i="269" s="1"/>
  <c r="J356" i="269"/>
  <c r="K356" i="269" s="1"/>
  <c r="J357" i="269"/>
  <c r="K357" i="269" s="1"/>
  <c r="J358" i="269"/>
  <c r="K358" i="269" s="1"/>
  <c r="J359" i="269"/>
  <c r="K359" i="269" s="1"/>
  <c r="J360" i="269"/>
  <c r="K360" i="269"/>
  <c r="J361" i="269"/>
  <c r="K361" i="269" s="1"/>
  <c r="J362" i="269"/>
  <c r="K362" i="269" s="1"/>
  <c r="J363" i="269"/>
  <c r="K363" i="269" s="1"/>
  <c r="J364" i="269"/>
  <c r="K364" i="269" s="1"/>
  <c r="J365" i="269"/>
  <c r="K365" i="269" s="1"/>
  <c r="J366" i="269"/>
  <c r="K366" i="269" s="1"/>
  <c r="J367" i="269"/>
  <c r="K367" i="269" s="1"/>
  <c r="J368" i="269"/>
  <c r="K368" i="269"/>
  <c r="J369" i="269"/>
  <c r="K369" i="269" s="1"/>
  <c r="J370" i="269"/>
  <c r="K370" i="269"/>
  <c r="J371" i="269"/>
  <c r="K371" i="269" s="1"/>
  <c r="J372" i="269"/>
  <c r="K372" i="269" s="1"/>
  <c r="J373" i="269"/>
  <c r="K373" i="269" s="1"/>
  <c r="J374" i="269"/>
  <c r="K374" i="269" s="1"/>
  <c r="J375" i="269"/>
  <c r="K375" i="269" s="1"/>
  <c r="J376" i="269"/>
  <c r="K376" i="269"/>
  <c r="J377" i="269"/>
  <c r="K377" i="269" s="1"/>
  <c r="J378" i="269"/>
  <c r="K378" i="269" s="1"/>
  <c r="J379" i="269"/>
  <c r="K379" i="269" s="1"/>
  <c r="J380" i="269"/>
  <c r="K380" i="269" s="1"/>
  <c r="J381" i="269"/>
  <c r="K381" i="269" s="1"/>
  <c r="J382" i="269"/>
  <c r="K382" i="269" s="1"/>
  <c r="J383" i="269"/>
  <c r="K383" i="269" s="1"/>
  <c r="J384" i="269"/>
  <c r="K384" i="269"/>
  <c r="J385" i="269"/>
  <c r="K385" i="269" s="1"/>
  <c r="J386" i="269"/>
  <c r="K386" i="269" s="1"/>
  <c r="J387" i="269"/>
  <c r="K387" i="269" s="1"/>
  <c r="J388" i="269"/>
  <c r="K388" i="269" s="1"/>
  <c r="J389" i="269"/>
  <c r="K389" i="269" s="1"/>
  <c r="J390" i="269"/>
  <c r="K390" i="269" s="1"/>
  <c r="J391" i="269"/>
  <c r="K391" i="269" s="1"/>
  <c r="J392" i="269"/>
  <c r="K392" i="269"/>
  <c r="J393" i="269"/>
  <c r="K393" i="269" s="1"/>
  <c r="J394" i="269"/>
  <c r="K394" i="269" s="1"/>
  <c r="J395" i="269"/>
  <c r="K395" i="269" s="1"/>
  <c r="J396" i="269"/>
  <c r="K396" i="269" s="1"/>
  <c r="J397" i="269"/>
  <c r="K397" i="269" s="1"/>
  <c r="J398" i="269"/>
  <c r="K398" i="269" s="1"/>
  <c r="J399" i="269"/>
  <c r="K399" i="269" s="1"/>
  <c r="J400" i="269"/>
  <c r="K400" i="269"/>
  <c r="J401" i="269"/>
  <c r="K401" i="269" s="1"/>
  <c r="J402" i="269"/>
  <c r="K402" i="269" s="1"/>
  <c r="J403" i="269"/>
  <c r="K403" i="269" s="1"/>
  <c r="J404" i="269"/>
  <c r="K404" i="269" s="1"/>
  <c r="J321" i="269"/>
  <c r="K321" i="269" s="1"/>
  <c r="T184" i="269"/>
  <c r="U184" i="269" s="1"/>
  <c r="T185" i="269"/>
  <c r="U185" i="269" s="1"/>
  <c r="J64" i="269"/>
  <c r="K64" i="269" s="1"/>
  <c r="J65" i="269"/>
  <c r="K65" i="269"/>
  <c r="J66" i="269"/>
  <c r="K66" i="269" s="1"/>
  <c r="J67" i="269"/>
  <c r="K67" i="269" s="1"/>
  <c r="J68" i="269"/>
  <c r="K68" i="269" s="1"/>
  <c r="J69" i="269"/>
  <c r="K69" i="269" s="1"/>
  <c r="J70" i="269"/>
  <c r="K70" i="269" s="1"/>
  <c r="J71" i="269"/>
  <c r="K71" i="269" s="1"/>
  <c r="J72" i="269"/>
  <c r="K72" i="269" s="1"/>
  <c r="J73" i="269"/>
  <c r="K73" i="269"/>
  <c r="J74" i="269"/>
  <c r="K74" i="269" s="1"/>
  <c r="J75" i="269"/>
  <c r="K75" i="269" s="1"/>
  <c r="J76" i="269"/>
  <c r="K76" i="269" s="1"/>
  <c r="J77" i="269"/>
  <c r="K77" i="269" s="1"/>
  <c r="J78" i="269"/>
  <c r="K78" i="269" s="1"/>
  <c r="J79" i="269"/>
  <c r="K79" i="269" s="1"/>
  <c r="J80" i="269"/>
  <c r="K80" i="269" s="1"/>
  <c r="J81" i="269"/>
  <c r="K81" i="269"/>
  <c r="J82" i="269"/>
  <c r="K82" i="269" s="1"/>
  <c r="J83" i="269"/>
  <c r="K83" i="269" s="1"/>
  <c r="J84" i="269"/>
  <c r="K84" i="269" s="1"/>
  <c r="J85" i="269"/>
  <c r="K85" i="269" s="1"/>
  <c r="J86" i="269"/>
  <c r="K86" i="269" s="1"/>
  <c r="J87" i="269"/>
  <c r="K87" i="269" s="1"/>
  <c r="J88" i="269"/>
  <c r="K88" i="269" s="1"/>
  <c r="J89" i="269"/>
  <c r="K89" i="269"/>
  <c r="J90" i="269"/>
  <c r="K90" i="269" s="1"/>
  <c r="J91" i="269"/>
  <c r="K91" i="269" s="1"/>
  <c r="J92" i="269"/>
  <c r="K92" i="269" s="1"/>
  <c r="J93" i="269"/>
  <c r="K93" i="269" s="1"/>
  <c r="J94" i="269"/>
  <c r="K94" i="269" s="1"/>
  <c r="J95" i="269"/>
  <c r="K95" i="269" s="1"/>
  <c r="J96" i="269"/>
  <c r="K96" i="269" s="1"/>
  <c r="J97" i="269"/>
  <c r="K97" i="269"/>
  <c r="J98" i="269"/>
  <c r="K98" i="269" s="1"/>
  <c r="J99" i="269"/>
  <c r="K99" i="269" s="1"/>
  <c r="J100" i="269"/>
  <c r="K100" i="269" s="1"/>
  <c r="J101" i="269"/>
  <c r="K101" i="269" s="1"/>
  <c r="J102" i="269"/>
  <c r="K102" i="269" s="1"/>
  <c r="J103" i="269"/>
  <c r="K103" i="269" s="1"/>
  <c r="J104" i="269"/>
  <c r="K104" i="269" s="1"/>
  <c r="J105" i="269"/>
  <c r="K105" i="269"/>
  <c r="J106" i="269"/>
  <c r="K106" i="269" s="1"/>
  <c r="J107" i="269"/>
  <c r="K107" i="269" s="1"/>
  <c r="J108" i="269"/>
  <c r="K108" i="269" s="1"/>
  <c r="J109" i="269"/>
  <c r="K109" i="269" s="1"/>
  <c r="J110" i="269"/>
  <c r="K110" i="269" s="1"/>
  <c r="J111" i="269"/>
  <c r="K111" i="269" s="1"/>
  <c r="J112" i="269"/>
  <c r="K112" i="269" s="1"/>
  <c r="J113" i="269"/>
  <c r="K113" i="269"/>
  <c r="J114" i="269"/>
  <c r="K114" i="269" s="1"/>
  <c r="J115" i="269"/>
  <c r="K115" i="269" s="1"/>
  <c r="J116" i="269"/>
  <c r="K116" i="269" s="1"/>
  <c r="J117" i="269"/>
  <c r="K117" i="269" s="1"/>
  <c r="J118" i="269"/>
  <c r="K118" i="269" s="1"/>
  <c r="J119" i="269"/>
  <c r="K119" i="269" s="1"/>
  <c r="J120" i="269"/>
  <c r="K120" i="269" s="1"/>
  <c r="J121" i="269"/>
  <c r="K121" i="269"/>
  <c r="J122" i="269"/>
  <c r="K122" i="269" s="1"/>
  <c r="J123" i="269"/>
  <c r="K123" i="269" s="1"/>
  <c r="J124" i="269"/>
  <c r="K124" i="269" s="1"/>
  <c r="J125" i="269"/>
  <c r="K125" i="269" s="1"/>
  <c r="J126" i="269"/>
  <c r="K126" i="269" s="1"/>
  <c r="J127" i="269"/>
  <c r="K127" i="269" s="1"/>
  <c r="J128" i="269"/>
  <c r="K128" i="269" s="1"/>
  <c r="J129" i="269"/>
  <c r="K129" i="269"/>
  <c r="J130" i="269"/>
  <c r="K130" i="269" s="1"/>
  <c r="J131" i="269"/>
  <c r="K131" i="269" s="1"/>
  <c r="J132" i="269"/>
  <c r="K132" i="269" s="1"/>
  <c r="J133" i="269"/>
  <c r="K133" i="269" s="1"/>
  <c r="J134" i="269"/>
  <c r="K134" i="269" s="1"/>
  <c r="J135" i="269"/>
  <c r="K135" i="269" s="1"/>
  <c r="J136" i="269"/>
  <c r="K136" i="269" s="1"/>
  <c r="J137" i="269"/>
  <c r="K137" i="269"/>
  <c r="J138" i="269"/>
  <c r="K138" i="269" s="1"/>
  <c r="J139" i="269"/>
  <c r="K139" i="269" s="1"/>
  <c r="J140" i="269"/>
  <c r="K140" i="269" s="1"/>
  <c r="J141" i="269"/>
  <c r="K141" i="269" s="1"/>
  <c r="J142" i="269"/>
  <c r="K142" i="269" s="1"/>
  <c r="J143" i="269"/>
  <c r="K143" i="269" s="1"/>
  <c r="J144" i="269"/>
  <c r="K144" i="269" s="1"/>
  <c r="J145" i="269"/>
  <c r="K145" i="269"/>
  <c r="J146" i="269"/>
  <c r="K146" i="269" s="1"/>
  <c r="J147" i="269"/>
  <c r="K147" i="269" s="1"/>
  <c r="J148" i="269"/>
  <c r="K148" i="269" s="1"/>
  <c r="J149" i="269"/>
  <c r="K149" i="269" s="1"/>
  <c r="J150" i="269"/>
  <c r="K150" i="269" s="1"/>
  <c r="J151" i="269"/>
  <c r="K151" i="269" s="1"/>
  <c r="J152" i="269"/>
  <c r="K152" i="269" s="1"/>
  <c r="J153" i="269"/>
  <c r="K153" i="269"/>
  <c r="J154" i="269"/>
  <c r="K154" i="269" s="1"/>
  <c r="J155" i="269"/>
  <c r="K155" i="269" s="1"/>
  <c r="J156" i="269"/>
  <c r="K156" i="269" s="1"/>
  <c r="J157" i="269"/>
  <c r="K157" i="269" s="1"/>
  <c r="J158" i="269"/>
  <c r="K158" i="269" s="1"/>
  <c r="J159" i="269"/>
  <c r="K159" i="269" s="1"/>
  <c r="J160" i="269"/>
  <c r="K160" i="269" s="1"/>
  <c r="J161" i="269"/>
  <c r="K161" i="269"/>
  <c r="J162" i="269"/>
  <c r="K162" i="269" s="1"/>
  <c r="J163" i="269"/>
  <c r="K163" i="269" s="1"/>
  <c r="J164" i="269"/>
  <c r="K164" i="269" s="1"/>
  <c r="J165" i="269"/>
  <c r="K165" i="269" s="1"/>
  <c r="J166" i="269"/>
  <c r="K166" i="269" s="1"/>
  <c r="J167" i="269"/>
  <c r="K167" i="269" s="1"/>
  <c r="J168" i="269"/>
  <c r="K168" i="269" s="1"/>
  <c r="J169" i="269"/>
  <c r="K169" i="269"/>
  <c r="J170" i="269"/>
  <c r="K170" i="269" s="1"/>
  <c r="J171" i="269"/>
  <c r="K171" i="269" s="1"/>
  <c r="J172" i="269"/>
  <c r="K172" i="269" s="1"/>
  <c r="J173" i="269"/>
  <c r="K173" i="269" s="1"/>
  <c r="J174" i="269"/>
  <c r="K174" i="269" s="1"/>
  <c r="J175" i="269"/>
  <c r="K175" i="269" s="1"/>
  <c r="J176" i="269"/>
  <c r="K176" i="269" s="1"/>
  <c r="J177" i="269"/>
  <c r="K177" i="269"/>
  <c r="J178" i="269"/>
  <c r="K178" i="269" s="1"/>
  <c r="J179" i="269"/>
  <c r="K179" i="269" s="1"/>
  <c r="J180" i="269"/>
  <c r="K180" i="269" s="1"/>
  <c r="J181" i="269"/>
  <c r="K181" i="269" s="1"/>
  <c r="J182" i="269"/>
  <c r="K182" i="269" s="1"/>
  <c r="J183" i="269"/>
  <c r="K183" i="269" s="1"/>
  <c r="H322" i="269"/>
  <c r="I322" i="269" s="1"/>
  <c r="H323" i="269"/>
  <c r="I323" i="269"/>
  <c r="H324" i="269"/>
  <c r="I324" i="269" s="1"/>
  <c r="H325" i="269"/>
  <c r="I325" i="269" s="1"/>
  <c r="H326" i="269"/>
  <c r="I326" i="269" s="1"/>
  <c r="H327" i="269"/>
  <c r="I327" i="269" s="1"/>
  <c r="H328" i="269"/>
  <c r="I328" i="269" s="1"/>
  <c r="H329" i="269"/>
  <c r="I329" i="269" s="1"/>
  <c r="H330" i="269"/>
  <c r="I330" i="269" s="1"/>
  <c r="H331" i="269"/>
  <c r="I331" i="269"/>
  <c r="H332" i="269"/>
  <c r="I332" i="269" s="1"/>
  <c r="H333" i="269"/>
  <c r="I333" i="269" s="1"/>
  <c r="H334" i="269"/>
  <c r="I334" i="269" s="1"/>
  <c r="H335" i="269"/>
  <c r="I335" i="269" s="1"/>
  <c r="H336" i="269"/>
  <c r="I336" i="269" s="1"/>
  <c r="H337" i="269"/>
  <c r="I337" i="269"/>
  <c r="H338" i="269"/>
  <c r="I338" i="269" s="1"/>
  <c r="H339" i="269"/>
  <c r="I339" i="269"/>
  <c r="H340" i="269"/>
  <c r="I340" i="269" s="1"/>
  <c r="H341" i="269"/>
  <c r="I341" i="269" s="1"/>
  <c r="H342" i="269"/>
  <c r="I342" i="269" s="1"/>
  <c r="H343" i="269"/>
  <c r="I343" i="269" s="1"/>
  <c r="H344" i="269"/>
  <c r="I344" i="269" s="1"/>
  <c r="H345" i="269"/>
  <c r="I345" i="269" s="1"/>
  <c r="H346" i="269"/>
  <c r="I346" i="269" s="1"/>
  <c r="H347" i="269"/>
  <c r="I347" i="269"/>
  <c r="H348" i="269"/>
  <c r="I348" i="269" s="1"/>
  <c r="H349" i="269"/>
  <c r="I349" i="269" s="1"/>
  <c r="H350" i="269"/>
  <c r="I350" i="269" s="1"/>
  <c r="H351" i="269"/>
  <c r="I351" i="269" s="1"/>
  <c r="H352" i="269"/>
  <c r="I352" i="269" s="1"/>
  <c r="H353" i="269"/>
  <c r="I353" i="269"/>
  <c r="H354" i="269"/>
  <c r="I354" i="269" s="1"/>
  <c r="H355" i="269"/>
  <c r="I355" i="269"/>
  <c r="H356" i="269"/>
  <c r="I356" i="269" s="1"/>
  <c r="H357" i="269"/>
  <c r="I357" i="269" s="1"/>
  <c r="H358" i="269"/>
  <c r="I358" i="269" s="1"/>
  <c r="H359" i="269"/>
  <c r="I359" i="269" s="1"/>
  <c r="H360" i="269"/>
  <c r="I360" i="269" s="1"/>
  <c r="H361" i="269"/>
  <c r="I361" i="269" s="1"/>
  <c r="H362" i="269"/>
  <c r="I362" i="269" s="1"/>
  <c r="H363" i="269"/>
  <c r="I363" i="269"/>
  <c r="H364" i="269"/>
  <c r="I364" i="269" s="1"/>
  <c r="H365" i="269"/>
  <c r="I365" i="269" s="1"/>
  <c r="H366" i="269"/>
  <c r="I366" i="269" s="1"/>
  <c r="H367" i="269"/>
  <c r="I367" i="269" s="1"/>
  <c r="H368" i="269"/>
  <c r="I368" i="269" s="1"/>
  <c r="H369" i="269"/>
  <c r="I369" i="269"/>
  <c r="H370" i="269"/>
  <c r="I370" i="269" s="1"/>
  <c r="H371" i="269"/>
  <c r="I371" i="269"/>
  <c r="H372" i="269"/>
  <c r="I372" i="269" s="1"/>
  <c r="H373" i="269"/>
  <c r="I373" i="269" s="1"/>
  <c r="H374" i="269"/>
  <c r="I374" i="269" s="1"/>
  <c r="H375" i="269"/>
  <c r="I375" i="269" s="1"/>
  <c r="H376" i="269"/>
  <c r="I376" i="269" s="1"/>
  <c r="H377" i="269"/>
  <c r="I377" i="269" s="1"/>
  <c r="H378" i="269"/>
  <c r="I378" i="269" s="1"/>
  <c r="H379" i="269"/>
  <c r="I379" i="269" s="1"/>
  <c r="H380" i="269"/>
  <c r="I380" i="269" s="1"/>
  <c r="H381" i="269"/>
  <c r="I381" i="269"/>
  <c r="H382" i="269"/>
  <c r="I382" i="269" s="1"/>
  <c r="H383" i="269"/>
  <c r="I383" i="269"/>
  <c r="H384" i="269"/>
  <c r="I384" i="269" s="1"/>
  <c r="H385" i="269"/>
  <c r="I385" i="269" s="1"/>
  <c r="H386" i="269"/>
  <c r="I386" i="269" s="1"/>
  <c r="H387" i="269"/>
  <c r="I387" i="269" s="1"/>
  <c r="H388" i="269"/>
  <c r="I388" i="269" s="1"/>
  <c r="H389" i="269"/>
  <c r="I389" i="269"/>
  <c r="H390" i="269"/>
  <c r="I390" i="269" s="1"/>
  <c r="H391" i="269"/>
  <c r="I391" i="269"/>
  <c r="H392" i="269"/>
  <c r="I392" i="269" s="1"/>
  <c r="H393" i="269"/>
  <c r="I393" i="269" s="1"/>
  <c r="H394" i="269"/>
  <c r="I394" i="269" s="1"/>
  <c r="H395" i="269"/>
  <c r="I395" i="269" s="1"/>
  <c r="H396" i="269"/>
  <c r="I396" i="269" s="1"/>
  <c r="H397" i="269"/>
  <c r="I397" i="269"/>
  <c r="H398" i="269"/>
  <c r="I398" i="269" s="1"/>
  <c r="H399" i="269"/>
  <c r="I399" i="269"/>
  <c r="H400" i="269"/>
  <c r="I400" i="269" s="1"/>
  <c r="H401" i="269"/>
  <c r="I401" i="269" s="1"/>
  <c r="H402" i="269"/>
  <c r="I402" i="269" s="1"/>
  <c r="H403" i="269"/>
  <c r="I403" i="269" s="1"/>
  <c r="H404" i="269"/>
  <c r="I404" i="269" s="1"/>
  <c r="H321" i="269"/>
  <c r="I321" i="269"/>
  <c r="H185" i="269"/>
  <c r="I185" i="269" s="1"/>
  <c r="H186" i="269"/>
  <c r="I186" i="269"/>
  <c r="H187" i="269"/>
  <c r="I187" i="269" s="1"/>
  <c r="H188" i="269"/>
  <c r="I188" i="269" s="1"/>
  <c r="H189" i="269"/>
  <c r="I189" i="269" s="1"/>
  <c r="H190" i="269"/>
  <c r="I190" i="269" s="1"/>
  <c r="H191" i="269"/>
  <c r="I191" i="269" s="1"/>
  <c r="H192" i="269"/>
  <c r="I192" i="269"/>
  <c r="H193" i="269"/>
  <c r="I193" i="269" s="1"/>
  <c r="H194" i="269"/>
  <c r="I194" i="269"/>
  <c r="H195" i="269"/>
  <c r="I195" i="269" s="1"/>
  <c r="H196" i="269"/>
  <c r="I196" i="269" s="1"/>
  <c r="H197" i="269"/>
  <c r="I197" i="269" s="1"/>
  <c r="H198" i="269"/>
  <c r="I198" i="269" s="1"/>
  <c r="H199" i="269"/>
  <c r="I199" i="269" s="1"/>
  <c r="H200" i="269"/>
  <c r="I200" i="269"/>
  <c r="H201" i="269"/>
  <c r="I201" i="269" s="1"/>
  <c r="H202" i="269"/>
  <c r="I202" i="269"/>
  <c r="H203" i="269"/>
  <c r="I203" i="269" s="1"/>
  <c r="H204" i="269"/>
  <c r="I204" i="269" s="1"/>
  <c r="H205" i="269"/>
  <c r="I205" i="269" s="1"/>
  <c r="H206" i="269"/>
  <c r="I206" i="269" s="1"/>
  <c r="H207" i="269"/>
  <c r="I207" i="269" s="1"/>
  <c r="H208" i="269"/>
  <c r="I208" i="269"/>
  <c r="H209" i="269"/>
  <c r="I209" i="269" s="1"/>
  <c r="H210" i="269"/>
  <c r="I210" i="269"/>
  <c r="H211" i="269"/>
  <c r="I211" i="269" s="1"/>
  <c r="H212" i="269"/>
  <c r="I212" i="269" s="1"/>
  <c r="H213" i="269"/>
  <c r="I213" i="269" s="1"/>
  <c r="H214" i="269"/>
  <c r="I214" i="269" s="1"/>
  <c r="H215" i="269"/>
  <c r="I215" i="269" s="1"/>
  <c r="H216" i="269"/>
  <c r="I216" i="269"/>
  <c r="H217" i="269"/>
  <c r="I217" i="269" s="1"/>
  <c r="H218" i="269"/>
  <c r="I218" i="269"/>
  <c r="H219" i="269"/>
  <c r="I219" i="269" s="1"/>
  <c r="H220" i="269"/>
  <c r="I220" i="269" s="1"/>
  <c r="H221" i="269"/>
  <c r="I221" i="269" s="1"/>
  <c r="H222" i="269"/>
  <c r="I222" i="269" s="1"/>
  <c r="H223" i="269"/>
  <c r="I223" i="269" s="1"/>
  <c r="H224" i="269"/>
  <c r="I224" i="269"/>
  <c r="H225" i="269"/>
  <c r="I225" i="269" s="1"/>
  <c r="H226" i="269"/>
  <c r="I226" i="269"/>
  <c r="H227" i="269"/>
  <c r="I227" i="269" s="1"/>
  <c r="H228" i="269"/>
  <c r="I228" i="269" s="1"/>
  <c r="H229" i="269"/>
  <c r="I229" i="269" s="1"/>
  <c r="H230" i="269"/>
  <c r="I230" i="269" s="1"/>
  <c r="H231" i="269"/>
  <c r="I231" i="269" s="1"/>
  <c r="H232" i="269"/>
  <c r="I232" i="269"/>
  <c r="H233" i="269"/>
  <c r="I233" i="269" s="1"/>
  <c r="H234" i="269"/>
  <c r="I234" i="269"/>
  <c r="H235" i="269"/>
  <c r="I235" i="269" s="1"/>
  <c r="H236" i="269"/>
  <c r="I236" i="269" s="1"/>
  <c r="H237" i="269"/>
  <c r="I237" i="269" s="1"/>
  <c r="H238" i="269"/>
  <c r="I238" i="269" s="1"/>
  <c r="H239" i="269"/>
  <c r="I239" i="269" s="1"/>
  <c r="H240" i="269"/>
  <c r="I240" i="269"/>
  <c r="H241" i="269"/>
  <c r="I241" i="269" s="1"/>
  <c r="H242" i="269"/>
  <c r="I242" i="269"/>
  <c r="H243" i="269"/>
  <c r="I243" i="269" s="1"/>
  <c r="H244" i="269"/>
  <c r="I244" i="269" s="1"/>
  <c r="H245" i="269"/>
  <c r="I245" i="269" s="1"/>
  <c r="H246" i="269"/>
  <c r="I246" i="269" s="1"/>
  <c r="H247" i="269"/>
  <c r="I247" i="269" s="1"/>
  <c r="H248" i="269"/>
  <c r="I248" i="269"/>
  <c r="H249" i="269"/>
  <c r="I249" i="269" s="1"/>
  <c r="H250" i="269"/>
  <c r="I250" i="269"/>
  <c r="H251" i="269"/>
  <c r="I251" i="269" s="1"/>
  <c r="H252" i="269"/>
  <c r="I252" i="269" s="1"/>
  <c r="H253" i="269"/>
  <c r="I253" i="269" s="1"/>
  <c r="H254" i="269"/>
  <c r="I254" i="269" s="1"/>
  <c r="H255" i="269"/>
  <c r="I255" i="269" s="1"/>
  <c r="H256" i="269"/>
  <c r="I256" i="269"/>
  <c r="H257" i="269"/>
  <c r="I257" i="269" s="1"/>
  <c r="H258" i="269"/>
  <c r="I258" i="269"/>
  <c r="H259" i="269"/>
  <c r="I259" i="269" s="1"/>
  <c r="H260" i="269"/>
  <c r="I260" i="269" s="1"/>
  <c r="H261" i="269"/>
  <c r="I261" i="269" s="1"/>
  <c r="H262" i="269"/>
  <c r="I262" i="269" s="1"/>
  <c r="H263" i="269"/>
  <c r="I263" i="269" s="1"/>
  <c r="H264" i="269"/>
  <c r="I264" i="269"/>
  <c r="H265" i="269"/>
  <c r="I265" i="269" s="1"/>
  <c r="H266" i="269"/>
  <c r="I266" i="269"/>
  <c r="H267" i="269"/>
  <c r="I267" i="269" s="1"/>
  <c r="H268" i="269"/>
  <c r="I268" i="269" s="1"/>
  <c r="H269" i="269"/>
  <c r="I269" i="269" s="1"/>
  <c r="H270" i="269"/>
  <c r="I270" i="269" s="1"/>
  <c r="H271" i="269"/>
  <c r="I271" i="269" s="1"/>
  <c r="H272" i="269"/>
  <c r="I272" i="269"/>
  <c r="H273" i="269"/>
  <c r="I273" i="269" s="1"/>
  <c r="H274" i="269"/>
  <c r="I274" i="269"/>
  <c r="H275" i="269"/>
  <c r="I275" i="269" s="1"/>
  <c r="H276" i="269"/>
  <c r="I276" i="269" s="1"/>
  <c r="H277" i="269"/>
  <c r="I277" i="269" s="1"/>
  <c r="H278" i="269"/>
  <c r="I278" i="269" s="1"/>
  <c r="H279" i="269"/>
  <c r="I279" i="269" s="1"/>
  <c r="H280" i="269"/>
  <c r="I280" i="269"/>
  <c r="H281" i="269"/>
  <c r="I281" i="269" s="1"/>
  <c r="H282" i="269"/>
  <c r="I282" i="269"/>
  <c r="H283" i="269"/>
  <c r="I283" i="269" s="1"/>
  <c r="H284" i="269"/>
  <c r="I284" i="269" s="1"/>
  <c r="H285" i="269"/>
  <c r="I285" i="269" s="1"/>
  <c r="H286" i="269"/>
  <c r="I286" i="269" s="1"/>
  <c r="H287" i="269"/>
  <c r="I287" i="269" s="1"/>
  <c r="H288" i="269"/>
  <c r="I288" i="269"/>
  <c r="H289" i="269"/>
  <c r="I289" i="269" s="1"/>
  <c r="H290" i="269"/>
  <c r="I290" i="269"/>
  <c r="H291" i="269"/>
  <c r="I291" i="269" s="1"/>
  <c r="H292" i="269"/>
  <c r="I292" i="269" s="1"/>
  <c r="H293" i="269"/>
  <c r="I293" i="269" s="1"/>
  <c r="H294" i="269"/>
  <c r="I294" i="269" s="1"/>
  <c r="H295" i="269"/>
  <c r="I295" i="269" s="1"/>
  <c r="H296" i="269"/>
  <c r="I296" i="269"/>
  <c r="H297" i="269"/>
  <c r="I297" i="269" s="1"/>
  <c r="H298" i="269"/>
  <c r="I298" i="269"/>
  <c r="H299" i="269"/>
  <c r="I299" i="269" s="1"/>
  <c r="H300" i="269"/>
  <c r="I300" i="269"/>
  <c r="H301" i="269"/>
  <c r="I301" i="269" s="1"/>
  <c r="H302" i="269"/>
  <c r="I302" i="269"/>
  <c r="H303" i="269"/>
  <c r="I303" i="269" s="1"/>
  <c r="H304" i="269"/>
  <c r="I304" i="269"/>
  <c r="H305" i="269"/>
  <c r="I305" i="269" s="1"/>
  <c r="H306" i="269"/>
  <c r="I306" i="269"/>
  <c r="H307" i="269"/>
  <c r="I307" i="269" s="1"/>
  <c r="H308" i="269"/>
  <c r="I308" i="269"/>
  <c r="H309" i="269"/>
  <c r="I309" i="269" s="1"/>
  <c r="H310" i="269"/>
  <c r="I310" i="269"/>
  <c r="H311" i="269"/>
  <c r="I311" i="269" s="1"/>
  <c r="H312" i="269"/>
  <c r="I312" i="269"/>
  <c r="H313" i="269"/>
  <c r="I313" i="269" s="1"/>
  <c r="H314" i="269"/>
  <c r="I314" i="269"/>
  <c r="H315" i="269"/>
  <c r="I315" i="269" s="1"/>
  <c r="H316" i="269"/>
  <c r="I316" i="269" s="1"/>
  <c r="H317" i="269"/>
  <c r="I317" i="269"/>
  <c r="H318" i="269"/>
  <c r="I318" i="269" s="1"/>
  <c r="H319" i="269"/>
  <c r="I319" i="269" s="1"/>
  <c r="H320" i="269"/>
  <c r="I320" i="269" s="1"/>
  <c r="H184" i="269"/>
  <c r="I184" i="269" s="1"/>
  <c r="H18" i="269"/>
  <c r="I18" i="269" s="1"/>
  <c r="H19" i="269"/>
  <c r="I19" i="269"/>
  <c r="H20" i="269"/>
  <c r="I20" i="269" s="1"/>
  <c r="H21" i="269"/>
  <c r="I21" i="269"/>
  <c r="H22" i="269"/>
  <c r="I22" i="269" s="1"/>
  <c r="H23" i="269"/>
  <c r="I23" i="269" s="1"/>
  <c r="H24" i="269"/>
  <c r="H25" i="269"/>
  <c r="I25" i="269" s="1"/>
  <c r="H26" i="269"/>
  <c r="I26" i="269" s="1"/>
  <c r="H27" i="269"/>
  <c r="I27" i="269"/>
  <c r="H28" i="269"/>
  <c r="I28" i="269" s="1"/>
  <c r="H29" i="269"/>
  <c r="I29" i="269"/>
  <c r="H30" i="269"/>
  <c r="I30" i="269" s="1"/>
  <c r="H31" i="269"/>
  <c r="I31" i="269" s="1"/>
  <c r="H32" i="269"/>
  <c r="I32" i="269" s="1"/>
  <c r="H33" i="269"/>
  <c r="I33" i="269" s="1"/>
  <c r="H34" i="269"/>
  <c r="I34" i="269" s="1"/>
  <c r="H35" i="269"/>
  <c r="I35" i="269"/>
  <c r="H36" i="269"/>
  <c r="I36" i="269" s="1"/>
  <c r="H37" i="269"/>
  <c r="I37" i="269"/>
  <c r="H38" i="269"/>
  <c r="I38" i="269" s="1"/>
  <c r="H39" i="269"/>
  <c r="I39" i="269" s="1"/>
  <c r="H40" i="269"/>
  <c r="I40" i="269" s="1"/>
  <c r="H41" i="269"/>
  <c r="I41" i="269" s="1"/>
  <c r="H42" i="269"/>
  <c r="I42" i="269" s="1"/>
  <c r="H43" i="269"/>
  <c r="I43" i="269"/>
  <c r="H44" i="269"/>
  <c r="I44" i="269" s="1"/>
  <c r="H45" i="269"/>
  <c r="I45" i="269"/>
  <c r="H46" i="269"/>
  <c r="I46" i="269" s="1"/>
  <c r="H47" i="269"/>
  <c r="I47" i="269" s="1"/>
  <c r="H48" i="269"/>
  <c r="I48" i="269" s="1"/>
  <c r="H49" i="269"/>
  <c r="I49" i="269" s="1"/>
  <c r="H50" i="269"/>
  <c r="I50" i="269" s="1"/>
  <c r="H51" i="269"/>
  <c r="I51" i="269"/>
  <c r="H52" i="269"/>
  <c r="I52" i="269" s="1"/>
  <c r="H53" i="269"/>
  <c r="I53" i="269"/>
  <c r="H54" i="269"/>
  <c r="I54" i="269" s="1"/>
  <c r="H55" i="269"/>
  <c r="I55" i="269" s="1"/>
  <c r="H56" i="269"/>
  <c r="I56" i="269" s="1"/>
  <c r="H57" i="269"/>
  <c r="I57" i="269" s="1"/>
  <c r="H58" i="269"/>
  <c r="I58" i="269" s="1"/>
  <c r="H59" i="269"/>
  <c r="I59" i="269"/>
  <c r="H60" i="269"/>
  <c r="I60" i="269" s="1"/>
  <c r="H61" i="269"/>
  <c r="I61" i="269"/>
  <c r="H62" i="269"/>
  <c r="I62" i="269" s="1"/>
  <c r="H63" i="269"/>
  <c r="I63" i="269" s="1"/>
  <c r="H64" i="269"/>
  <c r="I64" i="269" s="1"/>
  <c r="H65" i="269"/>
  <c r="I65" i="269" s="1"/>
  <c r="H66" i="269"/>
  <c r="I66" i="269" s="1"/>
  <c r="H67" i="269"/>
  <c r="I67" i="269"/>
  <c r="H68" i="269"/>
  <c r="I68" i="269" s="1"/>
  <c r="H69" i="269"/>
  <c r="I69" i="269"/>
  <c r="H70" i="269"/>
  <c r="I70" i="269" s="1"/>
  <c r="H71" i="269"/>
  <c r="I71" i="269" s="1"/>
  <c r="H72" i="269"/>
  <c r="I72" i="269" s="1"/>
  <c r="H73" i="269"/>
  <c r="I73" i="269" s="1"/>
  <c r="H74" i="269"/>
  <c r="I74" i="269" s="1"/>
  <c r="H75" i="269"/>
  <c r="I75" i="269"/>
  <c r="H76" i="269"/>
  <c r="I76" i="269" s="1"/>
  <c r="H77" i="269"/>
  <c r="I77" i="269"/>
  <c r="H78" i="269"/>
  <c r="I78" i="269" s="1"/>
  <c r="H79" i="269"/>
  <c r="I79" i="269" s="1"/>
  <c r="H80" i="269"/>
  <c r="I80" i="269" s="1"/>
  <c r="H81" i="269"/>
  <c r="I81" i="269" s="1"/>
  <c r="H82" i="269"/>
  <c r="I82" i="269" s="1"/>
  <c r="H83" i="269"/>
  <c r="I83" i="269"/>
  <c r="H84" i="269"/>
  <c r="I84" i="269" s="1"/>
  <c r="H85" i="269"/>
  <c r="I85" i="269"/>
  <c r="H86" i="269"/>
  <c r="I86" i="269" s="1"/>
  <c r="H87" i="269"/>
  <c r="I87" i="269" s="1"/>
  <c r="H88" i="269"/>
  <c r="I88" i="269" s="1"/>
  <c r="H89" i="269"/>
  <c r="I89" i="269" s="1"/>
  <c r="H90" i="269"/>
  <c r="I90" i="269" s="1"/>
  <c r="H91" i="269"/>
  <c r="I91" i="269"/>
  <c r="H92" i="269"/>
  <c r="I92" i="269" s="1"/>
  <c r="H93" i="269"/>
  <c r="I93" i="269"/>
  <c r="H94" i="269"/>
  <c r="I94" i="269" s="1"/>
  <c r="H95" i="269"/>
  <c r="I95" i="269" s="1"/>
  <c r="H96" i="269"/>
  <c r="I96" i="269" s="1"/>
  <c r="H97" i="269"/>
  <c r="I97" i="269" s="1"/>
  <c r="H98" i="269"/>
  <c r="I98" i="269" s="1"/>
  <c r="H99" i="269"/>
  <c r="I99" i="269"/>
  <c r="H100" i="269"/>
  <c r="I100" i="269" s="1"/>
  <c r="H101" i="269"/>
  <c r="I101" i="269"/>
  <c r="H102" i="269"/>
  <c r="I102" i="269" s="1"/>
  <c r="H103" i="269"/>
  <c r="I103" i="269" s="1"/>
  <c r="H104" i="269"/>
  <c r="I104" i="269" s="1"/>
  <c r="H105" i="269"/>
  <c r="I105" i="269" s="1"/>
  <c r="H106" i="269"/>
  <c r="I106" i="269" s="1"/>
  <c r="H107" i="269"/>
  <c r="I107" i="269"/>
  <c r="H108" i="269"/>
  <c r="I108" i="269" s="1"/>
  <c r="H109" i="269"/>
  <c r="I109" i="269" s="1"/>
  <c r="H110" i="269"/>
  <c r="I110" i="269" s="1"/>
  <c r="H111" i="269"/>
  <c r="I111" i="269" s="1"/>
  <c r="H112" i="269"/>
  <c r="I112" i="269" s="1"/>
  <c r="H113" i="269"/>
  <c r="I113" i="269" s="1"/>
  <c r="H114" i="269"/>
  <c r="I114" i="269" s="1"/>
  <c r="H115" i="269"/>
  <c r="I115" i="269"/>
  <c r="H116" i="269"/>
  <c r="I116" i="269" s="1"/>
  <c r="H117" i="269"/>
  <c r="I117" i="269" s="1"/>
  <c r="H118" i="269"/>
  <c r="I118" i="269" s="1"/>
  <c r="H119" i="269"/>
  <c r="I119" i="269" s="1"/>
  <c r="H120" i="269"/>
  <c r="I120" i="269" s="1"/>
  <c r="H121" i="269"/>
  <c r="I121" i="269" s="1"/>
  <c r="H122" i="269"/>
  <c r="I122" i="269" s="1"/>
  <c r="H123" i="269"/>
  <c r="I123" i="269"/>
  <c r="H124" i="269"/>
  <c r="I124" i="269" s="1"/>
  <c r="H125" i="269"/>
  <c r="I125" i="269" s="1"/>
  <c r="H126" i="269"/>
  <c r="I126" i="269" s="1"/>
  <c r="H127" i="269"/>
  <c r="I127" i="269" s="1"/>
  <c r="H128" i="269"/>
  <c r="I128" i="269" s="1"/>
  <c r="H129" i="269"/>
  <c r="I129" i="269" s="1"/>
  <c r="H130" i="269"/>
  <c r="I130" i="269" s="1"/>
  <c r="H131" i="269"/>
  <c r="I131" i="269"/>
  <c r="H132" i="269"/>
  <c r="I132" i="269" s="1"/>
  <c r="H133" i="269"/>
  <c r="I133" i="269" s="1"/>
  <c r="H134" i="269"/>
  <c r="I134" i="269" s="1"/>
  <c r="H135" i="269"/>
  <c r="I135" i="269" s="1"/>
  <c r="H136" i="269"/>
  <c r="I136" i="269" s="1"/>
  <c r="H137" i="269"/>
  <c r="I137" i="269" s="1"/>
  <c r="H138" i="269"/>
  <c r="I138" i="269" s="1"/>
  <c r="H139" i="269"/>
  <c r="I139" i="269"/>
  <c r="H140" i="269"/>
  <c r="I140" i="269" s="1"/>
  <c r="H141" i="269"/>
  <c r="I141" i="269" s="1"/>
  <c r="H17" i="269"/>
  <c r="I17" i="269" s="1"/>
  <c r="F406" i="269"/>
  <c r="G406" i="269" s="1"/>
  <c r="F407" i="269"/>
  <c r="G407" i="269" s="1"/>
  <c r="F408" i="269"/>
  <c r="G408" i="269" s="1"/>
  <c r="F409" i="269"/>
  <c r="G409" i="269" s="1"/>
  <c r="F410" i="269"/>
  <c r="G410" i="269"/>
  <c r="F411" i="269"/>
  <c r="G411" i="269" s="1"/>
  <c r="F412" i="269"/>
  <c r="G412" i="269" s="1"/>
  <c r="F413" i="269"/>
  <c r="G413" i="269" s="1"/>
  <c r="F414" i="269"/>
  <c r="G414" i="269" s="1"/>
  <c r="F415" i="269"/>
  <c r="G415" i="269" s="1"/>
  <c r="F416" i="269"/>
  <c r="G416" i="269" s="1"/>
  <c r="F417" i="269"/>
  <c r="G417" i="269" s="1"/>
  <c r="F418" i="269"/>
  <c r="G418" i="269"/>
  <c r="F419" i="269"/>
  <c r="G419" i="269" s="1"/>
  <c r="F420" i="269"/>
  <c r="G420" i="269"/>
  <c r="F421" i="269"/>
  <c r="G421" i="269" s="1"/>
  <c r="F422" i="269"/>
  <c r="G422" i="269" s="1"/>
  <c r="F423" i="269"/>
  <c r="G423" i="269" s="1"/>
  <c r="F424" i="269"/>
  <c r="G424" i="269" s="1"/>
  <c r="F425" i="269"/>
  <c r="G425" i="269" s="1"/>
  <c r="F426" i="269"/>
  <c r="G426" i="269"/>
  <c r="F427" i="269"/>
  <c r="G427" i="269" s="1"/>
  <c r="F428" i="269"/>
  <c r="G428" i="269"/>
  <c r="F429" i="269"/>
  <c r="G429" i="269" s="1"/>
  <c r="F430" i="269"/>
  <c r="G430" i="269" s="1"/>
  <c r="F431" i="269"/>
  <c r="G431" i="269" s="1"/>
  <c r="F432" i="269"/>
  <c r="G432" i="269" s="1"/>
  <c r="F433" i="269"/>
  <c r="G433" i="269" s="1"/>
  <c r="F434" i="269"/>
  <c r="G434" i="269"/>
  <c r="F435" i="269"/>
  <c r="G435" i="269" s="1"/>
  <c r="F436" i="269"/>
  <c r="G436" i="269"/>
  <c r="F437" i="269"/>
  <c r="G437" i="269" s="1"/>
  <c r="F438" i="269"/>
  <c r="G438" i="269" s="1"/>
  <c r="F439" i="269"/>
  <c r="G439" i="269" s="1"/>
  <c r="F440" i="269"/>
  <c r="G440" i="269" s="1"/>
  <c r="F441" i="269"/>
  <c r="G441" i="269" s="1"/>
  <c r="F442" i="269"/>
  <c r="G442" i="269"/>
  <c r="F443" i="269"/>
  <c r="G443" i="269" s="1"/>
  <c r="F444" i="269"/>
  <c r="G444" i="269"/>
  <c r="F445" i="269"/>
  <c r="G445" i="269" s="1"/>
  <c r="F446" i="269"/>
  <c r="G446" i="269" s="1"/>
  <c r="F447" i="269"/>
  <c r="G447" i="269" s="1"/>
  <c r="F448" i="269"/>
  <c r="G448" i="269" s="1"/>
  <c r="F449" i="269"/>
  <c r="G449" i="269" s="1"/>
  <c r="F450" i="269"/>
  <c r="G450" i="269"/>
  <c r="F451" i="269"/>
  <c r="G451" i="269" s="1"/>
  <c r="F452" i="269"/>
  <c r="G452" i="269"/>
  <c r="F453" i="269"/>
  <c r="G453" i="269" s="1"/>
  <c r="F454" i="269"/>
  <c r="G454" i="269" s="1"/>
  <c r="F455" i="269"/>
  <c r="G455" i="269" s="1"/>
  <c r="F456" i="269"/>
  <c r="G456" i="269" s="1"/>
  <c r="F457" i="269"/>
  <c r="G457" i="269" s="1"/>
  <c r="F458" i="269"/>
  <c r="G458" i="269"/>
  <c r="F459" i="269"/>
  <c r="G459" i="269" s="1"/>
  <c r="F460" i="269"/>
  <c r="G460" i="269"/>
  <c r="F461" i="269"/>
  <c r="G461" i="269" s="1"/>
  <c r="F462" i="269"/>
  <c r="G462" i="269" s="1"/>
  <c r="F463" i="269"/>
  <c r="G463" i="269" s="1"/>
  <c r="F464" i="269"/>
  <c r="G464" i="269" s="1"/>
  <c r="F465" i="269"/>
  <c r="G465" i="269" s="1"/>
  <c r="F466" i="269"/>
  <c r="G466" i="269"/>
  <c r="F467" i="269"/>
  <c r="G467" i="269" s="1"/>
  <c r="F468" i="269"/>
  <c r="G468" i="269" s="1"/>
  <c r="F469" i="269"/>
  <c r="G469" i="269" s="1"/>
  <c r="F470" i="269"/>
  <c r="G470" i="269" s="1"/>
  <c r="F471" i="269"/>
  <c r="G471" i="269" s="1"/>
  <c r="F472" i="269"/>
  <c r="G472" i="269" s="1"/>
  <c r="F473" i="269"/>
  <c r="G473" i="269" s="1"/>
  <c r="F474" i="269"/>
  <c r="G474" i="269"/>
  <c r="F475" i="269"/>
  <c r="G475" i="269" s="1"/>
  <c r="F476" i="269"/>
  <c r="G476" i="269"/>
  <c r="F477" i="269"/>
  <c r="G477" i="269" s="1"/>
  <c r="F478" i="269"/>
  <c r="G478" i="269" s="1"/>
  <c r="F479" i="269"/>
  <c r="G479" i="269" s="1"/>
  <c r="F480" i="269"/>
  <c r="G480" i="269" s="1"/>
  <c r="F481" i="269"/>
  <c r="G481" i="269" s="1"/>
  <c r="F482" i="269"/>
  <c r="G482" i="269"/>
  <c r="F483" i="269"/>
  <c r="G483" i="269" s="1"/>
  <c r="F484" i="269"/>
  <c r="G484" i="269"/>
  <c r="F485" i="269"/>
  <c r="G485" i="269" s="1"/>
  <c r="F486" i="269"/>
  <c r="G486" i="269" s="1"/>
  <c r="F487" i="269"/>
  <c r="G487" i="269" s="1"/>
  <c r="F488" i="269"/>
  <c r="G488" i="269" s="1"/>
  <c r="F489" i="269"/>
  <c r="G489" i="269" s="1"/>
  <c r="F490" i="269"/>
  <c r="G490" i="269"/>
  <c r="F491" i="269"/>
  <c r="G491" i="269" s="1"/>
  <c r="F494" i="269"/>
  <c r="G494" i="269"/>
  <c r="F495" i="269"/>
  <c r="G495" i="269" s="1"/>
  <c r="F496" i="269"/>
  <c r="G496" i="269" s="1"/>
  <c r="F497" i="269"/>
  <c r="G497" i="269" s="1"/>
  <c r="F498" i="269"/>
  <c r="G498" i="269" s="1"/>
  <c r="F499" i="269"/>
  <c r="G499" i="269" s="1"/>
  <c r="F405" i="269"/>
  <c r="G405" i="269"/>
  <c r="F185" i="269"/>
  <c r="G185" i="269" s="1"/>
  <c r="F186" i="269"/>
  <c r="G186" i="269"/>
  <c r="F187" i="269"/>
  <c r="G187" i="269" s="1"/>
  <c r="F188" i="269"/>
  <c r="G188" i="269" s="1"/>
  <c r="F189" i="269"/>
  <c r="G189" i="269" s="1"/>
  <c r="F190" i="269"/>
  <c r="G190" i="269" s="1"/>
  <c r="F191" i="269"/>
  <c r="G191" i="269" s="1"/>
  <c r="F192" i="269"/>
  <c r="G192" i="269"/>
  <c r="F193" i="269"/>
  <c r="G193" i="269" s="1"/>
  <c r="F194" i="269"/>
  <c r="G194" i="269" s="1"/>
  <c r="F195" i="269"/>
  <c r="G195" i="269"/>
  <c r="F196" i="269"/>
  <c r="G196" i="269" s="1"/>
  <c r="F197" i="269"/>
  <c r="G197" i="269"/>
  <c r="F198" i="269"/>
  <c r="G198" i="269" s="1"/>
  <c r="F199" i="269"/>
  <c r="G199" i="269"/>
  <c r="F200" i="269"/>
  <c r="G200" i="269" s="1"/>
  <c r="F201" i="269"/>
  <c r="G201" i="269"/>
  <c r="F202" i="269"/>
  <c r="G202" i="269" s="1"/>
  <c r="F203" i="269"/>
  <c r="G203" i="269"/>
  <c r="F204" i="269"/>
  <c r="G204" i="269" s="1"/>
  <c r="F205" i="269"/>
  <c r="G205" i="269"/>
  <c r="F206" i="269"/>
  <c r="G206" i="269" s="1"/>
  <c r="F207" i="269"/>
  <c r="G207" i="269"/>
  <c r="F208" i="269"/>
  <c r="G208" i="269" s="1"/>
  <c r="F209" i="269"/>
  <c r="G209" i="269"/>
  <c r="F210" i="269"/>
  <c r="G210" i="269" s="1"/>
  <c r="F211" i="269"/>
  <c r="G211" i="269"/>
  <c r="F212" i="269"/>
  <c r="G212" i="269" s="1"/>
  <c r="F213" i="269"/>
  <c r="G213" i="269"/>
  <c r="F214" i="269"/>
  <c r="G214" i="269" s="1"/>
  <c r="F215" i="269"/>
  <c r="G215" i="269"/>
  <c r="F216" i="269"/>
  <c r="G216" i="269" s="1"/>
  <c r="F217" i="269"/>
  <c r="G217" i="269"/>
  <c r="F218" i="269"/>
  <c r="G218" i="269" s="1"/>
  <c r="F219" i="269"/>
  <c r="G219" i="269"/>
  <c r="F220" i="269"/>
  <c r="G220" i="269" s="1"/>
  <c r="F221" i="269"/>
  <c r="G221" i="269"/>
  <c r="F222" i="269"/>
  <c r="G222" i="269" s="1"/>
  <c r="F223" i="269"/>
  <c r="G223" i="269"/>
  <c r="F224" i="269"/>
  <c r="G224" i="269" s="1"/>
  <c r="F225" i="269"/>
  <c r="G225" i="269"/>
  <c r="F226" i="269"/>
  <c r="G226" i="269" s="1"/>
  <c r="F227" i="269"/>
  <c r="G227" i="269"/>
  <c r="F228" i="269"/>
  <c r="G228" i="269" s="1"/>
  <c r="F229" i="269"/>
  <c r="G229" i="269"/>
  <c r="F230" i="269"/>
  <c r="G230" i="269" s="1"/>
  <c r="F231" i="269"/>
  <c r="G231" i="269"/>
  <c r="F232" i="269"/>
  <c r="G232" i="269" s="1"/>
  <c r="F233" i="269"/>
  <c r="G233" i="269"/>
  <c r="F234" i="269"/>
  <c r="G234" i="269" s="1"/>
  <c r="F235" i="269"/>
  <c r="G235" i="269"/>
  <c r="F236" i="269"/>
  <c r="G236" i="269" s="1"/>
  <c r="F237" i="269"/>
  <c r="G237" i="269"/>
  <c r="F238" i="269"/>
  <c r="G238" i="269" s="1"/>
  <c r="F239" i="269"/>
  <c r="G239" i="269"/>
  <c r="F240" i="269"/>
  <c r="G240" i="269" s="1"/>
  <c r="F241" i="269"/>
  <c r="G241" i="269"/>
  <c r="F242" i="269"/>
  <c r="G242" i="269" s="1"/>
  <c r="F243" i="269"/>
  <c r="G243" i="269"/>
  <c r="F244" i="269"/>
  <c r="G244" i="269" s="1"/>
  <c r="F245" i="269"/>
  <c r="G245" i="269"/>
  <c r="F246" i="269"/>
  <c r="G246" i="269" s="1"/>
  <c r="F247" i="269"/>
  <c r="G247" i="269"/>
  <c r="F248" i="269"/>
  <c r="G248" i="269" s="1"/>
  <c r="F249" i="269"/>
  <c r="G249" i="269"/>
  <c r="F250" i="269"/>
  <c r="G250" i="269" s="1"/>
  <c r="F251" i="269"/>
  <c r="G251" i="269"/>
  <c r="F252" i="269"/>
  <c r="G252" i="269" s="1"/>
  <c r="F253" i="269"/>
  <c r="G253" i="269"/>
  <c r="F254" i="269"/>
  <c r="G254" i="269" s="1"/>
  <c r="F255" i="269"/>
  <c r="G255" i="269"/>
  <c r="F256" i="269"/>
  <c r="G256" i="269" s="1"/>
  <c r="F257" i="269"/>
  <c r="G257" i="269"/>
  <c r="F258" i="269"/>
  <c r="G258" i="269" s="1"/>
  <c r="F259" i="269"/>
  <c r="G259" i="269"/>
  <c r="F260" i="269"/>
  <c r="G260" i="269" s="1"/>
  <c r="F261" i="269"/>
  <c r="G261" i="269"/>
  <c r="F262" i="269"/>
  <c r="G262" i="269" s="1"/>
  <c r="F263" i="269"/>
  <c r="G263" i="269"/>
  <c r="F264" i="269"/>
  <c r="G264" i="269" s="1"/>
  <c r="F265" i="269"/>
  <c r="G265" i="269"/>
  <c r="F266" i="269"/>
  <c r="G266" i="269" s="1"/>
  <c r="F267" i="269"/>
  <c r="G267" i="269"/>
  <c r="F268" i="269"/>
  <c r="G268" i="269" s="1"/>
  <c r="F269" i="269"/>
  <c r="G269" i="269"/>
  <c r="F270" i="269"/>
  <c r="G270" i="269" s="1"/>
  <c r="F271" i="269"/>
  <c r="G271" i="269"/>
  <c r="F272" i="269"/>
  <c r="G272" i="269" s="1"/>
  <c r="F273" i="269"/>
  <c r="G273" i="269"/>
  <c r="F274" i="269"/>
  <c r="G274" i="269" s="1"/>
  <c r="F275" i="269"/>
  <c r="G275" i="269"/>
  <c r="F276" i="269"/>
  <c r="G276" i="269" s="1"/>
  <c r="F277" i="269"/>
  <c r="G277" i="269"/>
  <c r="F278" i="269"/>
  <c r="G278" i="269" s="1"/>
  <c r="F279" i="269"/>
  <c r="G279" i="269" s="1"/>
  <c r="F280" i="269"/>
  <c r="G280" i="269" s="1"/>
  <c r="F281" i="269"/>
  <c r="G281" i="269" s="1"/>
  <c r="F282" i="269"/>
  <c r="G282" i="269" s="1"/>
  <c r="F283" i="269"/>
  <c r="G283" i="269" s="1"/>
  <c r="F284" i="269"/>
  <c r="G284" i="269" s="1"/>
  <c r="F285" i="269"/>
  <c r="G285" i="269" s="1"/>
  <c r="F286" i="269"/>
  <c r="G286" i="269" s="1"/>
  <c r="F287" i="269"/>
  <c r="G287" i="269" s="1"/>
  <c r="F288" i="269"/>
  <c r="G288" i="269" s="1"/>
  <c r="F289" i="269"/>
  <c r="G289" i="269" s="1"/>
  <c r="F290" i="269"/>
  <c r="G290" i="269" s="1"/>
  <c r="F291" i="269"/>
  <c r="G291" i="269" s="1"/>
  <c r="F292" i="269"/>
  <c r="G292" i="269" s="1"/>
  <c r="F293" i="269"/>
  <c r="G293" i="269" s="1"/>
  <c r="F294" i="269"/>
  <c r="G294" i="269" s="1"/>
  <c r="F295" i="269"/>
  <c r="G295" i="269" s="1"/>
  <c r="F296" i="269"/>
  <c r="G296" i="269" s="1"/>
  <c r="F297" i="269"/>
  <c r="G297" i="269" s="1"/>
  <c r="F298" i="269"/>
  <c r="G298" i="269" s="1"/>
  <c r="F299" i="269"/>
  <c r="G299" i="269" s="1"/>
  <c r="F300" i="269"/>
  <c r="G300" i="269" s="1"/>
  <c r="F301" i="269"/>
  <c r="G301" i="269" s="1"/>
  <c r="F302" i="269"/>
  <c r="G302" i="269" s="1"/>
  <c r="F303" i="269"/>
  <c r="G303" i="269" s="1"/>
  <c r="F304" i="269"/>
  <c r="G304" i="269" s="1"/>
  <c r="F305" i="269"/>
  <c r="G305" i="269" s="1"/>
  <c r="F306" i="269"/>
  <c r="G306" i="269" s="1"/>
  <c r="F307" i="269"/>
  <c r="G307" i="269" s="1"/>
  <c r="F308" i="269"/>
  <c r="G308" i="269" s="1"/>
  <c r="F309" i="269"/>
  <c r="G309" i="269" s="1"/>
  <c r="F310" i="269"/>
  <c r="G310" i="269" s="1"/>
  <c r="F311" i="269"/>
  <c r="G311" i="269" s="1"/>
  <c r="F312" i="269"/>
  <c r="G312" i="269" s="1"/>
  <c r="F313" i="269"/>
  <c r="G313" i="269" s="1"/>
  <c r="F314" i="269"/>
  <c r="G314" i="269" s="1"/>
  <c r="F315" i="269"/>
  <c r="G315" i="269" s="1"/>
  <c r="F316" i="269"/>
  <c r="G316" i="269" s="1"/>
  <c r="F317" i="269"/>
  <c r="G317" i="269" s="1"/>
  <c r="F318" i="269"/>
  <c r="G318" i="269" s="1"/>
  <c r="F319" i="269"/>
  <c r="G319" i="269" s="1"/>
  <c r="F320" i="269"/>
  <c r="G320" i="269" s="1"/>
  <c r="F184" i="269"/>
  <c r="G184" i="269" s="1"/>
  <c r="F142" i="269"/>
  <c r="G142" i="269" s="1"/>
  <c r="F143" i="269"/>
  <c r="G143" i="269" s="1"/>
  <c r="F144" i="269"/>
  <c r="G144" i="269" s="1"/>
  <c r="F145" i="269"/>
  <c r="G145" i="269" s="1"/>
  <c r="F146" i="269"/>
  <c r="G146" i="269" s="1"/>
  <c r="F147" i="269"/>
  <c r="G147" i="269" s="1"/>
  <c r="F148" i="269"/>
  <c r="G148" i="269" s="1"/>
  <c r="F149" i="269"/>
  <c r="G149" i="269" s="1"/>
  <c r="F150" i="269"/>
  <c r="G150" i="269" s="1"/>
  <c r="F151" i="269"/>
  <c r="G151" i="269" s="1"/>
  <c r="F152" i="269"/>
  <c r="G152" i="269" s="1"/>
  <c r="F153" i="269"/>
  <c r="G153" i="269" s="1"/>
  <c r="F154" i="269"/>
  <c r="G154" i="269" s="1"/>
  <c r="F155" i="269"/>
  <c r="G155" i="269" s="1"/>
  <c r="F156" i="269"/>
  <c r="G156" i="269" s="1"/>
  <c r="F157" i="269"/>
  <c r="G157" i="269" s="1"/>
  <c r="F158" i="269"/>
  <c r="G158" i="269" s="1"/>
  <c r="F159" i="269"/>
  <c r="G159" i="269" s="1"/>
  <c r="F160" i="269"/>
  <c r="G160" i="269" s="1"/>
  <c r="F161" i="269"/>
  <c r="G161" i="269" s="1"/>
  <c r="F162" i="269"/>
  <c r="G162" i="269" s="1"/>
  <c r="F163" i="269"/>
  <c r="G163" i="269" s="1"/>
  <c r="F164" i="269"/>
  <c r="G164" i="269" s="1"/>
  <c r="F165" i="269"/>
  <c r="G165" i="269" s="1"/>
  <c r="F166" i="269"/>
  <c r="G166" i="269" s="1"/>
  <c r="F167" i="269"/>
  <c r="G167" i="269" s="1"/>
  <c r="F168" i="269"/>
  <c r="G168" i="269" s="1"/>
  <c r="F169" i="269"/>
  <c r="G169" i="269" s="1"/>
  <c r="F170" i="269"/>
  <c r="G170" i="269" s="1"/>
  <c r="F171" i="269"/>
  <c r="G171" i="269" s="1"/>
  <c r="F172" i="269"/>
  <c r="G172" i="269" s="1"/>
  <c r="F173" i="269"/>
  <c r="G173" i="269" s="1"/>
  <c r="F174" i="269"/>
  <c r="G174" i="269" s="1"/>
  <c r="F175" i="269"/>
  <c r="G175" i="269" s="1"/>
  <c r="F176" i="269"/>
  <c r="G176" i="269" s="1"/>
  <c r="F177" i="269"/>
  <c r="G177" i="269" s="1"/>
  <c r="F178" i="269"/>
  <c r="G178" i="269" s="1"/>
  <c r="F179" i="269"/>
  <c r="G179" i="269" s="1"/>
  <c r="F180" i="269"/>
  <c r="G180" i="269" s="1"/>
  <c r="F181" i="269"/>
  <c r="G181" i="269" s="1"/>
  <c r="F182" i="269"/>
  <c r="G182" i="269" s="1"/>
  <c r="F183" i="269"/>
  <c r="G183" i="269" s="1"/>
  <c r="F18" i="269"/>
  <c r="G18" i="269" s="1"/>
  <c r="F19" i="269"/>
  <c r="G19" i="269" s="1"/>
  <c r="F20" i="269"/>
  <c r="G20" i="269" s="1"/>
  <c r="F21" i="269"/>
  <c r="G21" i="269" s="1"/>
  <c r="F22" i="269"/>
  <c r="G22" i="269" s="1"/>
  <c r="F23" i="269"/>
  <c r="G23" i="269" s="1"/>
  <c r="F24" i="269"/>
  <c r="G24" i="269" s="1"/>
  <c r="F25" i="269"/>
  <c r="G25" i="269" s="1"/>
  <c r="F26" i="269"/>
  <c r="G26" i="269" s="1"/>
  <c r="F27" i="269"/>
  <c r="G27" i="269" s="1"/>
  <c r="F28" i="269"/>
  <c r="G28" i="269" s="1"/>
  <c r="F29" i="269"/>
  <c r="G29" i="269" s="1"/>
  <c r="F30" i="269"/>
  <c r="G30" i="269" s="1"/>
  <c r="F31" i="269"/>
  <c r="G31" i="269" s="1"/>
  <c r="F32" i="269"/>
  <c r="G32" i="269" s="1"/>
  <c r="F33" i="269"/>
  <c r="G33" i="269" s="1"/>
  <c r="F34" i="269"/>
  <c r="G34" i="269" s="1"/>
  <c r="F35" i="269"/>
  <c r="G35" i="269" s="1"/>
  <c r="F36" i="269"/>
  <c r="G36" i="269" s="1"/>
  <c r="F37" i="269"/>
  <c r="G37" i="269" s="1"/>
  <c r="F38" i="269"/>
  <c r="G38" i="269" s="1"/>
  <c r="F39" i="269"/>
  <c r="G39" i="269" s="1"/>
  <c r="F40" i="269"/>
  <c r="G40" i="269" s="1"/>
  <c r="F41" i="269"/>
  <c r="G41" i="269" s="1"/>
  <c r="F42" i="269"/>
  <c r="G42" i="269" s="1"/>
  <c r="F43" i="269"/>
  <c r="G43" i="269" s="1"/>
  <c r="F44" i="269"/>
  <c r="G44" i="269" s="1"/>
  <c r="F45" i="269"/>
  <c r="G45" i="269" s="1"/>
  <c r="F46" i="269"/>
  <c r="G46" i="269" s="1"/>
  <c r="F47" i="269"/>
  <c r="G47" i="269" s="1"/>
  <c r="F48" i="269"/>
  <c r="G48" i="269" s="1"/>
  <c r="F49" i="269"/>
  <c r="G49" i="269" s="1"/>
  <c r="F50" i="269"/>
  <c r="G50" i="269" s="1"/>
  <c r="F51" i="269"/>
  <c r="G51" i="269" s="1"/>
  <c r="F52" i="269"/>
  <c r="G52" i="269" s="1"/>
  <c r="F53" i="269"/>
  <c r="G53" i="269" s="1"/>
  <c r="F54" i="269"/>
  <c r="G54" i="269" s="1"/>
  <c r="F55" i="269"/>
  <c r="G55" i="269" s="1"/>
  <c r="F56" i="269"/>
  <c r="G56" i="269" s="1"/>
  <c r="F57" i="269"/>
  <c r="G57" i="269" s="1"/>
  <c r="F58" i="269"/>
  <c r="G58" i="269" s="1"/>
  <c r="F59" i="269"/>
  <c r="G59" i="269" s="1"/>
  <c r="F60" i="269"/>
  <c r="G60" i="269" s="1"/>
  <c r="F61" i="269"/>
  <c r="G61" i="269" s="1"/>
  <c r="F62" i="269"/>
  <c r="G62" i="269" s="1"/>
  <c r="F63" i="269"/>
  <c r="G63" i="269" s="1"/>
  <c r="M182" i="301"/>
  <c r="M183" i="301"/>
  <c r="M184" i="301"/>
  <c r="M185" i="301"/>
  <c r="M186" i="301"/>
  <c r="M187" i="301"/>
  <c r="M188" i="301"/>
  <c r="M189" i="301"/>
  <c r="M190" i="301"/>
  <c r="M191" i="301"/>
  <c r="M192" i="301"/>
  <c r="M193" i="301"/>
  <c r="M194" i="301"/>
  <c r="M195" i="301"/>
  <c r="M196" i="301"/>
  <c r="M197" i="301"/>
  <c r="M198" i="301"/>
  <c r="M199" i="301"/>
  <c r="M200" i="301"/>
  <c r="M201" i="301"/>
  <c r="M202" i="301"/>
  <c r="M203" i="301"/>
  <c r="M204" i="301"/>
  <c r="M205" i="301"/>
  <c r="M206" i="301"/>
  <c r="M207" i="301"/>
  <c r="M208" i="301"/>
  <c r="M209" i="301"/>
  <c r="M210" i="301"/>
  <c r="M211" i="301"/>
  <c r="M212" i="301"/>
  <c r="M213" i="301"/>
  <c r="M214" i="301"/>
  <c r="M215" i="301"/>
  <c r="M216" i="301"/>
  <c r="M217" i="301"/>
  <c r="M218" i="301"/>
  <c r="M219" i="301"/>
  <c r="M220" i="301"/>
  <c r="M221" i="301"/>
  <c r="M222" i="301"/>
  <c r="M223" i="301"/>
  <c r="M224" i="301"/>
  <c r="M225" i="301"/>
  <c r="M226" i="301"/>
  <c r="M227" i="301"/>
  <c r="M228" i="301"/>
  <c r="M229" i="301"/>
  <c r="M230" i="301"/>
  <c r="M231" i="301"/>
  <c r="M232" i="301"/>
  <c r="M233" i="301"/>
  <c r="M234" i="301"/>
  <c r="M235" i="301"/>
  <c r="M236" i="301"/>
  <c r="M237" i="301"/>
  <c r="M238" i="301"/>
  <c r="M239" i="301"/>
  <c r="M240" i="301"/>
  <c r="M241" i="301"/>
  <c r="M242" i="301"/>
  <c r="M243" i="301"/>
  <c r="M244" i="301"/>
  <c r="M245" i="301"/>
  <c r="M246" i="301"/>
  <c r="M247" i="301"/>
  <c r="M248" i="301"/>
  <c r="M249" i="301"/>
  <c r="M250" i="301"/>
  <c r="M251" i="301"/>
  <c r="M252" i="301"/>
  <c r="M253" i="301"/>
  <c r="M254" i="301"/>
  <c r="M255" i="301"/>
  <c r="M256" i="301"/>
  <c r="M257" i="301"/>
  <c r="M258" i="301"/>
  <c r="M259" i="301"/>
  <c r="M260" i="301"/>
  <c r="M261" i="301"/>
  <c r="M262" i="301"/>
  <c r="M263" i="301"/>
  <c r="M264" i="301"/>
  <c r="M265" i="301"/>
  <c r="M266" i="301"/>
  <c r="M267" i="301"/>
  <c r="M268" i="301"/>
  <c r="M269" i="301"/>
  <c r="M270" i="301"/>
  <c r="M271" i="301"/>
  <c r="M272" i="301"/>
  <c r="M273" i="301"/>
  <c r="M274" i="301"/>
  <c r="M275" i="301"/>
  <c r="M276" i="301"/>
  <c r="M277" i="301"/>
  <c r="M278" i="301"/>
  <c r="M279" i="301"/>
  <c r="M280" i="301"/>
  <c r="M281" i="301"/>
  <c r="M282" i="301"/>
  <c r="M283" i="301"/>
  <c r="M284" i="301"/>
  <c r="M285" i="301"/>
  <c r="M286" i="301"/>
  <c r="M287" i="301"/>
  <c r="M288" i="301"/>
  <c r="M289" i="301"/>
  <c r="M290" i="301"/>
  <c r="M291" i="301"/>
  <c r="M292" i="301"/>
  <c r="M293" i="301"/>
  <c r="M294" i="301"/>
  <c r="M295" i="301"/>
  <c r="M296" i="301"/>
  <c r="M297" i="301"/>
  <c r="M298" i="301"/>
  <c r="M299" i="301"/>
  <c r="M300" i="301"/>
  <c r="M301" i="301"/>
  <c r="M302" i="301"/>
  <c r="M303" i="301"/>
  <c r="M304" i="301"/>
  <c r="M305" i="301"/>
  <c r="M306" i="301"/>
  <c r="M307" i="301"/>
  <c r="M308" i="301"/>
  <c r="M309" i="301"/>
  <c r="M310" i="301"/>
  <c r="M311" i="301"/>
  <c r="M312" i="301"/>
  <c r="M313" i="301"/>
  <c r="M314" i="301"/>
  <c r="M315" i="301"/>
  <c r="M316" i="301"/>
  <c r="M317" i="301"/>
  <c r="M318" i="301"/>
  <c r="M319" i="301"/>
  <c r="M320" i="301"/>
  <c r="M321" i="301"/>
  <c r="M322" i="301"/>
  <c r="M323" i="301"/>
  <c r="M324" i="301"/>
  <c r="M325" i="301"/>
  <c r="M326" i="301"/>
  <c r="M327" i="301"/>
  <c r="M328" i="301"/>
  <c r="M329" i="301"/>
  <c r="M330" i="301"/>
  <c r="M331" i="301"/>
  <c r="M332" i="301"/>
  <c r="M333" i="301"/>
  <c r="M334" i="301"/>
  <c r="M335" i="301"/>
  <c r="M336" i="301"/>
  <c r="M337" i="301"/>
  <c r="M338" i="301"/>
  <c r="M339" i="301"/>
  <c r="M340" i="301"/>
  <c r="M341" i="301"/>
  <c r="M342" i="301"/>
  <c r="M343" i="301"/>
  <c r="M344" i="301"/>
  <c r="M345" i="301"/>
  <c r="M346" i="301"/>
  <c r="M347" i="301"/>
  <c r="M348" i="301"/>
  <c r="M349" i="301"/>
  <c r="M350" i="301"/>
  <c r="M351" i="301"/>
  <c r="M352" i="301"/>
  <c r="M353" i="301"/>
  <c r="M354" i="301"/>
  <c r="M355" i="301"/>
  <c r="M356" i="301"/>
  <c r="M357" i="301"/>
  <c r="M358" i="301"/>
  <c r="M359" i="301"/>
  <c r="M360" i="301"/>
  <c r="M361" i="301"/>
  <c r="M362" i="301"/>
  <c r="M363" i="301"/>
  <c r="M364" i="301"/>
  <c r="M365" i="301"/>
  <c r="M366" i="301"/>
  <c r="M367" i="301"/>
  <c r="M368" i="301"/>
  <c r="M369" i="301"/>
  <c r="M370" i="301"/>
  <c r="M371" i="301"/>
  <c r="M372" i="301"/>
  <c r="M373" i="301"/>
  <c r="M374" i="301"/>
  <c r="M375" i="301"/>
  <c r="M376" i="301"/>
  <c r="M377" i="301"/>
  <c r="M378" i="301"/>
  <c r="M379" i="301"/>
  <c r="M380" i="301"/>
  <c r="M381" i="301"/>
  <c r="M382" i="301"/>
  <c r="M383" i="301"/>
  <c r="M384" i="301"/>
  <c r="M385" i="301"/>
  <c r="M386" i="301"/>
  <c r="M387" i="301"/>
  <c r="M388" i="301"/>
  <c r="M389" i="301"/>
  <c r="M390" i="301"/>
  <c r="M391" i="301"/>
  <c r="M392" i="301"/>
  <c r="M393" i="301"/>
  <c r="M394" i="301"/>
  <c r="M395" i="301"/>
  <c r="M396" i="301"/>
  <c r="M397" i="301"/>
  <c r="M398" i="301"/>
  <c r="M399" i="301"/>
  <c r="M400" i="301"/>
  <c r="M401" i="301"/>
  <c r="M402" i="301"/>
  <c r="M403" i="301"/>
  <c r="M404" i="301"/>
  <c r="M405" i="301"/>
  <c r="M406" i="301"/>
  <c r="M407" i="301"/>
  <c r="M408" i="301"/>
  <c r="M409" i="301"/>
  <c r="M410" i="301"/>
  <c r="M411" i="301"/>
  <c r="M412" i="301"/>
  <c r="M413" i="301"/>
  <c r="M414" i="301"/>
  <c r="M415" i="301"/>
  <c r="M416" i="301"/>
  <c r="M417" i="301"/>
  <c r="M418" i="301"/>
  <c r="M419" i="301"/>
  <c r="M420" i="301"/>
  <c r="M421" i="301"/>
  <c r="M422" i="301"/>
  <c r="M423" i="301"/>
  <c r="M424" i="301"/>
  <c r="M425" i="301"/>
  <c r="M426" i="301"/>
  <c r="M427" i="301"/>
  <c r="M428" i="301"/>
  <c r="M429" i="301"/>
  <c r="M430" i="301"/>
  <c r="M431" i="301"/>
  <c r="M432" i="301"/>
  <c r="M433" i="301"/>
  <c r="M434" i="301"/>
  <c r="M435" i="301"/>
  <c r="M436" i="301"/>
  <c r="M437" i="301"/>
  <c r="M438" i="301"/>
  <c r="M439" i="301"/>
  <c r="M440" i="301"/>
  <c r="M441" i="301"/>
  <c r="M442" i="301"/>
  <c r="M443" i="301"/>
  <c r="M444" i="301"/>
  <c r="M445" i="301"/>
  <c r="M446" i="301"/>
  <c r="M447" i="301"/>
  <c r="M448" i="301"/>
  <c r="M449" i="301"/>
  <c r="M450" i="301"/>
  <c r="M451" i="301"/>
  <c r="M452" i="301"/>
  <c r="M453" i="301"/>
  <c r="M454" i="301"/>
  <c r="M455" i="301"/>
  <c r="M456" i="301"/>
  <c r="M457" i="301"/>
  <c r="M458" i="301"/>
  <c r="M459" i="301"/>
  <c r="M460" i="301"/>
  <c r="M461" i="301"/>
  <c r="M462" i="301"/>
  <c r="M463" i="301"/>
  <c r="M464" i="301"/>
  <c r="M465" i="301"/>
  <c r="M466" i="301"/>
  <c r="M467" i="301"/>
  <c r="M468" i="301"/>
  <c r="M469" i="301"/>
  <c r="M470" i="301"/>
  <c r="M471" i="301"/>
  <c r="M472" i="301"/>
  <c r="M473" i="301"/>
  <c r="M474" i="301"/>
  <c r="M475" i="301"/>
  <c r="M476" i="301"/>
  <c r="M477" i="301"/>
  <c r="M478" i="301"/>
  <c r="M479" i="301"/>
  <c r="M480" i="301"/>
  <c r="M481" i="301"/>
  <c r="M482" i="301"/>
  <c r="M483" i="301"/>
  <c r="M484" i="301"/>
  <c r="M485" i="301"/>
  <c r="M486" i="301"/>
  <c r="M487" i="301"/>
  <c r="M488" i="301"/>
  <c r="M489" i="301"/>
  <c r="M490" i="301"/>
  <c r="M491" i="301"/>
  <c r="M492" i="301"/>
  <c r="M493" i="301"/>
  <c r="M494" i="301"/>
  <c r="M495" i="301"/>
  <c r="M496" i="301"/>
  <c r="M497" i="301"/>
  <c r="M498" i="301"/>
  <c r="I24" i="269"/>
  <c r="AF183" i="269"/>
  <c r="T406" i="269"/>
  <c r="U406" i="269" s="1"/>
  <c r="T407" i="269"/>
  <c r="U407" i="269" s="1"/>
  <c r="T408" i="269"/>
  <c r="U408" i="269" s="1"/>
  <c r="T409" i="269"/>
  <c r="U409" i="269" s="1"/>
  <c r="T410" i="269"/>
  <c r="U410" i="269" s="1"/>
  <c r="T411" i="269"/>
  <c r="U411" i="269" s="1"/>
  <c r="T412" i="269"/>
  <c r="U412" i="269" s="1"/>
  <c r="T413" i="269"/>
  <c r="U413" i="269" s="1"/>
  <c r="T414" i="269"/>
  <c r="U414" i="269" s="1"/>
  <c r="T415" i="269"/>
  <c r="U415" i="269" s="1"/>
  <c r="T416" i="269"/>
  <c r="U416" i="269" s="1"/>
  <c r="T417" i="269"/>
  <c r="U417" i="269" s="1"/>
  <c r="T418" i="269"/>
  <c r="U418" i="269" s="1"/>
  <c r="T419" i="269"/>
  <c r="U419" i="269" s="1"/>
  <c r="T420" i="269"/>
  <c r="U420" i="269" s="1"/>
  <c r="T421" i="269"/>
  <c r="U421" i="269" s="1"/>
  <c r="T422" i="269"/>
  <c r="U422" i="269" s="1"/>
  <c r="T423" i="269"/>
  <c r="U423" i="269" s="1"/>
  <c r="T424" i="269"/>
  <c r="U424" i="269" s="1"/>
  <c r="T425" i="269"/>
  <c r="U425" i="269" s="1"/>
  <c r="T426" i="269"/>
  <c r="U426" i="269" s="1"/>
  <c r="T427" i="269"/>
  <c r="U427" i="269" s="1"/>
  <c r="T428" i="269"/>
  <c r="U428" i="269" s="1"/>
  <c r="T429" i="269"/>
  <c r="U429" i="269" s="1"/>
  <c r="T430" i="269"/>
  <c r="U430" i="269" s="1"/>
  <c r="T431" i="269"/>
  <c r="U431" i="269" s="1"/>
  <c r="T432" i="269"/>
  <c r="U432" i="269" s="1"/>
  <c r="T433" i="269"/>
  <c r="U433" i="269" s="1"/>
  <c r="T434" i="269"/>
  <c r="U434" i="269" s="1"/>
  <c r="T435" i="269"/>
  <c r="U435" i="269" s="1"/>
  <c r="T436" i="269"/>
  <c r="U436" i="269" s="1"/>
  <c r="T437" i="269"/>
  <c r="U437" i="269" s="1"/>
  <c r="T438" i="269"/>
  <c r="U438" i="269" s="1"/>
  <c r="T439" i="269"/>
  <c r="U439" i="269" s="1"/>
  <c r="T440" i="269"/>
  <c r="U440" i="269" s="1"/>
  <c r="T441" i="269"/>
  <c r="U441" i="269" s="1"/>
  <c r="T442" i="269"/>
  <c r="U442" i="269" s="1"/>
  <c r="T443" i="269"/>
  <c r="U443" i="269" s="1"/>
  <c r="T444" i="269"/>
  <c r="U444" i="269" s="1"/>
  <c r="T445" i="269"/>
  <c r="U445" i="269" s="1"/>
  <c r="T446" i="269"/>
  <c r="U446" i="269" s="1"/>
  <c r="T447" i="269"/>
  <c r="U447" i="269" s="1"/>
  <c r="T448" i="269"/>
  <c r="U448" i="269" s="1"/>
  <c r="T449" i="269"/>
  <c r="U449" i="269" s="1"/>
  <c r="T450" i="269"/>
  <c r="U450" i="269" s="1"/>
  <c r="T451" i="269"/>
  <c r="U451" i="269" s="1"/>
  <c r="T452" i="269"/>
  <c r="U452" i="269" s="1"/>
  <c r="T453" i="269"/>
  <c r="U453" i="269" s="1"/>
  <c r="T454" i="269"/>
  <c r="U454" i="269" s="1"/>
  <c r="T455" i="269"/>
  <c r="U455" i="269" s="1"/>
  <c r="T456" i="269"/>
  <c r="U456" i="269" s="1"/>
  <c r="T457" i="269"/>
  <c r="U457" i="269" s="1"/>
  <c r="T458" i="269"/>
  <c r="U458" i="269" s="1"/>
  <c r="T459" i="269"/>
  <c r="U459" i="269" s="1"/>
  <c r="T460" i="269"/>
  <c r="U460" i="269" s="1"/>
  <c r="T461" i="269"/>
  <c r="U461" i="269" s="1"/>
  <c r="T462" i="269"/>
  <c r="U462" i="269" s="1"/>
  <c r="T463" i="269"/>
  <c r="U463" i="269" s="1"/>
  <c r="T464" i="269"/>
  <c r="U464" i="269" s="1"/>
  <c r="T465" i="269"/>
  <c r="U465" i="269" s="1"/>
  <c r="T466" i="269"/>
  <c r="U466" i="269" s="1"/>
  <c r="T467" i="269"/>
  <c r="U467" i="269" s="1"/>
  <c r="T468" i="269"/>
  <c r="U468" i="269" s="1"/>
  <c r="T469" i="269"/>
  <c r="U469" i="269" s="1"/>
  <c r="T470" i="269"/>
  <c r="U470" i="269" s="1"/>
  <c r="T471" i="269"/>
  <c r="U471" i="269" s="1"/>
  <c r="T472" i="269"/>
  <c r="U472" i="269" s="1"/>
  <c r="T473" i="269"/>
  <c r="U473" i="269" s="1"/>
  <c r="T474" i="269"/>
  <c r="U474" i="269" s="1"/>
  <c r="T475" i="269"/>
  <c r="U475" i="269" s="1"/>
  <c r="T476" i="269"/>
  <c r="U476" i="269" s="1"/>
  <c r="T477" i="269"/>
  <c r="U477" i="269" s="1"/>
  <c r="T478" i="269"/>
  <c r="U478" i="269" s="1"/>
  <c r="T479" i="269"/>
  <c r="U479" i="269" s="1"/>
  <c r="T480" i="269"/>
  <c r="U480" i="269" s="1"/>
  <c r="T481" i="269"/>
  <c r="U481" i="269" s="1"/>
  <c r="T482" i="269"/>
  <c r="U482" i="269" s="1"/>
  <c r="T483" i="269"/>
  <c r="U483" i="269" s="1"/>
  <c r="T484" i="269"/>
  <c r="U484" i="269" s="1"/>
  <c r="T485" i="269"/>
  <c r="U485" i="269" s="1"/>
  <c r="T486" i="269"/>
  <c r="U486" i="269" s="1"/>
  <c r="T487" i="269"/>
  <c r="U487" i="269" s="1"/>
  <c r="T488" i="269"/>
  <c r="U488" i="269" s="1"/>
  <c r="T489" i="269"/>
  <c r="U489" i="269" s="1"/>
  <c r="T490" i="269"/>
  <c r="U490" i="269" s="1"/>
  <c r="T491" i="269"/>
  <c r="U491" i="269" s="1"/>
  <c r="T492" i="269"/>
  <c r="U492" i="269" s="1"/>
  <c r="T493" i="269"/>
  <c r="U493" i="269" s="1"/>
  <c r="T494" i="269"/>
  <c r="U494" i="269" s="1"/>
  <c r="T495" i="269"/>
  <c r="U495" i="269" s="1"/>
  <c r="T496" i="269"/>
  <c r="U496" i="269" s="1"/>
  <c r="T497" i="269"/>
  <c r="U497" i="269" s="1"/>
  <c r="T498" i="269"/>
  <c r="U498" i="269" s="1"/>
  <c r="T499" i="269"/>
  <c r="U499" i="269" s="1"/>
  <c r="T500" i="269"/>
  <c r="U500" i="269" s="1"/>
  <c r="T405" i="269"/>
  <c r="U405" i="269" s="1"/>
  <c r="T322" i="269"/>
  <c r="U322" i="269" s="1"/>
  <c r="T323" i="269"/>
  <c r="U323" i="269" s="1"/>
  <c r="T324" i="269"/>
  <c r="U324" i="269" s="1"/>
  <c r="T325" i="269"/>
  <c r="U325" i="269" s="1"/>
  <c r="T326" i="269"/>
  <c r="U326" i="269" s="1"/>
  <c r="T327" i="269"/>
  <c r="U327" i="269" s="1"/>
  <c r="T328" i="269"/>
  <c r="U328" i="269" s="1"/>
  <c r="T329" i="269"/>
  <c r="U329" i="269" s="1"/>
  <c r="T330" i="269"/>
  <c r="U330" i="269" s="1"/>
  <c r="T331" i="269"/>
  <c r="U331" i="269" s="1"/>
  <c r="T332" i="269"/>
  <c r="U332" i="269" s="1"/>
  <c r="T333" i="269"/>
  <c r="U333" i="269" s="1"/>
  <c r="T334" i="269"/>
  <c r="U334" i="269" s="1"/>
  <c r="T335" i="269"/>
  <c r="U335" i="269" s="1"/>
  <c r="T336" i="269"/>
  <c r="U336" i="269" s="1"/>
  <c r="T337" i="269"/>
  <c r="U337" i="269" s="1"/>
  <c r="T338" i="269"/>
  <c r="U338" i="269" s="1"/>
  <c r="T339" i="269"/>
  <c r="U339" i="269" s="1"/>
  <c r="T340" i="269"/>
  <c r="U340" i="269" s="1"/>
  <c r="T341" i="269"/>
  <c r="U341" i="269" s="1"/>
  <c r="T342" i="269"/>
  <c r="U342" i="269" s="1"/>
  <c r="T343" i="269"/>
  <c r="U343" i="269" s="1"/>
  <c r="T344" i="269"/>
  <c r="U344" i="269" s="1"/>
  <c r="T345" i="269"/>
  <c r="U345" i="269" s="1"/>
  <c r="T346" i="269"/>
  <c r="U346" i="269" s="1"/>
  <c r="T347" i="269"/>
  <c r="U347" i="269" s="1"/>
  <c r="T348" i="269"/>
  <c r="U348" i="269" s="1"/>
  <c r="T349" i="269"/>
  <c r="U349" i="269" s="1"/>
  <c r="T350" i="269"/>
  <c r="U350" i="269" s="1"/>
  <c r="T351" i="269"/>
  <c r="U351" i="269" s="1"/>
  <c r="T352" i="269"/>
  <c r="U352" i="269" s="1"/>
  <c r="T353" i="269"/>
  <c r="U353" i="269" s="1"/>
  <c r="T354" i="269"/>
  <c r="U354" i="269" s="1"/>
  <c r="T355" i="269"/>
  <c r="U355" i="269" s="1"/>
  <c r="T356" i="269"/>
  <c r="U356" i="269" s="1"/>
  <c r="T357" i="269"/>
  <c r="U357" i="269" s="1"/>
  <c r="T358" i="269"/>
  <c r="U358" i="269" s="1"/>
  <c r="T359" i="269"/>
  <c r="U359" i="269" s="1"/>
  <c r="T360" i="269"/>
  <c r="U360" i="269" s="1"/>
  <c r="T361" i="269"/>
  <c r="U361" i="269" s="1"/>
  <c r="T362" i="269"/>
  <c r="U362" i="269" s="1"/>
  <c r="T363" i="269"/>
  <c r="U363" i="269" s="1"/>
  <c r="T364" i="269"/>
  <c r="U364" i="269" s="1"/>
  <c r="T365" i="269"/>
  <c r="U365" i="269" s="1"/>
  <c r="T366" i="269"/>
  <c r="U366" i="269" s="1"/>
  <c r="T367" i="269"/>
  <c r="U367" i="269" s="1"/>
  <c r="T368" i="269"/>
  <c r="U368" i="269" s="1"/>
  <c r="T369" i="269"/>
  <c r="U369" i="269" s="1"/>
  <c r="T370" i="269"/>
  <c r="U370" i="269" s="1"/>
  <c r="T371" i="269"/>
  <c r="U371" i="269" s="1"/>
  <c r="T372" i="269"/>
  <c r="U372" i="269" s="1"/>
  <c r="T373" i="269"/>
  <c r="U373" i="269" s="1"/>
  <c r="T374" i="269"/>
  <c r="U374" i="269" s="1"/>
  <c r="T375" i="269"/>
  <c r="U375" i="269" s="1"/>
  <c r="T376" i="269"/>
  <c r="U376" i="269" s="1"/>
  <c r="T377" i="269"/>
  <c r="U377" i="269" s="1"/>
  <c r="T378" i="269"/>
  <c r="U378" i="269" s="1"/>
  <c r="T379" i="269"/>
  <c r="U379" i="269" s="1"/>
  <c r="T380" i="269"/>
  <c r="U380" i="269" s="1"/>
  <c r="T381" i="269"/>
  <c r="U381" i="269" s="1"/>
  <c r="T382" i="269"/>
  <c r="U382" i="269" s="1"/>
  <c r="T383" i="269"/>
  <c r="U383" i="269" s="1"/>
  <c r="T384" i="269"/>
  <c r="U384" i="269" s="1"/>
  <c r="T385" i="269"/>
  <c r="U385" i="269" s="1"/>
  <c r="T386" i="269"/>
  <c r="U386" i="269" s="1"/>
  <c r="T387" i="269"/>
  <c r="U387" i="269" s="1"/>
  <c r="T388" i="269"/>
  <c r="U388" i="269" s="1"/>
  <c r="T389" i="269"/>
  <c r="U389" i="269" s="1"/>
  <c r="T390" i="269"/>
  <c r="U390" i="269" s="1"/>
  <c r="T391" i="269"/>
  <c r="U391" i="269" s="1"/>
  <c r="T392" i="269"/>
  <c r="U392" i="269" s="1"/>
  <c r="T393" i="269"/>
  <c r="U393" i="269" s="1"/>
  <c r="T394" i="269"/>
  <c r="U394" i="269" s="1"/>
  <c r="T395" i="269"/>
  <c r="U395" i="269" s="1"/>
  <c r="T396" i="269"/>
  <c r="U396" i="269" s="1"/>
  <c r="T397" i="269"/>
  <c r="U397" i="269" s="1"/>
  <c r="T398" i="269"/>
  <c r="U398" i="269" s="1"/>
  <c r="T399" i="269"/>
  <c r="U399" i="269" s="1"/>
  <c r="T400" i="269"/>
  <c r="U400" i="269" s="1"/>
  <c r="T401" i="269"/>
  <c r="U401" i="269" s="1"/>
  <c r="T402" i="269"/>
  <c r="U402" i="269" s="1"/>
  <c r="T403" i="269"/>
  <c r="U403" i="269" s="1"/>
  <c r="T404" i="269"/>
  <c r="U404" i="269" s="1"/>
  <c r="T321" i="269"/>
  <c r="U321" i="269" s="1"/>
  <c r="T186" i="269"/>
  <c r="U186" i="269" s="1"/>
  <c r="T187" i="269"/>
  <c r="U187" i="269" s="1"/>
  <c r="T188" i="269"/>
  <c r="U188" i="269" s="1"/>
  <c r="T189" i="269"/>
  <c r="U189" i="269" s="1"/>
  <c r="T190" i="269"/>
  <c r="U190" i="269" s="1"/>
  <c r="T191" i="269"/>
  <c r="U191" i="269" s="1"/>
  <c r="T192" i="269"/>
  <c r="U192" i="269" s="1"/>
  <c r="T193" i="269"/>
  <c r="U193" i="269" s="1"/>
  <c r="T194" i="269"/>
  <c r="U194" i="269" s="1"/>
  <c r="T195" i="269"/>
  <c r="U195" i="269" s="1"/>
  <c r="T196" i="269"/>
  <c r="U196" i="269" s="1"/>
  <c r="T197" i="269"/>
  <c r="U197" i="269" s="1"/>
  <c r="T198" i="269"/>
  <c r="U198" i="269" s="1"/>
  <c r="T199" i="269"/>
  <c r="U199" i="269" s="1"/>
  <c r="T200" i="269"/>
  <c r="U200" i="269" s="1"/>
  <c r="T201" i="269"/>
  <c r="U201" i="269" s="1"/>
  <c r="T202" i="269"/>
  <c r="U202" i="269" s="1"/>
  <c r="T203" i="269"/>
  <c r="U203" i="269" s="1"/>
  <c r="T204" i="269"/>
  <c r="U204" i="269" s="1"/>
  <c r="T205" i="269"/>
  <c r="U205" i="269" s="1"/>
  <c r="T206" i="269"/>
  <c r="U206" i="269" s="1"/>
  <c r="T207" i="269"/>
  <c r="U207" i="269" s="1"/>
  <c r="T208" i="269"/>
  <c r="U208" i="269" s="1"/>
  <c r="T209" i="269"/>
  <c r="U209" i="269" s="1"/>
  <c r="T210" i="269"/>
  <c r="U210" i="269" s="1"/>
  <c r="T211" i="269"/>
  <c r="U211" i="269" s="1"/>
  <c r="T212" i="269"/>
  <c r="U212" i="269" s="1"/>
  <c r="T213" i="269"/>
  <c r="U213" i="269" s="1"/>
  <c r="T214" i="269"/>
  <c r="U214" i="269" s="1"/>
  <c r="T215" i="269"/>
  <c r="U215" i="269" s="1"/>
  <c r="T216" i="269"/>
  <c r="U216" i="269" s="1"/>
  <c r="T217" i="269"/>
  <c r="U217" i="269" s="1"/>
  <c r="T218" i="269"/>
  <c r="U218" i="269" s="1"/>
  <c r="T219" i="269"/>
  <c r="U219" i="269" s="1"/>
  <c r="T220" i="269"/>
  <c r="U220" i="269" s="1"/>
  <c r="T221" i="269"/>
  <c r="U221" i="269" s="1"/>
  <c r="T222" i="269"/>
  <c r="U222" i="269" s="1"/>
  <c r="T223" i="269"/>
  <c r="U223" i="269" s="1"/>
  <c r="T224" i="269"/>
  <c r="U224" i="269" s="1"/>
  <c r="T225" i="269"/>
  <c r="U225" i="269" s="1"/>
  <c r="T226" i="269"/>
  <c r="U226" i="269" s="1"/>
  <c r="T227" i="269"/>
  <c r="U227" i="269" s="1"/>
  <c r="T228" i="269"/>
  <c r="U228" i="269" s="1"/>
  <c r="T229" i="269"/>
  <c r="U229" i="269" s="1"/>
  <c r="T230" i="269"/>
  <c r="U230" i="269" s="1"/>
  <c r="T231" i="269"/>
  <c r="U231" i="269" s="1"/>
  <c r="T232" i="269"/>
  <c r="U232" i="269" s="1"/>
  <c r="T233" i="269"/>
  <c r="U233" i="269" s="1"/>
  <c r="T234" i="269"/>
  <c r="U234" i="269" s="1"/>
  <c r="T235" i="269"/>
  <c r="U235" i="269" s="1"/>
  <c r="T236" i="269"/>
  <c r="U236" i="269" s="1"/>
  <c r="T237" i="269"/>
  <c r="U237" i="269" s="1"/>
  <c r="T238" i="269"/>
  <c r="U238" i="269" s="1"/>
  <c r="T239" i="269"/>
  <c r="U239" i="269" s="1"/>
  <c r="T240" i="269"/>
  <c r="U240" i="269" s="1"/>
  <c r="T241" i="269"/>
  <c r="U241" i="269" s="1"/>
  <c r="T242" i="269"/>
  <c r="U242" i="269" s="1"/>
  <c r="T243" i="269"/>
  <c r="U243" i="269" s="1"/>
  <c r="T244" i="269"/>
  <c r="U244" i="269" s="1"/>
  <c r="T245" i="269"/>
  <c r="U245" i="269" s="1"/>
  <c r="T246" i="269"/>
  <c r="U246" i="269" s="1"/>
  <c r="T247" i="269"/>
  <c r="U247" i="269" s="1"/>
  <c r="T248" i="269"/>
  <c r="U248" i="269" s="1"/>
  <c r="T249" i="269"/>
  <c r="U249" i="269" s="1"/>
  <c r="T250" i="269"/>
  <c r="U250" i="269" s="1"/>
  <c r="T251" i="269"/>
  <c r="U251" i="269" s="1"/>
  <c r="T252" i="269"/>
  <c r="U252" i="269" s="1"/>
  <c r="T253" i="269"/>
  <c r="U253" i="269" s="1"/>
  <c r="T254" i="269"/>
  <c r="U254" i="269" s="1"/>
  <c r="T255" i="269"/>
  <c r="U255" i="269" s="1"/>
  <c r="T256" i="269"/>
  <c r="U256" i="269" s="1"/>
  <c r="T257" i="269"/>
  <c r="U257" i="269" s="1"/>
  <c r="T258" i="269"/>
  <c r="U258" i="269" s="1"/>
  <c r="T259" i="269"/>
  <c r="U259" i="269" s="1"/>
  <c r="T260" i="269"/>
  <c r="U260" i="269" s="1"/>
  <c r="T261" i="269"/>
  <c r="U261" i="269" s="1"/>
  <c r="T262" i="269"/>
  <c r="U262" i="269" s="1"/>
  <c r="T263" i="269"/>
  <c r="U263" i="269" s="1"/>
  <c r="T264" i="269"/>
  <c r="U264" i="269" s="1"/>
  <c r="T265" i="269"/>
  <c r="U265" i="269" s="1"/>
  <c r="T266" i="269"/>
  <c r="U266" i="269" s="1"/>
  <c r="T267" i="269"/>
  <c r="U267" i="269" s="1"/>
  <c r="T268" i="269"/>
  <c r="U268" i="269" s="1"/>
  <c r="T269" i="269"/>
  <c r="U269" i="269" s="1"/>
  <c r="T270" i="269"/>
  <c r="U270" i="269" s="1"/>
  <c r="T271" i="269"/>
  <c r="U271" i="269" s="1"/>
  <c r="T272" i="269"/>
  <c r="U272" i="269" s="1"/>
  <c r="T273" i="269"/>
  <c r="U273" i="269" s="1"/>
  <c r="T274" i="269"/>
  <c r="U274" i="269" s="1"/>
  <c r="T275" i="269"/>
  <c r="U275" i="269" s="1"/>
  <c r="T276" i="269"/>
  <c r="U276" i="269" s="1"/>
  <c r="T277" i="269"/>
  <c r="U277" i="269" s="1"/>
  <c r="T278" i="269"/>
  <c r="U278" i="269" s="1"/>
  <c r="T279" i="269"/>
  <c r="U279" i="269" s="1"/>
  <c r="T280" i="269"/>
  <c r="U280" i="269" s="1"/>
  <c r="T281" i="269"/>
  <c r="U281" i="269" s="1"/>
  <c r="T282" i="269"/>
  <c r="U282" i="269" s="1"/>
  <c r="T283" i="269"/>
  <c r="U283" i="269" s="1"/>
  <c r="T284" i="269"/>
  <c r="U284" i="269" s="1"/>
  <c r="T285" i="269"/>
  <c r="U285" i="269" s="1"/>
  <c r="T286" i="269"/>
  <c r="U286" i="269" s="1"/>
  <c r="T287" i="269"/>
  <c r="U287" i="269" s="1"/>
  <c r="T288" i="269"/>
  <c r="U288" i="269" s="1"/>
  <c r="T289" i="269"/>
  <c r="U289" i="269" s="1"/>
  <c r="T290" i="269"/>
  <c r="U290" i="269" s="1"/>
  <c r="T291" i="269"/>
  <c r="U291" i="269" s="1"/>
  <c r="T292" i="269"/>
  <c r="U292" i="269" s="1"/>
  <c r="T293" i="269"/>
  <c r="U293" i="269" s="1"/>
  <c r="T294" i="269"/>
  <c r="U294" i="269" s="1"/>
  <c r="T295" i="269"/>
  <c r="U295" i="269" s="1"/>
  <c r="T296" i="269"/>
  <c r="U296" i="269" s="1"/>
  <c r="T297" i="269"/>
  <c r="U297" i="269" s="1"/>
  <c r="T298" i="269"/>
  <c r="U298" i="269" s="1"/>
  <c r="T299" i="269"/>
  <c r="U299" i="269" s="1"/>
  <c r="T300" i="269"/>
  <c r="U300" i="269" s="1"/>
  <c r="T301" i="269"/>
  <c r="U301" i="269" s="1"/>
  <c r="T302" i="269"/>
  <c r="U302" i="269" s="1"/>
  <c r="T303" i="269"/>
  <c r="U303" i="269" s="1"/>
  <c r="T304" i="269"/>
  <c r="U304" i="269" s="1"/>
  <c r="T305" i="269"/>
  <c r="U305" i="269" s="1"/>
  <c r="T306" i="269"/>
  <c r="U306" i="269" s="1"/>
  <c r="T307" i="269"/>
  <c r="U307" i="269" s="1"/>
  <c r="T308" i="269"/>
  <c r="U308" i="269" s="1"/>
  <c r="T309" i="269"/>
  <c r="U309" i="269" s="1"/>
  <c r="T310" i="269"/>
  <c r="U310" i="269" s="1"/>
  <c r="T311" i="269"/>
  <c r="U311" i="269" s="1"/>
  <c r="T312" i="269"/>
  <c r="U312" i="269" s="1"/>
  <c r="T313" i="269"/>
  <c r="U313" i="269" s="1"/>
  <c r="T314" i="269"/>
  <c r="U314" i="269" s="1"/>
  <c r="T315" i="269"/>
  <c r="U315" i="269" s="1"/>
  <c r="T316" i="269"/>
  <c r="U316" i="269" s="1"/>
  <c r="T317" i="269"/>
  <c r="U317" i="269" s="1"/>
  <c r="T318" i="269"/>
  <c r="U318" i="269" s="1"/>
  <c r="T319" i="269"/>
  <c r="U319" i="269" s="1"/>
  <c r="T320" i="269"/>
  <c r="U320" i="269" s="1"/>
  <c r="T17" i="269"/>
  <c r="U17" i="269"/>
  <c r="R17" i="269"/>
  <c r="S17" i="269" s="1"/>
  <c r="F17" i="269"/>
  <c r="G17" i="269" s="1"/>
  <c r="E19" i="270"/>
  <c r="F19" i="270" s="1"/>
  <c r="B16" i="301"/>
  <c r="C16" i="301"/>
  <c r="B17" i="301"/>
  <c r="C17" i="301"/>
  <c r="B18" i="301"/>
  <c r="C18" i="301"/>
  <c r="B19" i="301"/>
  <c r="C19" i="301"/>
  <c r="B20" i="301"/>
  <c r="C20" i="301"/>
  <c r="B21" i="301"/>
  <c r="C21" i="301"/>
  <c r="B22" i="301"/>
  <c r="C22" i="301"/>
  <c r="B23" i="301"/>
  <c r="C23" i="301"/>
  <c r="B24" i="301"/>
  <c r="C24" i="301"/>
  <c r="B25" i="301"/>
  <c r="C25" i="301"/>
  <c r="B26" i="301"/>
  <c r="C26" i="301"/>
  <c r="B27" i="301"/>
  <c r="C27" i="301"/>
  <c r="B28" i="301"/>
  <c r="C28" i="301"/>
  <c r="B29" i="301"/>
  <c r="C29" i="301"/>
  <c r="B30" i="301"/>
  <c r="C30" i="301"/>
  <c r="B31" i="301"/>
  <c r="C31" i="301"/>
  <c r="B32" i="301"/>
  <c r="C32" i="301"/>
  <c r="B33" i="301"/>
  <c r="C33" i="301"/>
  <c r="B34" i="301"/>
  <c r="C34" i="301"/>
  <c r="B35" i="301"/>
  <c r="C35" i="301"/>
  <c r="B36" i="301"/>
  <c r="C36" i="301"/>
  <c r="B37" i="301"/>
  <c r="C37" i="301"/>
  <c r="B38" i="301"/>
  <c r="C38" i="301"/>
  <c r="B39" i="301"/>
  <c r="C39" i="301"/>
  <c r="B40" i="301"/>
  <c r="C40" i="301"/>
  <c r="B41" i="301"/>
  <c r="C41" i="301"/>
  <c r="B42" i="301"/>
  <c r="C42" i="301"/>
  <c r="B43" i="301"/>
  <c r="C43" i="301"/>
  <c r="B44" i="301"/>
  <c r="C44" i="301"/>
  <c r="B45" i="301"/>
  <c r="C45" i="301"/>
  <c r="B46" i="301"/>
  <c r="C46" i="301"/>
  <c r="B47" i="301"/>
  <c r="C47" i="301"/>
  <c r="B48" i="301"/>
  <c r="C48" i="301"/>
  <c r="B49" i="301"/>
  <c r="C49" i="301"/>
  <c r="B50" i="301"/>
  <c r="C50" i="301"/>
  <c r="B51" i="301"/>
  <c r="C51" i="301"/>
  <c r="B52" i="301"/>
  <c r="C52" i="301"/>
  <c r="B53" i="301"/>
  <c r="C53" i="301"/>
  <c r="B54" i="301"/>
  <c r="C54" i="301"/>
  <c r="B55" i="301"/>
  <c r="C55" i="301"/>
  <c r="B56" i="301"/>
  <c r="C56" i="301"/>
  <c r="B57" i="301"/>
  <c r="C57" i="301"/>
  <c r="B58" i="301"/>
  <c r="C58" i="301"/>
  <c r="B59" i="301"/>
  <c r="C59" i="301"/>
  <c r="B60" i="301"/>
  <c r="C60" i="301"/>
  <c r="B61" i="301"/>
  <c r="C61" i="301"/>
  <c r="B62" i="301"/>
  <c r="C62" i="301"/>
  <c r="B63" i="301"/>
  <c r="C63" i="301"/>
  <c r="B64" i="301"/>
  <c r="C64" i="301"/>
  <c r="B65" i="301"/>
  <c r="C65" i="301"/>
  <c r="B66" i="301"/>
  <c r="C66" i="301"/>
  <c r="B67" i="301"/>
  <c r="C67" i="301"/>
  <c r="B68" i="301"/>
  <c r="C68" i="301"/>
  <c r="B69" i="301"/>
  <c r="C69" i="301"/>
  <c r="B70" i="301"/>
  <c r="C70" i="301"/>
  <c r="B71" i="301"/>
  <c r="C71" i="301"/>
  <c r="B72" i="301"/>
  <c r="C72" i="301"/>
  <c r="B73" i="301"/>
  <c r="C73" i="301"/>
  <c r="B74" i="301"/>
  <c r="C74" i="301"/>
  <c r="B75" i="301"/>
  <c r="C75" i="301"/>
  <c r="B76" i="301"/>
  <c r="C76" i="301"/>
  <c r="B77" i="301"/>
  <c r="C77" i="301"/>
  <c r="B78" i="301"/>
  <c r="C78" i="301"/>
  <c r="B79" i="301"/>
  <c r="C79" i="301"/>
  <c r="B80" i="301"/>
  <c r="C80" i="301"/>
  <c r="B81" i="301"/>
  <c r="C81" i="301"/>
  <c r="B82" i="301"/>
  <c r="C82" i="301"/>
  <c r="B83" i="301"/>
  <c r="C83" i="301"/>
  <c r="B84" i="301"/>
  <c r="C84" i="301"/>
  <c r="B85" i="301"/>
  <c r="C85" i="301"/>
  <c r="B86" i="301"/>
  <c r="C86" i="301"/>
  <c r="B87" i="301"/>
  <c r="C87" i="301"/>
  <c r="B88" i="301"/>
  <c r="C88" i="301"/>
  <c r="B89" i="301"/>
  <c r="C89" i="301"/>
  <c r="B90" i="301"/>
  <c r="C90" i="301"/>
  <c r="B91" i="301"/>
  <c r="C91" i="301"/>
  <c r="B92" i="301"/>
  <c r="C92" i="301"/>
  <c r="B93" i="301"/>
  <c r="C93" i="301"/>
  <c r="B94" i="301"/>
  <c r="C94" i="301"/>
  <c r="B95" i="301"/>
  <c r="C95" i="301"/>
  <c r="B96" i="301"/>
  <c r="C96" i="301"/>
  <c r="B97" i="301"/>
  <c r="C97" i="301"/>
  <c r="B98" i="301"/>
  <c r="C98" i="301"/>
  <c r="B99" i="301"/>
  <c r="C99" i="301"/>
  <c r="B100" i="301"/>
  <c r="C100" i="301"/>
  <c r="B101" i="301"/>
  <c r="C101" i="301"/>
  <c r="B102" i="301"/>
  <c r="C102" i="301"/>
  <c r="B103" i="301"/>
  <c r="C103" i="301"/>
  <c r="B104" i="301"/>
  <c r="C104" i="301"/>
  <c r="B105" i="301"/>
  <c r="C105" i="301"/>
  <c r="B106" i="301"/>
  <c r="C106" i="301"/>
  <c r="B107" i="301"/>
  <c r="C107" i="301"/>
  <c r="B108" i="301"/>
  <c r="C108" i="301"/>
  <c r="B109" i="301"/>
  <c r="C109" i="301"/>
  <c r="B110" i="301"/>
  <c r="C110" i="301"/>
  <c r="B111" i="301"/>
  <c r="C111" i="301"/>
  <c r="B112" i="301"/>
  <c r="C112" i="301"/>
  <c r="B113" i="301"/>
  <c r="C113" i="301"/>
  <c r="B114" i="301"/>
  <c r="C114" i="301"/>
  <c r="B115" i="301"/>
  <c r="C115" i="301"/>
  <c r="B116" i="301"/>
  <c r="C116" i="301"/>
  <c r="B117" i="301"/>
  <c r="C117" i="301"/>
  <c r="B118" i="301"/>
  <c r="C118" i="301"/>
  <c r="B119" i="301"/>
  <c r="C119" i="301"/>
  <c r="B120" i="301"/>
  <c r="C120" i="301"/>
  <c r="B121" i="301"/>
  <c r="C121" i="301"/>
  <c r="B122" i="301"/>
  <c r="C122" i="301"/>
  <c r="B123" i="301"/>
  <c r="C123" i="301"/>
  <c r="B124" i="301"/>
  <c r="C124" i="301"/>
  <c r="B125" i="301"/>
  <c r="C125" i="301"/>
  <c r="B126" i="301"/>
  <c r="C126" i="301"/>
  <c r="B127" i="301"/>
  <c r="C127" i="301"/>
  <c r="B128" i="301"/>
  <c r="C128" i="301"/>
  <c r="B129" i="301"/>
  <c r="C129" i="301"/>
  <c r="B130" i="301"/>
  <c r="C130" i="301"/>
  <c r="B131" i="301"/>
  <c r="C131" i="301"/>
  <c r="B132" i="301"/>
  <c r="C132" i="301"/>
  <c r="B133" i="301"/>
  <c r="C133" i="301"/>
  <c r="B134" i="301"/>
  <c r="C134" i="301"/>
  <c r="B135" i="301"/>
  <c r="C135" i="301"/>
  <c r="B136" i="301"/>
  <c r="C136" i="301"/>
  <c r="B137" i="301"/>
  <c r="C137" i="301"/>
  <c r="B138" i="301"/>
  <c r="C138" i="301"/>
  <c r="B139" i="301"/>
  <c r="C139" i="301"/>
  <c r="B140" i="301"/>
  <c r="C140" i="301"/>
  <c r="B141" i="301"/>
  <c r="C141" i="301"/>
  <c r="B142" i="301"/>
  <c r="C142" i="301"/>
  <c r="B143" i="301"/>
  <c r="C143" i="301"/>
  <c r="B144" i="301"/>
  <c r="C144" i="301"/>
  <c r="B145" i="301"/>
  <c r="C145" i="301"/>
  <c r="B146" i="301"/>
  <c r="C146" i="301"/>
  <c r="B147" i="301"/>
  <c r="C147" i="301"/>
  <c r="B148" i="301"/>
  <c r="C148" i="301"/>
  <c r="B149" i="301"/>
  <c r="C149" i="301"/>
  <c r="B150" i="301"/>
  <c r="C150" i="301"/>
  <c r="B151" i="301"/>
  <c r="C151" i="301"/>
  <c r="B152" i="301"/>
  <c r="C152" i="301"/>
  <c r="B153" i="301"/>
  <c r="C153" i="301"/>
  <c r="B154" i="301"/>
  <c r="C154" i="301"/>
  <c r="B155" i="301"/>
  <c r="C155" i="301"/>
  <c r="B156" i="301"/>
  <c r="C156" i="301"/>
  <c r="B157" i="301"/>
  <c r="C157" i="301"/>
  <c r="B158" i="301"/>
  <c r="C158" i="301"/>
  <c r="B159" i="301"/>
  <c r="C159" i="301"/>
  <c r="B160" i="301"/>
  <c r="C160" i="301"/>
  <c r="B161" i="301"/>
  <c r="C161" i="301"/>
  <c r="B162" i="301"/>
  <c r="C162" i="301"/>
  <c r="B163" i="301"/>
  <c r="C163" i="301"/>
  <c r="B164" i="301"/>
  <c r="C164" i="301"/>
  <c r="B165" i="301"/>
  <c r="C165" i="301"/>
  <c r="B166" i="301"/>
  <c r="C166" i="301"/>
  <c r="B167" i="301"/>
  <c r="C167" i="301"/>
  <c r="B168" i="301"/>
  <c r="C168" i="301"/>
  <c r="B169" i="301"/>
  <c r="C169" i="301"/>
  <c r="B170" i="301"/>
  <c r="C170" i="301"/>
  <c r="B171" i="301"/>
  <c r="C171" i="301"/>
  <c r="B172" i="301"/>
  <c r="C172" i="301"/>
  <c r="B173" i="301"/>
  <c r="C173" i="301"/>
  <c r="B174" i="301"/>
  <c r="C174" i="301"/>
  <c r="B175" i="301"/>
  <c r="C175" i="301"/>
  <c r="B176" i="301"/>
  <c r="C176" i="301"/>
  <c r="B177" i="301"/>
  <c r="C177" i="301"/>
  <c r="B178" i="301"/>
  <c r="C178" i="301"/>
  <c r="B179" i="301"/>
  <c r="C179" i="301"/>
  <c r="B180" i="301"/>
  <c r="C180" i="301"/>
  <c r="B181" i="301"/>
  <c r="C181" i="301"/>
  <c r="B182" i="301"/>
  <c r="C182" i="301"/>
  <c r="B183" i="301"/>
  <c r="C183" i="301"/>
  <c r="B184" i="301"/>
  <c r="C184" i="301"/>
  <c r="B185" i="301"/>
  <c r="C185" i="301"/>
  <c r="B186" i="301"/>
  <c r="C186" i="301"/>
  <c r="B187" i="301"/>
  <c r="C187" i="301"/>
  <c r="B188" i="301"/>
  <c r="C188" i="301"/>
  <c r="B189" i="301"/>
  <c r="C189" i="301"/>
  <c r="B190" i="301"/>
  <c r="C190" i="301"/>
  <c r="B191" i="301"/>
  <c r="C191" i="301"/>
  <c r="B192" i="301"/>
  <c r="C192" i="301"/>
  <c r="B193" i="301"/>
  <c r="C193" i="301"/>
  <c r="B194" i="301"/>
  <c r="C194" i="301"/>
  <c r="B195" i="301"/>
  <c r="C195" i="301"/>
  <c r="B196" i="301"/>
  <c r="C196" i="301"/>
  <c r="B197" i="301"/>
  <c r="C197" i="301"/>
  <c r="B198" i="301"/>
  <c r="C198" i="301"/>
  <c r="B199" i="301"/>
  <c r="C199" i="301"/>
  <c r="B200" i="301"/>
  <c r="C200" i="301"/>
  <c r="B201" i="301"/>
  <c r="C201" i="301"/>
  <c r="B202" i="301"/>
  <c r="C202" i="301"/>
  <c r="B203" i="301"/>
  <c r="C203" i="301"/>
  <c r="B204" i="301"/>
  <c r="C204" i="301"/>
  <c r="B205" i="301"/>
  <c r="C205" i="301"/>
  <c r="B206" i="301"/>
  <c r="C206" i="301"/>
  <c r="B207" i="301"/>
  <c r="C207" i="301"/>
  <c r="B208" i="301"/>
  <c r="C208" i="301"/>
  <c r="B209" i="301"/>
  <c r="C209" i="301"/>
  <c r="B210" i="301"/>
  <c r="C210" i="301"/>
  <c r="B211" i="301"/>
  <c r="C211" i="301"/>
  <c r="B212" i="301"/>
  <c r="C212" i="301"/>
  <c r="B213" i="301"/>
  <c r="C213" i="301"/>
  <c r="B214" i="301"/>
  <c r="C214" i="301"/>
  <c r="B215" i="301"/>
  <c r="C215" i="301"/>
  <c r="B216" i="301"/>
  <c r="C216" i="301"/>
  <c r="B217" i="301"/>
  <c r="C217" i="301"/>
  <c r="B218" i="301"/>
  <c r="C218" i="301"/>
  <c r="B219" i="301"/>
  <c r="C219" i="301"/>
  <c r="B220" i="301"/>
  <c r="C220" i="301"/>
  <c r="B221" i="301"/>
  <c r="C221" i="301"/>
  <c r="B222" i="301"/>
  <c r="C222" i="301"/>
  <c r="B223" i="301"/>
  <c r="C223" i="301"/>
  <c r="B224" i="301"/>
  <c r="C224" i="301"/>
  <c r="B225" i="301"/>
  <c r="C225" i="301"/>
  <c r="B226" i="301"/>
  <c r="C226" i="301"/>
  <c r="B227" i="301"/>
  <c r="C227" i="301"/>
  <c r="B228" i="301"/>
  <c r="C228" i="301"/>
  <c r="B229" i="301"/>
  <c r="C229" i="301"/>
  <c r="B230" i="301"/>
  <c r="C230" i="301"/>
  <c r="B231" i="301"/>
  <c r="C231" i="301"/>
  <c r="B232" i="301"/>
  <c r="C232" i="301"/>
  <c r="B233" i="301"/>
  <c r="C233" i="301"/>
  <c r="B234" i="301"/>
  <c r="C234" i="301"/>
  <c r="B235" i="301"/>
  <c r="C235" i="301"/>
  <c r="B236" i="301"/>
  <c r="C236" i="301"/>
  <c r="B237" i="301"/>
  <c r="C237" i="301"/>
  <c r="B238" i="301"/>
  <c r="C238" i="301"/>
  <c r="B239" i="301"/>
  <c r="C239" i="301"/>
  <c r="B240" i="301"/>
  <c r="C240" i="301"/>
  <c r="B241" i="301"/>
  <c r="C241" i="301"/>
  <c r="B242" i="301"/>
  <c r="C242" i="301"/>
  <c r="B243" i="301"/>
  <c r="C243" i="301"/>
  <c r="B244" i="301"/>
  <c r="C244" i="301"/>
  <c r="B245" i="301"/>
  <c r="C245" i="301"/>
  <c r="B246" i="301"/>
  <c r="C246" i="301"/>
  <c r="B247" i="301"/>
  <c r="C247" i="301"/>
  <c r="B248" i="301"/>
  <c r="C248" i="301"/>
  <c r="B249" i="301"/>
  <c r="C249" i="301"/>
  <c r="B250" i="301"/>
  <c r="C250" i="301"/>
  <c r="B251" i="301"/>
  <c r="C251" i="301"/>
  <c r="B252" i="301"/>
  <c r="C252" i="301"/>
  <c r="B253" i="301"/>
  <c r="C253" i="301"/>
  <c r="B254" i="301"/>
  <c r="C254" i="301"/>
  <c r="B255" i="301"/>
  <c r="C255" i="301"/>
  <c r="B256" i="301"/>
  <c r="C256" i="301"/>
  <c r="B257" i="301"/>
  <c r="C257" i="301"/>
  <c r="B258" i="301"/>
  <c r="C258" i="301"/>
  <c r="B259" i="301"/>
  <c r="C259" i="301"/>
  <c r="B260" i="301"/>
  <c r="C260" i="301"/>
  <c r="B261" i="301"/>
  <c r="C261" i="301"/>
  <c r="B262" i="301"/>
  <c r="C262" i="301"/>
  <c r="B263" i="301"/>
  <c r="C263" i="301"/>
  <c r="B264" i="301"/>
  <c r="C264" i="301"/>
  <c r="B265" i="301"/>
  <c r="C265" i="301"/>
  <c r="B266" i="301"/>
  <c r="C266" i="301"/>
  <c r="B267" i="301"/>
  <c r="C267" i="301"/>
  <c r="B268" i="301"/>
  <c r="C268" i="301"/>
  <c r="B269" i="301"/>
  <c r="C269" i="301"/>
  <c r="B270" i="301"/>
  <c r="C270" i="301"/>
  <c r="B271" i="301"/>
  <c r="C271" i="301"/>
  <c r="B272" i="301"/>
  <c r="C272" i="301"/>
  <c r="B273" i="301"/>
  <c r="C273" i="301"/>
  <c r="B274" i="301"/>
  <c r="C274" i="301"/>
  <c r="B275" i="301"/>
  <c r="C275" i="301"/>
  <c r="B276" i="301"/>
  <c r="C276" i="301"/>
  <c r="B277" i="301"/>
  <c r="C277" i="301"/>
  <c r="B278" i="301"/>
  <c r="C278" i="301"/>
  <c r="B279" i="301"/>
  <c r="C279" i="301"/>
  <c r="B280" i="301"/>
  <c r="C280" i="301"/>
  <c r="B281" i="301"/>
  <c r="C281" i="301"/>
  <c r="B282" i="301"/>
  <c r="C282" i="301"/>
  <c r="B283" i="301"/>
  <c r="C283" i="301"/>
  <c r="B284" i="301"/>
  <c r="C284" i="301"/>
  <c r="B285" i="301"/>
  <c r="C285" i="301"/>
  <c r="B286" i="301"/>
  <c r="C286" i="301"/>
  <c r="B287" i="301"/>
  <c r="C287" i="301"/>
  <c r="B288" i="301"/>
  <c r="C288" i="301"/>
  <c r="B289" i="301"/>
  <c r="C289" i="301"/>
  <c r="B290" i="301"/>
  <c r="C290" i="301"/>
  <c r="B291" i="301"/>
  <c r="C291" i="301"/>
  <c r="B292" i="301"/>
  <c r="C292" i="301"/>
  <c r="B293" i="301"/>
  <c r="C293" i="301"/>
  <c r="B294" i="301"/>
  <c r="C294" i="301"/>
  <c r="B295" i="301"/>
  <c r="C295" i="301"/>
  <c r="B296" i="301"/>
  <c r="C296" i="301"/>
  <c r="B297" i="301"/>
  <c r="C297" i="301"/>
  <c r="B298" i="301"/>
  <c r="C298" i="301"/>
  <c r="B299" i="301"/>
  <c r="C299" i="301"/>
  <c r="B300" i="301"/>
  <c r="C300" i="301"/>
  <c r="B301" i="301"/>
  <c r="C301" i="301"/>
  <c r="B302" i="301"/>
  <c r="C302" i="301"/>
  <c r="B303" i="301"/>
  <c r="C303" i="301"/>
  <c r="B304" i="301"/>
  <c r="C304" i="301"/>
  <c r="B305" i="301"/>
  <c r="C305" i="301"/>
  <c r="B306" i="301"/>
  <c r="C306" i="301"/>
  <c r="B307" i="301"/>
  <c r="C307" i="301"/>
  <c r="B308" i="301"/>
  <c r="C308" i="301"/>
  <c r="B309" i="301"/>
  <c r="C309" i="301"/>
  <c r="B310" i="301"/>
  <c r="C310" i="301"/>
  <c r="B311" i="301"/>
  <c r="C311" i="301"/>
  <c r="B312" i="301"/>
  <c r="C312" i="301"/>
  <c r="B313" i="301"/>
  <c r="C313" i="301"/>
  <c r="B314" i="301"/>
  <c r="C314" i="301"/>
  <c r="B315" i="301"/>
  <c r="C315" i="301"/>
  <c r="B316" i="301"/>
  <c r="C316" i="301"/>
  <c r="B317" i="301"/>
  <c r="C317" i="301"/>
  <c r="B318" i="301"/>
  <c r="C318" i="301"/>
  <c r="B319" i="301"/>
  <c r="C319" i="301"/>
  <c r="B320" i="301"/>
  <c r="C320" i="301"/>
  <c r="B321" i="301"/>
  <c r="C321" i="301"/>
  <c r="B322" i="301"/>
  <c r="C322" i="301"/>
  <c r="B323" i="301"/>
  <c r="C323" i="301"/>
  <c r="B324" i="301"/>
  <c r="C324" i="301"/>
  <c r="B325" i="301"/>
  <c r="C325" i="301"/>
  <c r="B326" i="301"/>
  <c r="C326" i="301"/>
  <c r="B327" i="301"/>
  <c r="C327" i="301"/>
  <c r="B328" i="301"/>
  <c r="C328" i="301"/>
  <c r="B329" i="301"/>
  <c r="C329" i="301"/>
  <c r="B330" i="301"/>
  <c r="C330" i="301"/>
  <c r="B331" i="301"/>
  <c r="C331" i="301"/>
  <c r="B332" i="301"/>
  <c r="C332" i="301"/>
  <c r="B333" i="301"/>
  <c r="C333" i="301"/>
  <c r="B334" i="301"/>
  <c r="C334" i="301"/>
  <c r="B335" i="301"/>
  <c r="C335" i="301"/>
  <c r="B336" i="301"/>
  <c r="C336" i="301"/>
  <c r="B337" i="301"/>
  <c r="C337" i="301"/>
  <c r="B338" i="301"/>
  <c r="C338" i="301"/>
  <c r="B339" i="301"/>
  <c r="C339" i="301"/>
  <c r="B340" i="301"/>
  <c r="C340" i="301"/>
  <c r="B341" i="301"/>
  <c r="C341" i="301"/>
  <c r="B342" i="301"/>
  <c r="C342" i="301"/>
  <c r="B343" i="301"/>
  <c r="C343" i="301"/>
  <c r="B344" i="301"/>
  <c r="C344" i="301"/>
  <c r="B345" i="301"/>
  <c r="C345" i="301"/>
  <c r="B346" i="301"/>
  <c r="C346" i="301"/>
  <c r="B347" i="301"/>
  <c r="C347" i="301"/>
  <c r="B348" i="301"/>
  <c r="C348" i="301"/>
  <c r="B349" i="301"/>
  <c r="C349" i="301"/>
  <c r="B350" i="301"/>
  <c r="C350" i="301"/>
  <c r="B351" i="301"/>
  <c r="C351" i="301"/>
  <c r="B352" i="301"/>
  <c r="C352" i="301"/>
  <c r="B353" i="301"/>
  <c r="C353" i="301"/>
  <c r="B354" i="301"/>
  <c r="C354" i="301"/>
  <c r="B355" i="301"/>
  <c r="C355" i="301"/>
  <c r="B356" i="301"/>
  <c r="C356" i="301"/>
  <c r="B357" i="301"/>
  <c r="C357" i="301"/>
  <c r="B358" i="301"/>
  <c r="C358" i="301"/>
  <c r="B359" i="301"/>
  <c r="C359" i="301"/>
  <c r="B360" i="301"/>
  <c r="C360" i="301"/>
  <c r="B361" i="301"/>
  <c r="C361" i="301"/>
  <c r="B362" i="301"/>
  <c r="C362" i="301"/>
  <c r="B363" i="301"/>
  <c r="C363" i="301"/>
  <c r="B364" i="301"/>
  <c r="C364" i="301"/>
  <c r="B365" i="301"/>
  <c r="C365" i="301"/>
  <c r="B366" i="301"/>
  <c r="C366" i="301"/>
  <c r="B367" i="301"/>
  <c r="C367" i="301"/>
  <c r="B368" i="301"/>
  <c r="C368" i="301"/>
  <c r="B369" i="301"/>
  <c r="C369" i="301"/>
  <c r="B370" i="301"/>
  <c r="C370" i="301"/>
  <c r="B371" i="301"/>
  <c r="C371" i="301"/>
  <c r="B372" i="301"/>
  <c r="C372" i="301"/>
  <c r="B373" i="301"/>
  <c r="C373" i="301"/>
  <c r="B374" i="301"/>
  <c r="C374" i="301"/>
  <c r="B375" i="301"/>
  <c r="C375" i="301"/>
  <c r="B376" i="301"/>
  <c r="C376" i="301"/>
  <c r="B377" i="301"/>
  <c r="C377" i="301"/>
  <c r="B378" i="301"/>
  <c r="C378" i="301"/>
  <c r="B379" i="301"/>
  <c r="C379" i="301"/>
  <c r="B380" i="301"/>
  <c r="C380" i="301"/>
  <c r="B381" i="301"/>
  <c r="C381" i="301"/>
  <c r="B382" i="301"/>
  <c r="C382" i="301"/>
  <c r="B383" i="301"/>
  <c r="C383" i="301"/>
  <c r="B384" i="301"/>
  <c r="C384" i="301"/>
  <c r="B385" i="301"/>
  <c r="C385" i="301"/>
  <c r="B386" i="301"/>
  <c r="C386" i="301"/>
  <c r="B387" i="301"/>
  <c r="C387" i="301"/>
  <c r="B388" i="301"/>
  <c r="C388" i="301"/>
  <c r="B389" i="301"/>
  <c r="C389" i="301"/>
  <c r="B390" i="301"/>
  <c r="C390" i="301"/>
  <c r="B391" i="301"/>
  <c r="C391" i="301"/>
  <c r="B392" i="301"/>
  <c r="C392" i="301"/>
  <c r="B393" i="301"/>
  <c r="C393" i="301"/>
  <c r="B394" i="301"/>
  <c r="C394" i="301"/>
  <c r="B395" i="301"/>
  <c r="C395" i="301"/>
  <c r="B396" i="301"/>
  <c r="C396" i="301"/>
  <c r="B397" i="301"/>
  <c r="C397" i="301"/>
  <c r="B398" i="301"/>
  <c r="C398" i="301"/>
  <c r="B399" i="301"/>
  <c r="C399" i="301"/>
  <c r="B400" i="301"/>
  <c r="C400" i="301"/>
  <c r="B401" i="301"/>
  <c r="C401" i="301"/>
  <c r="B402" i="301"/>
  <c r="C402" i="301"/>
  <c r="B403" i="301"/>
  <c r="C403" i="301"/>
  <c r="B404" i="301"/>
  <c r="C404" i="301"/>
  <c r="B405" i="301"/>
  <c r="C405" i="301"/>
  <c r="B406" i="301"/>
  <c r="C406" i="301"/>
  <c r="B407" i="301"/>
  <c r="C407" i="301"/>
  <c r="B408" i="301"/>
  <c r="C408" i="301"/>
  <c r="B409" i="301"/>
  <c r="C409" i="301"/>
  <c r="B410" i="301"/>
  <c r="C410" i="301"/>
  <c r="B411" i="301"/>
  <c r="C411" i="301"/>
  <c r="B412" i="301"/>
  <c r="C412" i="301"/>
  <c r="B413" i="301"/>
  <c r="C413" i="301"/>
  <c r="B414" i="301"/>
  <c r="C414" i="301"/>
  <c r="B415" i="301"/>
  <c r="C415" i="301"/>
  <c r="B416" i="301"/>
  <c r="C416" i="301"/>
  <c r="B417" i="301"/>
  <c r="C417" i="301"/>
  <c r="B418" i="301"/>
  <c r="C418" i="301"/>
  <c r="B419" i="301"/>
  <c r="C419" i="301"/>
  <c r="B420" i="301"/>
  <c r="C420" i="301"/>
  <c r="B421" i="301"/>
  <c r="C421" i="301"/>
  <c r="B422" i="301"/>
  <c r="C422" i="301"/>
  <c r="B423" i="301"/>
  <c r="C423" i="301"/>
  <c r="B424" i="301"/>
  <c r="C424" i="301"/>
  <c r="B425" i="301"/>
  <c r="C425" i="301"/>
  <c r="B426" i="301"/>
  <c r="C426" i="301"/>
  <c r="B427" i="301"/>
  <c r="C427" i="301"/>
  <c r="B428" i="301"/>
  <c r="C428" i="301"/>
  <c r="B429" i="301"/>
  <c r="C429" i="301"/>
  <c r="B430" i="301"/>
  <c r="C430" i="301"/>
  <c r="B431" i="301"/>
  <c r="C431" i="301"/>
  <c r="B432" i="301"/>
  <c r="C432" i="301"/>
  <c r="B433" i="301"/>
  <c r="C433" i="301"/>
  <c r="B434" i="301"/>
  <c r="C434" i="301"/>
  <c r="B435" i="301"/>
  <c r="C435" i="301"/>
  <c r="B436" i="301"/>
  <c r="C436" i="301"/>
  <c r="B437" i="301"/>
  <c r="C437" i="301"/>
  <c r="B438" i="301"/>
  <c r="C438" i="301"/>
  <c r="B439" i="301"/>
  <c r="C439" i="301"/>
  <c r="B440" i="301"/>
  <c r="C440" i="301"/>
  <c r="B441" i="301"/>
  <c r="C441" i="301"/>
  <c r="B442" i="301"/>
  <c r="C442" i="301"/>
  <c r="B443" i="301"/>
  <c r="C443" i="301"/>
  <c r="B444" i="301"/>
  <c r="C444" i="301"/>
  <c r="B445" i="301"/>
  <c r="C445" i="301"/>
  <c r="B446" i="301"/>
  <c r="C446" i="301"/>
  <c r="B447" i="301"/>
  <c r="C447" i="301"/>
  <c r="B448" i="301"/>
  <c r="C448" i="301"/>
  <c r="B449" i="301"/>
  <c r="C449" i="301"/>
  <c r="B450" i="301"/>
  <c r="C450" i="301"/>
  <c r="B451" i="301"/>
  <c r="C451" i="301"/>
  <c r="B452" i="301"/>
  <c r="C452" i="301"/>
  <c r="B453" i="301"/>
  <c r="C453" i="301"/>
  <c r="B454" i="301"/>
  <c r="C454" i="301"/>
  <c r="B455" i="301"/>
  <c r="C455" i="301"/>
  <c r="B456" i="301"/>
  <c r="C456" i="301"/>
  <c r="B457" i="301"/>
  <c r="C457" i="301"/>
  <c r="B458" i="301"/>
  <c r="C458" i="301"/>
  <c r="B459" i="301"/>
  <c r="C459" i="301"/>
  <c r="B460" i="301"/>
  <c r="C460" i="301"/>
  <c r="B461" i="301"/>
  <c r="C461" i="301"/>
  <c r="B462" i="301"/>
  <c r="C462" i="301"/>
  <c r="B463" i="301"/>
  <c r="C463" i="301"/>
  <c r="B464" i="301"/>
  <c r="C464" i="301"/>
  <c r="B465" i="301"/>
  <c r="C465" i="301"/>
  <c r="B466" i="301"/>
  <c r="C466" i="301"/>
  <c r="B467" i="301"/>
  <c r="C467" i="301"/>
  <c r="B468" i="301"/>
  <c r="C468" i="301"/>
  <c r="B469" i="301"/>
  <c r="C469" i="301"/>
  <c r="B470" i="301"/>
  <c r="C470" i="301"/>
  <c r="B471" i="301"/>
  <c r="C471" i="301"/>
  <c r="B472" i="301"/>
  <c r="C472" i="301"/>
  <c r="B473" i="301"/>
  <c r="C473" i="301"/>
  <c r="B474" i="301"/>
  <c r="C474" i="301"/>
  <c r="B475" i="301"/>
  <c r="C475" i="301"/>
  <c r="B476" i="301"/>
  <c r="C476" i="301"/>
  <c r="B477" i="301"/>
  <c r="C477" i="301"/>
  <c r="B478" i="301"/>
  <c r="C478" i="301"/>
  <c r="B479" i="301"/>
  <c r="C479" i="301"/>
  <c r="B480" i="301"/>
  <c r="C480" i="301"/>
  <c r="B481" i="301"/>
  <c r="C481" i="301"/>
  <c r="B482" i="301"/>
  <c r="C482" i="301"/>
  <c r="B483" i="301"/>
  <c r="C483" i="301"/>
  <c r="B484" i="301"/>
  <c r="C484" i="301"/>
  <c r="B485" i="301"/>
  <c r="C485" i="301"/>
  <c r="B486" i="301"/>
  <c r="C486" i="301"/>
  <c r="B487" i="301"/>
  <c r="C487" i="301"/>
  <c r="B488" i="301"/>
  <c r="C488" i="301"/>
  <c r="B489" i="301"/>
  <c r="C489" i="301"/>
  <c r="B490" i="301"/>
  <c r="C490" i="301"/>
  <c r="B491" i="301"/>
  <c r="C491" i="301"/>
  <c r="B492" i="301"/>
  <c r="C492" i="301"/>
  <c r="B493" i="301"/>
  <c r="C493" i="301"/>
  <c r="B494" i="301"/>
  <c r="C494" i="301"/>
  <c r="B495" i="301"/>
  <c r="C495" i="301"/>
  <c r="B496" i="301"/>
  <c r="C496" i="301"/>
  <c r="B497" i="301"/>
  <c r="C497" i="301"/>
  <c r="B498" i="301"/>
  <c r="C498" i="301"/>
  <c r="F181" i="301"/>
  <c r="M181" i="301"/>
  <c r="F182" i="301"/>
  <c r="F183" i="301"/>
  <c r="F184" i="301"/>
  <c r="F185" i="301"/>
  <c r="F186" i="301"/>
  <c r="F187" i="301"/>
  <c r="F188" i="301"/>
  <c r="F189" i="301"/>
  <c r="F190" i="301"/>
  <c r="F191" i="301"/>
  <c r="F192" i="301"/>
  <c r="F193" i="301"/>
  <c r="F194" i="301"/>
  <c r="F195" i="301"/>
  <c r="F196" i="301"/>
  <c r="F197" i="301"/>
  <c r="F198" i="301"/>
  <c r="F199" i="301"/>
  <c r="F200" i="301"/>
  <c r="F201" i="301"/>
  <c r="F202" i="301"/>
  <c r="F203" i="301"/>
  <c r="F204" i="301"/>
  <c r="F205" i="301"/>
  <c r="F206" i="301"/>
  <c r="F207" i="301"/>
  <c r="F208" i="301"/>
  <c r="F209" i="301"/>
  <c r="F210" i="301"/>
  <c r="F211" i="301"/>
  <c r="F212" i="301"/>
  <c r="F213" i="301"/>
  <c r="F214" i="301"/>
  <c r="F215" i="301"/>
  <c r="F216" i="301"/>
  <c r="F217" i="301"/>
  <c r="F218" i="301"/>
  <c r="F219" i="301"/>
  <c r="F220" i="301"/>
  <c r="F221" i="301"/>
  <c r="F222" i="301"/>
  <c r="F223" i="301"/>
  <c r="F224" i="301"/>
  <c r="F225" i="301"/>
  <c r="F226" i="301"/>
  <c r="F227" i="301"/>
  <c r="F228" i="301"/>
  <c r="F229" i="301"/>
  <c r="F230" i="301"/>
  <c r="F231" i="301"/>
  <c r="F232" i="301"/>
  <c r="F233" i="301"/>
  <c r="F234" i="301"/>
  <c r="F235" i="301"/>
  <c r="F236" i="301"/>
  <c r="F237" i="301"/>
  <c r="F238" i="301"/>
  <c r="F239" i="301"/>
  <c r="F240" i="301"/>
  <c r="F241" i="301"/>
  <c r="F242" i="301"/>
  <c r="F243" i="301"/>
  <c r="F244" i="301"/>
  <c r="F245" i="301"/>
  <c r="F246" i="301"/>
  <c r="F247" i="301"/>
  <c r="F248" i="301"/>
  <c r="F249" i="301"/>
  <c r="F250" i="301"/>
  <c r="F251" i="301"/>
  <c r="F252" i="301"/>
  <c r="F253" i="301"/>
  <c r="F254" i="301"/>
  <c r="F255" i="301"/>
  <c r="F256" i="301"/>
  <c r="F257" i="301"/>
  <c r="F258" i="301"/>
  <c r="F259" i="301"/>
  <c r="F260" i="301"/>
  <c r="F261" i="301"/>
  <c r="F262" i="301"/>
  <c r="F263" i="301"/>
  <c r="F264" i="301"/>
  <c r="F265" i="301"/>
  <c r="F266" i="301"/>
  <c r="F267" i="301"/>
  <c r="F268" i="301"/>
  <c r="F269" i="301"/>
  <c r="F270" i="301"/>
  <c r="F271" i="301"/>
  <c r="F272" i="301"/>
  <c r="F273" i="301"/>
  <c r="F274" i="301"/>
  <c r="F275" i="301"/>
  <c r="F276" i="301"/>
  <c r="F277" i="301"/>
  <c r="F278" i="301"/>
  <c r="F279" i="301"/>
  <c r="F280" i="301"/>
  <c r="F281" i="301"/>
  <c r="F282" i="301"/>
  <c r="F283" i="301"/>
  <c r="F284" i="301"/>
  <c r="F285" i="301"/>
  <c r="F286" i="301"/>
  <c r="F287" i="301"/>
  <c r="F288" i="301"/>
  <c r="F289" i="301"/>
  <c r="F290" i="301"/>
  <c r="F291" i="301"/>
  <c r="F292" i="301"/>
  <c r="F293" i="301"/>
  <c r="F294" i="301"/>
  <c r="F295" i="301"/>
  <c r="F296" i="301"/>
  <c r="F297" i="301"/>
  <c r="F298" i="301"/>
  <c r="F299" i="301"/>
  <c r="F300" i="301"/>
  <c r="F301" i="301"/>
  <c r="F302" i="301"/>
  <c r="F303" i="301"/>
  <c r="F304" i="301"/>
  <c r="F305" i="301"/>
  <c r="F306" i="301"/>
  <c r="F307" i="301"/>
  <c r="F308" i="301"/>
  <c r="F309" i="301"/>
  <c r="F310" i="301"/>
  <c r="F311" i="301"/>
  <c r="F312" i="301"/>
  <c r="F313" i="301"/>
  <c r="F314" i="301"/>
  <c r="F315" i="301"/>
  <c r="F316" i="301"/>
  <c r="F317" i="301"/>
  <c r="F318" i="301"/>
  <c r="F319" i="301"/>
  <c r="F320" i="301"/>
  <c r="F321" i="301"/>
  <c r="F322" i="301"/>
  <c r="F323" i="301"/>
  <c r="F324" i="301"/>
  <c r="F325" i="301"/>
  <c r="F326" i="301"/>
  <c r="F327" i="301"/>
  <c r="F328" i="301"/>
  <c r="F329" i="301"/>
  <c r="F330" i="301"/>
  <c r="F331" i="301"/>
  <c r="F332" i="301"/>
  <c r="F333" i="301"/>
  <c r="F334" i="301"/>
  <c r="F335" i="301"/>
  <c r="F336" i="301"/>
  <c r="F337" i="301"/>
  <c r="F338" i="301"/>
  <c r="F339" i="301"/>
  <c r="F340" i="301"/>
  <c r="F341" i="301"/>
  <c r="F342" i="301"/>
  <c r="F343" i="301"/>
  <c r="F344" i="301"/>
  <c r="F345" i="301"/>
  <c r="F346" i="301"/>
  <c r="F347" i="301"/>
  <c r="F348" i="301"/>
  <c r="F349" i="301"/>
  <c r="F350" i="301"/>
  <c r="F351" i="301"/>
  <c r="F352" i="301"/>
  <c r="F353" i="301"/>
  <c r="F354" i="301"/>
  <c r="F355" i="301"/>
  <c r="F356" i="301"/>
  <c r="F357" i="301"/>
  <c r="F358" i="301"/>
  <c r="F359" i="301"/>
  <c r="F360" i="301"/>
  <c r="F361" i="301"/>
  <c r="F362" i="301"/>
  <c r="F363" i="301"/>
  <c r="F364" i="301"/>
  <c r="F365" i="301"/>
  <c r="F366" i="301"/>
  <c r="F367" i="301"/>
  <c r="F368" i="301"/>
  <c r="F369" i="301"/>
  <c r="F370" i="301"/>
  <c r="F371" i="301"/>
  <c r="F372" i="301"/>
  <c r="F373" i="301"/>
  <c r="F374" i="301"/>
  <c r="F375" i="301"/>
  <c r="F376" i="301"/>
  <c r="F377" i="301"/>
  <c r="F378" i="301"/>
  <c r="F379" i="301"/>
  <c r="F380" i="301"/>
  <c r="F381" i="301"/>
  <c r="F382" i="301"/>
  <c r="F383" i="301"/>
  <c r="F384" i="301"/>
  <c r="F385" i="301"/>
  <c r="F386" i="301"/>
  <c r="F387" i="301"/>
  <c r="F388" i="301"/>
  <c r="F389" i="301"/>
  <c r="F390" i="301"/>
  <c r="F391" i="301"/>
  <c r="F392" i="301"/>
  <c r="F393" i="301"/>
  <c r="F394" i="301"/>
  <c r="F395" i="301"/>
  <c r="F396" i="301"/>
  <c r="F397" i="301"/>
  <c r="F398" i="301"/>
  <c r="F399" i="301"/>
  <c r="F400" i="301"/>
  <c r="F401" i="301"/>
  <c r="F402" i="301"/>
  <c r="F403" i="301"/>
  <c r="F404" i="301"/>
  <c r="F405" i="301"/>
  <c r="F406" i="301"/>
  <c r="F407" i="301"/>
  <c r="F408" i="301"/>
  <c r="F409" i="301"/>
  <c r="F410" i="301"/>
  <c r="F411" i="301"/>
  <c r="F412" i="301"/>
  <c r="F413" i="301"/>
  <c r="F414" i="301"/>
  <c r="F415" i="301"/>
  <c r="F416" i="301"/>
  <c r="F417" i="301"/>
  <c r="F418" i="301"/>
  <c r="F419" i="301"/>
  <c r="F420" i="301"/>
  <c r="F421" i="301"/>
  <c r="F422" i="301"/>
  <c r="F423" i="301"/>
  <c r="F424" i="301"/>
  <c r="F425" i="301"/>
  <c r="F426" i="301"/>
  <c r="F427" i="301"/>
  <c r="F428" i="301"/>
  <c r="F429" i="301"/>
  <c r="F430" i="301"/>
  <c r="F431" i="301"/>
  <c r="F432" i="301"/>
  <c r="F433" i="301"/>
  <c r="F434" i="301"/>
  <c r="F435" i="301"/>
  <c r="F436" i="301"/>
  <c r="F437" i="301"/>
  <c r="F438" i="301"/>
  <c r="F439" i="301"/>
  <c r="F440" i="301"/>
  <c r="F441" i="301"/>
  <c r="F442" i="301"/>
  <c r="F443" i="301"/>
  <c r="F444" i="301"/>
  <c r="F445" i="301"/>
  <c r="F446" i="301"/>
  <c r="F447" i="301"/>
  <c r="F448" i="301"/>
  <c r="F449" i="301"/>
  <c r="F450" i="301"/>
  <c r="F451" i="301"/>
  <c r="F452" i="301"/>
  <c r="F453" i="301"/>
  <c r="F454" i="301"/>
  <c r="F455" i="301"/>
  <c r="F456" i="301"/>
  <c r="F457" i="301"/>
  <c r="F458" i="301"/>
  <c r="F459" i="301"/>
  <c r="F460" i="301"/>
  <c r="F461" i="301"/>
  <c r="F462" i="301"/>
  <c r="F463" i="301"/>
  <c r="F464" i="301"/>
  <c r="F465" i="301"/>
  <c r="F466" i="301"/>
  <c r="F467" i="301"/>
  <c r="F468" i="301"/>
  <c r="F469" i="301"/>
  <c r="F470" i="301"/>
  <c r="F471" i="301"/>
  <c r="F472" i="301"/>
  <c r="F473" i="301"/>
  <c r="F474" i="301"/>
  <c r="F475" i="301"/>
  <c r="F476" i="301"/>
  <c r="F477" i="301"/>
  <c r="F478" i="301"/>
  <c r="F479" i="301"/>
  <c r="F480" i="301"/>
  <c r="F481" i="301"/>
  <c r="F482" i="301"/>
  <c r="F483" i="301"/>
  <c r="F484" i="301"/>
  <c r="F485" i="301"/>
  <c r="F486" i="301"/>
  <c r="F487" i="301"/>
  <c r="F488" i="301"/>
  <c r="F489" i="301"/>
  <c r="F490" i="301"/>
  <c r="F491" i="301"/>
  <c r="F492" i="301"/>
  <c r="F493" i="301"/>
  <c r="F494" i="301"/>
  <c r="F495" i="301"/>
  <c r="F496" i="301"/>
  <c r="F497" i="301"/>
  <c r="F498" i="301"/>
  <c r="C184" i="269"/>
  <c r="D184" i="269"/>
  <c r="C185" i="269"/>
  <c r="D185" i="269"/>
  <c r="C186" i="269"/>
  <c r="D186" i="269"/>
  <c r="C187" i="269"/>
  <c r="D187" i="269"/>
  <c r="C188" i="269"/>
  <c r="D188" i="269"/>
  <c r="C189" i="269"/>
  <c r="D189" i="269"/>
  <c r="C190" i="269"/>
  <c r="D190" i="269"/>
  <c r="C191" i="269"/>
  <c r="D191" i="269"/>
  <c r="C192" i="269"/>
  <c r="D192" i="269"/>
  <c r="C193" i="269"/>
  <c r="D193" i="269"/>
  <c r="C194" i="269"/>
  <c r="D194" i="269"/>
  <c r="C195" i="269"/>
  <c r="D195" i="269"/>
  <c r="C196" i="269"/>
  <c r="D196" i="269"/>
  <c r="C197" i="269"/>
  <c r="D197" i="269"/>
  <c r="C198" i="269"/>
  <c r="D198" i="269"/>
  <c r="C199" i="269"/>
  <c r="D199" i="269"/>
  <c r="C200" i="269"/>
  <c r="D200" i="269"/>
  <c r="C201" i="269"/>
  <c r="D201" i="269"/>
  <c r="C202" i="269"/>
  <c r="D202" i="269"/>
  <c r="C203" i="269"/>
  <c r="D203" i="269"/>
  <c r="C204" i="269"/>
  <c r="D204" i="269"/>
  <c r="C205" i="269"/>
  <c r="D205" i="269"/>
  <c r="C206" i="269"/>
  <c r="D206" i="269"/>
  <c r="C207" i="269"/>
  <c r="D207" i="269"/>
  <c r="C208" i="269"/>
  <c r="D208" i="269"/>
  <c r="C209" i="269"/>
  <c r="D209" i="269"/>
  <c r="C210" i="269"/>
  <c r="D210" i="269"/>
  <c r="C211" i="269"/>
  <c r="D211" i="269"/>
  <c r="C212" i="269"/>
  <c r="D212" i="269"/>
  <c r="C213" i="269"/>
  <c r="D213" i="269"/>
  <c r="C214" i="269"/>
  <c r="D214" i="269"/>
  <c r="C215" i="269"/>
  <c r="D215" i="269"/>
  <c r="C216" i="269"/>
  <c r="D216" i="269"/>
  <c r="C217" i="269"/>
  <c r="D217" i="269"/>
  <c r="C218" i="269"/>
  <c r="D218" i="269"/>
  <c r="C219" i="269"/>
  <c r="D219" i="269"/>
  <c r="C220" i="269"/>
  <c r="D220" i="269"/>
  <c r="C221" i="269"/>
  <c r="D221" i="269"/>
  <c r="C222" i="269"/>
  <c r="D222" i="269"/>
  <c r="C223" i="269"/>
  <c r="D223" i="269"/>
  <c r="C224" i="269"/>
  <c r="D224" i="269"/>
  <c r="C225" i="269"/>
  <c r="D225" i="269"/>
  <c r="C226" i="269"/>
  <c r="D226" i="269"/>
  <c r="C227" i="269"/>
  <c r="D227" i="269"/>
  <c r="C228" i="269"/>
  <c r="D228" i="269"/>
  <c r="C229" i="269"/>
  <c r="D229" i="269"/>
  <c r="C230" i="269"/>
  <c r="D230" i="269"/>
  <c r="C231" i="269"/>
  <c r="D231" i="269"/>
  <c r="C232" i="269"/>
  <c r="D232" i="269"/>
  <c r="C233" i="269"/>
  <c r="D233" i="269"/>
  <c r="C234" i="269"/>
  <c r="D234" i="269"/>
  <c r="C235" i="269"/>
  <c r="D235" i="269"/>
  <c r="C236" i="269"/>
  <c r="D236" i="269"/>
  <c r="C237" i="269"/>
  <c r="D237" i="269"/>
  <c r="C238" i="269"/>
  <c r="D238" i="269"/>
  <c r="C239" i="269"/>
  <c r="D239" i="269"/>
  <c r="C240" i="269"/>
  <c r="D240" i="269"/>
  <c r="C241" i="269"/>
  <c r="D241" i="269"/>
  <c r="C242" i="269"/>
  <c r="D242" i="269"/>
  <c r="C243" i="269"/>
  <c r="D243" i="269"/>
  <c r="C244" i="269"/>
  <c r="D244" i="269"/>
  <c r="C245" i="269"/>
  <c r="D245" i="269"/>
  <c r="C246" i="269"/>
  <c r="D246" i="269"/>
  <c r="C247" i="269"/>
  <c r="D247" i="269"/>
  <c r="C248" i="269"/>
  <c r="D248" i="269"/>
  <c r="C249" i="269"/>
  <c r="D249" i="269"/>
  <c r="C250" i="269"/>
  <c r="D250" i="269"/>
  <c r="C251" i="269"/>
  <c r="D251" i="269"/>
  <c r="C252" i="269"/>
  <c r="D252" i="269"/>
  <c r="C253" i="269"/>
  <c r="D253" i="269"/>
  <c r="C254" i="269"/>
  <c r="D254" i="269"/>
  <c r="C255" i="269"/>
  <c r="D255" i="269"/>
  <c r="C256" i="269"/>
  <c r="D256" i="269"/>
  <c r="C257" i="269"/>
  <c r="D257" i="269"/>
  <c r="C258" i="269"/>
  <c r="D258" i="269"/>
  <c r="C259" i="269"/>
  <c r="D259" i="269"/>
  <c r="C260" i="269"/>
  <c r="D260" i="269"/>
  <c r="C261" i="269"/>
  <c r="D261" i="269"/>
  <c r="C262" i="269"/>
  <c r="D262" i="269"/>
  <c r="C263" i="269"/>
  <c r="D263" i="269"/>
  <c r="C264" i="269"/>
  <c r="D264" i="269"/>
  <c r="C265" i="269"/>
  <c r="D265" i="269"/>
  <c r="C266" i="269"/>
  <c r="D266" i="269"/>
  <c r="C267" i="269"/>
  <c r="D267" i="269"/>
  <c r="C268" i="269"/>
  <c r="D268" i="269"/>
  <c r="C269" i="269"/>
  <c r="D269" i="269"/>
  <c r="C270" i="269"/>
  <c r="D270" i="269"/>
  <c r="C271" i="269"/>
  <c r="D271" i="269"/>
  <c r="C272" i="269"/>
  <c r="D272" i="269"/>
  <c r="C273" i="269"/>
  <c r="D273" i="269"/>
  <c r="C274" i="269"/>
  <c r="D274" i="269"/>
  <c r="C275" i="269"/>
  <c r="D275" i="269"/>
  <c r="C276" i="269"/>
  <c r="D276" i="269"/>
  <c r="C277" i="269"/>
  <c r="D277" i="269"/>
  <c r="C278" i="269"/>
  <c r="D278" i="269"/>
  <c r="C279" i="269"/>
  <c r="D279" i="269"/>
  <c r="C280" i="269"/>
  <c r="D280" i="269"/>
  <c r="C281" i="269"/>
  <c r="D281" i="269"/>
  <c r="C282" i="269"/>
  <c r="D282" i="269"/>
  <c r="C283" i="269"/>
  <c r="D283" i="269"/>
  <c r="C284" i="269"/>
  <c r="D284" i="269"/>
  <c r="C285" i="269"/>
  <c r="D285" i="269"/>
  <c r="C286" i="269"/>
  <c r="D286" i="269"/>
  <c r="C287" i="269"/>
  <c r="D287" i="269"/>
  <c r="C288" i="269"/>
  <c r="D288" i="269"/>
  <c r="C289" i="269"/>
  <c r="D289" i="269"/>
  <c r="C290" i="269"/>
  <c r="D290" i="269"/>
  <c r="C291" i="269"/>
  <c r="D291" i="269"/>
  <c r="C292" i="269"/>
  <c r="D292" i="269"/>
  <c r="C293" i="269"/>
  <c r="D293" i="269"/>
  <c r="C294" i="269"/>
  <c r="D294" i="269"/>
  <c r="C295" i="269"/>
  <c r="D295" i="269"/>
  <c r="C296" i="269"/>
  <c r="D296" i="269"/>
  <c r="C297" i="269"/>
  <c r="D297" i="269"/>
  <c r="C298" i="269"/>
  <c r="D298" i="269"/>
  <c r="C299" i="269"/>
  <c r="D299" i="269"/>
  <c r="C300" i="269"/>
  <c r="D300" i="269"/>
  <c r="C301" i="269"/>
  <c r="D301" i="269"/>
  <c r="C302" i="269"/>
  <c r="D302" i="269"/>
  <c r="C303" i="269"/>
  <c r="D303" i="269"/>
  <c r="C304" i="269"/>
  <c r="D304" i="269"/>
  <c r="C305" i="269"/>
  <c r="D305" i="269"/>
  <c r="C306" i="269"/>
  <c r="D306" i="269"/>
  <c r="C307" i="269"/>
  <c r="D307" i="269"/>
  <c r="C308" i="269"/>
  <c r="D308" i="269"/>
  <c r="C309" i="269"/>
  <c r="D309" i="269"/>
  <c r="C310" i="269"/>
  <c r="D310" i="269"/>
  <c r="C311" i="269"/>
  <c r="D311" i="269"/>
  <c r="C312" i="269"/>
  <c r="D312" i="269"/>
  <c r="C313" i="269"/>
  <c r="D313" i="269"/>
  <c r="C314" i="269"/>
  <c r="D314" i="269"/>
  <c r="C315" i="269"/>
  <c r="D315" i="269"/>
  <c r="C316" i="269"/>
  <c r="D316" i="269"/>
  <c r="C317" i="269"/>
  <c r="D317" i="269"/>
  <c r="C318" i="269"/>
  <c r="D318" i="269"/>
  <c r="C319" i="269"/>
  <c r="D319" i="269"/>
  <c r="C320" i="269"/>
  <c r="D320" i="269"/>
  <c r="C321" i="269"/>
  <c r="D321" i="269"/>
  <c r="C322" i="269"/>
  <c r="D322" i="269"/>
  <c r="C323" i="269"/>
  <c r="D323" i="269"/>
  <c r="C324" i="269"/>
  <c r="D324" i="269"/>
  <c r="C325" i="269"/>
  <c r="D325" i="269"/>
  <c r="C326" i="269"/>
  <c r="D326" i="269"/>
  <c r="C327" i="269"/>
  <c r="D327" i="269"/>
  <c r="C328" i="269"/>
  <c r="D328" i="269"/>
  <c r="C329" i="269"/>
  <c r="D329" i="269"/>
  <c r="C330" i="269"/>
  <c r="D330" i="269"/>
  <c r="C331" i="269"/>
  <c r="D331" i="269"/>
  <c r="C332" i="269"/>
  <c r="D332" i="269"/>
  <c r="C333" i="269"/>
  <c r="D333" i="269"/>
  <c r="C334" i="269"/>
  <c r="D334" i="269"/>
  <c r="C335" i="269"/>
  <c r="D335" i="269"/>
  <c r="C336" i="269"/>
  <c r="D336" i="269"/>
  <c r="C337" i="269"/>
  <c r="D337" i="269"/>
  <c r="C338" i="269"/>
  <c r="D338" i="269"/>
  <c r="C339" i="269"/>
  <c r="D339" i="269"/>
  <c r="C340" i="269"/>
  <c r="D340" i="269"/>
  <c r="C341" i="269"/>
  <c r="D341" i="269"/>
  <c r="C342" i="269"/>
  <c r="D342" i="269"/>
  <c r="C343" i="269"/>
  <c r="D343" i="269"/>
  <c r="C344" i="269"/>
  <c r="D344" i="269"/>
  <c r="C345" i="269"/>
  <c r="D345" i="269"/>
  <c r="C346" i="269"/>
  <c r="D346" i="269"/>
  <c r="C347" i="269"/>
  <c r="D347" i="269"/>
  <c r="C348" i="269"/>
  <c r="D348" i="269"/>
  <c r="C349" i="269"/>
  <c r="D349" i="269"/>
  <c r="C350" i="269"/>
  <c r="D350" i="269"/>
  <c r="C351" i="269"/>
  <c r="D351" i="269"/>
  <c r="C352" i="269"/>
  <c r="D352" i="269"/>
  <c r="C353" i="269"/>
  <c r="D353" i="269"/>
  <c r="C354" i="269"/>
  <c r="D354" i="269"/>
  <c r="C355" i="269"/>
  <c r="D355" i="269"/>
  <c r="C356" i="269"/>
  <c r="D356" i="269"/>
  <c r="C357" i="269"/>
  <c r="D357" i="269"/>
  <c r="C358" i="269"/>
  <c r="D358" i="269"/>
  <c r="C359" i="269"/>
  <c r="D359" i="269"/>
  <c r="C360" i="269"/>
  <c r="D360" i="269"/>
  <c r="C361" i="269"/>
  <c r="D361" i="269"/>
  <c r="C362" i="269"/>
  <c r="D362" i="269"/>
  <c r="C363" i="269"/>
  <c r="D363" i="269"/>
  <c r="C364" i="269"/>
  <c r="D364" i="269"/>
  <c r="C365" i="269"/>
  <c r="D365" i="269"/>
  <c r="C366" i="269"/>
  <c r="D366" i="269"/>
  <c r="C367" i="269"/>
  <c r="D367" i="269"/>
  <c r="C368" i="269"/>
  <c r="D368" i="269"/>
  <c r="C369" i="269"/>
  <c r="D369" i="269"/>
  <c r="C370" i="269"/>
  <c r="D370" i="269"/>
  <c r="C371" i="269"/>
  <c r="D371" i="269"/>
  <c r="C372" i="269"/>
  <c r="D372" i="269"/>
  <c r="C373" i="269"/>
  <c r="D373" i="269"/>
  <c r="C374" i="269"/>
  <c r="D374" i="269"/>
  <c r="C375" i="269"/>
  <c r="D375" i="269"/>
  <c r="C376" i="269"/>
  <c r="D376" i="269"/>
  <c r="C377" i="269"/>
  <c r="D377" i="269"/>
  <c r="C378" i="269"/>
  <c r="D378" i="269"/>
  <c r="C379" i="269"/>
  <c r="D379" i="269"/>
  <c r="C380" i="269"/>
  <c r="D380" i="269"/>
  <c r="C381" i="269"/>
  <c r="D381" i="269"/>
  <c r="C382" i="269"/>
  <c r="D382" i="269"/>
  <c r="C383" i="269"/>
  <c r="D383" i="269"/>
  <c r="C384" i="269"/>
  <c r="D384" i="269"/>
  <c r="C385" i="269"/>
  <c r="D385" i="269"/>
  <c r="C386" i="269"/>
  <c r="D386" i="269"/>
  <c r="C387" i="269"/>
  <c r="D387" i="269"/>
  <c r="C388" i="269"/>
  <c r="D388" i="269"/>
  <c r="C389" i="269"/>
  <c r="D389" i="269"/>
  <c r="C390" i="269"/>
  <c r="D390" i="269"/>
  <c r="C391" i="269"/>
  <c r="D391" i="269"/>
  <c r="C392" i="269"/>
  <c r="D392" i="269"/>
  <c r="C393" i="269"/>
  <c r="D393" i="269"/>
  <c r="C394" i="269"/>
  <c r="D394" i="269"/>
  <c r="C395" i="269"/>
  <c r="D395" i="269"/>
  <c r="C396" i="269"/>
  <c r="D396" i="269"/>
  <c r="C397" i="269"/>
  <c r="D397" i="269"/>
  <c r="C398" i="269"/>
  <c r="D398" i="269"/>
  <c r="C399" i="269"/>
  <c r="D399" i="269"/>
  <c r="C400" i="269"/>
  <c r="D400" i="269"/>
  <c r="C401" i="269"/>
  <c r="D401" i="269"/>
  <c r="C402" i="269"/>
  <c r="D402" i="269"/>
  <c r="C403" i="269"/>
  <c r="D403" i="269"/>
  <c r="C404" i="269"/>
  <c r="D404" i="269"/>
  <c r="C405" i="269"/>
  <c r="D405" i="269"/>
  <c r="C406" i="269"/>
  <c r="D406" i="269"/>
  <c r="C407" i="269"/>
  <c r="D407" i="269"/>
  <c r="C408" i="269"/>
  <c r="D408" i="269"/>
  <c r="C409" i="269"/>
  <c r="D409" i="269"/>
  <c r="C410" i="269"/>
  <c r="D410" i="269"/>
  <c r="C411" i="269"/>
  <c r="D411" i="269"/>
  <c r="C412" i="269"/>
  <c r="D412" i="269"/>
  <c r="C413" i="269"/>
  <c r="D413" i="269"/>
  <c r="C414" i="269"/>
  <c r="D414" i="269"/>
  <c r="C415" i="269"/>
  <c r="D415" i="269"/>
  <c r="C416" i="269"/>
  <c r="D416" i="269"/>
  <c r="C417" i="269"/>
  <c r="D417" i="269"/>
  <c r="C418" i="269"/>
  <c r="D418" i="269"/>
  <c r="C419" i="269"/>
  <c r="D419" i="269"/>
  <c r="C420" i="269"/>
  <c r="D420" i="269"/>
  <c r="C421" i="269"/>
  <c r="D421" i="269"/>
  <c r="C422" i="269"/>
  <c r="D422" i="269"/>
  <c r="C423" i="269"/>
  <c r="D423" i="269"/>
  <c r="C424" i="269"/>
  <c r="D424" i="269"/>
  <c r="C425" i="269"/>
  <c r="D425" i="269"/>
  <c r="C426" i="269"/>
  <c r="D426" i="269"/>
  <c r="C427" i="269"/>
  <c r="D427" i="269"/>
  <c r="C428" i="269"/>
  <c r="D428" i="269"/>
  <c r="C429" i="269"/>
  <c r="D429" i="269"/>
  <c r="C430" i="269"/>
  <c r="D430" i="269"/>
  <c r="C431" i="269"/>
  <c r="D431" i="269"/>
  <c r="C432" i="269"/>
  <c r="D432" i="269"/>
  <c r="C433" i="269"/>
  <c r="D433" i="269"/>
  <c r="C434" i="269"/>
  <c r="D434" i="269"/>
  <c r="C435" i="269"/>
  <c r="D435" i="269"/>
  <c r="C436" i="269"/>
  <c r="D436" i="269"/>
  <c r="C437" i="269"/>
  <c r="D437" i="269"/>
  <c r="C438" i="269"/>
  <c r="D438" i="269"/>
  <c r="C439" i="269"/>
  <c r="D439" i="269"/>
  <c r="C440" i="269"/>
  <c r="D440" i="269"/>
  <c r="C441" i="269"/>
  <c r="D441" i="269"/>
  <c r="C442" i="269"/>
  <c r="D442" i="269"/>
  <c r="C443" i="269"/>
  <c r="D443" i="269"/>
  <c r="C444" i="269"/>
  <c r="D444" i="269"/>
  <c r="C445" i="269"/>
  <c r="D445" i="269"/>
  <c r="C446" i="269"/>
  <c r="D446" i="269"/>
  <c r="C447" i="269"/>
  <c r="D447" i="269"/>
  <c r="C448" i="269"/>
  <c r="D448" i="269"/>
  <c r="C449" i="269"/>
  <c r="D449" i="269"/>
  <c r="C450" i="269"/>
  <c r="D450" i="269"/>
  <c r="C451" i="269"/>
  <c r="D451" i="269"/>
  <c r="C452" i="269"/>
  <c r="D452" i="269"/>
  <c r="C453" i="269"/>
  <c r="D453" i="269"/>
  <c r="C454" i="269"/>
  <c r="D454" i="269"/>
  <c r="C455" i="269"/>
  <c r="D455" i="269"/>
  <c r="C456" i="269"/>
  <c r="D456" i="269"/>
  <c r="C457" i="269"/>
  <c r="D457" i="269"/>
  <c r="C458" i="269"/>
  <c r="D458" i="269"/>
  <c r="C459" i="269"/>
  <c r="D459" i="269"/>
  <c r="C460" i="269"/>
  <c r="D460" i="269"/>
  <c r="C461" i="269"/>
  <c r="D461" i="269"/>
  <c r="C462" i="269"/>
  <c r="D462" i="269"/>
  <c r="C463" i="269"/>
  <c r="D463" i="269"/>
  <c r="C464" i="269"/>
  <c r="D464" i="269"/>
  <c r="C465" i="269"/>
  <c r="D465" i="269"/>
  <c r="C466" i="269"/>
  <c r="D466" i="269"/>
  <c r="C467" i="269"/>
  <c r="D467" i="269"/>
  <c r="C468" i="269"/>
  <c r="D468" i="269"/>
  <c r="C469" i="269"/>
  <c r="D469" i="269"/>
  <c r="C470" i="269"/>
  <c r="D470" i="269"/>
  <c r="C471" i="269"/>
  <c r="D471" i="269"/>
  <c r="C472" i="269"/>
  <c r="D472" i="269"/>
  <c r="C473" i="269"/>
  <c r="D473" i="269"/>
  <c r="C474" i="269"/>
  <c r="D474" i="269"/>
  <c r="C475" i="269"/>
  <c r="D475" i="269"/>
  <c r="C476" i="269"/>
  <c r="D476" i="269"/>
  <c r="C477" i="269"/>
  <c r="D477" i="269"/>
  <c r="C478" i="269"/>
  <c r="D478" i="269"/>
  <c r="C479" i="269"/>
  <c r="D479" i="269"/>
  <c r="C480" i="269"/>
  <c r="D480" i="269"/>
  <c r="C481" i="269"/>
  <c r="D481" i="269"/>
  <c r="C482" i="269"/>
  <c r="D482" i="269"/>
  <c r="C483" i="269"/>
  <c r="D483" i="269"/>
  <c r="C484" i="269"/>
  <c r="D484" i="269"/>
  <c r="C485" i="269"/>
  <c r="D485" i="269"/>
  <c r="C486" i="269"/>
  <c r="D486" i="269"/>
  <c r="C487" i="269"/>
  <c r="D487" i="269"/>
  <c r="C488" i="269"/>
  <c r="D488" i="269"/>
  <c r="C489" i="269"/>
  <c r="D489" i="269"/>
  <c r="C490" i="269"/>
  <c r="D490" i="269"/>
  <c r="C491" i="269"/>
  <c r="D491" i="269"/>
  <c r="C492" i="269"/>
  <c r="D492" i="269"/>
  <c r="C493" i="269"/>
  <c r="D493" i="269"/>
  <c r="C494" i="269"/>
  <c r="D494" i="269"/>
  <c r="C495" i="269"/>
  <c r="D495" i="269"/>
  <c r="C496" i="269"/>
  <c r="D496" i="269"/>
  <c r="C497" i="269"/>
  <c r="D497" i="269"/>
  <c r="C498" i="269"/>
  <c r="D498" i="269"/>
  <c r="C499" i="269"/>
  <c r="D499" i="269"/>
  <c r="C500" i="269"/>
  <c r="D500" i="269"/>
  <c r="AF186" i="269"/>
  <c r="AF187" i="269"/>
  <c r="AF188" i="269"/>
  <c r="AF189" i="269"/>
  <c r="AF190" i="269"/>
  <c r="AF191" i="269"/>
  <c r="AF192" i="269"/>
  <c r="AF193" i="269"/>
  <c r="AF194" i="269"/>
  <c r="AF195" i="269"/>
  <c r="AF196" i="269"/>
  <c r="AF197" i="269"/>
  <c r="AF198" i="269"/>
  <c r="AF199" i="269"/>
  <c r="AF200" i="269"/>
  <c r="AF201" i="269"/>
  <c r="AF202" i="269"/>
  <c r="AF203" i="269"/>
  <c r="AF204" i="269"/>
  <c r="AF205" i="269"/>
  <c r="AF206" i="269"/>
  <c r="AF207" i="269"/>
  <c r="AF208" i="269"/>
  <c r="AF209" i="269"/>
  <c r="AF210" i="269"/>
  <c r="AF211" i="269"/>
  <c r="AF212" i="269"/>
  <c r="AF213" i="269"/>
  <c r="AF214" i="269"/>
  <c r="AF215" i="269"/>
  <c r="AF216" i="269"/>
  <c r="AF217" i="269"/>
  <c r="AF218" i="269"/>
  <c r="AF219" i="269"/>
  <c r="AF220" i="269"/>
  <c r="AF221" i="269"/>
  <c r="AF222" i="269"/>
  <c r="AF223" i="269"/>
  <c r="AF224" i="269"/>
  <c r="AF225" i="269"/>
  <c r="AF226" i="269"/>
  <c r="AF227" i="269"/>
  <c r="AF228" i="269"/>
  <c r="AF229" i="269"/>
  <c r="AF230" i="269"/>
  <c r="AF231" i="269"/>
  <c r="AF232" i="269"/>
  <c r="AF233" i="269"/>
  <c r="AF234" i="269"/>
  <c r="AF235" i="269"/>
  <c r="AF236" i="269"/>
  <c r="AF237" i="269"/>
  <c r="AF238" i="269"/>
  <c r="AF239" i="269"/>
  <c r="AF240" i="269"/>
  <c r="AF241" i="269"/>
  <c r="AF242" i="269"/>
  <c r="AF243" i="269"/>
  <c r="AF244" i="269"/>
  <c r="AF245" i="269"/>
  <c r="AF246" i="269"/>
  <c r="AF247" i="269"/>
  <c r="AF248" i="269"/>
  <c r="AF249" i="269"/>
  <c r="AF250" i="269"/>
  <c r="AF251" i="269"/>
  <c r="AF252" i="269"/>
  <c r="AF253" i="269"/>
  <c r="AF254" i="269"/>
  <c r="AF255" i="269"/>
  <c r="AF256" i="269"/>
  <c r="AF257" i="269"/>
  <c r="AF258" i="269"/>
  <c r="AF259" i="269"/>
  <c r="AF260" i="269"/>
  <c r="AF261" i="269"/>
  <c r="AF262" i="269"/>
  <c r="AF263" i="269"/>
  <c r="AF264" i="269"/>
  <c r="AF265" i="269"/>
  <c r="AF266" i="269"/>
  <c r="AF267" i="269"/>
  <c r="AF268" i="269"/>
  <c r="AF269" i="269"/>
  <c r="AF270" i="269"/>
  <c r="AF271" i="269"/>
  <c r="AF272" i="269"/>
  <c r="AF273" i="269"/>
  <c r="AF274" i="269"/>
  <c r="AF275" i="269"/>
  <c r="AF276" i="269"/>
  <c r="AF277" i="269"/>
  <c r="AF278" i="269"/>
  <c r="AF279" i="269"/>
  <c r="AF280" i="269"/>
  <c r="AF281" i="269"/>
  <c r="AF282" i="269"/>
  <c r="AF283" i="269"/>
  <c r="AF284" i="269"/>
  <c r="AF285" i="269"/>
  <c r="AF286" i="269"/>
  <c r="AF287" i="269"/>
  <c r="AF288" i="269"/>
  <c r="AF289" i="269"/>
  <c r="AF290" i="269"/>
  <c r="AF291" i="269"/>
  <c r="AF292" i="269"/>
  <c r="AF293" i="269"/>
  <c r="AF294" i="269"/>
  <c r="AF295" i="269"/>
  <c r="AF296" i="269"/>
  <c r="AF297" i="269"/>
  <c r="AF298" i="269"/>
  <c r="AF299" i="269"/>
  <c r="AF300" i="269"/>
  <c r="AF301" i="269"/>
  <c r="AF302" i="269"/>
  <c r="AF303" i="269"/>
  <c r="AF304" i="269"/>
  <c r="AF305" i="269"/>
  <c r="AF306" i="269"/>
  <c r="AF307" i="269"/>
  <c r="AF308" i="269"/>
  <c r="AF309" i="269"/>
  <c r="AF310" i="269"/>
  <c r="AF311" i="269"/>
  <c r="AF312" i="269"/>
  <c r="AF313" i="269"/>
  <c r="AF314" i="269"/>
  <c r="AF315" i="269"/>
  <c r="AF316" i="269"/>
  <c r="AF317" i="269"/>
  <c r="AF318" i="269"/>
  <c r="AF319" i="269"/>
  <c r="AF320" i="269"/>
  <c r="AF321" i="269"/>
  <c r="AF322" i="269"/>
  <c r="AF323" i="269"/>
  <c r="AF324" i="269"/>
  <c r="AF325" i="269"/>
  <c r="AF326" i="269"/>
  <c r="AF327" i="269"/>
  <c r="AF328" i="269"/>
  <c r="AF329" i="269"/>
  <c r="AF330" i="269"/>
  <c r="AF331" i="269"/>
  <c r="AF332" i="269"/>
  <c r="AF333" i="269"/>
  <c r="AF334" i="269"/>
  <c r="AF335" i="269"/>
  <c r="AF336" i="269"/>
  <c r="AF337" i="269"/>
  <c r="AF338" i="269"/>
  <c r="AF339" i="269"/>
  <c r="AF340" i="269"/>
  <c r="AF341" i="269"/>
  <c r="AF342" i="269"/>
  <c r="AF343" i="269"/>
  <c r="AF344" i="269"/>
  <c r="AF345" i="269"/>
  <c r="AF346" i="269"/>
  <c r="AF347" i="269"/>
  <c r="AF348" i="269"/>
  <c r="AF349" i="269"/>
  <c r="AF350" i="269"/>
  <c r="AF351" i="269"/>
  <c r="AF352" i="269"/>
  <c r="AF353" i="269"/>
  <c r="AF354" i="269"/>
  <c r="AF355" i="269"/>
  <c r="AF356" i="269"/>
  <c r="AF357" i="269"/>
  <c r="AF358" i="269"/>
  <c r="AF359" i="269"/>
  <c r="AF360" i="269"/>
  <c r="AF361" i="269"/>
  <c r="AF362" i="269"/>
  <c r="AF363" i="269"/>
  <c r="AF364" i="269"/>
  <c r="AF365" i="269"/>
  <c r="AF366" i="269"/>
  <c r="AF367" i="269"/>
  <c r="AF368" i="269"/>
  <c r="AF369" i="269"/>
  <c r="AF370" i="269"/>
  <c r="AF371" i="269"/>
  <c r="AF372" i="269"/>
  <c r="AF373" i="269"/>
  <c r="AF374" i="269"/>
  <c r="AF375" i="269"/>
  <c r="AF376" i="269"/>
  <c r="AF377" i="269"/>
  <c r="AF378" i="269"/>
  <c r="AF379" i="269"/>
  <c r="AF380" i="269"/>
  <c r="AF381" i="269"/>
  <c r="AF382" i="269"/>
  <c r="AF383" i="269"/>
  <c r="AF384" i="269"/>
  <c r="AF385" i="269"/>
  <c r="AF386" i="269"/>
  <c r="AF387" i="269"/>
  <c r="AF388" i="269"/>
  <c r="AF389" i="269"/>
  <c r="AF390" i="269"/>
  <c r="AF391" i="269"/>
  <c r="AF392" i="269"/>
  <c r="AF393" i="269"/>
  <c r="AF394" i="269"/>
  <c r="AF395" i="269"/>
  <c r="AF396" i="269"/>
  <c r="AF397" i="269"/>
  <c r="AF398" i="269"/>
  <c r="AF399" i="269"/>
  <c r="AF400" i="269"/>
  <c r="AF401" i="269"/>
  <c r="AF402" i="269"/>
  <c r="AF403" i="269"/>
  <c r="AF404" i="269"/>
  <c r="AF405" i="269"/>
  <c r="AF406" i="269"/>
  <c r="AF407" i="269"/>
  <c r="AF408" i="269"/>
  <c r="AF409" i="269"/>
  <c r="AF410" i="269"/>
  <c r="AF411" i="269"/>
  <c r="AF412" i="269"/>
  <c r="AF413" i="269"/>
  <c r="AF414" i="269"/>
  <c r="AF415" i="269"/>
  <c r="AF416" i="269"/>
  <c r="AF417" i="269"/>
  <c r="AF418" i="269"/>
  <c r="AF419" i="269"/>
  <c r="AF420" i="269"/>
  <c r="AF421" i="269"/>
  <c r="AF422" i="269"/>
  <c r="AF423" i="269"/>
  <c r="AF424" i="269"/>
  <c r="AF425" i="269"/>
  <c r="AF426" i="269"/>
  <c r="AF427" i="269"/>
  <c r="AF428" i="269"/>
  <c r="AF429" i="269"/>
  <c r="AF430" i="269"/>
  <c r="AF431" i="269"/>
  <c r="AF432" i="269"/>
  <c r="AF433" i="269"/>
  <c r="AF434" i="269"/>
  <c r="AF435" i="269"/>
  <c r="AF436" i="269"/>
  <c r="AF437" i="269"/>
  <c r="AF438" i="269"/>
  <c r="AF439" i="269"/>
  <c r="AF440" i="269"/>
  <c r="AF441" i="269"/>
  <c r="AF442" i="269"/>
  <c r="AF443" i="269"/>
  <c r="AF444" i="269"/>
  <c r="AF445" i="269"/>
  <c r="AF446" i="269"/>
  <c r="AF447" i="269"/>
  <c r="AF448" i="269"/>
  <c r="AF449" i="269"/>
  <c r="AF450" i="269"/>
  <c r="AF451" i="269"/>
  <c r="AF452" i="269"/>
  <c r="AF453" i="269"/>
  <c r="AF454" i="269"/>
  <c r="AF455" i="269"/>
  <c r="AF456" i="269"/>
  <c r="AF457" i="269"/>
  <c r="AF458" i="269"/>
  <c r="AF459" i="269"/>
  <c r="AF460" i="269"/>
  <c r="AF461" i="269"/>
  <c r="AF462" i="269"/>
  <c r="AF463" i="269"/>
  <c r="AF464" i="269"/>
  <c r="AF465" i="269"/>
  <c r="AF466" i="269"/>
  <c r="AF467" i="269"/>
  <c r="AF468" i="269"/>
  <c r="AF469" i="269"/>
  <c r="AF470" i="269"/>
  <c r="AF471" i="269"/>
  <c r="AF472" i="269"/>
  <c r="AF473" i="269"/>
  <c r="AF474" i="269"/>
  <c r="AF475" i="269"/>
  <c r="AF476" i="269"/>
  <c r="AF477" i="269"/>
  <c r="AF478" i="269"/>
  <c r="AF479" i="269"/>
  <c r="AF480" i="269"/>
  <c r="AF481" i="269"/>
  <c r="AF482" i="269"/>
  <c r="AF483" i="269"/>
  <c r="AF484" i="269"/>
  <c r="AF485" i="269"/>
  <c r="AF486" i="269"/>
  <c r="AF487" i="269"/>
  <c r="AF488" i="269"/>
  <c r="AF489" i="269"/>
  <c r="AF490" i="269"/>
  <c r="AF491" i="269"/>
  <c r="AF492" i="269"/>
  <c r="AF493" i="269"/>
  <c r="AF494" i="269"/>
  <c r="AF495" i="269"/>
  <c r="AF496" i="269"/>
  <c r="AF497" i="269"/>
  <c r="AF498" i="269"/>
  <c r="AF499" i="269"/>
  <c r="AF500" i="269"/>
  <c r="C183" i="269"/>
  <c r="D183" i="269"/>
  <c r="DY453" i="318"/>
  <c r="DY402" i="318"/>
  <c r="DY358" i="318"/>
  <c r="DY316" i="318"/>
  <c r="DY266" i="318"/>
  <c r="DY222" i="318"/>
  <c r="DY177" i="318"/>
  <c r="EH4" i="318" s="1"/>
  <c r="DY133" i="318"/>
  <c r="DY8" i="318"/>
  <c r="EH3" i="318" s="1"/>
  <c r="S43" i="322"/>
  <c r="S44" i="322"/>
  <c r="S45" i="322"/>
  <c r="O39" i="322"/>
  <c r="O43" i="322"/>
  <c r="O44" i="322"/>
  <c r="O45" i="322"/>
  <c r="C15" i="301"/>
  <c r="B15" i="301"/>
  <c r="E21" i="270"/>
  <c r="F21" i="270"/>
  <c r="E23" i="270"/>
  <c r="J15" i="271"/>
  <c r="C17" i="269"/>
  <c r="D17" i="269"/>
  <c r="AF17" i="269"/>
  <c r="C18" i="269"/>
  <c r="D18" i="269"/>
  <c r="AF18" i="269"/>
  <c r="C19" i="269"/>
  <c r="D19" i="269"/>
  <c r="AF19" i="269"/>
  <c r="C20" i="269"/>
  <c r="D20" i="269"/>
  <c r="AF20" i="269"/>
  <c r="C21" i="269"/>
  <c r="D21" i="269"/>
  <c r="AF21" i="269"/>
  <c r="C22" i="269"/>
  <c r="D22" i="269"/>
  <c r="AF22" i="269"/>
  <c r="C23" i="269"/>
  <c r="D23" i="269"/>
  <c r="AF23" i="269"/>
  <c r="C24" i="269"/>
  <c r="D24" i="269"/>
  <c r="AF24" i="269"/>
  <c r="C25" i="269"/>
  <c r="D25" i="269"/>
  <c r="AF25" i="269"/>
  <c r="C26" i="269"/>
  <c r="D26" i="269"/>
  <c r="AF26" i="269"/>
  <c r="C27" i="269"/>
  <c r="D27" i="269"/>
  <c r="AF27" i="269"/>
  <c r="C28" i="269"/>
  <c r="D28" i="269"/>
  <c r="AF28" i="269"/>
  <c r="C29" i="269"/>
  <c r="D29" i="269"/>
  <c r="AF29" i="269"/>
  <c r="C30" i="269"/>
  <c r="D30" i="269"/>
  <c r="AF30" i="269"/>
  <c r="C31" i="269"/>
  <c r="D31" i="269"/>
  <c r="AF31" i="269"/>
  <c r="C32" i="269"/>
  <c r="D32" i="269"/>
  <c r="AF32" i="269"/>
  <c r="C33" i="269"/>
  <c r="D33" i="269"/>
  <c r="AF33" i="269"/>
  <c r="C34" i="269"/>
  <c r="D34" i="269"/>
  <c r="AF34" i="269"/>
  <c r="C35" i="269"/>
  <c r="D35" i="269"/>
  <c r="AF35" i="269"/>
  <c r="C36" i="269"/>
  <c r="D36" i="269"/>
  <c r="AF36" i="269"/>
  <c r="C37" i="269"/>
  <c r="D37" i="269"/>
  <c r="AF37" i="269"/>
  <c r="C38" i="269"/>
  <c r="D38" i="269"/>
  <c r="AF38" i="269"/>
  <c r="C39" i="269"/>
  <c r="D39" i="269"/>
  <c r="AF39" i="269"/>
  <c r="C40" i="269"/>
  <c r="D40" i="269"/>
  <c r="AF40" i="269"/>
  <c r="C41" i="269"/>
  <c r="D41" i="269"/>
  <c r="AF41" i="269"/>
  <c r="C42" i="269"/>
  <c r="D42" i="269"/>
  <c r="AF42" i="269"/>
  <c r="C43" i="269"/>
  <c r="D43" i="269"/>
  <c r="AF43" i="269"/>
  <c r="C44" i="269"/>
  <c r="D44" i="269"/>
  <c r="AF44" i="269"/>
  <c r="C45" i="269"/>
  <c r="D45" i="269"/>
  <c r="AF45" i="269"/>
  <c r="C46" i="269"/>
  <c r="D46" i="269"/>
  <c r="AF46" i="269"/>
  <c r="C47" i="269"/>
  <c r="D47" i="269"/>
  <c r="AF47" i="269"/>
  <c r="C48" i="269"/>
  <c r="D48" i="269"/>
  <c r="AF48" i="269"/>
  <c r="C49" i="269"/>
  <c r="D49" i="269"/>
  <c r="AF49" i="269"/>
  <c r="C50" i="269"/>
  <c r="D50" i="269"/>
  <c r="AF50" i="269"/>
  <c r="C51" i="269"/>
  <c r="D51" i="269"/>
  <c r="AF51" i="269"/>
  <c r="C52" i="269"/>
  <c r="D52" i="269"/>
  <c r="AF52" i="269"/>
  <c r="C53" i="269"/>
  <c r="D53" i="269"/>
  <c r="AF53" i="269"/>
  <c r="C54" i="269"/>
  <c r="D54" i="269"/>
  <c r="AF54" i="269"/>
  <c r="C55" i="269"/>
  <c r="D55" i="269"/>
  <c r="AF55" i="269"/>
  <c r="C56" i="269"/>
  <c r="D56" i="269"/>
  <c r="AF56" i="269"/>
  <c r="C57" i="269"/>
  <c r="D57" i="269"/>
  <c r="AF57" i="269"/>
  <c r="C58" i="269"/>
  <c r="D58" i="269"/>
  <c r="AF58" i="269"/>
  <c r="C59" i="269"/>
  <c r="D59" i="269"/>
  <c r="AF59" i="269"/>
  <c r="C60" i="269"/>
  <c r="D60" i="269"/>
  <c r="AF60" i="269"/>
  <c r="C61" i="269"/>
  <c r="D61" i="269"/>
  <c r="AF61" i="269"/>
  <c r="C62" i="269"/>
  <c r="D62" i="269"/>
  <c r="AF62" i="269"/>
  <c r="C63" i="269"/>
  <c r="D63" i="269"/>
  <c r="AF63" i="269"/>
  <c r="C64" i="269"/>
  <c r="D64" i="269"/>
  <c r="AF64" i="269"/>
  <c r="C65" i="269"/>
  <c r="D65" i="269"/>
  <c r="AF65" i="269"/>
  <c r="C66" i="269"/>
  <c r="D66" i="269"/>
  <c r="AF66" i="269"/>
  <c r="C67" i="269"/>
  <c r="D67" i="269"/>
  <c r="AF67" i="269"/>
  <c r="C68" i="269"/>
  <c r="D68" i="269"/>
  <c r="AF68" i="269"/>
  <c r="C69" i="269"/>
  <c r="D69" i="269"/>
  <c r="AF69" i="269"/>
  <c r="C70" i="269"/>
  <c r="D70" i="269"/>
  <c r="AF70" i="269"/>
  <c r="C71" i="269"/>
  <c r="D71" i="269"/>
  <c r="AF71" i="269"/>
  <c r="C72" i="269"/>
  <c r="D72" i="269"/>
  <c r="AF72" i="269"/>
  <c r="C73" i="269"/>
  <c r="D73" i="269"/>
  <c r="AF73" i="269"/>
  <c r="C74" i="269"/>
  <c r="D74" i="269"/>
  <c r="AF74" i="269"/>
  <c r="C75" i="269"/>
  <c r="D75" i="269"/>
  <c r="AF75" i="269"/>
  <c r="C76" i="269"/>
  <c r="D76" i="269"/>
  <c r="AF76" i="269"/>
  <c r="C77" i="269"/>
  <c r="D77" i="269"/>
  <c r="AF77" i="269"/>
  <c r="C78" i="269"/>
  <c r="D78" i="269"/>
  <c r="AF78" i="269"/>
  <c r="C79" i="269"/>
  <c r="D79" i="269"/>
  <c r="AF79" i="269"/>
  <c r="C80" i="269"/>
  <c r="D80" i="269"/>
  <c r="AF80" i="269"/>
  <c r="C81" i="269"/>
  <c r="D81" i="269"/>
  <c r="AF81" i="269"/>
  <c r="C82" i="269"/>
  <c r="D82" i="269"/>
  <c r="AF82" i="269"/>
  <c r="C83" i="269"/>
  <c r="D83" i="269"/>
  <c r="AF83" i="269"/>
  <c r="C84" i="269"/>
  <c r="D84" i="269"/>
  <c r="AF84" i="269"/>
  <c r="C85" i="269"/>
  <c r="D85" i="269"/>
  <c r="AF85" i="269"/>
  <c r="C86" i="269"/>
  <c r="D86" i="269"/>
  <c r="AF86" i="269"/>
  <c r="C87" i="269"/>
  <c r="D87" i="269"/>
  <c r="AF87" i="269"/>
  <c r="C88" i="269"/>
  <c r="D88" i="269"/>
  <c r="AF88" i="269"/>
  <c r="C89" i="269"/>
  <c r="D89" i="269"/>
  <c r="AF89" i="269"/>
  <c r="C90" i="269"/>
  <c r="D90" i="269"/>
  <c r="AF90" i="269"/>
  <c r="C91" i="269"/>
  <c r="D91" i="269"/>
  <c r="AF91" i="269"/>
  <c r="C92" i="269"/>
  <c r="D92" i="269"/>
  <c r="AF92" i="269"/>
  <c r="C93" i="269"/>
  <c r="D93" i="269"/>
  <c r="AF93" i="269"/>
  <c r="C94" i="269"/>
  <c r="D94" i="269"/>
  <c r="AF94" i="269"/>
  <c r="C95" i="269"/>
  <c r="D95" i="269"/>
  <c r="AF95" i="269"/>
  <c r="C96" i="269"/>
  <c r="D96" i="269"/>
  <c r="AF96" i="269"/>
  <c r="C97" i="269"/>
  <c r="D97" i="269"/>
  <c r="AF97" i="269"/>
  <c r="C98" i="269"/>
  <c r="D98" i="269"/>
  <c r="AF98" i="269"/>
  <c r="C99" i="269"/>
  <c r="D99" i="269"/>
  <c r="AF99" i="269"/>
  <c r="C100" i="269"/>
  <c r="D100" i="269"/>
  <c r="AF100" i="269"/>
  <c r="C101" i="269"/>
  <c r="D101" i="269"/>
  <c r="AF101" i="269"/>
  <c r="C102" i="269"/>
  <c r="D102" i="269"/>
  <c r="AF102" i="269"/>
  <c r="C103" i="269"/>
  <c r="D103" i="269"/>
  <c r="AF103" i="269"/>
  <c r="C104" i="269"/>
  <c r="D104" i="269"/>
  <c r="AF104" i="269"/>
  <c r="C105" i="269"/>
  <c r="D105" i="269"/>
  <c r="AF105" i="269"/>
  <c r="C106" i="269"/>
  <c r="D106" i="269"/>
  <c r="AF106" i="269"/>
  <c r="C107" i="269"/>
  <c r="D107" i="269"/>
  <c r="AF107" i="269"/>
  <c r="C108" i="269"/>
  <c r="D108" i="269"/>
  <c r="AF108" i="269"/>
  <c r="C109" i="269"/>
  <c r="D109" i="269"/>
  <c r="AF109" i="269"/>
  <c r="C110" i="269"/>
  <c r="D110" i="269"/>
  <c r="AF110" i="269"/>
  <c r="C111" i="269"/>
  <c r="D111" i="269"/>
  <c r="AF111" i="269"/>
  <c r="C112" i="269"/>
  <c r="D112" i="269"/>
  <c r="AF112" i="269"/>
  <c r="C113" i="269"/>
  <c r="D113" i="269"/>
  <c r="AF113" i="269"/>
  <c r="C114" i="269"/>
  <c r="D114" i="269"/>
  <c r="AF114" i="269"/>
  <c r="C115" i="269"/>
  <c r="D115" i="269"/>
  <c r="AF115" i="269"/>
  <c r="C116" i="269"/>
  <c r="D116" i="269"/>
  <c r="AF116" i="269"/>
  <c r="C117" i="269"/>
  <c r="D117" i="269"/>
  <c r="AF117" i="269"/>
  <c r="C118" i="269"/>
  <c r="D118" i="269"/>
  <c r="AF118" i="269"/>
  <c r="C119" i="269"/>
  <c r="D119" i="269"/>
  <c r="AF119" i="269"/>
  <c r="C120" i="269"/>
  <c r="D120" i="269"/>
  <c r="AF120" i="269"/>
  <c r="C121" i="269"/>
  <c r="D121" i="269"/>
  <c r="AF121" i="269"/>
  <c r="C122" i="269"/>
  <c r="D122" i="269"/>
  <c r="AF122" i="269"/>
  <c r="C123" i="269"/>
  <c r="D123" i="269"/>
  <c r="AF123" i="269"/>
  <c r="C124" i="269"/>
  <c r="D124" i="269"/>
  <c r="AF124" i="269"/>
  <c r="C125" i="269"/>
  <c r="D125" i="269"/>
  <c r="AF125" i="269"/>
  <c r="C126" i="269"/>
  <c r="D126" i="269"/>
  <c r="AF126" i="269"/>
  <c r="C127" i="269"/>
  <c r="D127" i="269"/>
  <c r="AF127" i="269"/>
  <c r="C128" i="269"/>
  <c r="D128" i="269"/>
  <c r="AF128" i="269"/>
  <c r="C129" i="269"/>
  <c r="D129" i="269"/>
  <c r="AF129" i="269"/>
  <c r="C130" i="269"/>
  <c r="D130" i="269"/>
  <c r="AF130" i="269"/>
  <c r="C131" i="269"/>
  <c r="D131" i="269"/>
  <c r="AF131" i="269"/>
  <c r="C132" i="269"/>
  <c r="D132" i="269"/>
  <c r="AF132" i="269"/>
  <c r="C133" i="269"/>
  <c r="D133" i="269"/>
  <c r="AF133" i="269"/>
  <c r="C134" i="269"/>
  <c r="D134" i="269"/>
  <c r="AF134" i="269"/>
  <c r="C135" i="269"/>
  <c r="D135" i="269"/>
  <c r="AF135" i="269"/>
  <c r="C136" i="269"/>
  <c r="D136" i="269"/>
  <c r="AF136" i="269"/>
  <c r="C137" i="269"/>
  <c r="D137" i="269"/>
  <c r="AF137" i="269"/>
  <c r="C138" i="269"/>
  <c r="D138" i="269"/>
  <c r="AF138" i="269"/>
  <c r="C139" i="269"/>
  <c r="D139" i="269"/>
  <c r="AF139" i="269"/>
  <c r="C140" i="269"/>
  <c r="D140" i="269"/>
  <c r="AF140" i="269"/>
  <c r="C141" i="269"/>
  <c r="D141" i="269"/>
  <c r="AF141" i="269"/>
  <c r="C142" i="269"/>
  <c r="D142" i="269"/>
  <c r="AF142" i="269"/>
  <c r="C143" i="269"/>
  <c r="D143" i="269"/>
  <c r="AF143" i="269"/>
  <c r="C144" i="269"/>
  <c r="D144" i="269"/>
  <c r="AF144" i="269"/>
  <c r="C145" i="269"/>
  <c r="D145" i="269"/>
  <c r="AF145" i="269"/>
  <c r="C146" i="269"/>
  <c r="D146" i="269"/>
  <c r="AF146" i="269"/>
  <c r="C147" i="269"/>
  <c r="D147" i="269"/>
  <c r="AF147" i="269"/>
  <c r="C148" i="269"/>
  <c r="D148" i="269"/>
  <c r="AF148" i="269"/>
  <c r="C149" i="269"/>
  <c r="D149" i="269"/>
  <c r="AF149" i="269"/>
  <c r="C150" i="269"/>
  <c r="D150" i="269"/>
  <c r="AF150" i="269"/>
  <c r="C151" i="269"/>
  <c r="D151" i="269"/>
  <c r="AF151" i="269"/>
  <c r="C152" i="269"/>
  <c r="D152" i="269"/>
  <c r="AF152" i="269"/>
  <c r="C153" i="269"/>
  <c r="D153" i="269"/>
  <c r="AF153" i="269"/>
  <c r="C154" i="269"/>
  <c r="D154" i="269"/>
  <c r="AF154" i="269"/>
  <c r="C155" i="269"/>
  <c r="D155" i="269"/>
  <c r="AF155" i="269"/>
  <c r="C156" i="269"/>
  <c r="D156" i="269"/>
  <c r="AF156" i="269"/>
  <c r="C157" i="269"/>
  <c r="D157" i="269"/>
  <c r="AF157" i="269"/>
  <c r="C158" i="269"/>
  <c r="D158" i="269"/>
  <c r="AF158" i="269"/>
  <c r="C159" i="269"/>
  <c r="D159" i="269"/>
  <c r="AF159" i="269"/>
  <c r="C160" i="269"/>
  <c r="D160" i="269"/>
  <c r="AF160" i="269"/>
  <c r="C161" i="269"/>
  <c r="D161" i="269"/>
  <c r="AF161" i="269"/>
  <c r="C162" i="269"/>
  <c r="D162" i="269"/>
  <c r="AF162" i="269"/>
  <c r="C163" i="269"/>
  <c r="D163" i="269"/>
  <c r="AF163" i="269"/>
  <c r="C164" i="269"/>
  <c r="D164" i="269"/>
  <c r="AF164" i="269"/>
  <c r="C165" i="269"/>
  <c r="D165" i="269"/>
  <c r="AF165" i="269"/>
  <c r="C166" i="269"/>
  <c r="D166" i="269"/>
  <c r="AF166" i="269"/>
  <c r="C167" i="269"/>
  <c r="D167" i="269"/>
  <c r="AF167" i="269"/>
  <c r="C168" i="269"/>
  <c r="D168" i="269"/>
  <c r="AF168" i="269"/>
  <c r="C169" i="269"/>
  <c r="D169" i="269"/>
  <c r="AF169" i="269"/>
  <c r="C170" i="269"/>
  <c r="D170" i="269"/>
  <c r="AF170" i="269"/>
  <c r="C171" i="269"/>
  <c r="D171" i="269"/>
  <c r="AF171" i="269"/>
  <c r="C172" i="269"/>
  <c r="D172" i="269"/>
  <c r="AF172" i="269"/>
  <c r="C173" i="269"/>
  <c r="D173" i="269"/>
  <c r="AF173" i="269"/>
  <c r="C174" i="269"/>
  <c r="D174" i="269"/>
  <c r="AF174" i="269"/>
  <c r="C175" i="269"/>
  <c r="D175" i="269"/>
  <c r="AF175" i="269"/>
  <c r="C176" i="269"/>
  <c r="D176" i="269"/>
  <c r="AF176" i="269"/>
  <c r="C177" i="269"/>
  <c r="D177" i="269"/>
  <c r="AF177" i="269"/>
  <c r="C178" i="269"/>
  <c r="D178" i="269"/>
  <c r="AF178" i="269"/>
  <c r="C179" i="269"/>
  <c r="D179" i="269"/>
  <c r="AF179" i="269"/>
  <c r="C180" i="269"/>
  <c r="D180" i="269"/>
  <c r="AF180" i="269"/>
  <c r="C181" i="269"/>
  <c r="D181" i="269"/>
  <c r="AF181" i="269"/>
  <c r="C182" i="269"/>
  <c r="D182" i="269"/>
  <c r="AF182" i="269"/>
  <c r="AI501" i="269"/>
  <c r="CI3" i="312"/>
  <c r="CK3" i="312"/>
  <c r="CI12" i="312" s="1"/>
  <c r="CJ3" i="312"/>
  <c r="CU3" i="312"/>
  <c r="CF4" i="312"/>
  <c r="CI4" i="312"/>
  <c r="CK4" i="312" s="1"/>
  <c r="CI13" i="312" s="1"/>
  <c r="CJ4" i="312"/>
  <c r="CR4" i="312"/>
  <c r="CU4" i="312"/>
  <c r="CI5" i="312"/>
  <c r="CK5" i="312" s="1"/>
  <c r="CI14" i="312" s="1"/>
  <c r="CJ5" i="312"/>
  <c r="CU5" i="312"/>
  <c r="CI6" i="312"/>
  <c r="CK6" i="312" s="1"/>
  <c r="CI15" i="312" s="1"/>
  <c r="CJ15" i="312" s="1"/>
  <c r="CJ6" i="312"/>
  <c r="CU6" i="312"/>
  <c r="BB7" i="312"/>
  <c r="BC7" i="312"/>
  <c r="BE7" i="312"/>
  <c r="BV7" i="312"/>
  <c r="BX7" i="312"/>
  <c r="BY7" i="312"/>
  <c r="BZ7" i="312"/>
  <c r="BZ174" i="312"/>
  <c r="CA7" i="312"/>
  <c r="CA174" i="312" s="1"/>
  <c r="CB7" i="312"/>
  <c r="CI7" i="312"/>
  <c r="CK7" i="312"/>
  <c r="CI16" i="312" s="1"/>
  <c r="CJ7" i="312"/>
  <c r="CL7" i="312"/>
  <c r="CR2" i="312" s="1"/>
  <c r="CR5" i="312" s="1"/>
  <c r="CM7" i="312"/>
  <c r="CN7" i="312"/>
  <c r="CO7" i="312"/>
  <c r="CR3" i="312" s="1"/>
  <c r="CU7" i="312"/>
  <c r="CW7" i="312"/>
  <c r="CX7" i="312"/>
  <c r="BB8" i="312"/>
  <c r="BC8" i="312"/>
  <c r="M18" i="269" s="1"/>
  <c r="N18" i="269" s="1"/>
  <c r="BE8" i="312"/>
  <c r="BV8" i="312"/>
  <c r="BX8" i="312"/>
  <c r="BY8" i="312"/>
  <c r="BZ8" i="312"/>
  <c r="CA8" i="312"/>
  <c r="CB8" i="312"/>
  <c r="CC8" i="312"/>
  <c r="CL8" i="312"/>
  <c r="CP8" i="312" s="1"/>
  <c r="CM8" i="312"/>
  <c r="CN8" i="312"/>
  <c r="CO8" i="312"/>
  <c r="CU8" i="312"/>
  <c r="CW8" i="312"/>
  <c r="CX8" i="312"/>
  <c r="DD8" i="312"/>
  <c r="DD6" i="312" s="1"/>
  <c r="BB9" i="312"/>
  <c r="BC9" i="312"/>
  <c r="M19" i="269" s="1"/>
  <c r="N19" i="269" s="1"/>
  <c r="BE9" i="312"/>
  <c r="BV9" i="312"/>
  <c r="BX9" i="312"/>
  <c r="BY9" i="312"/>
  <c r="CC9" i="312" s="1"/>
  <c r="BZ9" i="312"/>
  <c r="CA9" i="312"/>
  <c r="CB9" i="312"/>
  <c r="CL9" i="312"/>
  <c r="CP9" i="312" s="1"/>
  <c r="CM9" i="312"/>
  <c r="CN9" i="312"/>
  <c r="CO9" i="312"/>
  <c r="CW9" i="312"/>
  <c r="CX9" i="312"/>
  <c r="BB10" i="312"/>
  <c r="BC10" i="312"/>
  <c r="M20" i="269" s="1"/>
  <c r="N20" i="269" s="1"/>
  <c r="BE10" i="312"/>
  <c r="BV10" i="312"/>
  <c r="BX10" i="312"/>
  <c r="BY10" i="312"/>
  <c r="CC10" i="312" s="1"/>
  <c r="BZ10" i="312"/>
  <c r="CA10" i="312"/>
  <c r="CB10" i="312"/>
  <c r="CL10" i="312"/>
  <c r="CP10" i="312" s="1"/>
  <c r="CM10" i="312"/>
  <c r="CN10" i="312"/>
  <c r="CO10" i="312"/>
  <c r="CW10" i="312"/>
  <c r="CX10" i="312"/>
  <c r="CY10" i="312" s="1"/>
  <c r="BB11" i="312"/>
  <c r="BC11" i="312"/>
  <c r="M21" i="269" s="1"/>
  <c r="N21" i="269" s="1"/>
  <c r="BE11" i="312"/>
  <c r="BV11" i="312"/>
  <c r="BX11" i="312"/>
  <c r="BY11" i="312"/>
  <c r="CC11" i="312" s="1"/>
  <c r="BZ11" i="312"/>
  <c r="CA11" i="312"/>
  <c r="CB11" i="312"/>
  <c r="CL11" i="312"/>
  <c r="CP11" i="312" s="1"/>
  <c r="CM11" i="312"/>
  <c r="CN11" i="312"/>
  <c r="CO11" i="312"/>
  <c r="CW11" i="312"/>
  <c r="CX11" i="312"/>
  <c r="CY11" i="312"/>
  <c r="BB12" i="312"/>
  <c r="BF12" i="312" s="1"/>
  <c r="BT12" i="312" s="1"/>
  <c r="BC12" i="312"/>
  <c r="BE12" i="312"/>
  <c r="BV12" i="312"/>
  <c r="BX12" i="312"/>
  <c r="BY12" i="312"/>
  <c r="CC12" i="312" s="1"/>
  <c r="BZ12" i="312"/>
  <c r="CA12" i="312"/>
  <c r="CB12" i="312"/>
  <c r="CL12" i="312"/>
  <c r="CP12" i="312" s="1"/>
  <c r="CQ12" i="312" s="1"/>
  <c r="CM12" i="312"/>
  <c r="CN12" i="312"/>
  <c r="CO12" i="312"/>
  <c r="CW12" i="312"/>
  <c r="CX12" i="312"/>
  <c r="BB13" i="312"/>
  <c r="BC13" i="312"/>
  <c r="M23" i="269" s="1"/>
  <c r="N23" i="269" s="1"/>
  <c r="BE13" i="312"/>
  <c r="BV13" i="312"/>
  <c r="BX13" i="312"/>
  <c r="BY13" i="312"/>
  <c r="CC13" i="312" s="1"/>
  <c r="BZ13" i="312"/>
  <c r="CA13" i="312"/>
  <c r="CB13" i="312"/>
  <c r="CL13" i="312"/>
  <c r="CM13" i="312"/>
  <c r="CN13" i="312"/>
  <c r="CO13" i="312"/>
  <c r="CW13" i="312"/>
  <c r="CX13" i="312"/>
  <c r="BB14" i="312"/>
  <c r="BC14" i="312"/>
  <c r="M24" i="269" s="1"/>
  <c r="N24" i="269" s="1"/>
  <c r="BE14" i="312"/>
  <c r="BV14" i="312"/>
  <c r="BX14" i="312"/>
  <c r="BY14" i="312"/>
  <c r="BZ14" i="312"/>
  <c r="CA14" i="312"/>
  <c r="CB14" i="312"/>
  <c r="CC14" i="312"/>
  <c r="CL14" i="312"/>
  <c r="CP14" i="312" s="1"/>
  <c r="CM14" i="312"/>
  <c r="CN14" i="312"/>
  <c r="CO14" i="312"/>
  <c r="CW14" i="312"/>
  <c r="CX14" i="312"/>
  <c r="BB15" i="312"/>
  <c r="BC15" i="312"/>
  <c r="BE15" i="312"/>
  <c r="BV15" i="312"/>
  <c r="BX15" i="312"/>
  <c r="BY15" i="312"/>
  <c r="CC15" i="312" s="1"/>
  <c r="BZ15" i="312"/>
  <c r="CA15" i="312"/>
  <c r="CB15" i="312"/>
  <c r="CL15" i="312"/>
  <c r="CP15" i="312" s="1"/>
  <c r="CM15" i="312"/>
  <c r="CN15" i="312"/>
  <c r="CO15" i="312"/>
  <c r="CW15" i="312"/>
  <c r="CX15" i="312"/>
  <c r="BB16" i="312"/>
  <c r="BL16" i="312" s="1"/>
  <c r="BC16" i="312"/>
  <c r="M26" i="269" s="1"/>
  <c r="N26" i="269" s="1"/>
  <c r="BE16" i="312"/>
  <c r="BV16" i="312"/>
  <c r="BX16" i="312"/>
  <c r="BY16" i="312"/>
  <c r="CC16" i="312"/>
  <c r="BZ16" i="312"/>
  <c r="CA16" i="312"/>
  <c r="CB16" i="312"/>
  <c r="CL16" i="312"/>
  <c r="CP16" i="312"/>
  <c r="CQ16" i="312" s="1"/>
  <c r="CM16" i="312"/>
  <c r="CN16" i="312"/>
  <c r="CO16" i="312"/>
  <c r="CW16" i="312"/>
  <c r="CX16" i="312"/>
  <c r="BB17" i="312"/>
  <c r="BC17" i="312"/>
  <c r="M27" i="269" s="1"/>
  <c r="N27" i="269" s="1"/>
  <c r="BE17" i="312"/>
  <c r="BV17" i="312"/>
  <c r="BX17" i="312"/>
  <c r="BY17" i="312"/>
  <c r="BZ17" i="312"/>
  <c r="CA17" i="312"/>
  <c r="CB17" i="312"/>
  <c r="CC17" i="312"/>
  <c r="CJ17" i="312"/>
  <c r="CL17" i="312"/>
  <c r="CP17" i="312" s="1"/>
  <c r="CQ17" i="312" s="1"/>
  <c r="CM17" i="312"/>
  <c r="CN17" i="312"/>
  <c r="CO17" i="312"/>
  <c r="CW17" i="312"/>
  <c r="CX17" i="312"/>
  <c r="BB18" i="312"/>
  <c r="BL18" i="312" s="1"/>
  <c r="BC18" i="312"/>
  <c r="BE18" i="312"/>
  <c r="BV18" i="312"/>
  <c r="BX18" i="312"/>
  <c r="BY18" i="312"/>
  <c r="CC18" i="312" s="1"/>
  <c r="BZ18" i="312"/>
  <c r="CA18" i="312"/>
  <c r="CB18" i="312"/>
  <c r="CJ18" i="312"/>
  <c r="CK18" i="312" s="1"/>
  <c r="CI18" i="312" s="1"/>
  <c r="CL18" i="312"/>
  <c r="CP18" i="312" s="1"/>
  <c r="CM18" i="312"/>
  <c r="CN18" i="312"/>
  <c r="CO18" i="312"/>
  <c r="CW18" i="312"/>
  <c r="CX18" i="312"/>
  <c r="BB19" i="312"/>
  <c r="BC19" i="312"/>
  <c r="M29" i="269" s="1"/>
  <c r="N29" i="269" s="1"/>
  <c r="BE19" i="312"/>
  <c r="BV19" i="312"/>
  <c r="BX19" i="312"/>
  <c r="BY19" i="312"/>
  <c r="BZ19" i="312"/>
  <c r="CA19" i="312"/>
  <c r="CB19" i="312"/>
  <c r="CC19" i="312"/>
  <c r="CL19" i="312"/>
  <c r="CM19" i="312"/>
  <c r="CN19" i="312"/>
  <c r="CO19" i="312"/>
  <c r="CP19" i="312"/>
  <c r="CW19" i="312"/>
  <c r="CY19" i="312" s="1"/>
  <c r="CX19" i="312"/>
  <c r="BB20" i="312"/>
  <c r="BC20" i="312"/>
  <c r="BE20" i="312"/>
  <c r="BV20" i="312"/>
  <c r="BX20" i="312"/>
  <c r="BY20" i="312"/>
  <c r="CC20" i="312" s="1"/>
  <c r="BZ20" i="312"/>
  <c r="CA20" i="312"/>
  <c r="CB20" i="312"/>
  <c r="CL20" i="312"/>
  <c r="CM20" i="312"/>
  <c r="CN20" i="312"/>
  <c r="CO20" i="312"/>
  <c r="CP20" i="312"/>
  <c r="CW20" i="312"/>
  <c r="CY20" i="312" s="1"/>
  <c r="CX20" i="312"/>
  <c r="BB21" i="312"/>
  <c r="BC21" i="312"/>
  <c r="BE21" i="312"/>
  <c r="BV21" i="312"/>
  <c r="BX21" i="312"/>
  <c r="BY21" i="312"/>
  <c r="CC21" i="312" s="1"/>
  <c r="BZ21" i="312"/>
  <c r="CA21" i="312"/>
  <c r="CB21" i="312"/>
  <c r="CL21" i="312"/>
  <c r="CM21" i="312"/>
  <c r="CN21" i="312"/>
  <c r="CO21" i="312"/>
  <c r="CP21" i="312"/>
  <c r="CW21" i="312"/>
  <c r="CX21" i="312"/>
  <c r="BB22" i="312"/>
  <c r="BC22" i="312"/>
  <c r="M32" i="269" s="1"/>
  <c r="BE22" i="312"/>
  <c r="BV22" i="312"/>
  <c r="BX22" i="312"/>
  <c r="BY22" i="312"/>
  <c r="CC22" i="312" s="1"/>
  <c r="BZ22" i="312"/>
  <c r="CA22" i="312"/>
  <c r="CB22" i="312"/>
  <c r="CL22" i="312"/>
  <c r="CP22" i="312" s="1"/>
  <c r="CM22" i="312"/>
  <c r="CN22" i="312"/>
  <c r="CO22" i="312"/>
  <c r="CW22" i="312"/>
  <c r="CX22" i="312"/>
  <c r="BB23" i="312"/>
  <c r="BC23" i="312"/>
  <c r="M33" i="269" s="1"/>
  <c r="BE23" i="312"/>
  <c r="BV23" i="312"/>
  <c r="BX23" i="312"/>
  <c r="BY23" i="312"/>
  <c r="CC23" i="312" s="1"/>
  <c r="BZ23" i="312"/>
  <c r="CA23" i="312"/>
  <c r="CB23" i="312"/>
  <c r="CL23" i="312"/>
  <c r="CP23" i="312" s="1"/>
  <c r="CM23" i="312"/>
  <c r="CN23" i="312"/>
  <c r="CO23" i="312"/>
  <c r="CW23" i="312"/>
  <c r="CY23" i="312" s="1"/>
  <c r="CX23" i="312"/>
  <c r="BB24" i="312"/>
  <c r="BC24" i="312"/>
  <c r="M34" i="269" s="1"/>
  <c r="BE24" i="312"/>
  <c r="BV24" i="312"/>
  <c r="BX24" i="312"/>
  <c r="BY24" i="312"/>
  <c r="CC24" i="312"/>
  <c r="BZ24" i="312"/>
  <c r="CA24" i="312"/>
  <c r="CB24" i="312"/>
  <c r="CL24" i="312"/>
  <c r="CP24" i="312" s="1"/>
  <c r="CM24" i="312"/>
  <c r="CN24" i="312"/>
  <c r="CO24" i="312"/>
  <c r="CW24" i="312"/>
  <c r="CX24" i="312"/>
  <c r="CY24" i="312"/>
  <c r="BB25" i="312"/>
  <c r="BC25" i="312"/>
  <c r="BE25" i="312"/>
  <c r="BV25" i="312"/>
  <c r="BX25" i="312"/>
  <c r="BY25" i="312"/>
  <c r="CC25" i="312"/>
  <c r="BZ25" i="312"/>
  <c r="CA25" i="312"/>
  <c r="CB25" i="312"/>
  <c r="CL25" i="312"/>
  <c r="CM25" i="312"/>
  <c r="CN25" i="312"/>
  <c r="CO25" i="312"/>
  <c r="CP25" i="312"/>
  <c r="CW25" i="312"/>
  <c r="CX25" i="312"/>
  <c r="BB26" i="312"/>
  <c r="BC26" i="312"/>
  <c r="M36" i="269" s="1"/>
  <c r="BE26" i="312"/>
  <c r="BV26" i="312"/>
  <c r="BX26" i="312"/>
  <c r="BY26" i="312"/>
  <c r="CC26" i="312" s="1"/>
  <c r="CD26" i="312" s="1"/>
  <c r="BZ26" i="312"/>
  <c r="CA26" i="312"/>
  <c r="CB26" i="312"/>
  <c r="CL26" i="312"/>
  <c r="CP26" i="312" s="1"/>
  <c r="CM26" i="312"/>
  <c r="CN26" i="312"/>
  <c r="CO26" i="312"/>
  <c r="CW26" i="312"/>
  <c r="CX26" i="312"/>
  <c r="BB27" i="312"/>
  <c r="BC27" i="312"/>
  <c r="BE27" i="312"/>
  <c r="BV27" i="312"/>
  <c r="BX27" i="312"/>
  <c r="BY27" i="312"/>
  <c r="CC27" i="312" s="1"/>
  <c r="CD27" i="312" s="1"/>
  <c r="BZ27" i="312"/>
  <c r="CA27" i="312"/>
  <c r="CB27" i="312"/>
  <c r="CL27" i="312"/>
  <c r="CP27" i="312" s="1"/>
  <c r="CM27" i="312"/>
  <c r="CN27" i="312"/>
  <c r="CO27" i="312"/>
  <c r="CW27" i="312"/>
  <c r="CX27" i="312"/>
  <c r="CY27" i="312"/>
  <c r="BB28" i="312"/>
  <c r="BC28" i="312"/>
  <c r="M38" i="269"/>
  <c r="BE28" i="312"/>
  <c r="BV28" i="312"/>
  <c r="BX28" i="312"/>
  <c r="BY28" i="312"/>
  <c r="CC28" i="312" s="1"/>
  <c r="BZ28" i="312"/>
  <c r="CA28" i="312"/>
  <c r="CB28" i="312"/>
  <c r="CL28" i="312"/>
  <c r="CM28" i="312"/>
  <c r="CN28" i="312"/>
  <c r="CO28" i="312"/>
  <c r="CP28" i="312"/>
  <c r="CW28" i="312"/>
  <c r="CY28" i="312" s="1"/>
  <c r="CX28" i="312"/>
  <c r="BB29" i="312"/>
  <c r="BC29" i="312"/>
  <c r="M39" i="269" s="1"/>
  <c r="N39" i="269"/>
  <c r="BE29" i="312"/>
  <c r="BV29" i="312"/>
  <c r="BX29" i="312"/>
  <c r="BY29" i="312"/>
  <c r="CC29" i="312" s="1"/>
  <c r="BZ29" i="312"/>
  <c r="CA29" i="312"/>
  <c r="CB29" i="312"/>
  <c r="CL29" i="312"/>
  <c r="CM29" i="312"/>
  <c r="CN29" i="312"/>
  <c r="CO29" i="312"/>
  <c r="CP29" i="312"/>
  <c r="CW29" i="312"/>
  <c r="CX29" i="312"/>
  <c r="BB30" i="312"/>
  <c r="BC30" i="312"/>
  <c r="BE30" i="312"/>
  <c r="BV30" i="312"/>
  <c r="BX30" i="312"/>
  <c r="BY30" i="312"/>
  <c r="BZ30" i="312"/>
  <c r="CA30" i="312"/>
  <c r="CB30" i="312"/>
  <c r="CC30" i="312"/>
  <c r="CL30" i="312"/>
  <c r="CP30" i="312"/>
  <c r="CM30" i="312"/>
  <c r="CN30" i="312"/>
  <c r="CO30" i="312"/>
  <c r="CW30" i="312"/>
  <c r="CX30" i="312"/>
  <c r="BB31" i="312"/>
  <c r="BC31" i="312"/>
  <c r="BE31" i="312"/>
  <c r="BV31" i="312"/>
  <c r="BX31" i="312"/>
  <c r="BY31" i="312"/>
  <c r="BZ31" i="312"/>
  <c r="CA31" i="312"/>
  <c r="CB31" i="312"/>
  <c r="CC31" i="312"/>
  <c r="CL31" i="312"/>
  <c r="CP31" i="312" s="1"/>
  <c r="CM31" i="312"/>
  <c r="CN31" i="312"/>
  <c r="CO31" i="312"/>
  <c r="CW31" i="312"/>
  <c r="CX31" i="312"/>
  <c r="BB32" i="312"/>
  <c r="BC32" i="312"/>
  <c r="BE32" i="312"/>
  <c r="BV32" i="312"/>
  <c r="BX32" i="312"/>
  <c r="BY32" i="312"/>
  <c r="CC32" i="312" s="1"/>
  <c r="CD32" i="312" s="1"/>
  <c r="BZ32" i="312"/>
  <c r="CA32" i="312"/>
  <c r="CB32" i="312"/>
  <c r="CL32" i="312"/>
  <c r="CP32" i="312" s="1"/>
  <c r="CM32" i="312"/>
  <c r="CN32" i="312"/>
  <c r="CO32" i="312"/>
  <c r="CW32" i="312"/>
  <c r="CX32" i="312"/>
  <c r="CY32" i="312" s="1"/>
  <c r="BB33" i="312"/>
  <c r="BC33" i="312"/>
  <c r="BE33" i="312"/>
  <c r="BV33" i="312"/>
  <c r="BX33" i="312"/>
  <c r="BY33" i="312"/>
  <c r="CC33" i="312"/>
  <c r="BZ33" i="312"/>
  <c r="CA33" i="312"/>
  <c r="CB33" i="312"/>
  <c r="CL33" i="312"/>
  <c r="CP33" i="312"/>
  <c r="CM33" i="312"/>
  <c r="CN33" i="312"/>
  <c r="CO33" i="312"/>
  <c r="CW33" i="312"/>
  <c r="CX33" i="312"/>
  <c r="BB34" i="312"/>
  <c r="BC34" i="312"/>
  <c r="M44" i="269"/>
  <c r="N44" i="269" s="1"/>
  <c r="BE34" i="312"/>
  <c r="BV34" i="312"/>
  <c r="BX34" i="312"/>
  <c r="BY34" i="312"/>
  <c r="BZ34" i="312"/>
  <c r="CA34" i="312"/>
  <c r="CB34" i="312"/>
  <c r="CC34" i="312"/>
  <c r="CL34" i="312"/>
  <c r="CP34" i="312" s="1"/>
  <c r="CM34" i="312"/>
  <c r="CN34" i="312"/>
  <c r="CO34" i="312"/>
  <c r="CW34" i="312"/>
  <c r="CX34" i="312"/>
  <c r="BB35" i="312"/>
  <c r="BC35" i="312"/>
  <c r="BE35" i="312"/>
  <c r="BV35" i="312"/>
  <c r="BX35" i="312"/>
  <c r="BY35" i="312"/>
  <c r="BZ35" i="312"/>
  <c r="CA35" i="312"/>
  <c r="CB35" i="312"/>
  <c r="CC35" i="312"/>
  <c r="CL35" i="312"/>
  <c r="CP35" i="312" s="1"/>
  <c r="CM35" i="312"/>
  <c r="CN35" i="312"/>
  <c r="CO35" i="312"/>
  <c r="CW35" i="312"/>
  <c r="CX35" i="312"/>
  <c r="BB36" i="312"/>
  <c r="BC36" i="312"/>
  <c r="M46" i="269" s="1"/>
  <c r="N46" i="269" s="1"/>
  <c r="BE36" i="312"/>
  <c r="BV36" i="312"/>
  <c r="BX36" i="312"/>
  <c r="BY36" i="312"/>
  <c r="CC36" i="312" s="1"/>
  <c r="BZ36" i="312"/>
  <c r="CA36" i="312"/>
  <c r="CB36" i="312"/>
  <c r="CL36" i="312"/>
  <c r="CP36" i="312"/>
  <c r="CM36" i="312"/>
  <c r="CN36" i="312"/>
  <c r="CO36" i="312"/>
  <c r="CW36" i="312"/>
  <c r="CX36" i="312"/>
  <c r="BB37" i="312"/>
  <c r="BF37" i="312" s="1"/>
  <c r="BT37" i="312" s="1"/>
  <c r="BC37" i="312"/>
  <c r="BE37" i="312"/>
  <c r="BV37" i="312"/>
  <c r="BX37" i="312"/>
  <c r="BY37" i="312"/>
  <c r="BZ37" i="312"/>
  <c r="CA37" i="312"/>
  <c r="CB37" i="312"/>
  <c r="CC37" i="312"/>
  <c r="CL37" i="312"/>
  <c r="CP37" i="312"/>
  <c r="CQ37" i="312" s="1"/>
  <c r="CM37" i="312"/>
  <c r="CN37" i="312"/>
  <c r="CO37" i="312"/>
  <c r="CW37" i="312"/>
  <c r="CX37" i="312"/>
  <c r="BB38" i="312"/>
  <c r="BC38" i="312"/>
  <c r="BF38" i="312" s="1"/>
  <c r="BE38" i="312"/>
  <c r="BV38" i="312"/>
  <c r="BX38" i="312"/>
  <c r="BY38" i="312"/>
  <c r="BZ38" i="312"/>
  <c r="CA38" i="312"/>
  <c r="CB38" i="312"/>
  <c r="CC38" i="312"/>
  <c r="CL38" i="312"/>
  <c r="CP38" i="312" s="1"/>
  <c r="CM38" i="312"/>
  <c r="CN38" i="312"/>
  <c r="CO38" i="312"/>
  <c r="CW38" i="312"/>
  <c r="CX38" i="312"/>
  <c r="BB39" i="312"/>
  <c r="BF39" i="312"/>
  <c r="BT39" i="312" s="1"/>
  <c r="BC39" i="312"/>
  <c r="BE39" i="312"/>
  <c r="BV39" i="312"/>
  <c r="BX39" i="312"/>
  <c r="BY39" i="312"/>
  <c r="CC39" i="312" s="1"/>
  <c r="BZ39" i="312"/>
  <c r="CA39" i="312"/>
  <c r="CB39" i="312"/>
  <c r="CL39" i="312"/>
  <c r="CP39" i="312"/>
  <c r="CM39" i="312"/>
  <c r="CN39" i="312"/>
  <c r="CO39" i="312"/>
  <c r="CW39" i="312"/>
  <c r="CX39" i="312"/>
  <c r="BB40" i="312"/>
  <c r="BC40" i="312"/>
  <c r="M50" i="269" s="1"/>
  <c r="N50" i="269" s="1"/>
  <c r="BE40" i="312"/>
  <c r="BV40" i="312"/>
  <c r="BX40" i="312"/>
  <c r="BY40" i="312"/>
  <c r="CC40" i="312" s="1"/>
  <c r="BZ40" i="312"/>
  <c r="CA40" i="312"/>
  <c r="CB40" i="312"/>
  <c r="CL40" i="312"/>
  <c r="CP40" i="312" s="1"/>
  <c r="CM40" i="312"/>
  <c r="CN40" i="312"/>
  <c r="CO40" i="312"/>
  <c r="CW40" i="312"/>
  <c r="CX40" i="312"/>
  <c r="BB41" i="312"/>
  <c r="BC41" i="312"/>
  <c r="BE41" i="312"/>
  <c r="BV41" i="312"/>
  <c r="BX41" i="312"/>
  <c r="BY41" i="312"/>
  <c r="CC41" i="312" s="1"/>
  <c r="BZ41" i="312"/>
  <c r="CA41" i="312"/>
  <c r="CB41" i="312"/>
  <c r="CE41" i="312"/>
  <c r="CL41" i="312"/>
  <c r="CP41" i="312" s="1"/>
  <c r="CM41" i="312"/>
  <c r="CN41" i="312"/>
  <c r="CO41" i="312"/>
  <c r="CW41" i="312"/>
  <c r="CY41" i="312" s="1"/>
  <c r="CX41" i="312"/>
  <c r="BB42" i="312"/>
  <c r="BC42" i="312"/>
  <c r="M52" i="269" s="1"/>
  <c r="N52" i="269" s="1"/>
  <c r="BE42" i="312"/>
  <c r="BV42" i="312"/>
  <c r="BX42" i="312"/>
  <c r="BY42" i="312"/>
  <c r="BZ42" i="312"/>
  <c r="CA42" i="312"/>
  <c r="CB42" i="312"/>
  <c r="CC42" i="312"/>
  <c r="CE42" i="312"/>
  <c r="CL42" i="312"/>
  <c r="CP42" i="312" s="1"/>
  <c r="CM42" i="312"/>
  <c r="CN42" i="312"/>
  <c r="CO42" i="312"/>
  <c r="CW42" i="312"/>
  <c r="CX42" i="312"/>
  <c r="CY42" i="312" s="1"/>
  <c r="BB43" i="312"/>
  <c r="BC43" i="312"/>
  <c r="BE43" i="312"/>
  <c r="BV43" i="312"/>
  <c r="BX43" i="312"/>
  <c r="BY43" i="312"/>
  <c r="CC43" i="312" s="1"/>
  <c r="BZ43" i="312"/>
  <c r="CA43" i="312"/>
  <c r="CB43" i="312"/>
  <c r="CL43" i="312"/>
  <c r="CP43" i="312"/>
  <c r="CM43" i="312"/>
  <c r="CN43" i="312"/>
  <c r="CO43" i="312"/>
  <c r="CW43" i="312"/>
  <c r="CX43" i="312"/>
  <c r="BB44" i="312"/>
  <c r="BF44" i="312" s="1"/>
  <c r="BT44" i="312" s="1"/>
  <c r="BC44" i="312"/>
  <c r="M54" i="269" s="1"/>
  <c r="N54" i="269" s="1"/>
  <c r="BE44" i="312"/>
  <c r="BV44" i="312"/>
  <c r="BX44" i="312"/>
  <c r="BY44" i="312"/>
  <c r="CC44" i="312" s="1"/>
  <c r="BZ44" i="312"/>
  <c r="CA44" i="312"/>
  <c r="CB44" i="312"/>
  <c r="CL44" i="312"/>
  <c r="CM44" i="312"/>
  <c r="CN44" i="312"/>
  <c r="CO44" i="312"/>
  <c r="CP44" i="312"/>
  <c r="CW44" i="312"/>
  <c r="CX44" i="312"/>
  <c r="BB45" i="312"/>
  <c r="BC45" i="312"/>
  <c r="M55" i="269"/>
  <c r="N55" i="269"/>
  <c r="BE45" i="312"/>
  <c r="BV45" i="312"/>
  <c r="BX45" i="312"/>
  <c r="BY45" i="312"/>
  <c r="CC45" i="312" s="1"/>
  <c r="CD45" i="312" s="1"/>
  <c r="BZ45" i="312"/>
  <c r="CA45" i="312"/>
  <c r="CB45" i="312"/>
  <c r="CL45" i="312"/>
  <c r="CP45" i="312" s="1"/>
  <c r="CM45" i="312"/>
  <c r="CN45" i="312"/>
  <c r="CO45" i="312"/>
  <c r="CW45" i="312"/>
  <c r="CX45" i="312"/>
  <c r="BB46" i="312"/>
  <c r="BC46" i="312"/>
  <c r="BE46" i="312"/>
  <c r="BV46" i="312"/>
  <c r="BX46" i="312"/>
  <c r="BY46" i="312"/>
  <c r="CC46" i="312"/>
  <c r="BZ46" i="312"/>
  <c r="CA46" i="312"/>
  <c r="CB46" i="312"/>
  <c r="CL46" i="312"/>
  <c r="CP46" i="312" s="1"/>
  <c r="CQ46" i="312" s="1"/>
  <c r="CM46" i="312"/>
  <c r="CN46" i="312"/>
  <c r="CO46" i="312"/>
  <c r="CW46" i="312"/>
  <c r="CX46" i="312"/>
  <c r="BB47" i="312"/>
  <c r="BC47" i="312"/>
  <c r="M57" i="269" s="1"/>
  <c r="N57" i="269" s="1"/>
  <c r="BE47" i="312"/>
  <c r="BV47" i="312"/>
  <c r="BX47" i="312"/>
  <c r="BY47" i="312"/>
  <c r="BZ47" i="312"/>
  <c r="CA47" i="312"/>
  <c r="CB47" i="312"/>
  <c r="CC47" i="312"/>
  <c r="CL47" i="312"/>
  <c r="CM47" i="312"/>
  <c r="CN47" i="312"/>
  <c r="CO47" i="312"/>
  <c r="CP47" i="312"/>
  <c r="CW47" i="312"/>
  <c r="CX47" i="312"/>
  <c r="BB48" i="312"/>
  <c r="BC48" i="312"/>
  <c r="M58" i="269" s="1"/>
  <c r="BE48" i="312"/>
  <c r="BV48" i="312"/>
  <c r="BX48" i="312"/>
  <c r="BY48" i="312"/>
  <c r="CC48" i="312" s="1"/>
  <c r="CD48" i="312" s="1"/>
  <c r="BZ48" i="312"/>
  <c r="CA48" i="312"/>
  <c r="CB48" i="312"/>
  <c r="CL48" i="312"/>
  <c r="CM48" i="312"/>
  <c r="CN48" i="312"/>
  <c r="CO48" i="312"/>
  <c r="CP48" i="312"/>
  <c r="CW48" i="312"/>
  <c r="CX48" i="312"/>
  <c r="BB49" i="312"/>
  <c r="BC49" i="312"/>
  <c r="M59" i="269"/>
  <c r="BE49" i="312"/>
  <c r="BV49" i="312"/>
  <c r="BX49" i="312"/>
  <c r="BY49" i="312"/>
  <c r="CC49" i="312" s="1"/>
  <c r="BZ49" i="312"/>
  <c r="CA49" i="312"/>
  <c r="CB49" i="312"/>
  <c r="CL49" i="312"/>
  <c r="CM49" i="312"/>
  <c r="CN49" i="312"/>
  <c r="CO49" i="312"/>
  <c r="CP49" i="312"/>
  <c r="CW49" i="312"/>
  <c r="CX49" i="312"/>
  <c r="CY49" i="312"/>
  <c r="BB50" i="312"/>
  <c r="BC50" i="312"/>
  <c r="M60" i="269" s="1"/>
  <c r="BE50" i="312"/>
  <c r="BV50" i="312"/>
  <c r="BX50" i="312"/>
  <c r="BY50" i="312"/>
  <c r="CC50" i="312"/>
  <c r="BZ50" i="312"/>
  <c r="CA50" i="312"/>
  <c r="CB50" i="312"/>
  <c r="CL50" i="312"/>
  <c r="CM50" i="312"/>
  <c r="CN50" i="312"/>
  <c r="CO50" i="312"/>
  <c r="CP50" i="312"/>
  <c r="CW50" i="312"/>
  <c r="CX50" i="312"/>
  <c r="BB51" i="312"/>
  <c r="BC51" i="312"/>
  <c r="BE51" i="312"/>
  <c r="BV51" i="312"/>
  <c r="BX51" i="312"/>
  <c r="BY51" i="312"/>
  <c r="CC51" i="312" s="1"/>
  <c r="BZ51" i="312"/>
  <c r="CA51" i="312"/>
  <c r="CB51" i="312"/>
  <c r="CL51" i="312"/>
  <c r="CM51" i="312"/>
  <c r="CN51" i="312"/>
  <c r="CO51" i="312"/>
  <c r="CP51" i="312"/>
  <c r="CQ51" i="312" s="1"/>
  <c r="CW51" i="312"/>
  <c r="CX51" i="312"/>
  <c r="BB52" i="312"/>
  <c r="BC52" i="312"/>
  <c r="M62" i="269" s="1"/>
  <c r="BE52" i="312"/>
  <c r="BV52" i="312"/>
  <c r="BX52" i="312"/>
  <c r="BY52" i="312"/>
  <c r="BZ52" i="312"/>
  <c r="CA52" i="312"/>
  <c r="CB52" i="312"/>
  <c r="CC52" i="312"/>
  <c r="CL52" i="312"/>
  <c r="CP52" i="312" s="1"/>
  <c r="CM52" i="312"/>
  <c r="CN52" i="312"/>
  <c r="CO52" i="312"/>
  <c r="CW52" i="312"/>
  <c r="CX52" i="312"/>
  <c r="BB53" i="312"/>
  <c r="BC53" i="312"/>
  <c r="M63" i="269" s="1"/>
  <c r="BE53" i="312"/>
  <c r="BV53" i="312"/>
  <c r="BX53" i="312"/>
  <c r="BY53" i="312"/>
  <c r="BZ53" i="312"/>
  <c r="CA53" i="312"/>
  <c r="CB53" i="312"/>
  <c r="CC53" i="312"/>
  <c r="BB54" i="312"/>
  <c r="BF54" i="312" s="1"/>
  <c r="BT54" i="312" s="1"/>
  <c r="BC54" i="312"/>
  <c r="M64" i="269" s="1"/>
  <c r="N64" i="269" s="1"/>
  <c r="BE54" i="312"/>
  <c r="BV54" i="312"/>
  <c r="BX54" i="312"/>
  <c r="BY54" i="312"/>
  <c r="CC54" i="312"/>
  <c r="BZ54" i="312"/>
  <c r="CA54" i="312"/>
  <c r="CB54" i="312"/>
  <c r="BB55" i="312"/>
  <c r="BC55" i="312"/>
  <c r="M65" i="269" s="1"/>
  <c r="BE55" i="312"/>
  <c r="BV55" i="312"/>
  <c r="BX55" i="312"/>
  <c r="BY55" i="312"/>
  <c r="CC55" i="312"/>
  <c r="BZ55" i="312"/>
  <c r="CA55" i="312"/>
  <c r="CB55" i="312"/>
  <c r="BB56" i="312"/>
  <c r="BC56" i="312"/>
  <c r="M66" i="269"/>
  <c r="N66" i="269" s="1"/>
  <c r="BE56" i="312"/>
  <c r="BV56" i="312"/>
  <c r="BX56" i="312"/>
  <c r="BY56" i="312"/>
  <c r="BZ56" i="312"/>
  <c r="CA56" i="312"/>
  <c r="CB56" i="312"/>
  <c r="CC56" i="312"/>
  <c r="BB57" i="312"/>
  <c r="BL57" i="312"/>
  <c r="BC57" i="312"/>
  <c r="M67" i="269" s="1"/>
  <c r="N67" i="269"/>
  <c r="BE57" i="312"/>
  <c r="BV57" i="312"/>
  <c r="BX57" i="312"/>
  <c r="BY57" i="312"/>
  <c r="CC57" i="312" s="1"/>
  <c r="BZ57" i="312"/>
  <c r="CA57" i="312"/>
  <c r="CB57" i="312"/>
  <c r="BB58" i="312"/>
  <c r="BC58" i="312"/>
  <c r="BE58" i="312"/>
  <c r="BV58" i="312"/>
  <c r="BX58" i="312"/>
  <c r="BY58" i="312"/>
  <c r="CC58" i="312" s="1"/>
  <c r="BZ58" i="312"/>
  <c r="CA58" i="312"/>
  <c r="CB58" i="312"/>
  <c r="BB59" i="312"/>
  <c r="CD59" i="312"/>
  <c r="BC59" i="312"/>
  <c r="M69" i="269" s="1"/>
  <c r="N69" i="269" s="1"/>
  <c r="BE59" i="312"/>
  <c r="BV59" i="312"/>
  <c r="BX59" i="312"/>
  <c r="BY59" i="312"/>
  <c r="BZ59" i="312"/>
  <c r="CA59" i="312"/>
  <c r="CB59" i="312"/>
  <c r="CC59" i="312"/>
  <c r="BB60" i="312"/>
  <c r="BC60" i="312"/>
  <c r="M70" i="269" s="1"/>
  <c r="BE60" i="312"/>
  <c r="BV60" i="312"/>
  <c r="BX60" i="312"/>
  <c r="BY60" i="312"/>
  <c r="CC60" i="312"/>
  <c r="CD60" i="312" s="1"/>
  <c r="BZ60" i="312"/>
  <c r="CA60" i="312"/>
  <c r="CB60" i="312"/>
  <c r="BB61" i="312"/>
  <c r="BC61" i="312"/>
  <c r="M71" i="269" s="1"/>
  <c r="N71" i="269" s="1"/>
  <c r="BE61" i="312"/>
  <c r="BV61" i="312"/>
  <c r="BX61" i="312"/>
  <c r="BY61" i="312"/>
  <c r="CC61" i="312"/>
  <c r="BZ61" i="312"/>
  <c r="CA61" i="312"/>
  <c r="CB61" i="312"/>
  <c r="BB62" i="312"/>
  <c r="BC62" i="312"/>
  <c r="M72" i="269"/>
  <c r="N72" i="269" s="1"/>
  <c r="BE62" i="312"/>
  <c r="BV62" i="312"/>
  <c r="BX62" i="312"/>
  <c r="BY62" i="312"/>
  <c r="CC62" i="312" s="1"/>
  <c r="BZ62" i="312"/>
  <c r="CA62" i="312"/>
  <c r="CB62" i="312"/>
  <c r="BB63" i="312"/>
  <c r="BC63" i="312"/>
  <c r="M73" i="269" s="1"/>
  <c r="BE63" i="312"/>
  <c r="BV63" i="312"/>
  <c r="BX63" i="312"/>
  <c r="BY63" i="312"/>
  <c r="CC63" i="312" s="1"/>
  <c r="BZ63" i="312"/>
  <c r="CA63" i="312"/>
  <c r="CB63" i="312"/>
  <c r="BB64" i="312"/>
  <c r="BC64" i="312"/>
  <c r="M74" i="269" s="1"/>
  <c r="N74" i="269"/>
  <c r="BE64" i="312"/>
  <c r="BV64" i="312"/>
  <c r="BX64" i="312"/>
  <c r="BY64" i="312"/>
  <c r="CC64" i="312" s="1"/>
  <c r="BZ64" i="312"/>
  <c r="CA64" i="312"/>
  <c r="CB64" i="312"/>
  <c r="BB65" i="312"/>
  <c r="BC65" i="312"/>
  <c r="M75" i="269" s="1"/>
  <c r="BE65" i="312"/>
  <c r="BV65" i="312"/>
  <c r="BX65" i="312"/>
  <c r="BY65" i="312"/>
  <c r="CC65" i="312" s="1"/>
  <c r="CD65" i="312" s="1"/>
  <c r="BZ65" i="312"/>
  <c r="CA65" i="312"/>
  <c r="CB65" i="312"/>
  <c r="BB66" i="312"/>
  <c r="CD66" i="312"/>
  <c r="BC66" i="312"/>
  <c r="M76" i="269" s="1"/>
  <c r="BE66" i="312"/>
  <c r="BV66" i="312"/>
  <c r="BX66" i="312"/>
  <c r="BY66" i="312"/>
  <c r="CC66" i="312" s="1"/>
  <c r="BZ66" i="312"/>
  <c r="CA66" i="312"/>
  <c r="CB66" i="312"/>
  <c r="BB67" i="312"/>
  <c r="BC67" i="312"/>
  <c r="M77" i="269"/>
  <c r="N77" i="269" s="1"/>
  <c r="BE67" i="312"/>
  <c r="BV67" i="312"/>
  <c r="BX67" i="312"/>
  <c r="BY67" i="312"/>
  <c r="CC67" i="312" s="1"/>
  <c r="BZ67" i="312"/>
  <c r="CA67" i="312"/>
  <c r="CB67" i="312"/>
  <c r="BB68" i="312"/>
  <c r="BC68" i="312"/>
  <c r="M78" i="269" s="1"/>
  <c r="BE68" i="312"/>
  <c r="BV68" i="312"/>
  <c r="BX68" i="312"/>
  <c r="BY68" i="312"/>
  <c r="CC68" i="312" s="1"/>
  <c r="BZ68" i="312"/>
  <c r="CA68" i="312"/>
  <c r="CB68" i="312"/>
  <c r="BB69" i="312"/>
  <c r="BC69" i="312"/>
  <c r="M79" i="269"/>
  <c r="O79" i="269" s="1"/>
  <c r="BE69" i="312"/>
  <c r="BV69" i="312"/>
  <c r="BX69" i="312"/>
  <c r="BY69" i="312"/>
  <c r="CC69" i="312"/>
  <c r="BZ69" i="312"/>
  <c r="CA69" i="312"/>
  <c r="CB69" i="312"/>
  <c r="BB70" i="312"/>
  <c r="BC70" i="312"/>
  <c r="M80" i="269"/>
  <c r="BE70" i="312"/>
  <c r="BV70" i="312"/>
  <c r="BX70" i="312"/>
  <c r="BY70" i="312"/>
  <c r="CC70" i="312" s="1"/>
  <c r="BZ70" i="312"/>
  <c r="CA70" i="312"/>
  <c r="CB70" i="312"/>
  <c r="BB71" i="312"/>
  <c r="BC71" i="312"/>
  <c r="M81" i="269" s="1"/>
  <c r="N81" i="269"/>
  <c r="BE71" i="312"/>
  <c r="BV71" i="312"/>
  <c r="BX71" i="312"/>
  <c r="BY71" i="312"/>
  <c r="BZ71" i="312"/>
  <c r="CA71" i="312"/>
  <c r="CB71" i="312"/>
  <c r="CC71" i="312"/>
  <c r="BB72" i="312"/>
  <c r="BC72" i="312"/>
  <c r="BE72" i="312"/>
  <c r="BV72" i="312"/>
  <c r="BX72" i="312"/>
  <c r="BY72" i="312"/>
  <c r="CC72" i="312" s="1"/>
  <c r="BZ72" i="312"/>
  <c r="CA72" i="312"/>
  <c r="CB72" i="312"/>
  <c r="BB73" i="312"/>
  <c r="BC73" i="312"/>
  <c r="BE73" i="312"/>
  <c r="BV73" i="312"/>
  <c r="BX73" i="312"/>
  <c r="BY73" i="312"/>
  <c r="CC73" i="312" s="1"/>
  <c r="BZ73" i="312"/>
  <c r="CA73" i="312"/>
  <c r="CB73" i="312"/>
  <c r="BB74" i="312"/>
  <c r="BC74" i="312"/>
  <c r="M84" i="269" s="1"/>
  <c r="N84" i="269" s="1"/>
  <c r="BE74" i="312"/>
  <c r="BV74" i="312"/>
  <c r="BX74" i="312"/>
  <c r="BY74" i="312"/>
  <c r="BZ74" i="312"/>
  <c r="CA74" i="312"/>
  <c r="CB74" i="312"/>
  <c r="CC74" i="312"/>
  <c r="BB75" i="312"/>
  <c r="BC75" i="312"/>
  <c r="M85" i="269" s="1"/>
  <c r="BE75" i="312"/>
  <c r="BV75" i="312"/>
  <c r="BX75" i="312"/>
  <c r="BY75" i="312"/>
  <c r="CC75" i="312" s="1"/>
  <c r="BZ75" i="312"/>
  <c r="CA75" i="312"/>
  <c r="CB75" i="312"/>
  <c r="BB76" i="312"/>
  <c r="BC76" i="312"/>
  <c r="BL76" i="312"/>
  <c r="BE76" i="312"/>
  <c r="BV76" i="312"/>
  <c r="BX76" i="312"/>
  <c r="BY76" i="312"/>
  <c r="CC76" i="312" s="1"/>
  <c r="CD76" i="312" s="1"/>
  <c r="BZ76" i="312"/>
  <c r="CA76" i="312"/>
  <c r="CB76" i="312"/>
  <c r="BB77" i="312"/>
  <c r="CD77" i="312"/>
  <c r="BC77" i="312"/>
  <c r="M87" i="269"/>
  <c r="BE77" i="312"/>
  <c r="BV77" i="312"/>
  <c r="BX77" i="312"/>
  <c r="BY77" i="312"/>
  <c r="CC77" i="312"/>
  <c r="BZ77" i="312"/>
  <c r="CA77" i="312"/>
  <c r="CB77" i="312"/>
  <c r="BB78" i="312"/>
  <c r="BC78" i="312"/>
  <c r="M88" i="269" s="1"/>
  <c r="BE78" i="312"/>
  <c r="BV78" i="312"/>
  <c r="BX78" i="312"/>
  <c r="BY78" i="312"/>
  <c r="BZ78" i="312"/>
  <c r="CA78" i="312"/>
  <c r="CB78" i="312"/>
  <c r="CC78" i="312"/>
  <c r="BB79" i="312"/>
  <c r="BC79" i="312"/>
  <c r="M89" i="269"/>
  <c r="N89" i="269" s="1"/>
  <c r="BE79" i="312"/>
  <c r="BV79" i="312"/>
  <c r="BX79" i="312"/>
  <c r="BY79" i="312"/>
  <c r="CC79" i="312" s="1"/>
  <c r="CD79" i="312"/>
  <c r="BZ79" i="312"/>
  <c r="CA79" i="312"/>
  <c r="CB79" i="312"/>
  <c r="BB80" i="312"/>
  <c r="BC80" i="312"/>
  <c r="BE80" i="312"/>
  <c r="BV80" i="312"/>
  <c r="BX80" i="312"/>
  <c r="BY80" i="312"/>
  <c r="CC80" i="312"/>
  <c r="BZ80" i="312"/>
  <c r="CA80" i="312"/>
  <c r="CB80" i="312"/>
  <c r="BB81" i="312"/>
  <c r="BC81" i="312"/>
  <c r="M91" i="269"/>
  <c r="BE81" i="312"/>
  <c r="BV81" i="312"/>
  <c r="BX81" i="312"/>
  <c r="BY81" i="312"/>
  <c r="CC81" i="312" s="1"/>
  <c r="BZ81" i="312"/>
  <c r="CA81" i="312"/>
  <c r="CB81" i="312"/>
  <c r="BB82" i="312"/>
  <c r="BC82" i="312"/>
  <c r="M92" i="269"/>
  <c r="N92" i="269"/>
  <c r="BE82" i="312"/>
  <c r="BV82" i="312"/>
  <c r="BX82" i="312"/>
  <c r="BY82" i="312"/>
  <c r="CC82" i="312" s="1"/>
  <c r="BZ82" i="312"/>
  <c r="CA82" i="312"/>
  <c r="CB82" i="312"/>
  <c r="BB83" i="312"/>
  <c r="BC83" i="312"/>
  <c r="M93" i="269"/>
  <c r="BE83" i="312"/>
  <c r="BV83" i="312"/>
  <c r="BX83" i="312"/>
  <c r="BY83" i="312"/>
  <c r="CC83" i="312"/>
  <c r="BZ83" i="312"/>
  <c r="CA83" i="312"/>
  <c r="CB83" i="312"/>
  <c r="BB84" i="312"/>
  <c r="BF84" i="312" s="1"/>
  <c r="BC84" i="312"/>
  <c r="M94" i="269" s="1"/>
  <c r="N94" i="269" s="1"/>
  <c r="BE84" i="312"/>
  <c r="BV84" i="312"/>
  <c r="BX84" i="312"/>
  <c r="BY84" i="312"/>
  <c r="CC84" i="312"/>
  <c r="CD84" i="312" s="1"/>
  <c r="BZ84" i="312"/>
  <c r="CA84" i="312"/>
  <c r="CB84" i="312"/>
  <c r="BB85" i="312"/>
  <c r="BC85" i="312"/>
  <c r="M95" i="269" s="1"/>
  <c r="BE85" i="312"/>
  <c r="BV85" i="312"/>
  <c r="BX85" i="312"/>
  <c r="BY85" i="312"/>
  <c r="CC85" i="312"/>
  <c r="BZ85" i="312"/>
  <c r="CA85" i="312"/>
  <c r="CB85" i="312"/>
  <c r="BB86" i="312"/>
  <c r="BC86" i="312"/>
  <c r="BE86" i="312"/>
  <c r="BV86" i="312"/>
  <c r="BX86" i="312"/>
  <c r="BY86" i="312"/>
  <c r="CC86" i="312" s="1"/>
  <c r="BZ86" i="312"/>
  <c r="CA86" i="312"/>
  <c r="CB86" i="312"/>
  <c r="BB87" i="312"/>
  <c r="BC87" i="312"/>
  <c r="M97" i="269" s="1"/>
  <c r="N97" i="269" s="1"/>
  <c r="BE87" i="312"/>
  <c r="BV87" i="312"/>
  <c r="BX87" i="312"/>
  <c r="BY87" i="312"/>
  <c r="CC87" i="312" s="1"/>
  <c r="BZ87" i="312"/>
  <c r="CA87" i="312"/>
  <c r="CB87" i="312"/>
  <c r="BB88" i="312"/>
  <c r="BC88" i="312"/>
  <c r="M98" i="269"/>
  <c r="N98" i="269" s="1"/>
  <c r="BE88" i="312"/>
  <c r="BV88" i="312"/>
  <c r="BX88" i="312"/>
  <c r="BY88" i="312"/>
  <c r="CC88" i="312" s="1"/>
  <c r="BZ88" i="312"/>
  <c r="CA88" i="312"/>
  <c r="CB88" i="312"/>
  <c r="BB89" i="312"/>
  <c r="BC89" i="312"/>
  <c r="BE89" i="312"/>
  <c r="BV89" i="312"/>
  <c r="BX89" i="312"/>
  <c r="BY89" i="312"/>
  <c r="CC89" i="312" s="1"/>
  <c r="CD89" i="312" s="1"/>
  <c r="BZ89" i="312"/>
  <c r="CA89" i="312"/>
  <c r="CB89" i="312"/>
  <c r="BB90" i="312"/>
  <c r="BC90" i="312"/>
  <c r="BE90" i="312"/>
  <c r="BV90" i="312"/>
  <c r="BX90" i="312"/>
  <c r="BY90" i="312"/>
  <c r="CC90" i="312"/>
  <c r="BZ90" i="312"/>
  <c r="CA90" i="312"/>
  <c r="CB90" i="312"/>
  <c r="BB91" i="312"/>
  <c r="BL91" i="312" s="1"/>
  <c r="BC91" i="312"/>
  <c r="M101" i="269"/>
  <c r="N101" i="269" s="1"/>
  <c r="BE91" i="312"/>
  <c r="BV91" i="312"/>
  <c r="BX91" i="312"/>
  <c r="BY91" i="312"/>
  <c r="CC91" i="312" s="1"/>
  <c r="BZ91" i="312"/>
  <c r="CA91" i="312"/>
  <c r="CB91" i="312"/>
  <c r="BB92" i="312"/>
  <c r="BC92" i="312"/>
  <c r="M102" i="269" s="1"/>
  <c r="BE92" i="312"/>
  <c r="BV92" i="312"/>
  <c r="BX92" i="312"/>
  <c r="BY92" i="312"/>
  <c r="CC92" i="312"/>
  <c r="BZ92" i="312"/>
  <c r="CA92" i="312"/>
  <c r="CB92" i="312"/>
  <c r="BB93" i="312"/>
  <c r="BC93" i="312"/>
  <c r="BE93" i="312"/>
  <c r="BV93" i="312"/>
  <c r="BX93" i="312"/>
  <c r="BY93" i="312"/>
  <c r="CC93" i="312"/>
  <c r="BZ93" i="312"/>
  <c r="CA93" i="312"/>
  <c r="CB93" i="312"/>
  <c r="BB94" i="312"/>
  <c r="BC94" i="312"/>
  <c r="M104" i="269" s="1"/>
  <c r="N104" i="269" s="1"/>
  <c r="BE94" i="312"/>
  <c r="BV94" i="312"/>
  <c r="BX94" i="312"/>
  <c r="BY94" i="312"/>
  <c r="CC94" i="312"/>
  <c r="CD94" i="312" s="1"/>
  <c r="BZ94" i="312"/>
  <c r="CA94" i="312"/>
  <c r="CB94" i="312"/>
  <c r="BB95" i="312"/>
  <c r="BF95" i="312" s="1"/>
  <c r="BT95" i="312" s="1"/>
  <c r="BC95" i="312"/>
  <c r="M105" i="269" s="1"/>
  <c r="BE95" i="312"/>
  <c r="BV95" i="312"/>
  <c r="BX95" i="312"/>
  <c r="BY95" i="312"/>
  <c r="CC95" i="312"/>
  <c r="BZ95" i="312"/>
  <c r="CA95" i="312"/>
  <c r="CB95" i="312"/>
  <c r="BB96" i="312"/>
  <c r="BC96" i="312"/>
  <c r="M106" i="269" s="1"/>
  <c r="N106" i="269" s="1"/>
  <c r="BE96" i="312"/>
  <c r="BV96" i="312"/>
  <c r="BX96" i="312"/>
  <c r="BY96" i="312"/>
  <c r="CC96" i="312"/>
  <c r="BZ96" i="312"/>
  <c r="CA96" i="312"/>
  <c r="CB96" i="312"/>
  <c r="BB97" i="312"/>
  <c r="BC97" i="312"/>
  <c r="M107" i="269" s="1"/>
  <c r="BE97" i="312"/>
  <c r="BV97" i="312"/>
  <c r="BX97" i="312"/>
  <c r="BY97" i="312"/>
  <c r="CC97" i="312"/>
  <c r="BZ97" i="312"/>
  <c r="CA97" i="312"/>
  <c r="CB97" i="312"/>
  <c r="BB98" i="312"/>
  <c r="BC98" i="312"/>
  <c r="M108" i="269"/>
  <c r="N108" i="269" s="1"/>
  <c r="BE98" i="312"/>
  <c r="BV98" i="312"/>
  <c r="BX98" i="312"/>
  <c r="BY98" i="312"/>
  <c r="BZ98" i="312"/>
  <c r="CA98" i="312"/>
  <c r="CB98" i="312"/>
  <c r="CC98" i="312"/>
  <c r="BB99" i="312"/>
  <c r="BC99" i="312"/>
  <c r="M109" i="269" s="1"/>
  <c r="N109" i="269" s="1"/>
  <c r="BE99" i="312"/>
  <c r="BV99" i="312"/>
  <c r="BX99" i="312"/>
  <c r="BY99" i="312"/>
  <c r="BZ99" i="312"/>
  <c r="CA99" i="312"/>
  <c r="CB99" i="312"/>
  <c r="CC99" i="312"/>
  <c r="BB100" i="312"/>
  <c r="BC100" i="312"/>
  <c r="BE100" i="312"/>
  <c r="BV100" i="312"/>
  <c r="BX100" i="312"/>
  <c r="BY100" i="312"/>
  <c r="CC100" i="312" s="1"/>
  <c r="BZ100" i="312"/>
  <c r="CA100" i="312"/>
  <c r="CB100" i="312"/>
  <c r="BB101" i="312"/>
  <c r="BC101" i="312"/>
  <c r="M111" i="269" s="1"/>
  <c r="N111" i="269" s="1"/>
  <c r="BE101" i="312"/>
  <c r="BV101" i="312"/>
  <c r="BX101" i="312"/>
  <c r="BY101" i="312"/>
  <c r="CC101" i="312" s="1"/>
  <c r="BZ101" i="312"/>
  <c r="CA101" i="312"/>
  <c r="CB101" i="312"/>
  <c r="BB102" i="312"/>
  <c r="BC102" i="312"/>
  <c r="M112" i="269" s="1"/>
  <c r="BE102" i="312"/>
  <c r="BV102" i="312"/>
  <c r="BX102" i="312"/>
  <c r="BY102" i="312"/>
  <c r="BZ102" i="312"/>
  <c r="CA102" i="312"/>
  <c r="CB102" i="312"/>
  <c r="CC102" i="312"/>
  <c r="BB103" i="312"/>
  <c r="BC103" i="312"/>
  <c r="M113" i="269"/>
  <c r="N113" i="269" s="1"/>
  <c r="BE103" i="312"/>
  <c r="BV103" i="312"/>
  <c r="BX103" i="312"/>
  <c r="BY103" i="312"/>
  <c r="CC103" i="312" s="1"/>
  <c r="BZ103" i="312"/>
  <c r="CA103" i="312"/>
  <c r="CB103" i="312"/>
  <c r="BB104" i="312"/>
  <c r="BC104" i="312"/>
  <c r="M114" i="269" s="1"/>
  <c r="N114" i="269" s="1"/>
  <c r="BE104" i="312"/>
  <c r="BV104" i="312"/>
  <c r="BX104" i="312"/>
  <c r="BY104" i="312"/>
  <c r="CC104" i="312"/>
  <c r="BZ104" i="312"/>
  <c r="CA104" i="312"/>
  <c r="CB104" i="312"/>
  <c r="BB105" i="312"/>
  <c r="BC105" i="312"/>
  <c r="M115" i="269"/>
  <c r="BE105" i="312"/>
  <c r="BV105" i="312"/>
  <c r="BX105" i="312"/>
  <c r="BY105" i="312"/>
  <c r="BZ105" i="312"/>
  <c r="CA105" i="312"/>
  <c r="CB105" i="312"/>
  <c r="CC105" i="312"/>
  <c r="BB106" i="312"/>
  <c r="BC106" i="312"/>
  <c r="M116" i="269" s="1"/>
  <c r="N116" i="269" s="1"/>
  <c r="BE106" i="312"/>
  <c r="BV106" i="312"/>
  <c r="BX106" i="312"/>
  <c r="BY106" i="312"/>
  <c r="CC106" i="312"/>
  <c r="BZ106" i="312"/>
  <c r="CA106" i="312"/>
  <c r="CB106" i="312"/>
  <c r="BB107" i="312"/>
  <c r="BC107" i="312"/>
  <c r="BE107" i="312"/>
  <c r="BV107" i="312"/>
  <c r="BX107" i="312"/>
  <c r="BY107" i="312"/>
  <c r="CC107" i="312" s="1"/>
  <c r="BZ107" i="312"/>
  <c r="CA107" i="312"/>
  <c r="CB107" i="312"/>
  <c r="BB108" i="312"/>
  <c r="BC108" i="312"/>
  <c r="M118" i="269"/>
  <c r="N118" i="269" s="1"/>
  <c r="BE108" i="312"/>
  <c r="BV108" i="312"/>
  <c r="BX108" i="312"/>
  <c r="BY108" i="312"/>
  <c r="CC108" i="312" s="1"/>
  <c r="CD108" i="312" s="1"/>
  <c r="BZ108" i="312"/>
  <c r="CA108" i="312"/>
  <c r="CB108" i="312"/>
  <c r="BB109" i="312"/>
  <c r="BC109" i="312"/>
  <c r="M119" i="269" s="1"/>
  <c r="N119" i="269" s="1"/>
  <c r="BE109" i="312"/>
  <c r="BV109" i="312"/>
  <c r="BX109" i="312"/>
  <c r="BY109" i="312"/>
  <c r="BZ109" i="312"/>
  <c r="CA109" i="312"/>
  <c r="CB109" i="312"/>
  <c r="CC109" i="312"/>
  <c r="BB110" i="312"/>
  <c r="BC110" i="312"/>
  <c r="M120" i="269"/>
  <c r="BE110" i="312"/>
  <c r="BV110" i="312"/>
  <c r="BX110" i="312"/>
  <c r="BY110" i="312"/>
  <c r="CC110" i="312" s="1"/>
  <c r="BZ110" i="312"/>
  <c r="CA110" i="312"/>
  <c r="CB110" i="312"/>
  <c r="BB111" i="312"/>
  <c r="BC111" i="312"/>
  <c r="BE111" i="312"/>
  <c r="BV111" i="312"/>
  <c r="BX111" i="312"/>
  <c r="BY111" i="312"/>
  <c r="CC111" i="312"/>
  <c r="BZ111" i="312"/>
  <c r="CA111" i="312"/>
  <c r="CB111" i="312"/>
  <c r="BB112" i="312"/>
  <c r="BC112" i="312"/>
  <c r="BE112" i="312"/>
  <c r="BV112" i="312"/>
  <c r="BX112" i="312"/>
  <c r="BY112" i="312"/>
  <c r="BZ112" i="312"/>
  <c r="CA112" i="312"/>
  <c r="CB112" i="312"/>
  <c r="CC112" i="312"/>
  <c r="BB113" i="312"/>
  <c r="BC113" i="312"/>
  <c r="M123" i="269"/>
  <c r="N123" i="269" s="1"/>
  <c r="BE113" i="312"/>
  <c r="BV113" i="312"/>
  <c r="BX113" i="312"/>
  <c r="BY113" i="312"/>
  <c r="BZ113" i="312"/>
  <c r="CA113" i="312"/>
  <c r="CB113" i="312"/>
  <c r="CC113" i="312"/>
  <c r="BB114" i="312"/>
  <c r="BC114" i="312"/>
  <c r="BE114" i="312"/>
  <c r="BV114" i="312"/>
  <c r="BX114" i="312"/>
  <c r="BY114" i="312"/>
  <c r="CC114" i="312" s="1"/>
  <c r="BZ114" i="312"/>
  <c r="CA114" i="312"/>
  <c r="CB114" i="312"/>
  <c r="BB115" i="312"/>
  <c r="BC115" i="312"/>
  <c r="M125" i="269" s="1"/>
  <c r="BE115" i="312"/>
  <c r="BV115" i="312"/>
  <c r="BX115" i="312"/>
  <c r="BY115" i="312"/>
  <c r="CC115" i="312"/>
  <c r="CD115" i="312" s="1"/>
  <c r="BZ115" i="312"/>
  <c r="CA115" i="312"/>
  <c r="CB115" i="312"/>
  <c r="BB116" i="312"/>
  <c r="BC116" i="312"/>
  <c r="M126" i="269"/>
  <c r="N126" i="269" s="1"/>
  <c r="BE116" i="312"/>
  <c r="BV116" i="312"/>
  <c r="BX116" i="312"/>
  <c r="BY116" i="312"/>
  <c r="BZ116" i="312"/>
  <c r="CA116" i="312"/>
  <c r="CB116" i="312"/>
  <c r="CC116" i="312"/>
  <c r="BB117" i="312"/>
  <c r="BC117" i="312"/>
  <c r="M127" i="269" s="1"/>
  <c r="N127" i="269" s="1"/>
  <c r="BE117" i="312"/>
  <c r="BV117" i="312"/>
  <c r="BX117" i="312"/>
  <c r="BY117" i="312"/>
  <c r="CC117" i="312"/>
  <c r="BZ117" i="312"/>
  <c r="CA117" i="312"/>
  <c r="CB117" i="312"/>
  <c r="BB118" i="312"/>
  <c r="BC118" i="312"/>
  <c r="M128" i="269" s="1"/>
  <c r="BE118" i="312"/>
  <c r="BV118" i="312"/>
  <c r="BX118" i="312"/>
  <c r="BY118" i="312"/>
  <c r="CC118" i="312" s="1"/>
  <c r="CD118" i="312" s="1"/>
  <c r="BZ118" i="312"/>
  <c r="CA118" i="312"/>
  <c r="CB118" i="312"/>
  <c r="BB119" i="312"/>
  <c r="BC119" i="312"/>
  <c r="BE119" i="312"/>
  <c r="BV119" i="312"/>
  <c r="BX119" i="312"/>
  <c r="BY119" i="312"/>
  <c r="CC119" i="312" s="1"/>
  <c r="BZ119" i="312"/>
  <c r="CA119" i="312"/>
  <c r="CB119" i="312"/>
  <c r="BB120" i="312"/>
  <c r="BC120" i="312"/>
  <c r="BE120" i="312"/>
  <c r="BV120" i="312"/>
  <c r="BX120" i="312"/>
  <c r="BY120" i="312"/>
  <c r="CC120" i="312" s="1"/>
  <c r="BZ120" i="312"/>
  <c r="CA120" i="312"/>
  <c r="CB120" i="312"/>
  <c r="BB121" i="312"/>
  <c r="BC121" i="312"/>
  <c r="M131" i="269" s="1"/>
  <c r="N131" i="269" s="1"/>
  <c r="BE121" i="312"/>
  <c r="BV121" i="312"/>
  <c r="BX121" i="312"/>
  <c r="BY121" i="312"/>
  <c r="CC121" i="312" s="1"/>
  <c r="BZ121" i="312"/>
  <c r="CA121" i="312"/>
  <c r="CB121" i="312"/>
  <c r="BB122" i="312"/>
  <c r="BC122" i="312"/>
  <c r="BE122" i="312"/>
  <c r="BV122" i="312"/>
  <c r="BX122" i="312"/>
  <c r="BY122" i="312"/>
  <c r="BZ122" i="312"/>
  <c r="CA122" i="312"/>
  <c r="CB122" i="312"/>
  <c r="CC122" i="312"/>
  <c r="BB123" i="312"/>
  <c r="BC123" i="312"/>
  <c r="M133" i="269" s="1"/>
  <c r="N133" i="269" s="1"/>
  <c r="BE123" i="312"/>
  <c r="BV123" i="312"/>
  <c r="BX123" i="312"/>
  <c r="BY123" i="312"/>
  <c r="CC123" i="312" s="1"/>
  <c r="BZ123" i="312"/>
  <c r="CA123" i="312"/>
  <c r="CB123" i="312"/>
  <c r="BB124" i="312"/>
  <c r="BC124" i="312"/>
  <c r="M134" i="269"/>
  <c r="N134" i="269" s="1"/>
  <c r="BE124" i="312"/>
  <c r="BV124" i="312"/>
  <c r="BX124" i="312"/>
  <c r="BY124" i="312"/>
  <c r="CC124" i="312" s="1"/>
  <c r="BZ124" i="312"/>
  <c r="CA124" i="312"/>
  <c r="CB124" i="312"/>
  <c r="BB125" i="312"/>
  <c r="BC125" i="312"/>
  <c r="BE125" i="312"/>
  <c r="BV125" i="312"/>
  <c r="BX125" i="312"/>
  <c r="BY125" i="312"/>
  <c r="BZ125" i="312"/>
  <c r="CA125" i="312"/>
  <c r="CB125" i="312"/>
  <c r="CC125" i="312"/>
  <c r="BB126" i="312"/>
  <c r="BC126" i="312"/>
  <c r="M136" i="269" s="1"/>
  <c r="N136" i="269" s="1"/>
  <c r="BE126" i="312"/>
  <c r="BV126" i="312"/>
  <c r="BX126" i="312"/>
  <c r="BY126" i="312"/>
  <c r="CC126" i="312"/>
  <c r="BZ126" i="312"/>
  <c r="CA126" i="312"/>
  <c r="CB126" i="312"/>
  <c r="BB127" i="312"/>
  <c r="BC127" i="312"/>
  <c r="M137" i="269" s="1"/>
  <c r="BE127" i="312"/>
  <c r="BV127" i="312"/>
  <c r="BX127" i="312"/>
  <c r="BY127" i="312"/>
  <c r="CC127" i="312"/>
  <c r="BZ127" i="312"/>
  <c r="CA127" i="312"/>
  <c r="CB127" i="312"/>
  <c r="BB128" i="312"/>
  <c r="BL128" i="312" s="1"/>
  <c r="BC128" i="312"/>
  <c r="M138" i="269" s="1"/>
  <c r="N138" i="269"/>
  <c r="BE128" i="312"/>
  <c r="BV128" i="312"/>
  <c r="BX128" i="312"/>
  <c r="BY128" i="312"/>
  <c r="BZ128" i="312"/>
  <c r="CA128" i="312"/>
  <c r="CB128" i="312"/>
  <c r="CC128" i="312"/>
  <c r="BB129" i="312"/>
  <c r="BC129" i="312"/>
  <c r="M139" i="269" s="1"/>
  <c r="N139" i="269" s="1"/>
  <c r="BE129" i="312"/>
  <c r="BV129" i="312"/>
  <c r="BX129" i="312"/>
  <c r="BY129" i="312"/>
  <c r="CC129" i="312"/>
  <c r="BZ129" i="312"/>
  <c r="CA129" i="312"/>
  <c r="CB129" i="312"/>
  <c r="BB130" i="312"/>
  <c r="BC130" i="312"/>
  <c r="M140" i="269" s="1"/>
  <c r="BE130" i="312"/>
  <c r="BV130" i="312"/>
  <c r="BX130" i="312"/>
  <c r="BY130" i="312"/>
  <c r="CC130" i="312"/>
  <c r="BZ130" i="312"/>
  <c r="CA130" i="312"/>
  <c r="CB130" i="312"/>
  <c r="BB131" i="312"/>
  <c r="BC131" i="312"/>
  <c r="M141" i="269"/>
  <c r="N141" i="269" s="1"/>
  <c r="BE131" i="312"/>
  <c r="BV131" i="312"/>
  <c r="BX131" i="312"/>
  <c r="BY131" i="312"/>
  <c r="BZ131" i="312"/>
  <c r="CA131" i="312"/>
  <c r="CB131" i="312"/>
  <c r="CC131" i="312"/>
  <c r="BB132" i="312"/>
  <c r="BC132" i="312"/>
  <c r="M142" i="269" s="1"/>
  <c r="N142" i="269" s="1"/>
  <c r="BE132" i="312"/>
  <c r="BV132" i="312"/>
  <c r="BX132" i="312"/>
  <c r="BY132" i="312"/>
  <c r="CC132" i="312"/>
  <c r="BZ132" i="312"/>
  <c r="CA132" i="312"/>
  <c r="CB132" i="312"/>
  <c r="BB133" i="312"/>
  <c r="BC133" i="312"/>
  <c r="M143" i="269" s="1"/>
  <c r="BE133" i="312"/>
  <c r="BV133" i="312"/>
  <c r="BX133" i="312"/>
  <c r="BY133" i="312"/>
  <c r="CC133" i="312" s="1"/>
  <c r="BZ133" i="312"/>
  <c r="CA133" i="312"/>
  <c r="CB133" i="312"/>
  <c r="BB134" i="312"/>
  <c r="BC134" i="312"/>
  <c r="M144" i="269" s="1"/>
  <c r="N144" i="269" s="1"/>
  <c r="BE134" i="312"/>
  <c r="BV134" i="312"/>
  <c r="BX134" i="312"/>
  <c r="BY134" i="312"/>
  <c r="BZ134" i="312"/>
  <c r="CA134" i="312"/>
  <c r="CB134" i="312"/>
  <c r="CC134" i="312"/>
  <c r="BB135" i="312"/>
  <c r="BC135" i="312"/>
  <c r="M145" i="269" s="1"/>
  <c r="BE135" i="312"/>
  <c r="BV135" i="312"/>
  <c r="BX135" i="312"/>
  <c r="BY135" i="312"/>
  <c r="CC135" i="312"/>
  <c r="BZ135" i="312"/>
  <c r="CA135" i="312"/>
  <c r="CB135" i="312"/>
  <c r="BB136" i="312"/>
  <c r="BC136" i="312"/>
  <c r="M146" i="269"/>
  <c r="N146" i="269" s="1"/>
  <c r="BE136" i="312"/>
  <c r="BV136" i="312"/>
  <c r="BX136" i="312"/>
  <c r="BY136" i="312"/>
  <c r="BZ136" i="312"/>
  <c r="CA136" i="312"/>
  <c r="CB136" i="312"/>
  <c r="CC136" i="312"/>
  <c r="BB137" i="312"/>
  <c r="BC137" i="312"/>
  <c r="M147" i="269"/>
  <c r="N147" i="269" s="1"/>
  <c r="BE137" i="312"/>
  <c r="BV137" i="312"/>
  <c r="BX137" i="312"/>
  <c r="BY137" i="312"/>
  <c r="BZ137" i="312"/>
  <c r="CA137" i="312"/>
  <c r="CB137" i="312"/>
  <c r="CC137" i="312"/>
  <c r="BB138" i="312"/>
  <c r="BC138" i="312"/>
  <c r="M148" i="269"/>
  <c r="BE138" i="312"/>
  <c r="BV138" i="312"/>
  <c r="BX138" i="312"/>
  <c r="BY138" i="312"/>
  <c r="CC138" i="312" s="1"/>
  <c r="BZ138" i="312"/>
  <c r="CA138" i="312"/>
  <c r="CB138" i="312"/>
  <c r="BB139" i="312"/>
  <c r="BC139" i="312"/>
  <c r="M149" i="269" s="1"/>
  <c r="N149" i="269" s="1"/>
  <c r="BE139" i="312"/>
  <c r="BV139" i="312"/>
  <c r="BX139" i="312"/>
  <c r="BY139" i="312"/>
  <c r="BZ139" i="312"/>
  <c r="CA139" i="312"/>
  <c r="CB139" i="312"/>
  <c r="CC139" i="312"/>
  <c r="BB140" i="312"/>
  <c r="CD140" i="312"/>
  <c r="BC140" i="312"/>
  <c r="M150" i="269"/>
  <c r="BE140" i="312"/>
  <c r="BV140" i="312"/>
  <c r="BX140" i="312"/>
  <c r="BY140" i="312"/>
  <c r="BZ140" i="312"/>
  <c r="CA140" i="312"/>
  <c r="CB140" i="312"/>
  <c r="CC140" i="312"/>
  <c r="BB141" i="312"/>
  <c r="BC141" i="312"/>
  <c r="M151" i="269" s="1"/>
  <c r="N151" i="269" s="1"/>
  <c r="BE141" i="312"/>
  <c r="BV141" i="312"/>
  <c r="BX141" i="312"/>
  <c r="BY141" i="312"/>
  <c r="CC141" i="312" s="1"/>
  <c r="BZ141" i="312"/>
  <c r="CA141" i="312"/>
  <c r="CB141" i="312"/>
  <c r="BB142" i="312"/>
  <c r="BC142" i="312"/>
  <c r="M152" i="269"/>
  <c r="N152" i="269" s="1"/>
  <c r="BE142" i="312"/>
  <c r="BV142" i="312"/>
  <c r="BX142" i="312"/>
  <c r="BY142" i="312"/>
  <c r="BZ142" i="312"/>
  <c r="CA142" i="312"/>
  <c r="CB142" i="312"/>
  <c r="CC142" i="312"/>
  <c r="CD142" i="312" s="1"/>
  <c r="BB143" i="312"/>
  <c r="BC143" i="312"/>
  <c r="BE143" i="312"/>
  <c r="BV143" i="312"/>
  <c r="BX143" i="312"/>
  <c r="BY143" i="312"/>
  <c r="CC143" i="312" s="1"/>
  <c r="BZ143" i="312"/>
  <c r="CA143" i="312"/>
  <c r="CB143" i="312"/>
  <c r="BB144" i="312"/>
  <c r="BC144" i="312"/>
  <c r="M154" i="269" s="1"/>
  <c r="N154" i="269" s="1"/>
  <c r="BE144" i="312"/>
  <c r="BV144" i="312"/>
  <c r="BX144" i="312"/>
  <c r="BY144" i="312"/>
  <c r="BZ144" i="312"/>
  <c r="CA144" i="312"/>
  <c r="CB144" i="312"/>
  <c r="CC144" i="312"/>
  <c r="BB145" i="312"/>
  <c r="BC145" i="312"/>
  <c r="M155" i="269" s="1"/>
  <c r="BE145" i="312"/>
  <c r="BV145" i="312"/>
  <c r="BX145" i="312"/>
  <c r="BY145" i="312"/>
  <c r="BZ145" i="312"/>
  <c r="CA145" i="312"/>
  <c r="CB145" i="312"/>
  <c r="CC145" i="312"/>
  <c r="BB146" i="312"/>
  <c r="BC146" i="312"/>
  <c r="M156" i="269"/>
  <c r="BE146" i="312"/>
  <c r="BV146" i="312"/>
  <c r="BX146" i="312"/>
  <c r="BY146" i="312"/>
  <c r="CC146" i="312" s="1"/>
  <c r="BZ146" i="312"/>
  <c r="CA146" i="312"/>
  <c r="CB146" i="312"/>
  <c r="BB147" i="312"/>
  <c r="BC147" i="312"/>
  <c r="BL147" i="312" s="1"/>
  <c r="BE147" i="312"/>
  <c r="BV147" i="312"/>
  <c r="BX147" i="312"/>
  <c r="BY147" i="312"/>
  <c r="CC147" i="312" s="1"/>
  <c r="BZ147" i="312"/>
  <c r="CA147" i="312"/>
  <c r="CB147" i="312"/>
  <c r="BB148" i="312"/>
  <c r="BC148" i="312"/>
  <c r="M158" i="269"/>
  <c r="N158" i="269" s="1"/>
  <c r="BE148" i="312"/>
  <c r="BV148" i="312"/>
  <c r="BX148" i="312"/>
  <c r="BY148" i="312"/>
  <c r="CC148" i="312" s="1"/>
  <c r="BZ148" i="312"/>
  <c r="CA148" i="312"/>
  <c r="CB148" i="312"/>
  <c r="BB149" i="312"/>
  <c r="BC149" i="312"/>
  <c r="M159" i="269"/>
  <c r="N159" i="269" s="1"/>
  <c r="BE149" i="312"/>
  <c r="BV149" i="312"/>
  <c r="BX149" i="312"/>
  <c r="BY149" i="312"/>
  <c r="CC149" i="312"/>
  <c r="BZ149" i="312"/>
  <c r="CA149" i="312"/>
  <c r="CB149" i="312"/>
  <c r="BB150" i="312"/>
  <c r="CD150" i="312" s="1"/>
  <c r="BC150" i="312"/>
  <c r="M160" i="269" s="1"/>
  <c r="BE150" i="312"/>
  <c r="BV150" i="312"/>
  <c r="BX150" i="312"/>
  <c r="BY150" i="312"/>
  <c r="CC150" i="312"/>
  <c r="BZ150" i="312"/>
  <c r="CA150" i="312"/>
  <c r="CB150" i="312"/>
  <c r="BB151" i="312"/>
  <c r="BC151" i="312"/>
  <c r="M161" i="269" s="1"/>
  <c r="N161" i="269" s="1"/>
  <c r="BE151" i="312"/>
  <c r="BV151" i="312"/>
  <c r="BX151" i="312"/>
  <c r="BY151" i="312"/>
  <c r="CC151" i="312" s="1"/>
  <c r="BZ151" i="312"/>
  <c r="CA151" i="312"/>
  <c r="CB151" i="312"/>
  <c r="BB152" i="312"/>
  <c r="BC152" i="312"/>
  <c r="M162" i="269"/>
  <c r="N162" i="269" s="1"/>
  <c r="BE152" i="312"/>
  <c r="BV152" i="312"/>
  <c r="BX152" i="312"/>
  <c r="BY152" i="312"/>
  <c r="CC152" i="312" s="1"/>
  <c r="BZ152" i="312"/>
  <c r="CA152" i="312"/>
  <c r="CB152" i="312"/>
  <c r="BB153" i="312"/>
  <c r="BC153" i="312"/>
  <c r="M163" i="269"/>
  <c r="BE153" i="312"/>
  <c r="BV153" i="312"/>
  <c r="BX153" i="312"/>
  <c r="BY153" i="312"/>
  <c r="CC153" i="312" s="1"/>
  <c r="BZ153" i="312"/>
  <c r="CA153" i="312"/>
  <c r="CB153" i="312"/>
  <c r="BB154" i="312"/>
  <c r="BC154" i="312"/>
  <c r="M164" i="269" s="1"/>
  <c r="N164" i="269" s="1"/>
  <c r="BE154" i="312"/>
  <c r="BV154" i="312"/>
  <c r="BX154" i="312"/>
  <c r="BY154" i="312"/>
  <c r="BZ154" i="312"/>
  <c r="CA154" i="312"/>
  <c r="CB154" i="312"/>
  <c r="CC154" i="312"/>
  <c r="BB155" i="312"/>
  <c r="BC155" i="312"/>
  <c r="BE155" i="312"/>
  <c r="BV155" i="312"/>
  <c r="BX155" i="312"/>
  <c r="BY155" i="312"/>
  <c r="CC155" i="312" s="1"/>
  <c r="CD155" i="312" s="1"/>
  <c r="BZ155" i="312"/>
  <c r="CA155" i="312"/>
  <c r="CB155" i="312"/>
  <c r="BB156" i="312"/>
  <c r="BC156" i="312"/>
  <c r="M166" i="269" s="1"/>
  <c r="N166" i="269" s="1"/>
  <c r="BE156" i="312"/>
  <c r="BV156" i="312"/>
  <c r="BX156" i="312"/>
  <c r="BY156" i="312"/>
  <c r="BZ156" i="312"/>
  <c r="CA156" i="312"/>
  <c r="CB156" i="312"/>
  <c r="CC156" i="312"/>
  <c r="BB157" i="312"/>
  <c r="BC157" i="312"/>
  <c r="M167" i="269" s="1"/>
  <c r="N167" i="269" s="1"/>
  <c r="BE157" i="312"/>
  <c r="BV157" i="312"/>
  <c r="BX157" i="312"/>
  <c r="BY157" i="312"/>
  <c r="CC157" i="312" s="1"/>
  <c r="BZ157" i="312"/>
  <c r="CA157" i="312"/>
  <c r="CB157" i="312"/>
  <c r="BB158" i="312"/>
  <c r="BC158" i="312"/>
  <c r="M168" i="269" s="1"/>
  <c r="N168" i="269" s="1"/>
  <c r="BE158" i="312"/>
  <c r="BV158" i="312"/>
  <c r="BX158" i="312"/>
  <c r="BY158" i="312"/>
  <c r="CC158" i="312"/>
  <c r="BZ158" i="312"/>
  <c r="CA158" i="312"/>
  <c r="CB158" i="312"/>
  <c r="BB159" i="312"/>
  <c r="BF159" i="312"/>
  <c r="BT159" i="312" s="1"/>
  <c r="BC159" i="312"/>
  <c r="M169" i="269" s="1"/>
  <c r="N169" i="269" s="1"/>
  <c r="BE159" i="312"/>
  <c r="BV159" i="312"/>
  <c r="BX159" i="312"/>
  <c r="BY159" i="312"/>
  <c r="CC159" i="312"/>
  <c r="BZ159" i="312"/>
  <c r="CA159" i="312"/>
  <c r="CB159" i="312"/>
  <c r="BB160" i="312"/>
  <c r="BC160" i="312"/>
  <c r="BE160" i="312"/>
  <c r="BV160" i="312"/>
  <c r="BX160" i="312"/>
  <c r="BY160" i="312"/>
  <c r="BZ160" i="312"/>
  <c r="CA160" i="312"/>
  <c r="CB160" i="312"/>
  <c r="CC160" i="312"/>
  <c r="BB161" i="312"/>
  <c r="BC161" i="312"/>
  <c r="M171" i="269"/>
  <c r="N171" i="269" s="1"/>
  <c r="BE161" i="312"/>
  <c r="BV161" i="312"/>
  <c r="BX161" i="312"/>
  <c r="BY161" i="312"/>
  <c r="BZ161" i="312"/>
  <c r="CA161" i="312"/>
  <c r="CB161" i="312"/>
  <c r="CC161" i="312"/>
  <c r="BB162" i="312"/>
  <c r="BC162" i="312"/>
  <c r="M172" i="269"/>
  <c r="N172" i="269" s="1"/>
  <c r="BE162" i="312"/>
  <c r="BV162" i="312"/>
  <c r="BX162" i="312"/>
  <c r="BY162" i="312"/>
  <c r="CC162" i="312"/>
  <c r="BZ162" i="312"/>
  <c r="CA162" i="312"/>
  <c r="CB162" i="312"/>
  <c r="BB163" i="312"/>
  <c r="BC163" i="312"/>
  <c r="M173" i="269" s="1"/>
  <c r="BE163" i="312"/>
  <c r="BV163" i="312"/>
  <c r="BX163" i="312"/>
  <c r="BY163" i="312"/>
  <c r="CC163" i="312"/>
  <c r="BZ163" i="312"/>
  <c r="CA163" i="312"/>
  <c r="CB163" i="312"/>
  <c r="BB164" i="312"/>
  <c r="BC164" i="312"/>
  <c r="M174" i="269" s="1"/>
  <c r="N174" i="269" s="1"/>
  <c r="BE164" i="312"/>
  <c r="BV164" i="312"/>
  <c r="BX164" i="312"/>
  <c r="BY164" i="312"/>
  <c r="CC164" i="312" s="1"/>
  <c r="BZ164" i="312"/>
  <c r="CA164" i="312"/>
  <c r="CB164" i="312"/>
  <c r="BB165" i="312"/>
  <c r="BC165" i="312"/>
  <c r="BE165" i="312"/>
  <c r="BV165" i="312"/>
  <c r="BX165" i="312"/>
  <c r="BY165" i="312"/>
  <c r="CC165" i="312"/>
  <c r="BZ165" i="312"/>
  <c r="CA165" i="312"/>
  <c r="CB165" i="312"/>
  <c r="BB166" i="312"/>
  <c r="BC166" i="312"/>
  <c r="M176" i="269" s="1"/>
  <c r="N176" i="269" s="1"/>
  <c r="BE166" i="312"/>
  <c r="BV166" i="312"/>
  <c r="BX166" i="312"/>
  <c r="BY166" i="312"/>
  <c r="CC166" i="312"/>
  <c r="BZ166" i="312"/>
  <c r="CA166" i="312"/>
  <c r="CB166" i="312"/>
  <c r="BB167" i="312"/>
  <c r="BC167" i="312"/>
  <c r="M177" i="269" s="1"/>
  <c r="BE167" i="312"/>
  <c r="BV167" i="312"/>
  <c r="BX167" i="312"/>
  <c r="BY167" i="312"/>
  <c r="CC167" i="312" s="1"/>
  <c r="BZ167" i="312"/>
  <c r="CA167" i="312"/>
  <c r="CB167" i="312"/>
  <c r="BB168" i="312"/>
  <c r="BC168" i="312"/>
  <c r="M178" i="269"/>
  <c r="N178" i="269" s="1"/>
  <c r="BE168" i="312"/>
  <c r="BV168" i="312"/>
  <c r="BX168" i="312"/>
  <c r="BY168" i="312"/>
  <c r="CC168" i="312"/>
  <c r="CD168" i="312" s="1"/>
  <c r="BZ168" i="312"/>
  <c r="CA168" i="312"/>
  <c r="CB168" i="312"/>
  <c r="BB169" i="312"/>
  <c r="BC169" i="312"/>
  <c r="BE169" i="312"/>
  <c r="BV169" i="312"/>
  <c r="BX169" i="312"/>
  <c r="BY169" i="312"/>
  <c r="CC169" i="312" s="1"/>
  <c r="BZ169" i="312"/>
  <c r="CA169" i="312"/>
  <c r="CB169" i="312"/>
  <c r="BB170" i="312"/>
  <c r="BC170" i="312"/>
  <c r="M180" i="269"/>
  <c r="BE170" i="312"/>
  <c r="BV170" i="312"/>
  <c r="BX170" i="312"/>
  <c r="BY170" i="312"/>
  <c r="CC170" i="312"/>
  <c r="BZ170" i="312"/>
  <c r="CA170" i="312"/>
  <c r="CB170" i="312"/>
  <c r="BB171" i="312"/>
  <c r="BC171" i="312"/>
  <c r="M181" i="269" s="1"/>
  <c r="N181" i="269" s="1"/>
  <c r="BE171" i="312"/>
  <c r="BV171" i="312"/>
  <c r="BX171" i="312"/>
  <c r="BY171" i="312"/>
  <c r="CC171" i="312"/>
  <c r="BZ171" i="312"/>
  <c r="CA171" i="312"/>
  <c r="CB171" i="312"/>
  <c r="BB172" i="312"/>
  <c r="BC172" i="312"/>
  <c r="M182" i="269" s="1"/>
  <c r="BE172" i="312"/>
  <c r="BV172" i="312"/>
  <c r="BX172" i="312"/>
  <c r="BY172" i="312"/>
  <c r="CC172" i="312"/>
  <c r="BZ172" i="312"/>
  <c r="CA172" i="312"/>
  <c r="CB172" i="312"/>
  <c r="BB173" i="312"/>
  <c r="BC173" i="312"/>
  <c r="M183" i="269" s="1"/>
  <c r="N183" i="269" s="1"/>
  <c r="BE173" i="312"/>
  <c r="BV173" i="312"/>
  <c r="BX173" i="312"/>
  <c r="BY173" i="312"/>
  <c r="CC173" i="312" s="1"/>
  <c r="BZ173" i="312"/>
  <c r="CA173" i="312"/>
  <c r="CB173" i="312"/>
  <c r="CL173" i="312"/>
  <c r="CP173" i="312" s="1"/>
  <c r="CM173" i="312"/>
  <c r="CN173" i="312"/>
  <c r="CO173" i="312"/>
  <c r="CW173" i="312"/>
  <c r="CX173" i="312"/>
  <c r="G174" i="312"/>
  <c r="H174" i="312"/>
  <c r="I174" i="312"/>
  <c r="J174" i="312"/>
  <c r="K174" i="312"/>
  <c r="L174" i="312"/>
  <c r="M174" i="312"/>
  <c r="N174" i="312"/>
  <c r="O174" i="312"/>
  <c r="P174" i="312"/>
  <c r="Q174" i="312"/>
  <c r="R174" i="312"/>
  <c r="S174" i="312"/>
  <c r="T174" i="312"/>
  <c r="U174" i="312"/>
  <c r="V174" i="312"/>
  <c r="W174" i="312"/>
  <c r="X174" i="312"/>
  <c r="Y174" i="312"/>
  <c r="Z174" i="312"/>
  <c r="AA174" i="312"/>
  <c r="AB174" i="312"/>
  <c r="AC174" i="312"/>
  <c r="AD174" i="312"/>
  <c r="AE174" i="312"/>
  <c r="AF174" i="312"/>
  <c r="AG174" i="312"/>
  <c r="AH174" i="312"/>
  <c r="AI174" i="312"/>
  <c r="AJ174" i="312"/>
  <c r="AK174" i="312"/>
  <c r="AL174" i="312"/>
  <c r="AM174" i="312"/>
  <c r="AQ174" i="312"/>
  <c r="AR174" i="312"/>
  <c r="AS174" i="312"/>
  <c r="AU174" i="312"/>
  <c r="AV174" i="312"/>
  <c r="AW174" i="312"/>
  <c r="AX174" i="312"/>
  <c r="AY174" i="312"/>
  <c r="AZ174" i="312"/>
  <c r="BA174" i="312"/>
  <c r="BG174" i="312"/>
  <c r="BH174" i="312"/>
  <c r="BI174" i="312"/>
  <c r="BJ174" i="312"/>
  <c r="BM174" i="312"/>
  <c r="BN174" i="312"/>
  <c r="BP174" i="312"/>
  <c r="BQ174" i="312"/>
  <c r="BR174" i="312"/>
  <c r="BS174" i="312"/>
  <c r="BU174" i="312"/>
  <c r="CW174" i="312" s="1"/>
  <c r="BW174" i="312"/>
  <c r="BY174" i="312"/>
  <c r="BB175" i="312"/>
  <c r="BC175" i="312"/>
  <c r="M184" i="269" s="1"/>
  <c r="N184" i="269" s="1"/>
  <c r="BE175" i="312"/>
  <c r="BV175" i="312"/>
  <c r="BX175" i="312"/>
  <c r="BY175" i="312"/>
  <c r="BZ175" i="312"/>
  <c r="BZ313" i="312" s="1"/>
  <c r="CA175" i="312"/>
  <c r="CB175" i="312"/>
  <c r="CL175" i="312"/>
  <c r="CP175" i="312" s="1"/>
  <c r="CM175" i="312"/>
  <c r="CN175" i="312"/>
  <c r="CO175" i="312"/>
  <c r="CW175" i="312"/>
  <c r="CY175" i="312" s="1"/>
  <c r="CX175" i="312"/>
  <c r="BB176" i="312"/>
  <c r="BC176" i="312"/>
  <c r="M185" i="269" s="1"/>
  <c r="N185" i="269" s="1"/>
  <c r="BE176" i="312"/>
  <c r="BV176" i="312"/>
  <c r="BX176" i="312"/>
  <c r="BY176" i="312"/>
  <c r="BZ176" i="312"/>
  <c r="CA176" i="312"/>
  <c r="CB176" i="312"/>
  <c r="CC176" i="312"/>
  <c r="CL176" i="312"/>
  <c r="CP176" i="312"/>
  <c r="CM176" i="312"/>
  <c r="CN176" i="312"/>
  <c r="CO176" i="312"/>
  <c r="CW176" i="312"/>
  <c r="CX176" i="312"/>
  <c r="BB177" i="312"/>
  <c r="BC177" i="312"/>
  <c r="BE177" i="312"/>
  <c r="BV177" i="312"/>
  <c r="BX177" i="312"/>
  <c r="BY177" i="312"/>
  <c r="BZ177" i="312"/>
  <c r="CA177" i="312"/>
  <c r="CB177" i="312"/>
  <c r="CC177" i="312"/>
  <c r="CL177" i="312"/>
  <c r="CP177" i="312" s="1"/>
  <c r="CM177" i="312"/>
  <c r="CN177" i="312"/>
  <c r="CO177" i="312"/>
  <c r="CO498" i="312" s="1"/>
  <c r="CW177" i="312"/>
  <c r="CY177" i="312" s="1"/>
  <c r="CX177" i="312"/>
  <c r="BB178" i="312"/>
  <c r="BF178" i="312" s="1"/>
  <c r="BT178" i="312" s="1"/>
  <c r="BC178" i="312"/>
  <c r="BE178" i="312"/>
  <c r="BV178" i="312"/>
  <c r="BX178" i="312"/>
  <c r="BY178" i="312"/>
  <c r="BZ178" i="312"/>
  <c r="CA178" i="312"/>
  <c r="CB178" i="312"/>
  <c r="CC178" i="312"/>
  <c r="CL178" i="312"/>
  <c r="CP178" i="312" s="1"/>
  <c r="CM178" i="312"/>
  <c r="CN178" i="312"/>
  <c r="CO178" i="312"/>
  <c r="CW178" i="312"/>
  <c r="CX178" i="312"/>
  <c r="CY178" i="312" s="1"/>
  <c r="BB179" i="312"/>
  <c r="BC179" i="312"/>
  <c r="BE179" i="312"/>
  <c r="BV179" i="312"/>
  <c r="BX179" i="312"/>
  <c r="BY179" i="312"/>
  <c r="BZ179" i="312"/>
  <c r="CA179" i="312"/>
  <c r="CB179" i="312"/>
  <c r="CC179" i="312"/>
  <c r="CL179" i="312"/>
  <c r="CP179" i="312" s="1"/>
  <c r="CM179" i="312"/>
  <c r="CN179" i="312"/>
  <c r="CO179" i="312"/>
  <c r="CW179" i="312"/>
  <c r="CX179" i="312"/>
  <c r="BB180" i="312"/>
  <c r="BC180" i="312"/>
  <c r="BE180" i="312"/>
  <c r="BV180" i="312"/>
  <c r="BX180" i="312"/>
  <c r="BY180" i="312"/>
  <c r="CC180" i="312" s="1"/>
  <c r="BZ180" i="312"/>
  <c r="CA180" i="312"/>
  <c r="CB180" i="312"/>
  <c r="CL180" i="312"/>
  <c r="CP180" i="312" s="1"/>
  <c r="CM180" i="312"/>
  <c r="CN180" i="312"/>
  <c r="CO180" i="312"/>
  <c r="CW180" i="312"/>
  <c r="CY180" i="312" s="1"/>
  <c r="CX180" i="312"/>
  <c r="BB181" i="312"/>
  <c r="BL181" i="312" s="1"/>
  <c r="BC181" i="312"/>
  <c r="M190" i="269" s="1"/>
  <c r="BE181" i="312"/>
  <c r="BV181" i="312"/>
  <c r="BX181" i="312"/>
  <c r="BY181" i="312"/>
  <c r="CC181" i="312" s="1"/>
  <c r="BZ181" i="312"/>
  <c r="CA181" i="312"/>
  <c r="CB181" i="312"/>
  <c r="CL181" i="312"/>
  <c r="CM181" i="312"/>
  <c r="CN181" i="312"/>
  <c r="CO181" i="312"/>
  <c r="CP181" i="312"/>
  <c r="CW181" i="312"/>
  <c r="CX181" i="312"/>
  <c r="BB182" i="312"/>
  <c r="BC182" i="312"/>
  <c r="BE182" i="312"/>
  <c r="BV182" i="312"/>
  <c r="BX182" i="312"/>
  <c r="BY182" i="312"/>
  <c r="CC182" i="312"/>
  <c r="BZ182" i="312"/>
  <c r="CA182" i="312"/>
  <c r="CB182" i="312"/>
  <c r="CL182" i="312"/>
  <c r="CP182" i="312" s="1"/>
  <c r="CQ182" i="312" s="1"/>
  <c r="CM182" i="312"/>
  <c r="CN182" i="312"/>
  <c r="CO182" i="312"/>
  <c r="CW182" i="312"/>
  <c r="CX182" i="312"/>
  <c r="BB183" i="312"/>
  <c r="BL183" i="312" s="1"/>
  <c r="BC183" i="312"/>
  <c r="M192" i="269" s="1"/>
  <c r="BE183" i="312"/>
  <c r="BV183" i="312"/>
  <c r="BX183" i="312"/>
  <c r="BY183" i="312"/>
  <c r="BZ183" i="312"/>
  <c r="CA183" i="312"/>
  <c r="CB183" i="312"/>
  <c r="CC183" i="312"/>
  <c r="CL183" i="312"/>
  <c r="CP183" i="312" s="1"/>
  <c r="CM183" i="312"/>
  <c r="CN183" i="312"/>
  <c r="CO183" i="312"/>
  <c r="CW183" i="312"/>
  <c r="CX183" i="312"/>
  <c r="BB184" i="312"/>
  <c r="BC184" i="312"/>
  <c r="M193" i="269" s="1"/>
  <c r="N193" i="269" s="1"/>
  <c r="BE184" i="312"/>
  <c r="BV184" i="312"/>
  <c r="BX184" i="312"/>
  <c r="BY184" i="312"/>
  <c r="BZ184" i="312"/>
  <c r="CA184" i="312"/>
  <c r="CB184" i="312"/>
  <c r="CC184" i="312"/>
  <c r="CL184" i="312"/>
  <c r="CP184" i="312"/>
  <c r="CM184" i="312"/>
  <c r="CN184" i="312"/>
  <c r="CO184" i="312"/>
  <c r="CW184" i="312"/>
  <c r="CY184" i="312" s="1"/>
  <c r="CX184" i="312"/>
  <c r="BB185" i="312"/>
  <c r="BC185" i="312"/>
  <c r="M194" i="269" s="1"/>
  <c r="N194" i="269" s="1"/>
  <c r="BE185" i="312"/>
  <c r="BV185" i="312"/>
  <c r="BX185" i="312"/>
  <c r="BY185" i="312"/>
  <c r="BZ185" i="312"/>
  <c r="CA185" i="312"/>
  <c r="CB185" i="312"/>
  <c r="CC185" i="312"/>
  <c r="CL185" i="312"/>
  <c r="CP185" i="312" s="1"/>
  <c r="CM185" i="312"/>
  <c r="CN185" i="312"/>
  <c r="CO185" i="312"/>
  <c r="CW185" i="312"/>
  <c r="CY185" i="312" s="1"/>
  <c r="CX185" i="312"/>
  <c r="BB186" i="312"/>
  <c r="BL186" i="312"/>
  <c r="BC186" i="312"/>
  <c r="BE186" i="312"/>
  <c r="BV186" i="312"/>
  <c r="BX186" i="312"/>
  <c r="BY186" i="312"/>
  <c r="CC186" i="312" s="1"/>
  <c r="BZ186" i="312"/>
  <c r="CA186" i="312"/>
  <c r="CB186" i="312"/>
  <c r="CL186" i="312"/>
  <c r="CP186" i="312" s="1"/>
  <c r="CM186" i="312"/>
  <c r="CN186" i="312"/>
  <c r="CO186" i="312"/>
  <c r="CW186" i="312"/>
  <c r="CX186" i="312"/>
  <c r="BB187" i="312"/>
  <c r="BC187" i="312"/>
  <c r="M196" i="269" s="1"/>
  <c r="N196" i="269" s="1"/>
  <c r="BE187" i="312"/>
  <c r="BV187" i="312"/>
  <c r="BX187" i="312"/>
  <c r="BY187" i="312"/>
  <c r="CC187" i="312" s="1"/>
  <c r="BZ187" i="312"/>
  <c r="CA187" i="312"/>
  <c r="CB187" i="312"/>
  <c r="CL187" i="312"/>
  <c r="CM187" i="312"/>
  <c r="CN187" i="312"/>
  <c r="CO187" i="312"/>
  <c r="CP187" i="312"/>
  <c r="CW187" i="312"/>
  <c r="CX187" i="312"/>
  <c r="BB188" i="312"/>
  <c r="BC188" i="312"/>
  <c r="BE188" i="312"/>
  <c r="BV188" i="312"/>
  <c r="BX188" i="312"/>
  <c r="BY188" i="312"/>
  <c r="CC188" i="312"/>
  <c r="BZ188" i="312"/>
  <c r="CA188" i="312"/>
  <c r="CB188" i="312"/>
  <c r="CL188" i="312"/>
  <c r="CM188" i="312"/>
  <c r="CN188" i="312"/>
  <c r="CO188" i="312"/>
  <c r="CP188" i="312"/>
  <c r="CW188" i="312"/>
  <c r="CY188" i="312" s="1"/>
  <c r="CX188" i="312"/>
  <c r="BB189" i="312"/>
  <c r="BC189" i="312"/>
  <c r="BE189" i="312"/>
  <c r="BV189" i="312"/>
  <c r="BX189" i="312"/>
  <c r="BY189" i="312"/>
  <c r="CC189" i="312" s="1"/>
  <c r="CD189" i="312" s="1"/>
  <c r="BZ189" i="312"/>
  <c r="CA189" i="312"/>
  <c r="CB189" i="312"/>
  <c r="CL189" i="312"/>
  <c r="CP189" i="312" s="1"/>
  <c r="CM189" i="312"/>
  <c r="CN189" i="312"/>
  <c r="CO189" i="312"/>
  <c r="CW189" i="312"/>
  <c r="CX189" i="312"/>
  <c r="BB190" i="312"/>
  <c r="BL190" i="312" s="1"/>
  <c r="BC190" i="312"/>
  <c r="BE190" i="312"/>
  <c r="BV190" i="312"/>
  <c r="BX190" i="312"/>
  <c r="BY190" i="312"/>
  <c r="CC190" i="312"/>
  <c r="BZ190" i="312"/>
  <c r="CA190" i="312"/>
  <c r="CB190" i="312"/>
  <c r="CL190" i="312"/>
  <c r="CM190" i="312"/>
  <c r="CN190" i="312"/>
  <c r="CO190" i="312"/>
  <c r="CP190" i="312"/>
  <c r="CW190" i="312"/>
  <c r="CX190" i="312"/>
  <c r="BB191" i="312"/>
  <c r="BC191" i="312"/>
  <c r="BE191" i="312"/>
  <c r="BV191" i="312"/>
  <c r="BX191" i="312"/>
  <c r="BY191" i="312"/>
  <c r="BZ191" i="312"/>
  <c r="CA191" i="312"/>
  <c r="CB191" i="312"/>
  <c r="CC191" i="312"/>
  <c r="CL191" i="312"/>
  <c r="CM191" i="312"/>
  <c r="CN191" i="312"/>
  <c r="CO191" i="312"/>
  <c r="CP191" i="312"/>
  <c r="CW191" i="312"/>
  <c r="CX191" i="312"/>
  <c r="BB192" i="312"/>
  <c r="BC192" i="312"/>
  <c r="M201" i="269" s="1"/>
  <c r="BE192" i="312"/>
  <c r="BV192" i="312"/>
  <c r="BX192" i="312"/>
  <c r="BY192" i="312"/>
  <c r="BZ192" i="312"/>
  <c r="CA192" i="312"/>
  <c r="CB192" i="312"/>
  <c r="CC192" i="312"/>
  <c r="CL192" i="312"/>
  <c r="CP192" i="312"/>
  <c r="CQ192" i="312" s="1"/>
  <c r="CM192" i="312"/>
  <c r="CN192" i="312"/>
  <c r="CO192" i="312"/>
  <c r="CW192" i="312"/>
  <c r="CY192" i="312" s="1"/>
  <c r="CX192" i="312"/>
  <c r="BB193" i="312"/>
  <c r="BC193" i="312"/>
  <c r="M202" i="269" s="1"/>
  <c r="BE193" i="312"/>
  <c r="BV193" i="312"/>
  <c r="BX193" i="312"/>
  <c r="BY193" i="312"/>
  <c r="BZ193" i="312"/>
  <c r="CA193" i="312"/>
  <c r="CB193" i="312"/>
  <c r="CC193" i="312"/>
  <c r="CL193" i="312"/>
  <c r="CP193" i="312"/>
  <c r="CM193" i="312"/>
  <c r="CN193" i="312"/>
  <c r="CO193" i="312"/>
  <c r="CW193" i="312"/>
  <c r="CY193" i="312" s="1"/>
  <c r="CX193" i="312"/>
  <c r="BB194" i="312"/>
  <c r="BC194" i="312"/>
  <c r="BL194" i="312" s="1"/>
  <c r="BE194" i="312"/>
  <c r="BV194" i="312"/>
  <c r="BX194" i="312"/>
  <c r="BY194" i="312"/>
  <c r="BZ194" i="312"/>
  <c r="CA194" i="312"/>
  <c r="CB194" i="312"/>
  <c r="CC194" i="312"/>
  <c r="CD194" i="312" s="1"/>
  <c r="CL194" i="312"/>
  <c r="CP194" i="312" s="1"/>
  <c r="CM194" i="312"/>
  <c r="CN194" i="312"/>
  <c r="CO194" i="312"/>
  <c r="CW194" i="312"/>
  <c r="CX194" i="312"/>
  <c r="BB195" i="312"/>
  <c r="BC195" i="312"/>
  <c r="BE195" i="312"/>
  <c r="BV195" i="312"/>
  <c r="BX195" i="312"/>
  <c r="BY195" i="312"/>
  <c r="CC195" i="312" s="1"/>
  <c r="BZ195" i="312"/>
  <c r="CA195" i="312"/>
  <c r="CB195" i="312"/>
  <c r="CL195" i="312"/>
  <c r="CP195" i="312"/>
  <c r="CM195" i="312"/>
  <c r="CN195" i="312"/>
  <c r="CO195" i="312"/>
  <c r="CW195" i="312"/>
  <c r="CX195" i="312"/>
  <c r="BB196" i="312"/>
  <c r="BC196" i="312"/>
  <c r="M205" i="269"/>
  <c r="BE196" i="312"/>
  <c r="BV196" i="312"/>
  <c r="BX196" i="312"/>
  <c r="BY196" i="312"/>
  <c r="CC196" i="312" s="1"/>
  <c r="BZ196" i="312"/>
  <c r="CA196" i="312"/>
  <c r="CB196" i="312"/>
  <c r="CL196" i="312"/>
  <c r="CP196" i="312" s="1"/>
  <c r="CM196" i="312"/>
  <c r="CN196" i="312"/>
  <c r="CO196" i="312"/>
  <c r="CW196" i="312"/>
  <c r="CY196" i="312" s="1"/>
  <c r="CX196" i="312"/>
  <c r="BB197" i="312"/>
  <c r="BC197" i="312"/>
  <c r="M206" i="269"/>
  <c r="N206" i="269" s="1"/>
  <c r="BE197" i="312"/>
  <c r="BV197" i="312"/>
  <c r="BX197" i="312"/>
  <c r="BY197" i="312"/>
  <c r="CC197" i="312" s="1"/>
  <c r="BZ197" i="312"/>
  <c r="CA197" i="312"/>
  <c r="CB197" i="312"/>
  <c r="CL197" i="312"/>
  <c r="CP197" i="312"/>
  <c r="CQ197" i="312" s="1"/>
  <c r="CM197" i="312"/>
  <c r="CN197" i="312"/>
  <c r="CO197" i="312"/>
  <c r="CW197" i="312"/>
  <c r="CX197" i="312"/>
  <c r="BB198" i="312"/>
  <c r="BC198" i="312"/>
  <c r="M207" i="269" s="1"/>
  <c r="N207" i="269" s="1"/>
  <c r="BE198" i="312"/>
  <c r="BV198" i="312"/>
  <c r="BX198" i="312"/>
  <c r="BY198" i="312"/>
  <c r="CC198" i="312" s="1"/>
  <c r="BZ198" i="312"/>
  <c r="CA198" i="312"/>
  <c r="CB198" i="312"/>
  <c r="CL198" i="312"/>
  <c r="CP198" i="312" s="1"/>
  <c r="CQ198" i="312" s="1"/>
  <c r="CM198" i="312"/>
  <c r="CN198" i="312"/>
  <c r="CO198" i="312"/>
  <c r="CW198" i="312"/>
  <c r="CX198" i="312"/>
  <c r="BB199" i="312"/>
  <c r="BC199" i="312"/>
  <c r="BE199" i="312"/>
  <c r="BV199" i="312"/>
  <c r="BX199" i="312"/>
  <c r="BY199" i="312"/>
  <c r="BZ199" i="312"/>
  <c r="CA199" i="312"/>
  <c r="CB199" i="312"/>
  <c r="CC199" i="312"/>
  <c r="CL199" i="312"/>
  <c r="CP199" i="312" s="1"/>
  <c r="CM199" i="312"/>
  <c r="CN199" i="312"/>
  <c r="CO199" i="312"/>
  <c r="CW199" i="312"/>
  <c r="CX199" i="312"/>
  <c r="BB200" i="312"/>
  <c r="CD200" i="312" s="1"/>
  <c r="BC200" i="312"/>
  <c r="M209" i="269" s="1"/>
  <c r="BE200" i="312"/>
  <c r="BV200" i="312"/>
  <c r="BX200" i="312"/>
  <c r="BY200" i="312"/>
  <c r="BZ200" i="312"/>
  <c r="CA200" i="312"/>
  <c r="CB200" i="312"/>
  <c r="CC200" i="312"/>
  <c r="CL200" i="312"/>
  <c r="CM200" i="312"/>
  <c r="CN200" i="312"/>
  <c r="CO200" i="312"/>
  <c r="CP200" i="312"/>
  <c r="CW200" i="312"/>
  <c r="CY200" i="312" s="1"/>
  <c r="CX200" i="312"/>
  <c r="BB201" i="312"/>
  <c r="BC201" i="312"/>
  <c r="BE201" i="312"/>
  <c r="BV201" i="312"/>
  <c r="BX201" i="312"/>
  <c r="BY201" i="312"/>
  <c r="CC201" i="312" s="1"/>
  <c r="BZ201" i="312"/>
  <c r="CA201" i="312"/>
  <c r="CB201" i="312"/>
  <c r="CL201" i="312"/>
  <c r="CM201" i="312"/>
  <c r="CN201" i="312"/>
  <c r="CO201" i="312"/>
  <c r="CP201" i="312"/>
  <c r="CW201" i="312"/>
  <c r="CX201" i="312"/>
  <c r="BB202" i="312"/>
  <c r="BC202" i="312"/>
  <c r="M211" i="269" s="1"/>
  <c r="BE202" i="312"/>
  <c r="BV202" i="312"/>
  <c r="BX202" i="312"/>
  <c r="BY202" i="312"/>
  <c r="CC202" i="312" s="1"/>
  <c r="BZ202" i="312"/>
  <c r="CA202" i="312"/>
  <c r="CB202" i="312"/>
  <c r="CL202" i="312"/>
  <c r="CP202" i="312" s="1"/>
  <c r="CM202" i="312"/>
  <c r="CN202" i="312"/>
  <c r="CO202" i="312"/>
  <c r="CW202" i="312"/>
  <c r="CX202" i="312"/>
  <c r="BB203" i="312"/>
  <c r="BC203" i="312"/>
  <c r="BE203" i="312"/>
  <c r="BV203" i="312"/>
  <c r="BX203" i="312"/>
  <c r="BY203" i="312"/>
  <c r="CC203" i="312" s="1"/>
  <c r="BZ203" i="312"/>
  <c r="CA203" i="312"/>
  <c r="CB203" i="312"/>
  <c r="CL203" i="312"/>
  <c r="CP203" i="312" s="1"/>
  <c r="CM203" i="312"/>
  <c r="CN203" i="312"/>
  <c r="CO203" i="312"/>
  <c r="CW203" i="312"/>
  <c r="CX203" i="312"/>
  <c r="BB204" i="312"/>
  <c r="CD204" i="312" s="1"/>
  <c r="BC204" i="312"/>
  <c r="BE204" i="312"/>
  <c r="BV204" i="312"/>
  <c r="BX204" i="312"/>
  <c r="BY204" i="312"/>
  <c r="BZ204" i="312"/>
  <c r="CA204" i="312"/>
  <c r="CB204" i="312"/>
  <c r="CC204" i="312"/>
  <c r="CL204" i="312"/>
  <c r="CP204" i="312"/>
  <c r="CQ204" i="312" s="1"/>
  <c r="CM204" i="312"/>
  <c r="CN204" i="312"/>
  <c r="CO204" i="312"/>
  <c r="CW204" i="312"/>
  <c r="CY204" i="312" s="1"/>
  <c r="CX204" i="312"/>
  <c r="BB205" i="312"/>
  <c r="BC205" i="312"/>
  <c r="BE205" i="312"/>
  <c r="BV205" i="312"/>
  <c r="BX205" i="312"/>
  <c r="BY205" i="312"/>
  <c r="CC205" i="312" s="1"/>
  <c r="BZ205" i="312"/>
  <c r="CA205" i="312"/>
  <c r="CB205" i="312"/>
  <c r="CL205" i="312"/>
  <c r="CP205" i="312" s="1"/>
  <c r="CQ205" i="312" s="1"/>
  <c r="CM205" i="312"/>
  <c r="CN205" i="312"/>
  <c r="CO205" i="312"/>
  <c r="CW205" i="312"/>
  <c r="CX205" i="312"/>
  <c r="BB206" i="312"/>
  <c r="BC206" i="312"/>
  <c r="BE206" i="312"/>
  <c r="BV206" i="312"/>
  <c r="BX206" i="312"/>
  <c r="BY206" i="312"/>
  <c r="CC206" i="312" s="1"/>
  <c r="BZ206" i="312"/>
  <c r="CA206" i="312"/>
  <c r="CB206" i="312"/>
  <c r="CL206" i="312"/>
  <c r="CM206" i="312"/>
  <c r="CN206" i="312"/>
  <c r="CO206" i="312"/>
  <c r="CP206" i="312"/>
  <c r="CW206" i="312"/>
  <c r="CX206" i="312"/>
  <c r="BB207" i="312"/>
  <c r="BC207" i="312"/>
  <c r="BE207" i="312"/>
  <c r="BV207" i="312"/>
  <c r="BX207" i="312"/>
  <c r="BY207" i="312"/>
  <c r="CC207" i="312" s="1"/>
  <c r="BZ207" i="312"/>
  <c r="CA207" i="312"/>
  <c r="CB207" i="312"/>
  <c r="CL207" i="312"/>
  <c r="CP207" i="312"/>
  <c r="CQ207" i="312" s="1"/>
  <c r="CM207" i="312"/>
  <c r="CN207" i="312"/>
  <c r="CO207" i="312"/>
  <c r="CW207" i="312"/>
  <c r="CX207" i="312"/>
  <c r="BB208" i="312"/>
  <c r="BC208" i="312"/>
  <c r="BE208" i="312"/>
  <c r="BV208" i="312"/>
  <c r="BX208" i="312"/>
  <c r="BY208" i="312"/>
  <c r="CC208" i="312" s="1"/>
  <c r="BZ208" i="312"/>
  <c r="CA208" i="312"/>
  <c r="CB208" i="312"/>
  <c r="CL208" i="312"/>
  <c r="CP208" i="312" s="1"/>
  <c r="CM208" i="312"/>
  <c r="CN208" i="312"/>
  <c r="CO208" i="312"/>
  <c r="CW208" i="312"/>
  <c r="CX208" i="312"/>
  <c r="BB209" i="312"/>
  <c r="BC209" i="312"/>
  <c r="BE209" i="312"/>
  <c r="BV209" i="312"/>
  <c r="BX209" i="312"/>
  <c r="BY209" i="312"/>
  <c r="CC209" i="312" s="1"/>
  <c r="CD209" i="312" s="1"/>
  <c r="BZ209" i="312"/>
  <c r="CA209" i="312"/>
  <c r="CB209" i="312"/>
  <c r="CL209" i="312"/>
  <c r="CP209" i="312" s="1"/>
  <c r="CM209" i="312"/>
  <c r="CN209" i="312"/>
  <c r="CO209" i="312"/>
  <c r="CW209" i="312"/>
  <c r="CX209" i="312"/>
  <c r="BB210" i="312"/>
  <c r="BC210" i="312"/>
  <c r="M219" i="269" s="1"/>
  <c r="BE210" i="312"/>
  <c r="BV210" i="312"/>
  <c r="BX210" i="312"/>
  <c r="BY210" i="312"/>
  <c r="CC210" i="312" s="1"/>
  <c r="BZ210" i="312"/>
  <c r="CA210" i="312"/>
  <c r="CB210" i="312"/>
  <c r="CL210" i="312"/>
  <c r="CP210" i="312" s="1"/>
  <c r="CM210" i="312"/>
  <c r="CN210" i="312"/>
  <c r="CO210" i="312"/>
  <c r="CW210" i="312"/>
  <c r="CX210" i="312"/>
  <c r="CY210" i="312"/>
  <c r="BB211" i="312"/>
  <c r="BC211" i="312"/>
  <c r="BE211" i="312"/>
  <c r="BV211" i="312"/>
  <c r="BX211" i="312"/>
  <c r="BY211" i="312"/>
  <c r="CC211" i="312" s="1"/>
  <c r="CD211" i="312" s="1"/>
  <c r="BZ211" i="312"/>
  <c r="CA211" i="312"/>
  <c r="CB211" i="312"/>
  <c r="CL211" i="312"/>
  <c r="CP211" i="312" s="1"/>
  <c r="CM211" i="312"/>
  <c r="CN211" i="312"/>
  <c r="CO211" i="312"/>
  <c r="CW211" i="312"/>
  <c r="CX211" i="312"/>
  <c r="BB212" i="312"/>
  <c r="BC212" i="312"/>
  <c r="BE212" i="312"/>
  <c r="BV212" i="312"/>
  <c r="BX212" i="312"/>
  <c r="BY212" i="312"/>
  <c r="CC212" i="312" s="1"/>
  <c r="BZ212" i="312"/>
  <c r="CA212" i="312"/>
  <c r="CB212" i="312"/>
  <c r="CL212" i="312"/>
  <c r="CP212" i="312"/>
  <c r="CM212" i="312"/>
  <c r="CN212" i="312"/>
  <c r="CO212" i="312"/>
  <c r="CW212" i="312"/>
  <c r="CX212" i="312"/>
  <c r="BB213" i="312"/>
  <c r="BC213" i="312"/>
  <c r="BE213" i="312"/>
  <c r="BV213" i="312"/>
  <c r="BX213" i="312"/>
  <c r="BY213" i="312"/>
  <c r="CC213" i="312" s="1"/>
  <c r="BZ213" i="312"/>
  <c r="CA213" i="312"/>
  <c r="CB213" i="312"/>
  <c r="CL213" i="312"/>
  <c r="CP213" i="312" s="1"/>
  <c r="CQ213" i="312" s="1"/>
  <c r="CM213" i="312"/>
  <c r="CN213" i="312"/>
  <c r="CO213" i="312"/>
  <c r="CW213" i="312"/>
  <c r="CY213" i="312" s="1"/>
  <c r="CX213" i="312"/>
  <c r="BB214" i="312"/>
  <c r="BC214" i="312"/>
  <c r="M223" i="269" s="1"/>
  <c r="BE214" i="312"/>
  <c r="BV214" i="312"/>
  <c r="BX214" i="312"/>
  <c r="BY214" i="312"/>
  <c r="CC214" i="312" s="1"/>
  <c r="BZ214" i="312"/>
  <c r="CA214" i="312"/>
  <c r="CB214" i="312"/>
  <c r="CL214" i="312"/>
  <c r="CM214" i="312"/>
  <c r="CN214" i="312"/>
  <c r="CO214" i="312"/>
  <c r="CP214" i="312"/>
  <c r="CW214" i="312"/>
  <c r="CY214" i="312" s="1"/>
  <c r="CX214" i="312"/>
  <c r="BB215" i="312"/>
  <c r="BC215" i="312"/>
  <c r="BE215" i="312"/>
  <c r="BV215" i="312"/>
  <c r="BX215" i="312"/>
  <c r="BY215" i="312"/>
  <c r="BZ215" i="312"/>
  <c r="CA215" i="312"/>
  <c r="CB215" i="312"/>
  <c r="CC215" i="312"/>
  <c r="CL215" i="312"/>
  <c r="CP215" i="312" s="1"/>
  <c r="CM215" i="312"/>
  <c r="CN215" i="312"/>
  <c r="CO215" i="312"/>
  <c r="CW215" i="312"/>
  <c r="CX215" i="312"/>
  <c r="BB216" i="312"/>
  <c r="BC216" i="312"/>
  <c r="M225" i="269" s="1"/>
  <c r="N225" i="269" s="1"/>
  <c r="BE216" i="312"/>
  <c r="BV216" i="312"/>
  <c r="BX216" i="312"/>
  <c r="BY216" i="312"/>
  <c r="BZ216" i="312"/>
  <c r="CA216" i="312"/>
  <c r="CB216" i="312"/>
  <c r="CC216" i="312"/>
  <c r="CL216" i="312"/>
  <c r="CM216" i="312"/>
  <c r="CN216" i="312"/>
  <c r="CO216" i="312"/>
  <c r="CP216" i="312"/>
  <c r="CW216" i="312"/>
  <c r="CX216" i="312"/>
  <c r="BB217" i="312"/>
  <c r="BC217" i="312"/>
  <c r="M226" i="269" s="1"/>
  <c r="N226" i="269" s="1"/>
  <c r="BE217" i="312"/>
  <c r="BV217" i="312"/>
  <c r="BX217" i="312"/>
  <c r="BY217" i="312"/>
  <c r="CC217" i="312" s="1"/>
  <c r="BZ217" i="312"/>
  <c r="CA217" i="312"/>
  <c r="CB217" i="312"/>
  <c r="CL217" i="312"/>
  <c r="CP217" i="312" s="1"/>
  <c r="CM217" i="312"/>
  <c r="CN217" i="312"/>
  <c r="CO217" i="312"/>
  <c r="CW217" i="312"/>
  <c r="CX217" i="312"/>
  <c r="CY217" i="312" s="1"/>
  <c r="BB218" i="312"/>
  <c r="BC218" i="312"/>
  <c r="M227" i="269"/>
  <c r="N227" i="269" s="1"/>
  <c r="BE218" i="312"/>
  <c r="BV218" i="312"/>
  <c r="BX218" i="312"/>
  <c r="BY218" i="312"/>
  <c r="CC218" i="312" s="1"/>
  <c r="BZ218" i="312"/>
  <c r="CA218" i="312"/>
  <c r="CB218" i="312"/>
  <c r="CL218" i="312"/>
  <c r="CP218" i="312" s="1"/>
  <c r="CM218" i="312"/>
  <c r="CN218" i="312"/>
  <c r="CO218" i="312"/>
  <c r="CW218" i="312"/>
  <c r="CX218" i="312"/>
  <c r="BB219" i="312"/>
  <c r="BF219" i="312" s="1"/>
  <c r="BT219" i="312" s="1"/>
  <c r="BC219" i="312"/>
  <c r="M228" i="269" s="1"/>
  <c r="N228" i="269"/>
  <c r="BE219" i="312"/>
  <c r="BV219" i="312"/>
  <c r="BX219" i="312"/>
  <c r="BY219" i="312"/>
  <c r="CC219" i="312" s="1"/>
  <c r="BZ219" i="312"/>
  <c r="CA219" i="312"/>
  <c r="CB219" i="312"/>
  <c r="BB220" i="312"/>
  <c r="BC220" i="312"/>
  <c r="M229" i="269" s="1"/>
  <c r="BE220" i="312"/>
  <c r="BV220" i="312"/>
  <c r="BX220" i="312"/>
  <c r="BY220" i="312"/>
  <c r="BZ220" i="312"/>
  <c r="CA220" i="312"/>
  <c r="CB220" i="312"/>
  <c r="CC220" i="312"/>
  <c r="BB221" i="312"/>
  <c r="BC221" i="312"/>
  <c r="M230" i="269" s="1"/>
  <c r="N230" i="269" s="1"/>
  <c r="BE221" i="312"/>
  <c r="BV221" i="312"/>
  <c r="BX221" i="312"/>
  <c r="BY221" i="312"/>
  <c r="CC221" i="312" s="1"/>
  <c r="BZ221" i="312"/>
  <c r="CA221" i="312"/>
  <c r="CB221" i="312"/>
  <c r="BB222" i="312"/>
  <c r="BC222" i="312"/>
  <c r="M231" i="269" s="1"/>
  <c r="BE222" i="312"/>
  <c r="BV222" i="312"/>
  <c r="BX222" i="312"/>
  <c r="BY222" i="312"/>
  <c r="BZ222" i="312"/>
  <c r="CA222" i="312"/>
  <c r="CB222" i="312"/>
  <c r="CC222" i="312"/>
  <c r="BB223" i="312"/>
  <c r="BC223" i="312"/>
  <c r="M232" i="269" s="1"/>
  <c r="BE223" i="312"/>
  <c r="BV223" i="312"/>
  <c r="BX223" i="312"/>
  <c r="BY223" i="312"/>
  <c r="BZ223" i="312"/>
  <c r="CA223" i="312"/>
  <c r="CB223" i="312"/>
  <c r="CC223" i="312"/>
  <c r="BB224" i="312"/>
  <c r="BC224" i="312"/>
  <c r="BE224" i="312"/>
  <c r="BV224" i="312"/>
  <c r="BX224" i="312"/>
  <c r="BY224" i="312"/>
  <c r="CC224" i="312" s="1"/>
  <c r="BZ224" i="312"/>
  <c r="CA224" i="312"/>
  <c r="CB224" i="312"/>
  <c r="BB225" i="312"/>
  <c r="BC225" i="312"/>
  <c r="M234" i="269" s="1"/>
  <c r="BE225" i="312"/>
  <c r="BV225" i="312"/>
  <c r="BX225" i="312"/>
  <c r="BY225" i="312"/>
  <c r="CC225" i="312"/>
  <c r="CD225" i="312" s="1"/>
  <c r="BZ225" i="312"/>
  <c r="CA225" i="312"/>
  <c r="CB225" i="312"/>
  <c r="BB226" i="312"/>
  <c r="BC226" i="312"/>
  <c r="M235" i="269" s="1"/>
  <c r="N235" i="269" s="1"/>
  <c r="BE226" i="312"/>
  <c r="BV226" i="312"/>
  <c r="BX226" i="312"/>
  <c r="BY226" i="312"/>
  <c r="BZ226" i="312"/>
  <c r="CA226" i="312"/>
  <c r="CB226" i="312"/>
  <c r="CC226" i="312"/>
  <c r="BB227" i="312"/>
  <c r="BC227" i="312"/>
  <c r="M236" i="269" s="1"/>
  <c r="BE227" i="312"/>
  <c r="BV227" i="312"/>
  <c r="BX227" i="312"/>
  <c r="BY227" i="312"/>
  <c r="CC227" i="312" s="1"/>
  <c r="BZ227" i="312"/>
  <c r="CA227" i="312"/>
  <c r="CB227" i="312"/>
  <c r="BB228" i="312"/>
  <c r="BC228" i="312"/>
  <c r="M237" i="269"/>
  <c r="BE228" i="312"/>
  <c r="BV228" i="312"/>
  <c r="BX228" i="312"/>
  <c r="BY228" i="312"/>
  <c r="CC228" i="312" s="1"/>
  <c r="CD228" i="312" s="1"/>
  <c r="BZ228" i="312"/>
  <c r="CA228" i="312"/>
  <c r="CB228" i="312"/>
  <c r="BB229" i="312"/>
  <c r="BC229" i="312"/>
  <c r="M238" i="269" s="1"/>
  <c r="N238" i="269" s="1"/>
  <c r="BE229" i="312"/>
  <c r="BV229" i="312"/>
  <c r="BX229" i="312"/>
  <c r="BY229" i="312"/>
  <c r="CC229" i="312"/>
  <c r="BZ229" i="312"/>
  <c r="CA229" i="312"/>
  <c r="CB229" i="312"/>
  <c r="BB230" i="312"/>
  <c r="BC230" i="312"/>
  <c r="BE230" i="312"/>
  <c r="BV230" i="312"/>
  <c r="BX230" i="312"/>
  <c r="BY230" i="312"/>
  <c r="CC230" i="312" s="1"/>
  <c r="BZ230" i="312"/>
  <c r="CA230" i="312"/>
  <c r="CB230" i="312"/>
  <c r="BB231" i="312"/>
  <c r="BC231" i="312"/>
  <c r="M240" i="269"/>
  <c r="N240" i="269" s="1"/>
  <c r="BE231" i="312"/>
  <c r="BV231" i="312"/>
  <c r="BX231" i="312"/>
  <c r="BY231" i="312"/>
  <c r="BZ231" i="312"/>
  <c r="CA231" i="312"/>
  <c r="CB231" i="312"/>
  <c r="CC231" i="312"/>
  <c r="BB232" i="312"/>
  <c r="BC232" i="312"/>
  <c r="M241" i="269"/>
  <c r="N241" i="269" s="1"/>
  <c r="BE232" i="312"/>
  <c r="BV232" i="312"/>
  <c r="BX232" i="312"/>
  <c r="BY232" i="312"/>
  <c r="CC232" i="312" s="1"/>
  <c r="BZ232" i="312"/>
  <c r="CA232" i="312"/>
  <c r="CB232" i="312"/>
  <c r="BB233" i="312"/>
  <c r="BC233" i="312"/>
  <c r="BE233" i="312"/>
  <c r="BV233" i="312"/>
  <c r="BX233" i="312"/>
  <c r="BY233" i="312"/>
  <c r="BZ233" i="312"/>
  <c r="CA233" i="312"/>
  <c r="CB233" i="312"/>
  <c r="CC233" i="312"/>
  <c r="BB234" i="312"/>
  <c r="BC234" i="312"/>
  <c r="M243" i="269" s="1"/>
  <c r="N243" i="269" s="1"/>
  <c r="BE234" i="312"/>
  <c r="BV234" i="312"/>
  <c r="BX234" i="312"/>
  <c r="BY234" i="312"/>
  <c r="BZ234" i="312"/>
  <c r="CA234" i="312"/>
  <c r="CB234" i="312"/>
  <c r="CC234" i="312"/>
  <c r="BB235" i="312"/>
  <c r="BF235" i="312" s="1"/>
  <c r="BT235" i="312" s="1"/>
  <c r="BC235" i="312"/>
  <c r="M244" i="269"/>
  <c r="N244" i="269" s="1"/>
  <c r="BE235" i="312"/>
  <c r="BV235" i="312"/>
  <c r="BX235" i="312"/>
  <c r="BY235" i="312"/>
  <c r="CC235" i="312" s="1"/>
  <c r="BZ235" i="312"/>
  <c r="CA235" i="312"/>
  <c r="CB235" i="312"/>
  <c r="BB236" i="312"/>
  <c r="BC236" i="312"/>
  <c r="M245" i="269"/>
  <c r="BE236" i="312"/>
  <c r="BV236" i="312"/>
  <c r="BX236" i="312"/>
  <c r="BY236" i="312"/>
  <c r="BZ236" i="312"/>
  <c r="CA236" i="312"/>
  <c r="CB236" i="312"/>
  <c r="CC236" i="312"/>
  <c r="BB237" i="312"/>
  <c r="BC237" i="312"/>
  <c r="M246" i="269" s="1"/>
  <c r="N246" i="269" s="1"/>
  <c r="BE237" i="312"/>
  <c r="BV237" i="312"/>
  <c r="BX237" i="312"/>
  <c r="BY237" i="312"/>
  <c r="CC237" i="312" s="1"/>
  <c r="BZ237" i="312"/>
  <c r="CA237" i="312"/>
  <c r="CB237" i="312"/>
  <c r="BB238" i="312"/>
  <c r="BL238" i="312"/>
  <c r="BC238" i="312"/>
  <c r="M247" i="269" s="1"/>
  <c r="N247" i="269" s="1"/>
  <c r="BE238" i="312"/>
  <c r="BV238" i="312"/>
  <c r="BX238" i="312"/>
  <c r="BY238" i="312"/>
  <c r="CC238" i="312"/>
  <c r="CD238" i="312" s="1"/>
  <c r="BZ238" i="312"/>
  <c r="CA238" i="312"/>
  <c r="CB238" i="312"/>
  <c r="BB239" i="312"/>
  <c r="BC239" i="312"/>
  <c r="BE239" i="312"/>
  <c r="BV239" i="312"/>
  <c r="BX239" i="312"/>
  <c r="BY239" i="312"/>
  <c r="BZ239" i="312"/>
  <c r="CA239" i="312"/>
  <c r="CB239" i="312"/>
  <c r="CC239" i="312"/>
  <c r="BB240" i="312"/>
  <c r="BC240" i="312"/>
  <c r="M249" i="269" s="1"/>
  <c r="N249" i="269" s="1"/>
  <c r="BE240" i="312"/>
  <c r="BV240" i="312"/>
  <c r="BX240" i="312"/>
  <c r="BY240" i="312"/>
  <c r="BZ240" i="312"/>
  <c r="CA240" i="312"/>
  <c r="CB240" i="312"/>
  <c r="CC240" i="312"/>
  <c r="BB241" i="312"/>
  <c r="BC241" i="312"/>
  <c r="M250" i="269" s="1"/>
  <c r="BE241" i="312"/>
  <c r="BV241" i="312"/>
  <c r="BX241" i="312"/>
  <c r="BY241" i="312"/>
  <c r="CC241" i="312" s="1"/>
  <c r="CD241" i="312" s="1"/>
  <c r="BZ241" i="312"/>
  <c r="CA241" i="312"/>
  <c r="CB241" i="312"/>
  <c r="BB242" i="312"/>
  <c r="BC242" i="312"/>
  <c r="BE242" i="312"/>
  <c r="BV242" i="312"/>
  <c r="BX242" i="312"/>
  <c r="BY242" i="312"/>
  <c r="BZ242" i="312"/>
  <c r="CA242" i="312"/>
  <c r="CB242" i="312"/>
  <c r="CC242" i="312"/>
  <c r="BB243" i="312"/>
  <c r="BC243" i="312"/>
  <c r="M252" i="269" s="1"/>
  <c r="BE243" i="312"/>
  <c r="BV243" i="312"/>
  <c r="BX243" i="312"/>
  <c r="BY243" i="312"/>
  <c r="CC243" i="312"/>
  <c r="BZ243" i="312"/>
  <c r="CA243" i="312"/>
  <c r="CB243" i="312"/>
  <c r="BB244" i="312"/>
  <c r="CD244" i="312" s="1"/>
  <c r="BC244" i="312"/>
  <c r="BE244" i="312"/>
  <c r="BV244" i="312"/>
  <c r="BX244" i="312"/>
  <c r="BY244" i="312"/>
  <c r="CC244" i="312" s="1"/>
  <c r="BZ244" i="312"/>
  <c r="CA244" i="312"/>
  <c r="CB244" i="312"/>
  <c r="BB245" i="312"/>
  <c r="BC245" i="312"/>
  <c r="M254" i="269" s="1"/>
  <c r="BE245" i="312"/>
  <c r="BV245" i="312"/>
  <c r="BX245" i="312"/>
  <c r="BY245" i="312"/>
  <c r="CC245" i="312"/>
  <c r="BZ245" i="312"/>
  <c r="CA245" i="312"/>
  <c r="CB245" i="312"/>
  <c r="BB246" i="312"/>
  <c r="BC246" i="312"/>
  <c r="M255" i="269" s="1"/>
  <c r="N255" i="269" s="1"/>
  <c r="BE246" i="312"/>
  <c r="BV246" i="312"/>
  <c r="BX246" i="312"/>
  <c r="BY246" i="312"/>
  <c r="CC246" i="312" s="1"/>
  <c r="BZ246" i="312"/>
  <c r="CA246" i="312"/>
  <c r="CB246" i="312"/>
  <c r="BB247" i="312"/>
  <c r="BC247" i="312"/>
  <c r="M256" i="269" s="1"/>
  <c r="BE247" i="312"/>
  <c r="BV247" i="312"/>
  <c r="BX247" i="312"/>
  <c r="BY247" i="312"/>
  <c r="BZ247" i="312"/>
  <c r="CA247" i="312"/>
  <c r="CB247" i="312"/>
  <c r="CC247" i="312"/>
  <c r="BB248" i="312"/>
  <c r="BC248" i="312"/>
  <c r="BE248" i="312"/>
  <c r="BV248" i="312"/>
  <c r="BX248" i="312"/>
  <c r="BY248" i="312"/>
  <c r="CC248" i="312" s="1"/>
  <c r="BZ248" i="312"/>
  <c r="CA248" i="312"/>
  <c r="CB248" i="312"/>
  <c r="BB249" i="312"/>
  <c r="BC249" i="312"/>
  <c r="M258" i="269" s="1"/>
  <c r="N258" i="269" s="1"/>
  <c r="BE249" i="312"/>
  <c r="BV249" i="312"/>
  <c r="BX249" i="312"/>
  <c r="BY249" i="312"/>
  <c r="CC249" i="312"/>
  <c r="BZ249" i="312"/>
  <c r="CA249" i="312"/>
  <c r="CB249" i="312"/>
  <c r="BB250" i="312"/>
  <c r="BC250" i="312"/>
  <c r="M259" i="269" s="1"/>
  <c r="N259" i="269" s="1"/>
  <c r="BE250" i="312"/>
  <c r="BV250" i="312"/>
  <c r="BX250" i="312"/>
  <c r="BY250" i="312"/>
  <c r="BZ250" i="312"/>
  <c r="CA250" i="312"/>
  <c r="CB250" i="312"/>
  <c r="CC250" i="312"/>
  <c r="BB251" i="312"/>
  <c r="BC251" i="312"/>
  <c r="M260" i="269" s="1"/>
  <c r="BE251" i="312"/>
  <c r="BV251" i="312"/>
  <c r="BX251" i="312"/>
  <c r="BY251" i="312"/>
  <c r="BZ251" i="312"/>
  <c r="CA251" i="312"/>
  <c r="CB251" i="312"/>
  <c r="CC251" i="312"/>
  <c r="BB252" i="312"/>
  <c r="BC252" i="312"/>
  <c r="M261" i="269" s="1"/>
  <c r="N261" i="269" s="1"/>
  <c r="BE252" i="312"/>
  <c r="BV252" i="312"/>
  <c r="BX252" i="312"/>
  <c r="BY252" i="312"/>
  <c r="CC252" i="312" s="1"/>
  <c r="BZ252" i="312"/>
  <c r="CA252" i="312"/>
  <c r="CB252" i="312"/>
  <c r="BB253" i="312"/>
  <c r="BC253" i="312"/>
  <c r="BE253" i="312"/>
  <c r="BV253" i="312"/>
  <c r="BX253" i="312"/>
  <c r="BY253" i="312"/>
  <c r="BZ253" i="312"/>
  <c r="CA253" i="312"/>
  <c r="CB253" i="312"/>
  <c r="CC253" i="312"/>
  <c r="BB254" i="312"/>
  <c r="BC254" i="312"/>
  <c r="M263" i="269" s="1"/>
  <c r="N263" i="269" s="1"/>
  <c r="BE254" i="312"/>
  <c r="BV254" i="312"/>
  <c r="BX254" i="312"/>
  <c r="BY254" i="312"/>
  <c r="CC254" i="312"/>
  <c r="BZ254" i="312"/>
  <c r="CA254" i="312"/>
  <c r="CB254" i="312"/>
  <c r="BB255" i="312"/>
  <c r="BC255" i="312"/>
  <c r="M264" i="269" s="1"/>
  <c r="BE255" i="312"/>
  <c r="BV255" i="312"/>
  <c r="BX255" i="312"/>
  <c r="BY255" i="312"/>
  <c r="CC255" i="312" s="1"/>
  <c r="BZ255" i="312"/>
  <c r="CA255" i="312"/>
  <c r="CB255" i="312"/>
  <c r="BB256" i="312"/>
  <c r="BC256" i="312"/>
  <c r="M265" i="269"/>
  <c r="BE256" i="312"/>
  <c r="BV256" i="312"/>
  <c r="BX256" i="312"/>
  <c r="BY256" i="312"/>
  <c r="CC256" i="312" s="1"/>
  <c r="BZ256" i="312"/>
  <c r="CA256" i="312"/>
  <c r="CB256" i="312"/>
  <c r="BB257" i="312"/>
  <c r="BC257" i="312"/>
  <c r="M266" i="269" s="1"/>
  <c r="BE257" i="312"/>
  <c r="BV257" i="312"/>
  <c r="BX257" i="312"/>
  <c r="BY257" i="312"/>
  <c r="BZ257" i="312"/>
  <c r="CA257" i="312"/>
  <c r="CB257" i="312"/>
  <c r="CC257" i="312"/>
  <c r="BB258" i="312"/>
  <c r="BL258" i="312" s="1"/>
  <c r="BC258" i="312"/>
  <c r="M267" i="269" s="1"/>
  <c r="BE258" i="312"/>
  <c r="BV258" i="312"/>
  <c r="BX258" i="312"/>
  <c r="BY258" i="312"/>
  <c r="CC258" i="312" s="1"/>
  <c r="BZ258" i="312"/>
  <c r="CA258" i="312"/>
  <c r="CB258" i="312"/>
  <c r="BB259" i="312"/>
  <c r="BC259" i="312"/>
  <c r="M268" i="269" s="1"/>
  <c r="N268" i="269" s="1"/>
  <c r="BE259" i="312"/>
  <c r="BV259" i="312"/>
  <c r="BX259" i="312"/>
  <c r="BY259" i="312"/>
  <c r="BZ259" i="312"/>
  <c r="CA259" i="312"/>
  <c r="CB259" i="312"/>
  <c r="CC259" i="312"/>
  <c r="BB260" i="312"/>
  <c r="BC260" i="312"/>
  <c r="BE260" i="312"/>
  <c r="BV260" i="312"/>
  <c r="BX260" i="312"/>
  <c r="BY260" i="312"/>
  <c r="CC260" i="312" s="1"/>
  <c r="BZ260" i="312"/>
  <c r="CA260" i="312"/>
  <c r="CB260" i="312"/>
  <c r="BB261" i="312"/>
  <c r="BF261" i="312" s="1"/>
  <c r="BT261" i="312" s="1"/>
  <c r="BC261" i="312"/>
  <c r="M270" i="269" s="1"/>
  <c r="N270" i="269"/>
  <c r="BE261" i="312"/>
  <c r="BV261" i="312"/>
  <c r="BX261" i="312"/>
  <c r="BY261" i="312"/>
  <c r="CC261" i="312" s="1"/>
  <c r="BZ261" i="312"/>
  <c r="CA261" i="312"/>
  <c r="CB261" i="312"/>
  <c r="BB262" i="312"/>
  <c r="BC262" i="312"/>
  <c r="M271" i="269" s="1"/>
  <c r="BE262" i="312"/>
  <c r="BV262" i="312"/>
  <c r="BX262" i="312"/>
  <c r="BY262" i="312"/>
  <c r="BZ262" i="312"/>
  <c r="CA262" i="312"/>
  <c r="CB262" i="312"/>
  <c r="CC262" i="312"/>
  <c r="BB263" i="312"/>
  <c r="BC263" i="312"/>
  <c r="M272" i="269" s="1"/>
  <c r="N272" i="269" s="1"/>
  <c r="BE263" i="312"/>
  <c r="BV263" i="312"/>
  <c r="BX263" i="312"/>
  <c r="BY263" i="312"/>
  <c r="CC263" i="312" s="1"/>
  <c r="BZ263" i="312"/>
  <c r="CA263" i="312"/>
  <c r="CB263" i="312"/>
  <c r="BB264" i="312"/>
  <c r="BC264" i="312"/>
  <c r="BE264" i="312"/>
  <c r="BV264" i="312"/>
  <c r="BX264" i="312"/>
  <c r="BY264" i="312"/>
  <c r="CC264" i="312" s="1"/>
  <c r="BZ264" i="312"/>
  <c r="CA264" i="312"/>
  <c r="CB264" i="312"/>
  <c r="BB265" i="312"/>
  <c r="BL265" i="312" s="1"/>
  <c r="BC265" i="312"/>
  <c r="M274" i="269"/>
  <c r="N274" i="269" s="1"/>
  <c r="BE265" i="312"/>
  <c r="BV265" i="312"/>
  <c r="BX265" i="312"/>
  <c r="BY265" i="312"/>
  <c r="CC265" i="312" s="1"/>
  <c r="BZ265" i="312"/>
  <c r="CA265" i="312"/>
  <c r="CB265" i="312"/>
  <c r="BB266" i="312"/>
  <c r="BF266" i="312" s="1"/>
  <c r="BT266" i="312" s="1"/>
  <c r="BC266" i="312"/>
  <c r="BE266" i="312"/>
  <c r="BV266" i="312"/>
  <c r="BX266" i="312"/>
  <c r="BY266" i="312"/>
  <c r="CC266" i="312"/>
  <c r="BZ266" i="312"/>
  <c r="CA266" i="312"/>
  <c r="CB266" i="312"/>
  <c r="BB267" i="312"/>
  <c r="BC267" i="312"/>
  <c r="BE267" i="312"/>
  <c r="BV267" i="312"/>
  <c r="BX267" i="312"/>
  <c r="BY267" i="312"/>
  <c r="BZ267" i="312"/>
  <c r="CA267" i="312"/>
  <c r="CB267" i="312"/>
  <c r="CC267" i="312"/>
  <c r="BB268" i="312"/>
  <c r="BC268" i="312"/>
  <c r="M277" i="269"/>
  <c r="N277" i="269" s="1"/>
  <c r="BE268" i="312"/>
  <c r="BV268" i="312"/>
  <c r="BX268" i="312"/>
  <c r="BY268" i="312"/>
  <c r="CC268" i="312" s="1"/>
  <c r="BZ268" i="312"/>
  <c r="CA268" i="312"/>
  <c r="CB268" i="312"/>
  <c r="BB269" i="312"/>
  <c r="BC269" i="312"/>
  <c r="BE269" i="312"/>
  <c r="BV269" i="312"/>
  <c r="BX269" i="312"/>
  <c r="BY269" i="312"/>
  <c r="CC269" i="312" s="1"/>
  <c r="CD269" i="312"/>
  <c r="BZ269" i="312"/>
  <c r="CA269" i="312"/>
  <c r="CB269" i="312"/>
  <c r="BB270" i="312"/>
  <c r="BC270" i="312"/>
  <c r="M279" i="269" s="1"/>
  <c r="N279" i="269" s="1"/>
  <c r="BE270" i="312"/>
  <c r="BV270" i="312"/>
  <c r="BX270" i="312"/>
  <c r="BY270" i="312"/>
  <c r="BZ270" i="312"/>
  <c r="CA270" i="312"/>
  <c r="CB270" i="312"/>
  <c r="CC270" i="312"/>
  <c r="BB271" i="312"/>
  <c r="BC271" i="312"/>
  <c r="M280" i="269" s="1"/>
  <c r="BE271" i="312"/>
  <c r="BV271" i="312"/>
  <c r="BX271" i="312"/>
  <c r="BY271" i="312"/>
  <c r="CC271" i="312" s="1"/>
  <c r="BZ271" i="312"/>
  <c r="CA271" i="312"/>
  <c r="CB271" i="312"/>
  <c r="BB272" i="312"/>
  <c r="BC272" i="312"/>
  <c r="BE272" i="312"/>
  <c r="BV272" i="312"/>
  <c r="BX272" i="312"/>
  <c r="BY272" i="312"/>
  <c r="CC272" i="312" s="1"/>
  <c r="CD272" i="312" s="1"/>
  <c r="BZ272" i="312"/>
  <c r="CA272" i="312"/>
  <c r="CB272" i="312"/>
  <c r="BB273" i="312"/>
  <c r="BC273" i="312"/>
  <c r="M282" i="269" s="1"/>
  <c r="N282" i="269" s="1"/>
  <c r="BE273" i="312"/>
  <c r="BV273" i="312"/>
  <c r="BX273" i="312"/>
  <c r="BY273" i="312"/>
  <c r="BZ273" i="312"/>
  <c r="CA273" i="312"/>
  <c r="CB273" i="312"/>
  <c r="CC273" i="312"/>
  <c r="BB274" i="312"/>
  <c r="BC274" i="312"/>
  <c r="BE274" i="312"/>
  <c r="BV274" i="312"/>
  <c r="BX274" i="312"/>
  <c r="BY274" i="312"/>
  <c r="CC274" i="312" s="1"/>
  <c r="BZ274" i="312"/>
  <c r="CA274" i="312"/>
  <c r="CB274" i="312"/>
  <c r="BB275" i="312"/>
  <c r="BC275" i="312"/>
  <c r="M284" i="269" s="1"/>
  <c r="N284" i="269" s="1"/>
  <c r="BE275" i="312"/>
  <c r="BV275" i="312"/>
  <c r="BX275" i="312"/>
  <c r="BY275" i="312"/>
  <c r="CC275" i="312" s="1"/>
  <c r="BZ275" i="312"/>
  <c r="CA275" i="312"/>
  <c r="CB275" i="312"/>
  <c r="BB276" i="312"/>
  <c r="BC276" i="312"/>
  <c r="M285" i="269" s="1"/>
  <c r="N285" i="269"/>
  <c r="BE276" i="312"/>
  <c r="BV276" i="312"/>
  <c r="BX276" i="312"/>
  <c r="BY276" i="312"/>
  <c r="BZ276" i="312"/>
  <c r="CA276" i="312"/>
  <c r="CB276" i="312"/>
  <c r="CC276" i="312"/>
  <c r="BB277" i="312"/>
  <c r="BL277" i="312" s="1"/>
  <c r="BC277" i="312"/>
  <c r="M286" i="269" s="1"/>
  <c r="N286" i="269"/>
  <c r="BE277" i="312"/>
  <c r="BV277" i="312"/>
  <c r="BX277" i="312"/>
  <c r="BY277" i="312"/>
  <c r="CC277" i="312" s="1"/>
  <c r="BZ277" i="312"/>
  <c r="CA277" i="312"/>
  <c r="CB277" i="312"/>
  <c r="BB278" i="312"/>
  <c r="BC278" i="312"/>
  <c r="M287" i="269" s="1"/>
  <c r="BE278" i="312"/>
  <c r="BV278" i="312"/>
  <c r="BX278" i="312"/>
  <c r="BY278" i="312"/>
  <c r="CC278" i="312" s="1"/>
  <c r="BZ278" i="312"/>
  <c r="CA278" i="312"/>
  <c r="CB278" i="312"/>
  <c r="BB279" i="312"/>
  <c r="BC279" i="312"/>
  <c r="M288" i="269"/>
  <c r="N288" i="269" s="1"/>
  <c r="BE279" i="312"/>
  <c r="BV279" i="312"/>
  <c r="BX279" i="312"/>
  <c r="BY279" i="312"/>
  <c r="BZ279" i="312"/>
  <c r="CA279" i="312"/>
  <c r="CB279" i="312"/>
  <c r="CC279" i="312"/>
  <c r="BB280" i="312"/>
  <c r="BC280" i="312"/>
  <c r="BE280" i="312"/>
  <c r="BV280" i="312"/>
  <c r="BX280" i="312"/>
  <c r="BY280" i="312"/>
  <c r="CC280" i="312"/>
  <c r="BZ280" i="312"/>
  <c r="CA280" i="312"/>
  <c r="CB280" i="312"/>
  <c r="BB281" i="312"/>
  <c r="BC281" i="312"/>
  <c r="BE281" i="312"/>
  <c r="BV281" i="312"/>
  <c r="BX281" i="312"/>
  <c r="BY281" i="312"/>
  <c r="CC281" i="312" s="1"/>
  <c r="BZ281" i="312"/>
  <c r="CA281" i="312"/>
  <c r="CB281" i="312"/>
  <c r="BB282" i="312"/>
  <c r="BC282" i="312"/>
  <c r="BE282" i="312"/>
  <c r="BV282" i="312"/>
  <c r="BX282" i="312"/>
  <c r="BY282" i="312"/>
  <c r="CC282" i="312" s="1"/>
  <c r="BZ282" i="312"/>
  <c r="CA282" i="312"/>
  <c r="CB282" i="312"/>
  <c r="BB283" i="312"/>
  <c r="BC283" i="312"/>
  <c r="M292" i="269" s="1"/>
  <c r="N292" i="269" s="1"/>
  <c r="BE283" i="312"/>
  <c r="BV283" i="312"/>
  <c r="BX283" i="312"/>
  <c r="BY283" i="312"/>
  <c r="BZ283" i="312"/>
  <c r="CA283" i="312"/>
  <c r="CB283" i="312"/>
  <c r="CC283" i="312"/>
  <c r="BB284" i="312"/>
  <c r="BC284" i="312"/>
  <c r="M293" i="269" s="1"/>
  <c r="BE284" i="312"/>
  <c r="BV284" i="312"/>
  <c r="BX284" i="312"/>
  <c r="BY284" i="312"/>
  <c r="CC284" i="312" s="1"/>
  <c r="BZ284" i="312"/>
  <c r="CA284" i="312"/>
  <c r="CB284" i="312"/>
  <c r="BB285" i="312"/>
  <c r="BC285" i="312"/>
  <c r="BE285" i="312"/>
  <c r="BV285" i="312"/>
  <c r="BX285" i="312"/>
  <c r="BY285" i="312"/>
  <c r="CC285" i="312" s="1"/>
  <c r="CD285" i="312" s="1"/>
  <c r="BZ285" i="312"/>
  <c r="CA285" i="312"/>
  <c r="CB285" i="312"/>
  <c r="BB286" i="312"/>
  <c r="BC286" i="312"/>
  <c r="M295" i="269" s="1"/>
  <c r="N295" i="269" s="1"/>
  <c r="BE286" i="312"/>
  <c r="BV286" i="312"/>
  <c r="BX286" i="312"/>
  <c r="BY286" i="312"/>
  <c r="CC286" i="312"/>
  <c r="CD286" i="312" s="1"/>
  <c r="BZ286" i="312"/>
  <c r="CA286" i="312"/>
  <c r="CB286" i="312"/>
  <c r="BB287" i="312"/>
  <c r="BC287" i="312"/>
  <c r="BE287" i="312"/>
  <c r="BV287" i="312"/>
  <c r="BX287" i="312"/>
  <c r="BY287" i="312"/>
  <c r="CC287" i="312" s="1"/>
  <c r="BZ287" i="312"/>
  <c r="CA287" i="312"/>
  <c r="CB287" i="312"/>
  <c r="BB288" i="312"/>
  <c r="BC288" i="312"/>
  <c r="M297" i="269" s="1"/>
  <c r="BE288" i="312"/>
  <c r="BV288" i="312"/>
  <c r="BX288" i="312"/>
  <c r="BY288" i="312"/>
  <c r="CC288" i="312" s="1"/>
  <c r="BZ288" i="312"/>
  <c r="CA288" i="312"/>
  <c r="CB288" i="312"/>
  <c r="BB289" i="312"/>
  <c r="BC289" i="312"/>
  <c r="M298" i="269" s="1"/>
  <c r="BE289" i="312"/>
  <c r="BV289" i="312"/>
  <c r="BX289" i="312"/>
  <c r="BY289" i="312"/>
  <c r="CC289" i="312"/>
  <c r="CD289" i="312" s="1"/>
  <c r="BZ289" i="312"/>
  <c r="CA289" i="312"/>
  <c r="CB289" i="312"/>
  <c r="BB290" i="312"/>
  <c r="BC290" i="312"/>
  <c r="M299" i="269"/>
  <c r="BE290" i="312"/>
  <c r="BV290" i="312"/>
  <c r="BX290" i="312"/>
  <c r="BY290" i="312"/>
  <c r="CC290" i="312" s="1"/>
  <c r="CD290" i="312" s="1"/>
  <c r="BZ290" i="312"/>
  <c r="CA290" i="312"/>
  <c r="CB290" i="312"/>
  <c r="BB291" i="312"/>
  <c r="BC291" i="312"/>
  <c r="M300" i="269" s="1"/>
  <c r="BE291" i="312"/>
  <c r="BV291" i="312"/>
  <c r="BX291" i="312"/>
  <c r="BY291" i="312"/>
  <c r="CC291" i="312" s="1"/>
  <c r="BZ291" i="312"/>
  <c r="CA291" i="312"/>
  <c r="CB291" i="312"/>
  <c r="BB292" i="312"/>
  <c r="BC292" i="312"/>
  <c r="BF292" i="312" s="1"/>
  <c r="BT292" i="312" s="1"/>
  <c r="BE292" i="312"/>
  <c r="BV292" i="312"/>
  <c r="BX292" i="312"/>
  <c r="BY292" i="312"/>
  <c r="CC292" i="312" s="1"/>
  <c r="CD292" i="312" s="1"/>
  <c r="BZ292" i="312"/>
  <c r="CA292" i="312"/>
  <c r="CB292" i="312"/>
  <c r="BB293" i="312"/>
  <c r="BC293" i="312"/>
  <c r="BE293" i="312"/>
  <c r="BV293" i="312"/>
  <c r="BX293" i="312"/>
  <c r="BY293" i="312"/>
  <c r="BZ293" i="312"/>
  <c r="CA293" i="312"/>
  <c r="CB293" i="312"/>
  <c r="CC293" i="312"/>
  <c r="BB294" i="312"/>
  <c r="BC294" i="312"/>
  <c r="M303" i="269"/>
  <c r="N303" i="269" s="1"/>
  <c r="BE294" i="312"/>
  <c r="BV294" i="312"/>
  <c r="BX294" i="312"/>
  <c r="BY294" i="312"/>
  <c r="CC294" i="312" s="1"/>
  <c r="CD294" i="312" s="1"/>
  <c r="BZ294" i="312"/>
  <c r="CA294" i="312"/>
  <c r="CB294" i="312"/>
  <c r="BB295" i="312"/>
  <c r="BC295" i="312"/>
  <c r="M304" i="269"/>
  <c r="BE295" i="312"/>
  <c r="BV295" i="312"/>
  <c r="BX295" i="312"/>
  <c r="BY295" i="312"/>
  <c r="BZ295" i="312"/>
  <c r="CA295" i="312"/>
  <c r="CB295" i="312"/>
  <c r="CC295" i="312"/>
  <c r="BB296" i="312"/>
  <c r="BC296" i="312"/>
  <c r="M305" i="269" s="1"/>
  <c r="N305" i="269" s="1"/>
  <c r="BE296" i="312"/>
  <c r="BV296" i="312"/>
  <c r="BX296" i="312"/>
  <c r="BY296" i="312"/>
  <c r="CC296" i="312" s="1"/>
  <c r="BZ296" i="312"/>
  <c r="CA296" i="312"/>
  <c r="CB296" i="312"/>
  <c r="BB297" i="312"/>
  <c r="BC297" i="312"/>
  <c r="M306" i="269" s="1"/>
  <c r="N306" i="269"/>
  <c r="BE297" i="312"/>
  <c r="BV297" i="312"/>
  <c r="BX297" i="312"/>
  <c r="BY297" i="312"/>
  <c r="CC297" i="312" s="1"/>
  <c r="CD297" i="312" s="1"/>
  <c r="BZ297" i="312"/>
  <c r="CA297" i="312"/>
  <c r="CB297" i="312"/>
  <c r="BB298" i="312"/>
  <c r="BC298" i="312"/>
  <c r="M307" i="269" s="1"/>
  <c r="N307" i="269" s="1"/>
  <c r="BE298" i="312"/>
  <c r="BV298" i="312"/>
  <c r="BX298" i="312"/>
  <c r="BY298" i="312"/>
  <c r="BZ298" i="312"/>
  <c r="CA298" i="312"/>
  <c r="CB298" i="312"/>
  <c r="CC298" i="312"/>
  <c r="BB299" i="312"/>
  <c r="BC299" i="312"/>
  <c r="M308" i="269" s="1"/>
  <c r="BE299" i="312"/>
  <c r="BV299" i="312"/>
  <c r="BX299" i="312"/>
  <c r="BY299" i="312"/>
  <c r="CC299" i="312"/>
  <c r="BZ299" i="312"/>
  <c r="CA299" i="312"/>
  <c r="CB299" i="312"/>
  <c r="BB300" i="312"/>
  <c r="BC300" i="312"/>
  <c r="BE300" i="312"/>
  <c r="BV300" i="312"/>
  <c r="BX300" i="312"/>
  <c r="BY300" i="312"/>
  <c r="CC300" i="312" s="1"/>
  <c r="BZ300" i="312"/>
  <c r="CA300" i="312"/>
  <c r="CB300" i="312"/>
  <c r="BB301" i="312"/>
  <c r="BF301" i="312" s="1"/>
  <c r="BT301" i="312" s="1"/>
  <c r="CF301" i="312"/>
  <c r="CE301" i="312" s="1"/>
  <c r="BC301" i="312"/>
  <c r="M310" i="269" s="1"/>
  <c r="BE301" i="312"/>
  <c r="BV301" i="312"/>
  <c r="BX301" i="312"/>
  <c r="BY301" i="312"/>
  <c r="CC301" i="312" s="1"/>
  <c r="BZ301" i="312"/>
  <c r="CA301" i="312"/>
  <c r="CB301" i="312"/>
  <c r="BB302" i="312"/>
  <c r="BC302" i="312"/>
  <c r="M311" i="269" s="1"/>
  <c r="N311" i="269" s="1"/>
  <c r="BE302" i="312"/>
  <c r="BV302" i="312"/>
  <c r="BX302" i="312"/>
  <c r="BY302" i="312"/>
  <c r="CC302" i="312" s="1"/>
  <c r="CD302" i="312" s="1"/>
  <c r="BZ302" i="312"/>
  <c r="CA302" i="312"/>
  <c r="CB302" i="312"/>
  <c r="BB303" i="312"/>
  <c r="BC303" i="312"/>
  <c r="M312" i="269" s="1"/>
  <c r="BE303" i="312"/>
  <c r="BV303" i="312"/>
  <c r="BX303" i="312"/>
  <c r="BY303" i="312"/>
  <c r="BZ303" i="312"/>
  <c r="CA303" i="312"/>
  <c r="CB303" i="312"/>
  <c r="CC303" i="312"/>
  <c r="BB304" i="312"/>
  <c r="BL304" i="312" s="1"/>
  <c r="BC304" i="312"/>
  <c r="M313" i="269"/>
  <c r="BE304" i="312"/>
  <c r="BV304" i="312"/>
  <c r="BX304" i="312"/>
  <c r="BY304" i="312"/>
  <c r="CC304" i="312" s="1"/>
  <c r="BZ304" i="312"/>
  <c r="CA304" i="312"/>
  <c r="CB304" i="312"/>
  <c r="BB305" i="312"/>
  <c r="BC305" i="312"/>
  <c r="M314" i="269" s="1"/>
  <c r="BE305" i="312"/>
  <c r="BV305" i="312"/>
  <c r="BX305" i="312"/>
  <c r="BY305" i="312"/>
  <c r="CC305" i="312"/>
  <c r="BZ305" i="312"/>
  <c r="CA305" i="312"/>
  <c r="CB305" i="312"/>
  <c r="BB306" i="312"/>
  <c r="BC306" i="312"/>
  <c r="M315" i="269" s="1"/>
  <c r="BE306" i="312"/>
  <c r="BV306" i="312"/>
  <c r="BX306" i="312"/>
  <c r="BY306" i="312"/>
  <c r="CC306" i="312" s="1"/>
  <c r="BZ306" i="312"/>
  <c r="CA306" i="312"/>
  <c r="CB306" i="312"/>
  <c r="BB307" i="312"/>
  <c r="BC307" i="312"/>
  <c r="BE307" i="312"/>
  <c r="BV307" i="312"/>
  <c r="BX307" i="312"/>
  <c r="BY307" i="312"/>
  <c r="BZ307" i="312"/>
  <c r="CA307" i="312"/>
  <c r="CB307" i="312"/>
  <c r="CC307" i="312"/>
  <c r="BB308" i="312"/>
  <c r="BC308" i="312"/>
  <c r="M317" i="269" s="1"/>
  <c r="N317" i="269" s="1"/>
  <c r="BE308" i="312"/>
  <c r="BV308" i="312"/>
  <c r="BX308" i="312"/>
  <c r="BY308" i="312"/>
  <c r="CC308" i="312" s="1"/>
  <c r="BZ308" i="312"/>
  <c r="CA308" i="312"/>
  <c r="CB308" i="312"/>
  <c r="BB309" i="312"/>
  <c r="BC309" i="312"/>
  <c r="M318" i="269" s="1"/>
  <c r="N318" i="269" s="1"/>
  <c r="BE309" i="312"/>
  <c r="BV309" i="312"/>
  <c r="BX309" i="312"/>
  <c r="BY309" i="312"/>
  <c r="CC309" i="312" s="1"/>
  <c r="BZ309" i="312"/>
  <c r="CA309" i="312"/>
  <c r="CB309" i="312"/>
  <c r="BB310" i="312"/>
  <c r="BC310" i="312"/>
  <c r="BE310" i="312"/>
  <c r="BV310" i="312"/>
  <c r="BX310" i="312"/>
  <c r="BY310" i="312"/>
  <c r="CC310" i="312"/>
  <c r="BZ310" i="312"/>
  <c r="CA310" i="312"/>
  <c r="CB310" i="312"/>
  <c r="BB311" i="312"/>
  <c r="BF311" i="312" s="1"/>
  <c r="BT311" i="312" s="1"/>
  <c r="BC311" i="312"/>
  <c r="BE311" i="312"/>
  <c r="BV311" i="312"/>
  <c r="BX311" i="312"/>
  <c r="BY311" i="312"/>
  <c r="CC311" i="312" s="1"/>
  <c r="BZ311" i="312"/>
  <c r="CA311" i="312"/>
  <c r="CB311" i="312"/>
  <c r="CL311" i="312"/>
  <c r="CP311" i="312" s="1"/>
  <c r="CM311" i="312"/>
  <c r="CN311" i="312"/>
  <c r="CO311" i="312"/>
  <c r="CW311" i="312"/>
  <c r="CX311" i="312"/>
  <c r="G313" i="312"/>
  <c r="H313" i="312"/>
  <c r="I313" i="312"/>
  <c r="J313" i="312"/>
  <c r="K313" i="312"/>
  <c r="L313" i="312"/>
  <c r="M313" i="312"/>
  <c r="N313" i="312"/>
  <c r="O313" i="312"/>
  <c r="P313" i="312"/>
  <c r="Q313" i="312"/>
  <c r="R313" i="312"/>
  <c r="S313" i="312"/>
  <c r="T313" i="312"/>
  <c r="U313" i="312"/>
  <c r="V313" i="312"/>
  <c r="W313" i="312"/>
  <c r="X313" i="312"/>
  <c r="Y313" i="312"/>
  <c r="Z313" i="312"/>
  <c r="AA313" i="312"/>
  <c r="AB313" i="312"/>
  <c r="AC313" i="312"/>
  <c r="AD313" i="312"/>
  <c r="AE313" i="312"/>
  <c r="AF313" i="312"/>
  <c r="AG313" i="312"/>
  <c r="AH313" i="312"/>
  <c r="AI313" i="312"/>
  <c r="AJ313" i="312"/>
  <c r="AK313" i="312"/>
  <c r="AL313" i="312"/>
  <c r="AM313" i="312"/>
  <c r="AQ313" i="312"/>
  <c r="AR313" i="312"/>
  <c r="AS313" i="312"/>
  <c r="AU313" i="312"/>
  <c r="AV313" i="312"/>
  <c r="AW313" i="312"/>
  <c r="AX313" i="312"/>
  <c r="AY313" i="312"/>
  <c r="AZ313" i="312"/>
  <c r="BA313" i="312"/>
  <c r="BG313" i="312"/>
  <c r="BH313" i="312"/>
  <c r="BI313" i="312"/>
  <c r="BJ313" i="312"/>
  <c r="BM313" i="312"/>
  <c r="BN313" i="312"/>
  <c r="BP313" i="312"/>
  <c r="BQ313" i="312"/>
  <c r="BR313" i="312"/>
  <c r="BS313" i="312"/>
  <c r="BU313" i="312"/>
  <c r="BW313" i="312"/>
  <c r="CA313" i="312"/>
  <c r="CB313" i="312"/>
  <c r="CF313" i="312"/>
  <c r="CL313" i="312"/>
  <c r="CP313" i="312"/>
  <c r="CM313" i="312"/>
  <c r="CN313" i="312"/>
  <c r="CO313" i="312"/>
  <c r="BB314" i="312"/>
  <c r="BC314" i="312"/>
  <c r="M321" i="269" s="1"/>
  <c r="N321" i="269" s="1"/>
  <c r="BE314" i="312"/>
  <c r="BV314" i="312"/>
  <c r="BX314" i="312"/>
  <c r="BY314" i="312"/>
  <c r="BZ314" i="312"/>
  <c r="BZ399" i="312" s="1"/>
  <c r="CA314" i="312"/>
  <c r="CB314" i="312"/>
  <c r="CB399" i="312" s="1"/>
  <c r="CL314" i="312"/>
  <c r="CP314" i="312"/>
  <c r="CM314" i="312"/>
  <c r="CN314" i="312"/>
  <c r="CO314" i="312"/>
  <c r="BB315" i="312"/>
  <c r="BC315" i="312"/>
  <c r="BE315" i="312"/>
  <c r="BV315" i="312"/>
  <c r="BX315" i="312"/>
  <c r="BY315" i="312"/>
  <c r="CC315" i="312" s="1"/>
  <c r="BZ315" i="312"/>
  <c r="CA315" i="312"/>
  <c r="CB315" i="312"/>
  <c r="CL315" i="312"/>
  <c r="CM315" i="312"/>
  <c r="CN315" i="312"/>
  <c r="CO315" i="312"/>
  <c r="CP315" i="312"/>
  <c r="BB316" i="312"/>
  <c r="BC316" i="312"/>
  <c r="BE316" i="312"/>
  <c r="BV316" i="312"/>
  <c r="BX316" i="312"/>
  <c r="BY316" i="312"/>
  <c r="CC316" i="312" s="1"/>
  <c r="BZ316" i="312"/>
  <c r="CA316" i="312"/>
  <c r="CB316" i="312"/>
  <c r="CL316" i="312"/>
  <c r="CM316" i="312"/>
  <c r="CN316" i="312"/>
  <c r="CO316" i="312"/>
  <c r="CP316" i="312"/>
  <c r="BB317" i="312"/>
  <c r="BC317" i="312"/>
  <c r="M324" i="269" s="1"/>
  <c r="N324" i="269" s="1"/>
  <c r="BE317" i="312"/>
  <c r="BV317" i="312"/>
  <c r="BX317" i="312"/>
  <c r="BY317" i="312"/>
  <c r="CC317" i="312" s="1"/>
  <c r="CD317" i="312" s="1"/>
  <c r="BZ317" i="312"/>
  <c r="CA317" i="312"/>
  <c r="CB317" i="312"/>
  <c r="CL317" i="312"/>
  <c r="CM317" i="312"/>
  <c r="CN317" i="312"/>
  <c r="CO317" i="312"/>
  <c r="CP317" i="312"/>
  <c r="BB318" i="312"/>
  <c r="BC318" i="312"/>
  <c r="M325" i="269" s="1"/>
  <c r="N325" i="269" s="1"/>
  <c r="BE318" i="312"/>
  <c r="BV318" i="312"/>
  <c r="BX318" i="312"/>
  <c r="BY318" i="312"/>
  <c r="CC318" i="312" s="1"/>
  <c r="CD318" i="312" s="1"/>
  <c r="BZ318" i="312"/>
  <c r="CA318" i="312"/>
  <c r="CB318" i="312"/>
  <c r="CL318" i="312"/>
  <c r="CP318" i="312" s="1"/>
  <c r="CM318" i="312"/>
  <c r="CN318" i="312"/>
  <c r="CO318" i="312"/>
  <c r="BB319" i="312"/>
  <c r="BC319" i="312"/>
  <c r="M326" i="269" s="1"/>
  <c r="N326" i="269" s="1"/>
  <c r="BE319" i="312"/>
  <c r="BV319" i="312"/>
  <c r="BX319" i="312"/>
  <c r="BY319" i="312"/>
  <c r="CC319" i="312" s="1"/>
  <c r="BZ319" i="312"/>
  <c r="CA319" i="312"/>
  <c r="CB319" i="312"/>
  <c r="CL319" i="312"/>
  <c r="CP319" i="312" s="1"/>
  <c r="CM319" i="312"/>
  <c r="CN319" i="312"/>
  <c r="CO319" i="312"/>
  <c r="BB320" i="312"/>
  <c r="BC320" i="312"/>
  <c r="M327" i="269" s="1"/>
  <c r="N327" i="269" s="1"/>
  <c r="BE320" i="312"/>
  <c r="BV320" i="312"/>
  <c r="BX320" i="312"/>
  <c r="BY320" i="312"/>
  <c r="CC320" i="312" s="1"/>
  <c r="BZ320" i="312"/>
  <c r="CA320" i="312"/>
  <c r="CB320" i="312"/>
  <c r="CL320" i="312"/>
  <c r="CP320" i="312" s="1"/>
  <c r="CM320" i="312"/>
  <c r="CN320" i="312"/>
  <c r="CO320" i="312"/>
  <c r="BB321" i="312"/>
  <c r="BL321" i="312" s="1"/>
  <c r="BC321" i="312"/>
  <c r="M328" i="269"/>
  <c r="N328" i="269" s="1"/>
  <c r="BE321" i="312"/>
  <c r="BV321" i="312"/>
  <c r="BX321" i="312"/>
  <c r="BY321" i="312"/>
  <c r="CC321" i="312" s="1"/>
  <c r="BZ321" i="312"/>
  <c r="CA321" i="312"/>
  <c r="CB321" i="312"/>
  <c r="CL321" i="312"/>
  <c r="CP321" i="312" s="1"/>
  <c r="CM321" i="312"/>
  <c r="CN321" i="312"/>
  <c r="CO321" i="312"/>
  <c r="BB322" i="312"/>
  <c r="BC322" i="312"/>
  <c r="M329" i="269"/>
  <c r="BE322" i="312"/>
  <c r="BV322" i="312"/>
  <c r="BX322" i="312"/>
  <c r="BY322" i="312"/>
  <c r="BZ322" i="312"/>
  <c r="CA322" i="312"/>
  <c r="CB322" i="312"/>
  <c r="CC322" i="312"/>
  <c r="CL322" i="312"/>
  <c r="CP322" i="312" s="1"/>
  <c r="CM322" i="312"/>
  <c r="CN322" i="312"/>
  <c r="CO322" i="312"/>
  <c r="BB323" i="312"/>
  <c r="BC323" i="312"/>
  <c r="BE323" i="312"/>
  <c r="BV323" i="312"/>
  <c r="BX323" i="312"/>
  <c r="BY323" i="312"/>
  <c r="BZ323" i="312"/>
  <c r="CA323" i="312"/>
  <c r="CB323" i="312"/>
  <c r="CC323" i="312"/>
  <c r="CL323" i="312"/>
  <c r="CP323" i="312" s="1"/>
  <c r="CM323" i="312"/>
  <c r="CN323" i="312"/>
  <c r="CO323" i="312"/>
  <c r="BB324" i="312"/>
  <c r="BC324" i="312"/>
  <c r="M331" i="269" s="1"/>
  <c r="N331" i="269" s="1"/>
  <c r="BE324" i="312"/>
  <c r="BV324" i="312"/>
  <c r="BX324" i="312"/>
  <c r="BY324" i="312"/>
  <c r="BZ324" i="312"/>
  <c r="CA324" i="312"/>
  <c r="CB324" i="312"/>
  <c r="CC324" i="312"/>
  <c r="CL324" i="312"/>
  <c r="CP324" i="312"/>
  <c r="CM324" i="312"/>
  <c r="CN324" i="312"/>
  <c r="CO324" i="312"/>
  <c r="BB325" i="312"/>
  <c r="BC325" i="312"/>
  <c r="M332" i="269" s="1"/>
  <c r="BE325" i="312"/>
  <c r="BV325" i="312"/>
  <c r="BX325" i="312"/>
  <c r="BY325" i="312"/>
  <c r="BZ325" i="312"/>
  <c r="CA325" i="312"/>
  <c r="CB325" i="312"/>
  <c r="CC325" i="312"/>
  <c r="CL325" i="312"/>
  <c r="CM325" i="312"/>
  <c r="CN325" i="312"/>
  <c r="CO325" i="312"/>
  <c r="CP325" i="312"/>
  <c r="BB326" i="312"/>
  <c r="BC326" i="312"/>
  <c r="M333" i="269" s="1"/>
  <c r="BE326" i="312"/>
  <c r="BV326" i="312"/>
  <c r="BX326" i="312"/>
  <c r="BY326" i="312"/>
  <c r="BZ326" i="312"/>
  <c r="CA326" i="312"/>
  <c r="CB326" i="312"/>
  <c r="CC326" i="312"/>
  <c r="CL326" i="312"/>
  <c r="CM326" i="312"/>
  <c r="CN326" i="312"/>
  <c r="CO326" i="312"/>
  <c r="CP326" i="312"/>
  <c r="BB327" i="312"/>
  <c r="BC327" i="312"/>
  <c r="M334" i="269" s="1"/>
  <c r="BE327" i="312"/>
  <c r="BV327" i="312"/>
  <c r="BX327" i="312"/>
  <c r="BY327" i="312"/>
  <c r="BZ327" i="312"/>
  <c r="CA327" i="312"/>
  <c r="CB327" i="312"/>
  <c r="CC327" i="312"/>
  <c r="CL327" i="312"/>
  <c r="CM327" i="312"/>
  <c r="CN327" i="312"/>
  <c r="CO327" i="312"/>
  <c r="CP327" i="312"/>
  <c r="BB328" i="312"/>
  <c r="BC328" i="312"/>
  <c r="BE328" i="312"/>
  <c r="BV328" i="312"/>
  <c r="BX328" i="312"/>
  <c r="BY328" i="312"/>
  <c r="BZ328" i="312"/>
  <c r="CA328" i="312"/>
  <c r="CB328" i="312"/>
  <c r="CC328" i="312"/>
  <c r="CL328" i="312"/>
  <c r="CM328" i="312"/>
  <c r="CN328" i="312"/>
  <c r="CO328" i="312"/>
  <c r="CP328" i="312"/>
  <c r="BB329" i="312"/>
  <c r="BC329" i="312"/>
  <c r="BE329" i="312"/>
  <c r="BV329" i="312"/>
  <c r="BX329" i="312"/>
  <c r="BY329" i="312"/>
  <c r="CC329" i="312" s="1"/>
  <c r="BZ329" i="312"/>
  <c r="CA329" i="312"/>
  <c r="CB329" i="312"/>
  <c r="CL329" i="312"/>
  <c r="CM329" i="312"/>
  <c r="CN329" i="312"/>
  <c r="CO329" i="312"/>
  <c r="CP329" i="312"/>
  <c r="BB330" i="312"/>
  <c r="BC330" i="312"/>
  <c r="M337" i="269"/>
  <c r="N337" i="269" s="1"/>
  <c r="BE330" i="312"/>
  <c r="BV330" i="312"/>
  <c r="BX330" i="312"/>
  <c r="BY330" i="312"/>
  <c r="CC330" i="312" s="1"/>
  <c r="BZ330" i="312"/>
  <c r="CA330" i="312"/>
  <c r="CB330" i="312"/>
  <c r="CL330" i="312"/>
  <c r="CM330" i="312"/>
  <c r="CN330" i="312"/>
  <c r="CO330" i="312"/>
  <c r="CP330" i="312"/>
  <c r="BB331" i="312"/>
  <c r="BC331" i="312"/>
  <c r="M338" i="269" s="1"/>
  <c r="N338" i="269" s="1"/>
  <c r="BE331" i="312"/>
  <c r="BV331" i="312"/>
  <c r="BX331" i="312"/>
  <c r="BY331" i="312"/>
  <c r="CC331" i="312" s="1"/>
  <c r="CD331" i="312" s="1"/>
  <c r="BZ331" i="312"/>
  <c r="CA331" i="312"/>
  <c r="CB331" i="312"/>
  <c r="CL331" i="312"/>
  <c r="CM331" i="312"/>
  <c r="CN331" i="312"/>
  <c r="CO331" i="312"/>
  <c r="CP331" i="312"/>
  <c r="BB332" i="312"/>
  <c r="BC332" i="312"/>
  <c r="M339" i="269"/>
  <c r="N339" i="269" s="1"/>
  <c r="BE332" i="312"/>
  <c r="BV332" i="312"/>
  <c r="BX332" i="312"/>
  <c r="BY332" i="312"/>
  <c r="CC332" i="312" s="1"/>
  <c r="BZ332" i="312"/>
  <c r="CA332" i="312"/>
  <c r="CB332" i="312"/>
  <c r="CL332" i="312"/>
  <c r="CM332" i="312"/>
  <c r="CN332" i="312"/>
  <c r="CO332" i="312"/>
  <c r="CP332" i="312"/>
  <c r="BB333" i="312"/>
  <c r="BC333" i="312"/>
  <c r="M340" i="269"/>
  <c r="N340" i="269" s="1"/>
  <c r="BE333" i="312"/>
  <c r="BV333" i="312"/>
  <c r="BX333" i="312"/>
  <c r="BY333" i="312"/>
  <c r="CC333" i="312" s="1"/>
  <c r="BZ333" i="312"/>
  <c r="CA333" i="312"/>
  <c r="CB333" i="312"/>
  <c r="CL333" i="312"/>
  <c r="CM333" i="312"/>
  <c r="CN333" i="312"/>
  <c r="CO333" i="312"/>
  <c r="CP333" i="312"/>
  <c r="BB334" i="312"/>
  <c r="BC334" i="312"/>
  <c r="BE334" i="312"/>
  <c r="BV334" i="312"/>
  <c r="BX334" i="312"/>
  <c r="BY334" i="312"/>
  <c r="CC334" i="312" s="1"/>
  <c r="CD334" i="312" s="1"/>
  <c r="BZ334" i="312"/>
  <c r="CA334" i="312"/>
  <c r="CB334" i="312"/>
  <c r="CL334" i="312"/>
  <c r="CM334" i="312"/>
  <c r="CN334" i="312"/>
  <c r="CO334" i="312"/>
  <c r="CP334" i="312"/>
  <c r="BB335" i="312"/>
  <c r="BC335" i="312"/>
  <c r="M342" i="269"/>
  <c r="N342" i="269" s="1"/>
  <c r="BE335" i="312"/>
  <c r="BV335" i="312"/>
  <c r="BX335" i="312"/>
  <c r="BY335" i="312"/>
  <c r="CC335" i="312" s="1"/>
  <c r="BZ335" i="312"/>
  <c r="CA335" i="312"/>
  <c r="CB335" i="312"/>
  <c r="CL335" i="312"/>
  <c r="CM335" i="312"/>
  <c r="CN335" i="312"/>
  <c r="CO335" i="312"/>
  <c r="CP335" i="312"/>
  <c r="BB336" i="312"/>
  <c r="BC336" i="312"/>
  <c r="M343" i="269" s="1"/>
  <c r="BE336" i="312"/>
  <c r="BV336" i="312"/>
  <c r="BX336" i="312"/>
  <c r="BY336" i="312"/>
  <c r="BZ336" i="312"/>
  <c r="CA336" i="312"/>
  <c r="CB336" i="312"/>
  <c r="CC336" i="312"/>
  <c r="CL336" i="312"/>
  <c r="CM336" i="312"/>
  <c r="CN336" i="312"/>
  <c r="CO336" i="312"/>
  <c r="CP336" i="312"/>
  <c r="BB337" i="312"/>
  <c r="BC337" i="312"/>
  <c r="M344" i="269" s="1"/>
  <c r="BE337" i="312"/>
  <c r="BV337" i="312"/>
  <c r="BX337" i="312"/>
  <c r="BY337" i="312"/>
  <c r="BZ337" i="312"/>
  <c r="CA337" i="312"/>
  <c r="CB337" i="312"/>
  <c r="CC337" i="312"/>
  <c r="CL337" i="312"/>
  <c r="CP337" i="312" s="1"/>
  <c r="CM337" i="312"/>
  <c r="CN337" i="312"/>
  <c r="CO337" i="312"/>
  <c r="BB338" i="312"/>
  <c r="BC338" i="312"/>
  <c r="M345" i="269"/>
  <c r="BE338" i="312"/>
  <c r="BV338" i="312"/>
  <c r="BX338" i="312"/>
  <c r="BY338" i="312"/>
  <c r="BZ338" i="312"/>
  <c r="CA338" i="312"/>
  <c r="CB338" i="312"/>
  <c r="CC338" i="312"/>
  <c r="CD338" i="312" s="1"/>
  <c r="CL338" i="312"/>
  <c r="CM338" i="312"/>
  <c r="CN338" i="312"/>
  <c r="CO338" i="312"/>
  <c r="CP338" i="312"/>
  <c r="BB339" i="312"/>
  <c r="BC339" i="312"/>
  <c r="M346" i="269" s="1"/>
  <c r="BE339" i="312"/>
  <c r="BV339" i="312"/>
  <c r="BX339" i="312"/>
  <c r="BY339" i="312"/>
  <c r="CC339" i="312"/>
  <c r="CD339" i="312" s="1"/>
  <c r="BZ339" i="312"/>
  <c r="CA339" i="312"/>
  <c r="CB339" i="312"/>
  <c r="CL339" i="312"/>
  <c r="CP339" i="312" s="1"/>
  <c r="CM339" i="312"/>
  <c r="CN339" i="312"/>
  <c r="CO339" i="312"/>
  <c r="BB340" i="312"/>
  <c r="BC340" i="312"/>
  <c r="M347" i="269" s="1"/>
  <c r="BE340" i="312"/>
  <c r="BV340" i="312"/>
  <c r="BX340" i="312"/>
  <c r="BY340" i="312"/>
  <c r="CC340" i="312"/>
  <c r="CD340" i="312" s="1"/>
  <c r="BZ340" i="312"/>
  <c r="CA340" i="312"/>
  <c r="CB340" i="312"/>
  <c r="CL340" i="312"/>
  <c r="CP340" i="312" s="1"/>
  <c r="CM340" i="312"/>
  <c r="CN340" i="312"/>
  <c r="CO340" i="312"/>
  <c r="BB341" i="312"/>
  <c r="BC341" i="312"/>
  <c r="M348" i="269"/>
  <c r="BE341" i="312"/>
  <c r="BV341" i="312"/>
  <c r="BX341" i="312"/>
  <c r="BY341" i="312"/>
  <c r="CC341" i="312" s="1"/>
  <c r="BZ341" i="312"/>
  <c r="CA341" i="312"/>
  <c r="CB341" i="312"/>
  <c r="CL341" i="312"/>
  <c r="CM341" i="312"/>
  <c r="CN341" i="312"/>
  <c r="CO341" i="312"/>
  <c r="CP341" i="312"/>
  <c r="BB342" i="312"/>
  <c r="BC342" i="312"/>
  <c r="M349" i="269"/>
  <c r="N349" i="269" s="1"/>
  <c r="BE342" i="312"/>
  <c r="BV342" i="312"/>
  <c r="BX342" i="312"/>
  <c r="BY342" i="312"/>
  <c r="BZ342" i="312"/>
  <c r="CA342" i="312"/>
  <c r="CB342" i="312"/>
  <c r="CC342" i="312"/>
  <c r="CD342" i="312" s="1"/>
  <c r="CL342" i="312"/>
  <c r="CM342" i="312"/>
  <c r="CN342" i="312"/>
  <c r="CO342" i="312"/>
  <c r="CP342" i="312"/>
  <c r="BB343" i="312"/>
  <c r="BC343" i="312"/>
  <c r="M350" i="269" s="1"/>
  <c r="N350" i="269" s="1"/>
  <c r="BE343" i="312"/>
  <c r="BV343" i="312"/>
  <c r="BX343" i="312"/>
  <c r="BY343" i="312"/>
  <c r="BZ343" i="312"/>
  <c r="CA343" i="312"/>
  <c r="CB343" i="312"/>
  <c r="CC343" i="312"/>
  <c r="CD343" i="312" s="1"/>
  <c r="CL343" i="312"/>
  <c r="CP343" i="312" s="1"/>
  <c r="CM343" i="312"/>
  <c r="CN343" i="312"/>
  <c r="CO343" i="312"/>
  <c r="BB344" i="312"/>
  <c r="BC344" i="312"/>
  <c r="BL344" i="312" s="1"/>
  <c r="M351" i="269"/>
  <c r="N351" i="269" s="1"/>
  <c r="BE344" i="312"/>
  <c r="BV344" i="312"/>
  <c r="BX344" i="312"/>
  <c r="BY344" i="312"/>
  <c r="BZ344" i="312"/>
  <c r="CA344" i="312"/>
  <c r="CB344" i="312"/>
  <c r="CC344" i="312"/>
  <c r="CL344" i="312"/>
  <c r="CP344" i="312" s="1"/>
  <c r="CM344" i="312"/>
  <c r="CN344" i="312"/>
  <c r="CO344" i="312"/>
  <c r="BB345" i="312"/>
  <c r="BC345" i="312"/>
  <c r="BE345" i="312"/>
  <c r="BV345" i="312"/>
  <c r="BX345" i="312"/>
  <c r="BY345" i="312"/>
  <c r="CC345" i="312" s="1"/>
  <c r="BZ345" i="312"/>
  <c r="CA345" i="312"/>
  <c r="CB345" i="312"/>
  <c r="CL345" i="312"/>
  <c r="CP345" i="312"/>
  <c r="CM345" i="312"/>
  <c r="CN345" i="312"/>
  <c r="CO345" i="312"/>
  <c r="BB346" i="312"/>
  <c r="BF346" i="312"/>
  <c r="BC346" i="312"/>
  <c r="M353" i="269" s="1"/>
  <c r="BE346" i="312"/>
  <c r="BV346" i="312"/>
  <c r="BX346" i="312"/>
  <c r="BY346" i="312"/>
  <c r="CC346" i="312"/>
  <c r="CD346" i="312" s="1"/>
  <c r="BZ346" i="312"/>
  <c r="CA346" i="312"/>
  <c r="CB346" i="312"/>
  <c r="CL346" i="312"/>
  <c r="CP346" i="312"/>
  <c r="CM346" i="312"/>
  <c r="CN346" i="312"/>
  <c r="CO346" i="312"/>
  <c r="BB347" i="312"/>
  <c r="CD347" i="312" s="1"/>
  <c r="BC347" i="312"/>
  <c r="M354" i="269" s="1"/>
  <c r="N354" i="269" s="1"/>
  <c r="BE347" i="312"/>
  <c r="BV347" i="312"/>
  <c r="BX347" i="312"/>
  <c r="BY347" i="312"/>
  <c r="BZ347" i="312"/>
  <c r="CA347" i="312"/>
  <c r="CB347" i="312"/>
  <c r="CC347" i="312"/>
  <c r="CL347" i="312"/>
  <c r="CP347" i="312" s="1"/>
  <c r="CM347" i="312"/>
  <c r="CN347" i="312"/>
  <c r="CO347" i="312"/>
  <c r="BB348" i="312"/>
  <c r="BC348" i="312"/>
  <c r="BE348" i="312"/>
  <c r="BV348" i="312"/>
  <c r="BX348" i="312"/>
  <c r="BY348" i="312"/>
  <c r="CC348" i="312"/>
  <c r="BZ348" i="312"/>
  <c r="CA348" i="312"/>
  <c r="CB348" i="312"/>
  <c r="CL348" i="312"/>
  <c r="CP348" i="312"/>
  <c r="CM348" i="312"/>
  <c r="CN348" i="312"/>
  <c r="CO348" i="312"/>
  <c r="BB349" i="312"/>
  <c r="BC349" i="312"/>
  <c r="M356" i="269" s="1"/>
  <c r="N356" i="269" s="1"/>
  <c r="BE349" i="312"/>
  <c r="BV349" i="312"/>
  <c r="BX349" i="312"/>
  <c r="BY349" i="312"/>
  <c r="CC349" i="312"/>
  <c r="CD349" i="312" s="1"/>
  <c r="BZ349" i="312"/>
  <c r="CA349" i="312"/>
  <c r="CB349" i="312"/>
  <c r="CL349" i="312"/>
  <c r="CP349" i="312" s="1"/>
  <c r="CM349" i="312"/>
  <c r="CN349" i="312"/>
  <c r="CO349" i="312"/>
  <c r="BB350" i="312"/>
  <c r="BC350" i="312"/>
  <c r="BE350" i="312"/>
  <c r="BV350" i="312"/>
  <c r="BX350" i="312"/>
  <c r="BY350" i="312"/>
  <c r="CC350" i="312"/>
  <c r="BZ350" i="312"/>
  <c r="CA350" i="312"/>
  <c r="CB350" i="312"/>
  <c r="CL350" i="312"/>
  <c r="CP350" i="312"/>
  <c r="CM350" i="312"/>
  <c r="CN350" i="312"/>
  <c r="CO350" i="312"/>
  <c r="BB351" i="312"/>
  <c r="BC351" i="312"/>
  <c r="M358" i="269" s="1"/>
  <c r="N358" i="269" s="1"/>
  <c r="BE351" i="312"/>
  <c r="BV351" i="312"/>
  <c r="BX351" i="312"/>
  <c r="BY351" i="312"/>
  <c r="CC351" i="312" s="1"/>
  <c r="BZ351" i="312"/>
  <c r="CA351" i="312"/>
  <c r="CB351" i="312"/>
  <c r="CL351" i="312"/>
  <c r="CP351" i="312"/>
  <c r="CM351" i="312"/>
  <c r="CN351" i="312"/>
  <c r="CO351" i="312"/>
  <c r="BB352" i="312"/>
  <c r="BL352" i="312" s="1"/>
  <c r="BC352" i="312"/>
  <c r="BE352" i="312"/>
  <c r="BV352" i="312"/>
  <c r="BX352" i="312"/>
  <c r="BY352" i="312"/>
  <c r="CC352" i="312" s="1"/>
  <c r="BZ352" i="312"/>
  <c r="CA352" i="312"/>
  <c r="CB352" i="312"/>
  <c r="CL352" i="312"/>
  <c r="CP352" i="312"/>
  <c r="CM352" i="312"/>
  <c r="CN352" i="312"/>
  <c r="CO352" i="312"/>
  <c r="BB353" i="312"/>
  <c r="BC353" i="312"/>
  <c r="BE353" i="312"/>
  <c r="BV353" i="312"/>
  <c r="BX353" i="312"/>
  <c r="BY353" i="312"/>
  <c r="CC353" i="312" s="1"/>
  <c r="BZ353" i="312"/>
  <c r="CA353" i="312"/>
  <c r="CB353" i="312"/>
  <c r="BB354" i="312"/>
  <c r="BC354" i="312"/>
  <c r="M361" i="269" s="1"/>
  <c r="BE354" i="312"/>
  <c r="BV354" i="312"/>
  <c r="BX354" i="312"/>
  <c r="BY354" i="312"/>
  <c r="CC354" i="312"/>
  <c r="BZ354" i="312"/>
  <c r="CA354" i="312"/>
  <c r="CB354" i="312"/>
  <c r="BB355" i="312"/>
  <c r="BC355" i="312"/>
  <c r="M362" i="269" s="1"/>
  <c r="BE355" i="312"/>
  <c r="BV355" i="312"/>
  <c r="BX355" i="312"/>
  <c r="BY355" i="312"/>
  <c r="BZ355" i="312"/>
  <c r="CA355" i="312"/>
  <c r="CB355" i="312"/>
  <c r="CC355" i="312"/>
  <c r="BB356" i="312"/>
  <c r="BC356" i="312"/>
  <c r="M363" i="269" s="1"/>
  <c r="N363" i="269" s="1"/>
  <c r="BE356" i="312"/>
  <c r="BV356" i="312"/>
  <c r="BX356" i="312"/>
  <c r="BB357" i="312"/>
  <c r="BC357" i="312"/>
  <c r="BL357" i="312" s="1"/>
  <c r="BE357" i="312"/>
  <c r="BV357" i="312"/>
  <c r="BX357" i="312"/>
  <c r="BB358" i="312"/>
  <c r="BF358" i="312" s="1"/>
  <c r="BT358" i="312" s="1"/>
  <c r="BC358" i="312"/>
  <c r="BE358" i="312"/>
  <c r="BV358" i="312"/>
  <c r="BX358" i="312"/>
  <c r="BB359" i="312"/>
  <c r="CD359" i="312" s="1"/>
  <c r="BC359" i="312"/>
  <c r="M366" i="269" s="1"/>
  <c r="BE359" i="312"/>
  <c r="BV359" i="312"/>
  <c r="BX359" i="312"/>
  <c r="BB360" i="312"/>
  <c r="BC360" i="312"/>
  <c r="BE360" i="312"/>
  <c r="BV360" i="312"/>
  <c r="BX360" i="312"/>
  <c r="BB361" i="312"/>
  <c r="BC361" i="312"/>
  <c r="M368" i="269" s="1"/>
  <c r="N368" i="269" s="1"/>
  <c r="BE361" i="312"/>
  <c r="BV361" i="312"/>
  <c r="BX361" i="312"/>
  <c r="BB362" i="312"/>
  <c r="BC362" i="312"/>
  <c r="M369" i="269"/>
  <c r="N369" i="269" s="1"/>
  <c r="BE362" i="312"/>
  <c r="BV362" i="312"/>
  <c r="BX362" i="312"/>
  <c r="BB363" i="312"/>
  <c r="BC363" i="312"/>
  <c r="M370" i="269"/>
  <c r="N370" i="269"/>
  <c r="BE363" i="312"/>
  <c r="BV363" i="312"/>
  <c r="BX363" i="312"/>
  <c r="BB364" i="312"/>
  <c r="BC364" i="312"/>
  <c r="M371" i="269" s="1"/>
  <c r="N371" i="269" s="1"/>
  <c r="BE364" i="312"/>
  <c r="BV364" i="312"/>
  <c r="BX364" i="312"/>
  <c r="BB365" i="312"/>
  <c r="BF365" i="312" s="1"/>
  <c r="BT365" i="312" s="1"/>
  <c r="BC365" i="312"/>
  <c r="BE365" i="312"/>
  <c r="BV365" i="312"/>
  <c r="BX365" i="312"/>
  <c r="BB366" i="312"/>
  <c r="BC366" i="312"/>
  <c r="M373" i="269" s="1"/>
  <c r="N373" i="269" s="1"/>
  <c r="BE366" i="312"/>
  <c r="BV366" i="312"/>
  <c r="BX366" i="312"/>
  <c r="BB367" i="312"/>
  <c r="BC367" i="312"/>
  <c r="M374" i="269" s="1"/>
  <c r="N374" i="269" s="1"/>
  <c r="BE367" i="312"/>
  <c r="BV367" i="312"/>
  <c r="BX367" i="312"/>
  <c r="BB368" i="312"/>
  <c r="BC368" i="312"/>
  <c r="BE368" i="312"/>
  <c r="BV368" i="312"/>
  <c r="BX368" i="312"/>
  <c r="BB369" i="312"/>
  <c r="BC369" i="312"/>
  <c r="M376" i="269" s="1"/>
  <c r="N376" i="269" s="1"/>
  <c r="BE369" i="312"/>
  <c r="BV369" i="312"/>
  <c r="BX369" i="312"/>
  <c r="BB370" i="312"/>
  <c r="CD370" i="312" s="1"/>
  <c r="BC370" i="312"/>
  <c r="M377" i="269" s="1"/>
  <c r="N377" i="269" s="1"/>
  <c r="BE370" i="312"/>
  <c r="BV370" i="312"/>
  <c r="BX370" i="312"/>
  <c r="BB371" i="312"/>
  <c r="CD371" i="312" s="1"/>
  <c r="BC371" i="312"/>
  <c r="M378" i="269" s="1"/>
  <c r="BE371" i="312"/>
  <c r="BV371" i="312"/>
  <c r="BX371" i="312"/>
  <c r="BB372" i="312"/>
  <c r="CD372" i="312" s="1"/>
  <c r="BC372" i="312"/>
  <c r="M379" i="269" s="1"/>
  <c r="N379" i="269" s="1"/>
  <c r="BE372" i="312"/>
  <c r="BV372" i="312"/>
  <c r="BX372" i="312"/>
  <c r="BB373" i="312"/>
  <c r="BC373" i="312"/>
  <c r="M380" i="269" s="1"/>
  <c r="N380" i="269" s="1"/>
  <c r="BE373" i="312"/>
  <c r="BV373" i="312"/>
  <c r="BX373" i="312"/>
  <c r="BB374" i="312"/>
  <c r="CD374" i="312"/>
  <c r="BC374" i="312"/>
  <c r="BE374" i="312"/>
  <c r="BV374" i="312"/>
  <c r="BX374" i="312"/>
  <c r="BB375" i="312"/>
  <c r="BC375" i="312"/>
  <c r="M382" i="269" s="1"/>
  <c r="N382" i="269" s="1"/>
  <c r="BE375" i="312"/>
  <c r="BV375" i="312"/>
  <c r="BX375" i="312"/>
  <c r="BB376" i="312"/>
  <c r="BC376" i="312"/>
  <c r="BL376" i="312"/>
  <c r="BE376" i="312"/>
  <c r="BV376" i="312"/>
  <c r="BX376" i="312"/>
  <c r="BB377" i="312"/>
  <c r="BC377" i="312"/>
  <c r="M384" i="269" s="1"/>
  <c r="N384" i="269" s="1"/>
  <c r="BE377" i="312"/>
  <c r="BV377" i="312"/>
  <c r="BX377" i="312"/>
  <c r="BB378" i="312"/>
  <c r="CD378" i="312"/>
  <c r="BC378" i="312"/>
  <c r="M385" i="269" s="1"/>
  <c r="BE378" i="312"/>
  <c r="BV378" i="312"/>
  <c r="BX378" i="312"/>
  <c r="BB379" i="312"/>
  <c r="BC379" i="312"/>
  <c r="M386" i="269" s="1"/>
  <c r="N386" i="269" s="1"/>
  <c r="BE379" i="312"/>
  <c r="BV379" i="312"/>
  <c r="BX379" i="312"/>
  <c r="BB380" i="312"/>
  <c r="BC380" i="312"/>
  <c r="BE380" i="312"/>
  <c r="BV380" i="312"/>
  <c r="BX380" i="312"/>
  <c r="BB381" i="312"/>
  <c r="BC381" i="312"/>
  <c r="M388" i="269" s="1"/>
  <c r="N388" i="269" s="1"/>
  <c r="BE381" i="312"/>
  <c r="BV381" i="312"/>
  <c r="BX381" i="312"/>
  <c r="BB382" i="312"/>
  <c r="BC382" i="312"/>
  <c r="M389" i="269"/>
  <c r="N389" i="269" s="1"/>
  <c r="BE382" i="312"/>
  <c r="BV382" i="312"/>
  <c r="BX382" i="312"/>
  <c r="BB383" i="312"/>
  <c r="CD383" i="312" s="1"/>
  <c r="BC383" i="312"/>
  <c r="M390" i="269" s="1"/>
  <c r="BE383" i="312"/>
  <c r="BV383" i="312"/>
  <c r="BX383" i="312"/>
  <c r="BB384" i="312"/>
  <c r="BC384" i="312"/>
  <c r="BE384" i="312"/>
  <c r="BV384" i="312"/>
  <c r="BX384" i="312"/>
  <c r="BB385" i="312"/>
  <c r="BL385" i="312" s="1"/>
  <c r="BC385" i="312"/>
  <c r="BE385" i="312"/>
  <c r="BV385" i="312"/>
  <c r="BX385" i="312"/>
  <c r="BB386" i="312"/>
  <c r="BC386" i="312"/>
  <c r="M393" i="269"/>
  <c r="BE386" i="312"/>
  <c r="BV386" i="312"/>
  <c r="BX386" i="312"/>
  <c r="BB387" i="312"/>
  <c r="CD387" i="312" s="1"/>
  <c r="BC387" i="312"/>
  <c r="M394" i="269" s="1"/>
  <c r="BE387" i="312"/>
  <c r="BV387" i="312"/>
  <c r="BX387" i="312"/>
  <c r="BB388" i="312"/>
  <c r="BC388" i="312"/>
  <c r="M395" i="269"/>
  <c r="BE388" i="312"/>
  <c r="BV388" i="312"/>
  <c r="BX388" i="312"/>
  <c r="BB389" i="312"/>
  <c r="BC389" i="312"/>
  <c r="M396" i="269" s="1"/>
  <c r="BE389" i="312"/>
  <c r="BV389" i="312"/>
  <c r="BX389" i="312"/>
  <c r="BB390" i="312"/>
  <c r="CD390" i="312" s="1"/>
  <c r="BC390" i="312"/>
  <c r="M397" i="269" s="1"/>
  <c r="BE390" i="312"/>
  <c r="BV390" i="312"/>
  <c r="BX390" i="312"/>
  <c r="BB391" i="312"/>
  <c r="CD391" i="312" s="1"/>
  <c r="BC391" i="312"/>
  <c r="M398" i="269" s="1"/>
  <c r="BE391" i="312"/>
  <c r="BV391" i="312"/>
  <c r="BX391" i="312"/>
  <c r="BB392" i="312"/>
  <c r="BC392" i="312"/>
  <c r="BE392" i="312"/>
  <c r="BV392" i="312"/>
  <c r="BX392" i="312"/>
  <c r="BB393" i="312"/>
  <c r="CD393" i="312" s="1"/>
  <c r="BC393" i="312"/>
  <c r="BE393" i="312"/>
  <c r="BV393" i="312"/>
  <c r="BX393" i="312"/>
  <c r="BB394" i="312"/>
  <c r="BC394" i="312"/>
  <c r="M401" i="269"/>
  <c r="BE394" i="312"/>
  <c r="BV394" i="312"/>
  <c r="BX394" i="312"/>
  <c r="BB395" i="312"/>
  <c r="CD395" i="312" s="1"/>
  <c r="BC395" i="312"/>
  <c r="M402" i="269" s="1"/>
  <c r="N402" i="269" s="1"/>
  <c r="BE395" i="312"/>
  <c r="BV395" i="312"/>
  <c r="BX395" i="312"/>
  <c r="BB396" i="312"/>
  <c r="BC396" i="312"/>
  <c r="BE396" i="312"/>
  <c r="BV396" i="312"/>
  <c r="BX396" i="312"/>
  <c r="BB397" i="312"/>
  <c r="BC397" i="312"/>
  <c r="M404" i="269" s="1"/>
  <c r="N404" i="269" s="1"/>
  <c r="BE397" i="312"/>
  <c r="BV397" i="312"/>
  <c r="BX397" i="312"/>
  <c r="G399" i="312"/>
  <c r="H399" i="312"/>
  <c r="I399" i="312"/>
  <c r="J399" i="312"/>
  <c r="K399" i="312"/>
  <c r="L399" i="312"/>
  <c r="M399" i="312"/>
  <c r="N399" i="312"/>
  <c r="O399" i="312"/>
  <c r="P399" i="312"/>
  <c r="Q399" i="312"/>
  <c r="Q498" i="312"/>
  <c r="Q499" i="312" s="1"/>
  <c r="R399" i="312"/>
  <c r="S399" i="312"/>
  <c r="T399" i="312"/>
  <c r="U399" i="312"/>
  <c r="V399" i="312"/>
  <c r="W399" i="312"/>
  <c r="X399" i="312"/>
  <c r="Y399" i="312"/>
  <c r="Z399" i="312"/>
  <c r="AA399" i="312"/>
  <c r="AB399" i="312"/>
  <c r="AC399" i="312"/>
  <c r="AD399" i="312"/>
  <c r="AE399" i="312"/>
  <c r="AF399" i="312"/>
  <c r="AG399" i="312"/>
  <c r="AH399" i="312"/>
  <c r="AI399" i="312"/>
  <c r="AJ399" i="312"/>
  <c r="AK399" i="312"/>
  <c r="AL399" i="312"/>
  <c r="AM399" i="312"/>
  <c r="AQ399" i="312"/>
  <c r="AR399" i="312"/>
  <c r="AS399" i="312"/>
  <c r="AU399" i="312"/>
  <c r="AV399" i="312"/>
  <c r="AW399" i="312"/>
  <c r="AX399" i="312"/>
  <c r="AX498" i="312" s="1"/>
  <c r="AY399" i="312"/>
  <c r="AZ399" i="312"/>
  <c r="AZ498" i="312" s="1"/>
  <c r="AZ499" i="312" s="1"/>
  <c r="BA399" i="312"/>
  <c r="BG399" i="312"/>
  <c r="BH399" i="312"/>
  <c r="BI399" i="312"/>
  <c r="BJ399" i="312"/>
  <c r="BM399" i="312"/>
  <c r="BN399" i="312"/>
  <c r="BP399" i="312"/>
  <c r="BQ399" i="312"/>
  <c r="BR399" i="312"/>
  <c r="BS399" i="312"/>
  <c r="BU399" i="312"/>
  <c r="BW399" i="312"/>
  <c r="CA399" i="312"/>
  <c r="BB400" i="312"/>
  <c r="BC400" i="312"/>
  <c r="M405" i="269" s="1"/>
  <c r="N405" i="269" s="1"/>
  <c r="BE400" i="312"/>
  <c r="BV400" i="312"/>
  <c r="BX400" i="312"/>
  <c r="BB401" i="312"/>
  <c r="BC401" i="312"/>
  <c r="M406" i="269" s="1"/>
  <c r="N406" i="269" s="1"/>
  <c r="BE401" i="312"/>
  <c r="BV401" i="312"/>
  <c r="BX401" i="312"/>
  <c r="BB402" i="312"/>
  <c r="CD402" i="312" s="1"/>
  <c r="BC402" i="312"/>
  <c r="M407" i="269" s="1"/>
  <c r="BE402" i="312"/>
  <c r="BV402" i="312"/>
  <c r="BX402" i="312"/>
  <c r="BB403" i="312"/>
  <c r="BC403" i="312"/>
  <c r="M408" i="269"/>
  <c r="BE403" i="312"/>
  <c r="BV403" i="312"/>
  <c r="BX403" i="312"/>
  <c r="BB404" i="312"/>
  <c r="BC404" i="312"/>
  <c r="M409" i="269" s="1"/>
  <c r="N409" i="269" s="1"/>
  <c r="BE404" i="312"/>
  <c r="BV404" i="312"/>
  <c r="BX404" i="312"/>
  <c r="BB405" i="312"/>
  <c r="BC405" i="312"/>
  <c r="M410" i="269" s="1"/>
  <c r="BE405" i="312"/>
  <c r="BV405" i="312"/>
  <c r="BX405" i="312"/>
  <c r="BB406" i="312"/>
  <c r="CD406" i="312" s="1"/>
  <c r="BC406" i="312"/>
  <c r="M411" i="269" s="1"/>
  <c r="BE406" i="312"/>
  <c r="BV406" i="312"/>
  <c r="BX406" i="312"/>
  <c r="BB407" i="312"/>
  <c r="CD407" i="312" s="1"/>
  <c r="BC407" i="312"/>
  <c r="M412" i="269"/>
  <c r="N412" i="269" s="1"/>
  <c r="BE407" i="312"/>
  <c r="BV407" i="312"/>
  <c r="BX407" i="312"/>
  <c r="BB408" i="312"/>
  <c r="BC408" i="312"/>
  <c r="M413" i="269" s="1"/>
  <c r="BE408" i="312"/>
  <c r="BV408" i="312"/>
  <c r="BX408" i="312"/>
  <c r="BB409" i="312"/>
  <c r="CD409" i="312" s="1"/>
  <c r="BC409" i="312"/>
  <c r="M414" i="269" s="1"/>
  <c r="BE409" i="312"/>
  <c r="BV409" i="312"/>
  <c r="BX409" i="312"/>
  <c r="BB410" i="312"/>
  <c r="CD410" i="312" s="1"/>
  <c r="BC410" i="312"/>
  <c r="BE410" i="312"/>
  <c r="BV410" i="312"/>
  <c r="BX410" i="312"/>
  <c r="BB411" i="312"/>
  <c r="BC411" i="312"/>
  <c r="M416" i="269" s="1"/>
  <c r="BE411" i="312"/>
  <c r="BV411" i="312"/>
  <c r="BX411" i="312"/>
  <c r="BB412" i="312"/>
  <c r="CD412" i="312" s="1"/>
  <c r="BC412" i="312"/>
  <c r="M417" i="269" s="1"/>
  <c r="BE412" i="312"/>
  <c r="BV412" i="312"/>
  <c r="BX412" i="312"/>
  <c r="BB413" i="312"/>
  <c r="BC413" i="312"/>
  <c r="M418" i="269"/>
  <c r="N418" i="269" s="1"/>
  <c r="BE413" i="312"/>
  <c r="BV413" i="312"/>
  <c r="BX413" i="312"/>
  <c r="BB414" i="312"/>
  <c r="CD414" i="312" s="1"/>
  <c r="BC414" i="312"/>
  <c r="M419" i="269" s="1"/>
  <c r="N419" i="269" s="1"/>
  <c r="BE414" i="312"/>
  <c r="BV414" i="312"/>
  <c r="BX414" i="312"/>
  <c r="BB415" i="312"/>
  <c r="BC415" i="312"/>
  <c r="M420" i="269" s="1"/>
  <c r="N420" i="269" s="1"/>
  <c r="BE415" i="312"/>
  <c r="BV415" i="312"/>
  <c r="BX415" i="312"/>
  <c r="BB416" i="312"/>
  <c r="BC416" i="312"/>
  <c r="M421" i="269" s="1"/>
  <c r="N421" i="269" s="1"/>
  <c r="BE416" i="312"/>
  <c r="BV416" i="312"/>
  <c r="BX416" i="312"/>
  <c r="BB417" i="312"/>
  <c r="BC417" i="312"/>
  <c r="M422" i="269" s="1"/>
  <c r="BE417" i="312"/>
  <c r="BV417" i="312"/>
  <c r="BX417" i="312"/>
  <c r="BB418" i="312"/>
  <c r="CD418" i="312" s="1"/>
  <c r="BC418" i="312"/>
  <c r="BE418" i="312"/>
  <c r="BV418" i="312"/>
  <c r="BX418" i="312"/>
  <c r="BB419" i="312"/>
  <c r="BC419" i="312"/>
  <c r="M424" i="269" s="1"/>
  <c r="N424" i="269" s="1"/>
  <c r="BE419" i="312"/>
  <c r="BV419" i="312"/>
  <c r="BX419" i="312"/>
  <c r="BB420" i="312"/>
  <c r="BC420" i="312"/>
  <c r="M425" i="269" s="1"/>
  <c r="BE420" i="312"/>
  <c r="BV420" i="312"/>
  <c r="BX420" i="312"/>
  <c r="BB421" i="312"/>
  <c r="BC421" i="312"/>
  <c r="M426" i="269" s="1"/>
  <c r="N426" i="269" s="1"/>
  <c r="BE421" i="312"/>
  <c r="BV421" i="312"/>
  <c r="BX421" i="312"/>
  <c r="BB422" i="312"/>
  <c r="CD422" i="312" s="1"/>
  <c r="BC422" i="312"/>
  <c r="M427" i="269" s="1"/>
  <c r="N427" i="269" s="1"/>
  <c r="BE422" i="312"/>
  <c r="BV422" i="312"/>
  <c r="BX422" i="312"/>
  <c r="BB423" i="312"/>
  <c r="CD423" i="312" s="1"/>
  <c r="BC423" i="312"/>
  <c r="M428" i="269" s="1"/>
  <c r="BE423" i="312"/>
  <c r="BV423" i="312"/>
  <c r="BX423" i="312"/>
  <c r="BB424" i="312"/>
  <c r="CD424" i="312" s="1"/>
  <c r="BC424" i="312"/>
  <c r="BE424" i="312"/>
  <c r="BV424" i="312"/>
  <c r="BX424" i="312"/>
  <c r="BB425" i="312"/>
  <c r="CD425" i="312" s="1"/>
  <c r="BC425" i="312"/>
  <c r="M430" i="269" s="1"/>
  <c r="N430" i="269" s="1"/>
  <c r="BE425" i="312"/>
  <c r="BV425" i="312"/>
  <c r="BX425" i="312"/>
  <c r="BB426" i="312"/>
  <c r="BC426" i="312"/>
  <c r="BE426" i="312"/>
  <c r="BV426" i="312"/>
  <c r="BX426" i="312"/>
  <c r="BB427" i="312"/>
  <c r="BC427" i="312"/>
  <c r="M432" i="269" s="1"/>
  <c r="BE427" i="312"/>
  <c r="BV427" i="312"/>
  <c r="BX427" i="312"/>
  <c r="BB428" i="312"/>
  <c r="BC428" i="312"/>
  <c r="M433" i="269" s="1"/>
  <c r="N433" i="269" s="1"/>
  <c r="BE428" i="312"/>
  <c r="BV428" i="312"/>
  <c r="BX428" i="312"/>
  <c r="BB429" i="312"/>
  <c r="BC429" i="312"/>
  <c r="M434" i="269" s="1"/>
  <c r="BE429" i="312"/>
  <c r="BV429" i="312"/>
  <c r="BX429" i="312"/>
  <c r="BB430" i="312"/>
  <c r="BC430" i="312"/>
  <c r="M435" i="269" s="1"/>
  <c r="N435" i="269" s="1"/>
  <c r="BE430" i="312"/>
  <c r="BV430" i="312"/>
  <c r="BX430" i="312"/>
  <c r="BB431" i="312"/>
  <c r="CD431" i="312" s="1"/>
  <c r="BC431" i="312"/>
  <c r="M436" i="269" s="1"/>
  <c r="N436" i="269" s="1"/>
  <c r="BE431" i="312"/>
  <c r="BV431" i="312"/>
  <c r="BX431" i="312"/>
  <c r="BB432" i="312"/>
  <c r="BC432" i="312"/>
  <c r="M437" i="269" s="1"/>
  <c r="BE432" i="312"/>
  <c r="BV432" i="312"/>
  <c r="BX432" i="312"/>
  <c r="BB433" i="312"/>
  <c r="CD433" i="312" s="1"/>
  <c r="BC433" i="312"/>
  <c r="M438" i="269"/>
  <c r="N438" i="269" s="1"/>
  <c r="BE433" i="312"/>
  <c r="BV433" i="312"/>
  <c r="BX433" i="312"/>
  <c r="BB434" i="312"/>
  <c r="CD434" i="312" s="1"/>
  <c r="BC434" i="312"/>
  <c r="BE434" i="312"/>
  <c r="BV434" i="312"/>
  <c r="BX434" i="312"/>
  <c r="BB435" i="312"/>
  <c r="CD435" i="312" s="1"/>
  <c r="BC435" i="312"/>
  <c r="M440" i="269" s="1"/>
  <c r="BE435" i="312"/>
  <c r="BV435" i="312"/>
  <c r="BX435" i="312"/>
  <c r="BB436" i="312"/>
  <c r="BC436" i="312"/>
  <c r="M441" i="269" s="1"/>
  <c r="N441" i="269" s="1"/>
  <c r="BE436" i="312"/>
  <c r="BV436" i="312"/>
  <c r="BX436" i="312"/>
  <c r="BB437" i="312"/>
  <c r="BC437" i="312"/>
  <c r="M442" i="269" s="1"/>
  <c r="N442" i="269" s="1"/>
  <c r="BE437" i="312"/>
  <c r="BV437" i="312"/>
  <c r="BX437" i="312"/>
  <c r="BB438" i="312"/>
  <c r="BC438" i="312"/>
  <c r="BE438" i="312"/>
  <c r="BV438" i="312"/>
  <c r="BX438" i="312"/>
  <c r="BB439" i="312"/>
  <c r="BC439" i="312"/>
  <c r="M444" i="269" s="1"/>
  <c r="BE439" i="312"/>
  <c r="BV439" i="312"/>
  <c r="BX439" i="312"/>
  <c r="BB440" i="312"/>
  <c r="BC440" i="312"/>
  <c r="M445" i="269" s="1"/>
  <c r="N445" i="269" s="1"/>
  <c r="BE440" i="312"/>
  <c r="BV440" i="312"/>
  <c r="BX440" i="312"/>
  <c r="BB441" i="312"/>
  <c r="CD441" i="312"/>
  <c r="BC441" i="312"/>
  <c r="M446" i="269" s="1"/>
  <c r="BE441" i="312"/>
  <c r="BV441" i="312"/>
  <c r="BX441" i="312"/>
  <c r="BB442" i="312"/>
  <c r="BC442" i="312"/>
  <c r="M447" i="269"/>
  <c r="BE442" i="312"/>
  <c r="BV442" i="312"/>
  <c r="BX442" i="312"/>
  <c r="BB443" i="312"/>
  <c r="BC443" i="312"/>
  <c r="M448" i="269" s="1"/>
  <c r="BE443" i="312"/>
  <c r="BV443" i="312"/>
  <c r="BX443" i="312"/>
  <c r="BB444" i="312"/>
  <c r="BC444" i="312"/>
  <c r="M449" i="269"/>
  <c r="N449" i="269" s="1"/>
  <c r="BE444" i="312"/>
  <c r="BV444" i="312"/>
  <c r="BX444" i="312"/>
  <c r="BB445" i="312"/>
  <c r="CD445" i="312" s="1"/>
  <c r="BC445" i="312"/>
  <c r="M450" i="269"/>
  <c r="N450" i="269" s="1"/>
  <c r="BE445" i="312"/>
  <c r="BV445" i="312"/>
  <c r="BX445" i="312"/>
  <c r="BB446" i="312"/>
  <c r="BC446" i="312"/>
  <c r="BE446" i="312"/>
  <c r="BV446" i="312"/>
  <c r="BX446" i="312"/>
  <c r="BB447" i="312"/>
  <c r="BC447" i="312"/>
  <c r="M452" i="269"/>
  <c r="N452" i="269" s="1"/>
  <c r="BE447" i="312"/>
  <c r="BV447" i="312"/>
  <c r="BX447" i="312"/>
  <c r="BB448" i="312"/>
  <c r="BF448" i="312" s="1"/>
  <c r="BT448" i="312" s="1"/>
  <c r="BO448" i="312" s="1"/>
  <c r="P453" i="269" s="1"/>
  <c r="Q453" i="269" s="1"/>
  <c r="BC448" i="312"/>
  <c r="BE448" i="312"/>
  <c r="BV448" i="312"/>
  <c r="BX448" i="312"/>
  <c r="BB449" i="312"/>
  <c r="CD449" i="312"/>
  <c r="BC449" i="312"/>
  <c r="M454" i="269" s="1"/>
  <c r="N454" i="269" s="1"/>
  <c r="BE449" i="312"/>
  <c r="BV449" i="312"/>
  <c r="BX449" i="312"/>
  <c r="BB450" i="312"/>
  <c r="CD450" i="312" s="1"/>
  <c r="BC450" i="312"/>
  <c r="M455" i="269"/>
  <c r="BE450" i="312"/>
  <c r="BV450" i="312"/>
  <c r="BX450" i="312"/>
  <c r="BB451" i="312"/>
  <c r="BC451" i="312"/>
  <c r="M456" i="269" s="1"/>
  <c r="BE451" i="312"/>
  <c r="BV451" i="312"/>
  <c r="BX451" i="312"/>
  <c r="BB452" i="312"/>
  <c r="CD452" i="312" s="1"/>
  <c r="BC452" i="312"/>
  <c r="BE452" i="312"/>
  <c r="BV452" i="312"/>
  <c r="BX452" i="312"/>
  <c r="BB453" i="312"/>
  <c r="BC453" i="312"/>
  <c r="M458" i="269" s="1"/>
  <c r="BE453" i="312"/>
  <c r="BV453" i="312"/>
  <c r="BX453" i="312"/>
  <c r="BB454" i="312"/>
  <c r="BC454" i="312"/>
  <c r="M459" i="269" s="1"/>
  <c r="BE454" i="312"/>
  <c r="BV454" i="312"/>
  <c r="BX454" i="312"/>
  <c r="BB455" i="312"/>
  <c r="CD455" i="312"/>
  <c r="BC455" i="312"/>
  <c r="BE455" i="312"/>
  <c r="BV455" i="312"/>
  <c r="BX455" i="312"/>
  <c r="BB456" i="312"/>
  <c r="BC456" i="312"/>
  <c r="M461" i="269" s="1"/>
  <c r="N461" i="269" s="1"/>
  <c r="BE456" i="312"/>
  <c r="BV456" i="312"/>
  <c r="BX456" i="312"/>
  <c r="BB457" i="312"/>
  <c r="CD457" i="312" s="1"/>
  <c r="BC457" i="312"/>
  <c r="M462" i="269" s="1"/>
  <c r="N462" i="269" s="1"/>
  <c r="BE457" i="312"/>
  <c r="BV457" i="312"/>
  <c r="BX457" i="312"/>
  <c r="BB458" i="312"/>
  <c r="BC458" i="312"/>
  <c r="M463" i="269" s="1"/>
  <c r="BE458" i="312"/>
  <c r="BV458" i="312"/>
  <c r="BX458" i="312"/>
  <c r="BB459" i="312"/>
  <c r="BC459" i="312"/>
  <c r="M464" i="269" s="1"/>
  <c r="N464" i="269" s="1"/>
  <c r="BE459" i="312"/>
  <c r="BV459" i="312"/>
  <c r="BX459" i="312"/>
  <c r="BB460" i="312"/>
  <c r="CD460" i="312" s="1"/>
  <c r="BC460" i="312"/>
  <c r="M465" i="269" s="1"/>
  <c r="N465" i="269" s="1"/>
  <c r="BE460" i="312"/>
  <c r="BV460" i="312"/>
  <c r="BX460" i="312"/>
  <c r="BB461" i="312"/>
  <c r="BC461" i="312"/>
  <c r="M466" i="269" s="1"/>
  <c r="N466" i="269" s="1"/>
  <c r="BE461" i="312"/>
  <c r="BV461" i="312"/>
  <c r="BX461" i="312"/>
  <c r="BB462" i="312"/>
  <c r="CD462" i="312" s="1"/>
  <c r="BC462" i="312"/>
  <c r="M467" i="269" s="1"/>
  <c r="BE462" i="312"/>
  <c r="BV462" i="312"/>
  <c r="BX462" i="312"/>
  <c r="BB463" i="312"/>
  <c r="CD463" i="312" s="1"/>
  <c r="BC463" i="312"/>
  <c r="M468" i="269"/>
  <c r="N468" i="269" s="1"/>
  <c r="BE463" i="312"/>
  <c r="BV463" i="312"/>
  <c r="BX463" i="312"/>
  <c r="BB464" i="312"/>
  <c r="BC464" i="312"/>
  <c r="M469" i="269" s="1"/>
  <c r="N469" i="269" s="1"/>
  <c r="BE464" i="312"/>
  <c r="BV464" i="312"/>
  <c r="BX464" i="312"/>
  <c r="BB465" i="312"/>
  <c r="BF465" i="312" s="1"/>
  <c r="BC465" i="312"/>
  <c r="M470" i="269" s="1"/>
  <c r="BE465" i="312"/>
  <c r="BV465" i="312"/>
  <c r="BX465" i="312"/>
  <c r="BB466" i="312"/>
  <c r="CD466" i="312" s="1"/>
  <c r="BC466" i="312"/>
  <c r="M471" i="269" s="1"/>
  <c r="N471" i="269" s="1"/>
  <c r="BE466" i="312"/>
  <c r="BV466" i="312"/>
  <c r="BX466" i="312"/>
  <c r="BB467" i="312"/>
  <c r="CD467" i="312" s="1"/>
  <c r="BC467" i="312"/>
  <c r="M472" i="269" s="1"/>
  <c r="N472" i="269" s="1"/>
  <c r="BE467" i="312"/>
  <c r="BV467" i="312"/>
  <c r="BX467" i="312"/>
  <c r="BB468" i="312"/>
  <c r="CD468" i="312" s="1"/>
  <c r="BC468" i="312"/>
  <c r="M473" i="269" s="1"/>
  <c r="BE468" i="312"/>
  <c r="BV468" i="312"/>
  <c r="BX468" i="312"/>
  <c r="BB469" i="312"/>
  <c r="CD469" i="312" s="1"/>
  <c r="BC469" i="312"/>
  <c r="M474" i="269" s="1"/>
  <c r="N474" i="269" s="1"/>
  <c r="BE469" i="312"/>
  <c r="BV469" i="312"/>
  <c r="BX469" i="312"/>
  <c r="BB470" i="312"/>
  <c r="CD470" i="312"/>
  <c r="BC470" i="312"/>
  <c r="M475" i="269" s="1"/>
  <c r="N475" i="269" s="1"/>
  <c r="BE470" i="312"/>
  <c r="BV470" i="312"/>
  <c r="BX470" i="312"/>
  <c r="BB471" i="312"/>
  <c r="BC471" i="312"/>
  <c r="M476" i="269" s="1"/>
  <c r="BE471" i="312"/>
  <c r="BV471" i="312"/>
  <c r="BX471" i="312"/>
  <c r="BB472" i="312"/>
  <c r="BC472" i="312"/>
  <c r="M477" i="269" s="1"/>
  <c r="BE472" i="312"/>
  <c r="BV472" i="312"/>
  <c r="BX472" i="312"/>
  <c r="BB473" i="312"/>
  <c r="BC473" i="312"/>
  <c r="M478" i="269" s="1"/>
  <c r="BE473" i="312"/>
  <c r="BV473" i="312"/>
  <c r="BX473" i="312"/>
  <c r="BB474" i="312"/>
  <c r="CD474" i="312"/>
  <c r="BC474" i="312"/>
  <c r="BE474" i="312"/>
  <c r="BV474" i="312"/>
  <c r="BX474" i="312"/>
  <c r="BB475" i="312"/>
  <c r="BC475" i="312"/>
  <c r="M480" i="269" s="1"/>
  <c r="BE475" i="312"/>
  <c r="BV475" i="312"/>
  <c r="BX475" i="312"/>
  <c r="BB476" i="312"/>
  <c r="BC476" i="312"/>
  <c r="M481" i="269"/>
  <c r="BE476" i="312"/>
  <c r="BV476" i="312"/>
  <c r="BX476" i="312"/>
  <c r="BB477" i="312"/>
  <c r="CD477" i="312" s="1"/>
  <c r="BC477" i="312"/>
  <c r="BE477" i="312"/>
  <c r="BV477" i="312"/>
  <c r="BX477" i="312"/>
  <c r="BB478" i="312"/>
  <c r="CD478" i="312" s="1"/>
  <c r="BC478" i="312"/>
  <c r="BE478" i="312"/>
  <c r="BV478" i="312"/>
  <c r="BX478" i="312"/>
  <c r="BB479" i="312"/>
  <c r="CD479" i="312" s="1"/>
  <c r="BC479" i="312"/>
  <c r="M484" i="269" s="1"/>
  <c r="N484" i="269" s="1"/>
  <c r="BE479" i="312"/>
  <c r="BV479" i="312"/>
  <c r="BX479" i="312"/>
  <c r="BB480" i="312"/>
  <c r="CD480" i="312" s="1"/>
  <c r="BC480" i="312"/>
  <c r="M485" i="269" s="1"/>
  <c r="N485" i="269" s="1"/>
  <c r="BE480" i="312"/>
  <c r="BV480" i="312"/>
  <c r="BX480" i="312"/>
  <c r="BB481" i="312"/>
  <c r="CD481" i="312" s="1"/>
  <c r="BC481" i="312"/>
  <c r="M486" i="269" s="1"/>
  <c r="BE481" i="312"/>
  <c r="BV481" i="312"/>
  <c r="BX481" i="312"/>
  <c r="BB482" i="312"/>
  <c r="CD482" i="312" s="1"/>
  <c r="BC482" i="312"/>
  <c r="BE482" i="312"/>
  <c r="BV482" i="312"/>
  <c r="BX482" i="312"/>
  <c r="BB483" i="312"/>
  <c r="BC483" i="312"/>
  <c r="M488" i="269" s="1"/>
  <c r="N488" i="269" s="1"/>
  <c r="BE483" i="312"/>
  <c r="BV483" i="312"/>
  <c r="BX483" i="312"/>
  <c r="BB484" i="312"/>
  <c r="CD484" i="312" s="1"/>
  <c r="BC484" i="312"/>
  <c r="M489" i="269" s="1"/>
  <c r="BE484" i="312"/>
  <c r="BV484" i="312"/>
  <c r="BX484" i="312"/>
  <c r="BB485" i="312"/>
  <c r="CD485" i="312" s="1"/>
  <c r="BC485" i="312"/>
  <c r="M490" i="269" s="1"/>
  <c r="BE485" i="312"/>
  <c r="BV485" i="312"/>
  <c r="BX485" i="312"/>
  <c r="BB486" i="312"/>
  <c r="BC486" i="312"/>
  <c r="M491" i="269" s="1"/>
  <c r="N491" i="269" s="1"/>
  <c r="BE486" i="312"/>
  <c r="BV486" i="312"/>
  <c r="BX486" i="312"/>
  <c r="BB487" i="312"/>
  <c r="CD487" i="312" s="1"/>
  <c r="BC487" i="312"/>
  <c r="M492" i="269"/>
  <c r="BE487" i="312"/>
  <c r="BV487" i="312"/>
  <c r="BX487" i="312"/>
  <c r="BB488" i="312"/>
  <c r="BF488" i="312" s="1"/>
  <c r="BT488" i="312" s="1"/>
  <c r="BC488" i="312"/>
  <c r="BE488" i="312"/>
  <c r="BV488" i="312"/>
  <c r="BX488" i="312"/>
  <c r="BB489" i="312"/>
  <c r="BC489" i="312"/>
  <c r="M494" i="269"/>
  <c r="BE489" i="312"/>
  <c r="BV489" i="312"/>
  <c r="BX489" i="312"/>
  <c r="BB490" i="312"/>
  <c r="CD490" i="312" s="1"/>
  <c r="BC490" i="312"/>
  <c r="M495" i="269" s="1"/>
  <c r="N495" i="269" s="1"/>
  <c r="BE490" i="312"/>
  <c r="BV490" i="312"/>
  <c r="BX490" i="312"/>
  <c r="BB491" i="312"/>
  <c r="CD491" i="312" s="1"/>
  <c r="BC491" i="312"/>
  <c r="BE491" i="312"/>
  <c r="BV491" i="312"/>
  <c r="BX491" i="312"/>
  <c r="BB492" i="312"/>
  <c r="BC492" i="312"/>
  <c r="M497" i="269" s="1"/>
  <c r="N497" i="269" s="1"/>
  <c r="BE492" i="312"/>
  <c r="BV492" i="312"/>
  <c r="BX492" i="312"/>
  <c r="BB493" i="312"/>
  <c r="BC493" i="312"/>
  <c r="M498" i="269" s="1"/>
  <c r="BE493" i="312"/>
  <c r="BV493" i="312"/>
  <c r="BX493" i="312"/>
  <c r="BB494" i="312"/>
  <c r="CD494" i="312"/>
  <c r="BC494" i="312"/>
  <c r="M499" i="269" s="1"/>
  <c r="N499" i="269" s="1"/>
  <c r="BE494" i="312"/>
  <c r="BV494" i="312"/>
  <c r="BX494" i="312"/>
  <c r="BB495" i="312"/>
  <c r="BC495" i="312"/>
  <c r="M500" i="269" s="1"/>
  <c r="N500" i="269" s="1"/>
  <c r="BE495" i="312"/>
  <c r="BV495" i="312"/>
  <c r="BX495" i="312"/>
  <c r="G497" i="312"/>
  <c r="H497" i="312"/>
  <c r="I497" i="312"/>
  <c r="J497" i="312"/>
  <c r="K497" i="312"/>
  <c r="L497" i="312"/>
  <c r="M497" i="312"/>
  <c r="N497" i="312"/>
  <c r="O497" i="312"/>
  <c r="P497" i="312"/>
  <c r="Q497" i="312"/>
  <c r="R497" i="312"/>
  <c r="S497" i="312"/>
  <c r="T497" i="312"/>
  <c r="U497" i="312"/>
  <c r="V497" i="312"/>
  <c r="W497" i="312"/>
  <c r="X497" i="312"/>
  <c r="Y497" i="312"/>
  <c r="Z497" i="312"/>
  <c r="AA497" i="312"/>
  <c r="AB497" i="312"/>
  <c r="AC497" i="312"/>
  <c r="AD497" i="312"/>
  <c r="AE497" i="312"/>
  <c r="AF497" i="312"/>
  <c r="AG497" i="312"/>
  <c r="AH497" i="312"/>
  <c r="AI497" i="312"/>
  <c r="AJ497" i="312"/>
  <c r="AK497" i="312"/>
  <c r="AL497" i="312"/>
  <c r="AM497" i="312"/>
  <c r="AQ497" i="312"/>
  <c r="AR497" i="312"/>
  <c r="AS497" i="312"/>
  <c r="AU497" i="312"/>
  <c r="AV497" i="312"/>
  <c r="AW497" i="312"/>
  <c r="AX497" i="312"/>
  <c r="AY497" i="312"/>
  <c r="AZ497" i="312"/>
  <c r="BA497" i="312"/>
  <c r="BG497" i="312"/>
  <c r="BH497" i="312"/>
  <c r="BH498" i="312" s="1"/>
  <c r="BI497" i="312"/>
  <c r="BJ497" i="312"/>
  <c r="BK497" i="312"/>
  <c r="BL497" i="312"/>
  <c r="BM497" i="312"/>
  <c r="BM498" i="312" s="1"/>
  <c r="BN497" i="312"/>
  <c r="BP497" i="312"/>
  <c r="BQ497" i="312"/>
  <c r="BQ498" i="312" s="1"/>
  <c r="BR497" i="312"/>
  <c r="BR498" i="312" s="1"/>
  <c r="BS497" i="312"/>
  <c r="BU497" i="312"/>
  <c r="BW497" i="312"/>
  <c r="BY497" i="312"/>
  <c r="BZ497" i="312"/>
  <c r="BZ498" i="312" s="1"/>
  <c r="CA497" i="312"/>
  <c r="CA498" i="312" s="1"/>
  <c r="CB497" i="312"/>
  <c r="CC497" i="312"/>
  <c r="CG498" i="312"/>
  <c r="CH498" i="312"/>
  <c r="DK1" i="318"/>
  <c r="DM1" i="318"/>
  <c r="CW2" i="318"/>
  <c r="DK2" i="318"/>
  <c r="DM2" i="318"/>
  <c r="DK3" i="318"/>
  <c r="DM3" i="318"/>
  <c r="BD4" i="318"/>
  <c r="BE4" i="318"/>
  <c r="BF4" i="318"/>
  <c r="BG4" i="318"/>
  <c r="BH4" i="318"/>
  <c r="CU4" i="318"/>
  <c r="CV4" i="318"/>
  <c r="CW4" i="318"/>
  <c r="CX4" i="318"/>
  <c r="CY4" i="318"/>
  <c r="DK4" i="318"/>
  <c r="BD5" i="318"/>
  <c r="BE5" i="318"/>
  <c r="BF5" i="318"/>
  <c r="BG5" i="318"/>
  <c r="BH5" i="318"/>
  <c r="BK5" i="318"/>
  <c r="CU5" i="318"/>
  <c r="CV5" i="318"/>
  <c r="CW5" i="318"/>
  <c r="CX5" i="318"/>
  <c r="CY5" i="318"/>
  <c r="DK5" i="318"/>
  <c r="EC5" i="318"/>
  <c r="ED5" i="318"/>
  <c r="EE5" i="318"/>
  <c r="EF5" i="318"/>
  <c r="EH5" i="318"/>
  <c r="BD6" i="318"/>
  <c r="BE6" i="318"/>
  <c r="BF6" i="318"/>
  <c r="BG6" i="318"/>
  <c r="BH6" i="318"/>
  <c r="CU6" i="318"/>
  <c r="CV6" i="318"/>
  <c r="CW6" i="318"/>
  <c r="CX6" i="318"/>
  <c r="CY6" i="318"/>
  <c r="EC6" i="318"/>
  <c r="ED6" i="318"/>
  <c r="EE6" i="318"/>
  <c r="EF6" i="318"/>
  <c r="EH6" i="318"/>
  <c r="BD7" i="318"/>
  <c r="BE7" i="318"/>
  <c r="BF7" i="318"/>
  <c r="BG7" i="318"/>
  <c r="BH7" i="318"/>
  <c r="CU7" i="318"/>
  <c r="CV7" i="318"/>
  <c r="CW7" i="318"/>
  <c r="CX7" i="318"/>
  <c r="CY7" i="318"/>
  <c r="EC7" i="318"/>
  <c r="ED7" i="318"/>
  <c r="EE7" i="318"/>
  <c r="EF7" i="318"/>
  <c r="EH7" i="318"/>
  <c r="C8" i="318"/>
  <c r="D8" i="318"/>
  <c r="E8" i="318"/>
  <c r="F8" i="318"/>
  <c r="G8" i="318"/>
  <c r="H8" i="318"/>
  <c r="I8" i="318"/>
  <c r="J8" i="318"/>
  <c r="K8" i="318"/>
  <c r="L8" i="318"/>
  <c r="M8" i="318"/>
  <c r="N8" i="318"/>
  <c r="O8" i="318"/>
  <c r="P8" i="318"/>
  <c r="Q8" i="318"/>
  <c r="S8" i="318"/>
  <c r="T8" i="318"/>
  <c r="U8" i="318"/>
  <c r="V8" i="318"/>
  <c r="W8" i="318"/>
  <c r="X8" i="318"/>
  <c r="Y8" i="318"/>
  <c r="Z8" i="318"/>
  <c r="AA8" i="318"/>
  <c r="AB8" i="318"/>
  <c r="AC8" i="318"/>
  <c r="AD8" i="318"/>
  <c r="AE8" i="318"/>
  <c r="AF8" i="318"/>
  <c r="AG8" i="318"/>
  <c r="AH8" i="318"/>
  <c r="AI8" i="318"/>
  <c r="AJ8" i="318"/>
  <c r="AK8" i="318"/>
  <c r="AL8" i="318"/>
  <c r="AR8" i="318"/>
  <c r="AS8" i="318"/>
  <c r="AT8" i="318"/>
  <c r="AU8" i="318"/>
  <c r="AZ8" i="318"/>
  <c r="BG2" i="318" s="1"/>
  <c r="BA8" i="318"/>
  <c r="BB8" i="318"/>
  <c r="BC8" i="318"/>
  <c r="BD8" i="318"/>
  <c r="BE8" i="318"/>
  <c r="BF8" i="318"/>
  <c r="BG8" i="318"/>
  <c r="BH8" i="318"/>
  <c r="BI8" i="318"/>
  <c r="BJ8" i="318"/>
  <c r="BK8" i="318"/>
  <c r="BL8" i="318"/>
  <c r="BM8" i="318"/>
  <c r="BN8" i="318"/>
  <c r="BO8" i="318"/>
  <c r="BP8" i="318"/>
  <c r="BQ8" i="318"/>
  <c r="BR8" i="318"/>
  <c r="BS8" i="318"/>
  <c r="BT8" i="318"/>
  <c r="BU8" i="318"/>
  <c r="BV8" i="318"/>
  <c r="BW8" i="318"/>
  <c r="BX8" i="318"/>
  <c r="BY8" i="318"/>
  <c r="BZ8" i="318"/>
  <c r="CA8" i="318"/>
  <c r="CB8" i="318"/>
  <c r="CC8" i="318"/>
  <c r="CD8" i="318"/>
  <c r="CE8" i="318"/>
  <c r="CF8" i="318"/>
  <c r="CG8" i="318"/>
  <c r="CH8" i="318"/>
  <c r="CI8" i="318"/>
  <c r="CJ8" i="318"/>
  <c r="CK8" i="318"/>
  <c r="CL8" i="318"/>
  <c r="CM8" i="318"/>
  <c r="CU2" i="318" s="1"/>
  <c r="CN8" i="318"/>
  <c r="CV2" i="318" s="1"/>
  <c r="CO8" i="318"/>
  <c r="CP8" i="318"/>
  <c r="CX2" i="318" s="1"/>
  <c r="CQ8" i="318"/>
  <c r="CR8" i="318"/>
  <c r="CS8" i="318"/>
  <c r="CT8" i="318"/>
  <c r="CU8" i="318"/>
  <c r="CV8" i="318"/>
  <c r="CW8" i="318"/>
  <c r="CX8" i="318"/>
  <c r="CY8" i="318"/>
  <c r="CZ8" i="318"/>
  <c r="DA8" i="318"/>
  <c r="DB8" i="318"/>
  <c r="DC8" i="318"/>
  <c r="DD8" i="318"/>
  <c r="DE8" i="318"/>
  <c r="DF8" i="318"/>
  <c r="DG8" i="318"/>
  <c r="DH8" i="318"/>
  <c r="DI8" i="318"/>
  <c r="DJ8" i="318"/>
  <c r="DK8" i="318"/>
  <c r="DL8" i="318"/>
  <c r="DM8" i="318"/>
  <c r="DN8" i="318"/>
  <c r="DO8" i="318"/>
  <c r="DP8" i="318"/>
  <c r="DQ8" i="318"/>
  <c r="DR8" i="318"/>
  <c r="EC3" i="318" s="1"/>
  <c r="DS8" i="318"/>
  <c r="DT8" i="318"/>
  <c r="ED3" i="318" s="1"/>
  <c r="DU8" i="318"/>
  <c r="DV8" i="318"/>
  <c r="EE3" i="318"/>
  <c r="EC8" i="318"/>
  <c r="ED8" i="318"/>
  <c r="EE8" i="318"/>
  <c r="EF8" i="318"/>
  <c r="EH8" i="318"/>
  <c r="R9" i="318"/>
  <c r="AM9" i="318"/>
  <c r="AW9" i="318"/>
  <c r="AX9" i="318"/>
  <c r="AY9" i="318"/>
  <c r="EC9" i="318"/>
  <c r="ED9" i="318"/>
  <c r="EE9" i="318"/>
  <c r="EF9" i="318"/>
  <c r="EH9" i="318"/>
  <c r="R10" i="318"/>
  <c r="AN10" i="318" s="1"/>
  <c r="AV10" i="318" s="1"/>
  <c r="J18" i="269" s="1"/>
  <c r="K18" i="269" s="1"/>
  <c r="AM10" i="318"/>
  <c r="AQ10" i="318"/>
  <c r="AW10" i="318"/>
  <c r="AX10" i="318"/>
  <c r="AY10" i="318"/>
  <c r="EC10" i="318"/>
  <c r="ED10" i="318"/>
  <c r="EE10" i="318"/>
  <c r="EF10" i="318"/>
  <c r="EH10" i="318"/>
  <c r="R11" i="318"/>
  <c r="AN11" i="318" s="1"/>
  <c r="AV11" i="318" s="1"/>
  <c r="J19" i="269" s="1"/>
  <c r="K19" i="269" s="1"/>
  <c r="AM11" i="318"/>
  <c r="AQ11" i="318"/>
  <c r="AW11" i="318"/>
  <c r="AX11" i="318"/>
  <c r="AY11" i="318"/>
  <c r="R12" i="318"/>
  <c r="AM12" i="318"/>
  <c r="AN12" i="318" s="1"/>
  <c r="AV12" i="318" s="1"/>
  <c r="J20" i="269" s="1"/>
  <c r="K20" i="269" s="1"/>
  <c r="AQ12" i="318"/>
  <c r="AW12" i="318"/>
  <c r="AX12" i="318"/>
  <c r="AY12" i="318"/>
  <c r="R13" i="318"/>
  <c r="AM13" i="318"/>
  <c r="AQ13" i="318"/>
  <c r="AW13" i="318"/>
  <c r="AX13" i="318"/>
  <c r="AY13" i="318"/>
  <c r="R14" i="318"/>
  <c r="AN14" i="318" s="1"/>
  <c r="AV14" i="318" s="1"/>
  <c r="J22" i="269" s="1"/>
  <c r="K22" i="269" s="1"/>
  <c r="AM14" i="318"/>
  <c r="AQ14" i="318"/>
  <c r="AW14" i="318"/>
  <c r="AX14" i="318"/>
  <c r="AY14" i="318"/>
  <c r="R15" i="318"/>
  <c r="AM15" i="318"/>
  <c r="AQ15" i="318"/>
  <c r="AW15" i="318"/>
  <c r="AX15" i="318"/>
  <c r="AY15" i="318"/>
  <c r="R16" i="318"/>
  <c r="AN16" i="318" s="1"/>
  <c r="AV16" i="318" s="1"/>
  <c r="J24" i="269" s="1"/>
  <c r="K24" i="269" s="1"/>
  <c r="AM16" i="318"/>
  <c r="AQ16" i="318"/>
  <c r="AW16" i="318"/>
  <c r="AX16" i="318"/>
  <c r="AY16" i="318"/>
  <c r="R17" i="318"/>
  <c r="AN17" i="318" s="1"/>
  <c r="AV17" i="318" s="1"/>
  <c r="J25" i="269" s="1"/>
  <c r="K25" i="269" s="1"/>
  <c r="AM17" i="318"/>
  <c r="AQ17" i="318"/>
  <c r="AW17" i="318"/>
  <c r="AX17" i="318"/>
  <c r="AY17" i="318"/>
  <c r="R18" i="318"/>
  <c r="AM18" i="318"/>
  <c r="AN18" i="318"/>
  <c r="AV18" i="318" s="1"/>
  <c r="J26" i="269" s="1"/>
  <c r="K26" i="269" s="1"/>
  <c r="AQ18" i="318"/>
  <c r="AW18" i="318"/>
  <c r="AX18" i="318"/>
  <c r="AY18" i="318"/>
  <c r="R19" i="318"/>
  <c r="AN19" i="318" s="1"/>
  <c r="AV19" i="318" s="1"/>
  <c r="J27" i="269" s="1"/>
  <c r="K27" i="269" s="1"/>
  <c r="AM19" i="318"/>
  <c r="AQ19" i="318"/>
  <c r="AW19" i="318"/>
  <c r="AX19" i="318"/>
  <c r="AY19" i="318"/>
  <c r="R20" i="318"/>
  <c r="AM20" i="318"/>
  <c r="AN20" i="318" s="1"/>
  <c r="AV20" i="318" s="1"/>
  <c r="J28" i="269" s="1"/>
  <c r="K28" i="269" s="1"/>
  <c r="AQ20" i="318"/>
  <c r="AW20" i="318"/>
  <c r="AX20" i="318"/>
  <c r="AY20" i="318"/>
  <c r="R21" i="318"/>
  <c r="AM21" i="318"/>
  <c r="AN21" i="318"/>
  <c r="AV21" i="318" s="1"/>
  <c r="J29" i="269" s="1"/>
  <c r="K29" i="269" s="1"/>
  <c r="AQ21" i="318"/>
  <c r="AW21" i="318"/>
  <c r="AX21" i="318"/>
  <c r="AY21" i="318"/>
  <c r="R22" i="318"/>
  <c r="AM22" i="318"/>
  <c r="AQ22" i="318"/>
  <c r="AW22" i="318"/>
  <c r="AX22" i="318"/>
  <c r="AY22" i="318"/>
  <c r="R23" i="318"/>
  <c r="AN23" i="318" s="1"/>
  <c r="AV23" i="318" s="1"/>
  <c r="J31" i="269" s="1"/>
  <c r="K31" i="269" s="1"/>
  <c r="AM23" i="318"/>
  <c r="AQ23" i="318"/>
  <c r="AW23" i="318"/>
  <c r="AX23" i="318"/>
  <c r="AY23" i="318"/>
  <c r="R24" i="318"/>
  <c r="AM24" i="318"/>
  <c r="AQ24" i="318"/>
  <c r="AW24" i="318"/>
  <c r="AX24" i="318"/>
  <c r="AY24" i="318"/>
  <c r="R25" i="318"/>
  <c r="AM25" i="318"/>
  <c r="AN25" i="318"/>
  <c r="AV25" i="318" s="1"/>
  <c r="J33" i="269" s="1"/>
  <c r="K33" i="269" s="1"/>
  <c r="AQ25" i="318"/>
  <c r="AW25" i="318"/>
  <c r="AX25" i="318"/>
  <c r="AY25" i="318"/>
  <c r="R26" i="318"/>
  <c r="AM26" i="318"/>
  <c r="AQ26" i="318"/>
  <c r="AW26" i="318"/>
  <c r="AX26" i="318"/>
  <c r="AY26" i="318"/>
  <c r="R27" i="318"/>
  <c r="AN27" i="318" s="1"/>
  <c r="AV27" i="318" s="1"/>
  <c r="J35" i="269" s="1"/>
  <c r="K35" i="269" s="1"/>
  <c r="AM27" i="318"/>
  <c r="AQ27" i="318"/>
  <c r="AW27" i="318"/>
  <c r="AX27" i="318"/>
  <c r="AY27" i="318"/>
  <c r="R28" i="318"/>
  <c r="AM28" i="318"/>
  <c r="AQ28" i="318"/>
  <c r="AW28" i="318"/>
  <c r="AX28" i="318"/>
  <c r="AY28" i="318"/>
  <c r="R29" i="318"/>
  <c r="AM29" i="318"/>
  <c r="AN29" i="318"/>
  <c r="AV29" i="318" s="1"/>
  <c r="J37" i="269" s="1"/>
  <c r="K37" i="269" s="1"/>
  <c r="AQ29" i="318"/>
  <c r="AW29" i="318"/>
  <c r="AX29" i="318"/>
  <c r="AY29" i="318"/>
  <c r="R30" i="318"/>
  <c r="AM30" i="318"/>
  <c r="AQ30" i="318"/>
  <c r="AW30" i="318"/>
  <c r="AX30" i="318"/>
  <c r="AY30" i="318"/>
  <c r="R31" i="318"/>
  <c r="AN31" i="318" s="1"/>
  <c r="AV31" i="318" s="1"/>
  <c r="J39" i="269" s="1"/>
  <c r="K39" i="269" s="1"/>
  <c r="AM31" i="318"/>
  <c r="AQ31" i="318"/>
  <c r="AW31" i="318"/>
  <c r="AX31" i="318"/>
  <c r="AY31" i="318"/>
  <c r="R32" i="318"/>
  <c r="AM32" i="318"/>
  <c r="AQ32" i="318"/>
  <c r="AW32" i="318"/>
  <c r="AX32" i="318"/>
  <c r="AY32" i="318"/>
  <c r="R33" i="318"/>
  <c r="AM33" i="318"/>
  <c r="AN33" i="318"/>
  <c r="AV33" i="318" s="1"/>
  <c r="J41" i="269" s="1"/>
  <c r="K41" i="269" s="1"/>
  <c r="AQ33" i="318"/>
  <c r="AW33" i="318"/>
  <c r="AX33" i="318"/>
  <c r="AY33" i="318"/>
  <c r="R34" i="318"/>
  <c r="AM34" i="318"/>
  <c r="AQ34" i="318"/>
  <c r="AW34" i="318"/>
  <c r="AX34" i="318"/>
  <c r="AY34" i="318"/>
  <c r="R35" i="318"/>
  <c r="AN35" i="318" s="1"/>
  <c r="AV35" i="318" s="1"/>
  <c r="J43" i="269" s="1"/>
  <c r="K43" i="269" s="1"/>
  <c r="AM35" i="318"/>
  <c r="AQ35" i="318"/>
  <c r="AW35" i="318"/>
  <c r="AX35" i="318"/>
  <c r="AY35" i="318"/>
  <c r="R36" i="318"/>
  <c r="AM36" i="318"/>
  <c r="AQ36" i="318"/>
  <c r="AW36" i="318"/>
  <c r="AX36" i="318"/>
  <c r="AY36" i="318"/>
  <c r="R37" i="318"/>
  <c r="AM37" i="318"/>
  <c r="AN37" i="318"/>
  <c r="AV37" i="318" s="1"/>
  <c r="J45" i="269" s="1"/>
  <c r="K45" i="269" s="1"/>
  <c r="AQ37" i="318"/>
  <c r="AW37" i="318"/>
  <c r="AX37" i="318"/>
  <c r="AY37" i="318"/>
  <c r="R38" i="318"/>
  <c r="AM38" i="318"/>
  <c r="AQ38" i="318"/>
  <c r="AW38" i="318"/>
  <c r="AX38" i="318"/>
  <c r="AY38" i="318"/>
  <c r="R39" i="318"/>
  <c r="AN39" i="318" s="1"/>
  <c r="AV39" i="318" s="1"/>
  <c r="J47" i="269" s="1"/>
  <c r="K47" i="269" s="1"/>
  <c r="AM39" i="318"/>
  <c r="AQ39" i="318"/>
  <c r="AW39" i="318"/>
  <c r="AX39" i="318"/>
  <c r="AY39" i="318"/>
  <c r="R40" i="318"/>
  <c r="AM40" i="318"/>
  <c r="AW40" i="318"/>
  <c r="AX40" i="318"/>
  <c r="AY40" i="318"/>
  <c r="R41" i="318"/>
  <c r="AN41" i="318" s="1"/>
  <c r="AM41" i="318"/>
  <c r="AW41" i="318"/>
  <c r="AX41" i="318"/>
  <c r="AY41" i="318"/>
  <c r="R42" i="318"/>
  <c r="AM42" i="318"/>
  <c r="AW42" i="318"/>
  <c r="AX42" i="318"/>
  <c r="AY42" i="318"/>
  <c r="R43" i="318"/>
  <c r="AN43" i="318" s="1"/>
  <c r="AQ43" i="318" s="1"/>
  <c r="AM43" i="318"/>
  <c r="AW43" i="318"/>
  <c r="AX43" i="318"/>
  <c r="AY43" i="318"/>
  <c r="R44" i="318"/>
  <c r="AM44" i="318"/>
  <c r="AN44" i="318" s="1"/>
  <c r="AQ44" i="318" s="1"/>
  <c r="AW44" i="318"/>
  <c r="AX44" i="318"/>
  <c r="AY44" i="318"/>
  <c r="R45" i="318"/>
  <c r="AM45" i="318"/>
  <c r="AW45" i="318"/>
  <c r="AX45" i="318"/>
  <c r="AY45" i="318"/>
  <c r="R46" i="318"/>
  <c r="AM46" i="318"/>
  <c r="AN46" i="318" s="1"/>
  <c r="AW46" i="318"/>
  <c r="AX46" i="318"/>
  <c r="AY46" i="318"/>
  <c r="R47" i="318"/>
  <c r="AN47" i="318" s="1"/>
  <c r="AM47" i="318"/>
  <c r="AW47" i="318"/>
  <c r="AX47" i="318"/>
  <c r="AY47" i="318"/>
  <c r="R48" i="318"/>
  <c r="AN48" i="318" s="1"/>
  <c r="AQ48" i="318" s="1"/>
  <c r="AM48" i="318"/>
  <c r="AW48" i="318"/>
  <c r="AX48" i="318"/>
  <c r="AY48" i="318"/>
  <c r="R49" i="318"/>
  <c r="AM49" i="318"/>
  <c r="AN49" i="318" s="1"/>
  <c r="AW49" i="318"/>
  <c r="AX49" i="318"/>
  <c r="AY49" i="318"/>
  <c r="R50" i="318"/>
  <c r="AM50" i="318"/>
  <c r="AW50" i="318"/>
  <c r="AX50" i="318"/>
  <c r="AY50" i="318"/>
  <c r="R51" i="318"/>
  <c r="AM51" i="318"/>
  <c r="AN51" i="318"/>
  <c r="AW51" i="318"/>
  <c r="AX51" i="318"/>
  <c r="AY51" i="318"/>
  <c r="R52" i="318"/>
  <c r="AM52" i="318"/>
  <c r="AW52" i="318"/>
  <c r="AX52" i="318"/>
  <c r="AY52" i="318"/>
  <c r="R53" i="318"/>
  <c r="AN53" i="318" s="1"/>
  <c r="AQ53" i="318" s="1"/>
  <c r="AM53" i="318"/>
  <c r="AW53" i="318"/>
  <c r="AX53" i="318"/>
  <c r="AY53" i="318"/>
  <c r="R54" i="318"/>
  <c r="AM54" i="318"/>
  <c r="AN54" i="318" s="1"/>
  <c r="AW54" i="318"/>
  <c r="AX54" i="318"/>
  <c r="AY54" i="318"/>
  <c r="AM55" i="318"/>
  <c r="AN55" i="318" s="1"/>
  <c r="AQ55" i="318" s="1"/>
  <c r="AW55" i="318"/>
  <c r="AX55" i="318"/>
  <c r="AY55" i="318"/>
  <c r="AM56" i="318"/>
  <c r="AW56" i="318"/>
  <c r="AX56" i="318"/>
  <c r="AY56" i="318"/>
  <c r="AM57" i="318"/>
  <c r="AP57" i="318" s="1"/>
  <c r="F65" i="269" s="1"/>
  <c r="G65" i="269" s="1"/>
  <c r="AN57" i="318"/>
  <c r="AQ57" i="318" s="1"/>
  <c r="AW57" i="318"/>
  <c r="AX57" i="318"/>
  <c r="AY57" i="318"/>
  <c r="AM58" i="318"/>
  <c r="AP58" i="318"/>
  <c r="F66" i="269"/>
  <c r="G66" i="269" s="1"/>
  <c r="AN58" i="318"/>
  <c r="AQ58" i="318" s="1"/>
  <c r="AW58" i="318"/>
  <c r="AX58" i="318"/>
  <c r="AY58" i="318"/>
  <c r="AM59" i="318"/>
  <c r="AP59" i="318"/>
  <c r="F67" i="269" s="1"/>
  <c r="G67" i="269" s="1"/>
  <c r="AW59" i="318"/>
  <c r="AX59" i="318"/>
  <c r="AY59" i="318"/>
  <c r="AM60" i="318"/>
  <c r="AP60" i="318" s="1"/>
  <c r="F68" i="269" s="1"/>
  <c r="G68" i="269" s="1"/>
  <c r="AN60" i="318"/>
  <c r="AQ60" i="318" s="1"/>
  <c r="AW60" i="318"/>
  <c r="AX60" i="318"/>
  <c r="AY60" i="318"/>
  <c r="AM61" i="318"/>
  <c r="AP61" i="318" s="1"/>
  <c r="F69" i="269" s="1"/>
  <c r="G69" i="269" s="1"/>
  <c r="AW61" i="318"/>
  <c r="AX61" i="318"/>
  <c r="AY61" i="318"/>
  <c r="AM62" i="318"/>
  <c r="AN62" i="318" s="1"/>
  <c r="AQ62" i="318" s="1"/>
  <c r="AW62" i="318"/>
  <c r="AX62" i="318"/>
  <c r="AY62" i="318"/>
  <c r="AM63" i="318"/>
  <c r="AN63" i="318" s="1"/>
  <c r="AQ63" i="318" s="1"/>
  <c r="AP63" i="318"/>
  <c r="F71" i="269"/>
  <c r="G71" i="269" s="1"/>
  <c r="AW63" i="318"/>
  <c r="AX63" i="318"/>
  <c r="AY63" i="318"/>
  <c r="AM64" i="318"/>
  <c r="AP64" i="318" s="1"/>
  <c r="F72" i="269" s="1"/>
  <c r="G72" i="269" s="1"/>
  <c r="AN64" i="318"/>
  <c r="AQ64" i="318" s="1"/>
  <c r="AW64" i="318"/>
  <c r="AX64" i="318"/>
  <c r="AY64" i="318"/>
  <c r="AM65" i="318"/>
  <c r="AN65" i="318" s="1"/>
  <c r="AQ65" i="318" s="1"/>
  <c r="AW65" i="318"/>
  <c r="AX65" i="318"/>
  <c r="AY65" i="318"/>
  <c r="AM66" i="318"/>
  <c r="AW66" i="318"/>
  <c r="AX66" i="318"/>
  <c r="AY66" i="318"/>
  <c r="AM67" i="318"/>
  <c r="AN67" i="318" s="1"/>
  <c r="AQ67" i="318" s="1"/>
  <c r="AP67" i="318"/>
  <c r="F75" i="269" s="1"/>
  <c r="G75" i="269" s="1"/>
  <c r="AW67" i="318"/>
  <c r="AX67" i="318"/>
  <c r="AY67" i="318"/>
  <c r="AM68" i="318"/>
  <c r="AP68" i="318" s="1"/>
  <c r="F76" i="269" s="1"/>
  <c r="G76" i="269"/>
  <c r="AW68" i="318"/>
  <c r="AX68" i="318"/>
  <c r="AY68" i="318"/>
  <c r="AM69" i="318"/>
  <c r="AP69" i="318" s="1"/>
  <c r="F77" i="269" s="1"/>
  <c r="G77" i="269" s="1"/>
  <c r="AW69" i="318"/>
  <c r="AX69" i="318"/>
  <c r="AY69" i="318"/>
  <c r="AM70" i="318"/>
  <c r="AP70" i="318" s="1"/>
  <c r="F78" i="269" s="1"/>
  <c r="G78" i="269" s="1"/>
  <c r="AN70" i="318"/>
  <c r="AQ70" i="318" s="1"/>
  <c r="AW70" i="318"/>
  <c r="AX70" i="318"/>
  <c r="AY70" i="318"/>
  <c r="AM71" i="318"/>
  <c r="AP71" i="318"/>
  <c r="F79" i="269"/>
  <c r="G79" i="269" s="1"/>
  <c r="AW71" i="318"/>
  <c r="AX71" i="318"/>
  <c r="AY71" i="318"/>
  <c r="AM72" i="318"/>
  <c r="AW72" i="318"/>
  <c r="AX72" i="318"/>
  <c r="AY72" i="318"/>
  <c r="AM73" i="318"/>
  <c r="AW73" i="318"/>
  <c r="AX73" i="318"/>
  <c r="AY73" i="318"/>
  <c r="AM74" i="318"/>
  <c r="AP74" i="318"/>
  <c r="F82" i="269" s="1"/>
  <c r="G82" i="269" s="1"/>
  <c r="AW74" i="318"/>
  <c r="AX74" i="318"/>
  <c r="AY74" i="318"/>
  <c r="AM75" i="318"/>
  <c r="AP75" i="318" s="1"/>
  <c r="F83" i="269" s="1"/>
  <c r="G83" i="269" s="1"/>
  <c r="AN75" i="318"/>
  <c r="AQ75" i="318" s="1"/>
  <c r="AW75" i="318"/>
  <c r="AX75" i="318"/>
  <c r="AY75" i="318"/>
  <c r="AM76" i="318"/>
  <c r="AW76" i="318"/>
  <c r="AX76" i="318"/>
  <c r="AY76" i="318"/>
  <c r="AM77" i="318"/>
  <c r="AP77" i="318" s="1"/>
  <c r="F85" i="269" s="1"/>
  <c r="G85" i="269" s="1"/>
  <c r="AW77" i="318"/>
  <c r="AX77" i="318"/>
  <c r="AY77" i="318"/>
  <c r="AM78" i="318"/>
  <c r="AN78" i="318"/>
  <c r="AQ78" i="318" s="1"/>
  <c r="AW78" i="318"/>
  <c r="AX78" i="318"/>
  <c r="AY78" i="318"/>
  <c r="AM79" i="318"/>
  <c r="AW79" i="318"/>
  <c r="AX79" i="318"/>
  <c r="AY79" i="318"/>
  <c r="AM80" i="318"/>
  <c r="AP80" i="318" s="1"/>
  <c r="F88" i="269" s="1"/>
  <c r="G88" i="269" s="1"/>
  <c r="AN80" i="318"/>
  <c r="AQ80" i="318" s="1"/>
  <c r="AW80" i="318"/>
  <c r="AX80" i="318"/>
  <c r="AY80" i="318"/>
  <c r="AM81" i="318"/>
  <c r="AW81" i="318"/>
  <c r="AX81" i="318"/>
  <c r="AY81" i="318"/>
  <c r="AM82" i="318"/>
  <c r="AW82" i="318"/>
  <c r="AX82" i="318"/>
  <c r="AY82" i="318"/>
  <c r="AM83" i="318"/>
  <c r="AN83" i="318" s="1"/>
  <c r="AQ83" i="318" s="1"/>
  <c r="AW83" i="318"/>
  <c r="AX83" i="318"/>
  <c r="AY83" i="318"/>
  <c r="AM84" i="318"/>
  <c r="AN84" i="318"/>
  <c r="AQ84" i="318" s="1"/>
  <c r="AW84" i="318"/>
  <c r="AX84" i="318"/>
  <c r="AY84" i="318"/>
  <c r="AM85" i="318"/>
  <c r="AP85" i="318" s="1"/>
  <c r="F93" i="269" s="1"/>
  <c r="G93" i="269"/>
  <c r="AW85" i="318"/>
  <c r="AX85" i="318"/>
  <c r="AY85" i="318"/>
  <c r="AM86" i="318"/>
  <c r="AN86" i="318" s="1"/>
  <c r="AQ86" i="318" s="1"/>
  <c r="AP86" i="318"/>
  <c r="F94" i="269" s="1"/>
  <c r="G94" i="269" s="1"/>
  <c r="AW86" i="318"/>
  <c r="AX86" i="318"/>
  <c r="AY86" i="318"/>
  <c r="AM87" i="318"/>
  <c r="AN87" i="318" s="1"/>
  <c r="AQ87" i="318" s="1"/>
  <c r="AW87" i="318"/>
  <c r="AX87" i="318"/>
  <c r="AY87" i="318"/>
  <c r="AM88" i="318"/>
  <c r="AP88" i="318" s="1"/>
  <c r="F96" i="269" s="1"/>
  <c r="G96" i="269" s="1"/>
  <c r="AW88" i="318"/>
  <c r="AX88" i="318"/>
  <c r="AY88" i="318"/>
  <c r="AM89" i="318"/>
  <c r="AW89" i="318"/>
  <c r="AX89" i="318"/>
  <c r="AY89" i="318"/>
  <c r="AM90" i="318"/>
  <c r="AP90" i="318"/>
  <c r="F98" i="269" s="1"/>
  <c r="G98" i="269" s="1"/>
  <c r="AN90" i="318"/>
  <c r="AQ90" i="318" s="1"/>
  <c r="AW90" i="318"/>
  <c r="AX90" i="318"/>
  <c r="AY90" i="318"/>
  <c r="AM91" i="318"/>
  <c r="AW91" i="318"/>
  <c r="AX91" i="318"/>
  <c r="AY91" i="318"/>
  <c r="AM92" i="318"/>
  <c r="AN92" i="318" s="1"/>
  <c r="AQ92" i="318" s="1"/>
  <c r="AP92" i="318"/>
  <c r="F100" i="269" s="1"/>
  <c r="G100" i="269" s="1"/>
  <c r="AW92" i="318"/>
  <c r="AX92" i="318"/>
  <c r="AY92" i="318"/>
  <c r="AM93" i="318"/>
  <c r="AW93" i="318"/>
  <c r="AX93" i="318"/>
  <c r="AY93" i="318"/>
  <c r="AM94" i="318"/>
  <c r="AP94" i="318" s="1"/>
  <c r="F102" i="269" s="1"/>
  <c r="G102" i="269" s="1"/>
  <c r="AW94" i="318"/>
  <c r="AX94" i="318"/>
  <c r="AY94" i="318"/>
  <c r="AM95" i="318"/>
  <c r="AP95" i="318" s="1"/>
  <c r="F103" i="269" s="1"/>
  <c r="G103" i="269" s="1"/>
  <c r="AN95" i="318"/>
  <c r="AQ95" i="318" s="1"/>
  <c r="AW95" i="318"/>
  <c r="AX95" i="318"/>
  <c r="AY95" i="318"/>
  <c r="AM96" i="318"/>
  <c r="AW96" i="318"/>
  <c r="AX96" i="318"/>
  <c r="AY96" i="318"/>
  <c r="AM97" i="318"/>
  <c r="AP97" i="318" s="1"/>
  <c r="AW97" i="318"/>
  <c r="AX97" i="318"/>
  <c r="AY97" i="318"/>
  <c r="AM98" i="318"/>
  <c r="AP98" i="318" s="1"/>
  <c r="F106" i="269" s="1"/>
  <c r="G106" i="269"/>
  <c r="AN98" i="318"/>
  <c r="AQ98" i="318" s="1"/>
  <c r="AW98" i="318"/>
  <c r="AX98" i="318"/>
  <c r="AY98" i="318"/>
  <c r="AM99" i="318"/>
  <c r="AP99" i="318" s="1"/>
  <c r="F107" i="269" s="1"/>
  <c r="G107" i="269"/>
  <c r="AW99" i="318"/>
  <c r="AX99" i="318"/>
  <c r="AY99" i="318"/>
  <c r="AM100" i="318"/>
  <c r="AP100" i="318" s="1"/>
  <c r="F108" i="269"/>
  <c r="G108" i="269" s="1"/>
  <c r="AN100" i="318"/>
  <c r="AQ100" i="318" s="1"/>
  <c r="AW100" i="318"/>
  <c r="AX100" i="318"/>
  <c r="AY100" i="318"/>
  <c r="AM101" i="318"/>
  <c r="AW101" i="318"/>
  <c r="AX101" i="318"/>
  <c r="AY101" i="318"/>
  <c r="AM102" i="318"/>
  <c r="AN102" i="318" s="1"/>
  <c r="AQ102" i="318" s="1"/>
  <c r="AW102" i="318"/>
  <c r="AX102" i="318"/>
  <c r="AY102" i="318"/>
  <c r="AM103" i="318"/>
  <c r="AP103" i="318"/>
  <c r="F111" i="269" s="1"/>
  <c r="G111" i="269" s="1"/>
  <c r="AW103" i="318"/>
  <c r="AX103" i="318"/>
  <c r="AY103" i="318"/>
  <c r="AM104" i="318"/>
  <c r="AP104" i="318" s="1"/>
  <c r="F112" i="269" s="1"/>
  <c r="G112" i="269" s="1"/>
  <c r="AW104" i="318"/>
  <c r="AX104" i="318"/>
  <c r="AY104" i="318"/>
  <c r="AM105" i="318"/>
  <c r="AP105" i="318" s="1"/>
  <c r="F113" i="269" s="1"/>
  <c r="G113" i="269" s="1"/>
  <c r="AW105" i="318"/>
  <c r="AX105" i="318"/>
  <c r="AY105" i="318"/>
  <c r="AM106" i="318"/>
  <c r="AP106" i="318" s="1"/>
  <c r="F114" i="269" s="1"/>
  <c r="G114" i="269" s="1"/>
  <c r="AN106" i="318"/>
  <c r="AQ106" i="318" s="1"/>
  <c r="AW106" i="318"/>
  <c r="AX106" i="318"/>
  <c r="AY106" i="318"/>
  <c r="AM107" i="318"/>
  <c r="AW107" i="318"/>
  <c r="AX107" i="318"/>
  <c r="AY107" i="318"/>
  <c r="AM108" i="318"/>
  <c r="AN108" i="318" s="1"/>
  <c r="AQ108" i="318" s="1"/>
  <c r="AW108" i="318"/>
  <c r="AX108" i="318"/>
  <c r="AY108" i="318"/>
  <c r="AM109" i="318"/>
  <c r="AW109" i="318"/>
  <c r="AX109" i="318"/>
  <c r="AY109" i="318"/>
  <c r="AM110" i="318"/>
  <c r="AN110" i="318" s="1"/>
  <c r="AQ110" i="318" s="1"/>
  <c r="AW110" i="318"/>
  <c r="AX110" i="318"/>
  <c r="AY110" i="318"/>
  <c r="AM111" i="318"/>
  <c r="AW111" i="318"/>
  <c r="AX111" i="318"/>
  <c r="AY111" i="318"/>
  <c r="AM112" i="318"/>
  <c r="AP112" i="318" s="1"/>
  <c r="F120" i="269" s="1"/>
  <c r="G120" i="269" s="1"/>
  <c r="AW112" i="318"/>
  <c r="AX112" i="318"/>
  <c r="AY112" i="318"/>
  <c r="AM113" i="318"/>
  <c r="AN113" i="318" s="1"/>
  <c r="AQ113" i="318" s="1"/>
  <c r="AW113" i="318"/>
  <c r="AX113" i="318"/>
  <c r="AY113" i="318"/>
  <c r="AM114" i="318"/>
  <c r="AW114" i="318"/>
  <c r="AX114" i="318"/>
  <c r="AY114" i="318"/>
  <c r="AM115" i="318"/>
  <c r="AP115" i="318" s="1"/>
  <c r="F123" i="269" s="1"/>
  <c r="G123" i="269" s="1"/>
  <c r="AN115" i="318"/>
  <c r="AQ115" i="318" s="1"/>
  <c r="AW115" i="318"/>
  <c r="AX115" i="318"/>
  <c r="AY115" i="318"/>
  <c r="AM116" i="318"/>
  <c r="AN116" i="318" s="1"/>
  <c r="AQ116" i="318" s="1"/>
  <c r="AW116" i="318"/>
  <c r="AX116" i="318"/>
  <c r="AY116" i="318"/>
  <c r="AM117" i="318"/>
  <c r="AN117" i="318" s="1"/>
  <c r="AQ117" i="318" s="1"/>
  <c r="AW117" i="318"/>
  <c r="AX117" i="318"/>
  <c r="AY117" i="318"/>
  <c r="AM118" i="318"/>
  <c r="AW118" i="318"/>
  <c r="AX118" i="318"/>
  <c r="AY118" i="318"/>
  <c r="AM119" i="318"/>
  <c r="AW119" i="318"/>
  <c r="AX119" i="318"/>
  <c r="AY119" i="318"/>
  <c r="AM120" i="318"/>
  <c r="AN120" i="318"/>
  <c r="AQ120" i="318" s="1"/>
  <c r="AP120" i="318"/>
  <c r="F128" i="269" s="1"/>
  <c r="G128" i="269" s="1"/>
  <c r="AW120" i="318"/>
  <c r="AX120" i="318"/>
  <c r="AY120" i="318"/>
  <c r="AM121" i="318"/>
  <c r="AW121" i="318"/>
  <c r="AX121" i="318"/>
  <c r="AY121" i="318"/>
  <c r="AM122" i="318"/>
  <c r="AN122" i="318" s="1"/>
  <c r="AW122" i="318"/>
  <c r="AX122" i="318"/>
  <c r="AY122" i="318"/>
  <c r="AM123" i="318"/>
  <c r="AW123" i="318"/>
  <c r="AX123" i="318"/>
  <c r="AY123" i="318"/>
  <c r="AM124" i="318"/>
  <c r="AN124" i="318" s="1"/>
  <c r="AQ124" i="318" s="1"/>
  <c r="AW124" i="318"/>
  <c r="AX124" i="318"/>
  <c r="AY124" i="318"/>
  <c r="AM125" i="318"/>
  <c r="AW125" i="318"/>
  <c r="AX125" i="318"/>
  <c r="AY125" i="318"/>
  <c r="AM126" i="318"/>
  <c r="AN126" i="318" s="1"/>
  <c r="AQ126" i="318" s="1"/>
  <c r="AW126" i="318"/>
  <c r="AX126" i="318"/>
  <c r="AY126" i="318"/>
  <c r="AM127" i="318"/>
  <c r="AP127" i="318"/>
  <c r="F135" i="269" s="1"/>
  <c r="G135" i="269" s="1"/>
  <c r="AN127" i="318"/>
  <c r="AQ127" i="318" s="1"/>
  <c r="AW127" i="318"/>
  <c r="AX127" i="318"/>
  <c r="AY127" i="318"/>
  <c r="AM128" i="318"/>
  <c r="AP128" i="318" s="1"/>
  <c r="F136" i="269" s="1"/>
  <c r="G136" i="269" s="1"/>
  <c r="AW128" i="318"/>
  <c r="AX128" i="318"/>
  <c r="AY128" i="318"/>
  <c r="AM129" i="318"/>
  <c r="AP129" i="318" s="1"/>
  <c r="F137" i="269" s="1"/>
  <c r="G137" i="269" s="1"/>
  <c r="AN129" i="318"/>
  <c r="AQ129" i="318" s="1"/>
  <c r="AW129" i="318"/>
  <c r="AX129" i="318"/>
  <c r="AY129" i="318"/>
  <c r="AM130" i="318"/>
  <c r="AW130" i="318"/>
  <c r="AX130" i="318"/>
  <c r="AY130" i="318"/>
  <c r="AM131" i="318"/>
  <c r="AN131" i="318"/>
  <c r="AW131" i="318"/>
  <c r="AX131" i="318"/>
  <c r="AY131" i="318"/>
  <c r="AM132" i="318"/>
  <c r="AN132" i="318" s="1"/>
  <c r="AQ132" i="318" s="1"/>
  <c r="AW132" i="318"/>
  <c r="AX132" i="318"/>
  <c r="AY132" i="318"/>
  <c r="AM133" i="318"/>
  <c r="AN133" i="318" s="1"/>
  <c r="AQ133" i="318" s="1"/>
  <c r="AW133" i="318"/>
  <c r="AX133" i="318"/>
  <c r="AY133" i="318"/>
  <c r="AM134" i="318"/>
  <c r="AN134" i="318" s="1"/>
  <c r="AQ134" i="318" s="1"/>
  <c r="AW134" i="318"/>
  <c r="AX134" i="318"/>
  <c r="AY134" i="318"/>
  <c r="AM135" i="318"/>
  <c r="AO135" i="318" s="1"/>
  <c r="H143" i="269" s="1"/>
  <c r="I143" i="269" s="1"/>
  <c r="AW135" i="318"/>
  <c r="AX135" i="318"/>
  <c r="AY135" i="318"/>
  <c r="AM136" i="318"/>
  <c r="AW136" i="318"/>
  <c r="AX136" i="318"/>
  <c r="AY136" i="318"/>
  <c r="AM137" i="318"/>
  <c r="AN137" i="318" s="1"/>
  <c r="AQ137" i="318" s="1"/>
  <c r="AW137" i="318"/>
  <c r="AX137" i="318"/>
  <c r="AY137" i="318"/>
  <c r="AM138" i="318"/>
  <c r="AO138" i="318" s="1"/>
  <c r="H146" i="269"/>
  <c r="I146" i="269" s="1"/>
  <c r="AW138" i="318"/>
  <c r="AX138" i="318"/>
  <c r="AY138" i="318"/>
  <c r="AM139" i="318"/>
  <c r="AN139" i="318" s="1"/>
  <c r="AQ139" i="318" s="1"/>
  <c r="AO139" i="318"/>
  <c r="H147" i="269" s="1"/>
  <c r="I147" i="269" s="1"/>
  <c r="AW139" i="318"/>
  <c r="AX139" i="318"/>
  <c r="AY139" i="318"/>
  <c r="AM140" i="318"/>
  <c r="AN140" i="318" s="1"/>
  <c r="AQ140" i="318" s="1"/>
  <c r="AO140" i="318"/>
  <c r="H148" i="269" s="1"/>
  <c r="I148" i="269" s="1"/>
  <c r="AW140" i="318"/>
  <c r="AX140" i="318"/>
  <c r="AY140" i="318"/>
  <c r="AM141" i="318"/>
  <c r="AO141" i="318" s="1"/>
  <c r="H149" i="269" s="1"/>
  <c r="I149" i="269" s="1"/>
  <c r="AN141" i="318"/>
  <c r="AQ141" i="318"/>
  <c r="AW141" i="318"/>
  <c r="AX141" i="318"/>
  <c r="AY141" i="318"/>
  <c r="AM142" i="318"/>
  <c r="AN142" i="318" s="1"/>
  <c r="AQ142" i="318" s="1"/>
  <c r="AW142" i="318"/>
  <c r="AX142" i="318"/>
  <c r="AY142" i="318"/>
  <c r="AM143" i="318"/>
  <c r="AO143" i="318" s="1"/>
  <c r="H151" i="269" s="1"/>
  <c r="I151" i="269" s="1"/>
  <c r="AN143" i="318"/>
  <c r="AQ143" i="318" s="1"/>
  <c r="AW143" i="318"/>
  <c r="AX143" i="318"/>
  <c r="AY143" i="318"/>
  <c r="AM144" i="318"/>
  <c r="AN144" i="318" s="1"/>
  <c r="AQ144" i="318" s="1"/>
  <c r="AW144" i="318"/>
  <c r="AX144" i="318"/>
  <c r="AY144" i="318"/>
  <c r="AM145" i="318"/>
  <c r="AN145" i="318" s="1"/>
  <c r="AQ145" i="318" s="1"/>
  <c r="AW145" i="318"/>
  <c r="AX145" i="318"/>
  <c r="AY145" i="318"/>
  <c r="AM146" i="318"/>
  <c r="AW146" i="318"/>
  <c r="AX146" i="318"/>
  <c r="AY146" i="318"/>
  <c r="AM147" i="318"/>
  <c r="AN147" i="318" s="1"/>
  <c r="AQ147" i="318" s="1"/>
  <c r="AW147" i="318"/>
  <c r="AX147" i="318"/>
  <c r="AY147" i="318"/>
  <c r="AM148" i="318"/>
  <c r="AO148" i="318"/>
  <c r="H156" i="269" s="1"/>
  <c r="I156" i="269" s="1"/>
  <c r="AW148" i="318"/>
  <c r="AX148" i="318"/>
  <c r="AY148" i="318"/>
  <c r="AM149" i="318"/>
  <c r="AN149" i="318" s="1"/>
  <c r="AQ149" i="318" s="1"/>
  <c r="AO149" i="318"/>
  <c r="H157" i="269" s="1"/>
  <c r="I157" i="269" s="1"/>
  <c r="AW149" i="318"/>
  <c r="AX149" i="318"/>
  <c r="AY149" i="318"/>
  <c r="AM150" i="318"/>
  <c r="AN150" i="318" s="1"/>
  <c r="AQ150" i="318" s="1"/>
  <c r="AO150" i="318"/>
  <c r="H158" i="269" s="1"/>
  <c r="I158" i="269" s="1"/>
  <c r="AW150" i="318"/>
  <c r="AX150" i="318"/>
  <c r="AY150" i="318"/>
  <c r="AM151" i="318"/>
  <c r="AO151" i="318" s="1"/>
  <c r="H159" i="269" s="1"/>
  <c r="I159" i="269" s="1"/>
  <c r="AW151" i="318"/>
  <c r="AX151" i="318"/>
  <c r="AY151" i="318"/>
  <c r="AM152" i="318"/>
  <c r="AN152" i="318" s="1"/>
  <c r="AQ152" i="318" s="1"/>
  <c r="AW152" i="318"/>
  <c r="AX152" i="318"/>
  <c r="AY152" i="318"/>
  <c r="AM153" i="318"/>
  <c r="AO153" i="318"/>
  <c r="H161" i="269" s="1"/>
  <c r="I161" i="269" s="1"/>
  <c r="AN153" i="318"/>
  <c r="AQ153" i="318" s="1"/>
  <c r="AW153" i="318"/>
  <c r="AX153" i="318"/>
  <c r="AY153" i="318"/>
  <c r="AM154" i="318"/>
  <c r="AN154" i="318" s="1"/>
  <c r="AQ154" i="318" s="1"/>
  <c r="AW154" i="318"/>
  <c r="AX154" i="318"/>
  <c r="AY154" i="318"/>
  <c r="AM155" i="318"/>
  <c r="AW155" i="318"/>
  <c r="AX155" i="318"/>
  <c r="AY155" i="318"/>
  <c r="AM156" i="318"/>
  <c r="AO156" i="318" s="1"/>
  <c r="H164" i="269" s="1"/>
  <c r="I164" i="269"/>
  <c r="AW156" i="318"/>
  <c r="AX156" i="318"/>
  <c r="AY156" i="318"/>
  <c r="AM157" i="318"/>
  <c r="AW157" i="318"/>
  <c r="AX157" i="318"/>
  <c r="AY157" i="318"/>
  <c r="AM158" i="318"/>
  <c r="AO158" i="318" s="1"/>
  <c r="H166" i="269" s="1"/>
  <c r="I166" i="269" s="1"/>
  <c r="AW158" i="318"/>
  <c r="AX158" i="318"/>
  <c r="AY158" i="318"/>
  <c r="AM159" i="318"/>
  <c r="AO159" i="318" s="1"/>
  <c r="H167" i="269" s="1"/>
  <c r="I167" i="269" s="1"/>
  <c r="AW159" i="318"/>
  <c r="AX159" i="318"/>
  <c r="AY159" i="318"/>
  <c r="AM160" i="318"/>
  <c r="AN160" i="318"/>
  <c r="AQ160" i="318" s="1"/>
  <c r="AW160" i="318"/>
  <c r="AX160" i="318"/>
  <c r="AY160" i="318"/>
  <c r="AM161" i="318"/>
  <c r="AW161" i="318"/>
  <c r="AX161" i="318"/>
  <c r="AY161" i="318"/>
  <c r="AM162" i="318"/>
  <c r="AN162" i="318"/>
  <c r="AQ162" i="318" s="1"/>
  <c r="AW162" i="318"/>
  <c r="AX162" i="318"/>
  <c r="AY162" i="318"/>
  <c r="AM163" i="318"/>
  <c r="AO163" i="318" s="1"/>
  <c r="H171" i="269" s="1"/>
  <c r="I171" i="269" s="1"/>
  <c r="AN163" i="318"/>
  <c r="AQ163" i="318" s="1"/>
  <c r="AW163" i="318"/>
  <c r="AX163" i="318"/>
  <c r="AY163" i="318"/>
  <c r="AM164" i="318"/>
  <c r="AW164" i="318"/>
  <c r="AX164" i="318"/>
  <c r="AY164" i="318"/>
  <c r="AM165" i="318"/>
  <c r="AW165" i="318"/>
  <c r="AX165" i="318"/>
  <c r="AY165" i="318"/>
  <c r="AM166" i="318"/>
  <c r="AO166" i="318"/>
  <c r="H174" i="269" s="1"/>
  <c r="I174" i="269" s="1"/>
  <c r="AW166" i="318"/>
  <c r="AX166" i="318"/>
  <c r="AY166" i="318"/>
  <c r="AM167" i="318"/>
  <c r="AO167" i="318" s="1"/>
  <c r="H175" i="269" s="1"/>
  <c r="I175" i="269" s="1"/>
  <c r="AW167" i="318"/>
  <c r="AX167" i="318"/>
  <c r="AY167" i="318"/>
  <c r="AM168" i="318"/>
  <c r="AO168" i="318" s="1"/>
  <c r="H176" i="269" s="1"/>
  <c r="I176" i="269" s="1"/>
  <c r="AN168" i="318"/>
  <c r="AQ168" i="318" s="1"/>
  <c r="AW168" i="318"/>
  <c r="AX168" i="318"/>
  <c r="AY168" i="318"/>
  <c r="AM169" i="318"/>
  <c r="AW169" i="318"/>
  <c r="AX169" i="318"/>
  <c r="AY169" i="318"/>
  <c r="AM170" i="318"/>
  <c r="AO170" i="318" s="1"/>
  <c r="H178" i="269" s="1"/>
  <c r="I178" i="269" s="1"/>
  <c r="AW170" i="318"/>
  <c r="AX170" i="318"/>
  <c r="AY170" i="318"/>
  <c r="AM171" i="318"/>
  <c r="AW171" i="318"/>
  <c r="AX171" i="318"/>
  <c r="AY171" i="318"/>
  <c r="AM172" i="318"/>
  <c r="AO172" i="318"/>
  <c r="H180" i="269" s="1"/>
  <c r="I180" i="269" s="1"/>
  <c r="AW172" i="318"/>
  <c r="AX172" i="318"/>
  <c r="AY172" i="318"/>
  <c r="AM173" i="318"/>
  <c r="AW173" i="318"/>
  <c r="AX173" i="318"/>
  <c r="AY173" i="318"/>
  <c r="AM174" i="318"/>
  <c r="AW174" i="318"/>
  <c r="AX174" i="318"/>
  <c r="AY174" i="318"/>
  <c r="R175" i="318"/>
  <c r="AM175" i="318"/>
  <c r="AO175" i="318" s="1"/>
  <c r="H183" i="269" s="1"/>
  <c r="I183" i="269" s="1"/>
  <c r="AN175" i="318"/>
  <c r="AQ175" i="318"/>
  <c r="AW175" i="318"/>
  <c r="AX175" i="318"/>
  <c r="AY175" i="318"/>
  <c r="R176" i="318"/>
  <c r="CE176" i="318"/>
  <c r="DZ176" i="318"/>
  <c r="C177" i="318"/>
  <c r="D177" i="318"/>
  <c r="E177" i="318"/>
  <c r="F177" i="318"/>
  <c r="G177" i="318"/>
  <c r="H177" i="318"/>
  <c r="I177" i="318"/>
  <c r="J177" i="318"/>
  <c r="K177" i="318"/>
  <c r="L177" i="318"/>
  <c r="M177" i="318"/>
  <c r="N177" i="318"/>
  <c r="O177" i="318"/>
  <c r="P177" i="318"/>
  <c r="Q177" i="318"/>
  <c r="S177" i="318"/>
  <c r="T177" i="318"/>
  <c r="U177" i="318"/>
  <c r="V177" i="318"/>
  <c r="W177" i="318"/>
  <c r="X177" i="318"/>
  <c r="Y177" i="318"/>
  <c r="Z177" i="318"/>
  <c r="AA177" i="318"/>
  <c r="AB177" i="318"/>
  <c r="AC177" i="318"/>
  <c r="AD177" i="318"/>
  <c r="AE177" i="318"/>
  <c r="AF177" i="318"/>
  <c r="AG177" i="318"/>
  <c r="AH177" i="318"/>
  <c r="AI177" i="318"/>
  <c r="AJ177" i="318"/>
  <c r="AK177" i="318"/>
  <c r="AL177" i="318"/>
  <c r="AO177" i="318"/>
  <c r="AP177" i="318"/>
  <c r="AR177" i="318"/>
  <c r="AS177" i="318"/>
  <c r="AT177" i="318"/>
  <c r="AU177" i="318"/>
  <c r="AZ177" i="318"/>
  <c r="BG3" i="318" s="1"/>
  <c r="BA177" i="318"/>
  <c r="BB177" i="318"/>
  <c r="BC177" i="318"/>
  <c r="BD177" i="318"/>
  <c r="BE177" i="318"/>
  <c r="BF177" i="318"/>
  <c r="BG177" i="318"/>
  <c r="BH177" i="318"/>
  <c r="BI177" i="318"/>
  <c r="BJ177" i="318"/>
  <c r="BK177" i="318"/>
  <c r="BL177" i="318"/>
  <c r="BM177" i="318"/>
  <c r="BN177" i="318"/>
  <c r="BO177" i="318"/>
  <c r="BP177" i="318"/>
  <c r="BQ177" i="318"/>
  <c r="BR177" i="318"/>
  <c r="BS177" i="318"/>
  <c r="BT177" i="318"/>
  <c r="BU177" i="318"/>
  <c r="BV177" i="318"/>
  <c r="BW177" i="318"/>
  <c r="BX177" i="318"/>
  <c r="BY177" i="318"/>
  <c r="BZ177" i="318"/>
  <c r="CA177" i="318"/>
  <c r="CB177" i="318"/>
  <c r="CC177" i="318"/>
  <c r="CD177" i="318"/>
  <c r="CE177" i="318"/>
  <c r="CF177" i="318"/>
  <c r="CG177" i="318"/>
  <c r="CH177" i="318"/>
  <c r="CI177" i="318"/>
  <c r="CJ177" i="318"/>
  <c r="CK177" i="318"/>
  <c r="CL177" i="318"/>
  <c r="CM177" i="318"/>
  <c r="CU3" i="318" s="1"/>
  <c r="CN177" i="318"/>
  <c r="CV3" i="318" s="1"/>
  <c r="CO177" i="318"/>
  <c r="CW3" i="318" s="1"/>
  <c r="CP177" i="318"/>
  <c r="CX3" i="318" s="1"/>
  <c r="CQ177" i="318"/>
  <c r="CR177" i="318"/>
  <c r="CS177" i="318"/>
  <c r="CS6" i="318" s="1"/>
  <c r="CT177" i="318"/>
  <c r="CU177" i="318"/>
  <c r="CV177" i="318"/>
  <c r="CW177" i="318"/>
  <c r="CX177" i="318"/>
  <c r="CY177" i="318"/>
  <c r="CZ177" i="318"/>
  <c r="DA177" i="318"/>
  <c r="DB177" i="318"/>
  <c r="DC177" i="318"/>
  <c r="DD177" i="318"/>
  <c r="DE177" i="318"/>
  <c r="DF177" i="318"/>
  <c r="DG177" i="318"/>
  <c r="DH177" i="318"/>
  <c r="DI177" i="318"/>
  <c r="DJ177" i="318"/>
  <c r="DK177" i="318"/>
  <c r="DL177" i="318"/>
  <c r="DM177" i="318"/>
  <c r="DN177" i="318"/>
  <c r="DO177" i="318"/>
  <c r="DP177" i="318"/>
  <c r="DQ177" i="318"/>
  <c r="DR177" i="318"/>
  <c r="EC4" i="318" s="1"/>
  <c r="DS177" i="318"/>
  <c r="DT177" i="318"/>
  <c r="ED4" i="318" s="1"/>
  <c r="DU177" i="318"/>
  <c r="DV177" i="318"/>
  <c r="R178" i="318"/>
  <c r="AM178" i="318"/>
  <c r="AW178" i="318"/>
  <c r="AX178" i="318"/>
  <c r="AY178" i="318"/>
  <c r="R179" i="318"/>
  <c r="AN179" i="318" s="1"/>
  <c r="AQ179" i="318" s="1"/>
  <c r="AM179" i="318"/>
  <c r="AW179" i="318"/>
  <c r="AX179" i="318"/>
  <c r="AY179" i="318"/>
  <c r="R180" i="318"/>
  <c r="AM180" i="318"/>
  <c r="AW180" i="318"/>
  <c r="AX180" i="318"/>
  <c r="AY180" i="318"/>
  <c r="R181" i="318"/>
  <c r="AM181" i="318"/>
  <c r="AV181" i="318" s="1"/>
  <c r="J187" i="269" s="1"/>
  <c r="K187" i="269" s="1"/>
  <c r="AW181" i="318"/>
  <c r="AX181" i="318"/>
  <c r="AY181" i="318"/>
  <c r="R182" i="318"/>
  <c r="AM182" i="318"/>
  <c r="AV182" i="318" s="1"/>
  <c r="J188" i="269" s="1"/>
  <c r="K188" i="269" s="1"/>
  <c r="AW182" i="318"/>
  <c r="AX182" i="318"/>
  <c r="AY182" i="318"/>
  <c r="R183" i="318"/>
  <c r="AM183" i="318"/>
  <c r="AN183" i="318" s="1"/>
  <c r="AQ183" i="318" s="1"/>
  <c r="AW183" i="318"/>
  <c r="AX183" i="318"/>
  <c r="AY183" i="318"/>
  <c r="R184" i="318"/>
  <c r="AM184" i="318"/>
  <c r="AV184" i="318"/>
  <c r="J190" i="269" s="1"/>
  <c r="K190" i="269" s="1"/>
  <c r="AW184" i="318"/>
  <c r="AX184" i="318"/>
  <c r="AY184" i="318"/>
  <c r="R185" i="318"/>
  <c r="AM185" i="318"/>
  <c r="AW185" i="318"/>
  <c r="AX185" i="318"/>
  <c r="AY185" i="318"/>
  <c r="R186" i="318"/>
  <c r="AM186" i="318"/>
  <c r="AN186" i="318" s="1"/>
  <c r="AQ186" i="318" s="1"/>
  <c r="AW186" i="318"/>
  <c r="AX186" i="318"/>
  <c r="AY186" i="318"/>
  <c r="R187" i="318"/>
  <c r="AM187" i="318"/>
  <c r="AV187" i="318" s="1"/>
  <c r="J193" i="269" s="1"/>
  <c r="K193" i="269"/>
  <c r="AW187" i="318"/>
  <c r="AX187" i="318"/>
  <c r="AY187" i="318"/>
  <c r="R188" i="318"/>
  <c r="AN188" i="318" s="1"/>
  <c r="AQ188" i="318" s="1"/>
  <c r="AM188" i="318"/>
  <c r="AW188" i="318"/>
  <c r="AX188" i="318"/>
  <c r="AY188" i="318"/>
  <c r="R189" i="318"/>
  <c r="AM189" i="318"/>
  <c r="AV189" i="318" s="1"/>
  <c r="J195" i="269" s="1"/>
  <c r="K195" i="269" s="1"/>
  <c r="AW189" i="318"/>
  <c r="AX189" i="318"/>
  <c r="AY189" i="318"/>
  <c r="R190" i="318"/>
  <c r="AN190" i="318" s="1"/>
  <c r="AQ190" i="318" s="1"/>
  <c r="AM190" i="318"/>
  <c r="AW190" i="318"/>
  <c r="AX190" i="318"/>
  <c r="AY190" i="318"/>
  <c r="R191" i="318"/>
  <c r="AM191" i="318"/>
  <c r="AV191" i="318" s="1"/>
  <c r="J197" i="269" s="1"/>
  <c r="K197" i="269" s="1"/>
  <c r="AW191" i="318"/>
  <c r="AX191" i="318"/>
  <c r="AY191" i="318"/>
  <c r="R192" i="318"/>
  <c r="AN192" i="318" s="1"/>
  <c r="AQ192" i="318" s="1"/>
  <c r="AM192" i="318"/>
  <c r="AV192" i="318" s="1"/>
  <c r="J198" i="269" s="1"/>
  <c r="K198" i="269" s="1"/>
  <c r="AW192" i="318"/>
  <c r="AX192" i="318"/>
  <c r="AY192" i="318"/>
  <c r="R193" i="318"/>
  <c r="AM193" i="318"/>
  <c r="AV193" i="318"/>
  <c r="J199" i="269" s="1"/>
  <c r="K199" i="269" s="1"/>
  <c r="AW193" i="318"/>
  <c r="AX193" i="318"/>
  <c r="AY193" i="318"/>
  <c r="R194" i="318"/>
  <c r="AN194" i="318" s="1"/>
  <c r="AQ194" i="318" s="1"/>
  <c r="AM194" i="318"/>
  <c r="AV194" i="318" s="1"/>
  <c r="J200" i="269" s="1"/>
  <c r="K200" i="269" s="1"/>
  <c r="AW194" i="318"/>
  <c r="AX194" i="318"/>
  <c r="AY194" i="318"/>
  <c r="R195" i="318"/>
  <c r="AM195" i="318"/>
  <c r="AV195" i="318"/>
  <c r="J201" i="269" s="1"/>
  <c r="K201" i="269" s="1"/>
  <c r="AW195" i="318"/>
  <c r="AX195" i="318"/>
  <c r="AY195" i="318"/>
  <c r="R196" i="318"/>
  <c r="AM196" i="318"/>
  <c r="AV196" i="318"/>
  <c r="J202" i="269" s="1"/>
  <c r="K202" i="269" s="1"/>
  <c r="AW196" i="318"/>
  <c r="AX196" i="318"/>
  <c r="AY196" i="318"/>
  <c r="R197" i="318"/>
  <c r="AM197" i="318"/>
  <c r="AV197" i="318" s="1"/>
  <c r="J203" i="269" s="1"/>
  <c r="K203" i="269" s="1"/>
  <c r="AN197" i="318"/>
  <c r="AQ197" i="318" s="1"/>
  <c r="AW197" i="318"/>
  <c r="AX197" i="318"/>
  <c r="AY197" i="318"/>
  <c r="R198" i="318"/>
  <c r="AM198" i="318"/>
  <c r="AV198" i="318" s="1"/>
  <c r="J204" i="269" s="1"/>
  <c r="K204" i="269" s="1"/>
  <c r="AW198" i="318"/>
  <c r="AX198" i="318"/>
  <c r="AY198" i="318"/>
  <c r="R199" i="318"/>
  <c r="AN199" i="318" s="1"/>
  <c r="AQ199" i="318" s="1"/>
  <c r="AM199" i="318"/>
  <c r="AW199" i="318"/>
  <c r="AX199" i="318"/>
  <c r="AY199" i="318"/>
  <c r="R200" i="318"/>
  <c r="AM200" i="318"/>
  <c r="AV200" i="318" s="1"/>
  <c r="J206" i="269" s="1"/>
  <c r="K206" i="269" s="1"/>
  <c r="AW200" i="318"/>
  <c r="AX200" i="318"/>
  <c r="AY200" i="318"/>
  <c r="R201" i="318"/>
  <c r="AM201" i="318"/>
  <c r="AV201" i="318" s="1"/>
  <c r="J207" i="269" s="1"/>
  <c r="K207" i="269" s="1"/>
  <c r="AW201" i="318"/>
  <c r="AX201" i="318"/>
  <c r="AY201" i="318"/>
  <c r="R202" i="318"/>
  <c r="AN202" i="318" s="1"/>
  <c r="AQ202" i="318" s="1"/>
  <c r="AM202" i="318"/>
  <c r="AW202" i="318"/>
  <c r="AX202" i="318"/>
  <c r="AY202" i="318"/>
  <c r="R203" i="318"/>
  <c r="AM203" i="318"/>
  <c r="AW203" i="318"/>
  <c r="AX203" i="318"/>
  <c r="AY203" i="318"/>
  <c r="R204" i="318"/>
  <c r="AM204" i="318"/>
  <c r="AW204" i="318"/>
  <c r="AX204" i="318"/>
  <c r="AY204" i="318"/>
  <c r="R205" i="318"/>
  <c r="AM205" i="318"/>
  <c r="AV205" i="318"/>
  <c r="J211" i="269" s="1"/>
  <c r="K211" i="269" s="1"/>
  <c r="AW205" i="318"/>
  <c r="AX205" i="318"/>
  <c r="AY205" i="318"/>
  <c r="R206" i="318"/>
  <c r="AN206" i="318" s="1"/>
  <c r="AQ206" i="318" s="1"/>
  <c r="AM206" i="318"/>
  <c r="AV206" i="318" s="1"/>
  <c r="J212" i="269" s="1"/>
  <c r="K212" i="269"/>
  <c r="AW206" i="318"/>
  <c r="AX206" i="318"/>
  <c r="AY206" i="318"/>
  <c r="R207" i="318"/>
  <c r="AN207" i="318" s="1"/>
  <c r="AQ207" i="318" s="1"/>
  <c r="AM207" i="318"/>
  <c r="AW207" i="318"/>
  <c r="AX207" i="318"/>
  <c r="AY207" i="318"/>
  <c r="R208" i="318"/>
  <c r="AM208" i="318"/>
  <c r="AW208" i="318"/>
  <c r="AX208" i="318"/>
  <c r="AY208" i="318"/>
  <c r="R209" i="318"/>
  <c r="AM209" i="318"/>
  <c r="AV209" i="318"/>
  <c r="J215" i="269" s="1"/>
  <c r="K215" i="269" s="1"/>
  <c r="AW209" i="318"/>
  <c r="AX209" i="318"/>
  <c r="AY209" i="318"/>
  <c r="R210" i="318"/>
  <c r="AN210" i="318" s="1"/>
  <c r="AQ210" i="318" s="1"/>
  <c r="AM210" i="318"/>
  <c r="AW210" i="318"/>
  <c r="AX210" i="318"/>
  <c r="AY210" i="318"/>
  <c r="R211" i="318"/>
  <c r="AM211" i="318"/>
  <c r="AV211" i="318" s="1"/>
  <c r="J217" i="269" s="1"/>
  <c r="K217" i="269" s="1"/>
  <c r="AN211" i="318"/>
  <c r="AQ211" i="318" s="1"/>
  <c r="AW211" i="318"/>
  <c r="AX211" i="318"/>
  <c r="AY211" i="318"/>
  <c r="R212" i="318"/>
  <c r="AM212" i="318"/>
  <c r="AV212" i="318" s="1"/>
  <c r="J218" i="269" s="1"/>
  <c r="K218" i="269" s="1"/>
  <c r="AW212" i="318"/>
  <c r="AX212" i="318"/>
  <c r="AY212" i="318"/>
  <c r="R213" i="318"/>
  <c r="AM213" i="318"/>
  <c r="AW213" i="318"/>
  <c r="AX213" i="318"/>
  <c r="AY213" i="318"/>
  <c r="R214" i="318"/>
  <c r="AM214" i="318"/>
  <c r="AV214" i="318" s="1"/>
  <c r="J220" i="269" s="1"/>
  <c r="K220" i="269" s="1"/>
  <c r="AW214" i="318"/>
  <c r="AX214" i="318"/>
  <c r="AY214" i="318"/>
  <c r="R215" i="318"/>
  <c r="AM215" i="318"/>
  <c r="AW215" i="318"/>
  <c r="AX215" i="318"/>
  <c r="AY215" i="318"/>
  <c r="R216" i="318"/>
  <c r="AM216" i="318"/>
  <c r="AV216" i="318" s="1"/>
  <c r="J222" i="269" s="1"/>
  <c r="K222" i="269" s="1"/>
  <c r="AW216" i="318"/>
  <c r="AX216" i="318"/>
  <c r="AY216" i="318"/>
  <c r="R217" i="318"/>
  <c r="AM217" i="318"/>
  <c r="AV217" i="318" s="1"/>
  <c r="J223" i="269" s="1"/>
  <c r="K223" i="269" s="1"/>
  <c r="AW217" i="318"/>
  <c r="AX217" i="318"/>
  <c r="AY217" i="318"/>
  <c r="R218" i="318"/>
  <c r="AM218" i="318"/>
  <c r="AV218" i="318" s="1"/>
  <c r="J224" i="269" s="1"/>
  <c r="K224" i="269" s="1"/>
  <c r="AW218" i="318"/>
  <c r="AX218" i="318"/>
  <c r="AY218" i="318"/>
  <c r="R219" i="318"/>
  <c r="AM219" i="318"/>
  <c r="AV219" i="318" s="1"/>
  <c r="J225" i="269" s="1"/>
  <c r="K225" i="269" s="1"/>
  <c r="AW219" i="318"/>
  <c r="AX219" i="318"/>
  <c r="AY219" i="318"/>
  <c r="R220" i="318"/>
  <c r="AN220" i="318" s="1"/>
  <c r="AQ220" i="318" s="1"/>
  <c r="AM220" i="318"/>
  <c r="AV220" i="318" s="1"/>
  <c r="J226" i="269" s="1"/>
  <c r="K226" i="269" s="1"/>
  <c r="AW220" i="318"/>
  <c r="AX220" i="318"/>
  <c r="AY220" i="318"/>
  <c r="R221" i="318"/>
  <c r="AM221" i="318"/>
  <c r="AN221" i="318" s="1"/>
  <c r="AQ221" i="318" s="1"/>
  <c r="AW221" i="318"/>
  <c r="AX221" i="318"/>
  <c r="AY221" i="318"/>
  <c r="AM222" i="318"/>
  <c r="AW222" i="318"/>
  <c r="AX222" i="318"/>
  <c r="AY222" i="318"/>
  <c r="AM223" i="318"/>
  <c r="AV223" i="318"/>
  <c r="J229" i="269" s="1"/>
  <c r="K229" i="269" s="1"/>
  <c r="AW223" i="318"/>
  <c r="AX223" i="318"/>
  <c r="AY223" i="318"/>
  <c r="AM224" i="318"/>
  <c r="AV224" i="318" s="1"/>
  <c r="J230" i="269" s="1"/>
  <c r="K230" i="269" s="1"/>
  <c r="AN224" i="318"/>
  <c r="AQ224" i="318" s="1"/>
  <c r="AW224" i="318"/>
  <c r="AX224" i="318"/>
  <c r="AY224" i="318"/>
  <c r="AM225" i="318"/>
  <c r="AN225" i="318" s="1"/>
  <c r="AQ225" i="318" s="1"/>
  <c r="AW225" i="318"/>
  <c r="AX225" i="318"/>
  <c r="AY225" i="318"/>
  <c r="AM226" i="318"/>
  <c r="AV226" i="318" s="1"/>
  <c r="J232" i="269" s="1"/>
  <c r="K232" i="269" s="1"/>
  <c r="AW226" i="318"/>
  <c r="AX226" i="318"/>
  <c r="AY226" i="318"/>
  <c r="AM227" i="318"/>
  <c r="AN227" i="318"/>
  <c r="AQ227" i="318" s="1"/>
  <c r="AW227" i="318"/>
  <c r="AX227" i="318"/>
  <c r="AY227" i="318"/>
  <c r="AM228" i="318"/>
  <c r="AV228" i="318" s="1"/>
  <c r="J234" i="269" s="1"/>
  <c r="K234" i="269" s="1"/>
  <c r="AN228" i="318"/>
  <c r="AQ228" i="318" s="1"/>
  <c r="AW228" i="318"/>
  <c r="AX228" i="318"/>
  <c r="AY228" i="318"/>
  <c r="AM229" i="318"/>
  <c r="AV229" i="318" s="1"/>
  <c r="J235" i="269" s="1"/>
  <c r="K235" i="269" s="1"/>
  <c r="AW229" i="318"/>
  <c r="AX229" i="318"/>
  <c r="AY229" i="318"/>
  <c r="AM230" i="318"/>
  <c r="AV230" i="318" s="1"/>
  <c r="J236" i="269" s="1"/>
  <c r="K236" i="269" s="1"/>
  <c r="AN230" i="318"/>
  <c r="AQ230" i="318"/>
  <c r="AW230" i="318"/>
  <c r="AX230" i="318"/>
  <c r="AY230" i="318"/>
  <c r="AM231" i="318"/>
  <c r="AN231" i="318" s="1"/>
  <c r="AQ231" i="318" s="1"/>
  <c r="AW231" i="318"/>
  <c r="AX231" i="318"/>
  <c r="AY231" i="318"/>
  <c r="AM232" i="318"/>
  <c r="AW232" i="318"/>
  <c r="AX232" i="318"/>
  <c r="AY232" i="318"/>
  <c r="AM233" i="318"/>
  <c r="AV233" i="318"/>
  <c r="J239" i="269" s="1"/>
  <c r="K239" i="269" s="1"/>
  <c r="AN233" i="318"/>
  <c r="AQ233" i="318"/>
  <c r="AW233" i="318"/>
  <c r="AX233" i="318"/>
  <c r="AY233" i="318"/>
  <c r="AM234" i="318"/>
  <c r="AW234" i="318"/>
  <c r="AX234" i="318"/>
  <c r="AY234" i="318"/>
  <c r="AM235" i="318"/>
  <c r="AV235" i="318" s="1"/>
  <c r="J241" i="269"/>
  <c r="K241" i="269" s="1"/>
  <c r="AN235" i="318"/>
  <c r="AQ235" i="318" s="1"/>
  <c r="AW235" i="318"/>
  <c r="AX235" i="318"/>
  <c r="AY235" i="318"/>
  <c r="AM236" i="318"/>
  <c r="AN236" i="318" s="1"/>
  <c r="AQ236" i="318" s="1"/>
  <c r="AW236" i="318"/>
  <c r="AX236" i="318"/>
  <c r="AY236" i="318"/>
  <c r="AM237" i="318"/>
  <c r="AV237" i="318" s="1"/>
  <c r="J243" i="269" s="1"/>
  <c r="K243" i="269"/>
  <c r="AN237" i="318"/>
  <c r="AQ237" i="318" s="1"/>
  <c r="AW237" i="318"/>
  <c r="AX237" i="318"/>
  <c r="AY237" i="318"/>
  <c r="AM238" i="318"/>
  <c r="AV238" i="318" s="1"/>
  <c r="J244" i="269" s="1"/>
  <c r="K244" i="269" s="1"/>
  <c r="AW238" i="318"/>
  <c r="AX238" i="318"/>
  <c r="AY238" i="318"/>
  <c r="AM239" i="318"/>
  <c r="AW239" i="318"/>
  <c r="AX239" i="318"/>
  <c r="AY239" i="318"/>
  <c r="AM240" i="318"/>
  <c r="AN240" i="318" s="1"/>
  <c r="AQ240" i="318" s="1"/>
  <c r="AW240" i="318"/>
  <c r="AX240" i="318"/>
  <c r="AY240" i="318"/>
  <c r="AM241" i="318"/>
  <c r="AN241" i="318" s="1"/>
  <c r="AQ241" i="318" s="1"/>
  <c r="AW241" i="318"/>
  <c r="AX241" i="318"/>
  <c r="AY241" i="318"/>
  <c r="AM242" i="318"/>
  <c r="AW242" i="318"/>
  <c r="AX242" i="318"/>
  <c r="AY242" i="318"/>
  <c r="AM243" i="318"/>
  <c r="AW243" i="318"/>
  <c r="AX243" i="318"/>
  <c r="AY243" i="318"/>
  <c r="AM244" i="318"/>
  <c r="AN244" i="318"/>
  <c r="AQ244" i="318" s="1"/>
  <c r="AV244" i="318"/>
  <c r="J250" i="269" s="1"/>
  <c r="K250" i="269" s="1"/>
  <c r="AW244" i="318"/>
  <c r="AX244" i="318"/>
  <c r="AY244" i="318"/>
  <c r="AM245" i="318"/>
  <c r="AW245" i="318"/>
  <c r="AX245" i="318"/>
  <c r="AY245" i="318"/>
  <c r="AM246" i="318"/>
  <c r="AV246" i="318"/>
  <c r="J252" i="269" s="1"/>
  <c r="K252" i="269" s="1"/>
  <c r="AN246" i="318"/>
  <c r="AQ246" i="318"/>
  <c r="AW246" i="318"/>
  <c r="AX246" i="318"/>
  <c r="AY246" i="318"/>
  <c r="AM247" i="318"/>
  <c r="AV247" i="318" s="1"/>
  <c r="J253" i="269" s="1"/>
  <c r="K253" i="269" s="1"/>
  <c r="AW247" i="318"/>
  <c r="AX247" i="318"/>
  <c r="AY247" i="318"/>
  <c r="AM248" i="318"/>
  <c r="AV248" i="318" s="1"/>
  <c r="J254" i="269" s="1"/>
  <c r="K254" i="269" s="1"/>
  <c r="AW248" i="318"/>
  <c r="AX248" i="318"/>
  <c r="AY248" i="318"/>
  <c r="AM249" i="318"/>
  <c r="AV249" i="318" s="1"/>
  <c r="J255" i="269"/>
  <c r="K255" i="269" s="1"/>
  <c r="AN249" i="318"/>
  <c r="AQ249" i="318" s="1"/>
  <c r="AW249" i="318"/>
  <c r="AX249" i="318"/>
  <c r="AY249" i="318"/>
  <c r="AM250" i="318"/>
  <c r="AV250" i="318" s="1"/>
  <c r="J256" i="269" s="1"/>
  <c r="K256" i="269"/>
  <c r="AW250" i="318"/>
  <c r="AX250" i="318"/>
  <c r="AY250" i="318"/>
  <c r="AM251" i="318"/>
  <c r="AW251" i="318"/>
  <c r="AX251" i="318"/>
  <c r="AY251" i="318"/>
  <c r="AM252" i="318"/>
  <c r="AW252" i="318"/>
  <c r="AX252" i="318"/>
  <c r="AY252" i="318"/>
  <c r="AM253" i="318"/>
  <c r="AV253" i="318"/>
  <c r="J259" i="269" s="1"/>
  <c r="K259" i="269" s="1"/>
  <c r="AW253" i="318"/>
  <c r="AX253" i="318"/>
  <c r="AY253" i="318"/>
  <c r="AM254" i="318"/>
  <c r="AN254" i="318" s="1"/>
  <c r="AQ254" i="318" s="1"/>
  <c r="AW254" i="318"/>
  <c r="AX254" i="318"/>
  <c r="AY254" i="318"/>
  <c r="AM255" i="318"/>
  <c r="AW255" i="318"/>
  <c r="AX255" i="318"/>
  <c r="AY255" i="318"/>
  <c r="AM256" i="318"/>
  <c r="AV256" i="318"/>
  <c r="J262" i="269" s="1"/>
  <c r="K262" i="269" s="1"/>
  <c r="AN256" i="318"/>
  <c r="AQ256" i="318"/>
  <c r="AW256" i="318"/>
  <c r="AX256" i="318"/>
  <c r="AY256" i="318"/>
  <c r="AM257" i="318"/>
  <c r="AV257" i="318" s="1"/>
  <c r="J263" i="269" s="1"/>
  <c r="K263" i="269" s="1"/>
  <c r="AW257" i="318"/>
  <c r="AX257" i="318"/>
  <c r="AY257" i="318"/>
  <c r="AM258" i="318"/>
  <c r="AV258" i="318" s="1"/>
  <c r="J264" i="269" s="1"/>
  <c r="K264" i="269" s="1"/>
  <c r="AW258" i="318"/>
  <c r="AX258" i="318"/>
  <c r="AY258" i="318"/>
  <c r="AM259" i="318"/>
  <c r="AW259" i="318"/>
  <c r="AX259" i="318"/>
  <c r="AY259" i="318"/>
  <c r="AM260" i="318"/>
  <c r="AW260" i="318"/>
  <c r="AX260" i="318"/>
  <c r="AY260" i="318"/>
  <c r="AM261" i="318"/>
  <c r="AN261" i="318" s="1"/>
  <c r="AV261" i="318"/>
  <c r="J267" i="269" s="1"/>
  <c r="K267" i="269" s="1"/>
  <c r="AQ261" i="318"/>
  <c r="AW261" i="318"/>
  <c r="AX261" i="318"/>
  <c r="AY261" i="318"/>
  <c r="AM262" i="318"/>
  <c r="AV262" i="318" s="1"/>
  <c r="J268" i="269" s="1"/>
  <c r="K268" i="269" s="1"/>
  <c r="AW262" i="318"/>
  <c r="AX262" i="318"/>
  <c r="AY262" i="318"/>
  <c r="AM263" i="318"/>
  <c r="AV263" i="318" s="1"/>
  <c r="J269" i="269" s="1"/>
  <c r="K269" i="269" s="1"/>
  <c r="AW263" i="318"/>
  <c r="AX263" i="318"/>
  <c r="AY263" i="318"/>
  <c r="AM264" i="318"/>
  <c r="AN264" i="318" s="1"/>
  <c r="AQ264" i="318"/>
  <c r="AW264" i="318"/>
  <c r="AX264" i="318"/>
  <c r="AY264" i="318"/>
  <c r="AM265" i="318"/>
  <c r="AW265" i="318"/>
  <c r="AX265" i="318"/>
  <c r="AY265" i="318"/>
  <c r="AM266" i="318"/>
  <c r="AN266" i="318"/>
  <c r="AQ266" i="318" s="1"/>
  <c r="AW266" i="318"/>
  <c r="AX266" i="318"/>
  <c r="AY266" i="318"/>
  <c r="R267" i="318"/>
  <c r="AM267" i="318"/>
  <c r="AV267" i="318" s="1"/>
  <c r="J273" i="269" s="1"/>
  <c r="K273" i="269" s="1"/>
  <c r="AW267" i="318"/>
  <c r="AX267" i="318"/>
  <c r="AY267" i="318"/>
  <c r="R268" i="318"/>
  <c r="AM268" i="318"/>
  <c r="AV268" i="318" s="1"/>
  <c r="J274" i="269"/>
  <c r="K274" i="269" s="1"/>
  <c r="AW268" i="318"/>
  <c r="AX268" i="318"/>
  <c r="AY268" i="318"/>
  <c r="R269" i="318"/>
  <c r="AM269" i="318"/>
  <c r="AW269" i="318"/>
  <c r="AX269" i="318"/>
  <c r="AY269" i="318"/>
  <c r="R270" i="318"/>
  <c r="AM270" i="318"/>
  <c r="AV270" i="318" s="1"/>
  <c r="J276" i="269" s="1"/>
  <c r="K276" i="269" s="1"/>
  <c r="AW270" i="318"/>
  <c r="AX270" i="318"/>
  <c r="AY270" i="318"/>
  <c r="R271" i="318"/>
  <c r="AM271" i="318"/>
  <c r="AW271" i="318"/>
  <c r="AX271" i="318"/>
  <c r="AY271" i="318"/>
  <c r="R272" i="318"/>
  <c r="AM272" i="318"/>
  <c r="AV272" i="318"/>
  <c r="J278" i="269" s="1"/>
  <c r="K278" i="269" s="1"/>
  <c r="AW272" i="318"/>
  <c r="AX272" i="318"/>
  <c r="AY272" i="318"/>
  <c r="R273" i="318"/>
  <c r="AM273" i="318"/>
  <c r="AV273" i="318" s="1"/>
  <c r="J279" i="269" s="1"/>
  <c r="K279" i="269" s="1"/>
  <c r="AW273" i="318"/>
  <c r="AX273" i="318"/>
  <c r="AY273" i="318"/>
  <c r="R274" i="318"/>
  <c r="AN274" i="318" s="1"/>
  <c r="AQ274" i="318" s="1"/>
  <c r="AM274" i="318"/>
  <c r="AV274" i="318"/>
  <c r="J280" i="269" s="1"/>
  <c r="K280" i="269" s="1"/>
  <c r="AW274" i="318"/>
  <c r="AX274" i="318"/>
  <c r="AY274" i="318"/>
  <c r="R275" i="318"/>
  <c r="AM275" i="318"/>
  <c r="AV275" i="318" s="1"/>
  <c r="J281" i="269" s="1"/>
  <c r="K281" i="269" s="1"/>
  <c r="AW275" i="318"/>
  <c r="AX275" i="318"/>
  <c r="AY275" i="318"/>
  <c r="R276" i="318"/>
  <c r="AM276" i="318"/>
  <c r="AV276" i="318" s="1"/>
  <c r="J282" i="269" s="1"/>
  <c r="K282" i="269" s="1"/>
  <c r="AW276" i="318"/>
  <c r="AX276" i="318"/>
  <c r="AY276" i="318"/>
  <c r="R277" i="318"/>
  <c r="AN277" i="318" s="1"/>
  <c r="AQ277" i="318" s="1"/>
  <c r="AM277" i="318"/>
  <c r="AW277" i="318"/>
  <c r="AX277" i="318"/>
  <c r="AY277" i="318"/>
  <c r="R278" i="318"/>
  <c r="AM278" i="318"/>
  <c r="AN278" i="318" s="1"/>
  <c r="AQ278" i="318" s="1"/>
  <c r="AW278" i="318"/>
  <c r="AX278" i="318"/>
  <c r="AY278" i="318"/>
  <c r="R279" i="318"/>
  <c r="AM279" i="318"/>
  <c r="AV279" i="318" s="1"/>
  <c r="J285" i="269" s="1"/>
  <c r="K285" i="269" s="1"/>
  <c r="AW279" i="318"/>
  <c r="AX279" i="318"/>
  <c r="AY279" i="318"/>
  <c r="R280" i="318"/>
  <c r="AM280" i="318"/>
  <c r="AV280" i="318" s="1"/>
  <c r="J286" i="269" s="1"/>
  <c r="K286" i="269" s="1"/>
  <c r="AN280" i="318"/>
  <c r="AQ280" i="318" s="1"/>
  <c r="AW280" i="318"/>
  <c r="AX280" i="318"/>
  <c r="AY280" i="318"/>
  <c r="R281" i="318"/>
  <c r="AM281" i="318"/>
  <c r="AN281" i="318" s="1"/>
  <c r="AQ281" i="318" s="1"/>
  <c r="AV281" i="318"/>
  <c r="J287" i="269" s="1"/>
  <c r="K287" i="269" s="1"/>
  <c r="AW281" i="318"/>
  <c r="AX281" i="318"/>
  <c r="AY281" i="318"/>
  <c r="R282" i="318"/>
  <c r="AM282" i="318"/>
  <c r="AW282" i="318"/>
  <c r="AX282" i="318"/>
  <c r="AY282" i="318"/>
  <c r="R283" i="318"/>
  <c r="AM283" i="318"/>
  <c r="AW283" i="318"/>
  <c r="AX283" i="318"/>
  <c r="AY283" i="318"/>
  <c r="R284" i="318"/>
  <c r="AN284" i="318" s="1"/>
  <c r="AQ284" i="318" s="1"/>
  <c r="AM284" i="318"/>
  <c r="AW284" i="318"/>
  <c r="AX284" i="318"/>
  <c r="AY284" i="318"/>
  <c r="R285" i="318"/>
  <c r="AM285" i="318"/>
  <c r="AV285" i="318" s="1"/>
  <c r="J291" i="269" s="1"/>
  <c r="K291" i="269" s="1"/>
  <c r="AW285" i="318"/>
  <c r="AX285" i="318"/>
  <c r="AY285" i="318"/>
  <c r="R286" i="318"/>
  <c r="AM286" i="318"/>
  <c r="AN286" i="318" s="1"/>
  <c r="AQ286" i="318" s="1"/>
  <c r="AW286" i="318"/>
  <c r="AX286" i="318"/>
  <c r="AY286" i="318"/>
  <c r="R287" i="318"/>
  <c r="AN287" i="318" s="1"/>
  <c r="AQ287" i="318" s="1"/>
  <c r="AM287" i="318"/>
  <c r="AV287" i="318" s="1"/>
  <c r="J293" i="269" s="1"/>
  <c r="K293" i="269" s="1"/>
  <c r="AW287" i="318"/>
  <c r="AX287" i="318"/>
  <c r="AY287" i="318"/>
  <c r="R288" i="318"/>
  <c r="AM288" i="318"/>
  <c r="AV288" i="318"/>
  <c r="J294" i="269" s="1"/>
  <c r="K294" i="269" s="1"/>
  <c r="AW288" i="318"/>
  <c r="AX288" i="318"/>
  <c r="AY288" i="318"/>
  <c r="R289" i="318"/>
  <c r="AN289" i="318" s="1"/>
  <c r="AM289" i="318"/>
  <c r="AV289" i="318"/>
  <c r="J295" i="269" s="1"/>
  <c r="K295" i="269" s="1"/>
  <c r="AQ289" i="318"/>
  <c r="AW289" i="318"/>
  <c r="AX289" i="318"/>
  <c r="AY289" i="318"/>
  <c r="R290" i="318"/>
  <c r="AN290" i="318" s="1"/>
  <c r="AQ290" i="318" s="1"/>
  <c r="AM290" i="318"/>
  <c r="AW290" i="318"/>
  <c r="AX290" i="318"/>
  <c r="AY290" i="318"/>
  <c r="R291" i="318"/>
  <c r="AM291" i="318"/>
  <c r="AV291" i="318" s="1"/>
  <c r="J297" i="269" s="1"/>
  <c r="K297" i="269" s="1"/>
  <c r="AN291" i="318"/>
  <c r="AQ291" i="318" s="1"/>
  <c r="AW291" i="318"/>
  <c r="AX291" i="318"/>
  <c r="AY291" i="318"/>
  <c r="R292" i="318"/>
  <c r="AM292" i="318"/>
  <c r="AV292" i="318" s="1"/>
  <c r="J298" i="269" s="1"/>
  <c r="K298" i="269" s="1"/>
  <c r="AW292" i="318"/>
  <c r="AX292" i="318"/>
  <c r="AY292" i="318"/>
  <c r="R293" i="318"/>
  <c r="AN293" i="318" s="1"/>
  <c r="AQ293" i="318" s="1"/>
  <c r="AM293" i="318"/>
  <c r="AV293" i="318" s="1"/>
  <c r="J299" i="269"/>
  <c r="K299" i="269" s="1"/>
  <c r="AW293" i="318"/>
  <c r="AX293" i="318"/>
  <c r="AY293" i="318"/>
  <c r="R294" i="318"/>
  <c r="AM294" i="318"/>
  <c r="AW294" i="318"/>
  <c r="AX294" i="318"/>
  <c r="AY294" i="318"/>
  <c r="R295" i="318"/>
  <c r="AN295" i="318" s="1"/>
  <c r="AQ295" i="318" s="1"/>
  <c r="AM295" i="318"/>
  <c r="AV295" i="318"/>
  <c r="J301" i="269" s="1"/>
  <c r="K301" i="269" s="1"/>
  <c r="AW295" i="318"/>
  <c r="AX295" i="318"/>
  <c r="AY295" i="318"/>
  <c r="R296" i="318"/>
  <c r="AM296" i="318"/>
  <c r="AV296" i="318" s="1"/>
  <c r="J302" i="269" s="1"/>
  <c r="K302" i="269" s="1"/>
  <c r="AW296" i="318"/>
  <c r="AX296" i="318"/>
  <c r="AY296" i="318"/>
  <c r="R297" i="318"/>
  <c r="AM297" i="318"/>
  <c r="AV297" i="318" s="1"/>
  <c r="J303" i="269" s="1"/>
  <c r="K303" i="269" s="1"/>
  <c r="AW297" i="318"/>
  <c r="AX297" i="318"/>
  <c r="AY297" i="318"/>
  <c r="R298" i="318"/>
  <c r="AM298" i="318"/>
  <c r="AV298" i="318" s="1"/>
  <c r="J304" i="269" s="1"/>
  <c r="K304" i="269" s="1"/>
  <c r="AW298" i="318"/>
  <c r="AX298" i="318"/>
  <c r="AY298" i="318"/>
  <c r="R299" i="318"/>
  <c r="AM299" i="318"/>
  <c r="AV299" i="318" s="1"/>
  <c r="J305" i="269" s="1"/>
  <c r="K305" i="269" s="1"/>
  <c r="AW299" i="318"/>
  <c r="AX299" i="318"/>
  <c r="AY299" i="318"/>
  <c r="R300" i="318"/>
  <c r="AM300" i="318"/>
  <c r="AV300" i="318" s="1"/>
  <c r="J306" i="269" s="1"/>
  <c r="K306" i="269" s="1"/>
  <c r="AW300" i="318"/>
  <c r="AX300" i="318"/>
  <c r="AY300" i="318"/>
  <c r="R301" i="318"/>
  <c r="AM301" i="318"/>
  <c r="AV301" i="318" s="1"/>
  <c r="J307" i="269" s="1"/>
  <c r="K307" i="269" s="1"/>
  <c r="AW301" i="318"/>
  <c r="AX301" i="318"/>
  <c r="AY301" i="318"/>
  <c r="R302" i="318"/>
  <c r="AN302" i="318" s="1"/>
  <c r="AQ302" i="318" s="1"/>
  <c r="AM302" i="318"/>
  <c r="AV302" i="318"/>
  <c r="J308" i="269" s="1"/>
  <c r="K308" i="269" s="1"/>
  <c r="AW302" i="318"/>
  <c r="AX302" i="318"/>
  <c r="AY302" i="318"/>
  <c r="AM303" i="318"/>
  <c r="AW303" i="318"/>
  <c r="AX303" i="318"/>
  <c r="AY303" i="318"/>
  <c r="AM304" i="318"/>
  <c r="AV304" i="318" s="1"/>
  <c r="J310" i="269"/>
  <c r="K310" i="269" s="1"/>
  <c r="AW304" i="318"/>
  <c r="AX304" i="318"/>
  <c r="AY304" i="318"/>
  <c r="AM305" i="318"/>
  <c r="AV305" i="318" s="1"/>
  <c r="J311" i="269" s="1"/>
  <c r="K311" i="269" s="1"/>
  <c r="AW305" i="318"/>
  <c r="AX305" i="318"/>
  <c r="AY305" i="318"/>
  <c r="AM306" i="318"/>
  <c r="AN306" i="318" s="1"/>
  <c r="AQ306" i="318" s="1"/>
  <c r="AW306" i="318"/>
  <c r="AX306" i="318"/>
  <c r="AY306" i="318"/>
  <c r="AM307" i="318"/>
  <c r="AW307" i="318"/>
  <c r="AX307" i="318"/>
  <c r="AY307" i="318"/>
  <c r="AM308" i="318"/>
  <c r="AN308" i="318" s="1"/>
  <c r="AQ308" i="318" s="1"/>
  <c r="AW308" i="318"/>
  <c r="AX308" i="318"/>
  <c r="AY308" i="318"/>
  <c r="AM309" i="318"/>
  <c r="AV309" i="318" s="1"/>
  <c r="J315" i="269" s="1"/>
  <c r="K315" i="269" s="1"/>
  <c r="AN309" i="318"/>
  <c r="AQ309" i="318" s="1"/>
  <c r="AW309" i="318"/>
  <c r="AX309" i="318"/>
  <c r="AY309" i="318"/>
  <c r="AM310" i="318"/>
  <c r="AV310" i="318" s="1"/>
  <c r="J316" i="269" s="1"/>
  <c r="K316" i="269" s="1"/>
  <c r="AW310" i="318"/>
  <c r="AX310" i="318"/>
  <c r="AY310" i="318"/>
  <c r="AM311" i="318"/>
  <c r="AN311" i="318" s="1"/>
  <c r="AQ311" i="318" s="1"/>
  <c r="AV311" i="318"/>
  <c r="J317" i="269" s="1"/>
  <c r="K317" i="269" s="1"/>
  <c r="AW311" i="318"/>
  <c r="AX311" i="318"/>
  <c r="AY311" i="318"/>
  <c r="AM312" i="318"/>
  <c r="AN312" i="318" s="1"/>
  <c r="AQ312" i="318" s="1"/>
  <c r="AW312" i="318"/>
  <c r="AX312" i="318"/>
  <c r="AY312" i="318"/>
  <c r="AM313" i="318"/>
  <c r="AN313" i="318"/>
  <c r="AQ313" i="318" s="1"/>
  <c r="AV313" i="318"/>
  <c r="J319" i="269" s="1"/>
  <c r="K319" i="269"/>
  <c r="AW313" i="318"/>
  <c r="AX313" i="318"/>
  <c r="AY313" i="318"/>
  <c r="AM314" i="318"/>
  <c r="AN314" i="318" s="1"/>
  <c r="AQ314" i="318" s="1"/>
  <c r="AW314" i="318"/>
  <c r="AX314" i="318"/>
  <c r="AY314" i="318"/>
  <c r="R315" i="318"/>
  <c r="DY315" i="318"/>
  <c r="DW315" i="318"/>
  <c r="DZ315" i="318"/>
  <c r="C316" i="318"/>
  <c r="D316" i="318"/>
  <c r="E316" i="318"/>
  <c r="F316" i="318"/>
  <c r="G316" i="318"/>
  <c r="H316" i="318"/>
  <c r="I316" i="318"/>
  <c r="I500" i="318" s="1"/>
  <c r="J316" i="318"/>
  <c r="K316" i="318"/>
  <c r="L316" i="318"/>
  <c r="M316" i="318"/>
  <c r="M500" i="318" s="1"/>
  <c r="N316" i="318"/>
  <c r="O316" i="318"/>
  <c r="P316" i="318"/>
  <c r="Q316" i="318"/>
  <c r="Q500" i="318" s="1"/>
  <c r="S316" i="318"/>
  <c r="T316" i="318"/>
  <c r="U316" i="318"/>
  <c r="V316" i="318"/>
  <c r="W316" i="318"/>
  <c r="X316" i="318"/>
  <c r="Y316" i="318"/>
  <c r="Z316" i="318"/>
  <c r="AA316" i="318"/>
  <c r="AB316" i="318"/>
  <c r="AC316" i="318"/>
  <c r="AD316" i="318"/>
  <c r="AE316" i="318"/>
  <c r="AF316" i="318"/>
  <c r="AG316" i="318"/>
  <c r="AH316" i="318"/>
  <c r="AI316" i="318"/>
  <c r="AJ316" i="318"/>
  <c r="AK316" i="318"/>
  <c r="AL316" i="318"/>
  <c r="AR316" i="318"/>
  <c r="AS316" i="318"/>
  <c r="AT316" i="318"/>
  <c r="AU316" i="318"/>
  <c r="AV316" i="318"/>
  <c r="BA316" i="318"/>
  <c r="BB316" i="318"/>
  <c r="BC316" i="318"/>
  <c r="BD316" i="318"/>
  <c r="BE316" i="318"/>
  <c r="BF316" i="318"/>
  <c r="BG316" i="318"/>
  <c r="BH316" i="318"/>
  <c r="BI316" i="318"/>
  <c r="BJ316" i="318"/>
  <c r="BK316" i="318"/>
  <c r="BL316" i="318"/>
  <c r="BM316" i="318"/>
  <c r="BN316" i="318"/>
  <c r="BO316" i="318"/>
  <c r="BP316" i="318"/>
  <c r="BQ316" i="318"/>
  <c r="BR316" i="318"/>
  <c r="BS316" i="318"/>
  <c r="BT316" i="318"/>
  <c r="BU316" i="318"/>
  <c r="BV316" i="318"/>
  <c r="BW316" i="318"/>
  <c r="BX316" i="318"/>
  <c r="BY316" i="318"/>
  <c r="BZ316" i="318"/>
  <c r="CA316" i="318"/>
  <c r="CB316" i="318"/>
  <c r="CC316" i="318"/>
  <c r="CD316" i="318"/>
  <c r="CE316" i="318"/>
  <c r="CF316" i="318"/>
  <c r="CG316" i="318"/>
  <c r="CH316" i="318"/>
  <c r="CI316" i="318"/>
  <c r="CJ316" i="318"/>
  <c r="CK316" i="318"/>
  <c r="CL316" i="318"/>
  <c r="CM316" i="318"/>
  <c r="CN316" i="318"/>
  <c r="CO316" i="318"/>
  <c r="CP316" i="318"/>
  <c r="CQ316" i="318"/>
  <c r="CR316" i="318"/>
  <c r="CS316" i="318"/>
  <c r="CT316" i="318"/>
  <c r="CU316" i="318"/>
  <c r="CV316" i="318"/>
  <c r="CW316" i="318"/>
  <c r="CX316" i="318"/>
  <c r="CY316" i="318"/>
  <c r="CZ316" i="318"/>
  <c r="DA316" i="318"/>
  <c r="DB316" i="318"/>
  <c r="DC316" i="318"/>
  <c r="DD316" i="318"/>
  <c r="DE316" i="318"/>
  <c r="DF316" i="318"/>
  <c r="DG316" i="318"/>
  <c r="DH316" i="318"/>
  <c r="DI316" i="318"/>
  <c r="DJ316" i="318"/>
  <c r="DK316" i="318"/>
  <c r="DL316" i="318"/>
  <c r="DM316" i="318"/>
  <c r="DN316" i="318"/>
  <c r="DO316" i="318"/>
  <c r="DP316" i="318"/>
  <c r="DQ316" i="318"/>
  <c r="DR316" i="318"/>
  <c r="DS316" i="318"/>
  <c r="DT316" i="318"/>
  <c r="DU316" i="318"/>
  <c r="DV316" i="318"/>
  <c r="R317" i="318"/>
  <c r="AM317" i="318"/>
  <c r="AN317" i="318"/>
  <c r="AW317" i="318"/>
  <c r="AX317" i="318"/>
  <c r="AY317" i="318"/>
  <c r="AZ317" i="318"/>
  <c r="R318" i="318"/>
  <c r="AM318" i="318"/>
  <c r="AP318" i="318" s="1"/>
  <c r="F322" i="269" s="1"/>
  <c r="G322" i="269" s="1"/>
  <c r="AN318" i="318"/>
  <c r="AQ318" i="318" s="1"/>
  <c r="AW318" i="318"/>
  <c r="AX318" i="318"/>
  <c r="AY318" i="318"/>
  <c r="AZ318" i="318"/>
  <c r="R319" i="318"/>
  <c r="AM319" i="318"/>
  <c r="AP319" i="318" s="1"/>
  <c r="F323" i="269" s="1"/>
  <c r="G323" i="269" s="1"/>
  <c r="AW319" i="318"/>
  <c r="AX319" i="318"/>
  <c r="AY319" i="318"/>
  <c r="AZ319" i="318"/>
  <c r="R320" i="318"/>
  <c r="AM320" i="318"/>
  <c r="AP320" i="318" s="1"/>
  <c r="F324" i="269" s="1"/>
  <c r="G324" i="269" s="1"/>
  <c r="AW320" i="318"/>
  <c r="AX320" i="318"/>
  <c r="AY320" i="318"/>
  <c r="AZ320" i="318"/>
  <c r="R321" i="318"/>
  <c r="AM321" i="318"/>
  <c r="AP321" i="318" s="1"/>
  <c r="F325" i="269" s="1"/>
  <c r="G325" i="269" s="1"/>
  <c r="AW321" i="318"/>
  <c r="AX321" i="318"/>
  <c r="AY321" i="318"/>
  <c r="AZ321" i="318"/>
  <c r="R322" i="318"/>
  <c r="AN322" i="318" s="1"/>
  <c r="AQ322" i="318" s="1"/>
  <c r="AM322" i="318"/>
  <c r="AP322" i="318" s="1"/>
  <c r="F326" i="269" s="1"/>
  <c r="G326" i="269" s="1"/>
  <c r="AW322" i="318"/>
  <c r="AX322" i="318"/>
  <c r="AY322" i="318"/>
  <c r="AZ322" i="318"/>
  <c r="R323" i="318"/>
  <c r="AM323" i="318"/>
  <c r="AP323" i="318" s="1"/>
  <c r="F327" i="269" s="1"/>
  <c r="G327" i="269" s="1"/>
  <c r="AN323" i="318"/>
  <c r="AQ323" i="318" s="1"/>
  <c r="AW323" i="318"/>
  <c r="AX323" i="318"/>
  <c r="AY323" i="318"/>
  <c r="AZ323" i="318"/>
  <c r="R324" i="318"/>
  <c r="AM324" i="318"/>
  <c r="AP324" i="318" s="1"/>
  <c r="F328" i="269" s="1"/>
  <c r="G328" i="269" s="1"/>
  <c r="AW324" i="318"/>
  <c r="AX324" i="318"/>
  <c r="AY324" i="318"/>
  <c r="AZ324" i="318"/>
  <c r="R325" i="318"/>
  <c r="AM325" i="318"/>
  <c r="AN325" i="318"/>
  <c r="AQ325" i="318"/>
  <c r="AP325" i="318"/>
  <c r="F329" i="269" s="1"/>
  <c r="G329" i="269" s="1"/>
  <c r="AW325" i="318"/>
  <c r="AX325" i="318"/>
  <c r="AY325" i="318"/>
  <c r="AZ325" i="318"/>
  <c r="R326" i="318"/>
  <c r="AM326" i="318"/>
  <c r="AP326" i="318" s="1"/>
  <c r="F330" i="269" s="1"/>
  <c r="G330" i="269" s="1"/>
  <c r="AW326" i="318"/>
  <c r="AX326" i="318"/>
  <c r="AY326" i="318"/>
  <c r="AZ326" i="318"/>
  <c r="R327" i="318"/>
  <c r="AN327" i="318" s="1"/>
  <c r="AQ327" i="318" s="1"/>
  <c r="AM327" i="318"/>
  <c r="AP327" i="318" s="1"/>
  <c r="F331" i="269" s="1"/>
  <c r="G331" i="269" s="1"/>
  <c r="AW327" i="318"/>
  <c r="AX327" i="318"/>
  <c r="AY327" i="318"/>
  <c r="AZ327" i="318"/>
  <c r="R328" i="318"/>
  <c r="AN328" i="318" s="1"/>
  <c r="AQ328" i="318" s="1"/>
  <c r="AM328" i="318"/>
  <c r="AP328" i="318" s="1"/>
  <c r="F332" i="269" s="1"/>
  <c r="G332" i="269" s="1"/>
  <c r="AW328" i="318"/>
  <c r="AX328" i="318"/>
  <c r="AY328" i="318"/>
  <c r="AZ328" i="318"/>
  <c r="R329" i="318"/>
  <c r="AN329" i="318" s="1"/>
  <c r="AQ329" i="318" s="1"/>
  <c r="AM329" i="318"/>
  <c r="AW329" i="318"/>
  <c r="AX329" i="318"/>
  <c r="AY329" i="318"/>
  <c r="AZ329" i="318"/>
  <c r="R330" i="318"/>
  <c r="AM330" i="318"/>
  <c r="AP330" i="318" s="1"/>
  <c r="F334" i="269" s="1"/>
  <c r="G334" i="269" s="1"/>
  <c r="AW330" i="318"/>
  <c r="AX330" i="318"/>
  <c r="AY330" i="318"/>
  <c r="AZ330" i="318"/>
  <c r="R331" i="318"/>
  <c r="AM331" i="318"/>
  <c r="AP331" i="318" s="1"/>
  <c r="F335" i="269" s="1"/>
  <c r="G335" i="269" s="1"/>
  <c r="AW331" i="318"/>
  <c r="AX331" i="318"/>
  <c r="AY331" i="318"/>
  <c r="AZ331" i="318"/>
  <c r="R332" i="318"/>
  <c r="AM332" i="318"/>
  <c r="AP332" i="318" s="1"/>
  <c r="F336" i="269" s="1"/>
  <c r="G336" i="269" s="1"/>
  <c r="AN332" i="318"/>
  <c r="AQ332" i="318" s="1"/>
  <c r="AW332" i="318"/>
  <c r="AX332" i="318"/>
  <c r="AY332" i="318"/>
  <c r="AZ332" i="318"/>
  <c r="R333" i="318"/>
  <c r="AM333" i="318"/>
  <c r="AP333" i="318" s="1"/>
  <c r="F337" i="269" s="1"/>
  <c r="G337" i="269" s="1"/>
  <c r="AW333" i="318"/>
  <c r="AX333" i="318"/>
  <c r="AY333" i="318"/>
  <c r="AZ333" i="318"/>
  <c r="R334" i="318"/>
  <c r="AM334" i="318"/>
  <c r="AP334" i="318" s="1"/>
  <c r="F338" i="269" s="1"/>
  <c r="G338" i="269" s="1"/>
  <c r="AW334" i="318"/>
  <c r="AX334" i="318"/>
  <c r="AY334" i="318"/>
  <c r="AZ334" i="318"/>
  <c r="R335" i="318"/>
  <c r="AN335" i="318" s="1"/>
  <c r="AQ335" i="318" s="1"/>
  <c r="AM335" i="318"/>
  <c r="AP335" i="318" s="1"/>
  <c r="F339" i="269" s="1"/>
  <c r="G339" i="269" s="1"/>
  <c r="AW335" i="318"/>
  <c r="AX335" i="318"/>
  <c r="AY335" i="318"/>
  <c r="AZ335" i="318"/>
  <c r="R336" i="318"/>
  <c r="AM336" i="318"/>
  <c r="AP336" i="318"/>
  <c r="F340" i="269"/>
  <c r="G340" i="269" s="1"/>
  <c r="AW336" i="318"/>
  <c r="AX336" i="318"/>
  <c r="AY336" i="318"/>
  <c r="AZ336" i="318"/>
  <c r="R337" i="318"/>
  <c r="AM337" i="318"/>
  <c r="AN337" i="318"/>
  <c r="AQ337" i="318" s="1"/>
  <c r="AW337" i="318"/>
  <c r="AX337" i="318"/>
  <c r="AY337" i="318"/>
  <c r="AZ337" i="318"/>
  <c r="R338" i="318"/>
  <c r="AN338" i="318" s="1"/>
  <c r="AQ338" i="318" s="1"/>
  <c r="AM338" i="318"/>
  <c r="AP338" i="318" s="1"/>
  <c r="F342" i="269" s="1"/>
  <c r="G342" i="269" s="1"/>
  <c r="AW338" i="318"/>
  <c r="AX338" i="318"/>
  <c r="AY338" i="318"/>
  <c r="AZ338" i="318"/>
  <c r="R339" i="318"/>
  <c r="AM339" i="318"/>
  <c r="AP339" i="318" s="1"/>
  <c r="F343" i="269" s="1"/>
  <c r="G343" i="269" s="1"/>
  <c r="AW339" i="318"/>
  <c r="AX339" i="318"/>
  <c r="AY339" i="318"/>
  <c r="AZ339" i="318"/>
  <c r="R340" i="318"/>
  <c r="AM340" i="318"/>
  <c r="AP340" i="318" s="1"/>
  <c r="F344" i="269" s="1"/>
  <c r="G344" i="269" s="1"/>
  <c r="AW340" i="318"/>
  <c r="AX340" i="318"/>
  <c r="AY340" i="318"/>
  <c r="AZ340" i="318"/>
  <c r="R341" i="318"/>
  <c r="AM341" i="318"/>
  <c r="AW341" i="318"/>
  <c r="AX341" i="318"/>
  <c r="AY341" i="318"/>
  <c r="AZ341" i="318"/>
  <c r="R342" i="318"/>
  <c r="AM342" i="318"/>
  <c r="AP342" i="318" s="1"/>
  <c r="F346" i="269" s="1"/>
  <c r="G346" i="269" s="1"/>
  <c r="AW342" i="318"/>
  <c r="AX342" i="318"/>
  <c r="AY342" i="318"/>
  <c r="AZ342" i="318"/>
  <c r="R343" i="318"/>
  <c r="AM343" i="318"/>
  <c r="AP343" i="318" s="1"/>
  <c r="F347" i="269" s="1"/>
  <c r="G347" i="269" s="1"/>
  <c r="AN343" i="318"/>
  <c r="AQ343" i="318" s="1"/>
  <c r="AW343" i="318"/>
  <c r="AX343" i="318"/>
  <c r="AY343" i="318"/>
  <c r="AZ343" i="318"/>
  <c r="R344" i="318"/>
  <c r="AN344" i="318" s="1"/>
  <c r="AQ344" i="318" s="1"/>
  <c r="AM344" i="318"/>
  <c r="AP344" i="318"/>
  <c r="F348" i="269"/>
  <c r="G348" i="269" s="1"/>
  <c r="AW344" i="318"/>
  <c r="AX344" i="318"/>
  <c r="AY344" i="318"/>
  <c r="AZ344" i="318"/>
  <c r="R345" i="318"/>
  <c r="AN345" i="318" s="1"/>
  <c r="AQ345" i="318" s="1"/>
  <c r="AM345" i="318"/>
  <c r="AP345" i="318" s="1"/>
  <c r="F349" i="269" s="1"/>
  <c r="G349" i="269" s="1"/>
  <c r="AW345" i="318"/>
  <c r="AX345" i="318"/>
  <c r="AY345" i="318"/>
  <c r="AZ345" i="318"/>
  <c r="R346" i="318"/>
  <c r="AN346" i="318" s="1"/>
  <c r="AQ346" i="318" s="1"/>
  <c r="AM346" i="318"/>
  <c r="AP346" i="318" s="1"/>
  <c r="F350" i="269" s="1"/>
  <c r="G350" i="269" s="1"/>
  <c r="AW346" i="318"/>
  <c r="AX346" i="318"/>
  <c r="AY346" i="318"/>
  <c r="AZ346" i="318"/>
  <c r="R347" i="318"/>
  <c r="AM347" i="318"/>
  <c r="AP347" i="318" s="1"/>
  <c r="F351" i="269" s="1"/>
  <c r="G351" i="269" s="1"/>
  <c r="AN347" i="318"/>
  <c r="AQ347" i="318" s="1"/>
  <c r="AW347" i="318"/>
  <c r="AX347" i="318"/>
  <c r="AY347" i="318"/>
  <c r="AZ347" i="318"/>
  <c r="R348" i="318"/>
  <c r="AM348" i="318"/>
  <c r="AP348" i="318"/>
  <c r="F352" i="269" s="1"/>
  <c r="G352" i="269" s="1"/>
  <c r="AW348" i="318"/>
  <c r="AX348" i="318"/>
  <c r="AY348" i="318"/>
  <c r="AZ348" i="318"/>
  <c r="R349" i="318"/>
  <c r="AM349" i="318"/>
  <c r="AP349" i="318"/>
  <c r="F353" i="269" s="1"/>
  <c r="G353" i="269" s="1"/>
  <c r="AW349" i="318"/>
  <c r="AX349" i="318"/>
  <c r="AY349" i="318"/>
  <c r="AZ349" i="318"/>
  <c r="R350" i="318"/>
  <c r="AM350" i="318"/>
  <c r="AP350" i="318" s="1"/>
  <c r="F354" i="269" s="1"/>
  <c r="G354" i="269" s="1"/>
  <c r="AW350" i="318"/>
  <c r="AX350" i="318"/>
  <c r="AY350" i="318"/>
  <c r="AZ350" i="318"/>
  <c r="R351" i="318"/>
  <c r="AN351" i="318" s="1"/>
  <c r="AQ351" i="318" s="1"/>
  <c r="AM351" i="318"/>
  <c r="AP351" i="318" s="1"/>
  <c r="F355" i="269" s="1"/>
  <c r="G355" i="269" s="1"/>
  <c r="AW351" i="318"/>
  <c r="AX351" i="318"/>
  <c r="AY351" i="318"/>
  <c r="AZ351" i="318"/>
  <c r="R352" i="318"/>
  <c r="AN352" i="318" s="1"/>
  <c r="AQ352" i="318" s="1"/>
  <c r="AM352" i="318"/>
  <c r="AP352" i="318"/>
  <c r="F356" i="269" s="1"/>
  <c r="G356" i="269" s="1"/>
  <c r="AW352" i="318"/>
  <c r="AX352" i="318"/>
  <c r="AY352" i="318"/>
  <c r="AZ352" i="318"/>
  <c r="R353" i="318"/>
  <c r="AN353" i="318" s="1"/>
  <c r="AQ353" i="318" s="1"/>
  <c r="AM353" i="318"/>
  <c r="AP353" i="318" s="1"/>
  <c r="F357" i="269" s="1"/>
  <c r="G357" i="269"/>
  <c r="AW353" i="318"/>
  <c r="AX353" i="318"/>
  <c r="AY353" i="318"/>
  <c r="AZ353" i="318"/>
  <c r="R354" i="318"/>
  <c r="AM354" i="318"/>
  <c r="AP354" i="318" s="1"/>
  <c r="F358" i="269" s="1"/>
  <c r="G358" i="269" s="1"/>
  <c r="AW354" i="318"/>
  <c r="AX354" i="318"/>
  <c r="AY354" i="318"/>
  <c r="AZ354" i="318"/>
  <c r="R355" i="318"/>
  <c r="AM355" i="318"/>
  <c r="AP355" i="318"/>
  <c r="F359" i="269" s="1"/>
  <c r="G359" i="269" s="1"/>
  <c r="AW355" i="318"/>
  <c r="AX355" i="318"/>
  <c r="AY355" i="318"/>
  <c r="AZ355" i="318"/>
  <c r="AM356" i="318"/>
  <c r="AP356" i="318" s="1"/>
  <c r="F360" i="269" s="1"/>
  <c r="G360" i="269" s="1"/>
  <c r="AW356" i="318"/>
  <c r="AX356" i="318"/>
  <c r="AY356" i="318"/>
  <c r="AZ356" i="318"/>
  <c r="AM357" i="318"/>
  <c r="AP357" i="318" s="1"/>
  <c r="F361" i="269" s="1"/>
  <c r="G361" i="269" s="1"/>
  <c r="AN357" i="318"/>
  <c r="AQ357" i="318" s="1"/>
  <c r="AW357" i="318"/>
  <c r="AX357" i="318"/>
  <c r="AY357" i="318"/>
  <c r="AZ357" i="318"/>
  <c r="AM358" i="318"/>
  <c r="AN358" i="318" s="1"/>
  <c r="AQ358" i="318" s="1"/>
  <c r="AW358" i="318"/>
  <c r="AX358" i="318"/>
  <c r="AY358" i="318"/>
  <c r="AZ358" i="318"/>
  <c r="R359" i="318"/>
  <c r="AM359" i="318"/>
  <c r="AP359" i="318" s="1"/>
  <c r="F363" i="269" s="1"/>
  <c r="G363" i="269" s="1"/>
  <c r="AW359" i="318"/>
  <c r="AX359" i="318"/>
  <c r="AY359" i="318"/>
  <c r="AZ359" i="318"/>
  <c r="R360" i="318"/>
  <c r="AM360" i="318"/>
  <c r="AW360" i="318"/>
  <c r="AX360" i="318"/>
  <c r="AY360" i="318"/>
  <c r="AZ360" i="318"/>
  <c r="R361" i="318"/>
  <c r="AM361" i="318"/>
  <c r="AW361" i="318"/>
  <c r="AX361" i="318"/>
  <c r="AY361" i="318"/>
  <c r="AZ361" i="318"/>
  <c r="R362" i="318"/>
  <c r="AM362" i="318"/>
  <c r="AP362" i="318" s="1"/>
  <c r="F366" i="269" s="1"/>
  <c r="G366" i="269" s="1"/>
  <c r="AW362" i="318"/>
  <c r="AX362" i="318"/>
  <c r="AY362" i="318"/>
  <c r="AZ362" i="318"/>
  <c r="R363" i="318"/>
  <c r="AN363" i="318" s="1"/>
  <c r="AQ363" i="318" s="1"/>
  <c r="AM363" i="318"/>
  <c r="AP363" i="318" s="1"/>
  <c r="F367" i="269" s="1"/>
  <c r="G367" i="269" s="1"/>
  <c r="AW363" i="318"/>
  <c r="AX363" i="318"/>
  <c r="AY363" i="318"/>
  <c r="AZ363" i="318"/>
  <c r="R364" i="318"/>
  <c r="AN364" i="318" s="1"/>
  <c r="AQ364" i="318" s="1"/>
  <c r="AM364" i="318"/>
  <c r="AP364" i="318" s="1"/>
  <c r="F368" i="269" s="1"/>
  <c r="G368" i="269" s="1"/>
  <c r="AW364" i="318"/>
  <c r="AX364" i="318"/>
  <c r="AY364" i="318"/>
  <c r="AZ364" i="318"/>
  <c r="R365" i="318"/>
  <c r="AM365" i="318"/>
  <c r="AP365" i="318" s="1"/>
  <c r="F369" i="269" s="1"/>
  <c r="G369" i="269" s="1"/>
  <c r="AN365" i="318"/>
  <c r="AQ365" i="318" s="1"/>
  <c r="AW365" i="318"/>
  <c r="AX365" i="318"/>
  <c r="AY365" i="318"/>
  <c r="AZ365" i="318"/>
  <c r="R366" i="318"/>
  <c r="AM366" i="318"/>
  <c r="AP366" i="318" s="1"/>
  <c r="F370" i="269" s="1"/>
  <c r="G370" i="269" s="1"/>
  <c r="AN366" i="318"/>
  <c r="AQ366" i="318" s="1"/>
  <c r="AW366" i="318"/>
  <c r="AX366" i="318"/>
  <c r="AY366" i="318"/>
  <c r="AZ366" i="318"/>
  <c r="R367" i="318"/>
  <c r="AM367" i="318"/>
  <c r="AP367" i="318" s="1"/>
  <c r="F371" i="269" s="1"/>
  <c r="G371" i="269" s="1"/>
  <c r="AW367" i="318"/>
  <c r="AX367" i="318"/>
  <c r="AY367" i="318"/>
  <c r="AZ367" i="318"/>
  <c r="R368" i="318"/>
  <c r="AM368" i="318"/>
  <c r="AP368" i="318" s="1"/>
  <c r="F372" i="269" s="1"/>
  <c r="G372" i="269" s="1"/>
  <c r="AW368" i="318"/>
  <c r="AX368" i="318"/>
  <c r="AY368" i="318"/>
  <c r="AZ368" i="318"/>
  <c r="R369" i="318"/>
  <c r="AM369" i="318"/>
  <c r="AW369" i="318"/>
  <c r="AX369" i="318"/>
  <c r="AY369" i="318"/>
  <c r="AZ369" i="318"/>
  <c r="R370" i="318"/>
  <c r="AM370" i="318"/>
  <c r="AP370" i="318" s="1"/>
  <c r="F374" i="269" s="1"/>
  <c r="G374" i="269" s="1"/>
  <c r="AN370" i="318"/>
  <c r="AQ370" i="318" s="1"/>
  <c r="AW370" i="318"/>
  <c r="AX370" i="318"/>
  <c r="AY370" i="318"/>
  <c r="AZ370" i="318"/>
  <c r="R371" i="318"/>
  <c r="AM371" i="318"/>
  <c r="AP371" i="318" s="1"/>
  <c r="F375" i="269" s="1"/>
  <c r="G375" i="269" s="1"/>
  <c r="AW371" i="318"/>
  <c r="AX371" i="318"/>
  <c r="AY371" i="318"/>
  <c r="AZ371" i="318"/>
  <c r="R372" i="318"/>
  <c r="AM372" i="318"/>
  <c r="AP372" i="318"/>
  <c r="F376" i="269" s="1"/>
  <c r="G376" i="269" s="1"/>
  <c r="AW372" i="318"/>
  <c r="AX372" i="318"/>
  <c r="AY372" i="318"/>
  <c r="AZ372" i="318"/>
  <c r="R373" i="318"/>
  <c r="AM373" i="318"/>
  <c r="AP373" i="318"/>
  <c r="F377" i="269" s="1"/>
  <c r="G377" i="269" s="1"/>
  <c r="AW373" i="318"/>
  <c r="AX373" i="318"/>
  <c r="AY373" i="318"/>
  <c r="AZ373" i="318"/>
  <c r="R374" i="318"/>
  <c r="AN374" i="318" s="1"/>
  <c r="AQ374" i="318" s="1"/>
  <c r="AM374" i="318"/>
  <c r="AP374" i="318" s="1"/>
  <c r="F378" i="269" s="1"/>
  <c r="G378" i="269" s="1"/>
  <c r="AW374" i="318"/>
  <c r="AX374" i="318"/>
  <c r="AY374" i="318"/>
  <c r="AZ374" i="318"/>
  <c r="R375" i="318"/>
  <c r="AN375" i="318" s="1"/>
  <c r="AQ375" i="318" s="1"/>
  <c r="AM375" i="318"/>
  <c r="AP375" i="318" s="1"/>
  <c r="F379" i="269"/>
  <c r="G379" i="269" s="1"/>
  <c r="AW375" i="318"/>
  <c r="AX375" i="318"/>
  <c r="AY375" i="318"/>
  <c r="AZ375" i="318"/>
  <c r="R376" i="318"/>
  <c r="AN376" i="318" s="1"/>
  <c r="AQ376" i="318" s="1"/>
  <c r="AM376" i="318"/>
  <c r="AP376" i="318" s="1"/>
  <c r="F380" i="269" s="1"/>
  <c r="G380" i="269" s="1"/>
  <c r="AW376" i="318"/>
  <c r="AX376" i="318"/>
  <c r="AY376" i="318"/>
  <c r="AZ376" i="318"/>
  <c r="R377" i="318"/>
  <c r="AN377" i="318" s="1"/>
  <c r="AQ377" i="318" s="1"/>
  <c r="AM377" i="318"/>
  <c r="AW377" i="318"/>
  <c r="AX377" i="318"/>
  <c r="AY377" i="318"/>
  <c r="AZ377" i="318"/>
  <c r="R378" i="318"/>
  <c r="AM378" i="318"/>
  <c r="AP378" i="318" s="1"/>
  <c r="F382" i="269"/>
  <c r="G382" i="269" s="1"/>
  <c r="AW378" i="318"/>
  <c r="AX378" i="318"/>
  <c r="AY378" i="318"/>
  <c r="AZ378" i="318"/>
  <c r="R379" i="318"/>
  <c r="AM379" i="318"/>
  <c r="AN379" i="318"/>
  <c r="AQ379" i="318" s="1"/>
  <c r="AP379" i="318"/>
  <c r="F383" i="269" s="1"/>
  <c r="G383" i="269" s="1"/>
  <c r="AW379" i="318"/>
  <c r="AX379" i="318"/>
  <c r="AY379" i="318"/>
  <c r="AZ379" i="318"/>
  <c r="R380" i="318"/>
  <c r="AM380" i="318"/>
  <c r="AP380" i="318"/>
  <c r="F384" i="269" s="1"/>
  <c r="G384" i="269" s="1"/>
  <c r="AW380" i="318"/>
  <c r="AX380" i="318"/>
  <c r="AY380" i="318"/>
  <c r="AZ380" i="318"/>
  <c r="R381" i="318"/>
  <c r="AM381" i="318"/>
  <c r="AP381" i="318" s="1"/>
  <c r="F385" i="269" s="1"/>
  <c r="G385" i="269" s="1"/>
  <c r="AW381" i="318"/>
  <c r="AX381" i="318"/>
  <c r="AY381" i="318"/>
  <c r="AZ381" i="318"/>
  <c r="R382" i="318"/>
  <c r="AM382" i="318"/>
  <c r="AP382" i="318" s="1"/>
  <c r="F386" i="269" s="1"/>
  <c r="G386" i="269" s="1"/>
  <c r="AW382" i="318"/>
  <c r="AX382" i="318"/>
  <c r="AY382" i="318"/>
  <c r="AZ382" i="318"/>
  <c r="R383" i="318"/>
  <c r="AM383" i="318"/>
  <c r="AP383" i="318" s="1"/>
  <c r="F387" i="269" s="1"/>
  <c r="G387" i="269" s="1"/>
  <c r="AW383" i="318"/>
  <c r="AX383" i="318"/>
  <c r="AY383" i="318"/>
  <c r="AZ383" i="318"/>
  <c r="R384" i="318"/>
  <c r="AN384" i="318" s="1"/>
  <c r="AQ384" i="318" s="1"/>
  <c r="AM384" i="318"/>
  <c r="AP384" i="318"/>
  <c r="F388" i="269" s="1"/>
  <c r="G388" i="269" s="1"/>
  <c r="AW384" i="318"/>
  <c r="AX384" i="318"/>
  <c r="AY384" i="318"/>
  <c r="AZ384" i="318"/>
  <c r="R385" i="318"/>
  <c r="AN385" i="318" s="1"/>
  <c r="AQ385" i="318" s="1"/>
  <c r="AM385" i="318"/>
  <c r="AP385" i="318" s="1"/>
  <c r="F389" i="269" s="1"/>
  <c r="G389" i="269" s="1"/>
  <c r="AW385" i="318"/>
  <c r="AX385" i="318"/>
  <c r="AY385" i="318"/>
  <c r="AZ385" i="318"/>
  <c r="R386" i="318"/>
  <c r="AN386" i="318" s="1"/>
  <c r="AQ386" i="318" s="1"/>
  <c r="AM386" i="318"/>
  <c r="AP386" i="318" s="1"/>
  <c r="F390" i="269" s="1"/>
  <c r="G390" i="269" s="1"/>
  <c r="AW386" i="318"/>
  <c r="AX386" i="318"/>
  <c r="AY386" i="318"/>
  <c r="AZ386" i="318"/>
  <c r="R387" i="318"/>
  <c r="AN387" i="318" s="1"/>
  <c r="AQ387" i="318" s="1"/>
  <c r="AM387" i="318"/>
  <c r="AP387" i="318" s="1"/>
  <c r="F391" i="269" s="1"/>
  <c r="G391" i="269" s="1"/>
  <c r="AW387" i="318"/>
  <c r="AX387" i="318"/>
  <c r="AY387" i="318"/>
  <c r="AZ387" i="318"/>
  <c r="R388" i="318"/>
  <c r="AN388" i="318" s="1"/>
  <c r="AQ388" i="318" s="1"/>
  <c r="AM388" i="318"/>
  <c r="AP388" i="318" s="1"/>
  <c r="F392" i="269" s="1"/>
  <c r="G392" i="269" s="1"/>
  <c r="AW388" i="318"/>
  <c r="AX388" i="318"/>
  <c r="AY388" i="318"/>
  <c r="AZ388" i="318"/>
  <c r="R389" i="318"/>
  <c r="AN389" i="318" s="1"/>
  <c r="AQ389" i="318" s="1"/>
  <c r="AM389" i="318"/>
  <c r="AP389" i="318" s="1"/>
  <c r="F393" i="269" s="1"/>
  <c r="G393" i="269" s="1"/>
  <c r="AW389" i="318"/>
  <c r="AX389" i="318"/>
  <c r="AY389" i="318"/>
  <c r="AZ389" i="318"/>
  <c r="R390" i="318"/>
  <c r="AN390" i="318" s="1"/>
  <c r="AQ390" i="318" s="1"/>
  <c r="AM390" i="318"/>
  <c r="AP390" i="318" s="1"/>
  <c r="F394" i="269"/>
  <c r="G394" i="269" s="1"/>
  <c r="AW390" i="318"/>
  <c r="AX390" i="318"/>
  <c r="AY390" i="318"/>
  <c r="AZ390" i="318"/>
  <c r="R391" i="318"/>
  <c r="AM391" i="318"/>
  <c r="AP391" i="318" s="1"/>
  <c r="F395" i="269" s="1"/>
  <c r="G395" i="269" s="1"/>
  <c r="AW391" i="318"/>
  <c r="AX391" i="318"/>
  <c r="AY391" i="318"/>
  <c r="AZ391" i="318"/>
  <c r="R392" i="318"/>
  <c r="AN392" i="318" s="1"/>
  <c r="AQ392" i="318" s="1"/>
  <c r="AM392" i="318"/>
  <c r="AP392" i="318" s="1"/>
  <c r="F396" i="269" s="1"/>
  <c r="G396" i="269" s="1"/>
  <c r="AW392" i="318"/>
  <c r="AX392" i="318"/>
  <c r="AY392" i="318"/>
  <c r="AZ392" i="318"/>
  <c r="AM393" i="318"/>
  <c r="AN393" i="318" s="1"/>
  <c r="AQ393" i="318"/>
  <c r="AW393" i="318"/>
  <c r="AX393" i="318"/>
  <c r="AY393" i="318"/>
  <c r="AZ393" i="318"/>
  <c r="AM394" i="318"/>
  <c r="AP394" i="318" s="1"/>
  <c r="AN394" i="318"/>
  <c r="AQ394" i="318" s="1"/>
  <c r="F398" i="269"/>
  <c r="G398" i="269" s="1"/>
  <c r="AW394" i="318"/>
  <c r="AX394" i="318"/>
  <c r="AY394" i="318"/>
  <c r="AZ394" i="318"/>
  <c r="AM395" i="318"/>
  <c r="AN395" i="318" s="1"/>
  <c r="AQ395" i="318" s="1"/>
  <c r="AP395" i="318"/>
  <c r="F399" i="269" s="1"/>
  <c r="G399" i="269" s="1"/>
  <c r="AW395" i="318"/>
  <c r="AX395" i="318"/>
  <c r="AY395" i="318"/>
  <c r="AZ395" i="318"/>
  <c r="AM396" i="318"/>
  <c r="AN396" i="318" s="1"/>
  <c r="AQ396" i="318" s="1"/>
  <c r="AW396" i="318"/>
  <c r="AX396" i="318"/>
  <c r="AY396" i="318"/>
  <c r="AZ396" i="318"/>
  <c r="AM397" i="318"/>
  <c r="AN397" i="318" s="1"/>
  <c r="AQ397" i="318" s="1"/>
  <c r="AP397" i="318"/>
  <c r="F401" i="269" s="1"/>
  <c r="G401" i="269"/>
  <c r="AW397" i="318"/>
  <c r="AX397" i="318"/>
  <c r="AY397" i="318"/>
  <c r="AZ397" i="318"/>
  <c r="AM398" i="318"/>
  <c r="AN398" i="318" s="1"/>
  <c r="AQ398" i="318" s="1"/>
  <c r="AW398" i="318"/>
  <c r="AX398" i="318"/>
  <c r="AY398" i="318"/>
  <c r="AZ398" i="318"/>
  <c r="AM399" i="318"/>
  <c r="AP399" i="318" s="1"/>
  <c r="F403" i="269" s="1"/>
  <c r="G403" i="269" s="1"/>
  <c r="AW399" i="318"/>
  <c r="AX399" i="318"/>
  <c r="AY399" i="318"/>
  <c r="AZ399" i="318"/>
  <c r="AM400" i="318"/>
  <c r="AN400" i="318" s="1"/>
  <c r="AQ400" i="318" s="1"/>
  <c r="AP400" i="318"/>
  <c r="F404" i="269" s="1"/>
  <c r="G404" i="269" s="1"/>
  <c r="AW400" i="318"/>
  <c r="AX400" i="318"/>
  <c r="AY400" i="318"/>
  <c r="AZ400" i="318"/>
  <c r="DY401" i="318"/>
  <c r="DZ401" i="318"/>
  <c r="C402" i="318"/>
  <c r="D402" i="318"/>
  <c r="E402" i="318"/>
  <c r="S402" i="318"/>
  <c r="T402" i="318"/>
  <c r="U402" i="318"/>
  <c r="V402" i="318"/>
  <c r="W402" i="318"/>
  <c r="X402" i="318"/>
  <c r="Y402" i="318"/>
  <c r="Z402" i="318"/>
  <c r="AA402" i="318"/>
  <c r="AB402" i="318"/>
  <c r="AC402" i="318"/>
  <c r="AD402" i="318"/>
  <c r="AE402" i="318"/>
  <c r="AF402" i="318"/>
  <c r="AG402" i="318"/>
  <c r="AH402" i="318"/>
  <c r="AI402" i="318"/>
  <c r="AJ402" i="318"/>
  <c r="AK402" i="318"/>
  <c r="AK500" i="318" s="1"/>
  <c r="AL402" i="318"/>
  <c r="AP402" i="318"/>
  <c r="AQ402" i="318"/>
  <c r="AR402" i="318"/>
  <c r="AR500" i="318" s="1"/>
  <c r="AS402" i="318"/>
  <c r="AS500" i="318" s="1"/>
  <c r="AT402" i="318"/>
  <c r="AU402" i="318"/>
  <c r="AV402" i="318"/>
  <c r="BA402" i="318"/>
  <c r="BB402" i="318"/>
  <c r="BC402" i="318"/>
  <c r="BD402" i="318"/>
  <c r="BD500" i="318" s="1"/>
  <c r="BE402" i="318"/>
  <c r="BF402" i="318"/>
  <c r="BG402" i="318"/>
  <c r="BH402" i="318"/>
  <c r="BH500" i="318" s="1"/>
  <c r="BI402" i="318"/>
  <c r="BJ402" i="318"/>
  <c r="BK402" i="318"/>
  <c r="BL402" i="318"/>
  <c r="BL500" i="318" s="1"/>
  <c r="BM402" i="318"/>
  <c r="BN402" i="318"/>
  <c r="BO402" i="318"/>
  <c r="BP402" i="318"/>
  <c r="BP500" i="318" s="1"/>
  <c r="BQ402" i="318"/>
  <c r="BR402" i="318"/>
  <c r="BS402" i="318"/>
  <c r="BT402" i="318"/>
  <c r="BT500" i="318" s="1"/>
  <c r="BU402" i="318"/>
  <c r="BV402" i="318"/>
  <c r="BW402" i="318"/>
  <c r="BX402" i="318"/>
  <c r="BX500" i="318" s="1"/>
  <c r="BY402" i="318"/>
  <c r="BZ402" i="318"/>
  <c r="CA402" i="318"/>
  <c r="CB402" i="318"/>
  <c r="CB500" i="318" s="1"/>
  <c r="CC402" i="318"/>
  <c r="CD402" i="318"/>
  <c r="CE402" i="318"/>
  <c r="CF402" i="318"/>
  <c r="CF500" i="318" s="1"/>
  <c r="CG402" i="318"/>
  <c r="CH402" i="318"/>
  <c r="CI402" i="318"/>
  <c r="CJ402" i="318"/>
  <c r="CJ500" i="318" s="1"/>
  <c r="CK402" i="318"/>
  <c r="CL402" i="318"/>
  <c r="CM402" i="318"/>
  <c r="CN402" i="318"/>
  <c r="CO402" i="318"/>
  <c r="CP402" i="318"/>
  <c r="CQ402" i="318"/>
  <c r="CR402" i="318"/>
  <c r="CR500" i="318" s="1"/>
  <c r="CS402" i="318"/>
  <c r="CT402" i="318"/>
  <c r="CU402" i="318"/>
  <c r="CV402" i="318"/>
  <c r="CV500" i="318" s="1"/>
  <c r="CW402" i="318"/>
  <c r="CX402" i="318"/>
  <c r="CY402" i="318"/>
  <c r="CZ402" i="318"/>
  <c r="CZ500" i="318" s="1"/>
  <c r="DA402" i="318"/>
  <c r="DB402" i="318"/>
  <c r="DC402" i="318"/>
  <c r="DD402" i="318"/>
  <c r="DE402" i="318"/>
  <c r="DF402" i="318"/>
  <c r="DG402" i="318"/>
  <c r="DH402" i="318"/>
  <c r="DH500" i="318" s="1"/>
  <c r="DI402" i="318"/>
  <c r="DJ402" i="318"/>
  <c r="DK402" i="318"/>
  <c r="DL402" i="318"/>
  <c r="DL500" i="318" s="1"/>
  <c r="DM402" i="318"/>
  <c r="DN402" i="318"/>
  <c r="DO402" i="318"/>
  <c r="DP402" i="318"/>
  <c r="DQ402" i="318"/>
  <c r="DR402" i="318"/>
  <c r="DR500" i="318" s="1"/>
  <c r="DR501" i="318"/>
  <c r="DS402" i="318"/>
  <c r="DT402" i="318"/>
  <c r="DU402" i="318"/>
  <c r="DU500" i="318" s="1"/>
  <c r="DV402" i="318"/>
  <c r="DX402" i="318"/>
  <c r="DZ402" i="318"/>
  <c r="R403" i="318"/>
  <c r="AM403" i="318"/>
  <c r="AO403" i="318" s="1"/>
  <c r="H405" i="269" s="1"/>
  <c r="I405" i="269" s="1"/>
  <c r="AW403" i="318"/>
  <c r="AX403" i="318"/>
  <c r="AY403" i="318"/>
  <c r="AZ403" i="318"/>
  <c r="DW402" i="318"/>
  <c r="AM404" i="318"/>
  <c r="AN404" i="318" s="1"/>
  <c r="AW404" i="318"/>
  <c r="AX404" i="318"/>
  <c r="AY404" i="318"/>
  <c r="AZ404" i="318"/>
  <c r="AM405" i="318"/>
  <c r="AO405" i="318" s="1"/>
  <c r="H407" i="269" s="1"/>
  <c r="I407" i="269" s="1"/>
  <c r="AW405" i="318"/>
  <c r="AX405" i="318"/>
  <c r="AY405" i="318"/>
  <c r="AZ405" i="318"/>
  <c r="AM406" i="318"/>
  <c r="AW406" i="318"/>
  <c r="AX406" i="318"/>
  <c r="AY406" i="318"/>
  <c r="AZ406" i="318"/>
  <c r="AM407" i="318"/>
  <c r="AO407" i="318" s="1"/>
  <c r="H409" i="269" s="1"/>
  <c r="I409" i="269" s="1"/>
  <c r="AW407" i="318"/>
  <c r="AX407" i="318"/>
  <c r="AY407" i="318"/>
  <c r="AZ407" i="318"/>
  <c r="AM408" i="318"/>
  <c r="AN408" i="318" s="1"/>
  <c r="AW408" i="318"/>
  <c r="AX408" i="318"/>
  <c r="AY408" i="318"/>
  <c r="AZ408" i="318"/>
  <c r="AM409" i="318"/>
  <c r="AO409" i="318"/>
  <c r="H411" i="269" s="1"/>
  <c r="I411" i="269" s="1"/>
  <c r="AW409" i="318"/>
  <c r="AX409" i="318"/>
  <c r="AY409" i="318"/>
  <c r="AZ409" i="318"/>
  <c r="AM410" i="318"/>
  <c r="AN410" i="318" s="1"/>
  <c r="AO410" i="318"/>
  <c r="H412" i="269"/>
  <c r="I412" i="269" s="1"/>
  <c r="AW410" i="318"/>
  <c r="AX410" i="318"/>
  <c r="AY410" i="318"/>
  <c r="AZ410" i="318"/>
  <c r="AM411" i="318"/>
  <c r="AO411" i="318" s="1"/>
  <c r="H413" i="269" s="1"/>
  <c r="I413" i="269" s="1"/>
  <c r="AW411" i="318"/>
  <c r="AX411" i="318"/>
  <c r="AY411" i="318"/>
  <c r="AZ411" i="318"/>
  <c r="AM412" i="318"/>
  <c r="AW412" i="318"/>
  <c r="AX412" i="318"/>
  <c r="AY412" i="318"/>
  <c r="AZ412" i="318"/>
  <c r="AM413" i="318"/>
  <c r="AO413" i="318" s="1"/>
  <c r="H415" i="269" s="1"/>
  <c r="I415" i="269" s="1"/>
  <c r="AW413" i="318"/>
  <c r="AX413" i="318"/>
  <c r="AY413" i="318"/>
  <c r="AZ413" i="318"/>
  <c r="AM414" i="318"/>
  <c r="AN414" i="318" s="1"/>
  <c r="AO414" i="318"/>
  <c r="H416" i="269" s="1"/>
  <c r="I416" i="269" s="1"/>
  <c r="AW414" i="318"/>
  <c r="AX414" i="318"/>
  <c r="AY414" i="318"/>
  <c r="AZ414" i="318"/>
  <c r="AM415" i="318"/>
  <c r="AO415" i="318"/>
  <c r="H417" i="269" s="1"/>
  <c r="I417" i="269" s="1"/>
  <c r="AN415" i="318"/>
  <c r="AW415" i="318"/>
  <c r="AX415" i="318"/>
  <c r="AY415" i="318"/>
  <c r="AZ415" i="318"/>
  <c r="AM416" i="318"/>
  <c r="AN416" i="318" s="1"/>
  <c r="AW416" i="318"/>
  <c r="AX416" i="318"/>
  <c r="AY416" i="318"/>
  <c r="AZ416" i="318"/>
  <c r="AM417" i="318"/>
  <c r="AN417" i="318"/>
  <c r="AO417" i="318"/>
  <c r="H419" i="269" s="1"/>
  <c r="I419" i="269" s="1"/>
  <c r="AW417" i="318"/>
  <c r="AX417" i="318"/>
  <c r="AY417" i="318"/>
  <c r="AZ417" i="318"/>
  <c r="AM418" i="318"/>
  <c r="AO418" i="318" s="1"/>
  <c r="H420" i="269" s="1"/>
  <c r="AN418" i="318"/>
  <c r="I420" i="269"/>
  <c r="AW418" i="318"/>
  <c r="AX418" i="318"/>
  <c r="AY418" i="318"/>
  <c r="AZ418" i="318"/>
  <c r="AM419" i="318"/>
  <c r="AO419" i="318" s="1"/>
  <c r="H421" i="269" s="1"/>
  <c r="I421" i="269" s="1"/>
  <c r="AW419" i="318"/>
  <c r="AX419" i="318"/>
  <c r="AY419" i="318"/>
  <c r="AZ419" i="318"/>
  <c r="AM420" i="318"/>
  <c r="AO420" i="318" s="1"/>
  <c r="H422" i="269" s="1"/>
  <c r="I422" i="269" s="1"/>
  <c r="AW420" i="318"/>
  <c r="AX420" i="318"/>
  <c r="AY420" i="318"/>
  <c r="AZ420" i="318"/>
  <c r="AM421" i="318"/>
  <c r="AN421" i="318" s="1"/>
  <c r="AO421" i="318"/>
  <c r="H423" i="269" s="1"/>
  <c r="I423" i="269" s="1"/>
  <c r="AW421" i="318"/>
  <c r="AX421" i="318"/>
  <c r="AY421" i="318"/>
  <c r="AZ421" i="318"/>
  <c r="AM422" i="318"/>
  <c r="AO422" i="318" s="1"/>
  <c r="H424" i="269" s="1"/>
  <c r="I424" i="269" s="1"/>
  <c r="AW422" i="318"/>
  <c r="AX422" i="318"/>
  <c r="AY422" i="318"/>
  <c r="AZ422" i="318"/>
  <c r="AM423" i="318"/>
  <c r="AO423" i="318" s="1"/>
  <c r="H425" i="269" s="1"/>
  <c r="I425" i="269" s="1"/>
  <c r="AW423" i="318"/>
  <c r="AX423" i="318"/>
  <c r="AY423" i="318"/>
  <c r="AZ423" i="318"/>
  <c r="AM424" i="318"/>
  <c r="AO424" i="318" s="1"/>
  <c r="H426" i="269" s="1"/>
  <c r="I426" i="269" s="1"/>
  <c r="AW424" i="318"/>
  <c r="AX424" i="318"/>
  <c r="AY424" i="318"/>
  <c r="AZ424" i="318"/>
  <c r="AM425" i="318"/>
  <c r="AN425" i="318" s="1"/>
  <c r="AW425" i="318"/>
  <c r="AX425" i="318"/>
  <c r="AY425" i="318"/>
  <c r="AZ425" i="318"/>
  <c r="AM426" i="318"/>
  <c r="AO426" i="318"/>
  <c r="H428" i="269" s="1"/>
  <c r="I428" i="269" s="1"/>
  <c r="AN426" i="318"/>
  <c r="AW426" i="318"/>
  <c r="AX426" i="318"/>
  <c r="AY426" i="318"/>
  <c r="AZ426" i="318"/>
  <c r="AM427" i="318"/>
  <c r="AO427" i="318" s="1"/>
  <c r="H429" i="269" s="1"/>
  <c r="AN427" i="318"/>
  <c r="I429" i="269"/>
  <c r="AW427" i="318"/>
  <c r="AX427" i="318"/>
  <c r="AY427" i="318"/>
  <c r="AZ427" i="318"/>
  <c r="AM428" i="318"/>
  <c r="AO428" i="318" s="1"/>
  <c r="H430" i="269" s="1"/>
  <c r="I430" i="269" s="1"/>
  <c r="AW428" i="318"/>
  <c r="AX428" i="318"/>
  <c r="AY428" i="318"/>
  <c r="AZ428" i="318"/>
  <c r="AM429" i="318"/>
  <c r="AO429" i="318" s="1"/>
  <c r="H431" i="269" s="1"/>
  <c r="I431" i="269" s="1"/>
  <c r="AN429" i="318"/>
  <c r="AW429" i="318"/>
  <c r="AX429" i="318"/>
  <c r="AY429" i="318"/>
  <c r="AZ429" i="318"/>
  <c r="AM430" i="318"/>
  <c r="AN430" i="318" s="1"/>
  <c r="AO430" i="318"/>
  <c r="H432" i="269" s="1"/>
  <c r="I432" i="269" s="1"/>
  <c r="AW430" i="318"/>
  <c r="AX430" i="318"/>
  <c r="AY430" i="318"/>
  <c r="AZ430" i="318"/>
  <c r="AM431" i="318"/>
  <c r="AW431" i="318"/>
  <c r="AX431" i="318"/>
  <c r="AY431" i="318"/>
  <c r="AZ431" i="318"/>
  <c r="AM432" i="318"/>
  <c r="AO432" i="318" s="1"/>
  <c r="H434" i="269" s="1"/>
  <c r="I434" i="269" s="1"/>
  <c r="AN432" i="318"/>
  <c r="AW432" i="318"/>
  <c r="AX432" i="318"/>
  <c r="AY432" i="318"/>
  <c r="AZ432" i="318"/>
  <c r="AM433" i="318"/>
  <c r="AO433" i="318" s="1"/>
  <c r="H435" i="269" s="1"/>
  <c r="I435" i="269" s="1"/>
  <c r="AW433" i="318"/>
  <c r="AX433" i="318"/>
  <c r="AY433" i="318"/>
  <c r="AZ433" i="318"/>
  <c r="AM434" i="318"/>
  <c r="AN434" i="318" s="1"/>
  <c r="AW434" i="318"/>
  <c r="AX434" i="318"/>
  <c r="AY434" i="318"/>
  <c r="AZ434" i="318"/>
  <c r="AM435" i="318"/>
  <c r="AW435" i="318"/>
  <c r="AX435" i="318"/>
  <c r="AY435" i="318"/>
  <c r="AZ435" i="318"/>
  <c r="AM436" i="318"/>
  <c r="AO436" i="318" s="1"/>
  <c r="H438" i="269"/>
  <c r="I438" i="269" s="1"/>
  <c r="AW436" i="318"/>
  <c r="AX436" i="318"/>
  <c r="AY436" i="318"/>
  <c r="AZ436" i="318"/>
  <c r="AM437" i="318"/>
  <c r="AN437" i="318"/>
  <c r="AO437" i="318"/>
  <c r="H439" i="269" s="1"/>
  <c r="I439" i="269" s="1"/>
  <c r="AW437" i="318"/>
  <c r="AX437" i="318"/>
  <c r="AY437" i="318"/>
  <c r="AZ437" i="318"/>
  <c r="AM438" i="318"/>
  <c r="AO438" i="318" s="1"/>
  <c r="H440" i="269" s="1"/>
  <c r="I440" i="269"/>
  <c r="AW438" i="318"/>
  <c r="AX438" i="318"/>
  <c r="AY438" i="318"/>
  <c r="AZ438" i="318"/>
  <c r="AM439" i="318"/>
  <c r="AO439" i="318" s="1"/>
  <c r="H441" i="269" s="1"/>
  <c r="I441" i="269" s="1"/>
  <c r="AW439" i="318"/>
  <c r="AX439" i="318"/>
  <c r="AY439" i="318"/>
  <c r="AZ439" i="318"/>
  <c r="AM440" i="318"/>
  <c r="AN440" i="318" s="1"/>
  <c r="AW440" i="318"/>
  <c r="AX440" i="318"/>
  <c r="AY440" i="318"/>
  <c r="AZ440" i="318"/>
  <c r="AM441" i="318"/>
  <c r="AO441" i="318" s="1"/>
  <c r="H443" i="269" s="1"/>
  <c r="I443" i="269" s="1"/>
  <c r="AN441" i="318"/>
  <c r="AW441" i="318"/>
  <c r="AX441" i="318"/>
  <c r="AY441" i="318"/>
  <c r="AZ441" i="318"/>
  <c r="AM442" i="318"/>
  <c r="AO442" i="318" s="1"/>
  <c r="H444" i="269" s="1"/>
  <c r="AN442" i="318"/>
  <c r="I444" i="269"/>
  <c r="AW442" i="318"/>
  <c r="AX442" i="318"/>
  <c r="AY442" i="318"/>
  <c r="AZ442" i="318"/>
  <c r="AM443" i="318"/>
  <c r="AW443" i="318"/>
  <c r="AX443" i="318"/>
  <c r="AY443" i="318"/>
  <c r="AZ443" i="318"/>
  <c r="AM444" i="318"/>
  <c r="AN444" i="318" s="1"/>
  <c r="AO444" i="318"/>
  <c r="H446" i="269" s="1"/>
  <c r="I446" i="269" s="1"/>
  <c r="AW444" i="318"/>
  <c r="AX444" i="318"/>
  <c r="AY444" i="318"/>
  <c r="AZ444" i="318"/>
  <c r="AM445" i="318"/>
  <c r="AO445" i="318" s="1"/>
  <c r="H447" i="269" s="1"/>
  <c r="I447" i="269" s="1"/>
  <c r="AW445" i="318"/>
  <c r="AX445" i="318"/>
  <c r="AY445" i="318"/>
  <c r="AZ445" i="318"/>
  <c r="AM446" i="318"/>
  <c r="AN446" i="318"/>
  <c r="AW446" i="318"/>
  <c r="AX446" i="318"/>
  <c r="AY446" i="318"/>
  <c r="AZ446" i="318"/>
  <c r="AM447" i="318"/>
  <c r="AO447" i="318" s="1"/>
  <c r="H449" i="269" s="1"/>
  <c r="I449" i="269" s="1"/>
  <c r="AW447" i="318"/>
  <c r="AX447" i="318"/>
  <c r="AY447" i="318"/>
  <c r="AZ447" i="318"/>
  <c r="AM448" i="318"/>
  <c r="AO448" i="318" s="1"/>
  <c r="H450" i="269" s="1"/>
  <c r="I450" i="269" s="1"/>
  <c r="AN448" i="318"/>
  <c r="AW448" i="318"/>
  <c r="AX448" i="318"/>
  <c r="AY448" i="318"/>
  <c r="AZ448" i="318"/>
  <c r="AM449" i="318"/>
  <c r="AN449" i="318"/>
  <c r="AW449" i="318"/>
  <c r="AX449" i="318"/>
  <c r="AY449" i="318"/>
  <c r="AZ449" i="318"/>
  <c r="AM450" i="318"/>
  <c r="AN450" i="318" s="1"/>
  <c r="AW450" i="318"/>
  <c r="AX450" i="318"/>
  <c r="AY450" i="318"/>
  <c r="AZ450" i="318"/>
  <c r="AM451" i="318"/>
  <c r="AN451" i="318" s="1"/>
  <c r="AW451" i="318"/>
  <c r="AX451" i="318"/>
  <c r="AY451" i="318"/>
  <c r="AZ451" i="318"/>
  <c r="AM452" i="318"/>
  <c r="AO452" i="318" s="1"/>
  <c r="H454" i="269" s="1"/>
  <c r="I454" i="269" s="1"/>
  <c r="AW452" i="318"/>
  <c r="AX452" i="318"/>
  <c r="AY452" i="318"/>
  <c r="AZ452" i="318"/>
  <c r="AM453" i="318"/>
  <c r="AO453" i="318" s="1"/>
  <c r="H455" i="269" s="1"/>
  <c r="I455" i="269" s="1"/>
  <c r="AW453" i="318"/>
  <c r="AX453" i="318"/>
  <c r="AY453" i="318"/>
  <c r="AZ453" i="318"/>
  <c r="AM454" i="318"/>
  <c r="AN454" i="318" s="1"/>
  <c r="AO454" i="318"/>
  <c r="H456" i="269" s="1"/>
  <c r="I456" i="269" s="1"/>
  <c r="AW454" i="318"/>
  <c r="AX454" i="318"/>
  <c r="AY454" i="318"/>
  <c r="AZ454" i="318"/>
  <c r="R455" i="318"/>
  <c r="AM455" i="318"/>
  <c r="AO455" i="318" s="1"/>
  <c r="H457" i="269" s="1"/>
  <c r="I457" i="269" s="1"/>
  <c r="AW455" i="318"/>
  <c r="AX455" i="318"/>
  <c r="AY455" i="318"/>
  <c r="AZ455" i="318"/>
  <c r="R456" i="318"/>
  <c r="AN456" i="318" s="1"/>
  <c r="AM456" i="318"/>
  <c r="AO456" i="318"/>
  <c r="H458" i="269" s="1"/>
  <c r="I458" i="269" s="1"/>
  <c r="AW456" i="318"/>
  <c r="AX456" i="318"/>
  <c r="AY456" i="318"/>
  <c r="AZ456" i="318"/>
  <c r="R457" i="318"/>
  <c r="AM457" i="318"/>
  <c r="AW457" i="318"/>
  <c r="AX457" i="318"/>
  <c r="AY457" i="318"/>
  <c r="AZ457" i="318"/>
  <c r="R458" i="318"/>
  <c r="AM458" i="318"/>
  <c r="AO458" i="318"/>
  <c r="H460" i="269" s="1"/>
  <c r="I460" i="269" s="1"/>
  <c r="AW458" i="318"/>
  <c r="AX458" i="318"/>
  <c r="AY458" i="318"/>
  <c r="AZ458" i="318"/>
  <c r="R459" i="318"/>
  <c r="AM459" i="318"/>
  <c r="AW459" i="318"/>
  <c r="AX459" i="318"/>
  <c r="AY459" i="318"/>
  <c r="AZ459" i="318"/>
  <c r="R460" i="318"/>
  <c r="AM460" i="318"/>
  <c r="AW460" i="318"/>
  <c r="AX460" i="318"/>
  <c r="AY460" i="318"/>
  <c r="AZ460" i="318"/>
  <c r="R461" i="318"/>
  <c r="AM461" i="318"/>
  <c r="AO461" i="318" s="1"/>
  <c r="H463" i="269" s="1"/>
  <c r="I463" i="269" s="1"/>
  <c r="AW461" i="318"/>
  <c r="AX461" i="318"/>
  <c r="AY461" i="318"/>
  <c r="AZ461" i="318"/>
  <c r="R462" i="318"/>
  <c r="AN462" i="318" s="1"/>
  <c r="AM462" i="318"/>
  <c r="AO462" i="318" s="1"/>
  <c r="H464" i="269" s="1"/>
  <c r="I464" i="269" s="1"/>
  <c r="AW462" i="318"/>
  <c r="AX462" i="318"/>
  <c r="AY462" i="318"/>
  <c r="AZ462" i="318"/>
  <c r="R463" i="318"/>
  <c r="AM463" i="318"/>
  <c r="AO463" i="318" s="1"/>
  <c r="H465" i="269" s="1"/>
  <c r="I465" i="269" s="1"/>
  <c r="AW463" i="318"/>
  <c r="AX463" i="318"/>
  <c r="AY463" i="318"/>
  <c r="AZ463" i="318"/>
  <c r="R464" i="318"/>
  <c r="AM464" i="318"/>
  <c r="AN464" i="318"/>
  <c r="AW464" i="318"/>
  <c r="AX464" i="318"/>
  <c r="AY464" i="318"/>
  <c r="AZ464" i="318"/>
  <c r="R465" i="318"/>
  <c r="AN465" i="318" s="1"/>
  <c r="AM465" i="318"/>
  <c r="AO465" i="318" s="1"/>
  <c r="H467" i="269" s="1"/>
  <c r="I467" i="269" s="1"/>
  <c r="AW465" i="318"/>
  <c r="AX465" i="318"/>
  <c r="AY465" i="318"/>
  <c r="AZ465" i="318"/>
  <c r="R466" i="318"/>
  <c r="AN466" i="318" s="1"/>
  <c r="AM466" i="318"/>
  <c r="AO466" i="318" s="1"/>
  <c r="H468" i="269" s="1"/>
  <c r="I468" i="269" s="1"/>
  <c r="AW466" i="318"/>
  <c r="AX466" i="318"/>
  <c r="AY466" i="318"/>
  <c r="AZ466" i="318"/>
  <c r="R467" i="318"/>
  <c r="AM467" i="318"/>
  <c r="AO467" i="318" s="1"/>
  <c r="H469" i="269" s="1"/>
  <c r="I469" i="269" s="1"/>
  <c r="AW467" i="318"/>
  <c r="AX467" i="318"/>
  <c r="AY467" i="318"/>
  <c r="AZ467" i="318"/>
  <c r="R468" i="318"/>
  <c r="AM468" i="318"/>
  <c r="AN468" i="318"/>
  <c r="AW468" i="318"/>
  <c r="AX468" i="318"/>
  <c r="AY468" i="318"/>
  <c r="AZ468" i="318"/>
  <c r="R469" i="318"/>
  <c r="AN469" i="318" s="1"/>
  <c r="AM469" i="318"/>
  <c r="AO469" i="318"/>
  <c r="H471" i="269"/>
  <c r="I471" i="269" s="1"/>
  <c r="AW469" i="318"/>
  <c r="AX469" i="318"/>
  <c r="AY469" i="318"/>
  <c r="AZ469" i="318"/>
  <c r="R470" i="318"/>
  <c r="AN470" i="318" s="1"/>
  <c r="AM470" i="318"/>
  <c r="AW470" i="318"/>
  <c r="AX470" i="318"/>
  <c r="AY470" i="318"/>
  <c r="AZ470" i="318"/>
  <c r="R471" i="318"/>
  <c r="AM471" i="318"/>
  <c r="AW471" i="318"/>
  <c r="AX471" i="318"/>
  <c r="AY471" i="318"/>
  <c r="AZ471" i="318"/>
  <c r="R472" i="318"/>
  <c r="AN472" i="318" s="1"/>
  <c r="AM472" i="318"/>
  <c r="AO472" i="318" s="1"/>
  <c r="H474" i="269" s="1"/>
  <c r="I474" i="269" s="1"/>
  <c r="AW472" i="318"/>
  <c r="AX472" i="318"/>
  <c r="AY472" i="318"/>
  <c r="AZ472" i="318"/>
  <c r="R473" i="318"/>
  <c r="AM473" i="318"/>
  <c r="AW473" i="318"/>
  <c r="AX473" i="318"/>
  <c r="AY473" i="318"/>
  <c r="AZ473" i="318"/>
  <c r="R474" i="318"/>
  <c r="AN474" i="318" s="1"/>
  <c r="AM474" i="318"/>
  <c r="AO474" i="318" s="1"/>
  <c r="H476" i="269" s="1"/>
  <c r="I476" i="269" s="1"/>
  <c r="AW474" i="318"/>
  <c r="AX474" i="318"/>
  <c r="AY474" i="318"/>
  <c r="AZ474" i="318"/>
  <c r="R475" i="318"/>
  <c r="AM475" i="318"/>
  <c r="AN475" i="318" s="1"/>
  <c r="AW475" i="318"/>
  <c r="AX475" i="318"/>
  <c r="AY475" i="318"/>
  <c r="AZ475" i="318"/>
  <c r="R476" i="318"/>
  <c r="AM476" i="318"/>
  <c r="AN476" i="318"/>
  <c r="AO476" i="318"/>
  <c r="H478" i="269" s="1"/>
  <c r="I478" i="269" s="1"/>
  <c r="AW476" i="318"/>
  <c r="AX476" i="318"/>
  <c r="AY476" i="318"/>
  <c r="AZ476" i="318"/>
  <c r="R477" i="318"/>
  <c r="AM477" i="318"/>
  <c r="AO477" i="318" s="1"/>
  <c r="H479" i="269" s="1"/>
  <c r="I479" i="269"/>
  <c r="AW477" i="318"/>
  <c r="AX477" i="318"/>
  <c r="AY477" i="318"/>
  <c r="AZ477" i="318"/>
  <c r="R478" i="318"/>
  <c r="AN478" i="318" s="1"/>
  <c r="AM478" i="318"/>
  <c r="AW478" i="318"/>
  <c r="AX478" i="318"/>
  <c r="AY478" i="318"/>
  <c r="AZ478" i="318"/>
  <c r="R479" i="318"/>
  <c r="AM479" i="318"/>
  <c r="AO479" i="318" s="1"/>
  <c r="H481" i="269" s="1"/>
  <c r="I481" i="269" s="1"/>
  <c r="AW479" i="318"/>
  <c r="AX479" i="318"/>
  <c r="AY479" i="318"/>
  <c r="AZ479" i="318"/>
  <c r="R480" i="318"/>
  <c r="AN480" i="318" s="1"/>
  <c r="AM480" i="318"/>
  <c r="AO480" i="318"/>
  <c r="H482" i="269" s="1"/>
  <c r="I482" i="269" s="1"/>
  <c r="AW480" i="318"/>
  <c r="AX480" i="318"/>
  <c r="AY480" i="318"/>
  <c r="AZ480" i="318"/>
  <c r="R481" i="318"/>
  <c r="AN481" i="318" s="1"/>
  <c r="AM481" i="318"/>
  <c r="AW481" i="318"/>
  <c r="AX481" i="318"/>
  <c r="AY481" i="318"/>
  <c r="AZ481" i="318"/>
  <c r="R482" i="318"/>
  <c r="AM482" i="318"/>
  <c r="AN482" i="318"/>
  <c r="AW482" i="318"/>
  <c r="AX482" i="318"/>
  <c r="AY482" i="318"/>
  <c r="AZ482" i="318"/>
  <c r="R483" i="318"/>
  <c r="AM483" i="318"/>
  <c r="AW483" i="318"/>
  <c r="AX483" i="318"/>
  <c r="AY483" i="318"/>
  <c r="AZ483" i="318"/>
  <c r="R484" i="318"/>
  <c r="AN484" i="318" s="1"/>
  <c r="AM484" i="318"/>
  <c r="AO484" i="318" s="1"/>
  <c r="H486" i="269" s="1"/>
  <c r="I486" i="269" s="1"/>
  <c r="AW484" i="318"/>
  <c r="AX484" i="318"/>
  <c r="AY484" i="318"/>
  <c r="AZ484" i="318"/>
  <c r="R485" i="318"/>
  <c r="AN485" i="318" s="1"/>
  <c r="AM485" i="318"/>
  <c r="AW485" i="318"/>
  <c r="AX485" i="318"/>
  <c r="AY485" i="318"/>
  <c r="AZ485" i="318"/>
  <c r="R486" i="318"/>
  <c r="AM486" i="318"/>
  <c r="AO486" i="318" s="1"/>
  <c r="H488" i="269"/>
  <c r="I488" i="269" s="1"/>
  <c r="AW486" i="318"/>
  <c r="AX486" i="318"/>
  <c r="AY486" i="318"/>
  <c r="AZ486" i="318"/>
  <c r="AM487" i="318"/>
  <c r="AO487" i="318"/>
  <c r="H489" i="269"/>
  <c r="I489" i="269" s="1"/>
  <c r="AW487" i="318"/>
  <c r="AX487" i="318"/>
  <c r="AY487" i="318"/>
  <c r="AZ487" i="318"/>
  <c r="AM488" i="318"/>
  <c r="AO488" i="318" s="1"/>
  <c r="H490" i="269" s="1"/>
  <c r="I490" i="269" s="1"/>
  <c r="AN488" i="318"/>
  <c r="AW488" i="318"/>
  <c r="AX488" i="318"/>
  <c r="AY488" i="318"/>
  <c r="AZ488" i="318"/>
  <c r="AM489" i="318"/>
  <c r="AN489" i="318" s="1"/>
  <c r="AW489" i="318"/>
  <c r="AX489" i="318"/>
  <c r="AY489" i="318"/>
  <c r="AZ489" i="318"/>
  <c r="AM490" i="318"/>
  <c r="AO490" i="318" s="1"/>
  <c r="H492" i="269" s="1"/>
  <c r="I492" i="269" s="1"/>
  <c r="AW490" i="318"/>
  <c r="AX490" i="318"/>
  <c r="AY490" i="318"/>
  <c r="AZ490" i="318"/>
  <c r="AM491" i="318"/>
  <c r="AN491" i="318" s="1"/>
  <c r="AW491" i="318"/>
  <c r="AX491" i="318"/>
  <c r="AY491" i="318"/>
  <c r="AZ491" i="318"/>
  <c r="AM492" i="318"/>
  <c r="AN492" i="318" s="1"/>
  <c r="AO492" i="318"/>
  <c r="H494" i="269" s="1"/>
  <c r="I494" i="269" s="1"/>
  <c r="AW492" i="318"/>
  <c r="AX492" i="318"/>
  <c r="AY492" i="318"/>
  <c r="AZ492" i="318"/>
  <c r="AM493" i="318"/>
  <c r="AW493" i="318"/>
  <c r="AX493" i="318"/>
  <c r="AY493" i="318"/>
  <c r="AZ493" i="318"/>
  <c r="AM494" i="318"/>
  <c r="AW494" i="318"/>
  <c r="AX494" i="318"/>
  <c r="AY494" i="318"/>
  <c r="AZ494" i="318"/>
  <c r="AM495" i="318"/>
  <c r="AO495" i="318" s="1"/>
  <c r="H497" i="269" s="1"/>
  <c r="I497" i="269" s="1"/>
  <c r="AW495" i="318"/>
  <c r="AX495" i="318"/>
  <c r="AY495" i="318"/>
  <c r="AZ495" i="318"/>
  <c r="AM496" i="318"/>
  <c r="AO496" i="318" s="1"/>
  <c r="H498" i="269" s="1"/>
  <c r="I498" i="269" s="1"/>
  <c r="AW496" i="318"/>
  <c r="AX496" i="318"/>
  <c r="AY496" i="318"/>
  <c r="AZ496" i="318"/>
  <c r="AM497" i="318"/>
  <c r="AO497" i="318" s="1"/>
  <c r="H499" i="269" s="1"/>
  <c r="I499" i="269" s="1"/>
  <c r="AW497" i="318"/>
  <c r="AX497" i="318"/>
  <c r="AY497" i="318"/>
  <c r="AZ497" i="318"/>
  <c r="AM498" i="318"/>
  <c r="AW498" i="318"/>
  <c r="AX498" i="318"/>
  <c r="AY498" i="318"/>
  <c r="AZ498" i="318"/>
  <c r="DZ499" i="318"/>
  <c r="C500" i="318"/>
  <c r="D500" i="318"/>
  <c r="F500" i="318"/>
  <c r="G500" i="318"/>
  <c r="H500" i="318"/>
  <c r="J500" i="318"/>
  <c r="K500" i="318"/>
  <c r="L500" i="318"/>
  <c r="N500" i="318"/>
  <c r="O500" i="318"/>
  <c r="P500" i="318"/>
  <c r="AI500" i="318"/>
  <c r="AJ500" i="318"/>
  <c r="AL500" i="318"/>
  <c r="AU500" i="318"/>
  <c r="BA500" i="318"/>
  <c r="BC500" i="318"/>
  <c r="BE500" i="318"/>
  <c r="BG500" i="318"/>
  <c r="BI500" i="318"/>
  <c r="BK500" i="318"/>
  <c r="BM500" i="318"/>
  <c r="BO500" i="318"/>
  <c r="BQ500" i="318"/>
  <c r="BS500" i="318"/>
  <c r="BU500" i="318"/>
  <c r="BW500" i="318"/>
  <c r="BY500" i="318"/>
  <c r="CA500" i="318"/>
  <c r="CC500" i="318"/>
  <c r="CE500" i="318"/>
  <c r="CG500" i="318"/>
  <c r="CI500" i="318"/>
  <c r="CK500" i="318"/>
  <c r="CM500" i="318"/>
  <c r="CN500" i="318"/>
  <c r="CO500" i="318"/>
  <c r="CQ500" i="318"/>
  <c r="CS500" i="318"/>
  <c r="CU500" i="318"/>
  <c r="CW500" i="318"/>
  <c r="CY500" i="318"/>
  <c r="DA500" i="318"/>
  <c r="DC500" i="318"/>
  <c r="DD500" i="318"/>
  <c r="DE500" i="318"/>
  <c r="DG500" i="318"/>
  <c r="DI500" i="318"/>
  <c r="DK500" i="318"/>
  <c r="AZ510" i="318"/>
  <c r="BA510" i="318" s="1"/>
  <c r="BB510" i="318"/>
  <c r="BB511" i="318"/>
  <c r="BB512" i="318" s="1"/>
  <c r="B17" i="322"/>
  <c r="C17" i="322"/>
  <c r="D17" i="322"/>
  <c r="H17" i="322"/>
  <c r="G17" i="322" s="1"/>
  <c r="Q17" i="322"/>
  <c r="S17" i="322"/>
  <c r="U17" i="322"/>
  <c r="W17" i="322"/>
  <c r="Y17" i="322"/>
  <c r="AA17" i="322"/>
  <c r="B18" i="322"/>
  <c r="C18" i="322"/>
  <c r="D18" i="322"/>
  <c r="H18" i="322"/>
  <c r="G18" i="322"/>
  <c r="Q18" i="322"/>
  <c r="S18" i="322"/>
  <c r="U18" i="322"/>
  <c r="W18" i="322"/>
  <c r="Y18" i="322"/>
  <c r="AA18" i="322"/>
  <c r="B19" i="322"/>
  <c r="C19" i="322"/>
  <c r="D19" i="322"/>
  <c r="H19" i="322"/>
  <c r="G19" i="322"/>
  <c r="Q19" i="322"/>
  <c r="S19" i="322"/>
  <c r="U19" i="322"/>
  <c r="W19" i="322"/>
  <c r="Y19" i="322"/>
  <c r="AA19" i="322"/>
  <c r="B20" i="322"/>
  <c r="C20" i="322"/>
  <c r="D20" i="322"/>
  <c r="H20" i="322"/>
  <c r="G20" i="322"/>
  <c r="Q20" i="322"/>
  <c r="S20" i="322"/>
  <c r="U20" i="322"/>
  <c r="W20" i="322"/>
  <c r="Y20" i="322"/>
  <c r="AA20" i="322"/>
  <c r="B21" i="322"/>
  <c r="C21" i="322"/>
  <c r="D21" i="322"/>
  <c r="H21" i="322"/>
  <c r="G21" i="322" s="1"/>
  <c r="Q21" i="322"/>
  <c r="S21" i="322"/>
  <c r="U21" i="322"/>
  <c r="W21" i="322"/>
  <c r="Y21" i="322"/>
  <c r="AA21" i="322"/>
  <c r="B22" i="322"/>
  <c r="C22" i="322"/>
  <c r="D22" i="322"/>
  <c r="H22" i="322"/>
  <c r="G22" i="322"/>
  <c r="Q22" i="322"/>
  <c r="S22" i="322"/>
  <c r="U22" i="322"/>
  <c r="W22" i="322"/>
  <c r="Y22" i="322"/>
  <c r="AA22" i="322"/>
  <c r="B23" i="322"/>
  <c r="C23" i="322"/>
  <c r="D23" i="322"/>
  <c r="H23" i="322"/>
  <c r="Q23" i="322"/>
  <c r="S23" i="322"/>
  <c r="U23" i="322"/>
  <c r="W23" i="322"/>
  <c r="Y23" i="322"/>
  <c r="AA23" i="322"/>
  <c r="B24" i="322"/>
  <c r="C24" i="322"/>
  <c r="D24" i="322"/>
  <c r="H24" i="322"/>
  <c r="G24" i="322" s="1"/>
  <c r="Q24" i="322"/>
  <c r="S24" i="322"/>
  <c r="U24" i="322"/>
  <c r="W24" i="322"/>
  <c r="Y24" i="322"/>
  <c r="AA24" i="322"/>
  <c r="B25" i="322"/>
  <c r="C25" i="322"/>
  <c r="D25" i="322"/>
  <c r="H25" i="322"/>
  <c r="G25" i="322" s="1"/>
  <c r="Q25" i="322"/>
  <c r="S25" i="322"/>
  <c r="U25" i="322"/>
  <c r="W25" i="322"/>
  <c r="Y25" i="322"/>
  <c r="AA25" i="322"/>
  <c r="B26" i="322"/>
  <c r="C26" i="322"/>
  <c r="D26" i="322"/>
  <c r="H26" i="322"/>
  <c r="G26" i="322" s="1"/>
  <c r="O26" i="322"/>
  <c r="Q26" i="322"/>
  <c r="S26" i="322"/>
  <c r="U26" i="322"/>
  <c r="W26" i="322"/>
  <c r="Y26" i="322"/>
  <c r="AA26" i="322"/>
  <c r="B27" i="322"/>
  <c r="C27" i="322"/>
  <c r="D27" i="322"/>
  <c r="H27" i="322"/>
  <c r="G27" i="322" s="1"/>
  <c r="O27" i="322"/>
  <c r="Q27" i="322"/>
  <c r="U27" i="322"/>
  <c r="W27" i="322"/>
  <c r="Y27" i="322"/>
  <c r="AA27" i="322"/>
  <c r="B28" i="322"/>
  <c r="C28" i="322"/>
  <c r="D28" i="322"/>
  <c r="H28" i="322"/>
  <c r="G28" i="322"/>
  <c r="O28" i="322"/>
  <c r="Q28" i="322"/>
  <c r="U28" i="322"/>
  <c r="W28" i="322"/>
  <c r="Y28" i="322"/>
  <c r="AA28" i="322"/>
  <c r="B29" i="322"/>
  <c r="C29" i="322"/>
  <c r="D29" i="322"/>
  <c r="H29" i="322"/>
  <c r="G29" i="322" s="1"/>
  <c r="O29" i="322"/>
  <c r="Q29" i="322"/>
  <c r="U29" i="322"/>
  <c r="W29" i="322"/>
  <c r="Y29" i="322"/>
  <c r="AA29" i="322"/>
  <c r="B30" i="322"/>
  <c r="C30" i="322"/>
  <c r="D30" i="322"/>
  <c r="H30" i="322"/>
  <c r="G30" i="322" s="1"/>
  <c r="O30" i="322"/>
  <c r="Q30" i="322"/>
  <c r="U30" i="322"/>
  <c r="W30" i="322"/>
  <c r="Y30" i="322"/>
  <c r="AA30" i="322"/>
  <c r="B31" i="322"/>
  <c r="C31" i="322"/>
  <c r="D31" i="322"/>
  <c r="H31" i="322"/>
  <c r="G31" i="322"/>
  <c r="O31" i="322"/>
  <c r="Q31" i="322"/>
  <c r="U31" i="322"/>
  <c r="W31" i="322"/>
  <c r="Y31" i="322"/>
  <c r="AA31" i="322"/>
  <c r="B32" i="322"/>
  <c r="C32" i="322"/>
  <c r="D32" i="322"/>
  <c r="H32" i="322"/>
  <c r="G32" i="322" s="1"/>
  <c r="O32" i="322"/>
  <c r="Q32" i="322"/>
  <c r="U32" i="322"/>
  <c r="W32" i="322"/>
  <c r="Y32" i="322"/>
  <c r="AA32" i="322"/>
  <c r="B33" i="322"/>
  <c r="C33" i="322"/>
  <c r="D33" i="322"/>
  <c r="H33" i="322"/>
  <c r="G33" i="322" s="1"/>
  <c r="O33" i="322"/>
  <c r="Q33" i="322"/>
  <c r="U33" i="322"/>
  <c r="W33" i="322"/>
  <c r="Y33" i="322"/>
  <c r="AA33" i="322"/>
  <c r="B34" i="322"/>
  <c r="C34" i="322"/>
  <c r="D34" i="322"/>
  <c r="H34" i="322"/>
  <c r="G34" i="322" s="1"/>
  <c r="O34" i="322"/>
  <c r="Q34" i="322"/>
  <c r="U34" i="322"/>
  <c r="W34" i="322"/>
  <c r="Y34" i="322"/>
  <c r="AA34" i="322"/>
  <c r="B35" i="322"/>
  <c r="C35" i="322"/>
  <c r="D35" i="322"/>
  <c r="H35" i="322"/>
  <c r="G35" i="322" s="1"/>
  <c r="O35" i="322"/>
  <c r="Q35" i="322"/>
  <c r="U35" i="322"/>
  <c r="W35" i="322"/>
  <c r="Y35" i="322"/>
  <c r="AA35" i="322"/>
  <c r="B36" i="322"/>
  <c r="C36" i="322"/>
  <c r="D36" i="322"/>
  <c r="H36" i="322"/>
  <c r="G36" i="322" s="1"/>
  <c r="O36" i="322"/>
  <c r="Q36" i="322"/>
  <c r="U36" i="322"/>
  <c r="W36" i="322"/>
  <c r="Y36" i="322"/>
  <c r="AA36" i="322"/>
  <c r="C37" i="322"/>
  <c r="D37" i="322"/>
  <c r="O37" i="322"/>
  <c r="U37" i="322"/>
  <c r="W37" i="322"/>
  <c r="AB37" i="322" s="1"/>
  <c r="G35" i="326" s="1"/>
  <c r="H35" i="326" s="1"/>
  <c r="K35" i="326" s="1"/>
  <c r="Y37" i="322"/>
  <c r="C38" i="322"/>
  <c r="D38" i="322"/>
  <c r="O38" i="322"/>
  <c r="U38" i="322"/>
  <c r="W38" i="322"/>
  <c r="Y38" i="322"/>
  <c r="C39" i="322"/>
  <c r="D39" i="322"/>
  <c r="U39" i="322"/>
  <c r="W39" i="322"/>
  <c r="W42" i="322"/>
  <c r="B43" i="322"/>
  <c r="H43" i="322"/>
  <c r="G43" i="322"/>
  <c r="Q43" i="322"/>
  <c r="W43" i="322"/>
  <c r="AA43" i="322"/>
  <c r="B44" i="322"/>
  <c r="H44" i="322"/>
  <c r="G44" i="322" s="1"/>
  <c r="Q44" i="322"/>
  <c r="W44" i="322"/>
  <c r="AA44" i="322"/>
  <c r="B45" i="322"/>
  <c r="H45" i="322"/>
  <c r="G45" i="322"/>
  <c r="Q45" i="322"/>
  <c r="W45" i="322"/>
  <c r="AA45" i="322"/>
  <c r="F47" i="322"/>
  <c r="T47" i="322"/>
  <c r="V47" i="322"/>
  <c r="Z47" i="322"/>
  <c r="AC4" i="328"/>
  <c r="AE4" i="328" s="1"/>
  <c r="AD4" i="328"/>
  <c r="AF4" i="328" s="1"/>
  <c r="AC5" i="328"/>
  <c r="AE5" i="328" s="1"/>
  <c r="AD5" i="328"/>
  <c r="AF5" i="328" s="1"/>
  <c r="AC6" i="328"/>
  <c r="AE6" i="328" s="1"/>
  <c r="AD6" i="328"/>
  <c r="AF6" i="328" s="1"/>
  <c r="AC7" i="328"/>
  <c r="AE7" i="328" s="1"/>
  <c r="AD7" i="328"/>
  <c r="AF7" i="328" s="1"/>
  <c r="AC8" i="328"/>
  <c r="AE8" i="328" s="1"/>
  <c r="AD8" i="328"/>
  <c r="AF8" i="328" s="1"/>
  <c r="AC9" i="328"/>
  <c r="AE9" i="328" s="1"/>
  <c r="AD9" i="328"/>
  <c r="AF9" i="328" s="1"/>
  <c r="AC10" i="328"/>
  <c r="AE10" i="328" s="1"/>
  <c r="AD10" i="328"/>
  <c r="AF10" i="328" s="1"/>
  <c r="AC11" i="328"/>
  <c r="AE11" i="328" s="1"/>
  <c r="AD11" i="328"/>
  <c r="AF11" i="328" s="1"/>
  <c r="AC12" i="328"/>
  <c r="AE12" i="328" s="1"/>
  <c r="AD12" i="328"/>
  <c r="AF12" i="328" s="1"/>
  <c r="AC13" i="328"/>
  <c r="AE13" i="328" s="1"/>
  <c r="AD13" i="328"/>
  <c r="AF13" i="328" s="1"/>
  <c r="AC14" i="328"/>
  <c r="AE14" i="328" s="1"/>
  <c r="AD14" i="328"/>
  <c r="AF14" i="328" s="1"/>
  <c r="AC15" i="328"/>
  <c r="AE15" i="328" s="1"/>
  <c r="AD15" i="328"/>
  <c r="AF15" i="328" s="1"/>
  <c r="AC16" i="328"/>
  <c r="AE16" i="328" s="1"/>
  <c r="AD16" i="328"/>
  <c r="AF16" i="328" s="1"/>
  <c r="AC17" i="328"/>
  <c r="AE17" i="328" s="1"/>
  <c r="AD17" i="328"/>
  <c r="AF17" i="328" s="1"/>
  <c r="AC18" i="328"/>
  <c r="AE18" i="328" s="1"/>
  <c r="AD18" i="328"/>
  <c r="AF18" i="328" s="1"/>
  <c r="AC19" i="328"/>
  <c r="AE19" i="328" s="1"/>
  <c r="AD19" i="328"/>
  <c r="AF19" i="328" s="1"/>
  <c r="AC20" i="328"/>
  <c r="AE20" i="328" s="1"/>
  <c r="AD20" i="328"/>
  <c r="AF20" i="328" s="1"/>
  <c r="AC21" i="328"/>
  <c r="AE21" i="328" s="1"/>
  <c r="AD21" i="328"/>
  <c r="AF21" i="328" s="1"/>
  <c r="AC22" i="328"/>
  <c r="AE22" i="328" s="1"/>
  <c r="AD22" i="328"/>
  <c r="AF22" i="328" s="1"/>
  <c r="AC23" i="328"/>
  <c r="AE23" i="328" s="1"/>
  <c r="AD23" i="328"/>
  <c r="AF23" i="328" s="1"/>
  <c r="AC24" i="328"/>
  <c r="AE24" i="328" s="1"/>
  <c r="AD24" i="328"/>
  <c r="AF24" i="328" s="1"/>
  <c r="AC25" i="328"/>
  <c r="AE25" i="328" s="1"/>
  <c r="AD25" i="328"/>
  <c r="AF25" i="328" s="1"/>
  <c r="AC26" i="328"/>
  <c r="AE26" i="328" s="1"/>
  <c r="AD26" i="328"/>
  <c r="AF26" i="328" s="1"/>
  <c r="AC27" i="328"/>
  <c r="AE27" i="328" s="1"/>
  <c r="AD27" i="328"/>
  <c r="AF27" i="328" s="1"/>
  <c r="AC28" i="328"/>
  <c r="AE28" i="328" s="1"/>
  <c r="AD28" i="328"/>
  <c r="AF28" i="328" s="1"/>
  <c r="AC29" i="328"/>
  <c r="AE29" i="328" s="1"/>
  <c r="AD29" i="328"/>
  <c r="AF29" i="328" s="1"/>
  <c r="AC30" i="328"/>
  <c r="AE30" i="328" s="1"/>
  <c r="AD30" i="328"/>
  <c r="AF30" i="328" s="1"/>
  <c r="AC31" i="328"/>
  <c r="AE31" i="328" s="1"/>
  <c r="AD31" i="328"/>
  <c r="AF31" i="328" s="1"/>
  <c r="AC32" i="328"/>
  <c r="AE32" i="328" s="1"/>
  <c r="AD32" i="328"/>
  <c r="AF32" i="328" s="1"/>
  <c r="AC33" i="328"/>
  <c r="AE33" i="328" s="1"/>
  <c r="AD33" i="328"/>
  <c r="AF33" i="328" s="1"/>
  <c r="AC34" i="328"/>
  <c r="AE34" i="328" s="1"/>
  <c r="AD34" i="328"/>
  <c r="AF34" i="328" s="1"/>
  <c r="AC35" i="328"/>
  <c r="AE35" i="328" s="1"/>
  <c r="AD35" i="328"/>
  <c r="AF35" i="328" s="1"/>
  <c r="AC36" i="328"/>
  <c r="AE36" i="328" s="1"/>
  <c r="AD36" i="328"/>
  <c r="AF36" i="328" s="1"/>
  <c r="AC37" i="328"/>
  <c r="AE37" i="328" s="1"/>
  <c r="AD37" i="328"/>
  <c r="AF37" i="328" s="1"/>
  <c r="AC38" i="328"/>
  <c r="AE38" i="328" s="1"/>
  <c r="AD38" i="328"/>
  <c r="AF38" i="328" s="1"/>
  <c r="AC39" i="328"/>
  <c r="AE39" i="328" s="1"/>
  <c r="AD39" i="328"/>
  <c r="AF39" i="328" s="1"/>
  <c r="AC40" i="328"/>
  <c r="AE40" i="328" s="1"/>
  <c r="AD40" i="328"/>
  <c r="AF40" i="328" s="1"/>
  <c r="AC41" i="328"/>
  <c r="AE41" i="328" s="1"/>
  <c r="AD41" i="328"/>
  <c r="AF41" i="328" s="1"/>
  <c r="AC42" i="328"/>
  <c r="AE42" i="328" s="1"/>
  <c r="AD42" i="328"/>
  <c r="AF42" i="328" s="1"/>
  <c r="AC43" i="328"/>
  <c r="AE43" i="328"/>
  <c r="AD43" i="328"/>
  <c r="AF43" i="328" s="1"/>
  <c r="AC44" i="328"/>
  <c r="AE44" i="328" s="1"/>
  <c r="AD44" i="328"/>
  <c r="AF44" i="328" s="1"/>
  <c r="AC45" i="328"/>
  <c r="AE45" i="328" s="1"/>
  <c r="AD45" i="328"/>
  <c r="AF45" i="328" s="1"/>
  <c r="AC46" i="328"/>
  <c r="AE46" i="328" s="1"/>
  <c r="AD46" i="328"/>
  <c r="AF46" i="328" s="1"/>
  <c r="AC47" i="328"/>
  <c r="AE47" i="328" s="1"/>
  <c r="AD47" i="328"/>
  <c r="AF47" i="328" s="1"/>
  <c r="AC48" i="328"/>
  <c r="AE48" i="328" s="1"/>
  <c r="AD48" i="328"/>
  <c r="AF48" i="328" s="1"/>
  <c r="AC49" i="328"/>
  <c r="AE49" i="328" s="1"/>
  <c r="AD49" i="328"/>
  <c r="AF49" i="328" s="1"/>
  <c r="AC50" i="328"/>
  <c r="AE50" i="328" s="1"/>
  <c r="AD50" i="328"/>
  <c r="AF50" i="328" s="1"/>
  <c r="AC51" i="328"/>
  <c r="AE51" i="328" s="1"/>
  <c r="AD51" i="328"/>
  <c r="AF51" i="328" s="1"/>
  <c r="AC52" i="328"/>
  <c r="AE52" i="328" s="1"/>
  <c r="AD52" i="328"/>
  <c r="AF52" i="328" s="1"/>
  <c r="AC53" i="328"/>
  <c r="AE53" i="328" s="1"/>
  <c r="AD53" i="328"/>
  <c r="AF53" i="328" s="1"/>
  <c r="AC54" i="328"/>
  <c r="AE54" i="328" s="1"/>
  <c r="AD54" i="328"/>
  <c r="AF54" i="328" s="1"/>
  <c r="AC55" i="328"/>
  <c r="AE55" i="328" s="1"/>
  <c r="AD55" i="328"/>
  <c r="AF55" i="328" s="1"/>
  <c r="AC56" i="328"/>
  <c r="AE56" i="328" s="1"/>
  <c r="AD56" i="328"/>
  <c r="AF56" i="328" s="1"/>
  <c r="AC57" i="328"/>
  <c r="AE57" i="328" s="1"/>
  <c r="AD57" i="328"/>
  <c r="AF57" i="328" s="1"/>
  <c r="AC58" i="328"/>
  <c r="AE58" i="328" s="1"/>
  <c r="AD58" i="328"/>
  <c r="AF58" i="328" s="1"/>
  <c r="AC59" i="328"/>
  <c r="AE59" i="328" s="1"/>
  <c r="AD59" i="328"/>
  <c r="AF59" i="328" s="1"/>
  <c r="AC60" i="328"/>
  <c r="AE60" i="328" s="1"/>
  <c r="AD60" i="328"/>
  <c r="AF60" i="328" s="1"/>
  <c r="AC61" i="328"/>
  <c r="AE61" i="328" s="1"/>
  <c r="AD61" i="328"/>
  <c r="AF61" i="328" s="1"/>
  <c r="AC62" i="328"/>
  <c r="AE62" i="328" s="1"/>
  <c r="AD62" i="328"/>
  <c r="AF62" i="328" s="1"/>
  <c r="AC63" i="328"/>
  <c r="AE63" i="328" s="1"/>
  <c r="AD63" i="328"/>
  <c r="AF63" i="328" s="1"/>
  <c r="AC64" i="328"/>
  <c r="AE64" i="328" s="1"/>
  <c r="AD64" i="328"/>
  <c r="AF64" i="328" s="1"/>
  <c r="AC65" i="328"/>
  <c r="AE65" i="328" s="1"/>
  <c r="AD65" i="328"/>
  <c r="AF65" i="328" s="1"/>
  <c r="AC66" i="328"/>
  <c r="AE66" i="328" s="1"/>
  <c r="AD66" i="328"/>
  <c r="AF66" i="328" s="1"/>
  <c r="AC67" i="328"/>
  <c r="AE67" i="328" s="1"/>
  <c r="AD67" i="328"/>
  <c r="AF67" i="328" s="1"/>
  <c r="AC68" i="328"/>
  <c r="AE68" i="328" s="1"/>
  <c r="AD68" i="328"/>
  <c r="AF68" i="328" s="1"/>
  <c r="AC69" i="328"/>
  <c r="AE69" i="328" s="1"/>
  <c r="AD69" i="328"/>
  <c r="AF69" i="328" s="1"/>
  <c r="AC70" i="328"/>
  <c r="AE70" i="328" s="1"/>
  <c r="AD70" i="328"/>
  <c r="AF70" i="328" s="1"/>
  <c r="AC71" i="328"/>
  <c r="AE71" i="328" s="1"/>
  <c r="AD71" i="328"/>
  <c r="AF71" i="328" s="1"/>
  <c r="AC72" i="328"/>
  <c r="AE72" i="328" s="1"/>
  <c r="AD72" i="328"/>
  <c r="AF72" i="328" s="1"/>
  <c r="AC73" i="328"/>
  <c r="AE73" i="328" s="1"/>
  <c r="AD73" i="328"/>
  <c r="AF73" i="328" s="1"/>
  <c r="AC74" i="328"/>
  <c r="AE74" i="328" s="1"/>
  <c r="AD74" i="328"/>
  <c r="AF74" i="328" s="1"/>
  <c r="AC75" i="328"/>
  <c r="AE75" i="328"/>
  <c r="AD75" i="328"/>
  <c r="AF75" i="328" s="1"/>
  <c r="AC76" i="328"/>
  <c r="AE76" i="328" s="1"/>
  <c r="AD76" i="328"/>
  <c r="AF76" i="328" s="1"/>
  <c r="AC77" i="328"/>
  <c r="AE77" i="328" s="1"/>
  <c r="AD77" i="328"/>
  <c r="AF77" i="328" s="1"/>
  <c r="AC78" i="328"/>
  <c r="AE78" i="328" s="1"/>
  <c r="AD78" i="328"/>
  <c r="AF78" i="328" s="1"/>
  <c r="AC79" i="328"/>
  <c r="AE79" i="328" s="1"/>
  <c r="AD79" i="328"/>
  <c r="AF79" i="328" s="1"/>
  <c r="AC80" i="328"/>
  <c r="AE80" i="328" s="1"/>
  <c r="AD80" i="328"/>
  <c r="AF80" i="328" s="1"/>
  <c r="AC81" i="328"/>
  <c r="AE81" i="328" s="1"/>
  <c r="AD81" i="328"/>
  <c r="AF81" i="328" s="1"/>
  <c r="AC82" i="328"/>
  <c r="AE82" i="328" s="1"/>
  <c r="AD82" i="328"/>
  <c r="AF82" i="328" s="1"/>
  <c r="AC83" i="328"/>
  <c r="AE83" i="328" s="1"/>
  <c r="AD83" i="328"/>
  <c r="AF83" i="328" s="1"/>
  <c r="AC84" i="328"/>
  <c r="AE84" i="328" s="1"/>
  <c r="AD84" i="328"/>
  <c r="AF84" i="328" s="1"/>
  <c r="AC85" i="328"/>
  <c r="AE85" i="328" s="1"/>
  <c r="AD85" i="328"/>
  <c r="AF85" i="328" s="1"/>
  <c r="AC86" i="328"/>
  <c r="AE86" i="328" s="1"/>
  <c r="AD86" i="328"/>
  <c r="AF86" i="328" s="1"/>
  <c r="AC87" i="328"/>
  <c r="AE87" i="328" s="1"/>
  <c r="AD87" i="328"/>
  <c r="AF87" i="328" s="1"/>
  <c r="AC88" i="328"/>
  <c r="AE88" i="328" s="1"/>
  <c r="AD88" i="328"/>
  <c r="AF88" i="328" s="1"/>
  <c r="AC89" i="328"/>
  <c r="AE89" i="328" s="1"/>
  <c r="AD89" i="328"/>
  <c r="AF89" i="328" s="1"/>
  <c r="AC90" i="328"/>
  <c r="AE90" i="328" s="1"/>
  <c r="AD90" i="328"/>
  <c r="AF90" i="328" s="1"/>
  <c r="AC91" i="328"/>
  <c r="AE91" i="328" s="1"/>
  <c r="AD91" i="328"/>
  <c r="AF91" i="328" s="1"/>
  <c r="AC92" i="328"/>
  <c r="AE92" i="328" s="1"/>
  <c r="AD92" i="328"/>
  <c r="AF92" i="328" s="1"/>
  <c r="AC93" i="328"/>
  <c r="AE93" i="328" s="1"/>
  <c r="AD93" i="328"/>
  <c r="AF93" i="328" s="1"/>
  <c r="AC94" i="328"/>
  <c r="AE94" i="328" s="1"/>
  <c r="AD94" i="328"/>
  <c r="AF94" i="328" s="1"/>
  <c r="AC95" i="328"/>
  <c r="AE95" i="328" s="1"/>
  <c r="AD95" i="328"/>
  <c r="AF95" i="328" s="1"/>
  <c r="AC96" i="328"/>
  <c r="AE96" i="328" s="1"/>
  <c r="AD96" i="328"/>
  <c r="AF96" i="328" s="1"/>
  <c r="AC97" i="328"/>
  <c r="AE97" i="328" s="1"/>
  <c r="AD97" i="328"/>
  <c r="AF97" i="328" s="1"/>
  <c r="AC98" i="328"/>
  <c r="AE98" i="328" s="1"/>
  <c r="AD98" i="328"/>
  <c r="AF98" i="328" s="1"/>
  <c r="AC99" i="328"/>
  <c r="AE99" i="328" s="1"/>
  <c r="AD99" i="328"/>
  <c r="AF99" i="328" s="1"/>
  <c r="AC100" i="328"/>
  <c r="AE100" i="328" s="1"/>
  <c r="AD100" i="328"/>
  <c r="AF100" i="328" s="1"/>
  <c r="AC101" i="328"/>
  <c r="AE101" i="328" s="1"/>
  <c r="AD101" i="328"/>
  <c r="AF101" i="328" s="1"/>
  <c r="AC102" i="328"/>
  <c r="AE102" i="328" s="1"/>
  <c r="AD102" i="328"/>
  <c r="AF102" i="328" s="1"/>
  <c r="AC103" i="328"/>
  <c r="AE103" i="328" s="1"/>
  <c r="AD103" i="328"/>
  <c r="AF103" i="328" s="1"/>
  <c r="AC104" i="328"/>
  <c r="AE104" i="328" s="1"/>
  <c r="AD104" i="328"/>
  <c r="AF104" i="328" s="1"/>
  <c r="AC105" i="328"/>
  <c r="AE105" i="328" s="1"/>
  <c r="AD105" i="328"/>
  <c r="AF105" i="328" s="1"/>
  <c r="AC106" i="328"/>
  <c r="AE106" i="328" s="1"/>
  <c r="AD106" i="328"/>
  <c r="AF106" i="328" s="1"/>
  <c r="AC107" i="328"/>
  <c r="AE107" i="328" s="1"/>
  <c r="AD107" i="328"/>
  <c r="AF107" i="328" s="1"/>
  <c r="AC108" i="328"/>
  <c r="AE108" i="328" s="1"/>
  <c r="AD108" i="328"/>
  <c r="AF108" i="328" s="1"/>
  <c r="AC109" i="328"/>
  <c r="AE109" i="328" s="1"/>
  <c r="AD109" i="328"/>
  <c r="AF109" i="328" s="1"/>
  <c r="AC110" i="328"/>
  <c r="AE110" i="328" s="1"/>
  <c r="AD110" i="328"/>
  <c r="AF110" i="328" s="1"/>
  <c r="AC111" i="328"/>
  <c r="AE111" i="328" s="1"/>
  <c r="AD111" i="328"/>
  <c r="AF111" i="328" s="1"/>
  <c r="AC112" i="328"/>
  <c r="AE112" i="328" s="1"/>
  <c r="AD112" i="328"/>
  <c r="AF112" i="328" s="1"/>
  <c r="AC113" i="328"/>
  <c r="AE113" i="328" s="1"/>
  <c r="AD113" i="328"/>
  <c r="AF113" i="328" s="1"/>
  <c r="AC114" i="328"/>
  <c r="AE114" i="328" s="1"/>
  <c r="AD114" i="328"/>
  <c r="AF114" i="328" s="1"/>
  <c r="AC115" i="328"/>
  <c r="AE115" i="328" s="1"/>
  <c r="AD115" i="328"/>
  <c r="AF115" i="328" s="1"/>
  <c r="AC116" i="328"/>
  <c r="AE116" i="328" s="1"/>
  <c r="AD116" i="328"/>
  <c r="AF116" i="328" s="1"/>
  <c r="AC117" i="328"/>
  <c r="AE117" i="328" s="1"/>
  <c r="AD117" i="328"/>
  <c r="AF117" i="328" s="1"/>
  <c r="AC118" i="328"/>
  <c r="AE118" i="328" s="1"/>
  <c r="AD118" i="328"/>
  <c r="AF118" i="328" s="1"/>
  <c r="AC119" i="328"/>
  <c r="AE119" i="328" s="1"/>
  <c r="AD119" i="328"/>
  <c r="AF119" i="328" s="1"/>
  <c r="AC120" i="328"/>
  <c r="AE120" i="328" s="1"/>
  <c r="AD120" i="328"/>
  <c r="AF120" i="328" s="1"/>
  <c r="AC121" i="328"/>
  <c r="AE121" i="328" s="1"/>
  <c r="AD121" i="328"/>
  <c r="AF121" i="328" s="1"/>
  <c r="AC122" i="328"/>
  <c r="AE122" i="328" s="1"/>
  <c r="AD122" i="328"/>
  <c r="AF122" i="328" s="1"/>
  <c r="AC123" i="328"/>
  <c r="AE123" i="328" s="1"/>
  <c r="AD123" i="328"/>
  <c r="AF123" i="328" s="1"/>
  <c r="AC124" i="328"/>
  <c r="AE124" i="328" s="1"/>
  <c r="AD124" i="328"/>
  <c r="AF124" i="328" s="1"/>
  <c r="AC125" i="328"/>
  <c r="AE125" i="328" s="1"/>
  <c r="AD125" i="328"/>
  <c r="AF125" i="328" s="1"/>
  <c r="AC126" i="328"/>
  <c r="AE126" i="328" s="1"/>
  <c r="AD126" i="328"/>
  <c r="AF126" i="328" s="1"/>
  <c r="AC127" i="328"/>
  <c r="AE127" i="328" s="1"/>
  <c r="AD127" i="328"/>
  <c r="AF127" i="328" s="1"/>
  <c r="AC128" i="328"/>
  <c r="AE128" i="328" s="1"/>
  <c r="AD128" i="328"/>
  <c r="AF128" i="328" s="1"/>
  <c r="AC129" i="328"/>
  <c r="AE129" i="328" s="1"/>
  <c r="AD129" i="328"/>
  <c r="AF129" i="328" s="1"/>
  <c r="AC130" i="328"/>
  <c r="AE130" i="328" s="1"/>
  <c r="AD130" i="328"/>
  <c r="AF130" i="328" s="1"/>
  <c r="AC131" i="328"/>
  <c r="AE131" i="328" s="1"/>
  <c r="AD131" i="328"/>
  <c r="AF131" i="328" s="1"/>
  <c r="AC132" i="328"/>
  <c r="AE132" i="328" s="1"/>
  <c r="AD132" i="328"/>
  <c r="AF132" i="328" s="1"/>
  <c r="AC133" i="328"/>
  <c r="AE133" i="328" s="1"/>
  <c r="AD133" i="328"/>
  <c r="AF133" i="328" s="1"/>
  <c r="AC134" i="328"/>
  <c r="AE134" i="328" s="1"/>
  <c r="AD134" i="328"/>
  <c r="AF134" i="328" s="1"/>
  <c r="AC135" i="328"/>
  <c r="AE135" i="328" s="1"/>
  <c r="AD135" i="328"/>
  <c r="AF135" i="328" s="1"/>
  <c r="AC136" i="328"/>
  <c r="AE136" i="328" s="1"/>
  <c r="AD136" i="328"/>
  <c r="AF136" i="328" s="1"/>
  <c r="AC137" i="328"/>
  <c r="AE137" i="328" s="1"/>
  <c r="AD137" i="328"/>
  <c r="AF137" i="328" s="1"/>
  <c r="AC138" i="328"/>
  <c r="AE138" i="328" s="1"/>
  <c r="AD138" i="328"/>
  <c r="AF138" i="328" s="1"/>
  <c r="AC139" i="328"/>
  <c r="AE139" i="328" s="1"/>
  <c r="AD139" i="328"/>
  <c r="AF139" i="328" s="1"/>
  <c r="AC140" i="328"/>
  <c r="AE140" i="328" s="1"/>
  <c r="AD140" i="328"/>
  <c r="AF140" i="328" s="1"/>
  <c r="AC141" i="328"/>
  <c r="AE141" i="328" s="1"/>
  <c r="AD141" i="328"/>
  <c r="AF141" i="328" s="1"/>
  <c r="AC142" i="328"/>
  <c r="AE142" i="328" s="1"/>
  <c r="AD142" i="328"/>
  <c r="AF142" i="328" s="1"/>
  <c r="AC143" i="328"/>
  <c r="AE143" i="328" s="1"/>
  <c r="AD143" i="328"/>
  <c r="AF143" i="328" s="1"/>
  <c r="AC144" i="328"/>
  <c r="AE144" i="328" s="1"/>
  <c r="AD144" i="328"/>
  <c r="AF144" i="328" s="1"/>
  <c r="AC145" i="328"/>
  <c r="AE145" i="328" s="1"/>
  <c r="AD145" i="328"/>
  <c r="AF145" i="328" s="1"/>
  <c r="AC146" i="328"/>
  <c r="AE146" i="328" s="1"/>
  <c r="AD146" i="328"/>
  <c r="AF146" i="328" s="1"/>
  <c r="AC147" i="328"/>
  <c r="AE147" i="328" s="1"/>
  <c r="AD147" i="328"/>
  <c r="AF147" i="328" s="1"/>
  <c r="AC148" i="328"/>
  <c r="AE148" i="328" s="1"/>
  <c r="AD148" i="328"/>
  <c r="AF148" i="328" s="1"/>
  <c r="AC149" i="328"/>
  <c r="AE149" i="328" s="1"/>
  <c r="AD149" i="328"/>
  <c r="AF149" i="328" s="1"/>
  <c r="AC150" i="328"/>
  <c r="AE150" i="328" s="1"/>
  <c r="AD150" i="328"/>
  <c r="AF150" i="328" s="1"/>
  <c r="AC151" i="328"/>
  <c r="AE151" i="328" s="1"/>
  <c r="AD151" i="328"/>
  <c r="AF151" i="328" s="1"/>
  <c r="AC152" i="328"/>
  <c r="AE152" i="328" s="1"/>
  <c r="AD152" i="328"/>
  <c r="AF152" i="328" s="1"/>
  <c r="AC153" i="328"/>
  <c r="AE153" i="328" s="1"/>
  <c r="AD153" i="328"/>
  <c r="AF153" i="328" s="1"/>
  <c r="AC154" i="328"/>
  <c r="AE154" i="328" s="1"/>
  <c r="AD154" i="328"/>
  <c r="AF154" i="328" s="1"/>
  <c r="AC155" i="328"/>
  <c r="AE155" i="328" s="1"/>
  <c r="AD155" i="328"/>
  <c r="AF155" i="328" s="1"/>
  <c r="AC156" i="328"/>
  <c r="AE156" i="328" s="1"/>
  <c r="AD156" i="328"/>
  <c r="AF156" i="328" s="1"/>
  <c r="AC157" i="328"/>
  <c r="AE157" i="328" s="1"/>
  <c r="AD157" i="328"/>
  <c r="AF157" i="328" s="1"/>
  <c r="AC158" i="328"/>
  <c r="AE158" i="328" s="1"/>
  <c r="AD158" i="328"/>
  <c r="AF158" i="328" s="1"/>
  <c r="AC159" i="328"/>
  <c r="AE159" i="328" s="1"/>
  <c r="AD159" i="328"/>
  <c r="AF159" i="328" s="1"/>
  <c r="AC160" i="328"/>
  <c r="AE160" i="328" s="1"/>
  <c r="AD160" i="328"/>
  <c r="AF160" i="328" s="1"/>
  <c r="AC161" i="328"/>
  <c r="AE161" i="328" s="1"/>
  <c r="AD161" i="328"/>
  <c r="AF161" i="328" s="1"/>
  <c r="AC162" i="328"/>
  <c r="AE162" i="328" s="1"/>
  <c r="AD162" i="328"/>
  <c r="AF162" i="328" s="1"/>
  <c r="AC163" i="328"/>
  <c r="AE163" i="328" s="1"/>
  <c r="AD163" i="328"/>
  <c r="AF163" i="328" s="1"/>
  <c r="AC164" i="328"/>
  <c r="AE164" i="328" s="1"/>
  <c r="AD164" i="328"/>
  <c r="AF164" i="328" s="1"/>
  <c r="AC165" i="328"/>
  <c r="AE165" i="328" s="1"/>
  <c r="AD165" i="328"/>
  <c r="AF165" i="328" s="1"/>
  <c r="AC166" i="328"/>
  <c r="AE166" i="328" s="1"/>
  <c r="AD166" i="328"/>
  <c r="AF166" i="328" s="1"/>
  <c r="AC167" i="328"/>
  <c r="AE167" i="328" s="1"/>
  <c r="AD167" i="328"/>
  <c r="AF167" i="328" s="1"/>
  <c r="AC168" i="328"/>
  <c r="AE168" i="328" s="1"/>
  <c r="AD168" i="328"/>
  <c r="AF168" i="328" s="1"/>
  <c r="AC169" i="328"/>
  <c r="AE169" i="328" s="1"/>
  <c r="AD169" i="328"/>
  <c r="AF169" i="328" s="1"/>
  <c r="AC170" i="328"/>
  <c r="AE170" i="328" s="1"/>
  <c r="AD170" i="328"/>
  <c r="AF170" i="328" s="1"/>
  <c r="AC171" i="328"/>
  <c r="AE171" i="328" s="1"/>
  <c r="AD171" i="328"/>
  <c r="AF171" i="328" s="1"/>
  <c r="AC172" i="328"/>
  <c r="AE172" i="328" s="1"/>
  <c r="AD172" i="328"/>
  <c r="AF172" i="328" s="1"/>
  <c r="AC173" i="328"/>
  <c r="AE173" i="328" s="1"/>
  <c r="AD173" i="328"/>
  <c r="AF173" i="328" s="1"/>
  <c r="AC174" i="328"/>
  <c r="AE174" i="328" s="1"/>
  <c r="AD174" i="328"/>
  <c r="AF174" i="328" s="1"/>
  <c r="AC175" i="328"/>
  <c r="AE175" i="328" s="1"/>
  <c r="AD175" i="328"/>
  <c r="AF175" i="328" s="1"/>
  <c r="AC176" i="328"/>
  <c r="AE176" i="328" s="1"/>
  <c r="AD176" i="328"/>
  <c r="AF176" i="328" s="1"/>
  <c r="AC177" i="328"/>
  <c r="AE177" i="328" s="1"/>
  <c r="AD177" i="328"/>
  <c r="AF177" i="328" s="1"/>
  <c r="AC178" i="328"/>
  <c r="AE178" i="328" s="1"/>
  <c r="AD178" i="328"/>
  <c r="AF178" i="328" s="1"/>
  <c r="AC179" i="328"/>
  <c r="AE179" i="328" s="1"/>
  <c r="AD179" i="328"/>
  <c r="AF179" i="328" s="1"/>
  <c r="AC180" i="328"/>
  <c r="AE180" i="328" s="1"/>
  <c r="AD180" i="328"/>
  <c r="AF180" i="328" s="1"/>
  <c r="AC181" i="328"/>
  <c r="AE181" i="328" s="1"/>
  <c r="AD181" i="328"/>
  <c r="AF181" i="328" s="1"/>
  <c r="AC182" i="328"/>
  <c r="AE182" i="328" s="1"/>
  <c r="AD182" i="328"/>
  <c r="AF182" i="328" s="1"/>
  <c r="AC183" i="328"/>
  <c r="AE183" i="328" s="1"/>
  <c r="AD183" i="328"/>
  <c r="AF183" i="328" s="1"/>
  <c r="AC184" i="328"/>
  <c r="AE184" i="328" s="1"/>
  <c r="AD184" i="328"/>
  <c r="AF184" i="328" s="1"/>
  <c r="AC185" i="328"/>
  <c r="AE185" i="328" s="1"/>
  <c r="AD185" i="328"/>
  <c r="AF185" i="328" s="1"/>
  <c r="AC186" i="328"/>
  <c r="AE186" i="328" s="1"/>
  <c r="AD186" i="328"/>
  <c r="AF186" i="328" s="1"/>
  <c r="AC187" i="328"/>
  <c r="AE187" i="328" s="1"/>
  <c r="AD187" i="328"/>
  <c r="AF187" i="328" s="1"/>
  <c r="AC188" i="328"/>
  <c r="AE188" i="328" s="1"/>
  <c r="AD188" i="328"/>
  <c r="AF188" i="328" s="1"/>
  <c r="AC189" i="328"/>
  <c r="AE189" i="328" s="1"/>
  <c r="AD189" i="328"/>
  <c r="AF189" i="328" s="1"/>
  <c r="AC190" i="328"/>
  <c r="AE190" i="328" s="1"/>
  <c r="AD190" i="328"/>
  <c r="AF190" i="328" s="1"/>
  <c r="AC191" i="328"/>
  <c r="AE191" i="328" s="1"/>
  <c r="AD191" i="328"/>
  <c r="AF191" i="328" s="1"/>
  <c r="AC192" i="328"/>
  <c r="AE192" i="328" s="1"/>
  <c r="AD192" i="328"/>
  <c r="AF192" i="328" s="1"/>
  <c r="AC193" i="328"/>
  <c r="AE193" i="328" s="1"/>
  <c r="AD193" i="328"/>
  <c r="AF193" i="328" s="1"/>
  <c r="AC194" i="328"/>
  <c r="AE194" i="328" s="1"/>
  <c r="AD194" i="328"/>
  <c r="AF194" i="328" s="1"/>
  <c r="AC195" i="328"/>
  <c r="AE195" i="328" s="1"/>
  <c r="AD195" i="328"/>
  <c r="AF195" i="328" s="1"/>
  <c r="AC196" i="328"/>
  <c r="AE196" i="328" s="1"/>
  <c r="AD196" i="328"/>
  <c r="AF196" i="328" s="1"/>
  <c r="AC197" i="328"/>
  <c r="AE197" i="328" s="1"/>
  <c r="AD197" i="328"/>
  <c r="AF197" i="328" s="1"/>
  <c r="AC198" i="328"/>
  <c r="AE198" i="328" s="1"/>
  <c r="AD198" i="328"/>
  <c r="AF198" i="328" s="1"/>
  <c r="AC199" i="328"/>
  <c r="AE199" i="328" s="1"/>
  <c r="AD199" i="328"/>
  <c r="AF199" i="328" s="1"/>
  <c r="AC200" i="328"/>
  <c r="AE200" i="328" s="1"/>
  <c r="AD200" i="328"/>
  <c r="AF200" i="328" s="1"/>
  <c r="AC201" i="328"/>
  <c r="AE201" i="328" s="1"/>
  <c r="AD201" i="328"/>
  <c r="AF201" i="328" s="1"/>
  <c r="AC202" i="328"/>
  <c r="AE202" i="328" s="1"/>
  <c r="AD202" i="328"/>
  <c r="AF202" i="328" s="1"/>
  <c r="AC203" i="328"/>
  <c r="AE203" i="328" s="1"/>
  <c r="AD203" i="328"/>
  <c r="AF203" i="328" s="1"/>
  <c r="AC204" i="328"/>
  <c r="AE204" i="328" s="1"/>
  <c r="AD204" i="328"/>
  <c r="AF204" i="328" s="1"/>
  <c r="AC205" i="328"/>
  <c r="AE205" i="328" s="1"/>
  <c r="AD205" i="328"/>
  <c r="AF205" i="328" s="1"/>
  <c r="AC206" i="328"/>
  <c r="AE206" i="328" s="1"/>
  <c r="AD206" i="328"/>
  <c r="AF206" i="328" s="1"/>
  <c r="AC207" i="328"/>
  <c r="AE207" i="328" s="1"/>
  <c r="AD207" i="328"/>
  <c r="AF207" i="328" s="1"/>
  <c r="AC208" i="328"/>
  <c r="AE208" i="328" s="1"/>
  <c r="AD208" i="328"/>
  <c r="AF208" i="328" s="1"/>
  <c r="AC209" i="328"/>
  <c r="AE209" i="328" s="1"/>
  <c r="AD209" i="328"/>
  <c r="AF209" i="328" s="1"/>
  <c r="AC210" i="328"/>
  <c r="AE210" i="328" s="1"/>
  <c r="AD210" i="328"/>
  <c r="AF210" i="328" s="1"/>
  <c r="AC211" i="328"/>
  <c r="AE211" i="328" s="1"/>
  <c r="AD211" i="328"/>
  <c r="AF211" i="328" s="1"/>
  <c r="AC212" i="328"/>
  <c r="AE212" i="328" s="1"/>
  <c r="AD212" i="328"/>
  <c r="AF212" i="328" s="1"/>
  <c r="AC213" i="328"/>
  <c r="AE213" i="328" s="1"/>
  <c r="AD213" i="328"/>
  <c r="AF213" i="328" s="1"/>
  <c r="AC214" i="328"/>
  <c r="AE214" i="328" s="1"/>
  <c r="AD214" i="328"/>
  <c r="AF214" i="328" s="1"/>
  <c r="AC215" i="328"/>
  <c r="AE215" i="328" s="1"/>
  <c r="AD215" i="328"/>
  <c r="AF215" i="328" s="1"/>
  <c r="AC216" i="328"/>
  <c r="AE216" i="328" s="1"/>
  <c r="AD216" i="328"/>
  <c r="AF216" i="328" s="1"/>
  <c r="AC217" i="328"/>
  <c r="AE217" i="328" s="1"/>
  <c r="AD217" i="328"/>
  <c r="AF217" i="328" s="1"/>
  <c r="AC218" i="328"/>
  <c r="AE218" i="328" s="1"/>
  <c r="AD218" i="328"/>
  <c r="AF218" i="328" s="1"/>
  <c r="AC219" i="328"/>
  <c r="AE219" i="328" s="1"/>
  <c r="AD219" i="328"/>
  <c r="AF219" i="328" s="1"/>
  <c r="AC220" i="328"/>
  <c r="AE220" i="328" s="1"/>
  <c r="AD220" i="328"/>
  <c r="AF220" i="328" s="1"/>
  <c r="AC221" i="328"/>
  <c r="AE221" i="328" s="1"/>
  <c r="AD221" i="328"/>
  <c r="AF221" i="328" s="1"/>
  <c r="AC222" i="328"/>
  <c r="AE222" i="328" s="1"/>
  <c r="AD222" i="328"/>
  <c r="AF222" i="328" s="1"/>
  <c r="AC223" i="328"/>
  <c r="AE223" i="328" s="1"/>
  <c r="AD223" i="328"/>
  <c r="AF223" i="328" s="1"/>
  <c r="AC224" i="328"/>
  <c r="AE224" i="328" s="1"/>
  <c r="AD224" i="328"/>
  <c r="AF224" i="328" s="1"/>
  <c r="AC225" i="328"/>
  <c r="AE225" i="328" s="1"/>
  <c r="AD225" i="328"/>
  <c r="AF225" i="328" s="1"/>
  <c r="AC226" i="328"/>
  <c r="AE226" i="328" s="1"/>
  <c r="AD226" i="328"/>
  <c r="AF226" i="328" s="1"/>
  <c r="AC227" i="328"/>
  <c r="AE227" i="328" s="1"/>
  <c r="AD227" i="328"/>
  <c r="AF227" i="328" s="1"/>
  <c r="AC228" i="328"/>
  <c r="AE228" i="328" s="1"/>
  <c r="AD228" i="328"/>
  <c r="AF228" i="328" s="1"/>
  <c r="AC229" i="328"/>
  <c r="AE229" i="328" s="1"/>
  <c r="AD229" i="328"/>
  <c r="AF229" i="328" s="1"/>
  <c r="AC230" i="328"/>
  <c r="AE230" i="328" s="1"/>
  <c r="AD230" i="328"/>
  <c r="AF230" i="328" s="1"/>
  <c r="AC231" i="328"/>
  <c r="AE231" i="328" s="1"/>
  <c r="AD231" i="328"/>
  <c r="AF231" i="328" s="1"/>
  <c r="AC232" i="328"/>
  <c r="AE232" i="328" s="1"/>
  <c r="AD232" i="328"/>
  <c r="AF232" i="328" s="1"/>
  <c r="AC233" i="328"/>
  <c r="AE233" i="328" s="1"/>
  <c r="AD233" i="328"/>
  <c r="AF233" i="328" s="1"/>
  <c r="AC234" i="328"/>
  <c r="AE234" i="328" s="1"/>
  <c r="AD234" i="328"/>
  <c r="AF234" i="328" s="1"/>
  <c r="AC235" i="328"/>
  <c r="AE235" i="328" s="1"/>
  <c r="AD235" i="328"/>
  <c r="AF235" i="328" s="1"/>
  <c r="AC236" i="328"/>
  <c r="AE236" i="328" s="1"/>
  <c r="AD236" i="328"/>
  <c r="AF236" i="328" s="1"/>
  <c r="AC237" i="328"/>
  <c r="AE237" i="328" s="1"/>
  <c r="AD237" i="328"/>
  <c r="AF237" i="328" s="1"/>
  <c r="AC238" i="328"/>
  <c r="AE238" i="328" s="1"/>
  <c r="AD238" i="328"/>
  <c r="AF238" i="328" s="1"/>
  <c r="AC239" i="328"/>
  <c r="AE239" i="328" s="1"/>
  <c r="AD239" i="328"/>
  <c r="AF239" i="328" s="1"/>
  <c r="AC240" i="328"/>
  <c r="AE240" i="328" s="1"/>
  <c r="AD240" i="328"/>
  <c r="AF240" i="328" s="1"/>
  <c r="AC241" i="328"/>
  <c r="AE241" i="328" s="1"/>
  <c r="AD241" i="328"/>
  <c r="AF241" i="328" s="1"/>
  <c r="AC242" i="328"/>
  <c r="AE242" i="328" s="1"/>
  <c r="AD242" i="328"/>
  <c r="AF242" i="328" s="1"/>
  <c r="AC243" i="328"/>
  <c r="AE243" i="328" s="1"/>
  <c r="AD243" i="328"/>
  <c r="AF243" i="328" s="1"/>
  <c r="AC244" i="328"/>
  <c r="AE244" i="328" s="1"/>
  <c r="AD244" i="328"/>
  <c r="AF244" i="328" s="1"/>
  <c r="AC245" i="328"/>
  <c r="AE245" i="328" s="1"/>
  <c r="AD245" i="328"/>
  <c r="AF245" i="328" s="1"/>
  <c r="AC246" i="328"/>
  <c r="AE246" i="328" s="1"/>
  <c r="AD246" i="328"/>
  <c r="AF246" i="328" s="1"/>
  <c r="AC247" i="328"/>
  <c r="AE247" i="328" s="1"/>
  <c r="AD247" i="328"/>
  <c r="AF247" i="328" s="1"/>
  <c r="AC248" i="328"/>
  <c r="AE248" i="328" s="1"/>
  <c r="AD248" i="328"/>
  <c r="AF248" i="328" s="1"/>
  <c r="AC249" i="328"/>
  <c r="AE249" i="328" s="1"/>
  <c r="AD249" i="328"/>
  <c r="AF249" i="328" s="1"/>
  <c r="AC250" i="328"/>
  <c r="AE250" i="328" s="1"/>
  <c r="AD250" i="328"/>
  <c r="AF250" i="328" s="1"/>
  <c r="AC251" i="328"/>
  <c r="AE251" i="328" s="1"/>
  <c r="AD251" i="328"/>
  <c r="AF251" i="328" s="1"/>
  <c r="AC252" i="328"/>
  <c r="AE252" i="328" s="1"/>
  <c r="AD252" i="328"/>
  <c r="AF252" i="328" s="1"/>
  <c r="AC253" i="328"/>
  <c r="AE253" i="328" s="1"/>
  <c r="AD253" i="328"/>
  <c r="AF253" i="328" s="1"/>
  <c r="AC254" i="328"/>
  <c r="AE254" i="328" s="1"/>
  <c r="AD254" i="328"/>
  <c r="AF254" i="328" s="1"/>
  <c r="AC255" i="328"/>
  <c r="AE255" i="328" s="1"/>
  <c r="AD255" i="328"/>
  <c r="AF255" i="328" s="1"/>
  <c r="AC256" i="328"/>
  <c r="AE256" i="328" s="1"/>
  <c r="AD256" i="328"/>
  <c r="AF256" i="328" s="1"/>
  <c r="AC257" i="328"/>
  <c r="AE257" i="328" s="1"/>
  <c r="AD257" i="328"/>
  <c r="AF257" i="328" s="1"/>
  <c r="AC258" i="328"/>
  <c r="AE258" i="328" s="1"/>
  <c r="AD258" i="328"/>
  <c r="AF258" i="328" s="1"/>
  <c r="AC259" i="328"/>
  <c r="AE259" i="328" s="1"/>
  <c r="AD259" i="328"/>
  <c r="AF259" i="328" s="1"/>
  <c r="AC260" i="328"/>
  <c r="AE260" i="328" s="1"/>
  <c r="AD260" i="328"/>
  <c r="AF260" i="328" s="1"/>
  <c r="AC261" i="328"/>
  <c r="AE261" i="328" s="1"/>
  <c r="AD261" i="328"/>
  <c r="AF261" i="328" s="1"/>
  <c r="AC262" i="328"/>
  <c r="AE262" i="328" s="1"/>
  <c r="AD262" i="328"/>
  <c r="AF262" i="328" s="1"/>
  <c r="AC263" i="328"/>
  <c r="AE263" i="328" s="1"/>
  <c r="AD263" i="328"/>
  <c r="AF263" i="328" s="1"/>
  <c r="AC264" i="328"/>
  <c r="AE264" i="328" s="1"/>
  <c r="AD264" i="328"/>
  <c r="AF264" i="328" s="1"/>
  <c r="AC265" i="328"/>
  <c r="AE265" i="328" s="1"/>
  <c r="AD265" i="328"/>
  <c r="AF265" i="328" s="1"/>
  <c r="AC266" i="328"/>
  <c r="AE266" i="328" s="1"/>
  <c r="AD266" i="328"/>
  <c r="AF266" i="328" s="1"/>
  <c r="AC267" i="328"/>
  <c r="AE267" i="328" s="1"/>
  <c r="AD267" i="328"/>
  <c r="AF267" i="328" s="1"/>
  <c r="AC268" i="328"/>
  <c r="AE268" i="328" s="1"/>
  <c r="AD268" i="328"/>
  <c r="AF268" i="328" s="1"/>
  <c r="AC269" i="328"/>
  <c r="AE269" i="328" s="1"/>
  <c r="AD269" i="328"/>
  <c r="AF269" i="328" s="1"/>
  <c r="AC270" i="328"/>
  <c r="AE270" i="328" s="1"/>
  <c r="AD270" i="328"/>
  <c r="AF270" i="328" s="1"/>
  <c r="AC271" i="328"/>
  <c r="AE271" i="328" s="1"/>
  <c r="AD271" i="328"/>
  <c r="AF271" i="328" s="1"/>
  <c r="AC272" i="328"/>
  <c r="AE272" i="328" s="1"/>
  <c r="AD272" i="328"/>
  <c r="AF272" i="328" s="1"/>
  <c r="AC273" i="328"/>
  <c r="AE273" i="328" s="1"/>
  <c r="AD273" i="328"/>
  <c r="AF273" i="328" s="1"/>
  <c r="AC274" i="328"/>
  <c r="AE274" i="328" s="1"/>
  <c r="AD274" i="328"/>
  <c r="AF274" i="328" s="1"/>
  <c r="AC275" i="328"/>
  <c r="AE275" i="328" s="1"/>
  <c r="AD275" i="328"/>
  <c r="AF275" i="328" s="1"/>
  <c r="AC276" i="328"/>
  <c r="AE276" i="328" s="1"/>
  <c r="AD276" i="328"/>
  <c r="AF276" i="328" s="1"/>
  <c r="AC277" i="328"/>
  <c r="AE277" i="328" s="1"/>
  <c r="AD277" i="328"/>
  <c r="AF277" i="328" s="1"/>
  <c r="AC278" i="328"/>
  <c r="AE278" i="328" s="1"/>
  <c r="AD278" i="328"/>
  <c r="AF278" i="328" s="1"/>
  <c r="AC279" i="328"/>
  <c r="AE279" i="328" s="1"/>
  <c r="AD279" i="328"/>
  <c r="AF279" i="328" s="1"/>
  <c r="AC280" i="328"/>
  <c r="AE280" i="328" s="1"/>
  <c r="AD280" i="328"/>
  <c r="AF280" i="328" s="1"/>
  <c r="AC281" i="328"/>
  <c r="AE281" i="328" s="1"/>
  <c r="AD281" i="328"/>
  <c r="AF281" i="328" s="1"/>
  <c r="AC282" i="328"/>
  <c r="AE282" i="328" s="1"/>
  <c r="AD282" i="328"/>
  <c r="AF282" i="328" s="1"/>
  <c r="AC283" i="328"/>
  <c r="AE283" i="328" s="1"/>
  <c r="AD283" i="328"/>
  <c r="AF283" i="328" s="1"/>
  <c r="AC284" i="328"/>
  <c r="AE284" i="328" s="1"/>
  <c r="AD284" i="328"/>
  <c r="AF284" i="328" s="1"/>
  <c r="AC285" i="328"/>
  <c r="AE285" i="328" s="1"/>
  <c r="AD285" i="328"/>
  <c r="AF285" i="328" s="1"/>
  <c r="AC286" i="328"/>
  <c r="AE286" i="328" s="1"/>
  <c r="AD286" i="328"/>
  <c r="AF286" i="328" s="1"/>
  <c r="AC287" i="328"/>
  <c r="AE287" i="328" s="1"/>
  <c r="AD287" i="328"/>
  <c r="AF287" i="328" s="1"/>
  <c r="AC288" i="328"/>
  <c r="AE288" i="328" s="1"/>
  <c r="AD288" i="328"/>
  <c r="AF288" i="328" s="1"/>
  <c r="AC289" i="328"/>
  <c r="AE289" i="328" s="1"/>
  <c r="AD289" i="328"/>
  <c r="AF289" i="328" s="1"/>
  <c r="AC290" i="328"/>
  <c r="AE290" i="328" s="1"/>
  <c r="AD290" i="328"/>
  <c r="AF290" i="328" s="1"/>
  <c r="AC291" i="328"/>
  <c r="AE291" i="328" s="1"/>
  <c r="AD291" i="328"/>
  <c r="AF291" i="328" s="1"/>
  <c r="AC292" i="328"/>
  <c r="AE292" i="328" s="1"/>
  <c r="AD292" i="328"/>
  <c r="AF292" i="328" s="1"/>
  <c r="AC293" i="328"/>
  <c r="AE293" i="328" s="1"/>
  <c r="AD293" i="328"/>
  <c r="AF293" i="328" s="1"/>
  <c r="AC294" i="328"/>
  <c r="AE294" i="328" s="1"/>
  <c r="AD294" i="328"/>
  <c r="AF294" i="328" s="1"/>
  <c r="AC295" i="328"/>
  <c r="AE295" i="328" s="1"/>
  <c r="AD295" i="328"/>
  <c r="AF295" i="328" s="1"/>
  <c r="AC296" i="328"/>
  <c r="AE296" i="328" s="1"/>
  <c r="AD296" i="328"/>
  <c r="AF296" i="328" s="1"/>
  <c r="AC297" i="328"/>
  <c r="AE297" i="328" s="1"/>
  <c r="AD297" i="328"/>
  <c r="AF297" i="328" s="1"/>
  <c r="AC298" i="328"/>
  <c r="AE298" i="328" s="1"/>
  <c r="AD298" i="328"/>
  <c r="AF298" i="328" s="1"/>
  <c r="AC299" i="328"/>
  <c r="AE299" i="328" s="1"/>
  <c r="AD299" i="328"/>
  <c r="AF299" i="328" s="1"/>
  <c r="AC300" i="328"/>
  <c r="AE300" i="328" s="1"/>
  <c r="AD300" i="328"/>
  <c r="AF300" i="328" s="1"/>
  <c r="AC301" i="328"/>
  <c r="AE301" i="328" s="1"/>
  <c r="AD301" i="328"/>
  <c r="AF301" i="328" s="1"/>
  <c r="AC302" i="328"/>
  <c r="AE302" i="328" s="1"/>
  <c r="AD302" i="328"/>
  <c r="AF302" i="328" s="1"/>
  <c r="AC303" i="328"/>
  <c r="AE303" i="328" s="1"/>
  <c r="AD303" i="328"/>
  <c r="AF303" i="328" s="1"/>
  <c r="AC304" i="328"/>
  <c r="AE304" i="328" s="1"/>
  <c r="AD304" i="328"/>
  <c r="AF304" i="328" s="1"/>
  <c r="AC305" i="328"/>
  <c r="AE305" i="328" s="1"/>
  <c r="AD305" i="328"/>
  <c r="AF305" i="328" s="1"/>
  <c r="AC306" i="328"/>
  <c r="AE306" i="328" s="1"/>
  <c r="AD306" i="328"/>
  <c r="AF306" i="328" s="1"/>
  <c r="AC307" i="328"/>
  <c r="AE307" i="328" s="1"/>
  <c r="AD307" i="328"/>
  <c r="AF307" i="328" s="1"/>
  <c r="AC308" i="328"/>
  <c r="AE308" i="328" s="1"/>
  <c r="AD308" i="328"/>
  <c r="AF308" i="328" s="1"/>
  <c r="AC309" i="328"/>
  <c r="AE309" i="328" s="1"/>
  <c r="AD309" i="328"/>
  <c r="AF309" i="328" s="1"/>
  <c r="AC310" i="328"/>
  <c r="AE310" i="328" s="1"/>
  <c r="AD310" i="328"/>
  <c r="AF310" i="328" s="1"/>
  <c r="AC311" i="328"/>
  <c r="AE311" i="328" s="1"/>
  <c r="AD311" i="328"/>
  <c r="AF311" i="328" s="1"/>
  <c r="AC312" i="328"/>
  <c r="AE312" i="328" s="1"/>
  <c r="AD312" i="328"/>
  <c r="AF312" i="328" s="1"/>
  <c r="AC313" i="328"/>
  <c r="AE313" i="328" s="1"/>
  <c r="AD313" i="328"/>
  <c r="AF313" i="328" s="1"/>
  <c r="AC314" i="328"/>
  <c r="AE314" i="328" s="1"/>
  <c r="AD314" i="328"/>
  <c r="AF314" i="328" s="1"/>
  <c r="AC315" i="328"/>
  <c r="AE315" i="328" s="1"/>
  <c r="AD315" i="328"/>
  <c r="AF315" i="328" s="1"/>
  <c r="AC316" i="328"/>
  <c r="AE316" i="328" s="1"/>
  <c r="AD316" i="328"/>
  <c r="AF316" i="328" s="1"/>
  <c r="AC317" i="328"/>
  <c r="AE317" i="328" s="1"/>
  <c r="AD317" i="328"/>
  <c r="AF317" i="328" s="1"/>
  <c r="AC318" i="328"/>
  <c r="AE318" i="328" s="1"/>
  <c r="AD318" i="328"/>
  <c r="AF318" i="328" s="1"/>
  <c r="AC319" i="328"/>
  <c r="AE319" i="328" s="1"/>
  <c r="AD319" i="328"/>
  <c r="AF319" i="328" s="1"/>
  <c r="AC320" i="328"/>
  <c r="AE320" i="328" s="1"/>
  <c r="AD320" i="328"/>
  <c r="AF320" i="328" s="1"/>
  <c r="AC321" i="328"/>
  <c r="AE321" i="328" s="1"/>
  <c r="AD321" i="328"/>
  <c r="AF321" i="328" s="1"/>
  <c r="AC322" i="328"/>
  <c r="AE322" i="328" s="1"/>
  <c r="AD322" i="328"/>
  <c r="AF322" i="328" s="1"/>
  <c r="AC323" i="328"/>
  <c r="AE323" i="328" s="1"/>
  <c r="AD323" i="328"/>
  <c r="AF323" i="328" s="1"/>
  <c r="AC324" i="328"/>
  <c r="AE324" i="328" s="1"/>
  <c r="AD324" i="328"/>
  <c r="AF324" i="328" s="1"/>
  <c r="AC325" i="328"/>
  <c r="AE325" i="328" s="1"/>
  <c r="AD325" i="328"/>
  <c r="AF325" i="328" s="1"/>
  <c r="AC326" i="328"/>
  <c r="AE326" i="328" s="1"/>
  <c r="AD326" i="328"/>
  <c r="AF326" i="328" s="1"/>
  <c r="AC327" i="328"/>
  <c r="AE327" i="328" s="1"/>
  <c r="AD327" i="328"/>
  <c r="AF327" i="328" s="1"/>
  <c r="AC328" i="328"/>
  <c r="AE328" i="328" s="1"/>
  <c r="AD328" i="328"/>
  <c r="AF328" i="328" s="1"/>
  <c r="AC329" i="328"/>
  <c r="AE329" i="328" s="1"/>
  <c r="AD329" i="328"/>
  <c r="AF329" i="328" s="1"/>
  <c r="AC330" i="328"/>
  <c r="AE330" i="328" s="1"/>
  <c r="AD330" i="328"/>
  <c r="AF330" i="328" s="1"/>
  <c r="AC331" i="328"/>
  <c r="AE331" i="328" s="1"/>
  <c r="AD331" i="328"/>
  <c r="AF331" i="328" s="1"/>
  <c r="AC332" i="328"/>
  <c r="AE332" i="328" s="1"/>
  <c r="AD332" i="328"/>
  <c r="AF332" i="328" s="1"/>
  <c r="AC333" i="328"/>
  <c r="AE333" i="328" s="1"/>
  <c r="AD333" i="328"/>
  <c r="AF333" i="328" s="1"/>
  <c r="AC334" i="328"/>
  <c r="AE334" i="328" s="1"/>
  <c r="AD334" i="328"/>
  <c r="AF334" i="328" s="1"/>
  <c r="AC335" i="328"/>
  <c r="AE335" i="328" s="1"/>
  <c r="AD335" i="328"/>
  <c r="AF335" i="328" s="1"/>
  <c r="AC336" i="328"/>
  <c r="AE336" i="328" s="1"/>
  <c r="AD336" i="328"/>
  <c r="AF336" i="328" s="1"/>
  <c r="AC337" i="328"/>
  <c r="AE337" i="328" s="1"/>
  <c r="AD337" i="328"/>
  <c r="AF337" i="328" s="1"/>
  <c r="AC338" i="328"/>
  <c r="AE338" i="328" s="1"/>
  <c r="AD338" i="328"/>
  <c r="AF338" i="328" s="1"/>
  <c r="AC339" i="328"/>
  <c r="AE339" i="328" s="1"/>
  <c r="AD339" i="328"/>
  <c r="AF339" i="328" s="1"/>
  <c r="AC340" i="328"/>
  <c r="AE340" i="328" s="1"/>
  <c r="AD340" i="328"/>
  <c r="AF340" i="328" s="1"/>
  <c r="AC341" i="328"/>
  <c r="AE341" i="328" s="1"/>
  <c r="AD341" i="328"/>
  <c r="AF341" i="328" s="1"/>
  <c r="AC342" i="328"/>
  <c r="AE342" i="328" s="1"/>
  <c r="AD342" i="328"/>
  <c r="AF342" i="328" s="1"/>
  <c r="AC343" i="328"/>
  <c r="AE343" i="328" s="1"/>
  <c r="AD343" i="328"/>
  <c r="AF343" i="328" s="1"/>
  <c r="AC344" i="328"/>
  <c r="AE344" i="328" s="1"/>
  <c r="AD344" i="328"/>
  <c r="AF344" i="328" s="1"/>
  <c r="AC345" i="328"/>
  <c r="AE345" i="328" s="1"/>
  <c r="AD345" i="328"/>
  <c r="AF345" i="328" s="1"/>
  <c r="AC346" i="328"/>
  <c r="AE346" i="328" s="1"/>
  <c r="AD346" i="328"/>
  <c r="AF346" i="328" s="1"/>
  <c r="AC347" i="328"/>
  <c r="AE347" i="328" s="1"/>
  <c r="AD347" i="328"/>
  <c r="AF347" i="328" s="1"/>
  <c r="AC348" i="328"/>
  <c r="AE348" i="328" s="1"/>
  <c r="AD348" i="328"/>
  <c r="AF348" i="328" s="1"/>
  <c r="AC349" i="328"/>
  <c r="AE349" i="328" s="1"/>
  <c r="AD349" i="328"/>
  <c r="AF349" i="328" s="1"/>
  <c r="AC350" i="328"/>
  <c r="AE350" i="328" s="1"/>
  <c r="AD350" i="328"/>
  <c r="AF350" i="328" s="1"/>
  <c r="AC351" i="328"/>
  <c r="AE351" i="328" s="1"/>
  <c r="AD351" i="328"/>
  <c r="AF351" i="328" s="1"/>
  <c r="AC352" i="328"/>
  <c r="AE352" i="328" s="1"/>
  <c r="AD352" i="328"/>
  <c r="AF352" i="328" s="1"/>
  <c r="AC353" i="328"/>
  <c r="AE353" i="328" s="1"/>
  <c r="AD353" i="328"/>
  <c r="AF353" i="328" s="1"/>
  <c r="AC354" i="328"/>
  <c r="AE354" i="328" s="1"/>
  <c r="AD354" i="328"/>
  <c r="AF354" i="328" s="1"/>
  <c r="AC355" i="328"/>
  <c r="AE355" i="328" s="1"/>
  <c r="AD355" i="328"/>
  <c r="AF355" i="328" s="1"/>
  <c r="AC356" i="328"/>
  <c r="AE356" i="328" s="1"/>
  <c r="AD356" i="328"/>
  <c r="AF356" i="328" s="1"/>
  <c r="AC357" i="328"/>
  <c r="AE357" i="328" s="1"/>
  <c r="AD357" i="328"/>
  <c r="AF357" i="328" s="1"/>
  <c r="AC358" i="328"/>
  <c r="AE358" i="328" s="1"/>
  <c r="AD358" i="328"/>
  <c r="AF358" i="328" s="1"/>
  <c r="AC359" i="328"/>
  <c r="AE359" i="328" s="1"/>
  <c r="AD359" i="328"/>
  <c r="AF359" i="328" s="1"/>
  <c r="AC360" i="328"/>
  <c r="AE360" i="328" s="1"/>
  <c r="AD360" i="328"/>
  <c r="AF360" i="328" s="1"/>
  <c r="AC361" i="328"/>
  <c r="AE361" i="328" s="1"/>
  <c r="AD361" i="328"/>
  <c r="AF361" i="328" s="1"/>
  <c r="AC362" i="328"/>
  <c r="AE362" i="328" s="1"/>
  <c r="AD362" i="328"/>
  <c r="AF362" i="328" s="1"/>
  <c r="AC363" i="328"/>
  <c r="AE363" i="328" s="1"/>
  <c r="AD363" i="328"/>
  <c r="AF363" i="328" s="1"/>
  <c r="AC364" i="328"/>
  <c r="AE364" i="328" s="1"/>
  <c r="AD364" i="328"/>
  <c r="AF364" i="328" s="1"/>
  <c r="AC365" i="328"/>
  <c r="AE365" i="328" s="1"/>
  <c r="AD365" i="328"/>
  <c r="AF365" i="328" s="1"/>
  <c r="AC366" i="328"/>
  <c r="AE366" i="328" s="1"/>
  <c r="AD366" i="328"/>
  <c r="AF366" i="328" s="1"/>
  <c r="AC367" i="328"/>
  <c r="AE367" i="328" s="1"/>
  <c r="AD367" i="328"/>
  <c r="AF367" i="328" s="1"/>
  <c r="AC368" i="328"/>
  <c r="AE368" i="328" s="1"/>
  <c r="AD368" i="328"/>
  <c r="AF368" i="328" s="1"/>
  <c r="AC369" i="328"/>
  <c r="AE369" i="328" s="1"/>
  <c r="AD369" i="328"/>
  <c r="AF369" i="328" s="1"/>
  <c r="AC370" i="328"/>
  <c r="AE370" i="328" s="1"/>
  <c r="AD370" i="328"/>
  <c r="AF370" i="328" s="1"/>
  <c r="AC371" i="328"/>
  <c r="AE371" i="328" s="1"/>
  <c r="AD371" i="328"/>
  <c r="AF371" i="328" s="1"/>
  <c r="AC372" i="328"/>
  <c r="AE372" i="328" s="1"/>
  <c r="AD372" i="328"/>
  <c r="AF372" i="328" s="1"/>
  <c r="AC373" i="328"/>
  <c r="AE373" i="328" s="1"/>
  <c r="AD373" i="328"/>
  <c r="AF373" i="328" s="1"/>
  <c r="AC374" i="328"/>
  <c r="AE374" i="328" s="1"/>
  <c r="AD374" i="328"/>
  <c r="AF374" i="328" s="1"/>
  <c r="AC375" i="328"/>
  <c r="AE375" i="328" s="1"/>
  <c r="AD375" i="328"/>
  <c r="AF375" i="328" s="1"/>
  <c r="AC376" i="328"/>
  <c r="AE376" i="328" s="1"/>
  <c r="AD376" i="328"/>
  <c r="AF376" i="328" s="1"/>
  <c r="AC377" i="328"/>
  <c r="AE377" i="328" s="1"/>
  <c r="AD377" i="328"/>
  <c r="AF377" i="328" s="1"/>
  <c r="AC378" i="328"/>
  <c r="AE378" i="328" s="1"/>
  <c r="AD378" i="328"/>
  <c r="AF378" i="328" s="1"/>
  <c r="AC379" i="328"/>
  <c r="AE379" i="328" s="1"/>
  <c r="AD379" i="328"/>
  <c r="AF379" i="328" s="1"/>
  <c r="AC380" i="328"/>
  <c r="AE380" i="328" s="1"/>
  <c r="AD380" i="328"/>
  <c r="AF380" i="328" s="1"/>
  <c r="AC381" i="328"/>
  <c r="AE381" i="328" s="1"/>
  <c r="AD381" i="328"/>
  <c r="AF381" i="328" s="1"/>
  <c r="AC382" i="328"/>
  <c r="AE382" i="328" s="1"/>
  <c r="AD382" i="328"/>
  <c r="AF382" i="328" s="1"/>
  <c r="AC383" i="328"/>
  <c r="AE383" i="328" s="1"/>
  <c r="AD383" i="328"/>
  <c r="AF383" i="328" s="1"/>
  <c r="AC384" i="328"/>
  <c r="AE384" i="328" s="1"/>
  <c r="AD384" i="328"/>
  <c r="AF384" i="328" s="1"/>
  <c r="AC385" i="328"/>
  <c r="AE385" i="328" s="1"/>
  <c r="AD385" i="328"/>
  <c r="AF385" i="328" s="1"/>
  <c r="AC386" i="328"/>
  <c r="AE386" i="328" s="1"/>
  <c r="AD386" i="328"/>
  <c r="AF386" i="328" s="1"/>
  <c r="AC387" i="328"/>
  <c r="AE387" i="328" s="1"/>
  <c r="AD387" i="328"/>
  <c r="AF387" i="328" s="1"/>
  <c r="AC388" i="328"/>
  <c r="AE388" i="328" s="1"/>
  <c r="AD388" i="328"/>
  <c r="AF388" i="328" s="1"/>
  <c r="AC389" i="328"/>
  <c r="AE389" i="328" s="1"/>
  <c r="AD389" i="328"/>
  <c r="AF389" i="328" s="1"/>
  <c r="AC390" i="328"/>
  <c r="AE390" i="328" s="1"/>
  <c r="AD390" i="328"/>
  <c r="AF390" i="328" s="1"/>
  <c r="AC391" i="328"/>
  <c r="AE391" i="328" s="1"/>
  <c r="AD391" i="328"/>
  <c r="AF391" i="328" s="1"/>
  <c r="AC392" i="328"/>
  <c r="AE392" i="328" s="1"/>
  <c r="AD392" i="328"/>
  <c r="AF392" i="328" s="1"/>
  <c r="AC393" i="328"/>
  <c r="AE393" i="328" s="1"/>
  <c r="AD393" i="328"/>
  <c r="AF393" i="328" s="1"/>
  <c r="AC394" i="328"/>
  <c r="AE394" i="328" s="1"/>
  <c r="AD394" i="328"/>
  <c r="AF394" i="328" s="1"/>
  <c r="AC395" i="328"/>
  <c r="AE395" i="328" s="1"/>
  <c r="AD395" i="328"/>
  <c r="AF395" i="328" s="1"/>
  <c r="AC396" i="328"/>
  <c r="AE396" i="328" s="1"/>
  <c r="AD396" i="328"/>
  <c r="AF396" i="328" s="1"/>
  <c r="AC397" i="328"/>
  <c r="AE397" i="328" s="1"/>
  <c r="AD397" i="328"/>
  <c r="AF397" i="328" s="1"/>
  <c r="AC398" i="328"/>
  <c r="AE398" i="328" s="1"/>
  <c r="AD398" i="328"/>
  <c r="AF398" i="328" s="1"/>
  <c r="AC399" i="328"/>
  <c r="AE399" i="328" s="1"/>
  <c r="AD399" i="328"/>
  <c r="AF399" i="328" s="1"/>
  <c r="AC400" i="328"/>
  <c r="AE400" i="328" s="1"/>
  <c r="AD400" i="328"/>
  <c r="AF400" i="328" s="1"/>
  <c r="AC401" i="328"/>
  <c r="AE401" i="328" s="1"/>
  <c r="AD401" i="328"/>
  <c r="AF401" i="328" s="1"/>
  <c r="AC402" i="328"/>
  <c r="AE402" i="328" s="1"/>
  <c r="AD402" i="328"/>
  <c r="AF402" i="328" s="1"/>
  <c r="AC403" i="328"/>
  <c r="AE403" i="328" s="1"/>
  <c r="AD403" i="328"/>
  <c r="AF403" i="328" s="1"/>
  <c r="AC404" i="328"/>
  <c r="AE404" i="328" s="1"/>
  <c r="AD404" i="328"/>
  <c r="AF404" i="328" s="1"/>
  <c r="AC405" i="328"/>
  <c r="AE405" i="328" s="1"/>
  <c r="AD405" i="328"/>
  <c r="AF405" i="328" s="1"/>
  <c r="AC406" i="328"/>
  <c r="AE406" i="328" s="1"/>
  <c r="AD406" i="328"/>
  <c r="AF406" i="328" s="1"/>
  <c r="AC407" i="328"/>
  <c r="AE407" i="328" s="1"/>
  <c r="AD407" i="328"/>
  <c r="AF407" i="328" s="1"/>
  <c r="AC408" i="328"/>
  <c r="AE408" i="328" s="1"/>
  <c r="AD408" i="328"/>
  <c r="AF408" i="328" s="1"/>
  <c r="AC409" i="328"/>
  <c r="AE409" i="328" s="1"/>
  <c r="AD409" i="328"/>
  <c r="AF409" i="328" s="1"/>
  <c r="AC410" i="328"/>
  <c r="AE410" i="328" s="1"/>
  <c r="AD410" i="328"/>
  <c r="AF410" i="328" s="1"/>
  <c r="AC411" i="328"/>
  <c r="AE411" i="328" s="1"/>
  <c r="AD411" i="328"/>
  <c r="AF411" i="328" s="1"/>
  <c r="AC412" i="328"/>
  <c r="AE412" i="328" s="1"/>
  <c r="AD412" i="328"/>
  <c r="AF412" i="328" s="1"/>
  <c r="AC413" i="328"/>
  <c r="AE413" i="328" s="1"/>
  <c r="AD413" i="328"/>
  <c r="AF413" i="328" s="1"/>
  <c r="AC414" i="328"/>
  <c r="AE414" i="328" s="1"/>
  <c r="AD414" i="328"/>
  <c r="AF414" i="328" s="1"/>
  <c r="AC415" i="328"/>
  <c r="AE415" i="328" s="1"/>
  <c r="AD415" i="328"/>
  <c r="AF415" i="328" s="1"/>
  <c r="AC416" i="328"/>
  <c r="AE416" i="328" s="1"/>
  <c r="AD416" i="328"/>
  <c r="AF416" i="328" s="1"/>
  <c r="AC417" i="328"/>
  <c r="AE417" i="328" s="1"/>
  <c r="AD417" i="328"/>
  <c r="AF417" i="328" s="1"/>
  <c r="AC418" i="328"/>
  <c r="AE418" i="328" s="1"/>
  <c r="AD418" i="328"/>
  <c r="AF418" i="328" s="1"/>
  <c r="AC419" i="328"/>
  <c r="AE419" i="328" s="1"/>
  <c r="AD419" i="328"/>
  <c r="AF419" i="328" s="1"/>
  <c r="AC420" i="328"/>
  <c r="AE420" i="328" s="1"/>
  <c r="AD420" i="328"/>
  <c r="AF420" i="328" s="1"/>
  <c r="AC421" i="328"/>
  <c r="AE421" i="328" s="1"/>
  <c r="AD421" i="328"/>
  <c r="AF421" i="328" s="1"/>
  <c r="AC422" i="328"/>
  <c r="AE422" i="328" s="1"/>
  <c r="AD422" i="328"/>
  <c r="AF422" i="328" s="1"/>
  <c r="AC423" i="328"/>
  <c r="AE423" i="328" s="1"/>
  <c r="AD423" i="328"/>
  <c r="AF423" i="328" s="1"/>
  <c r="AC424" i="328"/>
  <c r="AE424" i="328" s="1"/>
  <c r="AD424" i="328"/>
  <c r="AF424" i="328" s="1"/>
  <c r="AC425" i="328"/>
  <c r="AE425" i="328" s="1"/>
  <c r="AD425" i="328"/>
  <c r="AF425" i="328" s="1"/>
  <c r="AC426" i="328"/>
  <c r="AE426" i="328" s="1"/>
  <c r="AD426" i="328"/>
  <c r="AF426" i="328" s="1"/>
  <c r="AC427" i="328"/>
  <c r="AE427" i="328" s="1"/>
  <c r="AD427" i="328"/>
  <c r="AF427" i="328" s="1"/>
  <c r="AC428" i="328"/>
  <c r="AE428" i="328" s="1"/>
  <c r="AD428" i="328"/>
  <c r="AF428" i="328" s="1"/>
  <c r="AC429" i="328"/>
  <c r="AE429" i="328" s="1"/>
  <c r="AD429" i="328"/>
  <c r="AF429" i="328" s="1"/>
  <c r="AC430" i="328"/>
  <c r="AE430" i="328" s="1"/>
  <c r="AD430" i="328"/>
  <c r="AF430" i="328" s="1"/>
  <c r="AC431" i="328"/>
  <c r="AE431" i="328" s="1"/>
  <c r="AD431" i="328"/>
  <c r="AF431" i="328" s="1"/>
  <c r="AC432" i="328"/>
  <c r="AE432" i="328" s="1"/>
  <c r="AD432" i="328"/>
  <c r="AF432" i="328" s="1"/>
  <c r="AC433" i="328"/>
  <c r="AE433" i="328" s="1"/>
  <c r="AD433" i="328"/>
  <c r="AF433" i="328" s="1"/>
  <c r="AC434" i="328"/>
  <c r="AE434" i="328" s="1"/>
  <c r="AD434" i="328"/>
  <c r="AF434" i="328" s="1"/>
  <c r="AC435" i="328"/>
  <c r="AE435" i="328" s="1"/>
  <c r="AD435" i="328"/>
  <c r="AF435" i="328" s="1"/>
  <c r="AC436" i="328"/>
  <c r="AE436" i="328" s="1"/>
  <c r="AD436" i="328"/>
  <c r="AF436" i="328" s="1"/>
  <c r="AC437" i="328"/>
  <c r="AE437" i="328" s="1"/>
  <c r="AD437" i="328"/>
  <c r="AF437" i="328" s="1"/>
  <c r="AC438" i="328"/>
  <c r="AE438" i="328" s="1"/>
  <c r="AD438" i="328"/>
  <c r="AF438" i="328" s="1"/>
  <c r="AC439" i="328"/>
  <c r="AE439" i="328" s="1"/>
  <c r="AD439" i="328"/>
  <c r="AF439" i="328" s="1"/>
  <c r="AC440" i="328"/>
  <c r="AE440" i="328" s="1"/>
  <c r="AD440" i="328"/>
  <c r="AF440" i="328" s="1"/>
  <c r="AC441" i="328"/>
  <c r="AE441" i="328" s="1"/>
  <c r="AD441" i="328"/>
  <c r="AF441" i="328" s="1"/>
  <c r="AC442" i="328"/>
  <c r="AE442" i="328" s="1"/>
  <c r="AD442" i="328"/>
  <c r="AF442" i="328" s="1"/>
  <c r="AC443" i="328"/>
  <c r="AE443" i="328" s="1"/>
  <c r="AD443" i="328"/>
  <c r="AF443" i="328" s="1"/>
  <c r="AC444" i="328"/>
  <c r="AE444" i="328" s="1"/>
  <c r="AD444" i="328"/>
  <c r="AF444" i="328" s="1"/>
  <c r="AC445" i="328"/>
  <c r="AE445" i="328" s="1"/>
  <c r="AD445" i="328"/>
  <c r="AF445" i="328" s="1"/>
  <c r="AC446" i="328"/>
  <c r="AE446" i="328" s="1"/>
  <c r="AD446" i="328"/>
  <c r="AF446" i="328" s="1"/>
  <c r="AC447" i="328"/>
  <c r="AE447" i="328" s="1"/>
  <c r="AD447" i="328"/>
  <c r="AF447" i="328" s="1"/>
  <c r="AC448" i="328"/>
  <c r="AE448" i="328" s="1"/>
  <c r="AD448" i="328"/>
  <c r="AF448" i="328" s="1"/>
  <c r="AC449" i="328"/>
  <c r="AE449" i="328" s="1"/>
  <c r="AD449" i="328"/>
  <c r="AF449" i="328" s="1"/>
  <c r="AC450" i="328"/>
  <c r="AE450" i="328" s="1"/>
  <c r="AD450" i="328"/>
  <c r="AF450" i="328" s="1"/>
  <c r="AC451" i="328"/>
  <c r="AE451" i="328" s="1"/>
  <c r="AD451" i="328"/>
  <c r="AF451" i="328" s="1"/>
  <c r="AC452" i="328"/>
  <c r="AE452" i="328" s="1"/>
  <c r="AD452" i="328"/>
  <c r="AF452" i="328" s="1"/>
  <c r="AC453" i="328"/>
  <c r="AE453" i="328" s="1"/>
  <c r="AD453" i="328"/>
  <c r="AF453" i="328" s="1"/>
  <c r="AC454" i="328"/>
  <c r="AE454" i="328" s="1"/>
  <c r="AD454" i="328"/>
  <c r="AF454" i="328" s="1"/>
  <c r="AC455" i="328"/>
  <c r="AE455" i="328" s="1"/>
  <c r="AD455" i="328"/>
  <c r="AF455" i="328" s="1"/>
  <c r="AC456" i="328"/>
  <c r="AE456" i="328" s="1"/>
  <c r="AD456" i="328"/>
  <c r="AF456" i="328" s="1"/>
  <c r="AC457" i="328"/>
  <c r="AE457" i="328" s="1"/>
  <c r="AD457" i="328"/>
  <c r="AF457" i="328" s="1"/>
  <c r="AC458" i="328"/>
  <c r="AE458" i="328" s="1"/>
  <c r="AD458" i="328"/>
  <c r="AF458" i="328" s="1"/>
  <c r="AC459" i="328"/>
  <c r="AE459" i="328" s="1"/>
  <c r="AD459" i="328"/>
  <c r="AF459" i="328" s="1"/>
  <c r="AC460" i="328"/>
  <c r="AE460" i="328" s="1"/>
  <c r="AD460" i="328"/>
  <c r="AF460" i="328" s="1"/>
  <c r="AC461" i="328"/>
  <c r="AE461" i="328" s="1"/>
  <c r="AD461" i="328"/>
  <c r="AF461" i="328" s="1"/>
  <c r="AC462" i="328"/>
  <c r="AE462" i="328" s="1"/>
  <c r="AD462" i="328"/>
  <c r="AF462" i="328" s="1"/>
  <c r="AC463" i="328"/>
  <c r="AE463" i="328" s="1"/>
  <c r="AD463" i="328"/>
  <c r="AF463" i="328" s="1"/>
  <c r="AC464" i="328"/>
  <c r="AE464" i="328" s="1"/>
  <c r="AD464" i="328"/>
  <c r="AF464" i="328" s="1"/>
  <c r="AC465" i="328"/>
  <c r="AE465" i="328" s="1"/>
  <c r="AD465" i="328"/>
  <c r="AF465" i="328" s="1"/>
  <c r="AC466" i="328"/>
  <c r="AE466" i="328" s="1"/>
  <c r="AD466" i="328"/>
  <c r="AF466" i="328" s="1"/>
  <c r="AC467" i="328"/>
  <c r="AE467" i="328" s="1"/>
  <c r="AD467" i="328"/>
  <c r="AF467" i="328" s="1"/>
  <c r="AC468" i="328"/>
  <c r="AE468" i="328" s="1"/>
  <c r="AD468" i="328"/>
  <c r="AF468" i="328" s="1"/>
  <c r="AC469" i="328"/>
  <c r="AE469" i="328" s="1"/>
  <c r="AD469" i="328"/>
  <c r="AF469" i="328" s="1"/>
  <c r="AC470" i="328"/>
  <c r="AE470" i="328" s="1"/>
  <c r="AD470" i="328"/>
  <c r="AF470" i="328" s="1"/>
  <c r="AC471" i="328"/>
  <c r="AE471" i="328" s="1"/>
  <c r="AD471" i="328"/>
  <c r="AF471" i="328" s="1"/>
  <c r="AC472" i="328"/>
  <c r="AE472" i="328" s="1"/>
  <c r="AD472" i="328"/>
  <c r="AF472" i="328" s="1"/>
  <c r="AC473" i="328"/>
  <c r="AE473" i="328" s="1"/>
  <c r="AD473" i="328"/>
  <c r="AF473" i="328" s="1"/>
  <c r="AC474" i="328"/>
  <c r="AE474" i="328" s="1"/>
  <c r="AD474" i="328"/>
  <c r="AF474" i="328" s="1"/>
  <c r="AC475" i="328"/>
  <c r="AE475" i="328" s="1"/>
  <c r="AD475" i="328"/>
  <c r="AF475" i="328" s="1"/>
  <c r="AC476" i="328"/>
  <c r="AE476" i="328" s="1"/>
  <c r="AD476" i="328"/>
  <c r="AF476" i="328" s="1"/>
  <c r="AC477" i="328"/>
  <c r="AE477" i="328" s="1"/>
  <c r="AD477" i="328"/>
  <c r="AF477" i="328" s="1"/>
  <c r="AC478" i="328"/>
  <c r="AE478" i="328" s="1"/>
  <c r="AD478" i="328"/>
  <c r="AF478" i="328" s="1"/>
  <c r="AC479" i="328"/>
  <c r="AE479" i="328" s="1"/>
  <c r="AD479" i="328"/>
  <c r="AF479" i="328" s="1"/>
  <c r="AC480" i="328"/>
  <c r="AE480" i="328" s="1"/>
  <c r="AD480" i="328"/>
  <c r="AF480" i="328" s="1"/>
  <c r="AC481" i="328"/>
  <c r="AE481" i="328" s="1"/>
  <c r="AD481" i="328"/>
  <c r="AF481" i="328" s="1"/>
  <c r="AC482" i="328"/>
  <c r="AE482" i="328" s="1"/>
  <c r="AD482" i="328"/>
  <c r="AF482" i="328" s="1"/>
  <c r="AC483" i="328"/>
  <c r="AE483" i="328" s="1"/>
  <c r="AD483" i="328"/>
  <c r="AF483" i="328" s="1"/>
  <c r="AC484" i="328"/>
  <c r="AE484" i="328" s="1"/>
  <c r="AD484" i="328"/>
  <c r="AF484" i="328" s="1"/>
  <c r="AC485" i="328"/>
  <c r="AE485" i="328" s="1"/>
  <c r="AD485" i="328"/>
  <c r="AF485" i="328" s="1"/>
  <c r="AC486" i="328"/>
  <c r="AE486" i="328" s="1"/>
  <c r="AD486" i="328"/>
  <c r="AF486" i="328" s="1"/>
  <c r="AC487" i="328"/>
  <c r="AE487" i="328" s="1"/>
  <c r="AD487" i="328"/>
  <c r="AF487" i="328" s="1"/>
  <c r="AC488" i="328"/>
  <c r="AE488" i="328"/>
  <c r="AD488" i="328"/>
  <c r="AF488" i="328" s="1"/>
  <c r="AC489" i="328"/>
  <c r="AE489" i="328" s="1"/>
  <c r="AD489" i="328"/>
  <c r="AF489" i="328" s="1"/>
  <c r="AC490" i="328"/>
  <c r="AE490" i="328" s="1"/>
  <c r="AD490" i="328"/>
  <c r="AF490" i="328" s="1"/>
  <c r="AC491" i="328"/>
  <c r="AE491" i="328" s="1"/>
  <c r="AD491" i="328"/>
  <c r="AF491" i="328" s="1"/>
  <c r="AC492" i="328"/>
  <c r="AE492" i="328" s="1"/>
  <c r="AD492" i="328"/>
  <c r="AF492" i="328" s="1"/>
  <c r="AC493" i="328"/>
  <c r="AE493" i="328" s="1"/>
  <c r="AD493" i="328"/>
  <c r="AF493" i="328" s="1"/>
  <c r="AC494" i="328"/>
  <c r="AE494" i="328" s="1"/>
  <c r="AD494" i="328"/>
  <c r="AF494" i="328" s="1"/>
  <c r="AC495" i="328"/>
  <c r="AE495" i="328" s="1"/>
  <c r="AD495" i="328"/>
  <c r="AF495" i="328" s="1"/>
  <c r="AC496" i="328"/>
  <c r="AE496" i="328" s="1"/>
  <c r="AD496" i="328"/>
  <c r="AF496" i="328" s="1"/>
  <c r="AC497" i="328"/>
  <c r="AE497" i="328" s="1"/>
  <c r="AD497" i="328"/>
  <c r="AF497" i="328" s="1"/>
  <c r="AC498" i="328"/>
  <c r="AE498" i="328" s="1"/>
  <c r="AD498" i="328"/>
  <c r="AF498" i="328" s="1"/>
  <c r="AC499" i="328"/>
  <c r="AE499" i="328" s="1"/>
  <c r="AD499" i="328"/>
  <c r="AF499" i="328" s="1"/>
  <c r="AC500" i="328"/>
  <c r="AE500" i="328" s="1"/>
  <c r="AD500" i="328"/>
  <c r="AF500" i="328" s="1"/>
  <c r="AC501" i="328"/>
  <c r="AE501" i="328" s="1"/>
  <c r="AD501" i="328"/>
  <c r="AF501" i="328" s="1"/>
  <c r="AC502" i="328"/>
  <c r="AE502" i="328" s="1"/>
  <c r="AD502" i="328"/>
  <c r="AF502" i="328" s="1"/>
  <c r="AC503" i="328"/>
  <c r="AE503" i="328" s="1"/>
  <c r="AD503" i="328"/>
  <c r="AF503" i="328" s="1"/>
  <c r="AC504" i="328"/>
  <c r="AE504" i="328" s="1"/>
  <c r="AD504" i="328"/>
  <c r="AF504" i="328" s="1"/>
  <c r="AC505" i="328"/>
  <c r="AE505" i="328" s="1"/>
  <c r="AD505" i="328"/>
  <c r="AF505" i="328" s="1"/>
  <c r="AC506" i="328"/>
  <c r="AE506" i="328" s="1"/>
  <c r="AD506" i="328"/>
  <c r="AF506" i="328" s="1"/>
  <c r="AC507" i="328"/>
  <c r="AE507" i="328" s="1"/>
  <c r="AD507" i="328"/>
  <c r="AF507" i="328" s="1"/>
  <c r="AC508" i="328"/>
  <c r="AE508" i="328" s="1"/>
  <c r="AD508" i="328"/>
  <c r="AF508" i="328" s="1"/>
  <c r="AC509" i="328"/>
  <c r="AE509" i="328" s="1"/>
  <c r="AD509" i="328"/>
  <c r="AF509" i="328" s="1"/>
  <c r="AC510" i="328"/>
  <c r="AE510" i="328" s="1"/>
  <c r="AD510" i="328"/>
  <c r="AF510" i="328" s="1"/>
  <c r="AC517" i="328"/>
  <c r="AE517" i="328" s="1"/>
  <c r="AD517" i="328"/>
  <c r="AF517" i="328" s="1"/>
  <c r="AC518" i="328"/>
  <c r="AE518" i="328" s="1"/>
  <c r="AD518" i="328"/>
  <c r="AF518" i="328" s="1"/>
  <c r="AC519" i="328"/>
  <c r="AE519" i="328" s="1"/>
  <c r="AD519" i="328"/>
  <c r="AF519" i="328" s="1"/>
  <c r="F15" i="301"/>
  <c r="M15" i="301"/>
  <c r="F16" i="301"/>
  <c r="M16" i="301"/>
  <c r="F17" i="301"/>
  <c r="M17" i="301"/>
  <c r="F18" i="301"/>
  <c r="M18" i="301"/>
  <c r="F19" i="301"/>
  <c r="M19" i="301"/>
  <c r="F20" i="301"/>
  <c r="M20" i="301"/>
  <c r="F21" i="301"/>
  <c r="M21" i="301"/>
  <c r="F22" i="301"/>
  <c r="M22" i="301"/>
  <c r="F23" i="301"/>
  <c r="M23" i="301"/>
  <c r="F24" i="301"/>
  <c r="M24" i="301"/>
  <c r="F25" i="301"/>
  <c r="M25" i="301"/>
  <c r="F26" i="301"/>
  <c r="M26" i="301"/>
  <c r="F27" i="301"/>
  <c r="M27" i="301"/>
  <c r="F28" i="301"/>
  <c r="M28" i="301"/>
  <c r="F29" i="301"/>
  <c r="M29" i="301"/>
  <c r="F30" i="301"/>
  <c r="M30" i="301"/>
  <c r="F31" i="301"/>
  <c r="M31" i="301"/>
  <c r="F32" i="301"/>
  <c r="M32" i="301"/>
  <c r="F33" i="301"/>
  <c r="M33" i="301"/>
  <c r="F34" i="301"/>
  <c r="M34" i="301"/>
  <c r="F35" i="301"/>
  <c r="M35" i="301"/>
  <c r="F36" i="301"/>
  <c r="M36" i="301"/>
  <c r="F37" i="301"/>
  <c r="M37" i="301"/>
  <c r="F38" i="301"/>
  <c r="M38" i="301"/>
  <c r="F39" i="301"/>
  <c r="M39" i="301"/>
  <c r="F40" i="301"/>
  <c r="M40" i="301"/>
  <c r="F41" i="301"/>
  <c r="M41" i="301"/>
  <c r="F42" i="301"/>
  <c r="M42" i="301"/>
  <c r="F43" i="301"/>
  <c r="M43" i="301"/>
  <c r="F44" i="301"/>
  <c r="M44" i="301"/>
  <c r="F45" i="301"/>
  <c r="M45" i="301"/>
  <c r="F46" i="301"/>
  <c r="M46" i="301"/>
  <c r="F47" i="301"/>
  <c r="M47" i="301"/>
  <c r="F48" i="301"/>
  <c r="M48" i="301"/>
  <c r="F49" i="301"/>
  <c r="M49" i="301"/>
  <c r="F50" i="301"/>
  <c r="M50" i="301"/>
  <c r="F51" i="301"/>
  <c r="M51" i="301"/>
  <c r="F52" i="301"/>
  <c r="M52" i="301"/>
  <c r="F53" i="301"/>
  <c r="M53" i="301"/>
  <c r="F54" i="301"/>
  <c r="M54" i="301"/>
  <c r="F55" i="301"/>
  <c r="M55" i="301"/>
  <c r="F56" i="301"/>
  <c r="M56" i="301"/>
  <c r="F57" i="301"/>
  <c r="M57" i="301"/>
  <c r="F58" i="301"/>
  <c r="M58" i="301"/>
  <c r="F59" i="301"/>
  <c r="M59" i="301"/>
  <c r="F60" i="301"/>
  <c r="M60" i="301"/>
  <c r="F61" i="301"/>
  <c r="M61" i="301"/>
  <c r="F62" i="301"/>
  <c r="M62" i="301"/>
  <c r="F63" i="301"/>
  <c r="M63" i="301"/>
  <c r="F64" i="301"/>
  <c r="M64" i="301"/>
  <c r="F65" i="301"/>
  <c r="M65" i="301"/>
  <c r="F66" i="301"/>
  <c r="M66" i="301"/>
  <c r="F67" i="301"/>
  <c r="M67" i="301"/>
  <c r="F68" i="301"/>
  <c r="M68" i="301"/>
  <c r="F69" i="301"/>
  <c r="M69" i="301"/>
  <c r="F70" i="301"/>
  <c r="M70" i="301"/>
  <c r="F71" i="301"/>
  <c r="M71" i="301"/>
  <c r="F72" i="301"/>
  <c r="M72" i="301"/>
  <c r="F73" i="301"/>
  <c r="M73" i="301"/>
  <c r="F74" i="301"/>
  <c r="M74" i="301"/>
  <c r="F75" i="301"/>
  <c r="M75" i="301"/>
  <c r="F76" i="301"/>
  <c r="M76" i="301"/>
  <c r="F77" i="301"/>
  <c r="M77" i="301"/>
  <c r="F78" i="301"/>
  <c r="M78" i="301"/>
  <c r="F79" i="301"/>
  <c r="M79" i="301"/>
  <c r="F80" i="301"/>
  <c r="M80" i="301"/>
  <c r="F81" i="301"/>
  <c r="M81" i="301"/>
  <c r="F82" i="301"/>
  <c r="M82" i="301"/>
  <c r="F83" i="301"/>
  <c r="M83" i="301"/>
  <c r="F84" i="301"/>
  <c r="M84" i="301"/>
  <c r="F85" i="301"/>
  <c r="M85" i="301"/>
  <c r="F86" i="301"/>
  <c r="M86" i="301"/>
  <c r="F87" i="301"/>
  <c r="M87" i="301"/>
  <c r="F88" i="301"/>
  <c r="M88" i="301"/>
  <c r="F89" i="301"/>
  <c r="M89" i="301"/>
  <c r="F90" i="301"/>
  <c r="M90" i="301"/>
  <c r="F91" i="301"/>
  <c r="M91" i="301"/>
  <c r="F92" i="301"/>
  <c r="M92" i="301"/>
  <c r="F93" i="301"/>
  <c r="M93" i="301"/>
  <c r="F94" i="301"/>
  <c r="M94" i="301"/>
  <c r="F95" i="301"/>
  <c r="M95" i="301"/>
  <c r="F96" i="301"/>
  <c r="M96" i="301"/>
  <c r="F97" i="301"/>
  <c r="M97" i="301"/>
  <c r="F98" i="301"/>
  <c r="M98" i="301"/>
  <c r="F99" i="301"/>
  <c r="M99" i="301"/>
  <c r="F100" i="301"/>
  <c r="M100" i="301"/>
  <c r="F101" i="301"/>
  <c r="M101" i="301"/>
  <c r="F102" i="301"/>
  <c r="M102" i="301"/>
  <c r="F103" i="301"/>
  <c r="M103" i="301"/>
  <c r="F104" i="301"/>
  <c r="M104" i="301"/>
  <c r="F105" i="301"/>
  <c r="M105" i="301"/>
  <c r="F106" i="301"/>
  <c r="M106" i="301"/>
  <c r="F107" i="301"/>
  <c r="M107" i="301"/>
  <c r="F108" i="301"/>
  <c r="M108" i="301"/>
  <c r="F109" i="301"/>
  <c r="M109" i="301"/>
  <c r="F110" i="301"/>
  <c r="M110" i="301"/>
  <c r="F111" i="301"/>
  <c r="M111" i="301"/>
  <c r="F112" i="301"/>
  <c r="M112" i="301"/>
  <c r="F113" i="301"/>
  <c r="M113" i="301"/>
  <c r="F114" i="301"/>
  <c r="M114" i="301"/>
  <c r="F115" i="301"/>
  <c r="M115" i="301"/>
  <c r="F116" i="301"/>
  <c r="M116" i="301"/>
  <c r="F117" i="301"/>
  <c r="M117" i="301"/>
  <c r="F118" i="301"/>
  <c r="M118" i="301"/>
  <c r="F119" i="301"/>
  <c r="M119" i="301"/>
  <c r="F120" i="301"/>
  <c r="M120" i="301"/>
  <c r="F121" i="301"/>
  <c r="M121" i="301"/>
  <c r="F122" i="301"/>
  <c r="M122" i="301"/>
  <c r="F123" i="301"/>
  <c r="M123" i="301"/>
  <c r="F124" i="301"/>
  <c r="M124" i="301"/>
  <c r="F125" i="301"/>
  <c r="M125" i="301"/>
  <c r="F126" i="301"/>
  <c r="M126" i="301"/>
  <c r="F127" i="301"/>
  <c r="M127" i="301"/>
  <c r="F128" i="301"/>
  <c r="M128" i="301"/>
  <c r="F129" i="301"/>
  <c r="M129" i="301"/>
  <c r="F130" i="301"/>
  <c r="M130" i="301"/>
  <c r="F131" i="301"/>
  <c r="M131" i="301"/>
  <c r="F132" i="301"/>
  <c r="M132" i="301"/>
  <c r="F133" i="301"/>
  <c r="M133" i="301"/>
  <c r="F134" i="301"/>
  <c r="M134" i="301"/>
  <c r="F135" i="301"/>
  <c r="M135" i="301"/>
  <c r="F136" i="301"/>
  <c r="M136" i="301"/>
  <c r="F137" i="301"/>
  <c r="M137" i="301"/>
  <c r="F138" i="301"/>
  <c r="M138" i="301"/>
  <c r="F139" i="301"/>
  <c r="M139" i="301"/>
  <c r="F140" i="301"/>
  <c r="M140" i="301"/>
  <c r="F141" i="301"/>
  <c r="M141" i="301"/>
  <c r="F142" i="301"/>
  <c r="M142" i="301"/>
  <c r="F143" i="301"/>
  <c r="M143" i="301"/>
  <c r="F144" i="301"/>
  <c r="M144" i="301"/>
  <c r="F145" i="301"/>
  <c r="M145" i="301"/>
  <c r="F146" i="301"/>
  <c r="M146" i="301"/>
  <c r="F147" i="301"/>
  <c r="M147" i="301"/>
  <c r="F148" i="301"/>
  <c r="M148" i="301"/>
  <c r="F149" i="301"/>
  <c r="M149" i="301"/>
  <c r="F150" i="301"/>
  <c r="M150" i="301"/>
  <c r="F151" i="301"/>
  <c r="M151" i="301"/>
  <c r="F152" i="301"/>
  <c r="M152" i="301"/>
  <c r="F153" i="301"/>
  <c r="M153" i="301"/>
  <c r="F154" i="301"/>
  <c r="M154" i="301"/>
  <c r="F155" i="301"/>
  <c r="M155" i="301"/>
  <c r="F156" i="301"/>
  <c r="M156" i="301"/>
  <c r="F157" i="301"/>
  <c r="M157" i="301"/>
  <c r="F158" i="301"/>
  <c r="M158" i="301"/>
  <c r="F159" i="301"/>
  <c r="M159" i="301"/>
  <c r="F160" i="301"/>
  <c r="M160" i="301"/>
  <c r="F161" i="301"/>
  <c r="M161" i="301"/>
  <c r="F162" i="301"/>
  <c r="M162" i="301"/>
  <c r="F163" i="301"/>
  <c r="M163" i="301"/>
  <c r="F164" i="301"/>
  <c r="M164" i="301"/>
  <c r="F165" i="301"/>
  <c r="M165" i="301"/>
  <c r="F166" i="301"/>
  <c r="M166" i="301"/>
  <c r="F167" i="301"/>
  <c r="M167" i="301"/>
  <c r="F168" i="301"/>
  <c r="M168" i="301"/>
  <c r="F169" i="301"/>
  <c r="M169" i="301"/>
  <c r="F170" i="301"/>
  <c r="M170" i="301"/>
  <c r="F171" i="301"/>
  <c r="M171" i="301"/>
  <c r="F172" i="301"/>
  <c r="M172" i="301"/>
  <c r="F173" i="301"/>
  <c r="M173" i="301"/>
  <c r="F174" i="301"/>
  <c r="M174" i="301"/>
  <c r="F175" i="301"/>
  <c r="M175" i="301"/>
  <c r="F176" i="301"/>
  <c r="M176" i="301"/>
  <c r="F177" i="301"/>
  <c r="M177" i="301"/>
  <c r="F178" i="301"/>
  <c r="M178" i="301"/>
  <c r="F179" i="301"/>
  <c r="M179" i="301"/>
  <c r="F180" i="301"/>
  <c r="M180" i="301"/>
  <c r="G500" i="301"/>
  <c r="V45" i="326"/>
  <c r="J11" i="271" s="1"/>
  <c r="J500" i="301"/>
  <c r="K500" i="301"/>
  <c r="Q500" i="301"/>
  <c r="A6" i="326"/>
  <c r="A8" i="326"/>
  <c r="B15" i="326"/>
  <c r="C15" i="326"/>
  <c r="F15" i="326"/>
  <c r="B16" i="326"/>
  <c r="C16" i="326"/>
  <c r="F16" i="326"/>
  <c r="L16" i="326"/>
  <c r="B17" i="326"/>
  <c r="C17" i="326"/>
  <c r="F17" i="326"/>
  <c r="L17" i="326"/>
  <c r="B18" i="326"/>
  <c r="C18" i="326"/>
  <c r="F18" i="326"/>
  <c r="L18" i="326"/>
  <c r="B19" i="326"/>
  <c r="C19" i="326"/>
  <c r="F19" i="326"/>
  <c r="L19" i="326"/>
  <c r="B20" i="326"/>
  <c r="C20" i="326"/>
  <c r="F20" i="326"/>
  <c r="L20" i="326"/>
  <c r="B21" i="326"/>
  <c r="C21" i="326"/>
  <c r="F21" i="326"/>
  <c r="L21" i="326"/>
  <c r="B22" i="326"/>
  <c r="C22" i="326"/>
  <c r="F22" i="326"/>
  <c r="L22" i="326"/>
  <c r="B23" i="326"/>
  <c r="C23" i="326"/>
  <c r="F23" i="326"/>
  <c r="L23" i="326"/>
  <c r="B24" i="326"/>
  <c r="C24" i="326"/>
  <c r="F24" i="326"/>
  <c r="L24" i="326"/>
  <c r="B25" i="326"/>
  <c r="C25" i="326"/>
  <c r="F25" i="326"/>
  <c r="L25" i="326"/>
  <c r="B26" i="326"/>
  <c r="C26" i="326"/>
  <c r="F26" i="326"/>
  <c r="L26" i="326"/>
  <c r="B27" i="326"/>
  <c r="C27" i="326"/>
  <c r="F27" i="326"/>
  <c r="L27" i="326"/>
  <c r="B28" i="326"/>
  <c r="C28" i="326"/>
  <c r="F28" i="326"/>
  <c r="L28" i="326"/>
  <c r="B29" i="326"/>
  <c r="C29" i="326"/>
  <c r="F29" i="326"/>
  <c r="L29" i="326"/>
  <c r="B30" i="326"/>
  <c r="C30" i="326"/>
  <c r="F30" i="326"/>
  <c r="L30" i="326"/>
  <c r="T30" i="326"/>
  <c r="B31" i="326"/>
  <c r="C31" i="326"/>
  <c r="F31" i="326"/>
  <c r="B32" i="326"/>
  <c r="C32" i="326"/>
  <c r="F32" i="326"/>
  <c r="B33" i="326"/>
  <c r="C33" i="326"/>
  <c r="F33" i="326"/>
  <c r="L33" i="326" s="1"/>
  <c r="B34" i="326"/>
  <c r="C34" i="326"/>
  <c r="L34" i="326"/>
  <c r="B35" i="326"/>
  <c r="C35" i="326"/>
  <c r="L35" i="326"/>
  <c r="B36" i="326"/>
  <c r="C36" i="326"/>
  <c r="L36" i="326"/>
  <c r="B37" i="326"/>
  <c r="C37" i="326"/>
  <c r="L37" i="326"/>
  <c r="B40" i="326"/>
  <c r="C40" i="326"/>
  <c r="L40" i="326"/>
  <c r="B41" i="326"/>
  <c r="C41" i="326"/>
  <c r="L41" i="326"/>
  <c r="B42" i="326"/>
  <c r="C42" i="326"/>
  <c r="L42" i="326"/>
  <c r="B43" i="326"/>
  <c r="C43" i="326"/>
  <c r="L43" i="326"/>
  <c r="E45" i="326"/>
  <c r="A57" i="326"/>
  <c r="DW316" i="318"/>
  <c r="DW177" i="318"/>
  <c r="DW8" i="318"/>
  <c r="EF3" i="318" s="1"/>
  <c r="CD476" i="312"/>
  <c r="AO316" i="318"/>
  <c r="AN424" i="318"/>
  <c r="AP132" i="318"/>
  <c r="F140" i="269"/>
  <c r="G140" i="269" s="1"/>
  <c r="BF99" i="312"/>
  <c r="BT99" i="312" s="1"/>
  <c r="AP65" i="318"/>
  <c r="F73" i="269" s="1"/>
  <c r="G73" i="269" s="1"/>
  <c r="BF269" i="312"/>
  <c r="BT269" i="312" s="1"/>
  <c r="BF191" i="312"/>
  <c r="BT191" i="312" s="1"/>
  <c r="AN292" i="318"/>
  <c r="AQ292" i="318" s="1"/>
  <c r="AO145" i="318"/>
  <c r="H153" i="269" s="1"/>
  <c r="I153" i="269" s="1"/>
  <c r="AN59" i="318"/>
  <c r="AQ59" i="318" s="1"/>
  <c r="AN477" i="318"/>
  <c r="AV266" i="318"/>
  <c r="J272" i="269"/>
  <c r="K272" i="269" s="1"/>
  <c r="AQ122" i="318"/>
  <c r="AN166" i="318"/>
  <c r="AQ166" i="318"/>
  <c r="M451" i="269"/>
  <c r="N451" i="269" s="1"/>
  <c r="M496" i="269"/>
  <c r="N496" i="269"/>
  <c r="M443" i="269"/>
  <c r="BL365" i="312"/>
  <c r="M276" i="269"/>
  <c r="O276" i="269" s="1"/>
  <c r="M278" i="269"/>
  <c r="CD199" i="312"/>
  <c r="BF277" i="312"/>
  <c r="BT277" i="312" s="1"/>
  <c r="L502" i="269"/>
  <c r="AN182" i="318"/>
  <c r="AQ182" i="318" s="1"/>
  <c r="AP87" i="318"/>
  <c r="F95" i="269" s="1"/>
  <c r="G95" i="269" s="1"/>
  <c r="BF407" i="312"/>
  <c r="CD440" i="312"/>
  <c r="CD426" i="312"/>
  <c r="CD420" i="312"/>
  <c r="BF420" i="312"/>
  <c r="BT420" i="312" s="1"/>
  <c r="X425" i="269" s="1"/>
  <c r="CD411" i="312"/>
  <c r="CD358" i="312"/>
  <c r="CD365" i="312"/>
  <c r="CD363" i="312"/>
  <c r="BF337" i="312"/>
  <c r="BT337" i="312" s="1"/>
  <c r="M215" i="269"/>
  <c r="N215" i="269"/>
  <c r="M220" i="269"/>
  <c r="O220" i="269" s="1"/>
  <c r="M199" i="269"/>
  <c r="N199" i="269" s="1"/>
  <c r="CD179" i="312"/>
  <c r="M309" i="269"/>
  <c r="BL303" i="312"/>
  <c r="M200" i="269"/>
  <c r="N200" i="269"/>
  <c r="AO449" i="318"/>
  <c r="H451" i="269" s="1"/>
  <c r="I451" i="269" s="1"/>
  <c r="AN217" i="318"/>
  <c r="AQ217" i="318" s="1"/>
  <c r="AV53" i="318"/>
  <c r="J61" i="269"/>
  <c r="K61" i="269"/>
  <c r="AN94" i="318"/>
  <c r="AQ94" i="318" s="1"/>
  <c r="AV44" i="318"/>
  <c r="J52" i="269"/>
  <c r="K52" i="269" s="1"/>
  <c r="AN73" i="318"/>
  <c r="AQ73" i="318" s="1"/>
  <c r="AP73" i="318"/>
  <c r="F81" i="269" s="1"/>
  <c r="G81" i="269" s="1"/>
  <c r="CD381" i="312"/>
  <c r="M360" i="269"/>
  <c r="N360" i="269" s="1"/>
  <c r="BF342" i="312"/>
  <c r="BT342" i="312" s="1"/>
  <c r="BL342" i="312"/>
  <c r="BF333" i="312"/>
  <c r="BT333" i="312" s="1"/>
  <c r="CD385" i="312"/>
  <c r="BF390" i="312"/>
  <c r="BT390" i="312" s="1"/>
  <c r="M355" i="269"/>
  <c r="O355" i="269" s="1"/>
  <c r="BL348" i="312"/>
  <c r="CD392" i="312"/>
  <c r="BF193" i="312"/>
  <c r="BL193" i="312"/>
  <c r="BL259" i="312"/>
  <c r="BL298" i="312"/>
  <c r="M242" i="269"/>
  <c r="M301" i="269"/>
  <c r="BL275" i="312"/>
  <c r="BF275" i="312"/>
  <c r="BL221" i="312"/>
  <c r="M217" i="269"/>
  <c r="N217" i="269" s="1"/>
  <c r="BL308" i="312"/>
  <c r="BF278" i="312"/>
  <c r="BT278" i="312" s="1"/>
  <c r="M213" i="269"/>
  <c r="BL109" i="312"/>
  <c r="M153" i="269"/>
  <c r="CQ19" i="312"/>
  <c r="AU498" i="312"/>
  <c r="M375" i="269"/>
  <c r="BF368" i="312"/>
  <c r="BT368" i="312" s="1"/>
  <c r="M365" i="269"/>
  <c r="N365" i="269" s="1"/>
  <c r="CD333" i="312"/>
  <c r="BL333" i="312"/>
  <c r="M216" i="269"/>
  <c r="N216" i="269" s="1"/>
  <c r="CY199" i="312"/>
  <c r="BF177" i="312"/>
  <c r="BS498" i="312"/>
  <c r="BF338" i="312"/>
  <c r="BF290" i="312"/>
  <c r="BT290" i="312" s="1"/>
  <c r="CQ21" i="312"/>
  <c r="M31" i="269"/>
  <c r="M251" i="269"/>
  <c r="N251" i="269" s="1"/>
  <c r="BL320" i="312"/>
  <c r="CC314" i="312"/>
  <c r="BY399" i="312"/>
  <c r="BL347" i="312"/>
  <c r="BF347" i="312"/>
  <c r="BT347" i="312" s="1"/>
  <c r="BF190" i="312"/>
  <c r="BT190" i="312" s="1"/>
  <c r="X199" i="269" s="1"/>
  <c r="CQ200" i="312"/>
  <c r="CD336" i="312"/>
  <c r="CD284" i="312"/>
  <c r="CY16" i="312"/>
  <c r="M187" i="269"/>
  <c r="N187" i="269" s="1"/>
  <c r="CD405" i="312"/>
  <c r="BF405" i="312"/>
  <c r="BT405" i="312" s="1"/>
  <c r="BF263" i="312"/>
  <c r="CD465" i="312"/>
  <c r="CD214" i="312"/>
  <c r="M387" i="269"/>
  <c r="N387" i="269" s="1"/>
  <c r="BO277" i="312"/>
  <c r="M233" i="269"/>
  <c r="N233" i="269" s="1"/>
  <c r="CY183" i="312"/>
  <c r="CY201" i="312"/>
  <c r="BF348" i="312"/>
  <c r="BT348" i="312" s="1"/>
  <c r="BL276" i="312"/>
  <c r="BF366" i="312"/>
  <c r="BT366" i="312" s="1"/>
  <c r="BF452" i="312"/>
  <c r="M457" i="269"/>
  <c r="CD413" i="312"/>
  <c r="BL212" i="312"/>
  <c r="CY29" i="312"/>
  <c r="BF353" i="312"/>
  <c r="BT353" i="312" s="1"/>
  <c r="BF429" i="312"/>
  <c r="BT429" i="312" s="1"/>
  <c r="X434" i="269"/>
  <c r="Y434" i="269"/>
  <c r="BL368" i="312"/>
  <c r="CD368" i="312"/>
  <c r="BL340" i="312"/>
  <c r="CY218" i="312"/>
  <c r="BF300" i="312"/>
  <c r="BT300" i="312" s="1"/>
  <c r="X309" i="269" s="1"/>
  <c r="Y309" i="269" s="1"/>
  <c r="CY191" i="312"/>
  <c r="BF341" i="312"/>
  <c r="BT341" i="312" s="1"/>
  <c r="CD182" i="312"/>
  <c r="CD275" i="312"/>
  <c r="CY38" i="312"/>
  <c r="CD493" i="312"/>
  <c r="CD345" i="312"/>
  <c r="BF234" i="312"/>
  <c r="BT234" i="312" s="1"/>
  <c r="CY52" i="312"/>
  <c r="CY8" i="312"/>
  <c r="CD202" i="312"/>
  <c r="CY22" i="312"/>
  <c r="CY26" i="312"/>
  <c r="CD18" i="312"/>
  <c r="CY25" i="312"/>
  <c r="CY17" i="312"/>
  <c r="BU498" i="312"/>
  <c r="CY31" i="312"/>
  <c r="CY37" i="312"/>
  <c r="CY45" i="312"/>
  <c r="CY33" i="312"/>
  <c r="BF481" i="312"/>
  <c r="BT481" i="312" s="1"/>
  <c r="BF487" i="312"/>
  <c r="BF435" i="312"/>
  <c r="BT435" i="312" s="1"/>
  <c r="CD429" i="312"/>
  <c r="BF414" i="312"/>
  <c r="BT414" i="312" s="1"/>
  <c r="BO414" i="312" s="1"/>
  <c r="P419" i="269" s="1"/>
  <c r="Q419" i="269" s="1"/>
  <c r="BF478" i="312"/>
  <c r="BT478" i="312" s="1"/>
  <c r="CD360" i="312"/>
  <c r="BF379" i="312"/>
  <c r="CD353" i="312"/>
  <c r="BF395" i="312"/>
  <c r="M391" i="269"/>
  <c r="X498" i="312"/>
  <c r="X499" i="312" s="1"/>
  <c r="BL223" i="312"/>
  <c r="BF231" i="312"/>
  <c r="BT231" i="312" s="1"/>
  <c r="M189" i="269"/>
  <c r="BF295" i="312"/>
  <c r="BT295" i="312" s="1"/>
  <c r="BL248" i="312"/>
  <c r="BF205" i="312"/>
  <c r="BL289" i="312"/>
  <c r="BF244" i="312"/>
  <c r="BT244" i="312" s="1"/>
  <c r="X253" i="269" s="1"/>
  <c r="Y253" i="269" s="1"/>
  <c r="BL228" i="312"/>
  <c r="CQ195" i="312"/>
  <c r="M222" i="269"/>
  <c r="O222" i="269" s="1"/>
  <c r="CD234" i="312"/>
  <c r="BF223" i="312"/>
  <c r="BT223" i="312" s="1"/>
  <c r="BL300" i="312"/>
  <c r="M214" i="269"/>
  <c r="BL202" i="312"/>
  <c r="BL211" i="312"/>
  <c r="M204" i="269"/>
  <c r="O204" i="269" s="1"/>
  <c r="BF209" i="312"/>
  <c r="BT209" i="312" s="1"/>
  <c r="CD300" i="312"/>
  <c r="BL241" i="312"/>
  <c r="BL295" i="312"/>
  <c r="BL290" i="312"/>
  <c r="BF262" i="312"/>
  <c r="BL233" i="312"/>
  <c r="BF241" i="312"/>
  <c r="BT241" i="312" s="1"/>
  <c r="CF241" i="312"/>
  <c r="CE241" i="312"/>
  <c r="BL208" i="312"/>
  <c r="BF304" i="312"/>
  <c r="BT304" i="312" s="1"/>
  <c r="X313" i="269" s="1"/>
  <c r="Y313" i="269" s="1"/>
  <c r="CF304" i="312"/>
  <c r="CE304" i="312"/>
  <c r="BO304" i="312"/>
  <c r="BL178" i="312"/>
  <c r="BF298" i="312"/>
  <c r="BT298" i="312" s="1"/>
  <c r="BL84" i="312"/>
  <c r="BF138" i="312"/>
  <c r="BT138" i="312" s="1"/>
  <c r="BL138" i="312"/>
  <c r="M30" i="269"/>
  <c r="N30" i="269" s="1"/>
  <c r="M53" i="269"/>
  <c r="N53" i="269" s="1"/>
  <c r="CD165" i="312"/>
  <c r="BL165" i="312"/>
  <c r="BL124" i="312"/>
  <c r="BF87" i="312"/>
  <c r="BT87" i="312" s="1"/>
  <c r="AO470" i="318"/>
  <c r="H472" i="269"/>
  <c r="I472" i="269" s="1"/>
  <c r="AO481" i="318"/>
  <c r="H483" i="269" s="1"/>
  <c r="I483" i="269" s="1"/>
  <c r="AN362" i="318"/>
  <c r="AQ362" i="318" s="1"/>
  <c r="AN378" i="318"/>
  <c r="AQ378" i="318" s="1"/>
  <c r="AP337" i="318"/>
  <c r="F341" i="269" s="1"/>
  <c r="G341" i="269" s="1"/>
  <c r="AV202" i="318"/>
  <c r="J208" i="269"/>
  <c r="K208" i="269" s="1"/>
  <c r="AV190" i="318"/>
  <c r="J196" i="269" s="1"/>
  <c r="K196" i="269" s="1"/>
  <c r="AN296" i="318"/>
  <c r="AQ296" i="318" s="1"/>
  <c r="AN187" i="318"/>
  <c r="AQ187" i="318" s="1"/>
  <c r="AN298" i="318"/>
  <c r="AQ298" i="318"/>
  <c r="AV227" i="318"/>
  <c r="J233" i="269" s="1"/>
  <c r="K233" i="269" s="1"/>
  <c r="AN300" i="318"/>
  <c r="AQ300" i="318" s="1"/>
  <c r="AN285" i="318"/>
  <c r="AQ285" i="318"/>
  <c r="AV308" i="318"/>
  <c r="J314" i="269" s="1"/>
  <c r="K314" i="269" s="1"/>
  <c r="AN305" i="318"/>
  <c r="AQ305" i="318"/>
  <c r="AN105" i="318"/>
  <c r="AQ105" i="318" s="1"/>
  <c r="AO154" i="318"/>
  <c r="H162" i="269" s="1"/>
  <c r="I162" i="269" s="1"/>
  <c r="AP78" i="318"/>
  <c r="F86" i="269"/>
  <c r="G86" i="269" s="1"/>
  <c r="AN151" i="318"/>
  <c r="AQ151" i="318" s="1"/>
  <c r="CX174" i="312"/>
  <c r="CY174" i="312"/>
  <c r="CD400" i="312"/>
  <c r="CD475" i="312"/>
  <c r="M493" i="269"/>
  <c r="BF469" i="312"/>
  <c r="M483" i="269"/>
  <c r="N483" i="269" s="1"/>
  <c r="BF423" i="312"/>
  <c r="BT423" i="312" s="1"/>
  <c r="CD428" i="312"/>
  <c r="BL383" i="312"/>
  <c r="M400" i="269"/>
  <c r="N400" i="269" s="1"/>
  <c r="BF393" i="312"/>
  <c r="BF386" i="312"/>
  <c r="BT386" i="312" s="1"/>
  <c r="BL361" i="312"/>
  <c r="CD361" i="312"/>
  <c r="BL346" i="312"/>
  <c r="BF383" i="312"/>
  <c r="BT383" i="312" s="1"/>
  <c r="M372" i="269"/>
  <c r="N372" i="269" s="1"/>
  <c r="BF371" i="312"/>
  <c r="BT371" i="312" s="1"/>
  <c r="CD380" i="312"/>
  <c r="BF380" i="312"/>
  <c r="BT380" i="312" s="1"/>
  <c r="CD327" i="312"/>
  <c r="BL327" i="312"/>
  <c r="CD324" i="312"/>
  <c r="BL371" i="312"/>
  <c r="BL377" i="312"/>
  <c r="CD357" i="312"/>
  <c r="BL337" i="312"/>
  <c r="CD274" i="312"/>
  <c r="CD176" i="312"/>
  <c r="BL225" i="312"/>
  <c r="BL310" i="312"/>
  <c r="BL204" i="312"/>
  <c r="BF204" i="312"/>
  <c r="BT204" i="312" s="1"/>
  <c r="BF194" i="312"/>
  <c r="BT194" i="312" s="1"/>
  <c r="CQ177" i="312"/>
  <c r="M289" i="269"/>
  <c r="M218" i="269"/>
  <c r="N218" i="269"/>
  <c r="M186" i="269"/>
  <c r="BL182" i="312"/>
  <c r="BF182" i="312"/>
  <c r="BT182" i="312" s="1"/>
  <c r="CF182" i="312"/>
  <c r="CE182" i="312"/>
  <c r="BL236" i="312"/>
  <c r="CQ194" i="312"/>
  <c r="M203" i="269"/>
  <c r="BF233" i="312"/>
  <c r="BF289" i="312"/>
  <c r="BT289" i="312" s="1"/>
  <c r="CF289" i="312"/>
  <c r="CE289" i="312" s="1"/>
  <c r="BL209" i="312"/>
  <c r="BF198" i="312"/>
  <c r="BT198" i="312" s="1"/>
  <c r="BL198" i="312"/>
  <c r="BL175" i="312"/>
  <c r="BL287" i="312"/>
  <c r="CD287" i="312"/>
  <c r="BL244" i="312"/>
  <c r="M253" i="269"/>
  <c r="N253" i="269"/>
  <c r="CD192" i="312"/>
  <c r="BL192" i="312"/>
  <c r="CD310" i="312"/>
  <c r="BF192" i="312"/>
  <c r="BF213" i="312"/>
  <c r="BT213" i="312" s="1"/>
  <c r="BF202" i="312"/>
  <c r="BT202" i="312" s="1"/>
  <c r="BO202" i="312" s="1"/>
  <c r="BK202" i="312" s="1"/>
  <c r="CF202" i="312"/>
  <c r="CE202" i="312"/>
  <c r="M210" i="269"/>
  <c r="O210" i="269" s="1"/>
  <c r="BL201" i="312"/>
  <c r="CQ201" i="312"/>
  <c r="BF201" i="312"/>
  <c r="CD191" i="312"/>
  <c r="BL191" i="312"/>
  <c r="CD180" i="312"/>
  <c r="BL222" i="312"/>
  <c r="BF222" i="312"/>
  <c r="BT222" i="312" s="1"/>
  <c r="BL297" i="312"/>
  <c r="BF297" i="312"/>
  <c r="BT297" i="312" s="1"/>
  <c r="M275" i="269"/>
  <c r="BF236" i="312"/>
  <c r="BL217" i="312"/>
  <c r="BL250" i="312"/>
  <c r="BF250" i="312"/>
  <c r="BT250" i="312" s="1"/>
  <c r="BO250" i="312" s="1"/>
  <c r="BK250" i="312" s="1"/>
  <c r="BF181" i="312"/>
  <c r="BT181" i="312" s="1"/>
  <c r="BL239" i="312"/>
  <c r="BL284" i="312"/>
  <c r="BF285" i="312"/>
  <c r="BT285" i="312" s="1"/>
  <c r="M239" i="269"/>
  <c r="N239" i="269"/>
  <c r="BL292" i="312"/>
  <c r="CQ196" i="312"/>
  <c r="CQ183" i="312"/>
  <c r="BF206" i="312"/>
  <c r="BT206" i="312" s="1"/>
  <c r="BF264" i="312"/>
  <c r="CD23" i="312"/>
  <c r="BF18" i="312"/>
  <c r="M28" i="269"/>
  <c r="N28" i="269" s="1"/>
  <c r="M117" i="269"/>
  <c r="M17" i="269"/>
  <c r="CD147" i="312"/>
  <c r="CD117" i="312"/>
  <c r="AO483" i="318"/>
  <c r="H485" i="269" s="1"/>
  <c r="I485" i="269" s="1"/>
  <c r="AN479" i="318"/>
  <c r="AN409" i="318"/>
  <c r="AN459" i="318"/>
  <c r="AO459" i="318"/>
  <c r="H461" i="269" s="1"/>
  <c r="I461" i="269" s="1"/>
  <c r="AO468" i="318"/>
  <c r="H470" i="269" s="1"/>
  <c r="I470" i="269" s="1"/>
  <c r="AN407" i="318"/>
  <c r="AN458" i="318"/>
  <c r="AP360" i="318"/>
  <c r="F364" i="269"/>
  <c r="G364" i="269" s="1"/>
  <c r="AN321" i="318"/>
  <c r="AQ321" i="318" s="1"/>
  <c r="AN319" i="318"/>
  <c r="AQ319" i="318"/>
  <c r="AN339" i="318"/>
  <c r="AQ339" i="318" s="1"/>
  <c r="AN267" i="318"/>
  <c r="AQ267" i="318"/>
  <c r="AV221" i="318"/>
  <c r="J227" i="269" s="1"/>
  <c r="K227" i="269" s="1"/>
  <c r="AV241" i="318"/>
  <c r="J247" i="269" s="1"/>
  <c r="K247" i="269" s="1"/>
  <c r="AV213" i="318"/>
  <c r="J219" i="269"/>
  <c r="K219" i="269" s="1"/>
  <c r="AN219" i="318"/>
  <c r="AQ219" i="318" s="1"/>
  <c r="AN271" i="318"/>
  <c r="AQ271" i="318" s="1"/>
  <c r="AV271" i="318"/>
  <c r="J277" i="269"/>
  <c r="K277" i="269" s="1"/>
  <c r="AV208" i="318"/>
  <c r="J214" i="269" s="1"/>
  <c r="K214" i="269" s="1"/>
  <c r="AN208" i="318"/>
  <c r="AQ208" i="318" s="1"/>
  <c r="AN215" i="318"/>
  <c r="AQ215" i="318" s="1"/>
  <c r="AV215" i="318"/>
  <c r="J221" i="269" s="1"/>
  <c r="K221" i="269" s="1"/>
  <c r="AN294" i="318"/>
  <c r="AQ294" i="318"/>
  <c r="AV294" i="318"/>
  <c r="J300" i="269" s="1"/>
  <c r="K300" i="269" s="1"/>
  <c r="AN243" i="318"/>
  <c r="AQ243" i="318" s="1"/>
  <c r="AV243" i="318"/>
  <c r="J249" i="269"/>
  <c r="K249" i="269" s="1"/>
  <c r="AV236" i="318"/>
  <c r="J242" i="269" s="1"/>
  <c r="K242" i="269" s="1"/>
  <c r="AV231" i="318"/>
  <c r="J237" i="269" s="1"/>
  <c r="K237" i="269" s="1"/>
  <c r="AV207" i="318"/>
  <c r="J213" i="269" s="1"/>
  <c r="K213" i="269" s="1"/>
  <c r="AV179" i="318"/>
  <c r="J185" i="269"/>
  <c r="K185" i="269"/>
  <c r="AN196" i="318"/>
  <c r="AQ196" i="318" s="1"/>
  <c r="AV43" i="318"/>
  <c r="J51" i="269"/>
  <c r="K51" i="269" s="1"/>
  <c r="AP83" i="318"/>
  <c r="F91" i="269" s="1"/>
  <c r="G91" i="269" s="1"/>
  <c r="AN167" i="318"/>
  <c r="AQ167" i="318" s="1"/>
  <c r="AQ131" i="318"/>
  <c r="AP131" i="318"/>
  <c r="F139" i="269" s="1"/>
  <c r="G139" i="269" s="1"/>
  <c r="AP126" i="318"/>
  <c r="F134" i="269"/>
  <c r="G134" i="269" s="1"/>
  <c r="F105" i="269"/>
  <c r="G105" i="269" s="1"/>
  <c r="AN82" i="318"/>
  <c r="AQ82" i="318" s="1"/>
  <c r="AP82" i="318"/>
  <c r="F90" i="269"/>
  <c r="G90" i="269" s="1"/>
  <c r="AN164" i="318"/>
  <c r="AQ164" i="318" s="1"/>
  <c r="AO164" i="318"/>
  <c r="H172" i="269" s="1"/>
  <c r="I172" i="269" s="1"/>
  <c r="AP62" i="318"/>
  <c r="F70" i="269"/>
  <c r="G70" i="269" s="1"/>
  <c r="AO160" i="318"/>
  <c r="H168" i="269" s="1"/>
  <c r="I168" i="269" s="1"/>
  <c r="AN123" i="318"/>
  <c r="AQ123" i="318" s="1"/>
  <c r="AP123" i="318"/>
  <c r="F131" i="269" s="1"/>
  <c r="G131" i="269" s="1"/>
  <c r="AP125" i="318"/>
  <c r="F133" i="269" s="1"/>
  <c r="G133" i="269" s="1"/>
  <c r="AN125" i="318"/>
  <c r="AQ125" i="318" s="1"/>
  <c r="AP56" i="318"/>
  <c r="AN56" i="318"/>
  <c r="AQ56" i="318"/>
  <c r="AN172" i="318"/>
  <c r="AQ172" i="318" s="1"/>
  <c r="AN169" i="318"/>
  <c r="AQ169" i="318" s="1"/>
  <c r="AO169" i="318"/>
  <c r="H177" i="269" s="1"/>
  <c r="I177" i="269" s="1"/>
  <c r="AN71" i="318"/>
  <c r="AQ71" i="318" s="1"/>
  <c r="AN68" i="318"/>
  <c r="AQ68" i="318" s="1"/>
  <c r="CF290" i="312"/>
  <c r="CE290" i="312" s="1"/>
  <c r="CF429" i="312"/>
  <c r="CE429" i="312" s="1"/>
  <c r="BO429" i="312"/>
  <c r="P434" i="269"/>
  <c r="Q434" i="269" s="1"/>
  <c r="F64" i="269"/>
  <c r="U34" i="326"/>
  <c r="O127" i="269"/>
  <c r="O126" i="269"/>
  <c r="O475" i="269"/>
  <c r="O318" i="269"/>
  <c r="O464" i="269"/>
  <c r="O286" i="269"/>
  <c r="O185" i="269"/>
  <c r="O119" i="269"/>
  <c r="O433" i="269"/>
  <c r="O284" i="269"/>
  <c r="O174" i="269"/>
  <c r="O94" i="269"/>
  <c r="O430" i="269"/>
  <c r="O268" i="269"/>
  <c r="O92" i="269"/>
  <c r="O172" i="269"/>
  <c r="O253" i="269"/>
  <c r="O171" i="269"/>
  <c r="O412" i="269"/>
  <c r="O169" i="269"/>
  <c r="O77" i="269"/>
  <c r="O251" i="269"/>
  <c r="O167" i="269"/>
  <c r="O46" i="269"/>
  <c r="O384" i="269"/>
  <c r="O247" i="269"/>
  <c r="O159" i="269"/>
  <c r="O44" i="269"/>
  <c r="O380" i="269"/>
  <c r="O240" i="269"/>
  <c r="O368" i="269"/>
  <c r="O239" i="269"/>
  <c r="O142" i="269"/>
  <c r="O39" i="269"/>
  <c r="O365" i="269"/>
  <c r="O238" i="269"/>
  <c r="O141" i="269"/>
  <c r="O496" i="269"/>
  <c r="O351" i="269"/>
  <c r="O218" i="269"/>
  <c r="O139" i="269"/>
  <c r="O495" i="269"/>
  <c r="O337" i="269"/>
  <c r="O134" i="269"/>
  <c r="N478" i="269"/>
  <c r="O478" i="269"/>
  <c r="N463" i="269"/>
  <c r="O463" i="269"/>
  <c r="N401" i="269"/>
  <c r="O401" i="269"/>
  <c r="N362" i="269"/>
  <c r="O362" i="269"/>
  <c r="N314" i="269"/>
  <c r="O314" i="269"/>
  <c r="N304" i="269"/>
  <c r="O304" i="269"/>
  <c r="N182" i="269"/>
  <c r="O182" i="269"/>
  <c r="N160" i="269"/>
  <c r="O160" i="269"/>
  <c r="N155" i="269"/>
  <c r="O155" i="269"/>
  <c r="N150" i="269"/>
  <c r="O150" i="269"/>
  <c r="N112" i="269"/>
  <c r="O112" i="269"/>
  <c r="N85" i="269"/>
  <c r="O85" i="269"/>
  <c r="N70" i="269"/>
  <c r="O70" i="269"/>
  <c r="N38" i="269"/>
  <c r="O38" i="269"/>
  <c r="N481" i="269"/>
  <c r="O481" i="269"/>
  <c r="N432" i="269"/>
  <c r="O432" i="269"/>
  <c r="N417" i="269"/>
  <c r="O417" i="269"/>
  <c r="N287" i="269"/>
  <c r="O287" i="269"/>
  <c r="N266" i="269"/>
  <c r="O266" i="269"/>
  <c r="N256" i="269"/>
  <c r="O256" i="269"/>
  <c r="N236" i="269"/>
  <c r="O236" i="269"/>
  <c r="O382" i="269"/>
  <c r="N480" i="269"/>
  <c r="O480" i="269"/>
  <c r="N345" i="269"/>
  <c r="O345" i="269"/>
  <c r="N300" i="269"/>
  <c r="O300" i="269"/>
  <c r="N267" i="269"/>
  <c r="O267" i="269"/>
  <c r="N229" i="269"/>
  <c r="O229" i="269"/>
  <c r="N63" i="269"/>
  <c r="O63" i="269"/>
  <c r="N60" i="269"/>
  <c r="O60" i="269"/>
  <c r="O465" i="269"/>
  <c r="N301" i="269"/>
  <c r="O301" i="269"/>
  <c r="O328" i="269"/>
  <c r="N490" i="269"/>
  <c r="O490" i="269"/>
  <c r="N444" i="269"/>
  <c r="O444" i="269"/>
  <c r="N408" i="269"/>
  <c r="O408" i="269"/>
  <c r="N447" i="269"/>
  <c r="O447" i="269"/>
  <c r="O471" i="269"/>
  <c r="N156" i="269"/>
  <c r="O156" i="269"/>
  <c r="N62" i="269"/>
  <c r="O62" i="269"/>
  <c r="N222" i="269"/>
  <c r="N91" i="269"/>
  <c r="O91" i="269"/>
  <c r="O376" i="269"/>
  <c r="O285" i="269"/>
  <c r="O282" i="269"/>
  <c r="N493" i="269"/>
  <c r="O493" i="269"/>
  <c r="O30" i="269"/>
  <c r="N457" i="269"/>
  <c r="O457" i="269"/>
  <c r="O187" i="269"/>
  <c r="O497" i="269"/>
  <c r="O342" i="269"/>
  <c r="O277" i="269"/>
  <c r="N411" i="269"/>
  <c r="O411" i="269"/>
  <c r="N297" i="269"/>
  <c r="O297" i="269"/>
  <c r="N231" i="269"/>
  <c r="O231" i="269"/>
  <c r="N223" i="269"/>
  <c r="O223" i="269"/>
  <c r="N394" i="269"/>
  <c r="O394" i="269"/>
  <c r="O295" i="269"/>
  <c r="N59" i="269"/>
  <c r="O59" i="269"/>
  <c r="N220" i="269"/>
  <c r="O215" i="269"/>
  <c r="O207" i="269"/>
  <c r="O206" i="269"/>
  <c r="O426" i="269"/>
  <c r="O272" i="269"/>
  <c r="O199" i="269"/>
  <c r="N353" i="269"/>
  <c r="O353" i="269"/>
  <c r="N312" i="269"/>
  <c r="O312" i="269"/>
  <c r="N397" i="269"/>
  <c r="O397" i="269"/>
  <c r="N264" i="269"/>
  <c r="O264" i="269"/>
  <c r="N143" i="269"/>
  <c r="O143" i="269"/>
  <c r="O474" i="269"/>
  <c r="O317" i="269"/>
  <c r="O249" i="269"/>
  <c r="N459" i="269"/>
  <c r="O459" i="269"/>
  <c r="N456" i="269"/>
  <c r="O456" i="269"/>
  <c r="N344" i="269"/>
  <c r="O344" i="269"/>
  <c r="N343" i="269"/>
  <c r="O343" i="269"/>
  <c r="N234" i="269"/>
  <c r="O234" i="269"/>
  <c r="N128" i="269"/>
  <c r="O128" i="269"/>
  <c r="N93" i="269"/>
  <c r="O93" i="269"/>
  <c r="N78" i="269"/>
  <c r="O78" i="269"/>
  <c r="S502" i="269"/>
  <c r="N76" i="269"/>
  <c r="O76" i="269"/>
  <c r="N58" i="269"/>
  <c r="O58" i="269"/>
  <c r="O379" i="269"/>
  <c r="O462" i="269"/>
  <c r="O441" i="269"/>
  <c r="O363" i="269"/>
  <c r="O279" i="269"/>
  <c r="N448" i="269"/>
  <c r="O448" i="269"/>
  <c r="N398" i="269"/>
  <c r="O398" i="269"/>
  <c r="N395" i="269"/>
  <c r="O395" i="269"/>
  <c r="N299" i="269"/>
  <c r="O299" i="269"/>
  <c r="N271" i="269"/>
  <c r="O271" i="269"/>
  <c r="N137" i="269"/>
  <c r="O137" i="269"/>
  <c r="N102" i="269"/>
  <c r="O102" i="269"/>
  <c r="O331" i="269"/>
  <c r="O89" i="269"/>
  <c r="O57" i="269"/>
  <c r="O491" i="269"/>
  <c r="O350" i="269"/>
  <c r="O184" i="269"/>
  <c r="O152" i="269"/>
  <c r="O109" i="269"/>
  <c r="O74" i="269"/>
  <c r="O270" i="269"/>
  <c r="O108" i="269"/>
  <c r="O72" i="269"/>
  <c r="O111" i="269"/>
  <c r="O445" i="269"/>
  <c r="O176" i="269"/>
  <c r="O144" i="269"/>
  <c r="O106" i="269"/>
  <c r="O303" i="269"/>
  <c r="O154" i="269"/>
  <c r="O104" i="269"/>
  <c r="O64" i="269"/>
  <c r="CY205" i="312"/>
  <c r="CY311" i="312"/>
  <c r="CY216" i="312"/>
  <c r="N434" i="269"/>
  <c r="O434" i="269"/>
  <c r="N422" i="269"/>
  <c r="O422" i="269"/>
  <c r="N346" i="269"/>
  <c r="O346" i="269"/>
  <c r="N315" i="269"/>
  <c r="O315" i="269"/>
  <c r="N211" i="269"/>
  <c r="O211" i="269"/>
  <c r="N202" i="269"/>
  <c r="O202" i="269"/>
  <c r="N145" i="269"/>
  <c r="O145" i="269"/>
  <c r="N140" i="269"/>
  <c r="O140" i="269"/>
  <c r="N125" i="269"/>
  <c r="O125" i="269"/>
  <c r="N107" i="269"/>
  <c r="O107" i="269"/>
  <c r="N75" i="269"/>
  <c r="O75" i="269"/>
  <c r="N36" i="269"/>
  <c r="O36" i="269"/>
  <c r="N492" i="269"/>
  <c r="O492" i="269"/>
  <c r="N486" i="269"/>
  <c r="O486" i="269"/>
  <c r="N425" i="269"/>
  <c r="O425" i="269"/>
  <c r="N410" i="269"/>
  <c r="O410" i="269"/>
  <c r="N333" i="269"/>
  <c r="O333" i="269"/>
  <c r="N298" i="269"/>
  <c r="O298" i="269"/>
  <c r="N237" i="269"/>
  <c r="O237" i="269"/>
  <c r="N201" i="269"/>
  <c r="O201" i="269"/>
  <c r="N407" i="269"/>
  <c r="O407" i="269"/>
  <c r="N378" i="269"/>
  <c r="O378" i="269"/>
  <c r="N361" i="269"/>
  <c r="O361" i="269"/>
  <c r="N180" i="269"/>
  <c r="O180" i="269"/>
  <c r="N148" i="269"/>
  <c r="O148" i="269"/>
  <c r="N115" i="269"/>
  <c r="O115" i="269"/>
  <c r="N32" i="269"/>
  <c r="O32" i="269"/>
  <c r="N470" i="269"/>
  <c r="O470" i="269"/>
  <c r="N458" i="269"/>
  <c r="O458" i="269"/>
  <c r="N393" i="269"/>
  <c r="O393" i="269"/>
  <c r="N265" i="269"/>
  <c r="O265" i="269"/>
  <c r="N33" i="269"/>
  <c r="O33" i="269"/>
  <c r="O449" i="269"/>
  <c r="O158" i="269"/>
  <c r="O400" i="269"/>
  <c r="N391" i="269"/>
  <c r="O391" i="269"/>
  <c r="N203" i="269"/>
  <c r="O203" i="269"/>
  <c r="N437" i="269"/>
  <c r="O437" i="269"/>
  <c r="N366" i="269"/>
  <c r="O366" i="269"/>
  <c r="N219" i="269"/>
  <c r="O219" i="269"/>
  <c r="N177" i="269"/>
  <c r="O177" i="269"/>
  <c r="N80" i="269"/>
  <c r="O80" i="269"/>
  <c r="N489" i="269"/>
  <c r="O489" i="269"/>
  <c r="N440" i="269"/>
  <c r="O440" i="269"/>
  <c r="N428" i="269"/>
  <c r="O428" i="269"/>
  <c r="N334" i="269"/>
  <c r="O334" i="269"/>
  <c r="N280" i="269"/>
  <c r="O280" i="269"/>
  <c r="N209" i="269"/>
  <c r="O209" i="269"/>
  <c r="N95" i="269"/>
  <c r="O95" i="269"/>
  <c r="N446" i="269"/>
  <c r="O446" i="269"/>
  <c r="N347" i="269"/>
  <c r="O347" i="269"/>
  <c r="N293" i="269"/>
  <c r="O293" i="269"/>
  <c r="N250" i="269"/>
  <c r="O250" i="269"/>
  <c r="N34" i="269"/>
  <c r="O34" i="269"/>
  <c r="N476" i="269"/>
  <c r="O476" i="269"/>
  <c r="N467" i="269"/>
  <c r="O467" i="269"/>
  <c r="N455" i="269"/>
  <c r="O455" i="269"/>
  <c r="N396" i="269"/>
  <c r="O396" i="269"/>
  <c r="O369" i="269"/>
  <c r="O288" i="269"/>
  <c r="O255" i="269"/>
  <c r="N210" i="269"/>
  <c r="N214" i="269"/>
  <c r="O214" i="269"/>
  <c r="N276" i="269"/>
  <c r="N117" i="269"/>
  <c r="O117" i="269"/>
  <c r="N153" i="269"/>
  <c r="O153" i="269"/>
  <c r="N355" i="269"/>
  <c r="N413" i="269"/>
  <c r="O413" i="269"/>
  <c r="N332" i="269"/>
  <c r="O332" i="269"/>
  <c r="N205" i="269"/>
  <c r="O205" i="269"/>
  <c r="N120" i="269"/>
  <c r="O120" i="269"/>
  <c r="N65" i="269"/>
  <c r="O65" i="269"/>
  <c r="N498" i="269"/>
  <c r="O498" i="269"/>
  <c r="N390" i="269"/>
  <c r="O390" i="269"/>
  <c r="N348" i="269"/>
  <c r="O348" i="269"/>
  <c r="N313" i="269"/>
  <c r="O313" i="269"/>
  <c r="N308" i="269"/>
  <c r="O308" i="269"/>
  <c r="N245" i="269"/>
  <c r="O245" i="269"/>
  <c r="N232" i="269"/>
  <c r="O232" i="269"/>
  <c r="N105" i="269"/>
  <c r="O105" i="269"/>
  <c r="N88" i="269"/>
  <c r="O88" i="269"/>
  <c r="N73" i="269"/>
  <c r="O73" i="269"/>
  <c r="N473" i="269"/>
  <c r="O473" i="269"/>
  <c r="N260" i="269"/>
  <c r="O260" i="269"/>
  <c r="N163" i="269"/>
  <c r="O163" i="269"/>
  <c r="O321" i="269"/>
  <c r="O29" i="269"/>
  <c r="O28" i="269"/>
  <c r="O27" i="269"/>
  <c r="O26" i="269"/>
  <c r="O24" i="269"/>
  <c r="O23" i="269"/>
  <c r="O377" i="269"/>
  <c r="O216" i="269"/>
  <c r="O485" i="269"/>
  <c r="O469" i="269"/>
  <c r="O421" i="269"/>
  <c r="O405" i="269"/>
  <c r="O389" i="269"/>
  <c r="O373" i="269"/>
  <c r="O325" i="269"/>
  <c r="O292" i="269"/>
  <c r="O244" i="269"/>
  <c r="O228" i="269"/>
  <c r="O196" i="269"/>
  <c r="O164" i="269"/>
  <c r="O116" i="269"/>
  <c r="O84" i="269"/>
  <c r="O52" i="269"/>
  <c r="O20" i="269"/>
  <c r="O461" i="269"/>
  <c r="O349" i="269"/>
  <c r="O235" i="269"/>
  <c r="O136" i="269"/>
  <c r="O472" i="269"/>
  <c r="O360" i="269"/>
  <c r="O71" i="269"/>
  <c r="O311" i="269"/>
  <c r="O246" i="269"/>
  <c r="O118" i="269"/>
  <c r="O454" i="269"/>
  <c r="O438" i="269"/>
  <c r="O406" i="269"/>
  <c r="O374" i="269"/>
  <c r="O358" i="269"/>
  <c r="O326" i="269"/>
  <c r="O261" i="269"/>
  <c r="O181" i="269"/>
  <c r="O149" i="269"/>
  <c r="O133" i="269"/>
  <c r="O101" i="269"/>
  <c r="O69" i="269"/>
  <c r="O21" i="269"/>
  <c r="O500" i="269"/>
  <c r="O484" i="269"/>
  <c r="O468" i="269"/>
  <c r="O452" i="269"/>
  <c r="O436" i="269"/>
  <c r="O420" i="269"/>
  <c r="O404" i="269"/>
  <c r="O388" i="269"/>
  <c r="O372" i="269"/>
  <c r="O356" i="269"/>
  <c r="O340" i="269"/>
  <c r="O324" i="269"/>
  <c r="O307" i="269"/>
  <c r="O259" i="269"/>
  <c r="O243" i="269"/>
  <c r="O227" i="269"/>
  <c r="O147" i="269"/>
  <c r="O131" i="269"/>
  <c r="O67" i="269"/>
  <c r="O19" i="269"/>
  <c r="O138" i="269"/>
  <c r="O442" i="269"/>
  <c r="O217" i="269"/>
  <c r="O168" i="269"/>
  <c r="O183" i="269"/>
  <c r="O151" i="269"/>
  <c r="O55" i="269"/>
  <c r="O327" i="269"/>
  <c r="O166" i="269"/>
  <c r="O54" i="269"/>
  <c r="O53" i="269"/>
  <c r="O499" i="269"/>
  <c r="O483" i="269"/>
  <c r="O451" i="269"/>
  <c r="O435" i="269"/>
  <c r="O419" i="269"/>
  <c r="O387" i="269"/>
  <c r="O371" i="269"/>
  <c r="O339" i="269"/>
  <c r="O306" i="269"/>
  <c r="O274" i="269"/>
  <c r="O258" i="269"/>
  <c r="O226" i="269"/>
  <c r="O194" i="269"/>
  <c r="O178" i="269"/>
  <c r="O162" i="269"/>
  <c r="O146" i="269"/>
  <c r="O114" i="269"/>
  <c r="O98" i="269"/>
  <c r="O66" i="269"/>
  <c r="O50" i="269"/>
  <c r="O18" i="269"/>
  <c r="O123" i="269"/>
  <c r="O427" i="269"/>
  <c r="O409" i="269"/>
  <c r="O200" i="269"/>
  <c r="O488" i="269"/>
  <c r="O424" i="269"/>
  <c r="O263" i="269"/>
  <c r="O230" i="269"/>
  <c r="O310" i="269"/>
  <c r="N310" i="269"/>
  <c r="O466" i="269"/>
  <c r="O450" i="269"/>
  <c r="O418" i="269"/>
  <c r="O402" i="269"/>
  <c r="O386" i="269"/>
  <c r="O370" i="269"/>
  <c r="O354" i="269"/>
  <c r="O338" i="269"/>
  <c r="O305" i="269"/>
  <c r="O241" i="269"/>
  <c r="O225" i="269"/>
  <c r="O193" i="269"/>
  <c r="O161" i="269"/>
  <c r="O113" i="269"/>
  <c r="O97" i="269"/>
  <c r="O81" i="269"/>
  <c r="AD511" i="269"/>
  <c r="AC47" i="322"/>
  <c r="Y47" i="322"/>
  <c r="J47" i="322"/>
  <c r="S47" i="322"/>
  <c r="M35" i="326"/>
  <c r="O47" i="322"/>
  <c r="AF502" i="269"/>
  <c r="F513" i="269"/>
  <c r="Y500" i="318"/>
  <c r="AO425" i="318"/>
  <c r="H427" i="269" s="1"/>
  <c r="I427" i="269" s="1"/>
  <c r="AN487" i="318"/>
  <c r="AO475" i="318"/>
  <c r="H477" i="269"/>
  <c r="I477" i="269" s="1"/>
  <c r="AN490" i="318"/>
  <c r="AN452" i="318"/>
  <c r="AO464" i="318"/>
  <c r="H466" i="269" s="1"/>
  <c r="I466" i="269" s="1"/>
  <c r="Z500" i="318"/>
  <c r="AO478" i="318"/>
  <c r="H480" i="269"/>
  <c r="I480" i="269" s="1"/>
  <c r="AO408" i="318"/>
  <c r="H410" i="269"/>
  <c r="I410" i="269" s="1"/>
  <c r="AO482" i="318"/>
  <c r="H484" i="269"/>
  <c r="I484" i="269" s="1"/>
  <c r="AO434" i="318"/>
  <c r="H436" i="269"/>
  <c r="I436" i="269" s="1"/>
  <c r="AO416" i="318"/>
  <c r="H418" i="269" s="1"/>
  <c r="I418" i="269" s="1"/>
  <c r="AX402" i="318"/>
  <c r="AM316" i="318"/>
  <c r="AN383" i="318"/>
  <c r="AQ383" i="318"/>
  <c r="AN324" i="318"/>
  <c r="AN340" i="318"/>
  <c r="AQ340" i="318" s="1"/>
  <c r="AW316" i="318"/>
  <c r="AP361" i="318"/>
  <c r="F365" i="269" s="1"/>
  <c r="G365" i="269" s="1"/>
  <c r="AX316" i="318"/>
  <c r="AP398" i="318"/>
  <c r="F402" i="269"/>
  <c r="G402" i="269" s="1"/>
  <c r="AN373" i="318"/>
  <c r="AQ373" i="318" s="1"/>
  <c r="AP396" i="318"/>
  <c r="F400" i="269"/>
  <c r="G400" i="269" s="1"/>
  <c r="AN381" i="318"/>
  <c r="AQ381" i="318"/>
  <c r="AP377" i="318"/>
  <c r="F381" i="269" s="1"/>
  <c r="G381" i="269" s="1"/>
  <c r="AN359" i="318"/>
  <c r="AQ359" i="318" s="1"/>
  <c r="AA500" i="318"/>
  <c r="X500" i="318"/>
  <c r="W500" i="318"/>
  <c r="AV312" i="318"/>
  <c r="J318" i="269" s="1"/>
  <c r="K318" i="269" s="1"/>
  <c r="AV277" i="318"/>
  <c r="J283" i="269" s="1"/>
  <c r="K283" i="269" s="1"/>
  <c r="AV314" i="318"/>
  <c r="J320" i="269" s="1"/>
  <c r="K320" i="269" s="1"/>
  <c r="AV254" i="318"/>
  <c r="J260" i="269"/>
  <c r="K260" i="269" s="1"/>
  <c r="AV264" i="318"/>
  <c r="J270" i="269"/>
  <c r="K270" i="269" s="1"/>
  <c r="AN247" i="318"/>
  <c r="AQ247" i="318" s="1"/>
  <c r="AN257" i="318"/>
  <c r="AQ257" i="318" s="1"/>
  <c r="AN276" i="318"/>
  <c r="AQ276" i="318"/>
  <c r="AN310" i="318"/>
  <c r="AQ310" i="318" s="1"/>
  <c r="AV290" i="318"/>
  <c r="J296" i="269" s="1"/>
  <c r="K296" i="269" s="1"/>
  <c r="AV183" i="318"/>
  <c r="J189" i="269" s="1"/>
  <c r="K189" i="269" s="1"/>
  <c r="AN304" i="318"/>
  <c r="AQ304" i="318" s="1"/>
  <c r="AN253" i="318"/>
  <c r="AQ253" i="318" s="1"/>
  <c r="AN184" i="318"/>
  <c r="AQ184" i="318" s="1"/>
  <c r="AV188" i="318"/>
  <c r="J194" i="269"/>
  <c r="K194" i="269" s="1"/>
  <c r="AV283" i="318"/>
  <c r="J289" i="269"/>
  <c r="K289" i="269" s="1"/>
  <c r="AV278" i="318"/>
  <c r="J284" i="269" s="1"/>
  <c r="K284" i="269" s="1"/>
  <c r="AN212" i="318"/>
  <c r="AQ212" i="318" s="1"/>
  <c r="AV178" i="318"/>
  <c r="J184" i="269" s="1"/>
  <c r="K184" i="269" s="1"/>
  <c r="AN238" i="318"/>
  <c r="AQ238" i="318" s="1"/>
  <c r="AV204" i="318"/>
  <c r="J210" i="269" s="1"/>
  <c r="K210" i="269" s="1"/>
  <c r="AV284" i="318"/>
  <c r="J290" i="269" s="1"/>
  <c r="K290" i="269" s="1"/>
  <c r="AN275" i="318"/>
  <c r="AQ275" i="318" s="1"/>
  <c r="AN268" i="318"/>
  <c r="AQ268" i="318" s="1"/>
  <c r="AN248" i="318"/>
  <c r="AQ248" i="318" s="1"/>
  <c r="AN191" i="318"/>
  <c r="AQ191" i="318"/>
  <c r="AO144" i="318"/>
  <c r="H152" i="269" s="1"/>
  <c r="I152" i="269" s="1"/>
  <c r="AP124" i="318"/>
  <c r="F132" i="269" s="1"/>
  <c r="G132" i="269" s="1"/>
  <c r="AN61" i="318"/>
  <c r="AQ61" i="318"/>
  <c r="AO152" i="318"/>
  <c r="H160" i="269" s="1"/>
  <c r="I160" i="269" s="1"/>
  <c r="AP133" i="318"/>
  <c r="F141" i="269" s="1"/>
  <c r="G141" i="269" s="1"/>
  <c r="AO147" i="318"/>
  <c r="H155" i="269"/>
  <c r="I155" i="269" s="1"/>
  <c r="AN135" i="318"/>
  <c r="AQ135" i="318" s="1"/>
  <c r="AP108" i="318"/>
  <c r="F116" i="269" s="1"/>
  <c r="G116" i="269" s="1"/>
  <c r="AO142" i="318"/>
  <c r="H150" i="269" s="1"/>
  <c r="I150" i="269" s="1"/>
  <c r="AN74" i="318"/>
  <c r="AQ74" i="318" s="1"/>
  <c r="AO162" i="318"/>
  <c r="H170" i="269" s="1"/>
  <c r="I170" i="269" s="1"/>
  <c r="AP113" i="318"/>
  <c r="F121" i="269" s="1"/>
  <c r="G121" i="269" s="1"/>
  <c r="AN148" i="318"/>
  <c r="AQ148" i="318" s="1"/>
  <c r="AO137" i="318"/>
  <c r="H145" i="269" s="1"/>
  <c r="I145" i="269" s="1"/>
  <c r="AN128" i="318"/>
  <c r="AQ128" i="318" s="1"/>
  <c r="AN88" i="318"/>
  <c r="AQ88" i="318" s="1"/>
  <c r="AN97" i="318"/>
  <c r="AQ97" i="318"/>
  <c r="AE500" i="318"/>
  <c r="DY176" i="318"/>
  <c r="DW176" i="318" s="1"/>
  <c r="X453" i="269"/>
  <c r="Y453" i="269"/>
  <c r="X259" i="269"/>
  <c r="Y259" i="269" s="1"/>
  <c r="X211" i="269"/>
  <c r="Y211" i="269" s="1"/>
  <c r="BO285" i="312"/>
  <c r="P294" i="269" s="1"/>
  <c r="Q294" i="269" s="1"/>
  <c r="X306" i="269"/>
  <c r="Y306" i="269"/>
  <c r="BO95" i="312"/>
  <c r="BK95" i="312" s="1"/>
  <c r="AM498" i="312"/>
  <c r="AL498" i="312"/>
  <c r="AL499" i="312" s="1"/>
  <c r="CF488" i="312"/>
  <c r="CE488" i="312" s="1"/>
  <c r="BO488" i="312"/>
  <c r="P493" i="269"/>
  <c r="Q493" i="269" s="1"/>
  <c r="BF495" i="312"/>
  <c r="BT495" i="312" s="1"/>
  <c r="BF440" i="312"/>
  <c r="BT440" i="312" s="1"/>
  <c r="BF425" i="312"/>
  <c r="BF402" i="312"/>
  <c r="BT402" i="312" s="1"/>
  <c r="BF473" i="312"/>
  <c r="BT473" i="312" s="1"/>
  <c r="BF476" i="312"/>
  <c r="BT476" i="312" s="1"/>
  <c r="CF476" i="312"/>
  <c r="CE476" i="312" s="1"/>
  <c r="CD488" i="312"/>
  <c r="CF414" i="312"/>
  <c r="CE414" i="312" s="1"/>
  <c r="BF491" i="312"/>
  <c r="BT491" i="312" s="1"/>
  <c r="BF494" i="312"/>
  <c r="BT494" i="312" s="1"/>
  <c r="BO494" i="312" s="1"/>
  <c r="P499" i="269" s="1"/>
  <c r="BF409" i="312"/>
  <c r="BT409" i="312" s="1"/>
  <c r="BF467" i="312"/>
  <c r="BT467" i="312" s="1"/>
  <c r="BF400" i="312"/>
  <c r="BT400" i="312" s="1"/>
  <c r="BF403" i="312"/>
  <c r="BT403" i="312" s="1"/>
  <c r="BF412" i="312"/>
  <c r="BT412" i="312" s="1"/>
  <c r="BF475" i="312"/>
  <c r="BT475" i="312" s="1"/>
  <c r="BF490" i="312"/>
  <c r="BT490" i="312" s="1"/>
  <c r="BO348" i="312"/>
  <c r="BK348" i="312" s="1"/>
  <c r="X355" i="269"/>
  <c r="Y355" i="269" s="1"/>
  <c r="CD396" i="312"/>
  <c r="BF351" i="312"/>
  <c r="BO341" i="312"/>
  <c r="P348" i="269" s="1"/>
  <c r="Q348" i="269" s="1"/>
  <c r="BL351" i="312"/>
  <c r="U498" i="312"/>
  <c r="U499" i="312" s="1"/>
  <c r="M392" i="269"/>
  <c r="CF348" i="312"/>
  <c r="CE348" i="312" s="1"/>
  <c r="M359" i="269"/>
  <c r="CD373" i="312"/>
  <c r="BF352" i="312"/>
  <c r="BT352" i="312" s="1"/>
  <c r="X359" i="269" s="1"/>
  <c r="Y359" i="269" s="1"/>
  <c r="CD344" i="312"/>
  <c r="BL335" i="312"/>
  <c r="CD329" i="312"/>
  <c r="BF381" i="312"/>
  <c r="BL338" i="312"/>
  <c r="CD315" i="312"/>
  <c r="BL370" i="312"/>
  <c r="BF339" i="312"/>
  <c r="BT339" i="312" s="1"/>
  <c r="BF382" i="312"/>
  <c r="BT382" i="312" s="1"/>
  <c r="BF334" i="312"/>
  <c r="BT334" i="312" s="1"/>
  <c r="CD350" i="312"/>
  <c r="BL381" i="312"/>
  <c r="BF350" i="312"/>
  <c r="BT350" i="312" s="1"/>
  <c r="BL378" i="312"/>
  <c r="BL341" i="312"/>
  <c r="CD337" i="312"/>
  <c r="CF261" i="312"/>
  <c r="CE261" i="312" s="1"/>
  <c r="CF266" i="312"/>
  <c r="CE266" i="312" s="1"/>
  <c r="CF311" i="312"/>
  <c r="CE311" i="312" s="1"/>
  <c r="BL247" i="312"/>
  <c r="M269" i="269"/>
  <c r="BL301" i="312"/>
  <c r="BL229" i="312"/>
  <c r="BL218" i="312"/>
  <c r="V498" i="312"/>
  <c r="V499" i="312" s="1"/>
  <c r="BL242" i="312"/>
  <c r="BF218" i="312"/>
  <c r="BT218" i="312" s="1"/>
  <c r="BL273" i="312"/>
  <c r="BL255" i="312"/>
  <c r="CQ187" i="312"/>
  <c r="BL224" i="312"/>
  <c r="CD237" i="312"/>
  <c r="CD217" i="312"/>
  <c r="BF258" i="312"/>
  <c r="BT258" i="312" s="1"/>
  <c r="CD246" i="312"/>
  <c r="CD201" i="312"/>
  <c r="CD198" i="312"/>
  <c r="CD195" i="312"/>
  <c r="BF180" i="312"/>
  <c r="BT180" i="312" s="1"/>
  <c r="AI498" i="312"/>
  <c r="AI499" i="312" s="1"/>
  <c r="BO244" i="312"/>
  <c r="BK244" i="312" s="1"/>
  <c r="CF297" i="312"/>
  <c r="CE297" i="312"/>
  <c r="BL237" i="312"/>
  <c r="BF284" i="312"/>
  <c r="BF271" i="312"/>
  <c r="BT271" i="312" s="1"/>
  <c r="BF225" i="312"/>
  <c r="BT225" i="312" s="1"/>
  <c r="BO225" i="312" s="1"/>
  <c r="CD206" i="312"/>
  <c r="AH498" i="312"/>
  <c r="AH499" i="312" s="1"/>
  <c r="CD293" i="312"/>
  <c r="CD242" i="312"/>
  <c r="CQ216" i="312"/>
  <c r="BL266" i="312"/>
  <c r="M195" i="269"/>
  <c r="BF247" i="312"/>
  <c r="BT247" i="312" s="1"/>
  <c r="BF220" i="312"/>
  <c r="BT220" i="312" s="1"/>
  <c r="BL213" i="312"/>
  <c r="BL219" i="312"/>
  <c r="BF238" i="312"/>
  <c r="BT238" i="312" s="1"/>
  <c r="CD247" i="312"/>
  <c r="CQ217" i="312"/>
  <c r="X294" i="269"/>
  <c r="Y294" i="269" s="1"/>
  <c r="BF279" i="312"/>
  <c r="BT279" i="312" s="1"/>
  <c r="X288" i="269" s="1"/>
  <c r="Y288" i="269" s="1"/>
  <c r="BF255" i="312"/>
  <c r="BT255" i="312" s="1"/>
  <c r="BF246" i="312"/>
  <c r="BT246" i="312" s="1"/>
  <c r="CD224" i="312"/>
  <c r="CD184" i="312"/>
  <c r="N498" i="312"/>
  <c r="N499" i="312"/>
  <c r="BL279" i="312"/>
  <c r="BL232" i="312"/>
  <c r="BO289" i="312"/>
  <c r="CD261" i="312"/>
  <c r="CQ175" i="312"/>
  <c r="CD250" i="312"/>
  <c r="CQ178" i="312"/>
  <c r="M498" i="312"/>
  <c r="M499" i="312" s="1"/>
  <c r="BF232" i="312"/>
  <c r="M273" i="269"/>
  <c r="BF310" i="312"/>
  <c r="BT310" i="312" s="1"/>
  <c r="CD279" i="312"/>
  <c r="CD188" i="312"/>
  <c r="CD187" i="312"/>
  <c r="CD178" i="312"/>
  <c r="BO297" i="312"/>
  <c r="P306" i="269"/>
  <c r="Q306" i="269" s="1"/>
  <c r="BL261" i="312"/>
  <c r="M191" i="269"/>
  <c r="CD291" i="312"/>
  <c r="CD268" i="312"/>
  <c r="BL231" i="312"/>
  <c r="CD227" i="312"/>
  <c r="CD218" i="312"/>
  <c r="CD186" i="312"/>
  <c r="CD177" i="312"/>
  <c r="BL235" i="312"/>
  <c r="BF257" i="312"/>
  <c r="BT257" i="312" s="1"/>
  <c r="BL311" i="312"/>
  <c r="BL257" i="312"/>
  <c r="CD255" i="312"/>
  <c r="CQ206" i="312"/>
  <c r="CQ176" i="312"/>
  <c r="CD258" i="312"/>
  <c r="CD235" i="312"/>
  <c r="CQ211" i="312"/>
  <c r="CD181" i="312"/>
  <c r="BL75" i="312"/>
  <c r="BF72" i="312"/>
  <c r="BT72" i="312" s="1"/>
  <c r="M49" i="269"/>
  <c r="S498" i="312"/>
  <c r="S499" i="312" s="1"/>
  <c r="BF146" i="312"/>
  <c r="BT146" i="312" s="1"/>
  <c r="BO146" i="312" s="1"/>
  <c r="BK146" i="312" s="1"/>
  <c r="BF141" i="312"/>
  <c r="BT141" i="312" s="1"/>
  <c r="BL83" i="312"/>
  <c r="BF57" i="312"/>
  <c r="BT57" i="312" s="1"/>
  <c r="BF35" i="312"/>
  <c r="BF13" i="312"/>
  <c r="BT13" i="312" s="1"/>
  <c r="BL9" i="312"/>
  <c r="R498" i="312"/>
  <c r="R499" i="312" s="1"/>
  <c r="BF29" i="312"/>
  <c r="BT29" i="312" s="1"/>
  <c r="BO29" i="312" s="1"/>
  <c r="BL169" i="312"/>
  <c r="BL154" i="312"/>
  <c r="BF117" i="312"/>
  <c r="BT117" i="312" s="1"/>
  <c r="BO117" i="312" s="1"/>
  <c r="BK117" i="312" s="1"/>
  <c r="AC498" i="312"/>
  <c r="AC499" i="312" s="1"/>
  <c r="CD130" i="312"/>
  <c r="CD143" i="312"/>
  <c r="CD138" i="312"/>
  <c r="CQ30" i="312"/>
  <c r="BL162" i="312"/>
  <c r="CD153" i="312"/>
  <c r="CD133" i="312"/>
  <c r="BL74" i="312"/>
  <c r="CQ45" i="312"/>
  <c r="Y498" i="312"/>
  <c r="Y499" i="312" s="1"/>
  <c r="I498" i="312"/>
  <c r="I499" i="312"/>
  <c r="CD158" i="312"/>
  <c r="BL87" i="312"/>
  <c r="CQ47" i="312"/>
  <c r="CF37" i="312"/>
  <c r="CE37" i="312" s="1"/>
  <c r="BO37" i="312"/>
  <c r="P47" i="269" s="1"/>
  <c r="Q47" i="269" s="1"/>
  <c r="BF11" i="312"/>
  <c r="BL65" i="312"/>
  <c r="BF170" i="312"/>
  <c r="BT170" i="312" s="1"/>
  <c r="CF170" i="312"/>
  <c r="CE170" i="312"/>
  <c r="BL12" i="312"/>
  <c r="BL38" i="312"/>
  <c r="CQ11" i="312"/>
  <c r="CD57" i="312"/>
  <c r="BF36" i="312"/>
  <c r="BT36" i="312" s="1"/>
  <c r="CD17" i="312"/>
  <c r="M22" i="269"/>
  <c r="CQ40" i="312"/>
  <c r="BF45" i="312"/>
  <c r="BT45" i="312" s="1"/>
  <c r="CD24" i="312"/>
  <c r="M47" i="269"/>
  <c r="BL71" i="312"/>
  <c r="BL61" i="312"/>
  <c r="BL58" i="312"/>
  <c r="BL27" i="312"/>
  <c r="CD21" i="312"/>
  <c r="BF162" i="312"/>
  <c r="BT162" i="312" s="1"/>
  <c r="BL133" i="312"/>
  <c r="CQ14" i="312"/>
  <c r="CQ10" i="312"/>
  <c r="CD38" i="312"/>
  <c r="CD37" i="312"/>
  <c r="CQ36" i="312"/>
  <c r="CQ9" i="312"/>
  <c r="BL118" i="312"/>
  <c r="CD43" i="312"/>
  <c r="CQ34" i="312"/>
  <c r="BL37" i="312"/>
  <c r="BL166" i="312"/>
  <c r="CD162" i="312"/>
  <c r="CD44" i="312"/>
  <c r="CD39" i="312"/>
  <c r="CD31" i="312"/>
  <c r="CD16" i="312"/>
  <c r="CD157" i="312"/>
  <c r="BF123" i="312"/>
  <c r="BT123" i="312" s="1"/>
  <c r="CD30" i="312"/>
  <c r="BF10" i="312"/>
  <c r="BT10" i="312" s="1"/>
  <c r="X20" i="269" s="1"/>
  <c r="BL144" i="312"/>
  <c r="BF139" i="312"/>
  <c r="BT139" i="312" s="1"/>
  <c r="BF126" i="312"/>
  <c r="BT126" i="312" s="1"/>
  <c r="CD112" i="312"/>
  <c r="BL59" i="312"/>
  <c r="L498" i="312"/>
  <c r="L499" i="312"/>
  <c r="AA498" i="312"/>
  <c r="AA499" i="312"/>
  <c r="K498" i="312"/>
  <c r="CD54" i="312"/>
  <c r="BL45" i="312"/>
  <c r="CF54" i="312"/>
  <c r="CE54" i="312" s="1"/>
  <c r="CF146" i="312"/>
  <c r="CE146" i="312" s="1"/>
  <c r="BL136" i="312"/>
  <c r="BL110" i="312"/>
  <c r="BF82" i="312"/>
  <c r="BF118" i="312"/>
  <c r="BT118" i="312" s="1"/>
  <c r="BF136" i="312"/>
  <c r="BT136" i="312" s="1"/>
  <c r="BO136" i="312" s="1"/>
  <c r="BK136" i="312" s="1"/>
  <c r="BF64" i="312"/>
  <c r="BT64" i="312" s="1"/>
  <c r="BO64" i="312"/>
  <c r="CD71" i="312"/>
  <c r="BF53" i="312"/>
  <c r="BF51" i="312"/>
  <c r="BT51" i="312" s="1"/>
  <c r="BL25" i="312"/>
  <c r="BF90" i="312"/>
  <c r="BT90" i="312" s="1"/>
  <c r="BF71" i="312"/>
  <c r="P105" i="269"/>
  <c r="Q105" i="269" s="1"/>
  <c r="BF88" i="312"/>
  <c r="BL170" i="312"/>
  <c r="BL153" i="312"/>
  <c r="BL36" i="312"/>
  <c r="CQ23" i="312"/>
  <c r="CD170" i="312"/>
  <c r="BL23" i="312"/>
  <c r="M56" i="269"/>
  <c r="BF83" i="312"/>
  <c r="BF160" i="312"/>
  <c r="BT160" i="312" s="1"/>
  <c r="CF160" i="312"/>
  <c r="CE160" i="312" s="1"/>
  <c r="BF23" i="312"/>
  <c r="BT23" i="312" s="1"/>
  <c r="CD144" i="312"/>
  <c r="CD172" i="312"/>
  <c r="BL39" i="312"/>
  <c r="BL11" i="312"/>
  <c r="CD139" i="312"/>
  <c r="BF147" i="312"/>
  <c r="BT147" i="312" s="1"/>
  <c r="BL159" i="312"/>
  <c r="BF16" i="312"/>
  <c r="BT16" i="312" s="1"/>
  <c r="BL66" i="312"/>
  <c r="BF166" i="312"/>
  <c r="BT166" i="312" s="1"/>
  <c r="CF166" i="312"/>
  <c r="CE166" i="312" s="1"/>
  <c r="BL35" i="312"/>
  <c r="CQ18" i="312"/>
  <c r="BF169" i="312"/>
  <c r="BT169" i="312" s="1"/>
  <c r="BF52" i="312"/>
  <c r="BT52" i="312" s="1"/>
  <c r="CF95" i="312"/>
  <c r="CE95" i="312"/>
  <c r="BL115" i="312"/>
  <c r="BL134" i="312"/>
  <c r="BF121" i="312"/>
  <c r="BT121" i="312" s="1"/>
  <c r="CD156" i="312"/>
  <c r="BL21" i="312"/>
  <c r="BF173" i="312"/>
  <c r="BT173" i="312" s="1"/>
  <c r="CF173" i="312"/>
  <c r="CE173" i="312"/>
  <c r="CD128" i="312"/>
  <c r="BF21" i="312"/>
  <c r="BT21" i="312" s="1"/>
  <c r="CQ173" i="312"/>
  <c r="BF114" i="312"/>
  <c r="BL44" i="312"/>
  <c r="CD166" i="312"/>
  <c r="BL139" i="312"/>
  <c r="CD141" i="312"/>
  <c r="BL127" i="312"/>
  <c r="BF109" i="312"/>
  <c r="BF96" i="312"/>
  <c r="BT96" i="312" s="1"/>
  <c r="CD92" i="312"/>
  <c r="BO57" i="312"/>
  <c r="M86" i="269"/>
  <c r="CD159" i="312"/>
  <c r="CD126" i="312"/>
  <c r="CD100" i="312"/>
  <c r="CD19" i="312"/>
  <c r="CF141" i="312"/>
  <c r="CE141" i="312"/>
  <c r="CF72" i="312"/>
  <c r="CE72" i="312" s="1"/>
  <c r="BL50" i="312"/>
  <c r="CQ25" i="312"/>
  <c r="M35" i="269"/>
  <c r="BL106" i="312"/>
  <c r="BF67" i="312"/>
  <c r="BT67" i="312" s="1"/>
  <c r="BL67" i="312"/>
  <c r="CD67" i="312"/>
  <c r="BL56" i="312"/>
  <c r="BF132" i="312"/>
  <c r="BT132" i="312" s="1"/>
  <c r="BO132" i="312"/>
  <c r="BK132" i="312" s="1"/>
  <c r="BF103" i="312"/>
  <c r="BT103" i="312" s="1"/>
  <c r="BL103" i="312"/>
  <c r="BF50" i="312"/>
  <c r="BT50" i="312" s="1"/>
  <c r="BF137" i="312"/>
  <c r="CD72" i="312"/>
  <c r="BL72" i="312"/>
  <c r="X39" i="269"/>
  <c r="Y39" i="269" s="1"/>
  <c r="BF70" i="312"/>
  <c r="BT70" i="312" s="1"/>
  <c r="BF59" i="312"/>
  <c r="BT59" i="312" s="1"/>
  <c r="BF119" i="312"/>
  <c r="BT119" i="312" s="1"/>
  <c r="M129" i="269"/>
  <c r="O129" i="269" s="1"/>
  <c r="BF56" i="312"/>
  <c r="BT56" i="312" s="1"/>
  <c r="BL160" i="312"/>
  <c r="M170" i="269"/>
  <c r="BF124" i="312"/>
  <c r="BT124" i="312" s="1"/>
  <c r="BL119" i="312"/>
  <c r="CD119" i="312"/>
  <c r="BF98" i="312"/>
  <c r="BT98" i="312" s="1"/>
  <c r="CQ50" i="312"/>
  <c r="BL24" i="312"/>
  <c r="BL96" i="312"/>
  <c r="BL143" i="312"/>
  <c r="BF143" i="312"/>
  <c r="BL122" i="312"/>
  <c r="BF25" i="312"/>
  <c r="CD96" i="312"/>
  <c r="BL121" i="312"/>
  <c r="BF133" i="312"/>
  <c r="BT133" i="312" s="1"/>
  <c r="BF22" i="312"/>
  <c r="BL53" i="312"/>
  <c r="BF94" i="312"/>
  <c r="BT94" i="312" s="1"/>
  <c r="BF153" i="312"/>
  <c r="BL14" i="312"/>
  <c r="BL142" i="312"/>
  <c r="BL22" i="312"/>
  <c r="BF76" i="312"/>
  <c r="BT76" i="312" s="1"/>
  <c r="BF55" i="312"/>
  <c r="CD51" i="312"/>
  <c r="BF31" i="312"/>
  <c r="BT31" i="312" s="1"/>
  <c r="BL13" i="312"/>
  <c r="BL10" i="312"/>
  <c r="BF9" i="312"/>
  <c r="BT9" i="312" s="1"/>
  <c r="CD9" i="312"/>
  <c r="BF158" i="312"/>
  <c r="BT158" i="312" s="1"/>
  <c r="AJ498" i="312"/>
  <c r="AJ499" i="312" s="1"/>
  <c r="BL158" i="312"/>
  <c r="BF107" i="312"/>
  <c r="BT107" i="312" s="1"/>
  <c r="BL107" i="312"/>
  <c r="BF134" i="312"/>
  <c r="CD134" i="312"/>
  <c r="BL172" i="312"/>
  <c r="CD25" i="312"/>
  <c r="BF24" i="312"/>
  <c r="BT24" i="312" s="1"/>
  <c r="BF47" i="312"/>
  <c r="BT47" i="312" s="1"/>
  <c r="M45" i="269"/>
  <c r="N45" i="269" s="1"/>
  <c r="CQ35" i="312"/>
  <c r="CQ24" i="312"/>
  <c r="BF106" i="312"/>
  <c r="BT106" i="312" s="1"/>
  <c r="BF140" i="312"/>
  <c r="BL64" i="312"/>
  <c r="M61" i="269"/>
  <c r="CD74" i="312"/>
  <c r="BF74" i="312"/>
  <c r="CD29" i="312"/>
  <c r="BL29" i="312"/>
  <c r="CD56" i="312"/>
  <c r="X156" i="269"/>
  <c r="Y156" i="269" s="1"/>
  <c r="BL145" i="312"/>
  <c r="CD135" i="312"/>
  <c r="BL135" i="312"/>
  <c r="BF127" i="312"/>
  <c r="BT127" i="312" s="1"/>
  <c r="CD86" i="312"/>
  <c r="BL86" i="312"/>
  <c r="BL117" i="312"/>
  <c r="BL137" i="312"/>
  <c r="BF142" i="312"/>
  <c r="BT142" i="312" s="1"/>
  <c r="BL163" i="312"/>
  <c r="CD163" i="312"/>
  <c r="BF163" i="312"/>
  <c r="BT163" i="312" s="1"/>
  <c r="BF148" i="312"/>
  <c r="BT148" i="312" s="1"/>
  <c r="CD148" i="312"/>
  <c r="BL148" i="312"/>
  <c r="BF104" i="312"/>
  <c r="BT104" i="312" s="1"/>
  <c r="M83" i="269"/>
  <c r="BF73" i="312"/>
  <c r="BT73" i="312" s="1"/>
  <c r="BL130" i="312"/>
  <c r="BF130" i="312"/>
  <c r="BT130" i="312" s="1"/>
  <c r="BL94" i="312"/>
  <c r="CF12" i="312"/>
  <c r="CE12" i="312" s="1"/>
  <c r="CD107" i="312"/>
  <c r="BF145" i="312"/>
  <c r="BL141" i="312"/>
  <c r="CD83" i="312"/>
  <c r="BL69" i="312"/>
  <c r="BF69" i="312"/>
  <c r="CQ29" i="312"/>
  <c r="CQ28" i="312"/>
  <c r="CD8" i="312"/>
  <c r="BL8" i="312"/>
  <c r="BF8" i="312"/>
  <c r="BT8" i="312" s="1"/>
  <c r="CQ48" i="312"/>
  <c r="CD145" i="312"/>
  <c r="CD129" i="312"/>
  <c r="CD103" i="312"/>
  <c r="BF65" i="312"/>
  <c r="BT65" i="312" s="1"/>
  <c r="CD13" i="312"/>
  <c r="BL79" i="312"/>
  <c r="CD69" i="312"/>
  <c r="CQ44" i="312"/>
  <c r="BF172" i="312"/>
  <c r="BT172" i="312" s="1"/>
  <c r="CD132" i="312"/>
  <c r="CD111" i="312"/>
  <c r="CD109" i="312"/>
  <c r="CD106" i="312"/>
  <c r="BF105" i="312"/>
  <c r="CD61" i="312"/>
  <c r="CD53" i="312"/>
  <c r="CD52" i="312"/>
  <c r="BL156" i="312"/>
  <c r="BL146" i="312"/>
  <c r="CD98" i="312"/>
  <c r="CQ49" i="312"/>
  <c r="CD36" i="312"/>
  <c r="AD498" i="312"/>
  <c r="AD499" i="312"/>
  <c r="CD82" i="312"/>
  <c r="CD11" i="312"/>
  <c r="CQ8" i="312"/>
  <c r="CD124" i="312"/>
  <c r="CD55" i="312"/>
  <c r="CQ52" i="312"/>
  <c r="BL19" i="312"/>
  <c r="BF144" i="312"/>
  <c r="CD80" i="312"/>
  <c r="CD58" i="312"/>
  <c r="CQ20" i="312"/>
  <c r="BF19" i="312"/>
  <c r="BT19" i="312" s="1"/>
  <c r="BO19" i="312" s="1"/>
  <c r="P29" i="269" s="1"/>
  <c r="Q29" i="269" s="1"/>
  <c r="CD127" i="312"/>
  <c r="CD114" i="312"/>
  <c r="CD64" i="312"/>
  <c r="AT498" i="312"/>
  <c r="BO190" i="312"/>
  <c r="Y199" i="269"/>
  <c r="X287" i="269"/>
  <c r="Y287" i="269" s="1"/>
  <c r="BO278" i="312"/>
  <c r="BK278" i="312" s="1"/>
  <c r="X142" i="269"/>
  <c r="Y142" i="269" s="1"/>
  <c r="X373" i="269"/>
  <c r="Y373" i="269" s="1"/>
  <c r="CF366" i="312"/>
  <c r="CE366" i="312" s="1"/>
  <c r="CF119" i="312"/>
  <c r="CE119" i="312" s="1"/>
  <c r="CF269" i="312"/>
  <c r="CE269" i="312"/>
  <c r="CF47" i="312"/>
  <c r="CE47" i="312" s="1"/>
  <c r="CF231" i="312"/>
  <c r="CE231" i="312" s="1"/>
  <c r="CF223" i="312"/>
  <c r="CE223" i="312" s="1"/>
  <c r="CD14" i="312"/>
  <c r="BF489" i="312"/>
  <c r="BT489" i="312" s="1"/>
  <c r="CD489" i="312"/>
  <c r="CD447" i="312"/>
  <c r="BF447" i="312"/>
  <c r="BT447" i="312" s="1"/>
  <c r="BG498" i="312"/>
  <c r="CD251" i="312"/>
  <c r="BL251" i="312"/>
  <c r="X275" i="269"/>
  <c r="Y275" i="269"/>
  <c r="BO266" i="312"/>
  <c r="CF278" i="312"/>
  <c r="CE278" i="312"/>
  <c r="CD362" i="312"/>
  <c r="BL362" i="312"/>
  <c r="M130" i="269"/>
  <c r="BL120" i="312"/>
  <c r="BF120" i="312"/>
  <c r="M122" i="269"/>
  <c r="BF112" i="312"/>
  <c r="BT112" i="312" s="1"/>
  <c r="BL48" i="312"/>
  <c r="BF48" i="312"/>
  <c r="CD443" i="312"/>
  <c r="BF443" i="312"/>
  <c r="BT443" i="312" s="1"/>
  <c r="BV497" i="312"/>
  <c r="BX497" i="312"/>
  <c r="BL254" i="312"/>
  <c r="BF254" i="312"/>
  <c r="BT254" i="312" s="1"/>
  <c r="BL161" i="312"/>
  <c r="BF161" i="312"/>
  <c r="CY48" i="312"/>
  <c r="CF123" i="312"/>
  <c r="CE123" i="312" s="1"/>
  <c r="CF99" i="312"/>
  <c r="CE99" i="312" s="1"/>
  <c r="CF358" i="312"/>
  <c r="CE358" i="312" s="1"/>
  <c r="CD262" i="312"/>
  <c r="BL262" i="312"/>
  <c r="CD151" i="312"/>
  <c r="BF151" i="312"/>
  <c r="BT151" i="312" s="1"/>
  <c r="BL151" i="312"/>
  <c r="CY47" i="312"/>
  <c r="CD47" i="312"/>
  <c r="BL47" i="312"/>
  <c r="BF362" i="312"/>
  <c r="BF81" i="312"/>
  <c r="BT81" i="312" s="1"/>
  <c r="CF347" i="312"/>
  <c r="CE347" i="312" s="1"/>
  <c r="BF164" i="312"/>
  <c r="BL293" i="312"/>
  <c r="M302" i="269"/>
  <c r="CD164" i="312"/>
  <c r="BL164" i="312"/>
  <c r="BF128" i="312"/>
  <c r="BT128" i="312" s="1"/>
  <c r="BL102" i="312"/>
  <c r="BF102" i="312"/>
  <c r="BF46" i="312"/>
  <c r="BT46" i="312" s="1"/>
  <c r="CD46" i="312"/>
  <c r="BL46" i="312"/>
  <c r="BL43" i="312"/>
  <c r="BF43" i="312"/>
  <c r="BT43" i="312" s="1"/>
  <c r="BF110" i="312"/>
  <c r="BT110" i="312" s="1"/>
  <c r="BF92" i="312"/>
  <c r="BL92" i="312"/>
  <c r="CD68" i="312"/>
  <c r="BF68" i="312"/>
  <c r="BT68" i="312" s="1"/>
  <c r="BL54" i="312"/>
  <c r="BF42" i="312"/>
  <c r="BT42" i="312" s="1"/>
  <c r="BL42" i="312"/>
  <c r="X243" i="269"/>
  <c r="Y243" i="269" s="1"/>
  <c r="CF234" i="312"/>
  <c r="CE234" i="312" s="1"/>
  <c r="CQ188" i="312"/>
  <c r="BL188" i="312"/>
  <c r="BF188" i="312"/>
  <c r="BT188" i="312" s="1"/>
  <c r="CD149" i="312"/>
  <c r="BL149" i="312"/>
  <c r="BF149" i="312"/>
  <c r="BL123" i="312"/>
  <c r="CD123" i="312"/>
  <c r="BL97" i="312"/>
  <c r="BF97" i="312"/>
  <c r="CF219" i="312"/>
  <c r="CE219" i="312" s="1"/>
  <c r="CD296" i="312"/>
  <c r="BF296" i="312"/>
  <c r="BT296" i="312" s="1"/>
  <c r="BL296" i="312"/>
  <c r="BL105" i="312"/>
  <c r="BK304" i="312"/>
  <c r="P313" i="269"/>
  <c r="Q313" i="269" s="1"/>
  <c r="CF190" i="312"/>
  <c r="CE190" i="312" s="1"/>
  <c r="BF441" i="312"/>
  <c r="BT441" i="312" s="1"/>
  <c r="BF335" i="312"/>
  <c r="BT335" i="312" s="1"/>
  <c r="CF247" i="312"/>
  <c r="CE247" i="312" s="1"/>
  <c r="BF157" i="312"/>
  <c r="BT157" i="312" s="1"/>
  <c r="BL157" i="312"/>
  <c r="BL113" i="312"/>
  <c r="BF113" i="312"/>
  <c r="BT113" i="312" s="1"/>
  <c r="BL108" i="312"/>
  <c r="BF108" i="312"/>
  <c r="BT108" i="312" s="1"/>
  <c r="BK285" i="312"/>
  <c r="CD444" i="312"/>
  <c r="BF444" i="312"/>
  <c r="BT444" i="312" s="1"/>
  <c r="M316" i="269"/>
  <c r="BF307" i="312"/>
  <c r="BL307" i="312"/>
  <c r="CF3" i="312"/>
  <c r="CB174" i="312"/>
  <c r="CB498" i="312" s="1"/>
  <c r="X97" i="269"/>
  <c r="Y97" i="269" s="1"/>
  <c r="BO87" i="312"/>
  <c r="CY50" i="312"/>
  <c r="BL26" i="312"/>
  <c r="BF26" i="312"/>
  <c r="BT26" i="312" s="1"/>
  <c r="CP13" i="312"/>
  <c r="CQ13" i="312"/>
  <c r="CL498" i="312"/>
  <c r="M99" i="269"/>
  <c r="BL89" i="312"/>
  <c r="BF89" i="312"/>
  <c r="BT89" i="312" s="1"/>
  <c r="BL81" i="312"/>
  <c r="BF79" i="312"/>
  <c r="BT79" i="312" s="1"/>
  <c r="BF131" i="312"/>
  <c r="BL131" i="312"/>
  <c r="CF409" i="312"/>
  <c r="CE409" i="312" s="1"/>
  <c r="CF44" i="312"/>
  <c r="CE44" i="312"/>
  <c r="M110" i="269"/>
  <c r="BL100" i="312"/>
  <c r="BF100" i="312"/>
  <c r="BT100" i="312" s="1"/>
  <c r="BO100" i="312"/>
  <c r="P110" i="269" s="1"/>
  <c r="BL68" i="312"/>
  <c r="BF251" i="312"/>
  <c r="BT251" i="312" s="1"/>
  <c r="BF265" i="312"/>
  <c r="BT265" i="312" s="1"/>
  <c r="CF481" i="312"/>
  <c r="CE481" i="312"/>
  <c r="M367" i="269"/>
  <c r="BF360" i="312"/>
  <c r="BT360" i="312" s="1"/>
  <c r="BL360" i="312"/>
  <c r="M352" i="269"/>
  <c r="N352" i="269" s="1"/>
  <c r="BL345" i="312"/>
  <c r="BF345" i="312"/>
  <c r="BT345" i="312" s="1"/>
  <c r="CF345" i="312"/>
  <c r="CE345" i="312" s="1"/>
  <c r="M323" i="269"/>
  <c r="O323" i="269" s="1"/>
  <c r="BC399" i="312"/>
  <c r="CD299" i="312"/>
  <c r="BL299" i="312"/>
  <c r="BF299" i="312"/>
  <c r="BT299" i="312" s="1"/>
  <c r="BF185" i="312"/>
  <c r="BT185" i="312" s="1"/>
  <c r="BL185" i="312"/>
  <c r="CD185" i="312"/>
  <c r="CQ184" i="312"/>
  <c r="BL184" i="312"/>
  <c r="BL173" i="312"/>
  <c r="CD173" i="312"/>
  <c r="CD161" i="312"/>
  <c r="BF356" i="312"/>
  <c r="CD356" i="312"/>
  <c r="BL356" i="312"/>
  <c r="BO147" i="312"/>
  <c r="X157" i="269"/>
  <c r="Y157" i="269" s="1"/>
  <c r="CD492" i="312"/>
  <c r="BF492" i="312"/>
  <c r="BT492" i="312" s="1"/>
  <c r="CD486" i="312"/>
  <c r="BF486" i="312"/>
  <c r="BF14" i="312"/>
  <c r="BT14" i="312" s="1"/>
  <c r="X64" i="269"/>
  <c r="Y64" i="269"/>
  <c r="BO54" i="312"/>
  <c r="CD483" i="312"/>
  <c r="BF483" i="312"/>
  <c r="BT483" i="312" s="1"/>
  <c r="CF483" i="312"/>
  <c r="CE483" i="312" s="1"/>
  <c r="BL49" i="312"/>
  <c r="CD49" i="312"/>
  <c r="BF49" i="312"/>
  <c r="BT49" i="312" s="1"/>
  <c r="CD404" i="312"/>
  <c r="BF404" i="312"/>
  <c r="BT404" i="312" s="1"/>
  <c r="BL62" i="312"/>
  <c r="BF62" i="312"/>
  <c r="BT62" i="312" s="1"/>
  <c r="CF62" i="312"/>
  <c r="CE62" i="312" s="1"/>
  <c r="BF28" i="312"/>
  <c r="BT28" i="312" s="1"/>
  <c r="BL28" i="312"/>
  <c r="CF380" i="312"/>
  <c r="CE380" i="312" s="1"/>
  <c r="X348" i="269"/>
  <c r="Y348" i="269" s="1"/>
  <c r="AG348" i="269" s="1"/>
  <c r="H346" i="301" s="1"/>
  <c r="I346" i="301" s="1"/>
  <c r="L346" i="301" s="1"/>
  <c r="N346" i="301" s="1"/>
  <c r="BF283" i="312"/>
  <c r="BL283" i="312"/>
  <c r="CD283" i="312"/>
  <c r="M198" i="269"/>
  <c r="BF189" i="312"/>
  <c r="BT189" i="312" s="1"/>
  <c r="BL189" i="312"/>
  <c r="CF159" i="312"/>
  <c r="CE159" i="312" s="1"/>
  <c r="CF295" i="312"/>
  <c r="CE295" i="312" s="1"/>
  <c r="CD366" i="312"/>
  <c r="BL366" i="312"/>
  <c r="BL363" i="312"/>
  <c r="BF363" i="312"/>
  <c r="BF216" i="312"/>
  <c r="BT216" i="312" s="1"/>
  <c r="BL216" i="312"/>
  <c r="M224" i="269"/>
  <c r="O224" i="269" s="1"/>
  <c r="CQ215" i="312"/>
  <c r="CD15" i="312"/>
  <c r="BL15" i="312"/>
  <c r="BF15" i="312"/>
  <c r="CY215" i="312"/>
  <c r="BF354" i="312"/>
  <c r="BT354" i="312" s="1"/>
  <c r="X361" i="269" s="1"/>
  <c r="CD354" i="312"/>
  <c r="BF336" i="312"/>
  <c r="BT336" i="312" s="1"/>
  <c r="BL336" i="312"/>
  <c r="CD215" i="312"/>
  <c r="BF215" i="312"/>
  <c r="BT215" i="312" s="1"/>
  <c r="CD152" i="312"/>
  <c r="BF152" i="312"/>
  <c r="BT152" i="312" s="1"/>
  <c r="BL152" i="312"/>
  <c r="M100" i="269"/>
  <c r="BL90" i="312"/>
  <c r="BL82" i="312"/>
  <c r="CF204" i="312"/>
  <c r="CE204" i="312" s="1"/>
  <c r="CF16" i="312"/>
  <c r="CE16" i="312" s="1"/>
  <c r="CF478" i="312"/>
  <c r="CE478" i="312" s="1"/>
  <c r="M423" i="269"/>
  <c r="BF418" i="312"/>
  <c r="BT418" i="312" s="1"/>
  <c r="BF415" i="312"/>
  <c r="CF339" i="312"/>
  <c r="CE339" i="312" s="1"/>
  <c r="CD223" i="312"/>
  <c r="AK498" i="312"/>
  <c r="AK499" i="312" s="1"/>
  <c r="CY173" i="312"/>
  <c r="M165" i="269"/>
  <c r="BF155" i="312"/>
  <c r="BT155" i="312" s="1"/>
  <c r="BL155" i="312"/>
  <c r="CD116" i="312"/>
  <c r="BF116" i="312"/>
  <c r="BT116" i="312" s="1"/>
  <c r="BF433" i="312"/>
  <c r="BV313" i="312"/>
  <c r="CF209" i="312"/>
  <c r="CE209" i="312" s="1"/>
  <c r="CF8" i="312"/>
  <c r="CE8" i="312" s="1"/>
  <c r="BF427" i="312"/>
  <c r="BT427" i="312" s="1"/>
  <c r="CD427" i="312"/>
  <c r="T498" i="312"/>
  <c r="T499" i="312" s="1"/>
  <c r="BF282" i="312"/>
  <c r="M291" i="269"/>
  <c r="O291" i="269" s="1"/>
  <c r="BF214" i="312"/>
  <c r="BL214" i="312"/>
  <c r="BL150" i="312"/>
  <c r="BF150" i="312"/>
  <c r="BT150" i="312" s="1"/>
  <c r="BL132" i="312"/>
  <c r="M121" i="269"/>
  <c r="N121" i="269" s="1"/>
  <c r="BF111" i="312"/>
  <c r="BL111" i="312"/>
  <c r="CM498" i="312"/>
  <c r="CD436" i="312"/>
  <c r="BF436" i="312"/>
  <c r="BP498" i="312"/>
  <c r="X286" i="269"/>
  <c r="Y286" i="269"/>
  <c r="CF206" i="312"/>
  <c r="CE206" i="312" s="1"/>
  <c r="BL215" i="312"/>
  <c r="CF334" i="312"/>
  <c r="CE334" i="312" s="1"/>
  <c r="BF479" i="312"/>
  <c r="BT479" i="312" s="1"/>
  <c r="BL116" i="312"/>
  <c r="BN498" i="312"/>
  <c r="BF256" i="312"/>
  <c r="BT256" i="312" s="1"/>
  <c r="BL256" i="312"/>
  <c r="BF221" i="312"/>
  <c r="CD216" i="312"/>
  <c r="P211" i="269"/>
  <c r="Q211" i="269" s="1"/>
  <c r="CF213" i="312"/>
  <c r="CE213" i="312" s="1"/>
  <c r="BL282" i="312"/>
  <c r="CD254" i="312"/>
  <c r="CD253" i="312"/>
  <c r="BL253" i="312"/>
  <c r="BF245" i="312"/>
  <c r="BT245" i="312" s="1"/>
  <c r="BL234" i="312"/>
  <c r="BL226" i="312"/>
  <c r="BF226" i="312"/>
  <c r="BT226" i="312" s="1"/>
  <c r="CQ42" i="312"/>
  <c r="CQ214" i="312"/>
  <c r="BL339" i="312"/>
  <c r="M294" i="269"/>
  <c r="O294" i="269" s="1"/>
  <c r="BL285" i="312"/>
  <c r="CD280" i="312"/>
  <c r="BL280" i="312"/>
  <c r="BF280" i="312"/>
  <c r="BT280" i="312" s="1"/>
  <c r="M281" i="269"/>
  <c r="O281" i="269" s="1"/>
  <c r="BL272" i="312"/>
  <c r="BF272" i="312"/>
  <c r="BT272" i="312" s="1"/>
  <c r="BL240" i="312"/>
  <c r="CD240" i="312"/>
  <c r="CD220" i="312"/>
  <c r="CD210" i="312"/>
  <c r="M25" i="269"/>
  <c r="X22" i="269"/>
  <c r="Y22" i="269" s="1"/>
  <c r="BO12" i="312"/>
  <c r="BK12" i="312" s="1"/>
  <c r="CD415" i="312"/>
  <c r="BO191" i="312"/>
  <c r="X200" i="269"/>
  <c r="Y200" i="269" s="1"/>
  <c r="BF267" i="312"/>
  <c r="BL267" i="312"/>
  <c r="CD267" i="312"/>
  <c r="CD243" i="312"/>
  <c r="BL243" i="312"/>
  <c r="BF243" i="312"/>
  <c r="BT243" i="312" s="1"/>
  <c r="CD231" i="312"/>
  <c r="BL227" i="312"/>
  <c r="BF227" i="312"/>
  <c r="BT227" i="312" s="1"/>
  <c r="CD78" i="312"/>
  <c r="BL78" i="312"/>
  <c r="BF78" i="312"/>
  <c r="BT78" i="312" s="1"/>
  <c r="CF181" i="312"/>
  <c r="CE181" i="312" s="1"/>
  <c r="BF454" i="312"/>
  <c r="BT454" i="312" s="1"/>
  <c r="CD454" i="312"/>
  <c r="BL358" i="312"/>
  <c r="BF291" i="312"/>
  <c r="BL291" i="312"/>
  <c r="CQ185" i="312"/>
  <c r="M90" i="269"/>
  <c r="O90" i="269" s="1"/>
  <c r="BF80" i="312"/>
  <c r="BT80" i="312" s="1"/>
  <c r="X90" i="269" s="1"/>
  <c r="Y90" i="269" s="1"/>
  <c r="BL80" i="312"/>
  <c r="X298" i="269"/>
  <c r="Y298" i="269" s="1"/>
  <c r="CF448" i="312"/>
  <c r="CE448" i="312"/>
  <c r="BL55" i="312"/>
  <c r="BL176" i="312"/>
  <c r="BL286" i="312"/>
  <c r="BF66" i="312"/>
  <c r="BT66" i="312" s="1"/>
  <c r="X76" i="269" s="1"/>
  <c r="M431" i="269"/>
  <c r="BF426" i="312"/>
  <c r="BT426" i="312" s="1"/>
  <c r="BF397" i="312"/>
  <c r="BT397" i="312" s="1"/>
  <c r="CD397" i="312"/>
  <c r="CD388" i="312"/>
  <c r="BF388" i="312"/>
  <c r="BT388" i="312" s="1"/>
  <c r="CD376" i="312"/>
  <c r="BF376" i="312"/>
  <c r="BT376" i="312" s="1"/>
  <c r="BO376" i="312" s="1"/>
  <c r="BF373" i="312"/>
  <c r="BF370" i="312"/>
  <c r="BT370" i="312" s="1"/>
  <c r="M319" i="269"/>
  <c r="BF294" i="312"/>
  <c r="BT294" i="312" s="1"/>
  <c r="BO294" i="312" s="1"/>
  <c r="BL294" i="312"/>
  <c r="BF286" i="312"/>
  <c r="BT286" i="312" s="1"/>
  <c r="CD281" i="312"/>
  <c r="BL281" i="312"/>
  <c r="CY207" i="312"/>
  <c r="CY206" i="312"/>
  <c r="CY203" i="312"/>
  <c r="BF199" i="312"/>
  <c r="BT199" i="312" s="1"/>
  <c r="CY197" i="312"/>
  <c r="BF196" i="312"/>
  <c r="BT196" i="312" s="1"/>
  <c r="BL196" i="312"/>
  <c r="CY194" i="312"/>
  <c r="BF176" i="312"/>
  <c r="BT176" i="312" s="1"/>
  <c r="AG498" i="312"/>
  <c r="AG499" i="312" s="1"/>
  <c r="CD88" i="312"/>
  <c r="BL88" i="312"/>
  <c r="BF61" i="312"/>
  <c r="BT61" i="312" s="1"/>
  <c r="M40" i="269"/>
  <c r="BL30" i="312"/>
  <c r="BF463" i="312"/>
  <c r="CD439" i="312"/>
  <c r="BF439" i="312"/>
  <c r="BT439" i="312" s="1"/>
  <c r="BL349" i="312"/>
  <c r="BF349" i="312"/>
  <c r="BT349" i="312" s="1"/>
  <c r="CD341" i="312"/>
  <c r="BL270" i="312"/>
  <c r="CD270" i="312"/>
  <c r="BF270" i="312"/>
  <c r="BF493" i="312"/>
  <c r="BT493" i="312" s="1"/>
  <c r="BF460" i="312"/>
  <c r="BT460" i="312" s="1"/>
  <c r="BF457" i="312"/>
  <c r="BT457" i="312" s="1"/>
  <c r="CD451" i="312"/>
  <c r="BF451" i="312"/>
  <c r="BT451" i="312" s="1"/>
  <c r="BF445" i="312"/>
  <c r="BT445" i="312" s="1"/>
  <c r="X450" i="269" s="1"/>
  <c r="Y450" i="269"/>
  <c r="BF391" i="312"/>
  <c r="BT391" i="312" s="1"/>
  <c r="CD367" i="312"/>
  <c r="BF367" i="312"/>
  <c r="BT367" i="312" s="1"/>
  <c r="BL367" i="312"/>
  <c r="BF361" i="312"/>
  <c r="BT361" i="312" s="1"/>
  <c r="BF281" i="312"/>
  <c r="BT281" i="312" s="1"/>
  <c r="M290" i="269"/>
  <c r="CD207" i="312"/>
  <c r="BF207" i="312"/>
  <c r="BT207" i="312" s="1"/>
  <c r="BL207" i="312"/>
  <c r="BL200" i="312"/>
  <c r="BF200" i="312"/>
  <c r="CQ199" i="312"/>
  <c r="CD197" i="312"/>
  <c r="BF197" i="312"/>
  <c r="BT197" i="312" s="1"/>
  <c r="BF195" i="312"/>
  <c r="BL195" i="312"/>
  <c r="CQ193" i="312"/>
  <c r="BF58" i="312"/>
  <c r="BT58" i="312" s="1"/>
  <c r="M68" i="269"/>
  <c r="N68" i="269" s="1"/>
  <c r="BF135" i="312"/>
  <c r="BT135" i="312" s="1"/>
  <c r="CD208" i="312"/>
  <c r="M383" i="269"/>
  <c r="CF255" i="312"/>
  <c r="CE255" i="312" s="1"/>
  <c r="BJ498" i="312"/>
  <c r="CD432" i="312"/>
  <c r="BF432" i="312"/>
  <c r="BF343" i="312"/>
  <c r="BT343" i="312" s="1"/>
  <c r="X350" i="269" s="1"/>
  <c r="BL343" i="312"/>
  <c r="CF310" i="312"/>
  <c r="CE310" i="312" s="1"/>
  <c r="CD282" i="312"/>
  <c r="BF122" i="312"/>
  <c r="BT122" i="312" s="1"/>
  <c r="M132" i="269"/>
  <c r="CD113" i="312"/>
  <c r="BX174" i="312"/>
  <c r="CD442" i="312"/>
  <c r="BF442" i="312"/>
  <c r="BT442" i="312" s="1"/>
  <c r="BF340" i="312"/>
  <c r="BF302" i="312"/>
  <c r="BL302" i="312"/>
  <c r="CD190" i="312"/>
  <c r="CF423" i="312"/>
  <c r="CE423" i="312" s="1"/>
  <c r="X105" i="269"/>
  <c r="Y105" i="269" s="1"/>
  <c r="BF175" i="312"/>
  <c r="BL268" i="312"/>
  <c r="BL140" i="312"/>
  <c r="BI498" i="312"/>
  <c r="BF477" i="312"/>
  <c r="CD471" i="312"/>
  <c r="BF471" i="312"/>
  <c r="CD408" i="312"/>
  <c r="BF408" i="312"/>
  <c r="BF357" i="312"/>
  <c r="BT357" i="312" s="1"/>
  <c r="M364" i="269"/>
  <c r="BF344" i="312"/>
  <c r="BT344" i="312" s="1"/>
  <c r="CD256" i="312"/>
  <c r="BF125" i="312"/>
  <c r="BT125" i="312" s="1"/>
  <c r="BL125" i="312"/>
  <c r="M135" i="269"/>
  <c r="CD110" i="312"/>
  <c r="M96" i="269"/>
  <c r="BF86" i="312"/>
  <c r="CY34" i="312"/>
  <c r="CN498" i="312"/>
  <c r="BF375" i="312"/>
  <c r="BT375" i="312" s="1"/>
  <c r="BL375" i="312"/>
  <c r="CD375" i="312"/>
  <c r="BX399" i="312"/>
  <c r="BF308" i="312"/>
  <c r="BT308" i="312" s="1"/>
  <c r="BF268" i="312"/>
  <c r="BT268" i="312" s="1"/>
  <c r="X277" i="269" s="1"/>
  <c r="BL246" i="312"/>
  <c r="CD196" i="312"/>
  <c r="CQ189" i="312"/>
  <c r="CD102" i="312"/>
  <c r="BL63" i="312"/>
  <c r="BF63" i="312"/>
  <c r="CD63" i="312"/>
  <c r="CY43" i="312"/>
  <c r="CD40" i="312"/>
  <c r="BL40" i="312"/>
  <c r="BF40" i="312"/>
  <c r="BT40" i="312" s="1"/>
  <c r="CD419" i="312"/>
  <c r="BF419" i="312"/>
  <c r="BT419" i="312" s="1"/>
  <c r="BF387" i="312"/>
  <c r="BT387" i="312" s="1"/>
  <c r="BL387" i="312"/>
  <c r="CD303" i="312"/>
  <c r="BF303" i="312"/>
  <c r="BT303" i="312" s="1"/>
  <c r="BF276" i="312"/>
  <c r="BT276" i="312" s="1"/>
  <c r="BO276" i="312" s="1"/>
  <c r="CD154" i="312"/>
  <c r="BF154" i="312"/>
  <c r="BT154" i="312" s="1"/>
  <c r="M103" i="269"/>
  <c r="BF93" i="312"/>
  <c r="BT93" i="312" s="1"/>
  <c r="BL93" i="312"/>
  <c r="BF77" i="312"/>
  <c r="BT77" i="312" s="1"/>
  <c r="X87" i="269" s="1"/>
  <c r="BL77" i="312"/>
  <c r="BF60" i="312"/>
  <c r="BT60" i="312" s="1"/>
  <c r="BL60" i="312"/>
  <c r="M48" i="269"/>
  <c r="O48" i="269" s="1"/>
  <c r="CQ38" i="312"/>
  <c r="BF455" i="312"/>
  <c r="BT455" i="312" s="1"/>
  <c r="M460" i="269"/>
  <c r="Z498" i="312"/>
  <c r="Z499" i="312" s="1"/>
  <c r="J498" i="312"/>
  <c r="J499" i="312" s="1"/>
  <c r="BV399" i="312"/>
  <c r="CD263" i="312"/>
  <c r="BL263" i="312"/>
  <c r="BL205" i="312"/>
  <c r="CD205" i="312"/>
  <c r="CQ180" i="312"/>
  <c r="BF179" i="312"/>
  <c r="BT179" i="312" s="1"/>
  <c r="AQ498" i="312"/>
  <c r="CD167" i="312"/>
  <c r="BF167" i="312"/>
  <c r="BT167" i="312" s="1"/>
  <c r="BL167" i="312"/>
  <c r="CD105" i="312"/>
  <c r="BF85" i="312"/>
  <c r="BT85" i="312" s="1"/>
  <c r="BL85" i="312"/>
  <c r="CY40" i="312"/>
  <c r="BF293" i="312"/>
  <c r="BT293" i="312" s="1"/>
  <c r="BF228" i="312"/>
  <c r="CD160" i="312"/>
  <c r="BL112" i="312"/>
  <c r="CD97" i="312"/>
  <c r="BF91" i="312"/>
  <c r="BT91" i="312" s="1"/>
  <c r="X101" i="269" s="1"/>
  <c r="Y101" i="269" s="1"/>
  <c r="CQ26" i="312"/>
  <c r="CY12" i="312"/>
  <c r="BF482" i="312"/>
  <c r="BT482" i="312" s="1"/>
  <c r="CF482" i="312"/>
  <c r="CE482" i="312" s="1"/>
  <c r="M487" i="269"/>
  <c r="O487" i="269" s="1"/>
  <c r="BF431" i="312"/>
  <c r="BT431" i="312" s="1"/>
  <c r="CF431" i="312"/>
  <c r="CE431" i="312" s="1"/>
  <c r="BF428" i="312"/>
  <c r="BT428" i="312" s="1"/>
  <c r="CD276" i="312"/>
  <c r="BL269" i="312"/>
  <c r="BL99" i="312"/>
  <c r="BF75" i="312"/>
  <c r="BT75" i="312" s="1"/>
  <c r="CD42" i="312"/>
  <c r="CD421" i="312"/>
  <c r="BF421" i="312"/>
  <c r="CD311" i="312"/>
  <c r="CD266" i="312"/>
  <c r="CQ191" i="312"/>
  <c r="CQ186" i="312"/>
  <c r="CD131" i="312"/>
  <c r="CD125" i="312"/>
  <c r="CD62" i="312"/>
  <c r="BF406" i="312"/>
  <c r="BT406" i="312" s="1"/>
  <c r="CD386" i="312"/>
  <c r="BL386" i="312"/>
  <c r="BL380" i="312"/>
  <c r="BF377" i="312"/>
  <c r="BT377" i="312" s="1"/>
  <c r="BO377" i="312" s="1"/>
  <c r="P384" i="269" s="1"/>
  <c r="BL305" i="312"/>
  <c r="CQ190" i="312"/>
  <c r="BX313" i="312"/>
  <c r="CD146" i="312"/>
  <c r="CD122" i="312"/>
  <c r="CD73" i="312"/>
  <c r="BL73" i="312"/>
  <c r="BL51" i="312"/>
  <c r="CD222" i="312"/>
  <c r="CQ218" i="312"/>
  <c r="CY190" i="312"/>
  <c r="CY182" i="312"/>
  <c r="CQ181" i="312"/>
  <c r="CD137" i="312"/>
  <c r="CD87" i="312"/>
  <c r="CD50" i="312"/>
  <c r="CQ31" i="312"/>
  <c r="CD12" i="312"/>
  <c r="CD265" i="312"/>
  <c r="CD264" i="312"/>
  <c r="CD248" i="312"/>
  <c r="CD213" i="312"/>
  <c r="CD90" i="312"/>
  <c r="BF411" i="312"/>
  <c r="BT411" i="312" s="1"/>
  <c r="CD403" i="312"/>
  <c r="CD355" i="312"/>
  <c r="CD301" i="312"/>
  <c r="CD278" i="312"/>
  <c r="CD233" i="312"/>
  <c r="CY187" i="312"/>
  <c r="BF187" i="312"/>
  <c r="AV498" i="312"/>
  <c r="BF115" i="312"/>
  <c r="BT115" i="312" s="1"/>
  <c r="BL70" i="312"/>
  <c r="BL17" i="312"/>
  <c r="CY9" i="312"/>
  <c r="BF434" i="312"/>
  <c r="BT434" i="312" s="1"/>
  <c r="BF374" i="312"/>
  <c r="BT374" i="312" s="1"/>
  <c r="X381" i="269" s="1"/>
  <c r="Y381" i="269" s="1"/>
  <c r="AE498" i="312"/>
  <c r="AE499" i="312" s="1"/>
  <c r="O498" i="312"/>
  <c r="O499" i="312" s="1"/>
  <c r="CD304" i="312"/>
  <c r="BF239" i="312"/>
  <c r="CD219" i="312"/>
  <c r="CD70" i="312"/>
  <c r="CD35" i="312"/>
  <c r="CY211" i="312"/>
  <c r="CD193" i="312"/>
  <c r="AF498" i="312"/>
  <c r="AF499" i="312" s="1"/>
  <c r="CD136" i="312"/>
  <c r="BL95" i="312"/>
  <c r="CD298" i="312"/>
  <c r="CD295" i="312"/>
  <c r="CD259" i="312"/>
  <c r="CD229" i="312"/>
  <c r="CD121" i="312"/>
  <c r="CQ22" i="312"/>
  <c r="BF327" i="312"/>
  <c r="BT327" i="312" s="1"/>
  <c r="BL220" i="312"/>
  <c r="BF211" i="312"/>
  <c r="BL98" i="312"/>
  <c r="DP500" i="318"/>
  <c r="DV500" i="318"/>
  <c r="DS500" i="318"/>
  <c r="DS501" i="318" s="1"/>
  <c r="DY500" i="318"/>
  <c r="DQ500" i="318"/>
  <c r="AB502" i="269"/>
  <c r="EE4" i="318"/>
  <c r="EE2" i="318" s="1"/>
  <c r="R502" i="269"/>
  <c r="ED2" i="318"/>
  <c r="DO500" i="318"/>
  <c r="DN500" i="318"/>
  <c r="DM500" i="318"/>
  <c r="AO460" i="318"/>
  <c r="H462" i="269" s="1"/>
  <c r="I462" i="269" s="1"/>
  <c r="AO489" i="318"/>
  <c r="H491" i="269" s="1"/>
  <c r="I491" i="269" s="1"/>
  <c r="AO485" i="318"/>
  <c r="H487" i="269" s="1"/>
  <c r="I487" i="269" s="1"/>
  <c r="AO450" i="318"/>
  <c r="H452" i="269" s="1"/>
  <c r="I452" i="269" s="1"/>
  <c r="AO404" i="318"/>
  <c r="H406" i="269" s="1"/>
  <c r="I406" i="269" s="1"/>
  <c r="AN420" i="318"/>
  <c r="AO451" i="318"/>
  <c r="H453" i="269" s="1"/>
  <c r="I453" i="269" s="1"/>
  <c r="AO446" i="318"/>
  <c r="H448" i="269" s="1"/>
  <c r="I448" i="269" s="1"/>
  <c r="AQ317" i="318"/>
  <c r="AN331" i="318"/>
  <c r="AQ331" i="318" s="1"/>
  <c r="V500" i="318"/>
  <c r="U500" i="318"/>
  <c r="AP329" i="318"/>
  <c r="F333" i="269" s="1"/>
  <c r="G333" i="269" s="1"/>
  <c r="T500" i="318"/>
  <c r="AN391" i="318"/>
  <c r="AQ391" i="318" s="1"/>
  <c r="S500" i="318"/>
  <c r="AH500" i="318"/>
  <c r="AP317" i="318"/>
  <c r="AP358" i="318"/>
  <c r="F362" i="269"/>
  <c r="G362" i="269" s="1"/>
  <c r="AN354" i="318"/>
  <c r="AQ354" i="318" s="1"/>
  <c r="AP341" i="318"/>
  <c r="F345" i="269"/>
  <c r="G345" i="269" s="1"/>
  <c r="AG500" i="318"/>
  <c r="AN336" i="318"/>
  <c r="AQ336" i="318" s="1"/>
  <c r="AN259" i="318"/>
  <c r="AQ259" i="318" s="1"/>
  <c r="AV259" i="318"/>
  <c r="J265" i="269" s="1"/>
  <c r="K265" i="269" s="1"/>
  <c r="AV286" i="318"/>
  <c r="J292" i="269"/>
  <c r="K292" i="269" s="1"/>
  <c r="AN201" i="318"/>
  <c r="AQ201" i="318" s="1"/>
  <c r="AN270" i="318"/>
  <c r="AQ270" i="318" s="1"/>
  <c r="AN297" i="318"/>
  <c r="AQ297" i="318" s="1"/>
  <c r="AN303" i="318"/>
  <c r="AQ303" i="318" s="1"/>
  <c r="AV303" i="318"/>
  <c r="J309" i="269"/>
  <c r="K309" i="269" s="1"/>
  <c r="AV199" i="318"/>
  <c r="J205" i="269" s="1"/>
  <c r="K205" i="269" s="1"/>
  <c r="AV185" i="318"/>
  <c r="J191" i="269" s="1"/>
  <c r="K191" i="269" s="1"/>
  <c r="AN185" i="318"/>
  <c r="AQ185" i="318" s="1"/>
  <c r="AN226" i="318"/>
  <c r="AQ226" i="318" s="1"/>
  <c r="AV306" i="318"/>
  <c r="J312" i="269"/>
  <c r="K312" i="269" s="1"/>
  <c r="AV239" i="318"/>
  <c r="J245" i="269" s="1"/>
  <c r="K245" i="269" s="1"/>
  <c r="AN239" i="318"/>
  <c r="AQ239" i="318" s="1"/>
  <c r="AV210" i="318"/>
  <c r="J216" i="269" s="1"/>
  <c r="K216" i="269" s="1"/>
  <c r="AV186" i="318"/>
  <c r="J192" i="269"/>
  <c r="K192" i="269" s="1"/>
  <c r="AN223" i="318"/>
  <c r="AQ223" i="318" s="1"/>
  <c r="AF500" i="318"/>
  <c r="AN203" i="318"/>
  <c r="AQ203" i="318" s="1"/>
  <c r="AV203" i="318"/>
  <c r="J209" i="269" s="1"/>
  <c r="K209" i="269" s="1"/>
  <c r="AV282" i="318"/>
  <c r="J288" i="269" s="1"/>
  <c r="K288" i="269" s="1"/>
  <c r="AN282" i="318"/>
  <c r="AQ282" i="318" s="1"/>
  <c r="AN301" i="318"/>
  <c r="AQ301" i="318" s="1"/>
  <c r="AV252" i="318"/>
  <c r="J258" i="269" s="1"/>
  <c r="K258" i="269" s="1"/>
  <c r="AN252" i="318"/>
  <c r="AQ252" i="318" s="1"/>
  <c r="AN189" i="318"/>
  <c r="AQ189" i="318"/>
  <c r="AC500" i="318"/>
  <c r="AD500" i="318"/>
  <c r="AB500" i="318"/>
  <c r="AN272" i="318"/>
  <c r="AQ272" i="318" s="1"/>
  <c r="AV46" i="318"/>
  <c r="J54" i="269" s="1"/>
  <c r="K54" i="269" s="1"/>
  <c r="AQ46" i="318"/>
  <c r="AN104" i="318"/>
  <c r="AQ104" i="318" s="1"/>
  <c r="AP66" i="318"/>
  <c r="F74" i="269" s="1"/>
  <c r="G74" i="269" s="1"/>
  <c r="AN66" i="318"/>
  <c r="AQ66" i="318" s="1"/>
  <c r="AM8" i="318"/>
  <c r="AN159" i="318"/>
  <c r="AQ159" i="318"/>
  <c r="AP117" i="318"/>
  <c r="F125" i="269" s="1"/>
  <c r="G125" i="269" s="1"/>
  <c r="AN96" i="318"/>
  <c r="AQ96" i="318" s="1"/>
  <c r="AP96" i="318"/>
  <c r="F104" i="269"/>
  <c r="G104" i="269" s="1"/>
  <c r="AW8" i="318"/>
  <c r="AV54" i="318"/>
  <c r="J62" i="269"/>
  <c r="K62" i="269" s="1"/>
  <c r="AQ54" i="318"/>
  <c r="AQ49" i="318"/>
  <c r="AV49" i="318"/>
  <c r="J57" i="269" s="1"/>
  <c r="K57" i="269" s="1"/>
  <c r="AQ51" i="318"/>
  <c r="AV51" i="318"/>
  <c r="J59" i="269" s="1"/>
  <c r="K59" i="269" s="1"/>
  <c r="AX8" i="318"/>
  <c r="AN146" i="318"/>
  <c r="AQ146" i="318" s="1"/>
  <c r="AO146" i="318"/>
  <c r="H154" i="269" s="1"/>
  <c r="I154" i="269" s="1"/>
  <c r="AN121" i="318"/>
  <c r="AQ121" i="318" s="1"/>
  <c r="AP121" i="318"/>
  <c r="F129" i="269" s="1"/>
  <c r="G129" i="269" s="1"/>
  <c r="AN89" i="318"/>
  <c r="AQ89" i="318" s="1"/>
  <c r="AP89" i="318"/>
  <c r="F97" i="269" s="1"/>
  <c r="G97" i="269" s="1"/>
  <c r="AN171" i="318"/>
  <c r="AQ171" i="318" s="1"/>
  <c r="AO171" i="318"/>
  <c r="H179" i="269" s="1"/>
  <c r="I179" i="269" s="1"/>
  <c r="AP84" i="318"/>
  <c r="F92" i="269" s="1"/>
  <c r="G92" i="269" s="1"/>
  <c r="AV48" i="318"/>
  <c r="J56" i="269" s="1"/>
  <c r="K56" i="269" s="1"/>
  <c r="AO134" i="318"/>
  <c r="AO174" i="318"/>
  <c r="H182" i="269" s="1"/>
  <c r="I182" i="269" s="1"/>
  <c r="AN174" i="318"/>
  <c r="AQ174" i="318" s="1"/>
  <c r="AN103" i="318"/>
  <c r="AQ103" i="318" s="1"/>
  <c r="AP109" i="318"/>
  <c r="F117" i="269" s="1"/>
  <c r="G117" i="269" s="1"/>
  <c r="AN109" i="318"/>
  <c r="AQ109" i="318" s="1"/>
  <c r="AN76" i="318"/>
  <c r="AQ76" i="318" s="1"/>
  <c r="AP76" i="318"/>
  <c r="F84" i="269" s="1"/>
  <c r="G84" i="269" s="1"/>
  <c r="AN161" i="318"/>
  <c r="AQ161" i="318" s="1"/>
  <c r="AO161" i="318"/>
  <c r="H169" i="269" s="1"/>
  <c r="I169" i="269" s="1"/>
  <c r="AN114" i="318"/>
  <c r="AQ114" i="318" s="1"/>
  <c r="AP114" i="318"/>
  <c r="F122" i="269" s="1"/>
  <c r="G122" i="269" s="1"/>
  <c r="AN156" i="318"/>
  <c r="AQ156" i="318"/>
  <c r="AQ47" i="318"/>
  <c r="AV47" i="318"/>
  <c r="J55" i="269" s="1"/>
  <c r="K55" i="269" s="1"/>
  <c r="AV55" i="318"/>
  <c r="J63" i="269" s="1"/>
  <c r="K63" i="269" s="1"/>
  <c r="AP122" i="318"/>
  <c r="F130" i="269" s="1"/>
  <c r="G130" i="269" s="1"/>
  <c r="BW498" i="312"/>
  <c r="BW499" i="312" s="1"/>
  <c r="T502" i="269"/>
  <c r="BF485" i="312"/>
  <c r="BT485" i="312" s="1"/>
  <c r="BB497" i="312"/>
  <c r="BE497" i="312"/>
  <c r="M415" i="269"/>
  <c r="N415" i="269" s="1"/>
  <c r="BC497" i="312"/>
  <c r="BF474" i="312"/>
  <c r="M479" i="269"/>
  <c r="N479" i="269" s="1"/>
  <c r="CD461" i="312"/>
  <c r="BF461" i="312"/>
  <c r="BT461" i="312" s="1"/>
  <c r="CD438" i="312"/>
  <c r="BF438" i="312"/>
  <c r="BT438" i="312" s="1"/>
  <c r="CD401" i="312"/>
  <c r="BF401" i="312"/>
  <c r="BT401" i="312" s="1"/>
  <c r="BO405" i="312"/>
  <c r="P410" i="269" s="1"/>
  <c r="Q410" i="269" s="1"/>
  <c r="X410" i="269"/>
  <c r="Y410" i="269"/>
  <c r="BF472" i="312"/>
  <c r="BT472" i="312" s="1"/>
  <c r="BO472" i="312" s="1"/>
  <c r="CD472" i="312"/>
  <c r="CD458" i="312"/>
  <c r="BF458" i="312"/>
  <c r="BT458" i="312" s="1"/>
  <c r="X463" i="269" s="1"/>
  <c r="Y463" i="269" s="1"/>
  <c r="BF417" i="312"/>
  <c r="BT417" i="312" s="1"/>
  <c r="CD417" i="312"/>
  <c r="BF480" i="312"/>
  <c r="BT480" i="312" s="1"/>
  <c r="M482" i="269"/>
  <c r="BF416" i="312"/>
  <c r="BT416" i="312" s="1"/>
  <c r="CD416" i="312"/>
  <c r="BF413" i="312"/>
  <c r="BT413" i="312" s="1"/>
  <c r="CF420" i="312"/>
  <c r="CE420" i="312" s="1"/>
  <c r="BF422" i="312"/>
  <c r="BT422" i="312" s="1"/>
  <c r="BO422" i="312" s="1"/>
  <c r="P427" i="269" s="1"/>
  <c r="Q427" i="269" s="1"/>
  <c r="AG427" i="269" s="1"/>
  <c r="H425" i="301" s="1"/>
  <c r="I425" i="301" s="1"/>
  <c r="L425" i="301" s="1"/>
  <c r="CD456" i="312"/>
  <c r="BF456" i="312"/>
  <c r="BF430" i="312"/>
  <c r="BT430" i="312" s="1"/>
  <c r="X435" i="269" s="1"/>
  <c r="CD430" i="312"/>
  <c r="CD495" i="312"/>
  <c r="CD453" i="312"/>
  <c r="BF453" i="312"/>
  <c r="M429" i="269"/>
  <c r="O429" i="269" s="1"/>
  <c r="BF424" i="312"/>
  <c r="BT424" i="312" s="1"/>
  <c r="BF450" i="312"/>
  <c r="BT450" i="312" s="1"/>
  <c r="CD464" i="312"/>
  <c r="BF464" i="312"/>
  <c r="BT464" i="312" s="1"/>
  <c r="X469" i="269" s="1"/>
  <c r="Y469" i="269" s="1"/>
  <c r="BF466" i="312"/>
  <c r="BF484" i="312"/>
  <c r="BT484" i="312" s="1"/>
  <c r="X489" i="269" s="1"/>
  <c r="BF410" i="312"/>
  <c r="CD473" i="312"/>
  <c r="BF468" i="312"/>
  <c r="CD446" i="312"/>
  <c r="BF446" i="312"/>
  <c r="M439" i="269"/>
  <c r="BF470" i="312"/>
  <c r="M453" i="269"/>
  <c r="N453" i="269" s="1"/>
  <c r="CD437" i="312"/>
  <c r="BF437" i="312"/>
  <c r="BT437" i="312" s="1"/>
  <c r="BF459" i="312"/>
  <c r="CD459" i="312"/>
  <c r="BD497" i="312"/>
  <c r="CF371" i="312"/>
  <c r="CE371" i="312"/>
  <c r="CF374" i="312"/>
  <c r="CE374" i="312" s="1"/>
  <c r="BO366" i="312"/>
  <c r="BE399" i="312"/>
  <c r="M335" i="269"/>
  <c r="BL328" i="312"/>
  <c r="M336" i="269"/>
  <c r="BL329" i="312"/>
  <c r="BF329" i="312"/>
  <c r="CD325" i="312"/>
  <c r="BL325" i="312"/>
  <c r="BF325" i="312"/>
  <c r="BT325" i="312" s="1"/>
  <c r="BF324" i="312"/>
  <c r="BT324" i="312" s="1"/>
  <c r="X331" i="269" s="1"/>
  <c r="Y331" i="269" s="1"/>
  <c r="BL324" i="312"/>
  <c r="CD323" i="312"/>
  <c r="BL323" i="312"/>
  <c r="CD322" i="312"/>
  <c r="BL322" i="312"/>
  <c r="BF322" i="312"/>
  <c r="BL318" i="312"/>
  <c r="BF318" i="312"/>
  <c r="BL317" i="312"/>
  <c r="BF317" i="312"/>
  <c r="BF314" i="312"/>
  <c r="BB399" i="312"/>
  <c r="BL314" i="312"/>
  <c r="BL384" i="312"/>
  <c r="CD384" i="312"/>
  <c r="BF384" i="312"/>
  <c r="BT384" i="312" s="1"/>
  <c r="CF382" i="312"/>
  <c r="CE382" i="312" s="1"/>
  <c r="BL364" i="312"/>
  <c r="BF364" i="312"/>
  <c r="CD364" i="312"/>
  <c r="BL382" i="312"/>
  <c r="CD382" i="312"/>
  <c r="CD379" i="312"/>
  <c r="BL379" i="312"/>
  <c r="BL359" i="312"/>
  <c r="BF359" i="312"/>
  <c r="BT359" i="312" s="1"/>
  <c r="BO354" i="312"/>
  <c r="P361" i="269" s="1"/>
  <c r="Q361" i="269" s="1"/>
  <c r="Y361" i="269"/>
  <c r="BF389" i="312"/>
  <c r="BT389" i="312" s="1"/>
  <c r="CD389" i="312"/>
  <c r="BL389" i="312"/>
  <c r="BF328" i="312"/>
  <c r="CD326" i="312"/>
  <c r="BL326" i="312"/>
  <c r="BF326" i="312"/>
  <c r="CD321" i="312"/>
  <c r="BF321" i="312"/>
  <c r="BT321" i="312" s="1"/>
  <c r="CD320" i="312"/>
  <c r="BF320" i="312"/>
  <c r="BF319" i="312"/>
  <c r="BL319" i="312"/>
  <c r="CD319" i="312"/>
  <c r="BF316" i="312"/>
  <c r="BL316" i="312"/>
  <c r="BL315" i="312"/>
  <c r="M322" i="269"/>
  <c r="X360" i="269"/>
  <c r="Y360" i="269" s="1"/>
  <c r="BO353" i="312"/>
  <c r="P360" i="269" s="1"/>
  <c r="Q360" i="269" s="1"/>
  <c r="BL372" i="312"/>
  <c r="BF372" i="312"/>
  <c r="BL369" i="312"/>
  <c r="BF369" i="312"/>
  <c r="BT369" i="312" s="1"/>
  <c r="CD369" i="312"/>
  <c r="BL330" i="312"/>
  <c r="CD330" i="312"/>
  <c r="BF330" i="312"/>
  <c r="BT330" i="312" s="1"/>
  <c r="V321" i="269"/>
  <c r="W321" i="269" s="1"/>
  <c r="BD399" i="312"/>
  <c r="BD498" i="312" s="1"/>
  <c r="BO347" i="312"/>
  <c r="X354" i="269"/>
  <c r="Y354" i="269" s="1"/>
  <c r="CD332" i="312"/>
  <c r="BL332" i="312"/>
  <c r="BF332" i="312"/>
  <c r="BL331" i="312"/>
  <c r="BF331" i="312"/>
  <c r="BT331" i="312" s="1"/>
  <c r="CF337" i="312"/>
  <c r="CE337" i="312" s="1"/>
  <c r="CF397" i="312"/>
  <c r="CE397" i="312"/>
  <c r="CD394" i="312"/>
  <c r="BF394" i="312"/>
  <c r="BT394" i="312" s="1"/>
  <c r="CD377" i="312"/>
  <c r="BL374" i="312"/>
  <c r="M381" i="269"/>
  <c r="BF355" i="312"/>
  <c r="BT355" i="312" s="1"/>
  <c r="CF365" i="312"/>
  <c r="CE365" i="312"/>
  <c r="CD335" i="312"/>
  <c r="BF378" i="312"/>
  <c r="BT378" i="312" s="1"/>
  <c r="AR498" i="312"/>
  <c r="AN498" i="312"/>
  <c r="M399" i="269"/>
  <c r="N399" i="269" s="1"/>
  <c r="CF194" i="312"/>
  <c r="CE194" i="312" s="1"/>
  <c r="CF179" i="312"/>
  <c r="CE179" i="312" s="1"/>
  <c r="BO234" i="312"/>
  <c r="BK234" i="312" s="1"/>
  <c r="CD230" i="312"/>
  <c r="BF230" i="312"/>
  <c r="BT230" i="312" s="1"/>
  <c r="BL230" i="312"/>
  <c r="CQ179" i="312"/>
  <c r="M188" i="269"/>
  <c r="O188" i="269" s="1"/>
  <c r="BC313" i="312"/>
  <c r="CJ8" i="312"/>
  <c r="CU2" i="312"/>
  <c r="CR6" i="312" s="1"/>
  <c r="CJ2" i="312"/>
  <c r="BE313" i="312"/>
  <c r="BO178" i="312"/>
  <c r="X187" i="269"/>
  <c r="Y187" i="269" s="1"/>
  <c r="CF178" i="312"/>
  <c r="CE178" i="312" s="1"/>
  <c r="P259" i="269"/>
  <c r="CF222" i="312"/>
  <c r="CE222" i="312" s="1"/>
  <c r="CF218" i="312"/>
  <c r="CE218" i="312" s="1"/>
  <c r="BL249" i="312"/>
  <c r="CD249" i="312"/>
  <c r="BF249" i="312"/>
  <c r="BT249" i="312" s="1"/>
  <c r="CD252" i="312"/>
  <c r="BL252" i="312"/>
  <c r="BF252" i="312"/>
  <c r="BB313" i="312"/>
  <c r="CI8" i="312" s="1"/>
  <c r="CI2" i="312"/>
  <c r="CK2" i="312" s="1"/>
  <c r="CI11" i="312" s="1"/>
  <c r="BL197" i="312"/>
  <c r="CD309" i="312"/>
  <c r="BF309" i="312"/>
  <c r="BT309" i="312" s="1"/>
  <c r="BL309" i="312"/>
  <c r="CF298" i="312"/>
  <c r="CE298" i="312" s="1"/>
  <c r="CD306" i="312"/>
  <c r="BL306" i="312"/>
  <c r="BF306" i="312"/>
  <c r="X319" i="269"/>
  <c r="Y319" i="269" s="1"/>
  <c r="BO310" i="312"/>
  <c r="BO290" i="312"/>
  <c r="X299" i="269"/>
  <c r="Y299" i="269" s="1"/>
  <c r="M212" i="269"/>
  <c r="CQ203" i="312"/>
  <c r="X218" i="269"/>
  <c r="Y218" i="269" s="1"/>
  <c r="BO209" i="312"/>
  <c r="CD203" i="312"/>
  <c r="BL203" i="312"/>
  <c r="BF203" i="312"/>
  <c r="BO235" i="312"/>
  <c r="P244" i="269" s="1"/>
  <c r="Q244" i="269" s="1"/>
  <c r="AG244" i="269" s="1"/>
  <c r="H242" i="301" s="1"/>
  <c r="I242" i="301" s="1"/>
  <c r="L242" i="301" s="1"/>
  <c r="X244" i="269"/>
  <c r="Y244" i="269" s="1"/>
  <c r="CF292" i="312"/>
  <c r="CE292" i="312" s="1"/>
  <c r="BF274" i="312"/>
  <c r="BL274" i="312"/>
  <c r="M283" i="269"/>
  <c r="O283" i="269" s="1"/>
  <c r="CD271" i="312"/>
  <c r="BL271" i="312"/>
  <c r="CQ210" i="312"/>
  <c r="BL210" i="312"/>
  <c r="BF210" i="312"/>
  <c r="BF212" i="312"/>
  <c r="M221" i="269"/>
  <c r="O221" i="269" s="1"/>
  <c r="CQ212" i="312"/>
  <c r="BL199" i="312"/>
  <c r="BL187" i="312"/>
  <c r="BF305" i="312"/>
  <c r="BT305" i="312" s="1"/>
  <c r="BF273" i="312"/>
  <c r="BT273" i="312" s="1"/>
  <c r="CD273" i="312"/>
  <c r="M248" i="269"/>
  <c r="BL245" i="312"/>
  <c r="CD245" i="312"/>
  <c r="CF235" i="312"/>
  <c r="CE235" i="312"/>
  <c r="BL180" i="312"/>
  <c r="BL278" i="312"/>
  <c r="BL179" i="312"/>
  <c r="P498" i="312"/>
  <c r="P499" i="312" s="1"/>
  <c r="BF259" i="312"/>
  <c r="BT259" i="312" s="1"/>
  <c r="CD305" i="312"/>
  <c r="CQ202" i="312"/>
  <c r="BF184" i="312"/>
  <c r="M197" i="269"/>
  <c r="O197" i="269" s="1"/>
  <c r="V185" i="269"/>
  <c r="W185" i="269"/>
  <c r="W502" i="269" s="1"/>
  <c r="BD313" i="312"/>
  <c r="BF260" i="312"/>
  <c r="BT260" i="312" s="1"/>
  <c r="BF183" i="312"/>
  <c r="BT183" i="312" s="1"/>
  <c r="CD183" i="312"/>
  <c r="BF288" i="312"/>
  <c r="BT288" i="312" s="1"/>
  <c r="BO288" i="312" s="1"/>
  <c r="P297" i="269" s="1"/>
  <c r="CD288" i="312"/>
  <c r="AB498" i="312"/>
  <c r="AB499" i="312"/>
  <c r="M320" i="269"/>
  <c r="O320" i="269" s="1"/>
  <c r="AS498" i="312"/>
  <c r="AS499" i="312" s="1"/>
  <c r="AP498" i="312"/>
  <c r="M208" i="269"/>
  <c r="N208" i="269" s="1"/>
  <c r="AO498" i="312"/>
  <c r="G498" i="312"/>
  <c r="G499" i="312"/>
  <c r="BD174" i="312"/>
  <c r="BL20" i="312"/>
  <c r="BF20" i="312"/>
  <c r="BT20" i="312" s="1"/>
  <c r="CD20" i="312"/>
  <c r="CF52" i="312"/>
  <c r="CE52" i="312" s="1"/>
  <c r="BL126" i="312"/>
  <c r="M37" i="269"/>
  <c r="N37" i="269" s="1"/>
  <c r="CU1" i="312"/>
  <c r="BC174" i="312"/>
  <c r="BF27" i="312"/>
  <c r="CQ27" i="312"/>
  <c r="CJ1" i="312"/>
  <c r="M51" i="269"/>
  <c r="N51" i="269" s="1"/>
  <c r="CQ41" i="312"/>
  <c r="BL34" i="312"/>
  <c r="CD34" i="312"/>
  <c r="BF34" i="312"/>
  <c r="BT34" i="312" s="1"/>
  <c r="CQ33" i="312"/>
  <c r="M43" i="269"/>
  <c r="O43" i="269" s="1"/>
  <c r="BE174" i="312"/>
  <c r="BE498" i="312" s="1"/>
  <c r="BL129" i="312"/>
  <c r="BF129" i="312"/>
  <c r="CD41" i="312"/>
  <c r="BL41" i="312"/>
  <c r="BF41" i="312"/>
  <c r="BT41" i="312" s="1"/>
  <c r="CD33" i="312"/>
  <c r="BL33" i="312"/>
  <c r="BF33" i="312"/>
  <c r="BT33" i="312" s="1"/>
  <c r="BF32" i="312"/>
  <c r="BT32" i="312" s="1"/>
  <c r="M42" i="269"/>
  <c r="CQ32" i="312"/>
  <c r="BL32" i="312"/>
  <c r="BF168" i="312"/>
  <c r="BT168" i="312" s="1"/>
  <c r="BL168" i="312"/>
  <c r="CF39" i="312"/>
  <c r="CE39" i="312" s="1"/>
  <c r="BL171" i="312"/>
  <c r="CD171" i="312"/>
  <c r="BF171" i="312"/>
  <c r="BT171" i="312" s="1"/>
  <c r="CD95" i="312"/>
  <c r="BF101" i="312"/>
  <c r="BL101" i="312"/>
  <c r="CD104" i="312"/>
  <c r="BL104" i="312"/>
  <c r="M179" i="269"/>
  <c r="M82" i="269"/>
  <c r="CD99" i="312"/>
  <c r="CI1" i="312"/>
  <c r="CK1" i="312" s="1"/>
  <c r="BL7" i="312"/>
  <c r="BB174" i="312"/>
  <c r="BF7" i="312"/>
  <c r="BT7" i="312" s="1"/>
  <c r="AG211" i="269"/>
  <c r="H209" i="301" s="1"/>
  <c r="I209" i="301" s="1"/>
  <c r="L209" i="301" s="1"/>
  <c r="N209" i="301" s="1"/>
  <c r="N335" i="269"/>
  <c r="O335" i="269"/>
  <c r="N61" i="269"/>
  <c r="O61" i="269"/>
  <c r="N212" i="269"/>
  <c r="O212" i="269"/>
  <c r="N90" i="269"/>
  <c r="N99" i="269"/>
  <c r="O99" i="269"/>
  <c r="N170" i="269"/>
  <c r="O170" i="269"/>
  <c r="N49" i="269"/>
  <c r="O49" i="269"/>
  <c r="N383" i="269"/>
  <c r="O383" i="269"/>
  <c r="N323" i="269"/>
  <c r="N302" i="269"/>
  <c r="O302" i="269"/>
  <c r="N359" i="269"/>
  <c r="O359" i="269"/>
  <c r="N179" i="269"/>
  <c r="O179" i="269"/>
  <c r="N197" i="269"/>
  <c r="N322" i="269"/>
  <c r="O322" i="269"/>
  <c r="N129" i="269"/>
  <c r="N191" i="269"/>
  <c r="O191" i="269"/>
  <c r="N48" i="269"/>
  <c r="N392" i="269"/>
  <c r="O392" i="269"/>
  <c r="O51" i="269"/>
  <c r="N132" i="269"/>
  <c r="O132" i="269"/>
  <c r="N294" i="269"/>
  <c r="O352" i="269"/>
  <c r="N35" i="269"/>
  <c r="O35" i="269"/>
  <c r="N56" i="269"/>
  <c r="O56" i="269"/>
  <c r="N195" i="269"/>
  <c r="O195" i="269"/>
  <c r="O479" i="269"/>
  <c r="N487" i="269"/>
  <c r="N40" i="269"/>
  <c r="O40" i="269"/>
  <c r="N130" i="269"/>
  <c r="O130" i="269"/>
  <c r="N198" i="269"/>
  <c r="O198" i="269"/>
  <c r="N367" i="269"/>
  <c r="O367" i="269"/>
  <c r="O121" i="269"/>
  <c r="N316" i="269"/>
  <c r="O316" i="269"/>
  <c r="N103" i="269"/>
  <c r="O103" i="269"/>
  <c r="N135" i="269"/>
  <c r="O135" i="269"/>
  <c r="N273" i="269"/>
  <c r="O273" i="269"/>
  <c r="N439" i="269"/>
  <c r="O439" i="269"/>
  <c r="N100" i="269"/>
  <c r="O100" i="269"/>
  <c r="N224" i="269"/>
  <c r="N86" i="269"/>
  <c r="O86" i="269"/>
  <c r="N290" i="269"/>
  <c r="O290" i="269"/>
  <c r="N165" i="269"/>
  <c r="O165" i="269"/>
  <c r="N364" i="269"/>
  <c r="O364" i="269"/>
  <c r="N291" i="269"/>
  <c r="N82" i="269"/>
  <c r="O82" i="269"/>
  <c r="N188" i="269"/>
  <c r="N110" i="269"/>
  <c r="O110" i="269"/>
  <c r="O45" i="269"/>
  <c r="N47" i="269"/>
  <c r="O47" i="269"/>
  <c r="N122" i="269"/>
  <c r="O122" i="269"/>
  <c r="N22" i="269"/>
  <c r="O22" i="269"/>
  <c r="Q259" i="269"/>
  <c r="N429" i="269"/>
  <c r="O415" i="269"/>
  <c r="N96" i="269"/>
  <c r="O96" i="269"/>
  <c r="N319" i="269"/>
  <c r="O319" i="269"/>
  <c r="R511" i="269"/>
  <c r="V502" i="269"/>
  <c r="AQ8" i="318"/>
  <c r="BK341" i="312"/>
  <c r="BK297" i="312"/>
  <c r="P253" i="269"/>
  <c r="CF490" i="312"/>
  <c r="CE490" i="312" s="1"/>
  <c r="CF495" i="312"/>
  <c r="CE495" i="312" s="1"/>
  <c r="CF400" i="312"/>
  <c r="CE400" i="312" s="1"/>
  <c r="X445" i="269"/>
  <c r="Y445" i="269" s="1"/>
  <c r="CF443" i="312"/>
  <c r="CE443" i="312" s="1"/>
  <c r="X417" i="269"/>
  <c r="Y417" i="269"/>
  <c r="BO431" i="312"/>
  <c r="P436" i="269" s="1"/>
  <c r="Q436" i="269" s="1"/>
  <c r="X493" i="269"/>
  <c r="Y493" i="269" s="1"/>
  <c r="CF467" i="312"/>
  <c r="CE467" i="312"/>
  <c r="CF403" i="312"/>
  <c r="CE403" i="312" s="1"/>
  <c r="CF473" i="312"/>
  <c r="CE473" i="312" s="1"/>
  <c r="CF402" i="312"/>
  <c r="CE402" i="312" s="1"/>
  <c r="BO476" i="312"/>
  <c r="P481" i="269" s="1"/>
  <c r="Q481" i="269" s="1"/>
  <c r="CF494" i="312"/>
  <c r="CE494" i="312" s="1"/>
  <c r="CF491" i="312"/>
  <c r="CE491" i="312" s="1"/>
  <c r="CF352" i="312"/>
  <c r="CE352" i="312" s="1"/>
  <c r="CF350" i="312"/>
  <c r="CE350" i="312" s="1"/>
  <c r="P355" i="269"/>
  <c r="Q355" i="269" s="1"/>
  <c r="CF197" i="312"/>
  <c r="CE197" i="312" s="1"/>
  <c r="CF257" i="312"/>
  <c r="CE257" i="312" s="1"/>
  <c r="X320" i="269"/>
  <c r="Y320" i="269" s="1"/>
  <c r="BO311" i="312"/>
  <c r="CF279" i="312"/>
  <c r="CE279" i="312" s="1"/>
  <c r="CF258" i="312"/>
  <c r="CE258" i="312" s="1"/>
  <c r="P298" i="269"/>
  <c r="Q298" i="269" s="1"/>
  <c r="BK289" i="312"/>
  <c r="CF220" i="312"/>
  <c r="CE220" i="312" s="1"/>
  <c r="CF180" i="312"/>
  <c r="CE180" i="312"/>
  <c r="BO261" i="312"/>
  <c r="X270" i="269"/>
  <c r="Y270" i="269" s="1"/>
  <c r="BK37" i="312"/>
  <c r="X55" i="269"/>
  <c r="Y55" i="269" s="1"/>
  <c r="X47" i="269"/>
  <c r="Y47" i="269" s="1"/>
  <c r="CF139" i="312"/>
  <c r="CE139" i="312" s="1"/>
  <c r="CF117" i="312"/>
  <c r="CE117" i="312" s="1"/>
  <c r="CF29" i="312"/>
  <c r="CE29" i="312" s="1"/>
  <c r="CF10" i="312"/>
  <c r="CE10" i="312" s="1"/>
  <c r="CF36" i="312"/>
  <c r="CE36" i="312" s="1"/>
  <c r="CF64" i="312"/>
  <c r="CE64" i="312" s="1"/>
  <c r="BK57" i="312"/>
  <c r="P67" i="269"/>
  <c r="Q67" i="269" s="1"/>
  <c r="BO51" i="312"/>
  <c r="P61" i="269"/>
  <c r="Q61" i="269" s="1"/>
  <c r="X61" i="269"/>
  <c r="Y61" i="269" s="1"/>
  <c r="CF51" i="312"/>
  <c r="CE51" i="312" s="1"/>
  <c r="CF118" i="312"/>
  <c r="CE118" i="312"/>
  <c r="P156" i="269"/>
  <c r="Q156" i="269" s="1"/>
  <c r="CF21" i="312"/>
  <c r="CE21" i="312"/>
  <c r="CF96" i="312"/>
  <c r="CE96" i="312" s="1"/>
  <c r="CF121" i="312"/>
  <c r="CE121" i="312" s="1"/>
  <c r="X179" i="269"/>
  <c r="Y179" i="269"/>
  <c r="CF23" i="312"/>
  <c r="CE23" i="312" s="1"/>
  <c r="X67" i="269"/>
  <c r="Y67" i="269" s="1"/>
  <c r="X146" i="269"/>
  <c r="Y146" i="269" s="1"/>
  <c r="CF132" i="312"/>
  <c r="CE132" i="312" s="1"/>
  <c r="X74" i="269"/>
  <c r="Y74" i="269" s="1"/>
  <c r="CF19" i="312"/>
  <c r="CE19" i="312" s="1"/>
  <c r="CF90" i="312"/>
  <c r="CE90" i="312" s="1"/>
  <c r="BO45" i="312"/>
  <c r="BK45" i="312" s="1"/>
  <c r="CF147" i="312"/>
  <c r="CE147" i="312" s="1"/>
  <c r="CF60" i="312"/>
  <c r="CE60" i="312"/>
  <c r="BO76" i="312"/>
  <c r="CF163" i="312"/>
  <c r="CE163" i="312"/>
  <c r="BO106" i="312"/>
  <c r="X116" i="269"/>
  <c r="Y116" i="269" s="1"/>
  <c r="X126" i="269"/>
  <c r="Y126" i="269" s="1"/>
  <c r="CF106" i="312"/>
  <c r="CE106" i="312" s="1"/>
  <c r="CF124" i="312"/>
  <c r="CE124" i="312"/>
  <c r="X110" i="269"/>
  <c r="Y110" i="269" s="1"/>
  <c r="CF50" i="312"/>
  <c r="CE50" i="312" s="1"/>
  <c r="BO72" i="312"/>
  <c r="X82" i="269"/>
  <c r="Y82" i="269" s="1"/>
  <c r="CF24" i="312"/>
  <c r="CE24" i="312" s="1"/>
  <c r="X114" i="269"/>
  <c r="Y114" i="269" s="1"/>
  <c r="X151" i="269"/>
  <c r="Y151" i="269" s="1"/>
  <c r="BO141" i="312"/>
  <c r="CF108" i="312"/>
  <c r="CE108" i="312" s="1"/>
  <c r="CF172" i="312"/>
  <c r="CE172" i="312" s="1"/>
  <c r="CF70" i="312"/>
  <c r="CE70" i="312"/>
  <c r="CF107" i="312"/>
  <c r="CE107" i="312" s="1"/>
  <c r="CF130" i="312"/>
  <c r="CE130" i="312" s="1"/>
  <c r="CF127" i="312"/>
  <c r="CE127" i="312" s="1"/>
  <c r="BO169" i="312"/>
  <c r="BK169" i="312" s="1"/>
  <c r="CF73" i="312"/>
  <c r="CE73" i="312" s="1"/>
  <c r="CF158" i="312"/>
  <c r="CE158" i="312" s="1"/>
  <c r="CF133" i="312"/>
  <c r="CE133" i="312"/>
  <c r="CF148" i="312"/>
  <c r="CE148" i="312" s="1"/>
  <c r="CF56" i="312"/>
  <c r="CE56" i="312"/>
  <c r="CF103" i="312"/>
  <c r="CE103" i="312" s="1"/>
  <c r="BO163" i="312"/>
  <c r="X173" i="269"/>
  <c r="Y173" i="269" s="1"/>
  <c r="CF31" i="312"/>
  <c r="CE31" i="312"/>
  <c r="BO98" i="312"/>
  <c r="P22" i="269"/>
  <c r="X127" i="269"/>
  <c r="Y127" i="269" s="1"/>
  <c r="CF65" i="312"/>
  <c r="CE65" i="312" s="1"/>
  <c r="CF67" i="312"/>
  <c r="CE67" i="312" s="1"/>
  <c r="BO9" i="312"/>
  <c r="P19" i="269" s="1"/>
  <c r="Q19" i="269" s="1"/>
  <c r="CF142" i="312"/>
  <c r="CE142" i="312" s="1"/>
  <c r="CF243" i="312"/>
  <c r="CE243" i="312" s="1"/>
  <c r="BO206" i="312"/>
  <c r="BK206" i="312" s="1"/>
  <c r="X215" i="269"/>
  <c r="Y215" i="269"/>
  <c r="X483" i="269"/>
  <c r="Y483" i="269" s="1"/>
  <c r="BO478" i="312"/>
  <c r="P483" i="269" s="1"/>
  <c r="CF125" i="312"/>
  <c r="CE125" i="312" s="1"/>
  <c r="CF152" i="312"/>
  <c r="CE152" i="312" s="1"/>
  <c r="CF343" i="312"/>
  <c r="CE343" i="312" s="1"/>
  <c r="CF58" i="312"/>
  <c r="CE58" i="312" s="1"/>
  <c r="CF367" i="312"/>
  <c r="CE367" i="312" s="1"/>
  <c r="CF157" i="312"/>
  <c r="CE157" i="312" s="1"/>
  <c r="CF489" i="312"/>
  <c r="CE489" i="312" s="1"/>
  <c r="CF115" i="312"/>
  <c r="CE115" i="312"/>
  <c r="CF293" i="312"/>
  <c r="CE293" i="312" s="1"/>
  <c r="CF215" i="312"/>
  <c r="CE215" i="312" s="1"/>
  <c r="CF268" i="312"/>
  <c r="CE268" i="312" s="1"/>
  <c r="BO126" i="312"/>
  <c r="BK126" i="312" s="1"/>
  <c r="X136" i="269"/>
  <c r="Y136" i="269" s="1"/>
  <c r="CF308" i="312"/>
  <c r="CE308" i="312" s="1"/>
  <c r="CF286" i="312"/>
  <c r="CE286" i="312" s="1"/>
  <c r="P287" i="269"/>
  <c r="Q287" i="269" s="1"/>
  <c r="AG287" i="269" s="1"/>
  <c r="H285" i="301" s="1"/>
  <c r="I285" i="301" s="1"/>
  <c r="L285" i="301" s="1"/>
  <c r="CF276" i="312"/>
  <c r="CE276" i="312" s="1"/>
  <c r="CF455" i="312"/>
  <c r="CE455" i="312"/>
  <c r="CF387" i="312"/>
  <c r="CE387" i="312" s="1"/>
  <c r="CF451" i="312"/>
  <c r="CE451" i="312" s="1"/>
  <c r="X440" i="269"/>
  <c r="Y440" i="269" s="1"/>
  <c r="BO435" i="312"/>
  <c r="P440" i="269" s="1"/>
  <c r="Q440" i="269" s="1"/>
  <c r="BO96" i="312"/>
  <c r="X106" i="269"/>
  <c r="Y106" i="269" s="1"/>
  <c r="X213" i="269"/>
  <c r="Y213" i="269"/>
  <c r="BO204" i="312"/>
  <c r="BK204" i="312" s="1"/>
  <c r="X80" i="269"/>
  <c r="Y80" i="269" s="1"/>
  <c r="BO70" i="312"/>
  <c r="P80" i="269" s="1"/>
  <c r="Q80" i="269" s="1"/>
  <c r="X228" i="269"/>
  <c r="Y228" i="269" s="1"/>
  <c r="BO219" i="312"/>
  <c r="X133" i="269"/>
  <c r="Y133" i="269"/>
  <c r="BO123" i="312"/>
  <c r="CF428" i="312"/>
  <c r="CE428" i="312" s="1"/>
  <c r="CF272" i="312"/>
  <c r="CE272" i="312" s="1"/>
  <c r="BO213" i="312"/>
  <c r="X222" i="269"/>
  <c r="Y222" i="269" s="1"/>
  <c r="AG222" i="269" s="1"/>
  <c r="H220" i="301" s="1"/>
  <c r="I220" i="301" s="1"/>
  <c r="L220" i="301" s="1"/>
  <c r="BO139" i="312"/>
  <c r="X149" i="269"/>
  <c r="Y149" i="269" s="1"/>
  <c r="CF336" i="312"/>
  <c r="CE336" i="312" s="1"/>
  <c r="CF441" i="312"/>
  <c r="CE441" i="312" s="1"/>
  <c r="CF406" i="312"/>
  <c r="CE406" i="312" s="1"/>
  <c r="CF40" i="312"/>
  <c r="CE40" i="312"/>
  <c r="CF375" i="312"/>
  <c r="CE375" i="312" s="1"/>
  <c r="CF460" i="312"/>
  <c r="CE460" i="312" s="1"/>
  <c r="CF370" i="312"/>
  <c r="CE370" i="312"/>
  <c r="CF427" i="312"/>
  <c r="CE427" i="312" s="1"/>
  <c r="X183" i="269"/>
  <c r="Y183" i="269" s="1"/>
  <c r="BO173" i="312"/>
  <c r="BO231" i="312"/>
  <c r="X240" i="269"/>
  <c r="Y240" i="269" s="1"/>
  <c r="BO445" i="312"/>
  <c r="P450" i="269"/>
  <c r="Q450" i="269" s="1"/>
  <c r="CF327" i="312"/>
  <c r="CE327" i="312" s="1"/>
  <c r="X104" i="269"/>
  <c r="Y104" i="269" s="1"/>
  <c r="BO94" i="312"/>
  <c r="P104" i="269" s="1"/>
  <c r="X486" i="269"/>
  <c r="Y486" i="269" s="1"/>
  <c r="BO481" i="312"/>
  <c r="P486" i="269" s="1"/>
  <c r="Q486" i="269" s="1"/>
  <c r="X52" i="269"/>
  <c r="Y52" i="269" s="1"/>
  <c r="AG52" i="269" s="1"/>
  <c r="H50" i="301" s="1"/>
  <c r="I50" i="301" s="1"/>
  <c r="L50" i="301" s="1"/>
  <c r="BO42" i="312"/>
  <c r="P52" i="269" s="1"/>
  <c r="X190" i="269"/>
  <c r="Y190" i="269"/>
  <c r="BO181" i="312"/>
  <c r="BO47" i="312"/>
  <c r="X57" i="269"/>
  <c r="Y57" i="269"/>
  <c r="BO479" i="312"/>
  <c r="P484" i="269" s="1"/>
  <c r="Q484" i="269" s="1"/>
  <c r="BO121" i="312"/>
  <c r="P131" i="269" s="1"/>
  <c r="X131" i="269"/>
  <c r="Y131" i="269" s="1"/>
  <c r="X414" i="269"/>
  <c r="Y414" i="269"/>
  <c r="BO409" i="312"/>
  <c r="P414" i="269" s="1"/>
  <c r="Q414" i="269" s="1"/>
  <c r="CF151" i="312"/>
  <c r="CE151" i="312" s="1"/>
  <c r="CF122" i="312"/>
  <c r="CE122" i="312" s="1"/>
  <c r="CF196" i="312"/>
  <c r="CE196" i="312" s="1"/>
  <c r="CF388" i="312"/>
  <c r="CE388" i="312"/>
  <c r="CF226" i="312"/>
  <c r="CE226" i="312" s="1"/>
  <c r="X346" i="269"/>
  <c r="Y346" i="269" s="1"/>
  <c r="BO339" i="312"/>
  <c r="BK87" i="312"/>
  <c r="P97" i="269"/>
  <c r="BO269" i="312"/>
  <c r="BK269" i="312" s="1"/>
  <c r="X278" i="269"/>
  <c r="Y278" i="269"/>
  <c r="BO150" i="312"/>
  <c r="BK150" i="312" s="1"/>
  <c r="X285" i="269"/>
  <c r="Y285" i="269" s="1"/>
  <c r="CF377" i="312"/>
  <c r="CE377" i="312" s="1"/>
  <c r="CF91" i="312"/>
  <c r="CE91" i="312" s="1"/>
  <c r="CF93" i="312"/>
  <c r="CE93" i="312" s="1"/>
  <c r="X34" i="269"/>
  <c r="Y34" i="269" s="1"/>
  <c r="BO24" i="312"/>
  <c r="BO295" i="312"/>
  <c r="X304" i="269"/>
  <c r="Y304" i="269" s="1"/>
  <c r="CF112" i="312"/>
  <c r="CE112" i="312" s="1"/>
  <c r="X189" i="269"/>
  <c r="Y189" i="269" s="1"/>
  <c r="BO180" i="312"/>
  <c r="CF493" i="312"/>
  <c r="CE493" i="312" s="1"/>
  <c r="X54" i="269"/>
  <c r="Y54" i="269" s="1"/>
  <c r="BO44" i="312"/>
  <c r="BK44" i="312" s="1"/>
  <c r="CF26" i="312"/>
  <c r="CE26" i="312"/>
  <c r="BK266" i="312"/>
  <c r="P275" i="269"/>
  <c r="CF411" i="312"/>
  <c r="CE411" i="312" s="1"/>
  <c r="CF207" i="312"/>
  <c r="CE207" i="312" s="1"/>
  <c r="CF78" i="312"/>
  <c r="CE78" i="312" s="1"/>
  <c r="CF68" i="312"/>
  <c r="CE68" i="312"/>
  <c r="CF100" i="312"/>
  <c r="CE100" i="312"/>
  <c r="CF434" i="312"/>
  <c r="CE434" i="312" s="1"/>
  <c r="CF447" i="312"/>
  <c r="CE447" i="312" s="1"/>
  <c r="CF439" i="312"/>
  <c r="CE439" i="312" s="1"/>
  <c r="CF426" i="312"/>
  <c r="CE426" i="312" s="1"/>
  <c r="CF43" i="312"/>
  <c r="CE43" i="312" s="1"/>
  <c r="BO358" i="312"/>
  <c r="BK358" i="312" s="1"/>
  <c r="X365" i="269"/>
  <c r="Y365" i="269" s="1"/>
  <c r="CF28" i="312"/>
  <c r="CE28" i="312" s="1"/>
  <c r="CF14" i="312"/>
  <c r="CE14" i="312" s="1"/>
  <c r="X170" i="269"/>
  <c r="Y170" i="269" s="1"/>
  <c r="BO160" i="312"/>
  <c r="CF81" i="312"/>
  <c r="CE81" i="312" s="1"/>
  <c r="CF303" i="312"/>
  <c r="CE303" i="312" s="1"/>
  <c r="BO423" i="312"/>
  <c r="P428" i="269"/>
  <c r="Q428" i="269" s="1"/>
  <c r="X428" i="269"/>
  <c r="Y428" i="269" s="1"/>
  <c r="BO247" i="312"/>
  <c r="X256" i="269"/>
  <c r="Y256" i="269" s="1"/>
  <c r="CF296" i="312"/>
  <c r="CE296" i="312" s="1"/>
  <c r="X109" i="269"/>
  <c r="Y109" i="269" s="1"/>
  <c r="BO99" i="312"/>
  <c r="P109" i="269" s="1"/>
  <c r="CF254" i="312"/>
  <c r="CE254" i="312" s="1"/>
  <c r="P127" i="269"/>
  <c r="Q127" i="269" s="1"/>
  <c r="CF75" i="312"/>
  <c r="CE75" i="312" s="1"/>
  <c r="CF391" i="312"/>
  <c r="CE391" i="312" s="1"/>
  <c r="CF66" i="312"/>
  <c r="CE66" i="312" s="1"/>
  <c r="CF216" i="312"/>
  <c r="CE216" i="312"/>
  <c r="BK100" i="312"/>
  <c r="X129" i="269"/>
  <c r="Y129" i="269"/>
  <c r="BO119" i="312"/>
  <c r="CF357" i="312"/>
  <c r="CE357" i="312" s="1"/>
  <c r="CF492" i="312"/>
  <c r="CE492" i="312" s="1"/>
  <c r="CF360" i="312"/>
  <c r="CE360" i="312" s="1"/>
  <c r="CF89" i="312"/>
  <c r="CE89" i="312" s="1"/>
  <c r="CF444" i="312"/>
  <c r="CE444" i="312" s="1"/>
  <c r="CF46" i="312"/>
  <c r="CE46" i="312" s="1"/>
  <c r="BO223" i="312"/>
  <c r="P232" i="269" s="1"/>
  <c r="X232" i="269"/>
  <c r="Y232" i="269" s="1"/>
  <c r="CF61" i="312"/>
  <c r="CE61" i="312" s="1"/>
  <c r="X397" i="269"/>
  <c r="Y397" i="269" s="1"/>
  <c r="BO390" i="312"/>
  <c r="P397" i="269" s="1"/>
  <c r="Q397" i="269" s="1"/>
  <c r="CF189" i="312"/>
  <c r="CE189" i="312" s="1"/>
  <c r="X29" i="269"/>
  <c r="Y29" i="269" s="1"/>
  <c r="CF419" i="312"/>
  <c r="CE419" i="312" s="1"/>
  <c r="X264" i="269"/>
  <c r="Y264" i="269" s="1"/>
  <c r="BO255" i="312"/>
  <c r="CF294" i="312"/>
  <c r="CE294" i="312" s="1"/>
  <c r="CF155" i="312"/>
  <c r="CE155" i="312" s="1"/>
  <c r="CF404" i="312"/>
  <c r="CE404" i="312" s="1"/>
  <c r="CF335" i="312"/>
  <c r="CE335" i="312" s="1"/>
  <c r="CF442" i="312"/>
  <c r="CE442" i="312"/>
  <c r="CF457" i="312"/>
  <c r="CE457" i="312" s="1"/>
  <c r="X250" i="269"/>
  <c r="Y250" i="269" s="1"/>
  <c r="BO241" i="312"/>
  <c r="BO238" i="312"/>
  <c r="X247" i="269"/>
  <c r="Y247" i="269" s="1"/>
  <c r="BK191" i="312"/>
  <c r="P200" i="269"/>
  <c r="Q200" i="269" s="1"/>
  <c r="AG200" i="269" s="1"/>
  <c r="H198" i="301" s="1"/>
  <c r="I198" i="301" s="1"/>
  <c r="L198" i="301" s="1"/>
  <c r="N198" i="301" s="1"/>
  <c r="X70" i="269"/>
  <c r="Y70" i="269" s="1"/>
  <c r="BO60" i="312"/>
  <c r="CF376" i="312"/>
  <c r="CE376" i="312" s="1"/>
  <c r="CF280" i="312"/>
  <c r="CE280" i="312" s="1"/>
  <c r="BO8" i="312"/>
  <c r="X18" i="269"/>
  <c r="Y18" i="269" s="1"/>
  <c r="CF49" i="312"/>
  <c r="CE49" i="312" s="1"/>
  <c r="CF185" i="312"/>
  <c r="CE185" i="312" s="1"/>
  <c r="X72" i="269"/>
  <c r="Y72" i="269"/>
  <c r="CF299" i="312"/>
  <c r="CE299" i="312" s="1"/>
  <c r="CF445" i="312"/>
  <c r="CE445" i="312"/>
  <c r="CF281" i="312"/>
  <c r="CE281" i="312" s="1"/>
  <c r="CF199" i="312"/>
  <c r="CE199" i="312" s="1"/>
  <c r="CF256" i="312"/>
  <c r="CE256" i="312" s="1"/>
  <c r="CF418" i="312"/>
  <c r="CE418" i="312"/>
  <c r="CF265" i="312"/>
  <c r="CE265" i="312" s="1"/>
  <c r="CF79" i="312"/>
  <c r="CE79" i="312" s="1"/>
  <c r="BO345" i="312"/>
  <c r="CF154" i="312"/>
  <c r="CE154" i="312" s="1"/>
  <c r="CF361" i="312"/>
  <c r="CE361" i="312" s="1"/>
  <c r="X148" i="269"/>
  <c r="Y148" i="269"/>
  <c r="BO138" i="312"/>
  <c r="P148" i="269" s="1"/>
  <c r="Q148" i="269" s="1"/>
  <c r="AG148" i="269" s="1"/>
  <c r="H146" i="301" s="1"/>
  <c r="I146" i="301" s="1"/>
  <c r="L146" i="301" s="1"/>
  <c r="N146" i="301" s="1"/>
  <c r="CF245" i="312"/>
  <c r="CE245" i="312" s="1"/>
  <c r="BO159" i="312"/>
  <c r="X169" i="269"/>
  <c r="Y169" i="269" s="1"/>
  <c r="CF251" i="312"/>
  <c r="CE251" i="312" s="1"/>
  <c r="CF188" i="312"/>
  <c r="CE188" i="312" s="1"/>
  <c r="CF110" i="312"/>
  <c r="CE110" i="312" s="1"/>
  <c r="P142" i="269"/>
  <c r="Q142" i="269" s="1"/>
  <c r="F321" i="269"/>
  <c r="BE2" i="318"/>
  <c r="BD2" i="318"/>
  <c r="H142" i="269"/>
  <c r="CF437" i="312"/>
  <c r="CE437" i="312" s="1"/>
  <c r="CF480" i="312"/>
  <c r="CE480" i="312" s="1"/>
  <c r="CF472" i="312"/>
  <c r="CE472" i="312" s="1"/>
  <c r="CF413" i="312"/>
  <c r="CE413" i="312" s="1"/>
  <c r="CF416" i="312"/>
  <c r="CE416" i="312" s="1"/>
  <c r="BO482" i="312"/>
  <c r="P487" i="269" s="1"/>
  <c r="Q487" i="269" s="1"/>
  <c r="X487" i="269"/>
  <c r="Y487" i="269" s="1"/>
  <c r="CF401" i="312"/>
  <c r="CE401" i="312" s="1"/>
  <c r="CF430" i="312"/>
  <c r="CE430" i="312"/>
  <c r="CF438" i="312"/>
  <c r="CE438" i="312" s="1"/>
  <c r="X478" i="269"/>
  <c r="Y478" i="269"/>
  <c r="BO473" i="312"/>
  <c r="P478" i="269" s="1"/>
  <c r="Q478" i="269" s="1"/>
  <c r="X480" i="269"/>
  <c r="Y480" i="269" s="1"/>
  <c r="BO475" i="312"/>
  <c r="P480" i="269" s="1"/>
  <c r="Q480" i="269"/>
  <c r="CF464" i="312"/>
  <c r="CE464" i="312" s="1"/>
  <c r="CF450" i="312"/>
  <c r="CE450" i="312" s="1"/>
  <c r="X488" i="269"/>
  <c r="Y488" i="269"/>
  <c r="BO483" i="312"/>
  <c r="P488" i="269" s="1"/>
  <c r="Q488" i="269" s="1"/>
  <c r="AG488" i="269" s="1"/>
  <c r="H486" i="301" s="1"/>
  <c r="I486" i="301" s="1"/>
  <c r="CF424" i="312"/>
  <c r="CE424" i="312" s="1"/>
  <c r="CF422" i="312"/>
  <c r="CE422" i="312" s="1"/>
  <c r="CF485" i="312"/>
  <c r="CE485" i="312" s="1"/>
  <c r="Y425" i="269"/>
  <c r="BO420" i="312"/>
  <c r="P425" i="269" s="1"/>
  <c r="Q425" i="269" s="1"/>
  <c r="CF458" i="312"/>
  <c r="CE458" i="312" s="1"/>
  <c r="BO443" i="312"/>
  <c r="P448" i="269" s="1"/>
  <c r="Q448" i="269"/>
  <c r="X448" i="269"/>
  <c r="Y448" i="269" s="1"/>
  <c r="P373" i="269"/>
  <c r="BK366" i="312"/>
  <c r="CF369" i="312"/>
  <c r="CE369" i="312" s="1"/>
  <c r="CF384" i="312"/>
  <c r="CE384" i="312" s="1"/>
  <c r="CF324" i="312"/>
  <c r="CE324" i="312" s="1"/>
  <c r="X384" i="269"/>
  <c r="Y384" i="269" s="1"/>
  <c r="CF325" i="312"/>
  <c r="CE325" i="312" s="1"/>
  <c r="BO333" i="312"/>
  <c r="X340" i="269"/>
  <c r="Y340" i="269" s="1"/>
  <c r="X349" i="269"/>
  <c r="Y349" i="269" s="1"/>
  <c r="BO342" i="312"/>
  <c r="BK342" i="312" s="1"/>
  <c r="BO386" i="312"/>
  <c r="BK386" i="312" s="1"/>
  <c r="X393" i="269"/>
  <c r="Y393" i="269"/>
  <c r="CF331" i="312"/>
  <c r="CE331" i="312" s="1"/>
  <c r="BO383" i="312"/>
  <c r="X390" i="269"/>
  <c r="Y390" i="269" s="1"/>
  <c r="X378" i="269"/>
  <c r="Y378" i="269" s="1"/>
  <c r="BO371" i="312"/>
  <c r="P378" i="269" s="1"/>
  <c r="Q378" i="269" s="1"/>
  <c r="AG378" i="269" s="1"/>
  <c r="CF321" i="312"/>
  <c r="CE321" i="312" s="1"/>
  <c r="CF378" i="312"/>
  <c r="CE378" i="312" s="1"/>
  <c r="CF394" i="312"/>
  <c r="CE394" i="312"/>
  <c r="BO368" i="312"/>
  <c r="X375" i="269"/>
  <c r="Y375" i="269" s="1"/>
  <c r="BO374" i="312"/>
  <c r="CF389" i="312"/>
  <c r="CE389" i="312"/>
  <c r="X389" i="269"/>
  <c r="Y389" i="269" s="1"/>
  <c r="BO382" i="312"/>
  <c r="BO365" i="312"/>
  <c r="BK365" i="312" s="1"/>
  <c r="X372" i="269"/>
  <c r="Y372" i="269" s="1"/>
  <c r="X404" i="269"/>
  <c r="Y404" i="269" s="1"/>
  <c r="BO397" i="312"/>
  <c r="P404" i="269" s="1"/>
  <c r="Q404" i="269" s="1"/>
  <c r="CF330" i="312"/>
  <c r="CE330" i="312" s="1"/>
  <c r="CF359" i="312"/>
  <c r="CE359" i="312" s="1"/>
  <c r="BO337" i="312"/>
  <c r="X344" i="269"/>
  <c r="Y344" i="269"/>
  <c r="X362" i="269"/>
  <c r="Y362" i="269" s="1"/>
  <c r="BO355" i="312"/>
  <c r="P362" i="269" s="1"/>
  <c r="Q362" i="269" s="1"/>
  <c r="X227" i="269"/>
  <c r="Y227" i="269"/>
  <c r="BO218" i="312"/>
  <c r="P227" i="269" s="1"/>
  <c r="Q227" i="269" s="1"/>
  <c r="AG227" i="269" s="1"/>
  <c r="H225" i="301" s="1"/>
  <c r="I225" i="301" s="1"/>
  <c r="L225" i="301" s="1"/>
  <c r="CF259" i="312"/>
  <c r="CE259" i="312" s="1"/>
  <c r="CF309" i="312"/>
  <c r="CE309" i="312" s="1"/>
  <c r="CF249" i="312"/>
  <c r="CE249" i="312" s="1"/>
  <c r="P319" i="269"/>
  <c r="Q319" i="269" s="1"/>
  <c r="BK310" i="312"/>
  <c r="BO197" i="312"/>
  <c r="P206" i="269" s="1"/>
  <c r="X206" i="269"/>
  <c r="Y206" i="269" s="1"/>
  <c r="X301" i="269"/>
  <c r="Y301" i="269"/>
  <c r="BO292" i="312"/>
  <c r="BK292" i="312" s="1"/>
  <c r="X203" i="269"/>
  <c r="Y203" i="269" s="1"/>
  <c r="BO194" i="312"/>
  <c r="BK194" i="312" s="1"/>
  <c r="X191" i="269"/>
  <c r="Y191" i="269" s="1"/>
  <c r="BO182" i="312"/>
  <c r="BK182" i="312" s="1"/>
  <c r="BK276" i="312"/>
  <c r="P285" i="269"/>
  <c r="Q285" i="269" s="1"/>
  <c r="AG285" i="269" s="1"/>
  <c r="H283" i="301" s="1"/>
  <c r="I283" i="301" s="1"/>
  <c r="L283" i="301" s="1"/>
  <c r="X255" i="269"/>
  <c r="Y255" i="269" s="1"/>
  <c r="BO246" i="312"/>
  <c r="BK246" i="312" s="1"/>
  <c r="CF230" i="312"/>
  <c r="CE230" i="312"/>
  <c r="X310" i="269"/>
  <c r="Y310" i="269" s="1"/>
  <c r="BO301" i="312"/>
  <c r="P310" i="269" s="1"/>
  <c r="CF273" i="312"/>
  <c r="CE273" i="312" s="1"/>
  <c r="X207" i="269"/>
  <c r="Y207" i="269"/>
  <c r="BO198" i="312"/>
  <c r="CF305" i="312"/>
  <c r="CE305" i="312" s="1"/>
  <c r="BO179" i="312"/>
  <c r="P188" i="269" s="1"/>
  <c r="X188" i="269"/>
  <c r="Y188" i="269" s="1"/>
  <c r="AG188" i="269" s="1"/>
  <c r="H186" i="301" s="1"/>
  <c r="I186" i="301" s="1"/>
  <c r="L186" i="301" s="1"/>
  <c r="X280" i="269"/>
  <c r="Y280" i="269" s="1"/>
  <c r="BO271" i="312"/>
  <c r="P280" i="269" s="1"/>
  <c r="G502" i="312"/>
  <c r="CF183" i="312"/>
  <c r="CE183" i="312" s="1"/>
  <c r="X231" i="269"/>
  <c r="Y231" i="269" s="1"/>
  <c r="BO222" i="312"/>
  <c r="BO298" i="312"/>
  <c r="BK298" i="312" s="1"/>
  <c r="X307" i="269"/>
  <c r="Y307" i="269" s="1"/>
  <c r="CF260" i="312"/>
  <c r="CE260" i="312" s="1"/>
  <c r="X49" i="269"/>
  <c r="Y49" i="269" s="1"/>
  <c r="BO39" i="312"/>
  <c r="BK39" i="312" s="1"/>
  <c r="X62" i="269"/>
  <c r="Y62" i="269"/>
  <c r="BO52" i="312"/>
  <c r="P62" i="269" s="1"/>
  <c r="BO116" i="312"/>
  <c r="BK116" i="312" s="1"/>
  <c r="X176" i="269"/>
  <c r="Y176" i="269" s="1"/>
  <c r="BO166" i="312"/>
  <c r="BO80" i="312"/>
  <c r="BO170" i="312"/>
  <c r="X180" i="269"/>
  <c r="Y180" i="269" s="1"/>
  <c r="X69" i="269"/>
  <c r="Y69" i="269"/>
  <c r="BO59" i="312"/>
  <c r="BK59" i="312" s="1"/>
  <c r="X118" i="269"/>
  <c r="Y118" i="269" s="1"/>
  <c r="BO108" i="312"/>
  <c r="BK19" i="312"/>
  <c r="CF168" i="312"/>
  <c r="CE168" i="312" s="1"/>
  <c r="Y87" i="269"/>
  <c r="BO77" i="312"/>
  <c r="P87" i="269" s="1"/>
  <c r="Q87" i="269" s="1"/>
  <c r="CF20" i="312"/>
  <c r="CE20" i="312" s="1"/>
  <c r="X23" i="269"/>
  <c r="Y23" i="269" s="1"/>
  <c r="BO13" i="312"/>
  <c r="BK13" i="312" s="1"/>
  <c r="X100" i="269"/>
  <c r="Y100" i="269" s="1"/>
  <c r="BO90" i="312"/>
  <c r="BC498" i="312"/>
  <c r="BC3" i="312"/>
  <c r="CF32" i="312"/>
  <c r="CE32" i="312" s="1"/>
  <c r="X123" i="269"/>
  <c r="Y123" i="269" s="1"/>
  <c r="BO113" i="312"/>
  <c r="CF171" i="312"/>
  <c r="CE171" i="312" s="1"/>
  <c r="CF33" i="312"/>
  <c r="CE33" i="312" s="1"/>
  <c r="BO41" i="312"/>
  <c r="X51" i="269"/>
  <c r="Y51" i="269"/>
  <c r="CF7" i="312"/>
  <c r="AG306" i="269"/>
  <c r="H304" i="301" s="1"/>
  <c r="I304" i="301" s="1"/>
  <c r="L304" i="301" s="1"/>
  <c r="Q97" i="269"/>
  <c r="Q483" i="269"/>
  <c r="Q253" i="269"/>
  <c r="Q373" i="269"/>
  <c r="Q275" i="269"/>
  <c r="Q110" i="269"/>
  <c r="Q22" i="269"/>
  <c r="BK51" i="312"/>
  <c r="P55" i="269"/>
  <c r="Q499" i="269"/>
  <c r="X499" i="269"/>
  <c r="Y499" i="269" s="1"/>
  <c r="X436" i="269"/>
  <c r="Y436" i="269"/>
  <c r="BO402" i="312"/>
  <c r="X407" i="269"/>
  <c r="Y407" i="269"/>
  <c r="BO440" i="312"/>
  <c r="P445" i="269" s="1"/>
  <c r="Q445" i="269" s="1"/>
  <c r="X481" i="269"/>
  <c r="Y481" i="269"/>
  <c r="X496" i="269"/>
  <c r="Y496" i="269"/>
  <c r="BO491" i="312"/>
  <c r="P496" i="269" s="1"/>
  <c r="Q496" i="269" s="1"/>
  <c r="X472" i="269"/>
  <c r="Y472" i="269" s="1"/>
  <c r="BO467" i="312"/>
  <c r="P472" i="269" s="1"/>
  <c r="Q472" i="269" s="1"/>
  <c r="AG472" i="269" s="1"/>
  <c r="H470" i="301" s="1"/>
  <c r="I470" i="301" s="1"/>
  <c r="L470" i="301" s="1"/>
  <c r="BO400" i="312"/>
  <c r="P405" i="269" s="1"/>
  <c r="Q405" i="269" s="1"/>
  <c r="X405" i="269"/>
  <c r="Y405" i="269"/>
  <c r="BO412" i="312"/>
  <c r="P417" i="269" s="1"/>
  <c r="Q417" i="269" s="1"/>
  <c r="X500" i="269"/>
  <c r="Y500" i="269"/>
  <c r="BO495" i="312"/>
  <c r="P500" i="269" s="1"/>
  <c r="Q500" i="269" s="1"/>
  <c r="BO490" i="312"/>
  <c r="P495" i="269" s="1"/>
  <c r="Q495" i="269" s="1"/>
  <c r="X495" i="269"/>
  <c r="Y495" i="269" s="1"/>
  <c r="X408" i="269"/>
  <c r="Y408" i="269" s="1"/>
  <c r="BO403" i="312"/>
  <c r="P408" i="269" s="1"/>
  <c r="Q408" i="269" s="1"/>
  <c r="BO350" i="312"/>
  <c r="P357" i="269" s="1"/>
  <c r="X357" i="269"/>
  <c r="Y357" i="269"/>
  <c r="X352" i="269"/>
  <c r="Y352" i="269" s="1"/>
  <c r="BO352" i="312"/>
  <c r="BO220" i="312"/>
  <c r="X229" i="269"/>
  <c r="Y229" i="269" s="1"/>
  <c r="X234" i="269"/>
  <c r="Y234" i="269" s="1"/>
  <c r="X267" i="269"/>
  <c r="Y267" i="269" s="1"/>
  <c r="BO258" i="312"/>
  <c r="BK258" i="312" s="1"/>
  <c r="BO279" i="312"/>
  <c r="P320" i="269"/>
  <c r="Q320" i="269" s="1"/>
  <c r="BK311" i="312"/>
  <c r="BO257" i="312"/>
  <c r="BK257" i="312" s="1"/>
  <c r="X266" i="269"/>
  <c r="Y266" i="269" s="1"/>
  <c r="X19" i="269"/>
  <c r="Y19" i="269"/>
  <c r="X86" i="269"/>
  <c r="Y86" i="269" s="1"/>
  <c r="AG86" i="269" s="1"/>
  <c r="H84" i="301" s="1"/>
  <c r="I84" i="301" s="1"/>
  <c r="L84" i="301" s="1"/>
  <c r="X172" i="269"/>
  <c r="Y172" i="269"/>
  <c r="BO162" i="312"/>
  <c r="BK162" i="312" s="1"/>
  <c r="BO36" i="312"/>
  <c r="P46" i="269" s="1"/>
  <c r="X46" i="269"/>
  <c r="Y46" i="269" s="1"/>
  <c r="Y20" i="269"/>
  <c r="BO10" i="312"/>
  <c r="P20" i="269" s="1"/>
  <c r="BO104" i="312"/>
  <c r="BO21" i="312"/>
  <c r="BK21" i="312" s="1"/>
  <c r="X31" i="269"/>
  <c r="Y31" i="269" s="1"/>
  <c r="X128" i="269"/>
  <c r="Y128" i="269" s="1"/>
  <c r="BO118" i="312"/>
  <c r="P128" i="269" s="1"/>
  <c r="Q128" i="269" s="1"/>
  <c r="AG128" i="269" s="1"/>
  <c r="H126" i="301" s="1"/>
  <c r="I126" i="301" s="1"/>
  <c r="L126" i="301" s="1"/>
  <c r="P146" i="269"/>
  <c r="Q146" i="269" s="1"/>
  <c r="AG146" i="269" s="1"/>
  <c r="BO23" i="312"/>
  <c r="X33" i="269"/>
  <c r="Y33" i="269" s="1"/>
  <c r="X60" i="269"/>
  <c r="Y60" i="269" s="1"/>
  <c r="BO50" i="312"/>
  <c r="BO142" i="312"/>
  <c r="BK142" i="312" s="1"/>
  <c r="X152" i="269"/>
  <c r="Y152" i="269" s="1"/>
  <c r="X41" i="269"/>
  <c r="Y41" i="269" s="1"/>
  <c r="BO31" i="312"/>
  <c r="P41" i="269" s="1"/>
  <c r="Q41" i="269" s="1"/>
  <c r="X160" i="269"/>
  <c r="Y160" i="269"/>
  <c r="BO172" i="312"/>
  <c r="P182" i="269" s="1"/>
  <c r="X182" i="269"/>
  <c r="Y182" i="269" s="1"/>
  <c r="BO67" i="312"/>
  <c r="X77" i="269"/>
  <c r="Y77" i="269" s="1"/>
  <c r="X75" i="269"/>
  <c r="Y75" i="269"/>
  <c r="AG75" i="269" s="1"/>
  <c r="H73" i="301" s="1"/>
  <c r="I73" i="301" s="1"/>
  <c r="L73" i="301" s="1"/>
  <c r="BO65" i="312"/>
  <c r="BK65" i="312" s="1"/>
  <c r="BO56" i="312"/>
  <c r="X66" i="269"/>
  <c r="Y66" i="269"/>
  <c r="BO62" i="312"/>
  <c r="X158" i="269"/>
  <c r="Y158" i="269" s="1"/>
  <c r="BO148" i="312"/>
  <c r="BO130" i="312"/>
  <c r="BK130" i="312" s="1"/>
  <c r="X140" i="269"/>
  <c r="Y140" i="269" s="1"/>
  <c r="X108" i="269"/>
  <c r="Y108" i="269" s="1"/>
  <c r="P173" i="269"/>
  <c r="BK163" i="312"/>
  <c r="X134" i="269"/>
  <c r="Y134" i="269" s="1"/>
  <c r="BO124" i="312"/>
  <c r="BO127" i="312"/>
  <c r="P137" i="269" s="1"/>
  <c r="X137" i="269"/>
  <c r="Y137" i="269" s="1"/>
  <c r="BO158" i="312"/>
  <c r="X168" i="269"/>
  <c r="Y168" i="269"/>
  <c r="X83" i="269"/>
  <c r="Y83" i="269" s="1"/>
  <c r="BO73" i="312"/>
  <c r="X113" i="269"/>
  <c r="Y113" i="269"/>
  <c r="BO103" i="312"/>
  <c r="P113" i="269" s="1"/>
  <c r="Q113" i="269" s="1"/>
  <c r="AG113" i="269" s="1"/>
  <c r="H111" i="301" s="1"/>
  <c r="I111" i="301" s="1"/>
  <c r="L111" i="301" s="1"/>
  <c r="X143" i="269"/>
  <c r="Y143" i="269" s="1"/>
  <c r="BO133" i="312"/>
  <c r="BK133" i="312" s="1"/>
  <c r="X117" i="269"/>
  <c r="Y117" i="269"/>
  <c r="AG117" i="269" s="1"/>
  <c r="H115" i="301" s="1"/>
  <c r="I115" i="301" s="1"/>
  <c r="L115" i="301" s="1"/>
  <c r="BO107" i="312"/>
  <c r="X198" i="269"/>
  <c r="Y198" i="269" s="1"/>
  <c r="BO189" i="312"/>
  <c r="P198" i="269" s="1"/>
  <c r="X99" i="269"/>
  <c r="Y99" i="269"/>
  <c r="BO89" i="312"/>
  <c r="X36" i="269"/>
  <c r="Y36" i="269" s="1"/>
  <c r="BO26" i="312"/>
  <c r="P36" i="269" s="1"/>
  <c r="BO308" i="312"/>
  <c r="X317" i="269"/>
  <c r="Y317" i="269"/>
  <c r="BO49" i="312"/>
  <c r="X59" i="269"/>
  <c r="Y59" i="269" s="1"/>
  <c r="P70" i="269"/>
  <c r="Q70" i="269" s="1"/>
  <c r="BK60" i="312"/>
  <c r="BO335" i="312"/>
  <c r="BK335" i="312" s="1"/>
  <c r="X342" i="269"/>
  <c r="Y342" i="269"/>
  <c r="BO303" i="312"/>
  <c r="P312" i="269" s="1"/>
  <c r="X312" i="269"/>
  <c r="Y312" i="269" s="1"/>
  <c r="BO91" i="312"/>
  <c r="BO122" i="312"/>
  <c r="X132" i="269"/>
  <c r="Y132" i="269"/>
  <c r="BO40" i="312"/>
  <c r="BK40" i="312" s="1"/>
  <c r="X50" i="269"/>
  <c r="Y50" i="269" s="1"/>
  <c r="BK219" i="312"/>
  <c r="P228" i="269"/>
  <c r="BO256" i="312"/>
  <c r="X265" i="269"/>
  <c r="Y265" i="269"/>
  <c r="BO78" i="312"/>
  <c r="P88" i="269" s="1"/>
  <c r="X88" i="269"/>
  <c r="Y88" i="269" s="1"/>
  <c r="P240" i="269"/>
  <c r="BK231" i="312"/>
  <c r="BO387" i="312"/>
  <c r="P394" i="269" s="1"/>
  <c r="X394" i="269"/>
  <c r="Y394" i="269" s="1"/>
  <c r="X167" i="269"/>
  <c r="Y167" i="269" s="1"/>
  <c r="BO157" i="312"/>
  <c r="BK47" i="312"/>
  <c r="P57" i="269"/>
  <c r="X120" i="269"/>
  <c r="Y120" i="269" s="1"/>
  <c r="BO110" i="312"/>
  <c r="P18" i="269"/>
  <c r="Q18" i="269" s="1"/>
  <c r="AG18" i="269" s="1"/>
  <c r="H16" i="301" s="1"/>
  <c r="I16" i="301" s="1"/>
  <c r="L16" i="301" s="1"/>
  <c r="BK8" i="312"/>
  <c r="BO207" i="312"/>
  <c r="X216" i="269"/>
  <c r="Y216" i="269" s="1"/>
  <c r="BK213" i="312"/>
  <c r="P222" i="269"/>
  <c r="P136" i="269"/>
  <c r="Q136" i="269" s="1"/>
  <c r="X197" i="269"/>
  <c r="Y197" i="269" s="1"/>
  <c r="BO188" i="312"/>
  <c r="X71" i="269"/>
  <c r="Y71" i="269" s="1"/>
  <c r="BO61" i="312"/>
  <c r="BK61" i="312" s="1"/>
  <c r="BO281" i="312"/>
  <c r="P290" i="269" s="1"/>
  <c r="Q290" i="269" s="1"/>
  <c r="AG290" i="269" s="1"/>
  <c r="H288" i="301" s="1"/>
  <c r="I288" i="301" s="1"/>
  <c r="L288" i="301" s="1"/>
  <c r="X290" i="269"/>
  <c r="Y290" i="269" s="1"/>
  <c r="X411" i="269"/>
  <c r="Y411" i="269" s="1"/>
  <c r="BO406" i="312"/>
  <c r="P411" i="269" s="1"/>
  <c r="Q411" i="269" s="1"/>
  <c r="BO268" i="312"/>
  <c r="P277" i="269" s="1"/>
  <c r="Q277" i="269" s="1"/>
  <c r="AG277" i="269" s="1"/>
  <c r="H275" i="301" s="1"/>
  <c r="I275" i="301" s="1"/>
  <c r="L275" i="301" s="1"/>
  <c r="Y277" i="269"/>
  <c r="P346" i="269"/>
  <c r="BK339" i="312"/>
  <c r="X383" i="269"/>
  <c r="Y383" i="269" s="1"/>
  <c r="Y76" i="269"/>
  <c r="BO66" i="312"/>
  <c r="P76" i="269" s="1"/>
  <c r="P170" i="269"/>
  <c r="BK160" i="312"/>
  <c r="BO439" i="312"/>
  <c r="P444" i="269" s="1"/>
  <c r="Q444" i="269" s="1"/>
  <c r="X444" i="269"/>
  <c r="Y444" i="269" s="1"/>
  <c r="X252" i="269"/>
  <c r="Y252" i="269" s="1"/>
  <c r="BO243" i="312"/>
  <c r="P252" i="269" s="1"/>
  <c r="BO128" i="312"/>
  <c r="P138" i="269" s="1"/>
  <c r="Q138" i="269" s="1"/>
  <c r="X138" i="269"/>
  <c r="Y138" i="269" s="1"/>
  <c r="BO293" i="312"/>
  <c r="P302" i="269" s="1"/>
  <c r="X302" i="269"/>
  <c r="Y302" i="269" s="1"/>
  <c r="BO46" i="312"/>
  <c r="BK46" i="312" s="1"/>
  <c r="X56" i="269"/>
  <c r="Y56" i="269" s="1"/>
  <c r="X452" i="269"/>
  <c r="Y452" i="269" s="1"/>
  <c r="BO447" i="312"/>
  <c r="P452" i="269" s="1"/>
  <c r="Q452" i="269" s="1"/>
  <c r="X122" i="269"/>
  <c r="Y122" i="269"/>
  <c r="BO112" i="312"/>
  <c r="X395" i="269"/>
  <c r="Y395" i="269" s="1"/>
  <c r="BO388" i="312"/>
  <c r="P395" i="269" s="1"/>
  <c r="BO196" i="312"/>
  <c r="P205" i="269" s="1"/>
  <c r="X205" i="269"/>
  <c r="Y205" i="269"/>
  <c r="X382" i="269"/>
  <c r="Y382" i="269"/>
  <c r="BO375" i="312"/>
  <c r="BK375" i="312" s="1"/>
  <c r="BO336" i="312"/>
  <c r="X343" i="269"/>
  <c r="Y343" i="269"/>
  <c r="BK9" i="312"/>
  <c r="BO361" i="312"/>
  <c r="P368" i="269" s="1"/>
  <c r="X368" i="269"/>
  <c r="Y368" i="269"/>
  <c r="BK99" i="312"/>
  <c r="P54" i="269"/>
  <c r="Q54" i="269" s="1"/>
  <c r="X135" i="269"/>
  <c r="Y135" i="269" s="1"/>
  <c r="BO125" i="312"/>
  <c r="BK125" i="312" s="1"/>
  <c r="X497" i="269"/>
  <c r="Y497" i="269" s="1"/>
  <c r="BO492" i="312"/>
  <c r="P497" i="269" s="1"/>
  <c r="Q497" i="269" s="1"/>
  <c r="AG497" i="269" s="1"/>
  <c r="H495" i="301" s="1"/>
  <c r="I495" i="301" s="1"/>
  <c r="L495" i="301" s="1"/>
  <c r="BO455" i="312"/>
  <c r="P460" i="269"/>
  <c r="Q460" i="269" s="1"/>
  <c r="X460" i="269"/>
  <c r="Y460" i="269"/>
  <c r="X374" i="269"/>
  <c r="Y374" i="269" s="1"/>
  <c r="BO367" i="312"/>
  <c r="P374" i="269" s="1"/>
  <c r="Q374" i="269" s="1"/>
  <c r="AG374" i="269" s="1"/>
  <c r="H372" i="301" s="1"/>
  <c r="I372" i="301" s="1"/>
  <c r="L372" i="301" s="1"/>
  <c r="N372" i="301" s="1"/>
  <c r="X484" i="269"/>
  <c r="Y484" i="269"/>
  <c r="X439" i="269"/>
  <c r="Y439" i="269" s="1"/>
  <c r="BO434" i="312"/>
  <c r="P439" i="269" s="1"/>
  <c r="Q439" i="269" s="1"/>
  <c r="AG439" i="269" s="1"/>
  <c r="H437" i="301" s="1"/>
  <c r="I437" i="301" s="1"/>
  <c r="L437" i="301" s="1"/>
  <c r="BO154" i="312"/>
  <c r="BK154" i="312" s="1"/>
  <c r="X164" i="269"/>
  <c r="Y164" i="269"/>
  <c r="X161" i="269"/>
  <c r="Y161" i="269" s="1"/>
  <c r="BO151" i="312"/>
  <c r="P161" i="269" s="1"/>
  <c r="X281" i="269"/>
  <c r="Y281" i="269" s="1"/>
  <c r="BO272" i="312"/>
  <c r="P281" i="269" s="1"/>
  <c r="Q281" i="269" s="1"/>
  <c r="BO58" i="312"/>
  <c r="X68" i="269"/>
  <c r="Y68" i="269" s="1"/>
  <c r="BO280" i="312"/>
  <c r="P289" i="269" s="1"/>
  <c r="Q289" i="269" s="1"/>
  <c r="X289" i="269"/>
  <c r="Y289" i="269" s="1"/>
  <c r="BO457" i="312"/>
  <c r="P462" i="269" s="1"/>
  <c r="Q462" i="269" s="1"/>
  <c r="AG462" i="269" s="1"/>
  <c r="H460" i="301" s="1"/>
  <c r="I460" i="301" s="1"/>
  <c r="L460" i="301" s="1"/>
  <c r="N460" i="301" s="1"/>
  <c r="X462" i="269"/>
  <c r="Y462" i="269"/>
  <c r="X432" i="269"/>
  <c r="Y432" i="269" s="1"/>
  <c r="BO427" i="312"/>
  <c r="P432" i="269" s="1"/>
  <c r="Q432" i="269" s="1"/>
  <c r="P215" i="269"/>
  <c r="Q215" i="269" s="1"/>
  <c r="BO442" i="312"/>
  <c r="P447" i="269"/>
  <c r="Q447" i="269" s="1"/>
  <c r="AG447" i="269" s="1"/>
  <c r="H445" i="301" s="1"/>
  <c r="I445" i="301" s="1"/>
  <c r="L445" i="301" s="1"/>
  <c r="X447" i="269"/>
  <c r="Y447" i="269" s="1"/>
  <c r="X165" i="269"/>
  <c r="Y165" i="269" s="1"/>
  <c r="BO155" i="312"/>
  <c r="P165" i="269" s="1"/>
  <c r="BK223" i="312"/>
  <c r="X364" i="269"/>
  <c r="Y364" i="269"/>
  <c r="BO357" i="312"/>
  <c r="BK357" i="312" s="1"/>
  <c r="BO493" i="312"/>
  <c r="P498" i="269" s="1"/>
  <c r="Q498" i="269" s="1"/>
  <c r="X498" i="269"/>
  <c r="Y498" i="269"/>
  <c r="BK121" i="312"/>
  <c r="BO299" i="312"/>
  <c r="P308" i="269" s="1"/>
  <c r="X308" i="269"/>
  <c r="Y308" i="269" s="1"/>
  <c r="AG308" i="269" s="1"/>
  <c r="H306" i="301" s="1"/>
  <c r="I306" i="301" s="1"/>
  <c r="L306" i="301" s="1"/>
  <c r="X398" i="269"/>
  <c r="Y398" i="269" s="1"/>
  <c r="BO391" i="312"/>
  <c r="P398" i="269" s="1"/>
  <c r="Q398" i="269" s="1"/>
  <c r="X24" i="269"/>
  <c r="Y24" i="269" s="1"/>
  <c r="BO14" i="312"/>
  <c r="BO226" i="312"/>
  <c r="P235" i="269" s="1"/>
  <c r="Q235" i="269" s="1"/>
  <c r="X235" i="269"/>
  <c r="Y235" i="269" s="1"/>
  <c r="X145" i="269"/>
  <c r="Y145" i="269"/>
  <c r="BO135" i="312"/>
  <c r="BO460" i="312"/>
  <c r="P465" i="269" s="1"/>
  <c r="Q465" i="269" s="1"/>
  <c r="X465" i="269"/>
  <c r="Y465" i="269"/>
  <c r="P106" i="269"/>
  <c r="BK96" i="312"/>
  <c r="BO286" i="312"/>
  <c r="X295" i="269"/>
  <c r="Y295" i="269" s="1"/>
  <c r="X162" i="269"/>
  <c r="Y162" i="269" s="1"/>
  <c r="BO152" i="312"/>
  <c r="BK152" i="312" s="1"/>
  <c r="BO245" i="312"/>
  <c r="X254" i="269"/>
  <c r="Y254" i="269"/>
  <c r="X423" i="269"/>
  <c r="Y423" i="269" s="1"/>
  <c r="BO418" i="312"/>
  <c r="P423" i="269"/>
  <c r="Q423" i="269" s="1"/>
  <c r="X185" i="269"/>
  <c r="Y185" i="269" s="1"/>
  <c r="BO176" i="312"/>
  <c r="P185" i="269" s="1"/>
  <c r="X449" i="269"/>
  <c r="Y449" i="269"/>
  <c r="BO444" i="312"/>
  <c r="P449" i="269" s="1"/>
  <c r="Q449" i="269" s="1"/>
  <c r="BO75" i="312"/>
  <c r="P85" i="269" s="1"/>
  <c r="Q85" i="269" s="1"/>
  <c r="AG85" i="269" s="1"/>
  <c r="H83" i="301" s="1"/>
  <c r="I83" i="301" s="1"/>
  <c r="L83" i="301" s="1"/>
  <c r="X85" i="269"/>
  <c r="Y85" i="269" s="1"/>
  <c r="P278" i="269"/>
  <c r="Q278" i="269" s="1"/>
  <c r="X334" i="269"/>
  <c r="Y334" i="269" s="1"/>
  <c r="BO327" i="312"/>
  <c r="X446" i="269"/>
  <c r="Y446" i="269" s="1"/>
  <c r="BO441" i="312"/>
  <c r="P446" i="269" s="1"/>
  <c r="Q446" i="269"/>
  <c r="AG446" i="269" s="1"/>
  <c r="H444" i="301" s="1"/>
  <c r="I444" i="301" s="1"/>
  <c r="L444" i="301" s="1"/>
  <c r="X125" i="269"/>
  <c r="Y125" i="269" s="1"/>
  <c r="BO115" i="312"/>
  <c r="P125" i="269" s="1"/>
  <c r="BO185" i="312"/>
  <c r="X194" i="269"/>
  <c r="Y194" i="269" s="1"/>
  <c r="X263" i="269"/>
  <c r="Y263" i="269" s="1"/>
  <c r="BO254" i="312"/>
  <c r="X494" i="269"/>
  <c r="Y494" i="269"/>
  <c r="BO489" i="312"/>
  <c r="P494" i="269" s="1"/>
  <c r="Q494" i="269" s="1"/>
  <c r="X303" i="269"/>
  <c r="Y303" i="269"/>
  <c r="BO360" i="312"/>
  <c r="BK360" i="312" s="1"/>
  <c r="X367" i="269"/>
  <c r="Y367" i="269"/>
  <c r="P365" i="269"/>
  <c r="Q365" i="269" s="1"/>
  <c r="AG365" i="269" s="1"/>
  <c r="H363" i="301" s="1"/>
  <c r="I363" i="301" s="1"/>
  <c r="L363" i="301" s="1"/>
  <c r="BK173" i="312"/>
  <c r="P183" i="269"/>
  <c r="BK70" i="312"/>
  <c r="X177" i="269"/>
  <c r="Y177" i="269" s="1"/>
  <c r="AG177" i="269" s="1"/>
  <c r="H175" i="301" s="1"/>
  <c r="I175" i="301" s="1"/>
  <c r="L175" i="301" s="1"/>
  <c r="N175" i="301" s="1"/>
  <c r="BO167" i="312"/>
  <c r="BK241" i="312"/>
  <c r="P250" i="269"/>
  <c r="Q250" i="269" s="1"/>
  <c r="AG250" i="269" s="1"/>
  <c r="X305" i="269"/>
  <c r="Y305" i="269" s="1"/>
  <c r="BO296" i="312"/>
  <c r="BK296" i="312" s="1"/>
  <c r="BO43" i="312"/>
  <c r="P53" i="269" s="1"/>
  <c r="Q53" i="269" s="1"/>
  <c r="X53" i="269"/>
  <c r="Y53" i="269" s="1"/>
  <c r="X416" i="269"/>
  <c r="Y416" i="269" s="1"/>
  <c r="BO411" i="312"/>
  <c r="P416" i="269" s="1"/>
  <c r="X409" i="269"/>
  <c r="Y409" i="269" s="1"/>
  <c r="AG409" i="269" s="1"/>
  <c r="H407" i="301" s="1"/>
  <c r="I407" i="301" s="1"/>
  <c r="L407" i="301" s="1"/>
  <c r="BO404" i="312"/>
  <c r="P409" i="269"/>
  <c r="Q409" i="269" s="1"/>
  <c r="BK247" i="312"/>
  <c r="P256" i="269"/>
  <c r="Q256" i="269" s="1"/>
  <c r="X91" i="269"/>
  <c r="Y91" i="269" s="1"/>
  <c r="BO81" i="312"/>
  <c r="P91" i="269" s="1"/>
  <c r="X260" i="269"/>
  <c r="Y260" i="269" s="1"/>
  <c r="BO251" i="312"/>
  <c r="P260" i="269" s="1"/>
  <c r="X424" i="269"/>
  <c r="Y424" i="269"/>
  <c r="BO419" i="312"/>
  <c r="P424" i="269"/>
  <c r="Q424" i="269" s="1"/>
  <c r="AG424" i="269" s="1"/>
  <c r="H422" i="301" s="1"/>
  <c r="I422" i="301" s="1"/>
  <c r="L422" i="301" s="1"/>
  <c r="BO426" i="312"/>
  <c r="P431" i="269" s="1"/>
  <c r="Q431" i="269"/>
  <c r="X431" i="269"/>
  <c r="Y431" i="269" s="1"/>
  <c r="BK42" i="312"/>
  <c r="BO428" i="312"/>
  <c r="P433" i="269" s="1"/>
  <c r="Q433" i="269" s="1"/>
  <c r="X433" i="269"/>
  <c r="Y433" i="269" s="1"/>
  <c r="Y350" i="269"/>
  <c r="BO343" i="312"/>
  <c r="BO79" i="312"/>
  <c r="X89" i="269"/>
  <c r="Y89" i="269"/>
  <c r="BO68" i="312"/>
  <c r="P78" i="269" s="1"/>
  <c r="Q78" i="269" s="1"/>
  <c r="X78" i="269"/>
  <c r="Y78" i="269" s="1"/>
  <c r="BO370" i="312"/>
  <c r="BK370" i="312" s="1"/>
  <c r="X377" i="269"/>
  <c r="Y377" i="269"/>
  <c r="X224" i="269"/>
  <c r="Y224" i="269" s="1"/>
  <c r="AG224" i="269" s="1"/>
  <c r="H222" i="301" s="1"/>
  <c r="I222" i="301" s="1"/>
  <c r="L222" i="301" s="1"/>
  <c r="BO215" i="312"/>
  <c r="P224" i="269" s="1"/>
  <c r="BO265" i="312"/>
  <c r="X274" i="269"/>
  <c r="Y274" i="269" s="1"/>
  <c r="P169" i="269"/>
  <c r="Q169" i="269" s="1"/>
  <c r="AG169" i="269" s="1"/>
  <c r="H167" i="301" s="1"/>
  <c r="I167" i="301" s="1"/>
  <c r="L167" i="301" s="1"/>
  <c r="BK159" i="312"/>
  <c r="BK94" i="312"/>
  <c r="BK138" i="312"/>
  <c r="X459" i="269"/>
  <c r="Y459" i="269" s="1"/>
  <c r="BO454" i="312"/>
  <c r="P459" i="269" s="1"/>
  <c r="Q459" i="269" s="1"/>
  <c r="BO216" i="312"/>
  <c r="X225" i="269"/>
  <c r="Y225" i="269"/>
  <c r="BO344" i="312"/>
  <c r="P351" i="269" s="1"/>
  <c r="X351" i="269"/>
  <c r="Y351" i="269" s="1"/>
  <c r="X38" i="269"/>
  <c r="Y38" i="269" s="1"/>
  <c r="BO28" i="312"/>
  <c r="BK28" i="312" s="1"/>
  <c r="X103" i="269"/>
  <c r="Y103" i="269" s="1"/>
  <c r="BO93" i="312"/>
  <c r="BK93" i="312" s="1"/>
  <c r="P133" i="269"/>
  <c r="BK123" i="312"/>
  <c r="X456" i="269"/>
  <c r="Y456" i="269" s="1"/>
  <c r="AG456" i="269" s="1"/>
  <c r="H454" i="301" s="1"/>
  <c r="I454" i="301" s="1"/>
  <c r="L454" i="301" s="1"/>
  <c r="BO451" i="312"/>
  <c r="P456" i="269"/>
  <c r="Q456" i="269" s="1"/>
  <c r="G321" i="269"/>
  <c r="I142" i="269"/>
  <c r="AG142" i="269" s="1"/>
  <c r="H140" i="301" s="1"/>
  <c r="I140" i="301" s="1"/>
  <c r="L140" i="301" s="1"/>
  <c r="Y435" i="269"/>
  <c r="AG435" i="269" s="1"/>
  <c r="H433" i="301" s="1"/>
  <c r="I433" i="301" s="1"/>
  <c r="L433" i="301" s="1"/>
  <c r="BO430" i="312"/>
  <c r="P435" i="269"/>
  <c r="BO461" i="312"/>
  <c r="P466" i="269" s="1"/>
  <c r="Q466" i="269" s="1"/>
  <c r="X466" i="269"/>
  <c r="Y466" i="269" s="1"/>
  <c r="X406" i="269"/>
  <c r="Y406" i="269" s="1"/>
  <c r="BO401" i="312"/>
  <c r="P406" i="269" s="1"/>
  <c r="Q406" i="269" s="1"/>
  <c r="AG406" i="269" s="1"/>
  <c r="H404" i="301" s="1"/>
  <c r="I404" i="301" s="1"/>
  <c r="L404" i="301" s="1"/>
  <c r="P477" i="269"/>
  <c r="Q477" i="269" s="1"/>
  <c r="X477" i="269"/>
  <c r="Y477" i="269" s="1"/>
  <c r="BO450" i="312"/>
  <c r="P455" i="269" s="1"/>
  <c r="Q455" i="269" s="1"/>
  <c r="X455" i="269"/>
  <c r="Y455" i="269"/>
  <c r="X485" i="269"/>
  <c r="Y485" i="269" s="1"/>
  <c r="BO480" i="312"/>
  <c r="P485" i="269" s="1"/>
  <c r="Q485" i="269" s="1"/>
  <c r="X421" i="269"/>
  <c r="Y421" i="269" s="1"/>
  <c r="BO416" i="312"/>
  <c r="P421" i="269" s="1"/>
  <c r="Q421" i="269" s="1"/>
  <c r="AG421" i="269" s="1"/>
  <c r="H419" i="301" s="1"/>
  <c r="I419" i="301" s="1"/>
  <c r="L419" i="301" s="1"/>
  <c r="X427" i="269"/>
  <c r="Y427" i="269" s="1"/>
  <c r="BO437" i="312"/>
  <c r="P442" i="269" s="1"/>
  <c r="Q442" i="269" s="1"/>
  <c r="X442" i="269"/>
  <c r="Y442" i="269" s="1"/>
  <c r="BO485" i="312"/>
  <c r="P490" i="269" s="1"/>
  <c r="Q490" i="269" s="1"/>
  <c r="AG490" i="269" s="1"/>
  <c r="H488" i="301" s="1"/>
  <c r="I488" i="301" s="1"/>
  <c r="L488" i="301" s="1"/>
  <c r="X490" i="269"/>
  <c r="Y490" i="269" s="1"/>
  <c r="BO424" i="312"/>
  <c r="P429" i="269"/>
  <c r="Q429" i="269" s="1"/>
  <c r="AG429" i="269" s="1"/>
  <c r="H427" i="301" s="1"/>
  <c r="I427" i="301" s="1"/>
  <c r="L427" i="301" s="1"/>
  <c r="X429" i="269"/>
  <c r="Y429" i="269" s="1"/>
  <c r="BO464" i="312"/>
  <c r="P469" i="269" s="1"/>
  <c r="Q469" i="269" s="1"/>
  <c r="BO458" i="312"/>
  <c r="P463" i="269"/>
  <c r="Q463" i="269" s="1"/>
  <c r="AG463" i="269" s="1"/>
  <c r="H461" i="301" s="1"/>
  <c r="I461" i="301" s="1"/>
  <c r="L461" i="301" s="1"/>
  <c r="N461" i="301" s="1"/>
  <c r="BO417" i="312"/>
  <c r="P422" i="269" s="1"/>
  <c r="Q422" i="269" s="1"/>
  <c r="X422" i="269"/>
  <c r="Y422" i="269" s="1"/>
  <c r="X418" i="269"/>
  <c r="Y418" i="269"/>
  <c r="BO413" i="312"/>
  <c r="P418" i="269" s="1"/>
  <c r="Q418" i="269" s="1"/>
  <c r="X443" i="269"/>
  <c r="Y443" i="269"/>
  <c r="BO438" i="312"/>
  <c r="P443" i="269" s="1"/>
  <c r="Q443" i="269" s="1"/>
  <c r="Y489" i="269"/>
  <c r="BO484" i="312"/>
  <c r="P489" i="269"/>
  <c r="Q489" i="269" s="1"/>
  <c r="AG489" i="269" s="1"/>
  <c r="H487" i="301" s="1"/>
  <c r="I487" i="301" s="1"/>
  <c r="L487" i="301" s="1"/>
  <c r="BK371" i="312"/>
  <c r="BO324" i="312"/>
  <c r="BK374" i="312"/>
  <c r="P381" i="269"/>
  <c r="Q381" i="269" s="1"/>
  <c r="X391" i="269"/>
  <c r="Y391" i="269" s="1"/>
  <c r="BO384" i="312"/>
  <c r="BO330" i="312"/>
  <c r="X337" i="269"/>
  <c r="Y337" i="269" s="1"/>
  <c r="BO359" i="312"/>
  <c r="P366" i="269" s="1"/>
  <c r="X366" i="269"/>
  <c r="Y366" i="269" s="1"/>
  <c r="P393" i="269"/>
  <c r="Q393" i="269" s="1"/>
  <c r="AG393" i="269" s="1"/>
  <c r="H391" i="301" s="1"/>
  <c r="I391" i="301" s="1"/>
  <c r="L391" i="301" s="1"/>
  <c r="BK382" i="312"/>
  <c r="P389" i="269"/>
  <c r="Q389" i="269" s="1"/>
  <c r="AG389" i="269" s="1"/>
  <c r="H387" i="301" s="1"/>
  <c r="I387" i="301" s="1"/>
  <c r="L387" i="301" s="1"/>
  <c r="P352" i="269"/>
  <c r="Q352" i="269" s="1"/>
  <c r="AG352" i="269" s="1"/>
  <c r="H350" i="301" s="1"/>
  <c r="I350" i="301" s="1"/>
  <c r="L350" i="301" s="1"/>
  <c r="BK345" i="312"/>
  <c r="BO325" i="312"/>
  <c r="P332" i="269" s="1"/>
  <c r="X332" i="269"/>
  <c r="Y332" i="269" s="1"/>
  <c r="BO369" i="312"/>
  <c r="P376" i="269" s="1"/>
  <c r="Q376" i="269" s="1"/>
  <c r="AG376" i="269" s="1"/>
  <c r="H374" i="301" s="1"/>
  <c r="I374" i="301" s="1"/>
  <c r="L374" i="301" s="1"/>
  <c r="X376" i="269"/>
  <c r="Y376" i="269" s="1"/>
  <c r="P349" i="269"/>
  <c r="X338" i="269"/>
  <c r="Y338" i="269" s="1"/>
  <c r="BO331" i="312"/>
  <c r="BK331" i="312" s="1"/>
  <c r="P344" i="269"/>
  <c r="Q344" i="269" s="1"/>
  <c r="BK337" i="312"/>
  <c r="X385" i="269"/>
  <c r="Y385" i="269" s="1"/>
  <c r="BO378" i="312"/>
  <c r="BK378" i="312" s="1"/>
  <c r="BO389" i="312"/>
  <c r="X396" i="269"/>
  <c r="Y396" i="269" s="1"/>
  <c r="BO394" i="312"/>
  <c r="P401" i="269" s="1"/>
  <c r="Q401" i="269" s="1"/>
  <c r="X401" i="269"/>
  <c r="Y401" i="269" s="1"/>
  <c r="BK377" i="312"/>
  <c r="X328" i="269"/>
  <c r="Y328" i="269"/>
  <c r="BO321" i="312"/>
  <c r="BK179" i="312"/>
  <c r="X297" i="269"/>
  <c r="Y297" i="269" s="1"/>
  <c r="X239" i="269"/>
  <c r="Y239" i="269"/>
  <c r="BO230" i="312"/>
  <c r="BK230" i="312" s="1"/>
  <c r="BO305" i="312"/>
  <c r="X314" i="269"/>
  <c r="Y314" i="269" s="1"/>
  <c r="BO309" i="312"/>
  <c r="BK309" i="312" s="1"/>
  <c r="X318" i="269"/>
  <c r="Y318" i="269" s="1"/>
  <c r="BK218" i="312"/>
  <c r="P207" i="269"/>
  <c r="Q207" i="269" s="1"/>
  <c r="BK198" i="312"/>
  <c r="BK271" i="312"/>
  <c r="P191" i="269"/>
  <c r="Q191" i="269" s="1"/>
  <c r="AG191" i="269" s="1"/>
  <c r="H189" i="301" s="1"/>
  <c r="I189" i="301" s="1"/>
  <c r="L189" i="301" s="1"/>
  <c r="BK197" i="312"/>
  <c r="X269" i="269"/>
  <c r="Y269" i="269" s="1"/>
  <c r="BO260" i="312"/>
  <c r="X282" i="269"/>
  <c r="Y282" i="269"/>
  <c r="BO273" i="312"/>
  <c r="P255" i="269"/>
  <c r="Q255" i="269" s="1"/>
  <c r="AG255" i="269" s="1"/>
  <c r="H253" i="301" s="1"/>
  <c r="I253" i="301" s="1"/>
  <c r="L253" i="301" s="1"/>
  <c r="X258" i="269"/>
  <c r="Y258" i="269" s="1"/>
  <c r="BO249" i="312"/>
  <c r="P258" i="269" s="1"/>
  <c r="Q258" i="269" s="1"/>
  <c r="AG258" i="269" s="1"/>
  <c r="H256" i="301" s="1"/>
  <c r="I256" i="301" s="1"/>
  <c r="L256" i="301" s="1"/>
  <c r="X268" i="269"/>
  <c r="Y268" i="269"/>
  <c r="BO259" i="312"/>
  <c r="BK301" i="312"/>
  <c r="P307" i="269"/>
  <c r="Q307" i="269" s="1"/>
  <c r="BO183" i="312"/>
  <c r="X192" i="269"/>
  <c r="Y192" i="269"/>
  <c r="P301" i="269"/>
  <c r="Q301" i="269" s="1"/>
  <c r="AG301" i="269" s="1"/>
  <c r="H299" i="301" s="1"/>
  <c r="I299" i="301" s="1"/>
  <c r="L299" i="301" s="1"/>
  <c r="P23" i="269"/>
  <c r="Q23" i="269" s="1"/>
  <c r="P108" i="269"/>
  <c r="Q108" i="269" s="1"/>
  <c r="BK98" i="312"/>
  <c r="P176" i="269"/>
  <c r="Q176" i="269" s="1"/>
  <c r="BK166" i="312"/>
  <c r="BO20" i="312"/>
  <c r="P30" i="269" s="1"/>
  <c r="Q30" i="269" s="1"/>
  <c r="X30" i="269"/>
  <c r="Y30" i="269"/>
  <c r="BO33" i="312"/>
  <c r="BK33" i="312" s="1"/>
  <c r="X43" i="269"/>
  <c r="Y43" i="269" s="1"/>
  <c r="BO34" i="312"/>
  <c r="X44" i="269"/>
  <c r="Y44" i="269"/>
  <c r="P126" i="269"/>
  <c r="P123" i="269"/>
  <c r="BK113" i="312"/>
  <c r="X42" i="269"/>
  <c r="Y42" i="269" s="1"/>
  <c r="BO32" i="312"/>
  <c r="BK32" i="312" s="1"/>
  <c r="BK77" i="312"/>
  <c r="BK108" i="312"/>
  <c r="P118" i="269"/>
  <c r="Q118" i="269" s="1"/>
  <c r="BK52" i="312"/>
  <c r="P51" i="269"/>
  <c r="Q51" i="269" s="1"/>
  <c r="AG51" i="269" s="1"/>
  <c r="H49" i="301" s="1"/>
  <c r="I49" i="301" s="1"/>
  <c r="L49" i="301" s="1"/>
  <c r="N49" i="301" s="1"/>
  <c r="BK41" i="312"/>
  <c r="X178" i="269"/>
  <c r="Y178" i="269" s="1"/>
  <c r="BO168" i="312"/>
  <c r="P49" i="269"/>
  <c r="Q49" i="269" s="1"/>
  <c r="X181" i="269"/>
  <c r="Y181" i="269"/>
  <c r="BO171" i="312"/>
  <c r="P69" i="269"/>
  <c r="Q69" i="269" s="1"/>
  <c r="AG69" i="269" s="1"/>
  <c r="H67" i="301" s="1"/>
  <c r="I67" i="301" s="1"/>
  <c r="L67" i="301" s="1"/>
  <c r="P86" i="269"/>
  <c r="BK76" i="312"/>
  <c r="P160" i="269"/>
  <c r="Q160" i="269"/>
  <c r="AG160" i="269" s="1"/>
  <c r="H158" i="301" s="1"/>
  <c r="I158" i="301" s="1"/>
  <c r="L158" i="301" s="1"/>
  <c r="BK90" i="312"/>
  <c r="P100" i="269"/>
  <c r="Q100" i="269" s="1"/>
  <c r="X17" i="269"/>
  <c r="BO7" i="312"/>
  <c r="P17" i="269" s="1"/>
  <c r="Q17" i="269" s="1"/>
  <c r="AG486" i="269"/>
  <c r="H484" i="301" s="1"/>
  <c r="I484" i="301"/>
  <c r="L484" i="301" s="1"/>
  <c r="N484" i="301" s="1"/>
  <c r="AG417" i="269"/>
  <c r="H415" i="301" s="1"/>
  <c r="I415" i="301" s="1"/>
  <c r="L415" i="301" s="1"/>
  <c r="N415" i="301" s="1"/>
  <c r="AG97" i="269"/>
  <c r="H95" i="301"/>
  <c r="I95" i="301" s="1"/>
  <c r="L95" i="301" s="1"/>
  <c r="AG156" i="269"/>
  <c r="H154" i="301" s="1"/>
  <c r="I154" i="301" s="1"/>
  <c r="L154" i="301" s="1"/>
  <c r="N154" i="301" s="1"/>
  <c r="AG319" i="269"/>
  <c r="H317" i="301" s="1"/>
  <c r="I317" i="301" s="1"/>
  <c r="L317" i="301" s="1"/>
  <c r="AG355" i="269"/>
  <c r="H353" i="301" s="1"/>
  <c r="I353" i="301" s="1"/>
  <c r="L353" i="301" s="1"/>
  <c r="L486" i="301"/>
  <c r="AG22" i="269"/>
  <c r="H20" i="301" s="1"/>
  <c r="I20" i="301" s="1"/>
  <c r="L20" i="301" s="1"/>
  <c r="Q86" i="269"/>
  <c r="Q349" i="269"/>
  <c r="AG349" i="269" s="1"/>
  <c r="Q222" i="269"/>
  <c r="Q123" i="269"/>
  <c r="Q240" i="269"/>
  <c r="Q126" i="269"/>
  <c r="Q310" i="269"/>
  <c r="Q104" i="269"/>
  <c r="Q109" i="269"/>
  <c r="Q55" i="269"/>
  <c r="Q188" i="269"/>
  <c r="Q206" i="269"/>
  <c r="Q416" i="269"/>
  <c r="Q133" i="269"/>
  <c r="AG133" i="269" s="1"/>
  <c r="H131" i="301" s="1"/>
  <c r="I131" i="301" s="1"/>
  <c r="L131" i="301" s="1"/>
  <c r="Q183" i="269"/>
  <c r="AG183" i="269" s="1"/>
  <c r="H181" i="301" s="1"/>
  <c r="I181" i="301" s="1"/>
  <c r="L181" i="301" s="1"/>
  <c r="Q346" i="269"/>
  <c r="Q384" i="269"/>
  <c r="Q57" i="269"/>
  <c r="AG57" i="269" s="1"/>
  <c r="H55" i="301" s="1"/>
  <c r="I55" i="301" s="1"/>
  <c r="L55" i="301" s="1"/>
  <c r="Q228" i="269"/>
  <c r="Q170" i="269"/>
  <c r="Q280" i="269"/>
  <c r="Q435" i="269"/>
  <c r="Q131" i="269"/>
  <c r="AG131" i="269" s="1"/>
  <c r="H129" i="301" s="1"/>
  <c r="I129" i="301" s="1"/>
  <c r="L129" i="301" s="1"/>
  <c r="Q52" i="269"/>
  <c r="Q173" i="269"/>
  <c r="Q106" i="269"/>
  <c r="Q62" i="269"/>
  <c r="AG62" i="269" s="1"/>
  <c r="H60" i="301" s="1"/>
  <c r="I60" i="301" s="1"/>
  <c r="L60" i="301" s="1"/>
  <c r="N60" i="301" s="1"/>
  <c r="Q232" i="269"/>
  <c r="P359" i="269"/>
  <c r="BK352" i="312"/>
  <c r="BK350" i="312"/>
  <c r="P266" i="269"/>
  <c r="BK279" i="312"/>
  <c r="P288" i="269"/>
  <c r="P267" i="269"/>
  <c r="P234" i="269"/>
  <c r="BK225" i="312"/>
  <c r="BK220" i="312"/>
  <c r="P229" i="269"/>
  <c r="BK10" i="312"/>
  <c r="BK36" i="312"/>
  <c r="BK118" i="312"/>
  <c r="P31" i="269"/>
  <c r="Q31" i="269" s="1"/>
  <c r="P33" i="269"/>
  <c r="BK23" i="312"/>
  <c r="P143" i="269"/>
  <c r="BK103" i="312"/>
  <c r="P75" i="269"/>
  <c r="BK73" i="312"/>
  <c r="P83" i="269"/>
  <c r="BK50" i="312"/>
  <c r="P60" i="269"/>
  <c r="P168" i="269"/>
  <c r="Q168" i="269" s="1"/>
  <c r="AG168" i="269" s="1"/>
  <c r="H166" i="301" s="1"/>
  <c r="I166" i="301" s="1"/>
  <c r="L166" i="301" s="1"/>
  <c r="BK158" i="312"/>
  <c r="BK172" i="312"/>
  <c r="BK56" i="312"/>
  <c r="P66" i="269"/>
  <c r="Q66" i="269" s="1"/>
  <c r="AG66" i="269" s="1"/>
  <c r="H64" i="301" s="1"/>
  <c r="I64" i="301" s="1"/>
  <c r="L64" i="301" s="1"/>
  <c r="P152" i="269"/>
  <c r="P158" i="269"/>
  <c r="BK148" i="312"/>
  <c r="BK107" i="312"/>
  <c r="P117" i="269"/>
  <c r="BK67" i="312"/>
  <c r="P77" i="269"/>
  <c r="Q77" i="269" s="1"/>
  <c r="AG77" i="269" s="1"/>
  <c r="H75" i="301" s="1"/>
  <c r="I75" i="301" s="1"/>
  <c r="L75" i="301" s="1"/>
  <c r="BK127" i="312"/>
  <c r="P134" i="269"/>
  <c r="BK124" i="312"/>
  <c r="BK43" i="312"/>
  <c r="P162" i="269"/>
  <c r="BK26" i="312"/>
  <c r="P103" i="269"/>
  <c r="Q103" i="269" s="1"/>
  <c r="AG103" i="269" s="1"/>
  <c r="H101" i="301" s="1"/>
  <c r="I101" i="301" s="1"/>
  <c r="L101" i="301" s="1"/>
  <c r="P377" i="269"/>
  <c r="Q377" i="269" s="1"/>
  <c r="P99" i="269"/>
  <c r="BK89" i="312"/>
  <c r="P194" i="269"/>
  <c r="BK185" i="312"/>
  <c r="BK167" i="312"/>
  <c r="P177" i="269"/>
  <c r="P367" i="269"/>
  <c r="BK361" i="312"/>
  <c r="BK344" i="312"/>
  <c r="P303" i="269"/>
  <c r="BK294" i="312"/>
  <c r="BK265" i="312"/>
  <c r="P274" i="269"/>
  <c r="BK299" i="312"/>
  <c r="BK66" i="312"/>
  <c r="BK268" i="312"/>
  <c r="BK49" i="312"/>
  <c r="P59" i="269"/>
  <c r="BK215" i="312"/>
  <c r="BK58" i="312"/>
  <c r="P68" i="269"/>
  <c r="BK188" i="312"/>
  <c r="P197" i="269"/>
  <c r="P263" i="269"/>
  <c r="BK254" i="312"/>
  <c r="P305" i="269"/>
  <c r="P295" i="269"/>
  <c r="BK286" i="312"/>
  <c r="P135" i="269"/>
  <c r="Q135" i="269" s="1"/>
  <c r="AG135" i="269" s="1"/>
  <c r="H133" i="301" s="1"/>
  <c r="I133" i="301" s="1"/>
  <c r="L133" i="301" s="1"/>
  <c r="P216" i="269"/>
  <c r="BK207" i="312"/>
  <c r="P164" i="269"/>
  <c r="BK336" i="312"/>
  <c r="P343" i="269"/>
  <c r="BK115" i="312"/>
  <c r="P364" i="269"/>
  <c r="BK189" i="312"/>
  <c r="BK251" i="312"/>
  <c r="BK78" i="312"/>
  <c r="BK110" i="312"/>
  <c r="P120" i="269"/>
  <c r="Q120" i="269" s="1"/>
  <c r="AG120" i="269" s="1"/>
  <c r="H118" i="301" s="1"/>
  <c r="I118" i="301" s="1"/>
  <c r="L118" i="301" s="1"/>
  <c r="BK155" i="312"/>
  <c r="P254" i="269"/>
  <c r="BK245" i="312"/>
  <c r="P50" i="269"/>
  <c r="Q50" i="269" s="1"/>
  <c r="P317" i="269"/>
  <c r="Q317" i="269" s="1"/>
  <c r="BK308" i="312"/>
  <c r="BK151" i="312"/>
  <c r="BK122" i="312"/>
  <c r="P132" i="269"/>
  <c r="BK112" i="312"/>
  <c r="P122" i="269"/>
  <c r="Q122" i="269" s="1"/>
  <c r="AG122" i="269" s="1"/>
  <c r="H120" i="301" s="1"/>
  <c r="I120" i="301" s="1"/>
  <c r="L120" i="301" s="1"/>
  <c r="BK376" i="312"/>
  <c r="P383" i="269"/>
  <c r="BK387" i="312"/>
  <c r="P101" i="269"/>
  <c r="Q101" i="269" s="1"/>
  <c r="BK91" i="312"/>
  <c r="BK75" i="312"/>
  <c r="P382" i="269"/>
  <c r="Q382" i="269" s="1"/>
  <c r="P350" i="269"/>
  <c r="Q350" i="269" s="1"/>
  <c r="AG350" i="269" s="1"/>
  <c r="H348" i="301" s="1"/>
  <c r="I348" i="301" s="1"/>
  <c r="L348" i="301" s="1"/>
  <c r="BK343" i="312"/>
  <c r="P38" i="269"/>
  <c r="BK135" i="312"/>
  <c r="P145" i="269"/>
  <c r="Q145" i="269" s="1"/>
  <c r="AG145" i="269" s="1"/>
  <c r="H143" i="301" s="1"/>
  <c r="I143" i="301" s="1"/>
  <c r="L143" i="301" s="1"/>
  <c r="P342" i="269"/>
  <c r="Q342" i="269" s="1"/>
  <c r="AG342" i="269" s="1"/>
  <c r="H340" i="301" s="1"/>
  <c r="I340" i="301" s="1"/>
  <c r="L340" i="301" s="1"/>
  <c r="BK196" i="312"/>
  <c r="BK81" i="312"/>
  <c r="P71" i="269"/>
  <c r="BK293" i="312"/>
  <c r="BK388" i="312"/>
  <c r="BK157" i="312"/>
  <c r="P167" i="269"/>
  <c r="Q167" i="269" s="1"/>
  <c r="AG167" i="269" s="1"/>
  <c r="H165" i="301" s="1"/>
  <c r="I165" i="301" s="1"/>
  <c r="L165" i="301" s="1"/>
  <c r="BK325" i="312"/>
  <c r="P385" i="269"/>
  <c r="Q385" i="269" s="1"/>
  <c r="BK359" i="312"/>
  <c r="P337" i="269"/>
  <c r="BK330" i="312"/>
  <c r="BK389" i="312"/>
  <c r="P396" i="269"/>
  <c r="P338" i="269"/>
  <c r="P328" i="269"/>
  <c r="Q328" i="269" s="1"/>
  <c r="AG328" i="269" s="1"/>
  <c r="H326" i="301" s="1"/>
  <c r="I326" i="301" s="1"/>
  <c r="L326" i="301" s="1"/>
  <c r="BK321" i="312"/>
  <c r="BK324" i="312"/>
  <c r="P331" i="269"/>
  <c r="Q331" i="269" s="1"/>
  <c r="AG331" i="269" s="1"/>
  <c r="H329" i="301" s="1"/>
  <c r="I329" i="301" s="1"/>
  <c r="L329" i="301" s="1"/>
  <c r="N329" i="301" s="1"/>
  <c r="BK273" i="312"/>
  <c r="P282" i="269"/>
  <c r="Q282" i="269" s="1"/>
  <c r="AG282" i="269" s="1"/>
  <c r="H280" i="301" s="1"/>
  <c r="I280" i="301" s="1"/>
  <c r="L280" i="301" s="1"/>
  <c r="N280" i="301" s="1"/>
  <c r="P318" i="269"/>
  <c r="BK305" i="312"/>
  <c r="P314" i="269"/>
  <c r="BK288" i="312"/>
  <c r="P268" i="269"/>
  <c r="BK259" i="312"/>
  <c r="BK249" i="312"/>
  <c r="BK260" i="312"/>
  <c r="P269" i="269"/>
  <c r="Q269" i="269" s="1"/>
  <c r="P42" i="269"/>
  <c r="BK20" i="312"/>
  <c r="BK171" i="312"/>
  <c r="P181" i="269"/>
  <c r="BK34" i="312"/>
  <c r="P44" i="269"/>
  <c r="Q44" i="269" s="1"/>
  <c r="Y17" i="269"/>
  <c r="AG256" i="269"/>
  <c r="H254" i="301" s="1"/>
  <c r="I254" i="301"/>
  <c r="L254" i="301" s="1"/>
  <c r="N254" i="301" s="1"/>
  <c r="AG136" i="269"/>
  <c r="H134" i="301" s="1"/>
  <c r="I134" i="301" s="1"/>
  <c r="L134" i="301" s="1"/>
  <c r="AG106" i="269"/>
  <c r="H104" i="301"/>
  <c r="I104" i="301" s="1"/>
  <c r="L104" i="301" s="1"/>
  <c r="H144" i="301"/>
  <c r="I144" i="301" s="1"/>
  <c r="L144" i="301" s="1"/>
  <c r="N144" i="301" s="1"/>
  <c r="AG346" i="269"/>
  <c r="H344" i="301" s="1"/>
  <c r="I344" i="301" s="1"/>
  <c r="L344" i="301" s="1"/>
  <c r="N344" i="301" s="1"/>
  <c r="AG232" i="269"/>
  <c r="H230" i="301" s="1"/>
  <c r="I230" i="301" s="1"/>
  <c r="L230" i="301" s="1"/>
  <c r="AG54" i="269"/>
  <c r="H52" i="301" s="1"/>
  <c r="I52" i="301"/>
  <c r="L52" i="301" s="1"/>
  <c r="AG307" i="269"/>
  <c r="H305" i="301" s="1"/>
  <c r="I305" i="301" s="1"/>
  <c r="L305" i="301" s="1"/>
  <c r="AG170" i="269"/>
  <c r="H168" i="301" s="1"/>
  <c r="I168" i="301" s="1"/>
  <c r="L168" i="301" s="1"/>
  <c r="H376" i="301"/>
  <c r="I376" i="301" s="1"/>
  <c r="L376" i="301" s="1"/>
  <c r="AG123" i="269"/>
  <c r="H121" i="301" s="1"/>
  <c r="I121" i="301" s="1"/>
  <c r="L121" i="301" s="1"/>
  <c r="H347" i="301"/>
  <c r="I347" i="301" s="1"/>
  <c r="L347" i="301" s="1"/>
  <c r="AG344" i="269"/>
  <c r="H342" i="301" s="1"/>
  <c r="I342" i="301" s="1"/>
  <c r="L342" i="301" s="1"/>
  <c r="AG310" i="269"/>
  <c r="H308" i="301"/>
  <c r="I308" i="301" s="1"/>
  <c r="L308" i="301" s="1"/>
  <c r="AG449" i="269"/>
  <c r="H447" i="301" s="1"/>
  <c r="I447" i="301"/>
  <c r="L447" i="301" s="1"/>
  <c r="H248" i="301"/>
  <c r="I248" i="301" s="1"/>
  <c r="L248" i="301" s="1"/>
  <c r="AG176" i="269"/>
  <c r="H174" i="301" s="1"/>
  <c r="I174" i="301" s="1"/>
  <c r="L174" i="301" s="1"/>
  <c r="AG398" i="269"/>
  <c r="H396" i="301"/>
  <c r="I396" i="301" s="1"/>
  <c r="L396" i="301" s="1"/>
  <c r="AG100" i="269"/>
  <c r="H98" i="301"/>
  <c r="I98" i="301"/>
  <c r="L98" i="301" s="1"/>
  <c r="AG207" i="269"/>
  <c r="H205" i="301"/>
  <c r="I205" i="301" s="1"/>
  <c r="L205" i="301" s="1"/>
  <c r="AG55" i="269"/>
  <c r="H53" i="301" s="1"/>
  <c r="I53" i="301" s="1"/>
  <c r="L53" i="301" s="1"/>
  <c r="AG280" i="269"/>
  <c r="H278" i="301"/>
  <c r="I278" i="301" s="1"/>
  <c r="L278" i="301" s="1"/>
  <c r="AG70" i="269"/>
  <c r="H68" i="301" s="1"/>
  <c r="I68" i="301" s="1"/>
  <c r="L68" i="301" s="1"/>
  <c r="Q359" i="269"/>
  <c r="AG359" i="269" s="1"/>
  <c r="H357" i="301" s="1"/>
  <c r="I357" i="301" s="1"/>
  <c r="L357" i="301" s="1"/>
  <c r="Q351" i="269"/>
  <c r="AG351" i="269" s="1"/>
  <c r="H349" i="301" s="1"/>
  <c r="I349" i="301" s="1"/>
  <c r="L349" i="301" s="1"/>
  <c r="Q234" i="269"/>
  <c r="AG234" i="269" s="1"/>
  <c r="H232" i="301" s="1"/>
  <c r="I232" i="301" s="1"/>
  <c r="L232" i="301" s="1"/>
  <c r="Q364" i="269"/>
  <c r="Q161" i="269"/>
  <c r="AG161" i="269" s="1"/>
  <c r="H159" i="301" s="1"/>
  <c r="I159" i="301" s="1"/>
  <c r="L159" i="301" s="1"/>
  <c r="Q368" i="269"/>
  <c r="Q205" i="269"/>
  <c r="Q308" i="269"/>
  <c r="Q274" i="269"/>
  <c r="Q263" i="269"/>
  <c r="AG263" i="269" s="1"/>
  <c r="H261" i="301" s="1"/>
  <c r="I261" i="301" s="1"/>
  <c r="L261" i="301" s="1"/>
  <c r="Q42" i="269"/>
  <c r="Q38" i="269"/>
  <c r="Q337" i="269"/>
  <c r="Q383" i="269"/>
  <c r="AG383" i="269" s="1"/>
  <c r="H381" i="301" s="1"/>
  <c r="I381" i="301" s="1"/>
  <c r="L381" i="301" s="1"/>
  <c r="Q302" i="269"/>
  <c r="AG302" i="269" s="1"/>
  <c r="H300" i="301" s="1"/>
  <c r="I300" i="301" s="1"/>
  <c r="L300" i="301" s="1"/>
  <c r="Q254" i="269"/>
  <c r="Q343" i="269"/>
  <c r="AG343" i="269" s="1"/>
  <c r="H341" i="301" s="1"/>
  <c r="I341" i="301" s="1"/>
  <c r="L341" i="301" s="1"/>
  <c r="Q197" i="269"/>
  <c r="AG197" i="269" s="1"/>
  <c r="H195" i="301" s="1"/>
  <c r="I195" i="301" s="1"/>
  <c r="L195" i="301" s="1"/>
  <c r="Q314" i="269"/>
  <c r="AG314" i="269" s="1"/>
  <c r="H312" i="301" s="1"/>
  <c r="I312" i="301" s="1"/>
  <c r="L312" i="301" s="1"/>
  <c r="Q295" i="269"/>
  <c r="Q59" i="269"/>
  <c r="Q338" i="269"/>
  <c r="Q165" i="269"/>
  <c r="Q305" i="269"/>
  <c r="AG305" i="269" s="1"/>
  <c r="H303" i="301" s="1"/>
  <c r="I303" i="301" s="1"/>
  <c r="L303" i="301" s="1"/>
  <c r="Q134" i="269"/>
  <c r="Q229" i="269"/>
  <c r="AG229" i="269" s="1"/>
  <c r="H227" i="301" s="1"/>
  <c r="I227" i="301" s="1"/>
  <c r="L227" i="301" s="1"/>
  <c r="Q357" i="269"/>
  <c r="Q132" i="269"/>
  <c r="Q137" i="269"/>
  <c r="Q182" i="269"/>
  <c r="Q216" i="269"/>
  <c r="AG216" i="269" s="1"/>
  <c r="H214" i="301" s="1"/>
  <c r="I214" i="301" s="1"/>
  <c r="L214" i="301" s="1"/>
  <c r="Q76" i="269"/>
  <c r="Q396" i="269"/>
  <c r="Q252" i="269"/>
  <c r="Q185" i="269"/>
  <c r="Q143" i="269"/>
  <c r="AG143" i="269" s="1"/>
  <c r="H141" i="301" s="1"/>
  <c r="I141" i="301" s="1"/>
  <c r="L141" i="301" s="1"/>
  <c r="Q91" i="269"/>
  <c r="Q177" i="269"/>
  <c r="Q267" i="269"/>
  <c r="Q181" i="269"/>
  <c r="Q117" i="269"/>
  <c r="Q60" i="269"/>
  <c r="Q288" i="269"/>
  <c r="AG288" i="269" s="1"/>
  <c r="H286" i="301" s="1"/>
  <c r="I286" i="301" s="1"/>
  <c r="L286" i="301" s="1"/>
  <c r="Q297" i="269"/>
  <c r="AG297" i="269" s="1"/>
  <c r="H295" i="301" s="1"/>
  <c r="I295" i="301" s="1"/>
  <c r="L295" i="301" s="1"/>
  <c r="Q366" i="269"/>
  <c r="AG366" i="269" s="1"/>
  <c r="H364" i="301" s="1"/>
  <c r="I364" i="301" s="1"/>
  <c r="L364" i="301" s="1"/>
  <c r="Q394" i="269"/>
  <c r="AG394" i="269" s="1"/>
  <c r="H392" i="301" s="1"/>
  <c r="I392" i="301" s="1"/>
  <c r="L392" i="301" s="1"/>
  <c r="Q224" i="269"/>
  <c r="Q99" i="269"/>
  <c r="Q36" i="269"/>
  <c r="Q125" i="269"/>
  <c r="AG125" i="269" s="1"/>
  <c r="H123" i="301" s="1"/>
  <c r="I123" i="301" s="1"/>
  <c r="L123" i="301" s="1"/>
  <c r="Q312" i="269"/>
  <c r="AG312" i="269" s="1"/>
  <c r="H310" i="301" s="1"/>
  <c r="I310" i="301" s="1"/>
  <c r="L310" i="301" s="1"/>
  <c r="Q88" i="269"/>
  <c r="Q46" i="269"/>
  <c r="Q367" i="269"/>
  <c r="AG367" i="269" s="1"/>
  <c r="H365" i="301" s="1"/>
  <c r="I365" i="301" s="1"/>
  <c r="L365" i="301" s="1"/>
  <c r="Q83" i="269"/>
  <c r="Q20" i="269"/>
  <c r="Q266" i="269"/>
  <c r="Q158" i="269"/>
  <c r="Q33" i="269"/>
  <c r="Q268" i="269"/>
  <c r="AG268" i="269" s="1"/>
  <c r="H266" i="301" s="1"/>
  <c r="I266" i="301" s="1"/>
  <c r="L266" i="301" s="1"/>
  <c r="Q260" i="269"/>
  <c r="Q75" i="269"/>
  <c r="Q152" i="269"/>
  <c r="Q198" i="269"/>
  <c r="Q164" i="269"/>
  <c r="AG164" i="269" s="1"/>
  <c r="H162" i="301" s="1"/>
  <c r="I162" i="301" s="1"/>
  <c r="L162" i="301" s="1"/>
  <c r="Q68" i="269"/>
  <c r="Q303" i="269"/>
  <c r="Q194" i="269"/>
  <c r="AG194" i="269" s="1"/>
  <c r="H192" i="301" s="1"/>
  <c r="I192" i="301" s="1"/>
  <c r="L192" i="301" s="1"/>
  <c r="Q162" i="269"/>
  <c r="Q332" i="269"/>
  <c r="AG332" i="269" s="1"/>
  <c r="H330" i="301" s="1"/>
  <c r="I330" i="301" s="1"/>
  <c r="L330" i="301" s="1"/>
  <c r="Q395" i="269"/>
  <c r="Q318" i="269"/>
  <c r="AG318" i="269" s="1"/>
  <c r="H316" i="301" s="1"/>
  <c r="I316" i="301" s="1"/>
  <c r="L316" i="301" s="1"/>
  <c r="Q71" i="269"/>
  <c r="AG71" i="269" s="1"/>
  <c r="H69" i="301" s="1"/>
  <c r="I69" i="301" s="1"/>
  <c r="L69" i="301" s="1"/>
  <c r="O460" i="301"/>
  <c r="P460" i="301"/>
  <c r="R460" i="301" s="1"/>
  <c r="N140" i="301"/>
  <c r="O140" i="301" s="1"/>
  <c r="P140" i="301" s="1"/>
  <c r="R140" i="301" s="1"/>
  <c r="AG396" i="269"/>
  <c r="H394" i="301" s="1"/>
  <c r="I394" i="301" s="1"/>
  <c r="L394" i="301" s="1"/>
  <c r="AG158" i="269"/>
  <c r="H156" i="301" s="1"/>
  <c r="I156" i="301" s="1"/>
  <c r="L156" i="301" s="1"/>
  <c r="AG162" i="269"/>
  <c r="H160" i="301" s="1"/>
  <c r="I160" i="301" s="1"/>
  <c r="L160" i="301" s="1"/>
  <c r="AG76" i="269"/>
  <c r="H74" i="301" s="1"/>
  <c r="I74" i="301" s="1"/>
  <c r="L74" i="301" s="1"/>
  <c r="AG88" i="269"/>
  <c r="H86" i="301" s="1"/>
  <c r="I86" i="301" s="1"/>
  <c r="L86" i="301" s="1"/>
  <c r="AG368" i="269"/>
  <c r="H366" i="301"/>
  <c r="I366" i="301" s="1"/>
  <c r="L366" i="301" s="1"/>
  <c r="AG303" i="269"/>
  <c r="H301" i="301" s="1"/>
  <c r="I301" i="301" s="1"/>
  <c r="L301" i="301" s="1"/>
  <c r="AG137" i="269"/>
  <c r="H135" i="301" s="1"/>
  <c r="I135" i="301" s="1"/>
  <c r="L135" i="301" s="1"/>
  <c r="AG364" i="269"/>
  <c r="H362" i="301"/>
  <c r="I362" i="301" s="1"/>
  <c r="L362" i="301" s="1"/>
  <c r="AG338" i="269"/>
  <c r="H336" i="301" s="1"/>
  <c r="I336" i="301" s="1"/>
  <c r="L336" i="301" s="1"/>
  <c r="AG185" i="269"/>
  <c r="H183" i="301" s="1"/>
  <c r="I183" i="301" s="1"/>
  <c r="L183" i="301" s="1"/>
  <c r="AG395" i="269"/>
  <c r="H393" i="301"/>
  <c r="I393" i="301" s="1"/>
  <c r="L393" i="301" s="1"/>
  <c r="AG20" i="269"/>
  <c r="H18" i="301"/>
  <c r="I18" i="301" s="1"/>
  <c r="L18" i="301" s="1"/>
  <c r="AG91" i="269"/>
  <c r="H89" i="301" s="1"/>
  <c r="I89" i="301" s="1"/>
  <c r="L89" i="301" s="1"/>
  <c r="AG134" i="269"/>
  <c r="H132" i="301" s="1"/>
  <c r="I132" i="301" s="1"/>
  <c r="L132" i="301" s="1"/>
  <c r="AG198" i="269"/>
  <c r="H196" i="301" s="1"/>
  <c r="I196" i="301" s="1"/>
  <c r="L196" i="301" s="1"/>
  <c r="AG152" i="269"/>
  <c r="H150" i="301" s="1"/>
  <c r="I150" i="301" s="1"/>
  <c r="L150" i="301" s="1"/>
  <c r="AG132" i="269"/>
  <c r="H130" i="301"/>
  <c r="I130" i="301" s="1"/>
  <c r="L130" i="301" s="1"/>
  <c r="E18" i="270"/>
  <c r="D14" i="270"/>
  <c r="D24" i="270"/>
  <c r="F18" i="270"/>
  <c r="I14" i="270"/>
  <c r="AG469" i="269" l="1"/>
  <c r="H467" i="301" s="1"/>
  <c r="I467" i="301" s="1"/>
  <c r="L467" i="301" s="1"/>
  <c r="N248" i="301"/>
  <c r="O248" i="301"/>
  <c r="N376" i="301"/>
  <c r="O376" i="301" s="1"/>
  <c r="N104" i="301"/>
  <c r="O104" i="301"/>
  <c r="AG78" i="269"/>
  <c r="H76" i="301" s="1"/>
  <c r="I76" i="301" s="1"/>
  <c r="L76" i="301" s="1"/>
  <c r="N76" i="301" s="1"/>
  <c r="P89" i="269"/>
  <c r="Q89" i="269" s="1"/>
  <c r="BK79" i="312"/>
  <c r="N353" i="301"/>
  <c r="O353" i="301"/>
  <c r="P353" i="301" s="1"/>
  <c r="R353" i="301" s="1"/>
  <c r="P192" i="269"/>
  <c r="Q192" i="269" s="1"/>
  <c r="BK183" i="312"/>
  <c r="AG274" i="269"/>
  <c r="H272" i="301" s="1"/>
  <c r="I272" i="301" s="1"/>
  <c r="L272" i="301" s="1"/>
  <c r="O272" i="301" s="1"/>
  <c r="P24" i="269"/>
  <c r="Q24" i="269" s="1"/>
  <c r="AG24" i="269" s="1"/>
  <c r="H22" i="301" s="1"/>
  <c r="I22" i="301" s="1"/>
  <c r="L22" i="301" s="1"/>
  <c r="N22" i="301" s="1"/>
  <c r="BK14" i="312"/>
  <c r="P34" i="269"/>
  <c r="Q34" i="269" s="1"/>
  <c r="BK24" i="312"/>
  <c r="BT184" i="312"/>
  <c r="CF184" i="312"/>
  <c r="CE184" i="312" s="1"/>
  <c r="O248" i="269"/>
  <c r="N248" i="269"/>
  <c r="BT274" i="312"/>
  <c r="CF274" i="312"/>
  <c r="CE274" i="312" s="1"/>
  <c r="BT203" i="312"/>
  <c r="CF203" i="312"/>
  <c r="CE203" i="312" s="1"/>
  <c r="BK290" i="312"/>
  <c r="P299" i="269"/>
  <c r="Q299" i="269" s="1"/>
  <c r="P187" i="269"/>
  <c r="Q187" i="269" s="1"/>
  <c r="BK178" i="312"/>
  <c r="P304" i="269"/>
  <c r="Q304" i="269" s="1"/>
  <c r="AG304" i="269" s="1"/>
  <c r="H302" i="301" s="1"/>
  <c r="I302" i="301" s="1"/>
  <c r="L302" i="301" s="1"/>
  <c r="BK295" i="312"/>
  <c r="BK209" i="312"/>
  <c r="P218" i="269"/>
  <c r="Q218" i="269" s="1"/>
  <c r="AG218" i="269" s="1"/>
  <c r="H216" i="301" s="1"/>
  <c r="I216" i="301" s="1"/>
  <c r="L216" i="301" s="1"/>
  <c r="N216" i="301" s="1"/>
  <c r="BT306" i="312"/>
  <c r="CF306" i="312"/>
  <c r="CE306" i="312" s="1"/>
  <c r="N381" i="269"/>
  <c r="O381" i="269"/>
  <c r="BT372" i="312"/>
  <c r="CF372" i="312"/>
  <c r="CE372" i="312" s="1"/>
  <c r="BT282" i="312"/>
  <c r="CF282" i="312"/>
  <c r="CE282" i="312" s="1"/>
  <c r="BK367" i="312"/>
  <c r="P56" i="269"/>
  <c r="Q56" i="269" s="1"/>
  <c r="AG56" i="269" s="1"/>
  <c r="H54" i="301" s="1"/>
  <c r="I54" i="301" s="1"/>
  <c r="L54" i="301" s="1"/>
  <c r="AG401" i="269"/>
  <c r="H399" i="301" s="1"/>
  <c r="I399" i="301" s="1"/>
  <c r="L399" i="301" s="1"/>
  <c r="N399" i="301" s="1"/>
  <c r="BK384" i="312"/>
  <c r="P391" i="269"/>
  <c r="Q391" i="269" s="1"/>
  <c r="AG391" i="269" s="1"/>
  <c r="H389" i="301" s="1"/>
  <c r="I389" i="301" s="1"/>
  <c r="L389" i="301" s="1"/>
  <c r="AG267" i="269"/>
  <c r="H265" i="301" s="1"/>
  <c r="I265" i="301" s="1"/>
  <c r="L265" i="301" s="1"/>
  <c r="P43" i="269"/>
  <c r="Q43" i="269" s="1"/>
  <c r="P239" i="269"/>
  <c r="Q239" i="269" s="1"/>
  <c r="AG239" i="269" s="1"/>
  <c r="H237" i="301" s="1"/>
  <c r="I237" i="301" s="1"/>
  <c r="L237" i="301" s="1"/>
  <c r="AG382" i="269"/>
  <c r="H380" i="301" s="1"/>
  <c r="I380" i="301" s="1"/>
  <c r="L380" i="301" s="1"/>
  <c r="BK128" i="312"/>
  <c r="BK280" i="312"/>
  <c r="BK303" i="312"/>
  <c r="AG384" i="269"/>
  <c r="H382" i="301" s="1"/>
  <c r="I382" i="301" s="1"/>
  <c r="L382" i="301" s="1"/>
  <c r="BK168" i="312"/>
  <c r="P178" i="269"/>
  <c r="Q178" i="269" s="1"/>
  <c r="AG178" i="269" s="1"/>
  <c r="H176" i="301" s="1"/>
  <c r="I176" i="301" s="1"/>
  <c r="L176" i="301" s="1"/>
  <c r="N176" i="301" s="1"/>
  <c r="O176" i="301" s="1"/>
  <c r="P372" i="269"/>
  <c r="Q372" i="269" s="1"/>
  <c r="AG372" i="269" s="1"/>
  <c r="H370" i="301" s="1"/>
  <c r="I370" i="301" s="1"/>
  <c r="L370" i="301" s="1"/>
  <c r="AG418" i="269"/>
  <c r="H416" i="301" s="1"/>
  <c r="I416" i="301" s="1"/>
  <c r="L416" i="301" s="1"/>
  <c r="N416" i="301" s="1"/>
  <c r="BK216" i="312"/>
  <c r="P225" i="269"/>
  <c r="Q225" i="269" s="1"/>
  <c r="AG225" i="269" s="1"/>
  <c r="H223" i="301" s="1"/>
  <c r="I223" i="301" s="1"/>
  <c r="L223" i="301" s="1"/>
  <c r="O223" i="301" s="1"/>
  <c r="BK327" i="312"/>
  <c r="P334" i="269"/>
  <c r="Q334" i="269" s="1"/>
  <c r="AG405" i="269"/>
  <c r="H403" i="301" s="1"/>
  <c r="I403" i="301" s="1"/>
  <c r="L403" i="301" s="1"/>
  <c r="BK80" i="312"/>
  <c r="P90" i="269"/>
  <c r="Q90" i="269" s="1"/>
  <c r="AG90" i="269" s="1"/>
  <c r="H88" i="301" s="1"/>
  <c r="I88" i="301" s="1"/>
  <c r="L88" i="301" s="1"/>
  <c r="CF288" i="312"/>
  <c r="CE288" i="312" s="1"/>
  <c r="BK238" i="312"/>
  <c r="P247" i="269"/>
  <c r="Q247" i="269" s="1"/>
  <c r="AG247" i="269" s="1"/>
  <c r="H245" i="301" s="1"/>
  <c r="I245" i="301" s="1"/>
  <c r="L245" i="301" s="1"/>
  <c r="N245" i="301" s="1"/>
  <c r="AG428" i="269"/>
  <c r="H426" i="301" s="1"/>
  <c r="I426" i="301" s="1"/>
  <c r="L426" i="301" s="1"/>
  <c r="N426" i="301" s="1"/>
  <c r="BK181" i="312"/>
  <c r="P190" i="269"/>
  <c r="Q190" i="269" s="1"/>
  <c r="P82" i="269"/>
  <c r="Q82" i="269" s="1"/>
  <c r="AG82" i="269" s="1"/>
  <c r="H80" i="301" s="1"/>
  <c r="I80" i="301" s="1"/>
  <c r="L80" i="301" s="1"/>
  <c r="N80" i="301" s="1"/>
  <c r="BK72" i="312"/>
  <c r="O37" i="269"/>
  <c r="N320" i="269"/>
  <c r="AG320" i="269" s="1"/>
  <c r="H318" i="301" s="1"/>
  <c r="I318" i="301" s="1"/>
  <c r="L318" i="301" s="1"/>
  <c r="N318" i="301" s="1"/>
  <c r="N43" i="269"/>
  <c r="BK255" i="312"/>
  <c r="P264" i="269"/>
  <c r="Q264" i="269" s="1"/>
  <c r="AG264" i="269" s="1"/>
  <c r="H262" i="301" s="1"/>
  <c r="I262" i="301" s="1"/>
  <c r="L262" i="301" s="1"/>
  <c r="O415" i="301"/>
  <c r="P415" i="301" s="1"/>
  <c r="R415" i="301" s="1"/>
  <c r="BK7" i="312"/>
  <c r="BK369" i="312"/>
  <c r="BK31" i="312"/>
  <c r="BK281" i="312"/>
  <c r="AG317" i="269"/>
  <c r="H315" i="301" s="1"/>
  <c r="I315" i="301" s="1"/>
  <c r="L315" i="301" s="1"/>
  <c r="BK243" i="312"/>
  <c r="BK68" i="312"/>
  <c r="P140" i="269"/>
  <c r="Q140" i="269" s="1"/>
  <c r="AG140" i="269" s="1"/>
  <c r="H138" i="301" s="1"/>
  <c r="I138" i="301" s="1"/>
  <c r="L138" i="301" s="1"/>
  <c r="N138" i="301" s="1"/>
  <c r="P172" i="269"/>
  <c r="Q172" i="269" s="1"/>
  <c r="AG172" i="269" s="1"/>
  <c r="H170" i="301" s="1"/>
  <c r="I170" i="301" s="1"/>
  <c r="L170" i="301" s="1"/>
  <c r="N170" i="301" s="1"/>
  <c r="O209" i="301"/>
  <c r="P209" i="301" s="1"/>
  <c r="R209" i="301" s="1"/>
  <c r="P203" i="269"/>
  <c r="Q203" i="269" s="1"/>
  <c r="AG203" i="269" s="1"/>
  <c r="H201" i="301" s="1"/>
  <c r="I201" i="301" s="1"/>
  <c r="L201" i="301" s="1"/>
  <c r="AG334" i="269"/>
  <c r="H332" i="301" s="1"/>
  <c r="I332" i="301" s="1"/>
  <c r="L332" i="301" s="1"/>
  <c r="P265" i="269"/>
  <c r="Q265" i="269" s="1"/>
  <c r="AG265" i="269" s="1"/>
  <c r="H263" i="301" s="1"/>
  <c r="I263" i="301" s="1"/>
  <c r="L263" i="301" s="1"/>
  <c r="N263" i="301" s="1"/>
  <c r="BK256" i="312"/>
  <c r="BK62" i="312"/>
  <c r="P72" i="269"/>
  <c r="Q72" i="269" s="1"/>
  <c r="AG72" i="269" s="1"/>
  <c r="H70" i="301" s="1"/>
  <c r="I70" i="301" s="1"/>
  <c r="L70" i="301" s="1"/>
  <c r="N70" i="301" s="1"/>
  <c r="P179" i="269"/>
  <c r="Q179" i="269" s="1"/>
  <c r="AG179" i="269" s="1"/>
  <c r="H177" i="301" s="1"/>
  <c r="I177" i="301" s="1"/>
  <c r="L177" i="301" s="1"/>
  <c r="P243" i="269"/>
  <c r="Q243" i="269" s="1"/>
  <c r="AG243" i="269" s="1"/>
  <c r="H241" i="301" s="1"/>
  <c r="I241" i="301" s="1"/>
  <c r="L241" i="301" s="1"/>
  <c r="N241" i="301" s="1"/>
  <c r="BK235" i="312"/>
  <c r="BK383" i="312"/>
  <c r="P390" i="269"/>
  <c r="Q390" i="269" s="1"/>
  <c r="AG390" i="269" s="1"/>
  <c r="H388" i="301" s="1"/>
  <c r="I388" i="301" s="1"/>
  <c r="L388" i="301" s="1"/>
  <c r="BT332" i="312"/>
  <c r="CF332" i="312"/>
  <c r="CE332" i="312" s="1"/>
  <c r="P354" i="269"/>
  <c r="Q354" i="269" s="1"/>
  <c r="AG354" i="269" s="1"/>
  <c r="H352" i="301" s="1"/>
  <c r="I352" i="301" s="1"/>
  <c r="L352" i="301" s="1"/>
  <c r="BK347" i="312"/>
  <c r="BT316" i="312"/>
  <c r="CF316" i="312"/>
  <c r="CE316" i="312" s="1"/>
  <c r="BT320" i="312"/>
  <c r="CF320" i="312"/>
  <c r="CE320" i="312" s="1"/>
  <c r="BT326" i="312"/>
  <c r="CF326" i="312"/>
  <c r="CE326" i="312" s="1"/>
  <c r="BT364" i="312"/>
  <c r="CF364" i="312"/>
  <c r="CE364" i="312" s="1"/>
  <c r="BT314" i="312"/>
  <c r="CF314" i="312"/>
  <c r="CE314" i="312" s="1"/>
  <c r="BT459" i="312"/>
  <c r="CF459" i="312"/>
  <c r="CE459" i="312" s="1"/>
  <c r="BT470" i="312"/>
  <c r="CF470" i="312"/>
  <c r="CE470" i="312" s="1"/>
  <c r="BT468" i="312"/>
  <c r="CF468" i="312"/>
  <c r="CE468" i="312" s="1"/>
  <c r="BT466" i="312"/>
  <c r="CF466" i="312"/>
  <c r="CE466" i="312" s="1"/>
  <c r="AG182" i="269"/>
  <c r="H180" i="301" s="1"/>
  <c r="I180" i="301" s="1"/>
  <c r="L180" i="301" s="1"/>
  <c r="N180" i="301" s="1"/>
  <c r="BT239" i="312"/>
  <c r="CF239" i="312"/>
  <c r="CE239" i="312" s="1"/>
  <c r="O460" i="269"/>
  <c r="N460" i="269"/>
  <c r="AG460" i="269" s="1"/>
  <c r="H458" i="301" s="1"/>
  <c r="I458" i="301" s="1"/>
  <c r="L458" i="301" s="1"/>
  <c r="N458" i="301" s="1"/>
  <c r="O458" i="301" s="1"/>
  <c r="X356" i="269"/>
  <c r="Y356" i="269" s="1"/>
  <c r="BO349" i="312"/>
  <c r="X208" i="269"/>
  <c r="Y208" i="269" s="1"/>
  <c r="BO199" i="312"/>
  <c r="BT291" i="312"/>
  <c r="CF291" i="312"/>
  <c r="CE291" i="312" s="1"/>
  <c r="BO227" i="312"/>
  <c r="X236" i="269"/>
  <c r="Y236" i="269" s="1"/>
  <c r="AG104" i="269"/>
  <c r="H102" i="301" s="1"/>
  <c r="I102" i="301" s="1"/>
  <c r="L102" i="301" s="1"/>
  <c r="O102" i="301" s="1"/>
  <c r="BT228" i="312"/>
  <c r="CF228" i="312"/>
  <c r="CE228" i="312" s="1"/>
  <c r="X95" i="269"/>
  <c r="Y95" i="269" s="1"/>
  <c r="BO85" i="312"/>
  <c r="BT415" i="312"/>
  <c r="CF415" i="312"/>
  <c r="CE415" i="312" s="1"/>
  <c r="AG295" i="269"/>
  <c r="H293" i="301" s="1"/>
  <c r="I293" i="301" s="1"/>
  <c r="L293" i="301" s="1"/>
  <c r="AG235" i="269"/>
  <c r="H233" i="301" s="1"/>
  <c r="I233" i="301" s="1"/>
  <c r="L233" i="301" s="1"/>
  <c r="N233" i="301" s="1"/>
  <c r="O233" i="301" s="1"/>
  <c r="AG215" i="269"/>
  <c r="H213" i="301" s="1"/>
  <c r="I213" i="301" s="1"/>
  <c r="L213" i="301" s="1"/>
  <c r="P116" i="269"/>
  <c r="Q116" i="269" s="1"/>
  <c r="AG116" i="269" s="1"/>
  <c r="H114" i="301" s="1"/>
  <c r="I114" i="301" s="1"/>
  <c r="L114" i="301" s="1"/>
  <c r="BK106" i="312"/>
  <c r="BT210" i="312"/>
  <c r="CF210" i="312"/>
  <c r="CE210" i="312" s="1"/>
  <c r="BT453" i="312"/>
  <c r="CF453" i="312"/>
  <c r="CE453" i="312" s="1"/>
  <c r="O482" i="269"/>
  <c r="N482" i="269"/>
  <c r="AG362" i="269"/>
  <c r="H360" i="301" s="1"/>
  <c r="I360" i="301" s="1"/>
  <c r="L360" i="301" s="1"/>
  <c r="N360" i="301" s="1"/>
  <c r="O360" i="301" s="1"/>
  <c r="BT302" i="312"/>
  <c r="CF302" i="312"/>
  <c r="CE302" i="312" s="1"/>
  <c r="N25" i="269"/>
  <c r="O25" i="269"/>
  <c r="BK226" i="312"/>
  <c r="AG377" i="269"/>
  <c r="H375" i="301" s="1"/>
  <c r="I375" i="301" s="1"/>
  <c r="L375" i="301" s="1"/>
  <c r="N375" i="301" s="1"/>
  <c r="O375" i="301" s="1"/>
  <c r="AG337" i="269"/>
  <c r="H335" i="301" s="1"/>
  <c r="I335" i="301" s="1"/>
  <c r="L335" i="301" s="1"/>
  <c r="AG455" i="269"/>
  <c r="H453" i="301" s="1"/>
  <c r="I453" i="301" s="1"/>
  <c r="L453" i="301" s="1"/>
  <c r="N453" i="301" s="1"/>
  <c r="AG432" i="269"/>
  <c r="H430" i="301" s="1"/>
  <c r="I430" i="301" s="1"/>
  <c r="L430" i="301" s="1"/>
  <c r="N430" i="301" s="1"/>
  <c r="AG484" i="269"/>
  <c r="H482" i="301" s="1"/>
  <c r="I482" i="301" s="1"/>
  <c r="L482" i="301" s="1"/>
  <c r="N482" i="301" s="1"/>
  <c r="AG452" i="269"/>
  <c r="H450" i="301" s="1"/>
  <c r="I450" i="301" s="1"/>
  <c r="L450" i="301" s="1"/>
  <c r="AG483" i="269"/>
  <c r="H481" i="301" s="1"/>
  <c r="I481" i="301" s="1"/>
  <c r="L481" i="301" s="1"/>
  <c r="N481" i="301" s="1"/>
  <c r="P180" i="269"/>
  <c r="Q180" i="269" s="1"/>
  <c r="AG180" i="269" s="1"/>
  <c r="H178" i="301" s="1"/>
  <c r="I178" i="301" s="1"/>
  <c r="L178" i="301" s="1"/>
  <c r="N178" i="301" s="1"/>
  <c r="BK170" i="312"/>
  <c r="AG450" i="269"/>
  <c r="H448" i="301" s="1"/>
  <c r="I448" i="301" s="1"/>
  <c r="L448" i="301" s="1"/>
  <c r="BB498" i="312"/>
  <c r="AG19" i="269"/>
  <c r="H17" i="301" s="1"/>
  <c r="I17" i="301" s="1"/>
  <c r="L17" i="301" s="1"/>
  <c r="N17" i="301" s="1"/>
  <c r="AG481" i="269"/>
  <c r="H479" i="301" s="1"/>
  <c r="I479" i="301" s="1"/>
  <c r="L479" i="301" s="1"/>
  <c r="BT101" i="312"/>
  <c r="CF101" i="312"/>
  <c r="CE101" i="312" s="1"/>
  <c r="BT318" i="312"/>
  <c r="CF318" i="312"/>
  <c r="CE318" i="312" s="1"/>
  <c r="BT329" i="312"/>
  <c r="CF329" i="312"/>
  <c r="CE329" i="312" s="1"/>
  <c r="BT187" i="312"/>
  <c r="CF187" i="312"/>
  <c r="CE187" i="312" s="1"/>
  <c r="BT86" i="312"/>
  <c r="CF86" i="312"/>
  <c r="CE86" i="312" s="1"/>
  <c r="BT471" i="312"/>
  <c r="CF471" i="312"/>
  <c r="CE471" i="312" s="1"/>
  <c r="BT363" i="312"/>
  <c r="CF363" i="312"/>
  <c r="CE363" i="312" s="1"/>
  <c r="AG59" i="269"/>
  <c r="H57" i="301" s="1"/>
  <c r="I57" i="301" s="1"/>
  <c r="L57" i="301" s="1"/>
  <c r="BT53" i="312"/>
  <c r="CF53" i="312"/>
  <c r="CE53" i="312" s="1"/>
  <c r="AG485" i="269"/>
  <c r="H483" i="301" s="1"/>
  <c r="I483" i="301" s="1"/>
  <c r="L483" i="301" s="1"/>
  <c r="N483" i="301" s="1"/>
  <c r="O483" i="301" s="1"/>
  <c r="AG498" i="269"/>
  <c r="H496" i="301" s="1"/>
  <c r="I496" i="301" s="1"/>
  <c r="L496" i="301" s="1"/>
  <c r="P213" i="269"/>
  <c r="Q213" i="269" s="1"/>
  <c r="AG499" i="269"/>
  <c r="H497" i="301" s="1"/>
  <c r="I497" i="301" s="1"/>
  <c r="L497" i="301" s="1"/>
  <c r="CF34" i="312"/>
  <c r="CE34" i="312" s="1"/>
  <c r="AG425" i="269"/>
  <c r="H423" i="301" s="1"/>
  <c r="I423" i="301" s="1"/>
  <c r="L423" i="301" s="1"/>
  <c r="CF461" i="312"/>
  <c r="CE461" i="312" s="1"/>
  <c r="CF417" i="312"/>
  <c r="CE417" i="312" s="1"/>
  <c r="CF176" i="312"/>
  <c r="CE176" i="312" s="1"/>
  <c r="CF454" i="312"/>
  <c r="CE454" i="312" s="1"/>
  <c r="CF344" i="312"/>
  <c r="CE344" i="312" s="1"/>
  <c r="CF135" i="312"/>
  <c r="CE135" i="312" s="1"/>
  <c r="CF167" i="312"/>
  <c r="CE167" i="312" s="1"/>
  <c r="CF128" i="312"/>
  <c r="CE128" i="312" s="1"/>
  <c r="CF94" i="312"/>
  <c r="CE94" i="312" s="1"/>
  <c r="CF77" i="312"/>
  <c r="CE77" i="312" s="1"/>
  <c r="CF162" i="312"/>
  <c r="CE162" i="312" s="1"/>
  <c r="O453" i="269"/>
  <c r="AG453" i="269" s="1"/>
  <c r="H451" i="301" s="1"/>
  <c r="I451" i="301" s="1"/>
  <c r="L451" i="301" s="1"/>
  <c r="N451" i="301" s="1"/>
  <c r="N221" i="269"/>
  <c r="CF479" i="312"/>
  <c r="CE479" i="312" s="1"/>
  <c r="CF136" i="312"/>
  <c r="CE136" i="312" s="1"/>
  <c r="BT102" i="312"/>
  <c r="CF102" i="312"/>
  <c r="CE102" i="312" s="1"/>
  <c r="CF59" i="312"/>
  <c r="CE59" i="312" s="1"/>
  <c r="CF169" i="312"/>
  <c r="CE169" i="312" s="1"/>
  <c r="BT82" i="312"/>
  <c r="CF82" i="312"/>
  <c r="CE82" i="312" s="1"/>
  <c r="AG206" i="269"/>
  <c r="H204" i="301" s="1"/>
  <c r="I204" i="301" s="1"/>
  <c r="L204" i="301" s="1"/>
  <c r="AG478" i="269"/>
  <c r="H476" i="301" s="1"/>
  <c r="I476" i="301" s="1"/>
  <c r="L476" i="301" s="1"/>
  <c r="CF484" i="312"/>
  <c r="CE484" i="312" s="1"/>
  <c r="BB3" i="312"/>
  <c r="BX498" i="312"/>
  <c r="AG298" i="269"/>
  <c r="H296" i="301" s="1"/>
  <c r="I296" i="301" s="1"/>
  <c r="L296" i="301" s="1"/>
  <c r="O296" i="301" s="1"/>
  <c r="CF150" i="312"/>
  <c r="CE150" i="312" s="1"/>
  <c r="BT356" i="312"/>
  <c r="CF356" i="312"/>
  <c r="CE356" i="312" s="1"/>
  <c r="BT153" i="312"/>
  <c r="CF153" i="312"/>
  <c r="CE153" i="312" s="1"/>
  <c r="CF475" i="312"/>
  <c r="CE475" i="312" s="1"/>
  <c r="AG259" i="269"/>
  <c r="H257" i="301" s="1"/>
  <c r="I257" i="301" s="1"/>
  <c r="L257" i="301" s="1"/>
  <c r="CF244" i="312"/>
  <c r="CE244" i="312" s="1"/>
  <c r="CF250" i="312"/>
  <c r="CE250" i="312" s="1"/>
  <c r="CF198" i="312"/>
  <c r="CE198" i="312" s="1"/>
  <c r="CF386" i="312"/>
  <c r="CE386" i="312" s="1"/>
  <c r="N204" i="269"/>
  <c r="X419" i="269"/>
  <c r="Y419" i="269" s="1"/>
  <c r="AG419" i="269" s="1"/>
  <c r="H417" i="301" s="1"/>
  <c r="I417" i="301" s="1"/>
  <c r="L417" i="301" s="1"/>
  <c r="N417" i="301" s="1"/>
  <c r="O417" i="301" s="1"/>
  <c r="F500" i="301"/>
  <c r="V43" i="326" s="1"/>
  <c r="AB36" i="322"/>
  <c r="G34" i="326" s="1"/>
  <c r="H34" i="326" s="1"/>
  <c r="K34" i="326" s="1"/>
  <c r="AN496" i="318"/>
  <c r="AO491" i="318"/>
  <c r="H493" i="269" s="1"/>
  <c r="I493" i="269" s="1"/>
  <c r="AN483" i="318"/>
  <c r="AW402" i="318"/>
  <c r="AN445" i="318"/>
  <c r="AN436" i="318"/>
  <c r="AN422" i="318"/>
  <c r="R402" i="318"/>
  <c r="AP393" i="318"/>
  <c r="F397" i="269" s="1"/>
  <c r="G397" i="269" s="1"/>
  <c r="AG397" i="269" s="1"/>
  <c r="H395" i="301" s="1"/>
  <c r="I395" i="301" s="1"/>
  <c r="L395" i="301" s="1"/>
  <c r="E500" i="318"/>
  <c r="AN263" i="318"/>
  <c r="AQ263" i="318" s="1"/>
  <c r="AN258" i="318"/>
  <c r="AQ258" i="318" s="1"/>
  <c r="AV225" i="318"/>
  <c r="J231" i="269" s="1"/>
  <c r="K231" i="269" s="1"/>
  <c r="AO165" i="318"/>
  <c r="H173" i="269" s="1"/>
  <c r="I173" i="269" s="1"/>
  <c r="AN165" i="318"/>
  <c r="AQ165" i="318" s="1"/>
  <c r="AN158" i="318"/>
  <c r="AQ158" i="318" s="1"/>
  <c r="AP110" i="318"/>
  <c r="F118" i="269" s="1"/>
  <c r="G118" i="269" s="1"/>
  <c r="AG118" i="269" s="1"/>
  <c r="H116" i="301" s="1"/>
  <c r="I116" i="301" s="1"/>
  <c r="L116" i="301" s="1"/>
  <c r="AN99" i="318"/>
  <c r="AQ99" i="318" s="1"/>
  <c r="AN79" i="318"/>
  <c r="AQ79" i="318" s="1"/>
  <c r="AP79" i="318"/>
  <c r="F87" i="269" s="1"/>
  <c r="G87" i="269" s="1"/>
  <c r="BA6" i="318"/>
  <c r="DH1" i="318" s="1"/>
  <c r="O494" i="269"/>
  <c r="N494" i="269"/>
  <c r="O385" i="269"/>
  <c r="N385" i="269"/>
  <c r="AG385" i="269" s="1"/>
  <c r="H383" i="301" s="1"/>
  <c r="I383" i="301" s="1"/>
  <c r="L383" i="301" s="1"/>
  <c r="N383" i="301" s="1"/>
  <c r="AG294" i="269"/>
  <c r="H292" i="301" s="1"/>
  <c r="I292" i="301" s="1"/>
  <c r="L292" i="301" s="1"/>
  <c r="N292" i="301" s="1"/>
  <c r="AG260" i="269"/>
  <c r="H258" i="301" s="1"/>
  <c r="I258" i="301" s="1"/>
  <c r="L258" i="301" s="1"/>
  <c r="AG105" i="269"/>
  <c r="H103" i="301" s="1"/>
  <c r="I103" i="301" s="1"/>
  <c r="L103" i="301" s="1"/>
  <c r="AG205" i="269"/>
  <c r="H203" i="301" s="1"/>
  <c r="I203" i="301" s="1"/>
  <c r="L203" i="301" s="1"/>
  <c r="N203" i="301" s="1"/>
  <c r="O203" i="301" s="1"/>
  <c r="AG253" i="269"/>
  <c r="H251" i="301" s="1"/>
  <c r="I251" i="301" s="1"/>
  <c r="L251" i="301" s="1"/>
  <c r="AW177" i="318"/>
  <c r="BD3" i="318" s="1"/>
  <c r="AV255" i="318"/>
  <c r="J261" i="269" s="1"/>
  <c r="K261" i="269" s="1"/>
  <c r="AN255" i="318"/>
  <c r="AQ255" i="318" s="1"/>
  <c r="AV245" i="318"/>
  <c r="J251" i="269" s="1"/>
  <c r="K251" i="269" s="1"/>
  <c r="AN245" i="318"/>
  <c r="AQ245" i="318" s="1"/>
  <c r="AO173" i="318"/>
  <c r="H181" i="269" s="1"/>
  <c r="I181" i="269" s="1"/>
  <c r="AG181" i="269" s="1"/>
  <c r="H179" i="301" s="1"/>
  <c r="I179" i="301" s="1"/>
  <c r="L179" i="301" s="1"/>
  <c r="N179" i="301" s="1"/>
  <c r="AN173" i="318"/>
  <c r="AQ173" i="318" s="1"/>
  <c r="AP93" i="318"/>
  <c r="F101" i="269" s="1"/>
  <c r="G101" i="269" s="1"/>
  <c r="AG101" i="269" s="1"/>
  <c r="H99" i="301" s="1"/>
  <c r="I99" i="301" s="1"/>
  <c r="L99" i="301" s="1"/>
  <c r="AN93" i="318"/>
  <c r="AQ93" i="318" s="1"/>
  <c r="O477" i="269"/>
  <c r="AG477" i="269" s="1"/>
  <c r="H475" i="301" s="1"/>
  <c r="I475" i="301" s="1"/>
  <c r="L475" i="301" s="1"/>
  <c r="N475" i="301" s="1"/>
  <c r="N477" i="269"/>
  <c r="CF246" i="312"/>
  <c r="CE246" i="312" s="1"/>
  <c r="CF412" i="312"/>
  <c r="CE412" i="312" s="1"/>
  <c r="AG434" i="269"/>
  <c r="H432" i="301" s="1"/>
  <c r="I432" i="301" s="1"/>
  <c r="L432" i="301" s="1"/>
  <c r="N432" i="301" s="1"/>
  <c r="AN495" i="318"/>
  <c r="AN467" i="318"/>
  <c r="AN460" i="318"/>
  <c r="AN433" i="318"/>
  <c r="AN382" i="318"/>
  <c r="AQ382" i="318" s="1"/>
  <c r="AN371" i="318"/>
  <c r="AQ371" i="318" s="1"/>
  <c r="AN367" i="318"/>
  <c r="AQ367" i="318" s="1"/>
  <c r="AN333" i="318"/>
  <c r="AQ333" i="318" s="1"/>
  <c r="AN330" i="318"/>
  <c r="AQ330" i="318" s="1"/>
  <c r="AN320" i="318"/>
  <c r="AQ320" i="318" s="1"/>
  <c r="AN279" i="318"/>
  <c r="AQ279" i="318" s="1"/>
  <c r="AV234" i="318"/>
  <c r="J240" i="269" s="1"/>
  <c r="K240" i="269" s="1"/>
  <c r="AG240" i="269" s="1"/>
  <c r="H238" i="301" s="1"/>
  <c r="I238" i="301" s="1"/>
  <c r="L238" i="301" s="1"/>
  <c r="N238" i="301" s="1"/>
  <c r="O238" i="301" s="1"/>
  <c r="AN234" i="318"/>
  <c r="AQ234" i="318" s="1"/>
  <c r="AN214" i="318"/>
  <c r="AQ214" i="318" s="1"/>
  <c r="AP107" i="318"/>
  <c r="F115" i="269" s="1"/>
  <c r="G115" i="269" s="1"/>
  <c r="AN107" i="318"/>
  <c r="AQ107" i="318" s="1"/>
  <c r="BT465" i="312"/>
  <c r="CF465" i="312"/>
  <c r="CE465" i="312" s="1"/>
  <c r="AG47" i="269"/>
  <c r="H45" i="301" s="1"/>
  <c r="I45" i="301" s="1"/>
  <c r="L45" i="301" s="1"/>
  <c r="N45" i="301" s="1"/>
  <c r="O45" i="301" s="1"/>
  <c r="CF13" i="312"/>
  <c r="CE13" i="312" s="1"/>
  <c r="CF87" i="312"/>
  <c r="CE87" i="312" s="1"/>
  <c r="CF191" i="312"/>
  <c r="CE191" i="312" s="1"/>
  <c r="CF435" i="312"/>
  <c r="CE435" i="312" s="1"/>
  <c r="CF368" i="312"/>
  <c r="CE368" i="312" s="1"/>
  <c r="CF390" i="312"/>
  <c r="CE390" i="312" s="1"/>
  <c r="CF333" i="312"/>
  <c r="CE333" i="312" s="1"/>
  <c r="CF342" i="312"/>
  <c r="CE342" i="312" s="1"/>
  <c r="CF277" i="312"/>
  <c r="CE277" i="312" s="1"/>
  <c r="W47" i="322"/>
  <c r="H47" i="322"/>
  <c r="AA47" i="322"/>
  <c r="AB22" i="322"/>
  <c r="G20" i="326" s="1"/>
  <c r="H20" i="326" s="1"/>
  <c r="K20" i="326" s="1"/>
  <c r="AN486" i="318"/>
  <c r="AN453" i="318"/>
  <c r="AN447" i="318"/>
  <c r="AO440" i="318"/>
  <c r="H442" i="269" s="1"/>
  <c r="I442" i="269" s="1"/>
  <c r="AG442" i="269" s="1"/>
  <c r="H440" i="301" s="1"/>
  <c r="I440" i="301" s="1"/>
  <c r="L440" i="301" s="1"/>
  <c r="N440" i="301" s="1"/>
  <c r="O440" i="301" s="1"/>
  <c r="AN438" i="318"/>
  <c r="AN428" i="318"/>
  <c r="AN413" i="318"/>
  <c r="AN380" i="318"/>
  <c r="AQ380" i="318" s="1"/>
  <c r="AN368" i="318"/>
  <c r="AQ368" i="318" s="1"/>
  <c r="AN360" i="318"/>
  <c r="AQ360" i="318" s="1"/>
  <c r="AN356" i="318"/>
  <c r="AQ356" i="318" s="1"/>
  <c r="AN355" i="318"/>
  <c r="AQ355" i="318" s="1"/>
  <c r="AN349" i="318"/>
  <c r="AQ349" i="318" s="1"/>
  <c r="AN348" i="318"/>
  <c r="AQ348" i="318" s="1"/>
  <c r="AN326" i="318"/>
  <c r="AQ326" i="318" s="1"/>
  <c r="AN250" i="318"/>
  <c r="AQ250" i="318" s="1"/>
  <c r="AV240" i="318"/>
  <c r="J246" i="269" s="1"/>
  <c r="K246" i="269" s="1"/>
  <c r="AN218" i="318"/>
  <c r="AQ218" i="318" s="1"/>
  <c r="AN205" i="318"/>
  <c r="AQ205" i="318" s="1"/>
  <c r="AN195" i="318"/>
  <c r="AQ195" i="318" s="1"/>
  <c r="AN130" i="318"/>
  <c r="AQ130" i="318" s="1"/>
  <c r="AP130" i="318"/>
  <c r="F138" i="269" s="1"/>
  <c r="G138" i="269" s="1"/>
  <c r="AG138" i="269" s="1"/>
  <c r="H136" i="301" s="1"/>
  <c r="I136" i="301" s="1"/>
  <c r="L136" i="301" s="1"/>
  <c r="N136" i="301" s="1"/>
  <c r="O136" i="301" s="1"/>
  <c r="AN72" i="318"/>
  <c r="AQ72" i="318" s="1"/>
  <c r="AP72" i="318"/>
  <c r="F80" i="269" s="1"/>
  <c r="G80" i="269" s="1"/>
  <c r="AG80" i="269" s="1"/>
  <c r="H78" i="301" s="1"/>
  <c r="I78" i="301" s="1"/>
  <c r="L78" i="301" s="1"/>
  <c r="AG33" i="269"/>
  <c r="H31" i="301" s="1"/>
  <c r="I31" i="301" s="1"/>
  <c r="L31" i="301" s="1"/>
  <c r="AN42" i="318"/>
  <c r="AN15" i="318"/>
  <c r="AV15" i="318" s="1"/>
  <c r="J23" i="269" s="1"/>
  <c r="K23" i="269" s="1"/>
  <c r="AG23" i="269" s="1"/>
  <c r="H21" i="301" s="1"/>
  <c r="I21" i="301" s="1"/>
  <c r="L21" i="301" s="1"/>
  <c r="N21" i="301" s="1"/>
  <c r="BF462" i="312"/>
  <c r="BF497" i="312" s="1"/>
  <c r="BF449" i="312"/>
  <c r="BF392" i="312"/>
  <c r="BL388" i="312"/>
  <c r="CD352" i="312"/>
  <c r="DJ500" i="318"/>
  <c r="DF500" i="318"/>
  <c r="DB500" i="318"/>
  <c r="CX500" i="318"/>
  <c r="CT500" i="318"/>
  <c r="CP500" i="318"/>
  <c r="CL500" i="318"/>
  <c r="CH500" i="318"/>
  <c r="CD500" i="318"/>
  <c r="BZ500" i="318"/>
  <c r="BV500" i="318"/>
  <c r="BR500" i="318"/>
  <c r="BN500" i="318"/>
  <c r="BJ500" i="318"/>
  <c r="BF500" i="318"/>
  <c r="BB500" i="318"/>
  <c r="AT500" i="318"/>
  <c r="AN299" i="318"/>
  <c r="AQ299" i="318" s="1"/>
  <c r="AN288" i="318"/>
  <c r="AQ288" i="318" s="1"/>
  <c r="AN273" i="318"/>
  <c r="AQ273" i="318" s="1"/>
  <c r="AN213" i="318"/>
  <c r="AQ213" i="318" s="1"/>
  <c r="AN209" i="318"/>
  <c r="AQ209" i="318" s="1"/>
  <c r="AN198" i="318"/>
  <c r="AQ198" i="318" s="1"/>
  <c r="AN193" i="318"/>
  <c r="AQ193" i="318" s="1"/>
  <c r="EC2" i="318"/>
  <c r="AN170" i="318"/>
  <c r="AQ170" i="318" s="1"/>
  <c r="AN138" i="318"/>
  <c r="AQ138" i="318" s="1"/>
  <c r="AP102" i="318"/>
  <c r="F110" i="269" s="1"/>
  <c r="G110" i="269" s="1"/>
  <c r="AG110" i="269" s="1"/>
  <c r="H108" i="301" s="1"/>
  <c r="I108" i="301" s="1"/>
  <c r="L108" i="301" s="1"/>
  <c r="AN77" i="318"/>
  <c r="AQ77" i="318" s="1"/>
  <c r="AN45" i="318"/>
  <c r="AN13" i="318"/>
  <c r="AV13" i="318" s="1"/>
  <c r="J21" i="269" s="1"/>
  <c r="K21" i="269" s="1"/>
  <c r="AN9" i="318"/>
  <c r="AV9" i="318" s="1"/>
  <c r="J17" i="269" s="1"/>
  <c r="K17" i="269" s="1"/>
  <c r="CD448" i="312"/>
  <c r="BL373" i="312"/>
  <c r="CD348" i="312"/>
  <c r="BL288" i="312"/>
  <c r="CD239" i="312"/>
  <c r="BT38" i="312"/>
  <c r="CF38" i="312"/>
  <c r="CE38" i="312" s="1"/>
  <c r="AN85" i="318"/>
  <c r="AQ85" i="318" s="1"/>
  <c r="BF385" i="312"/>
  <c r="BT346" i="312"/>
  <c r="CF346" i="312"/>
  <c r="CE346" i="312" s="1"/>
  <c r="O252" i="269"/>
  <c r="AG252" i="269" s="1"/>
  <c r="H250" i="301" s="1"/>
  <c r="I250" i="301" s="1"/>
  <c r="L250" i="301" s="1"/>
  <c r="N252" i="269"/>
  <c r="CD351" i="312"/>
  <c r="CD221" i="312"/>
  <c r="O192" i="269"/>
  <c r="N192" i="269"/>
  <c r="O190" i="269"/>
  <c r="N190" i="269"/>
  <c r="AG190" i="269" s="1"/>
  <c r="H188" i="301" s="1"/>
  <c r="I188" i="301" s="1"/>
  <c r="L188" i="301" s="1"/>
  <c r="BF315" i="312"/>
  <c r="H498" i="312"/>
  <c r="H499" i="312" s="1"/>
  <c r="BF224" i="312"/>
  <c r="CY181" i="312"/>
  <c r="CD169" i="312"/>
  <c r="M157" i="269"/>
  <c r="CQ43" i="312"/>
  <c r="CY39" i="312"/>
  <c r="CY36" i="312"/>
  <c r="CY30" i="312"/>
  <c r="CD28" i="312"/>
  <c r="CY21" i="312"/>
  <c r="BF17" i="312"/>
  <c r="CY15" i="312"/>
  <c r="CY14" i="312"/>
  <c r="CY13" i="312"/>
  <c r="CD10" i="312"/>
  <c r="CQ209" i="312"/>
  <c r="W498" i="312"/>
  <c r="W499" i="312" s="1"/>
  <c r="CD91" i="312"/>
  <c r="CD75" i="312"/>
  <c r="CY51" i="312"/>
  <c r="CY46" i="312"/>
  <c r="CY35" i="312"/>
  <c r="CD22" i="312"/>
  <c r="CP7" i="312"/>
  <c r="CD316" i="312"/>
  <c r="CD308" i="312"/>
  <c r="CD307" i="312"/>
  <c r="BL264" i="312"/>
  <c r="BL260" i="312"/>
  <c r="CD257" i="312"/>
  <c r="BF242" i="312"/>
  <c r="BF240" i="312"/>
  <c r="CD226" i="312"/>
  <c r="BF217" i="312"/>
  <c r="BT217" i="312" s="1"/>
  <c r="CD212" i="312"/>
  <c r="CY202" i="312"/>
  <c r="CY189" i="312"/>
  <c r="CY186" i="312"/>
  <c r="BF186" i="312"/>
  <c r="BL177" i="312"/>
  <c r="CD328" i="312"/>
  <c r="CQ311" i="312"/>
  <c r="CD236" i="312"/>
  <c r="BF229" i="312"/>
  <c r="BL206" i="312"/>
  <c r="AW498" i="312"/>
  <c r="BF30" i="312"/>
  <c r="CY18" i="312"/>
  <c r="U502" i="269"/>
  <c r="F17" i="270"/>
  <c r="N115" i="301"/>
  <c r="N222" i="301"/>
  <c r="O222" i="301" s="1"/>
  <c r="N301" i="301"/>
  <c r="O301" i="301" s="1"/>
  <c r="N330" i="301"/>
  <c r="O330" i="301" s="1"/>
  <c r="N295" i="301"/>
  <c r="O295" i="301" s="1"/>
  <c r="N141" i="301"/>
  <c r="O141" i="301" s="1"/>
  <c r="N288" i="301"/>
  <c r="O288" i="301" s="1"/>
  <c r="N53" i="301"/>
  <c r="O53" i="301" s="1"/>
  <c r="N116" i="301"/>
  <c r="N84" i="301"/>
  <c r="O84" i="301" s="1"/>
  <c r="N305" i="301"/>
  <c r="O305" i="301" s="1"/>
  <c r="N220" i="301"/>
  <c r="O220" i="301" s="1"/>
  <c r="N387" i="301"/>
  <c r="N299" i="301"/>
  <c r="O299" i="301" s="1"/>
  <c r="N129" i="301"/>
  <c r="N201" i="301"/>
  <c r="O201" i="301" s="1"/>
  <c r="N293" i="301"/>
  <c r="N223" i="301"/>
  <c r="N196" i="301"/>
  <c r="O196" i="301" s="1"/>
  <c r="N348" i="301"/>
  <c r="O348" i="301" s="1"/>
  <c r="N111" i="301"/>
  <c r="O73" i="301"/>
  <c r="N73" i="301"/>
  <c r="N135" i="301"/>
  <c r="N74" i="301"/>
  <c r="N69" i="301"/>
  <c r="N192" i="301"/>
  <c r="O192" i="301" s="1"/>
  <c r="N133" i="301"/>
  <c r="O133" i="301"/>
  <c r="N310" i="301"/>
  <c r="O310" i="301" s="1"/>
  <c r="N166" i="301"/>
  <c r="O166" i="301" s="1"/>
  <c r="N120" i="301"/>
  <c r="N68" i="301"/>
  <c r="N278" i="301"/>
  <c r="O278" i="301"/>
  <c r="N396" i="301"/>
  <c r="O396" i="301" s="1"/>
  <c r="N407" i="301"/>
  <c r="O407" i="301" s="1"/>
  <c r="N302" i="301"/>
  <c r="O302" i="301" s="1"/>
  <c r="N454" i="301"/>
  <c r="N437" i="301"/>
  <c r="O437" i="301" s="1"/>
  <c r="N382" i="301"/>
  <c r="O382" i="301" s="1"/>
  <c r="N427" i="301"/>
  <c r="N83" i="301"/>
  <c r="N391" i="301"/>
  <c r="O391" i="301" s="1"/>
  <c r="N470" i="301"/>
  <c r="N425" i="301"/>
  <c r="O425" i="301" s="1"/>
  <c r="N496" i="301"/>
  <c r="O496" i="301"/>
  <c r="N497" i="301"/>
  <c r="O497" i="301" s="1"/>
  <c r="N31" i="301"/>
  <c r="O31" i="301" s="1"/>
  <c r="O306" i="301"/>
  <c r="N306" i="301"/>
  <c r="O280" i="301"/>
  <c r="P280" i="301" s="1"/>
  <c r="R280" i="301" s="1"/>
  <c r="N265" i="301"/>
  <c r="O265" i="301"/>
  <c r="O326" i="301"/>
  <c r="N326" i="301"/>
  <c r="N303" i="301"/>
  <c r="O303" i="301" s="1"/>
  <c r="N167" i="301"/>
  <c r="N253" i="301"/>
  <c r="O253" i="301" s="1"/>
  <c r="N433" i="301"/>
  <c r="N332" i="301"/>
  <c r="O130" i="301"/>
  <c r="N130" i="301"/>
  <c r="N150" i="301"/>
  <c r="O150" i="301" s="1"/>
  <c r="O132" i="301"/>
  <c r="N132" i="301"/>
  <c r="N89" i="301"/>
  <c r="O89" i="301" s="1"/>
  <c r="O381" i="301"/>
  <c r="N381" i="301"/>
  <c r="N393" i="301"/>
  <c r="O393" i="301" s="1"/>
  <c r="O374" i="301"/>
  <c r="N374" i="301"/>
  <c r="N336" i="301"/>
  <c r="N394" i="301"/>
  <c r="O394" i="301"/>
  <c r="N316" i="301"/>
  <c r="O316" i="301" s="1"/>
  <c r="N266" i="301"/>
  <c r="O266" i="301" s="1"/>
  <c r="N392" i="301"/>
  <c r="N143" i="301"/>
  <c r="N195" i="301"/>
  <c r="O195" i="301"/>
  <c r="N300" i="301"/>
  <c r="O300" i="301"/>
  <c r="N261" i="301"/>
  <c r="O261" i="301"/>
  <c r="N159" i="301"/>
  <c r="N357" i="301"/>
  <c r="O357" i="301" s="1"/>
  <c r="N205" i="301"/>
  <c r="O205" i="301" s="1"/>
  <c r="N98" i="301"/>
  <c r="N88" i="301"/>
  <c r="O88" i="301" s="1"/>
  <c r="O174" i="301"/>
  <c r="N174" i="301"/>
  <c r="N447" i="301"/>
  <c r="O447" i="301" s="1"/>
  <c r="N308" i="301"/>
  <c r="N347" i="301"/>
  <c r="O347" i="301" s="1"/>
  <c r="N181" i="301"/>
  <c r="O181" i="301" s="1"/>
  <c r="N350" i="301"/>
  <c r="N165" i="301"/>
  <c r="N340" i="301"/>
  <c r="O340" i="301" s="1"/>
  <c r="N380" i="301"/>
  <c r="N20" i="301"/>
  <c r="N317" i="301"/>
  <c r="N242" i="301"/>
  <c r="O242" i="301"/>
  <c r="N158" i="301"/>
  <c r="O158" i="301"/>
  <c r="N487" i="301"/>
  <c r="O487" i="301" s="1"/>
  <c r="N467" i="301"/>
  <c r="O467" i="301" s="1"/>
  <c r="N419" i="301"/>
  <c r="O419" i="301" s="1"/>
  <c r="N445" i="301"/>
  <c r="N213" i="301"/>
  <c r="O213" i="301" s="1"/>
  <c r="N495" i="301"/>
  <c r="O495" i="301"/>
  <c r="N285" i="301"/>
  <c r="O285" i="301" s="1"/>
  <c r="N204" i="301"/>
  <c r="O204" i="301"/>
  <c r="N296" i="301"/>
  <c r="N75" i="301"/>
  <c r="N232" i="301"/>
  <c r="O232" i="301" s="1"/>
  <c r="N256" i="301"/>
  <c r="N162" i="301"/>
  <c r="O162" i="301"/>
  <c r="N126" i="301"/>
  <c r="N186" i="301"/>
  <c r="N363" i="301"/>
  <c r="O363" i="301" s="1"/>
  <c r="N342" i="301"/>
  <c r="O342" i="301" s="1"/>
  <c r="N335" i="301"/>
  <c r="N444" i="301"/>
  <c r="N450" i="301"/>
  <c r="O450" i="301"/>
  <c r="N365" i="301"/>
  <c r="N286" i="301"/>
  <c r="O286" i="301" s="1"/>
  <c r="O18" i="301"/>
  <c r="N18" i="301"/>
  <c r="N118" i="301"/>
  <c r="O118" i="301"/>
  <c r="O275" i="301"/>
  <c r="N275" i="301"/>
  <c r="N183" i="301"/>
  <c r="O183" i="301" s="1"/>
  <c r="O362" i="301"/>
  <c r="N362" i="301"/>
  <c r="N404" i="301"/>
  <c r="O404" i="301" s="1"/>
  <c r="P372" i="301"/>
  <c r="R372" i="301" s="1"/>
  <c r="N123" i="301"/>
  <c r="O123" i="301" s="1"/>
  <c r="N366" i="301"/>
  <c r="N86" i="301"/>
  <c r="N156" i="301"/>
  <c r="O156" i="301"/>
  <c r="N54" i="301"/>
  <c r="N64" i="301"/>
  <c r="N364" i="301"/>
  <c r="O364" i="301" s="1"/>
  <c r="N389" i="301"/>
  <c r="O389" i="301" s="1"/>
  <c r="N214" i="301"/>
  <c r="O214" i="301" s="1"/>
  <c r="N227" i="301"/>
  <c r="N312" i="301"/>
  <c r="O312" i="301" s="1"/>
  <c r="N341" i="301"/>
  <c r="N349" i="301"/>
  <c r="O349" i="301"/>
  <c r="N262" i="301"/>
  <c r="N225" i="301"/>
  <c r="O225" i="301" s="1"/>
  <c r="N50" i="301"/>
  <c r="O50" i="301"/>
  <c r="N121" i="301"/>
  <c r="O168" i="301"/>
  <c r="N168" i="301"/>
  <c r="N52" i="301"/>
  <c r="P144" i="301"/>
  <c r="R144" i="301" s="1"/>
  <c r="N422" i="301"/>
  <c r="N134" i="301"/>
  <c r="O49" i="301"/>
  <c r="P49" i="301" s="1"/>
  <c r="R49" i="301" s="1"/>
  <c r="N237" i="301"/>
  <c r="O237" i="301" s="1"/>
  <c r="N315" i="301"/>
  <c r="N101" i="301"/>
  <c r="O101" i="301"/>
  <c r="N370" i="301"/>
  <c r="O370" i="301" s="1"/>
  <c r="N16" i="301"/>
  <c r="O16" i="301"/>
  <c r="N67" i="301"/>
  <c r="O67" i="301" s="1"/>
  <c r="N189" i="301"/>
  <c r="O189" i="301" s="1"/>
  <c r="N488" i="301"/>
  <c r="O488" i="301"/>
  <c r="N272" i="301"/>
  <c r="N57" i="301"/>
  <c r="N102" i="301"/>
  <c r="BK222" i="312"/>
  <c r="P231" i="269"/>
  <c r="Q231" i="269" s="1"/>
  <c r="AG231" i="269" s="1"/>
  <c r="H229" i="301" s="1"/>
  <c r="I229" i="301" s="1"/>
  <c r="L229" i="301" s="1"/>
  <c r="CI10" i="312"/>
  <c r="CJ10" i="312" s="1"/>
  <c r="CL2" i="312"/>
  <c r="BT408" i="312"/>
  <c r="CF408" i="312"/>
  <c r="CE408" i="312" s="1"/>
  <c r="BT477" i="312"/>
  <c r="CF477" i="312"/>
  <c r="CE477" i="312" s="1"/>
  <c r="BT175" i="312"/>
  <c r="CF175" i="312"/>
  <c r="CE175" i="312" s="1"/>
  <c r="BK64" i="312"/>
  <c r="P74" i="269"/>
  <c r="Q74" i="269" s="1"/>
  <c r="AG74" i="269" s="1"/>
  <c r="H72" i="301" s="1"/>
  <c r="I72" i="301" s="1"/>
  <c r="L72" i="301" s="1"/>
  <c r="P39" i="269"/>
  <c r="Q39" i="269" s="1"/>
  <c r="AG39" i="269" s="1"/>
  <c r="H37" i="301" s="1"/>
  <c r="I37" i="301" s="1"/>
  <c r="L37" i="301" s="1"/>
  <c r="BK29" i="312"/>
  <c r="N160" i="301"/>
  <c r="O146" i="301"/>
  <c r="P146" i="301" s="1"/>
  <c r="R146" i="301" s="1"/>
  <c r="BK272" i="312"/>
  <c r="N479" i="301"/>
  <c r="O479" i="301" s="1"/>
  <c r="O481" i="301"/>
  <c r="P481" i="301" s="1"/>
  <c r="R481" i="301" s="1"/>
  <c r="BK104" i="312"/>
  <c r="P114" i="269"/>
  <c r="Q114" i="269" s="1"/>
  <c r="AG114" i="269" s="1"/>
  <c r="H112" i="301" s="1"/>
  <c r="I112" i="301" s="1"/>
  <c r="L112" i="301" s="1"/>
  <c r="AG29" i="269"/>
  <c r="H27" i="301" s="1"/>
  <c r="I27" i="301" s="1"/>
  <c r="L27" i="301" s="1"/>
  <c r="P129" i="269"/>
  <c r="Q129" i="269" s="1"/>
  <c r="AG129" i="269" s="1"/>
  <c r="H127" i="301" s="1"/>
  <c r="I127" i="301" s="1"/>
  <c r="L127" i="301" s="1"/>
  <c r="BK119" i="312"/>
  <c r="BK139" i="312"/>
  <c r="P149" i="269"/>
  <c r="Q149" i="269" s="1"/>
  <c r="AG149" i="269" s="1"/>
  <c r="H147" i="301" s="1"/>
  <c r="I147" i="301" s="1"/>
  <c r="L147" i="301" s="1"/>
  <c r="BK261" i="312"/>
  <c r="P270" i="269"/>
  <c r="Q270" i="269" s="1"/>
  <c r="AG270" i="269" s="1"/>
  <c r="H268" i="301" s="1"/>
  <c r="I268" i="301" s="1"/>
  <c r="L268" i="301" s="1"/>
  <c r="BT97" i="312"/>
  <c r="CF97" i="312"/>
  <c r="CE97" i="312" s="1"/>
  <c r="BT149" i="312"/>
  <c r="CF149" i="312"/>
  <c r="CE149" i="312" s="1"/>
  <c r="BT109" i="312"/>
  <c r="CF109" i="312"/>
  <c r="CE109" i="312" s="1"/>
  <c r="AQ324" i="318"/>
  <c r="AG466" i="269"/>
  <c r="H464" i="301" s="1"/>
  <c r="I464" i="301" s="1"/>
  <c r="L464" i="301" s="1"/>
  <c r="BT264" i="312"/>
  <c r="CF264" i="312"/>
  <c r="CE264" i="312" s="1"/>
  <c r="N275" i="269"/>
  <c r="O275" i="269"/>
  <c r="BT201" i="312"/>
  <c r="CF201" i="312"/>
  <c r="CE201" i="312" s="1"/>
  <c r="BT192" i="312"/>
  <c r="CF192" i="312"/>
  <c r="CE192" i="312" s="1"/>
  <c r="BT233" i="312"/>
  <c r="CF233" i="312"/>
  <c r="CE233" i="312" s="1"/>
  <c r="N186" i="269"/>
  <c r="O186" i="269"/>
  <c r="BT205" i="312"/>
  <c r="CF205" i="312"/>
  <c r="CE205" i="312" s="1"/>
  <c r="BT395" i="312"/>
  <c r="CF395" i="312"/>
  <c r="CE395" i="312" s="1"/>
  <c r="AG187" i="269"/>
  <c r="H185" i="301" s="1"/>
  <c r="I185" i="301" s="1"/>
  <c r="L185" i="301" s="1"/>
  <c r="N31" i="269"/>
  <c r="AG31" i="269" s="1"/>
  <c r="H29" i="301" s="1"/>
  <c r="I29" i="301" s="1"/>
  <c r="L29" i="301" s="1"/>
  <c r="O31" i="269"/>
  <c r="BT275" i="312"/>
  <c r="CF275" i="312"/>
  <c r="CE275" i="312" s="1"/>
  <c r="N95" i="301"/>
  <c r="O95" i="301" s="1"/>
  <c r="BT63" i="312"/>
  <c r="CF63" i="312"/>
  <c r="CE63" i="312" s="1"/>
  <c r="BT71" i="312"/>
  <c r="CF71" i="312"/>
  <c r="CE71" i="312" s="1"/>
  <c r="O329" i="301"/>
  <c r="P329" i="301" s="1"/>
  <c r="R329" i="301" s="1"/>
  <c r="O175" i="301"/>
  <c r="P175" i="301" s="1"/>
  <c r="R175" i="301" s="1"/>
  <c r="O263" i="301"/>
  <c r="P263" i="301" s="1"/>
  <c r="R263" i="301" s="1"/>
  <c r="O372" i="301"/>
  <c r="O60" i="301"/>
  <c r="P60" i="301" s="1"/>
  <c r="R60" i="301" s="1"/>
  <c r="O344" i="301"/>
  <c r="P344" i="301" s="1"/>
  <c r="R344" i="301" s="1"/>
  <c r="O461" i="301"/>
  <c r="P461" i="301" s="1"/>
  <c r="R461" i="301" s="1"/>
  <c r="O254" i="301"/>
  <c r="P254" i="301" s="1"/>
  <c r="R254" i="301" s="1"/>
  <c r="BK176" i="312"/>
  <c r="N251" i="301"/>
  <c r="N486" i="301"/>
  <c r="O486" i="301"/>
  <c r="O241" i="301"/>
  <c r="P241" i="301" s="1"/>
  <c r="R241" i="301" s="1"/>
  <c r="N448" i="301"/>
  <c r="O448" i="301"/>
  <c r="O484" i="301"/>
  <c r="P484" i="301" s="1"/>
  <c r="R484" i="301" s="1"/>
  <c r="AG108" i="269"/>
  <c r="H106" i="301" s="1"/>
  <c r="I106" i="301" s="1"/>
  <c r="L106" i="301" s="1"/>
  <c r="AG494" i="269"/>
  <c r="H492" i="301" s="1"/>
  <c r="I492" i="301" s="1"/>
  <c r="L492" i="301" s="1"/>
  <c r="AG465" i="269"/>
  <c r="H463" i="301" s="1"/>
  <c r="I463" i="301" s="1"/>
  <c r="L463" i="301" s="1"/>
  <c r="AG444" i="269"/>
  <c r="H442" i="301" s="1"/>
  <c r="I442" i="301" s="1"/>
  <c r="L442" i="301" s="1"/>
  <c r="O198" i="301"/>
  <c r="P198" i="301" s="1"/>
  <c r="R198" i="301" s="1"/>
  <c r="AG299" i="269"/>
  <c r="H297" i="301" s="1"/>
  <c r="I297" i="301" s="1"/>
  <c r="L297" i="301" s="1"/>
  <c r="CK8" i="312"/>
  <c r="BK349" i="312"/>
  <c r="P356" i="269"/>
  <c r="Q356" i="269" s="1"/>
  <c r="AG356" i="269" s="1"/>
  <c r="H354" i="301" s="1"/>
  <c r="I354" i="301" s="1"/>
  <c r="L354" i="301" s="1"/>
  <c r="AG404" i="269"/>
  <c r="H402" i="301" s="1"/>
  <c r="I402" i="301" s="1"/>
  <c r="L402" i="301" s="1"/>
  <c r="P375" i="269"/>
  <c r="Q375" i="269" s="1"/>
  <c r="BK368" i="312"/>
  <c r="P340" i="269"/>
  <c r="Q340" i="269" s="1"/>
  <c r="AG340" i="269" s="1"/>
  <c r="H338" i="301" s="1"/>
  <c r="I338" i="301" s="1"/>
  <c r="L338" i="301" s="1"/>
  <c r="BK333" i="312"/>
  <c r="BK180" i="312"/>
  <c r="P189" i="269"/>
  <c r="Q189" i="269" s="1"/>
  <c r="N114" i="301"/>
  <c r="O114" i="301"/>
  <c r="AG67" i="269"/>
  <c r="H65" i="301" s="1"/>
  <c r="I65" i="301" s="1"/>
  <c r="L65" i="301" s="1"/>
  <c r="O42" i="269"/>
  <c r="N42" i="269"/>
  <c r="BT129" i="312"/>
  <c r="CF129" i="312"/>
  <c r="CE129" i="312" s="1"/>
  <c r="BT27" i="312"/>
  <c r="CF27" i="312"/>
  <c r="CE27" i="312" s="1"/>
  <c r="AG487" i="269"/>
  <c r="H485" i="301" s="1"/>
  <c r="I485" i="301" s="1"/>
  <c r="L485" i="301" s="1"/>
  <c r="BT221" i="312"/>
  <c r="CF221" i="312"/>
  <c r="CE221" i="312" s="1"/>
  <c r="BT433" i="312"/>
  <c r="CF433" i="312"/>
  <c r="CE433" i="312" s="1"/>
  <c r="BT143" i="312"/>
  <c r="CF143" i="312"/>
  <c r="CE143" i="312" s="1"/>
  <c r="O154" i="301"/>
  <c r="P154" i="301" s="1"/>
  <c r="R154" i="301" s="1"/>
  <c r="P407" i="269"/>
  <c r="Q407" i="269" s="1"/>
  <c r="AG407" i="269" s="1"/>
  <c r="H405" i="301" s="1"/>
  <c r="I405" i="301" s="1"/>
  <c r="L405" i="301" s="1"/>
  <c r="N257" i="301"/>
  <c r="BK141" i="312"/>
  <c r="P151" i="269"/>
  <c r="Q151" i="269" s="1"/>
  <c r="AG151" i="269" s="1"/>
  <c r="H149" i="301" s="1"/>
  <c r="I149" i="301" s="1"/>
  <c r="L149" i="301" s="1"/>
  <c r="O103" i="301"/>
  <c r="N55" i="301"/>
  <c r="N230" i="301"/>
  <c r="O144" i="301"/>
  <c r="N131" i="301"/>
  <c r="O416" i="301"/>
  <c r="P416" i="301" s="1"/>
  <c r="R416" i="301" s="1"/>
  <c r="N283" i="301"/>
  <c r="CE7" i="312"/>
  <c r="AG422" i="269"/>
  <c r="H420" i="301" s="1"/>
  <c r="I420" i="301" s="1"/>
  <c r="L420" i="301" s="1"/>
  <c r="O426" i="301"/>
  <c r="P426" i="301" s="1"/>
  <c r="R426" i="301" s="1"/>
  <c r="N476" i="301"/>
  <c r="N304" i="301"/>
  <c r="N103" i="301"/>
  <c r="BT284" i="312"/>
  <c r="CF284" i="312"/>
  <c r="CE284" i="312" s="1"/>
  <c r="CF227" i="312"/>
  <c r="CE227" i="312" s="1"/>
  <c r="CF225" i="312"/>
  <c r="CE225" i="312" s="1"/>
  <c r="O68" i="269"/>
  <c r="AG68" i="269" s="1"/>
  <c r="H66" i="301" s="1"/>
  <c r="I66" i="301" s="1"/>
  <c r="L66" i="301" s="1"/>
  <c r="N283" i="269"/>
  <c r="BT252" i="312"/>
  <c r="CF252" i="312"/>
  <c r="CE252" i="312" s="1"/>
  <c r="CF349" i="312"/>
  <c r="CE349" i="312" s="1"/>
  <c r="BT211" i="312"/>
  <c r="CF211" i="312"/>
  <c r="CE211" i="312" s="1"/>
  <c r="BT421" i="312"/>
  <c r="CF421" i="312"/>
  <c r="CE421" i="312" s="1"/>
  <c r="BT373" i="312"/>
  <c r="CF373" i="312"/>
  <c r="CE373" i="312" s="1"/>
  <c r="N431" i="269"/>
  <c r="O431" i="269"/>
  <c r="CD497" i="312"/>
  <c r="P64" i="269"/>
  <c r="Q64" i="269" s="1"/>
  <c r="BK54" i="312"/>
  <c r="BT486" i="312"/>
  <c r="CF486" i="312"/>
  <c r="CE486" i="312" s="1"/>
  <c r="BT131" i="312"/>
  <c r="CF131" i="312"/>
  <c r="CE131" i="312" s="1"/>
  <c r="BT362" i="312"/>
  <c r="CF362" i="312"/>
  <c r="CE362" i="312" s="1"/>
  <c r="BT144" i="312"/>
  <c r="CF144" i="312"/>
  <c r="CE144" i="312" s="1"/>
  <c r="BT74" i="312"/>
  <c r="CF74" i="312"/>
  <c r="CE74" i="312" s="1"/>
  <c r="BT140" i="312"/>
  <c r="CF140" i="312"/>
  <c r="CE140" i="312" s="1"/>
  <c r="BT55" i="312"/>
  <c r="CF55" i="312"/>
  <c r="CE55" i="312" s="1"/>
  <c r="BO16" i="312"/>
  <c r="X26" i="269"/>
  <c r="Y26" i="269" s="1"/>
  <c r="BT83" i="312"/>
  <c r="CF83" i="312"/>
  <c r="CE83" i="312" s="1"/>
  <c r="BT88" i="312"/>
  <c r="CF88" i="312"/>
  <c r="CE88" i="312" s="1"/>
  <c r="N269" i="269"/>
  <c r="O269" i="269"/>
  <c r="BO334" i="312"/>
  <c r="X341" i="269"/>
  <c r="Y341" i="269" s="1"/>
  <c r="AG480" i="269"/>
  <c r="H478" i="301" s="1"/>
  <c r="I478" i="301" s="1"/>
  <c r="L478" i="301" s="1"/>
  <c r="BT393" i="312"/>
  <c r="CF393" i="312"/>
  <c r="CE393" i="312" s="1"/>
  <c r="BT469" i="312"/>
  <c r="CF469" i="312"/>
  <c r="CE469" i="312" s="1"/>
  <c r="BT262" i="312"/>
  <c r="CF262" i="312"/>
  <c r="CE262" i="312" s="1"/>
  <c r="P286" i="269"/>
  <c r="Q286" i="269" s="1"/>
  <c r="AG286" i="269" s="1"/>
  <c r="H284" i="301" s="1"/>
  <c r="I284" i="301" s="1"/>
  <c r="L284" i="301" s="1"/>
  <c r="BK277" i="312"/>
  <c r="BT263" i="312"/>
  <c r="CF263" i="312"/>
  <c r="CE263" i="312" s="1"/>
  <c r="CC399" i="312"/>
  <c r="CD314" i="312"/>
  <c r="CD399" i="312" s="1"/>
  <c r="BT177" i="312"/>
  <c r="CF177" i="312"/>
  <c r="CE177" i="312" s="1"/>
  <c r="BT407" i="312"/>
  <c r="CF407" i="312"/>
  <c r="CE407" i="312" s="1"/>
  <c r="L31" i="326"/>
  <c r="L15" i="326"/>
  <c r="F45" i="326"/>
  <c r="F49" i="326" s="1"/>
  <c r="AY316" i="318"/>
  <c r="AN307" i="318"/>
  <c r="AQ307" i="318" s="1"/>
  <c r="AV307" i="318"/>
  <c r="J313" i="269" s="1"/>
  <c r="K313" i="269" s="1"/>
  <c r="AG313" i="269" s="1"/>
  <c r="H311" i="301" s="1"/>
  <c r="I311" i="301" s="1"/>
  <c r="L311" i="301" s="1"/>
  <c r="AV269" i="318"/>
  <c r="J275" i="269" s="1"/>
  <c r="K275" i="269" s="1"/>
  <c r="AN269" i="318"/>
  <c r="AQ269" i="318" s="1"/>
  <c r="AM177" i="318"/>
  <c r="AM514" i="318" s="1"/>
  <c r="AY177" i="318"/>
  <c r="BF3" i="318" s="1"/>
  <c r="O346" i="301"/>
  <c r="P346" i="301" s="1"/>
  <c r="R346" i="301" s="1"/>
  <c r="BT319" i="312"/>
  <c r="CF319" i="312"/>
  <c r="CE319" i="312" s="1"/>
  <c r="BT328" i="312"/>
  <c r="CF328" i="312"/>
  <c r="CE328" i="312" s="1"/>
  <c r="BT317" i="312"/>
  <c r="CF317" i="312"/>
  <c r="BT322" i="312"/>
  <c r="CF322" i="312"/>
  <c r="CE322" i="312" s="1"/>
  <c r="N336" i="269"/>
  <c r="O336" i="269"/>
  <c r="BT456" i="312"/>
  <c r="CF456" i="312"/>
  <c r="CE456" i="312" s="1"/>
  <c r="BT195" i="312"/>
  <c r="CF195" i="312"/>
  <c r="CE195" i="312" s="1"/>
  <c r="BT200" i="312"/>
  <c r="CF200" i="312"/>
  <c r="CE200" i="312" s="1"/>
  <c r="BT270" i="312"/>
  <c r="CF270" i="312"/>
  <c r="CE270" i="312" s="1"/>
  <c r="BT463" i="312"/>
  <c r="CF463" i="312"/>
  <c r="CE463" i="312" s="1"/>
  <c r="BT267" i="312"/>
  <c r="CF267" i="312"/>
  <c r="CE267" i="312" s="1"/>
  <c r="BT214" i="312"/>
  <c r="CF214" i="312"/>
  <c r="CE214" i="312" s="1"/>
  <c r="BT307" i="312"/>
  <c r="CF307" i="312"/>
  <c r="CE307" i="312" s="1"/>
  <c r="BT164" i="312"/>
  <c r="CF164" i="312"/>
  <c r="CE164" i="312" s="1"/>
  <c r="N83" i="269"/>
  <c r="O83" i="269"/>
  <c r="BT22" i="312"/>
  <c r="CF22" i="312"/>
  <c r="CE22" i="312" s="1"/>
  <c r="BT25" i="312"/>
  <c r="CF25" i="312"/>
  <c r="CE25" i="312" s="1"/>
  <c r="BT114" i="312"/>
  <c r="CF114" i="312"/>
  <c r="CE114" i="312" s="1"/>
  <c r="K499" i="312"/>
  <c r="K501" i="312"/>
  <c r="L501" i="312" s="1"/>
  <c r="BT35" i="312"/>
  <c r="CF35" i="312"/>
  <c r="CE35" i="312" s="1"/>
  <c r="AG436" i="269"/>
  <c r="H434" i="301" s="1"/>
  <c r="I434" i="301" s="1"/>
  <c r="L434" i="301" s="1"/>
  <c r="G64" i="269"/>
  <c r="BT18" i="312"/>
  <c r="CF18" i="312"/>
  <c r="CE18" i="312" s="1"/>
  <c r="BT379" i="312"/>
  <c r="CF379" i="312"/>
  <c r="CE379" i="312" s="1"/>
  <c r="BT487" i="312"/>
  <c r="CF487" i="312"/>
  <c r="CE487" i="312" s="1"/>
  <c r="BT452" i="312"/>
  <c r="CF452" i="312"/>
  <c r="CE452" i="312" s="1"/>
  <c r="N375" i="269"/>
  <c r="O375" i="269"/>
  <c r="AG360" i="269"/>
  <c r="H358" i="301" s="1"/>
  <c r="I358" i="301" s="1"/>
  <c r="L358" i="301" s="1"/>
  <c r="AG61" i="269"/>
  <c r="H59" i="301" s="1"/>
  <c r="I59" i="301" s="1"/>
  <c r="L59" i="301" s="1"/>
  <c r="N309" i="269"/>
  <c r="O309" i="269"/>
  <c r="N443" i="269"/>
  <c r="O443" i="269"/>
  <c r="L32" i="326"/>
  <c r="G11" i="271"/>
  <c r="G17" i="271" s="1"/>
  <c r="G16" i="271" s="1"/>
  <c r="M500" i="301"/>
  <c r="Q47" i="322"/>
  <c r="AW500" i="318"/>
  <c r="AO457" i="318"/>
  <c r="H459" i="269" s="1"/>
  <c r="I459" i="269" s="1"/>
  <c r="AG459" i="269" s="1"/>
  <c r="H457" i="301" s="1"/>
  <c r="I457" i="301" s="1"/>
  <c r="L457" i="301" s="1"/>
  <c r="AM402" i="318"/>
  <c r="AG411" i="269"/>
  <c r="H409" i="301" s="1"/>
  <c r="I409" i="301" s="1"/>
  <c r="L409" i="301" s="1"/>
  <c r="AY402" i="318"/>
  <c r="AZ402" i="318"/>
  <c r="N281" i="269"/>
  <c r="AG281" i="269" s="1"/>
  <c r="H279" i="301" s="1"/>
  <c r="I279" i="301" s="1"/>
  <c r="L279" i="301" s="1"/>
  <c r="BT212" i="312"/>
  <c r="CF212" i="312"/>
  <c r="CE212" i="312" s="1"/>
  <c r="AG361" i="269"/>
  <c r="H359" i="301" s="1"/>
  <c r="I359" i="301" s="1"/>
  <c r="L359" i="301" s="1"/>
  <c r="BT446" i="312"/>
  <c r="CF446" i="312"/>
  <c r="CE446" i="312" s="1"/>
  <c r="BT410" i="312"/>
  <c r="CF410" i="312"/>
  <c r="CE410" i="312" s="1"/>
  <c r="BT474" i="312"/>
  <c r="CF474" i="312"/>
  <c r="CE474" i="312" s="1"/>
  <c r="AG448" i="269"/>
  <c r="H446" i="301" s="1"/>
  <c r="I446" i="301" s="1"/>
  <c r="L446" i="301" s="1"/>
  <c r="BT340" i="312"/>
  <c r="CF340" i="312"/>
  <c r="CE340" i="312" s="1"/>
  <c r="BT432" i="312"/>
  <c r="CF432" i="312"/>
  <c r="CE432" i="312" s="1"/>
  <c r="BT436" i="312"/>
  <c r="CF436" i="312"/>
  <c r="CE436" i="312" s="1"/>
  <c r="BT111" i="312"/>
  <c r="CF111" i="312"/>
  <c r="CE111" i="312" s="1"/>
  <c r="N423" i="269"/>
  <c r="O423" i="269"/>
  <c r="BT15" i="312"/>
  <c r="CF15" i="312"/>
  <c r="CE15" i="312" s="1"/>
  <c r="BT283" i="312"/>
  <c r="CF283" i="312"/>
  <c r="CE283" i="312" s="1"/>
  <c r="BK147" i="312"/>
  <c r="P157" i="269"/>
  <c r="Q157" i="269" s="1"/>
  <c r="BT92" i="312"/>
  <c r="CF92" i="312"/>
  <c r="CE92" i="312" s="1"/>
  <c r="BT161" i="312"/>
  <c r="CF161" i="312"/>
  <c r="CE161" i="312" s="1"/>
  <c r="BT48" i="312"/>
  <c r="CF48" i="312"/>
  <c r="CE48" i="312" s="1"/>
  <c r="BT120" i="312"/>
  <c r="CF120" i="312"/>
  <c r="CE120" i="312" s="1"/>
  <c r="P199" i="269"/>
  <c r="Q199" i="269" s="1"/>
  <c r="AG199" i="269" s="1"/>
  <c r="H197" i="301" s="1"/>
  <c r="I197" i="301" s="1"/>
  <c r="L197" i="301" s="1"/>
  <c r="BK190" i="312"/>
  <c r="BT105" i="312"/>
  <c r="CF105" i="312"/>
  <c r="CE105" i="312" s="1"/>
  <c r="BT69" i="312"/>
  <c r="CF69" i="312"/>
  <c r="CE69" i="312" s="1"/>
  <c r="BT145" i="312"/>
  <c r="CF145" i="312"/>
  <c r="CE145" i="312" s="1"/>
  <c r="BT134" i="312"/>
  <c r="CF134" i="312"/>
  <c r="CE134" i="312" s="1"/>
  <c r="BT137" i="312"/>
  <c r="CF137" i="312"/>
  <c r="CE137" i="312" s="1"/>
  <c r="BT11" i="312"/>
  <c r="CF11" i="312"/>
  <c r="CE11" i="312" s="1"/>
  <c r="BT232" i="312"/>
  <c r="CF232" i="312"/>
  <c r="CE232" i="312" s="1"/>
  <c r="BT381" i="312"/>
  <c r="CF381" i="312"/>
  <c r="CE381" i="312" s="1"/>
  <c r="BT351" i="312"/>
  <c r="CF351" i="312"/>
  <c r="CE351" i="312" s="1"/>
  <c r="BT425" i="312"/>
  <c r="CF425" i="312"/>
  <c r="CE425" i="312" s="1"/>
  <c r="AG410" i="269"/>
  <c r="H408" i="301" s="1"/>
  <c r="I408" i="301" s="1"/>
  <c r="L408" i="301" s="1"/>
  <c r="N35" i="326"/>
  <c r="O35" i="326" s="1"/>
  <c r="P35" i="326" s="1"/>
  <c r="AG440" i="269"/>
  <c r="H438" i="301" s="1"/>
  <c r="I438" i="301" s="1"/>
  <c r="L438" i="301" s="1"/>
  <c r="AG493" i="269"/>
  <c r="H491" i="301" s="1"/>
  <c r="I491" i="301" s="1"/>
  <c r="L491" i="301" s="1"/>
  <c r="N17" i="269"/>
  <c r="O17" i="269"/>
  <c r="BT236" i="312"/>
  <c r="CF236" i="312"/>
  <c r="CE236" i="312" s="1"/>
  <c r="N289" i="269"/>
  <c r="O289" i="269"/>
  <c r="X387" i="269"/>
  <c r="Y387" i="269" s="1"/>
  <c r="BO380" i="312"/>
  <c r="O189" i="269"/>
  <c r="N189" i="269"/>
  <c r="BT338" i="312"/>
  <c r="CF338" i="312"/>
  <c r="CE338" i="312" s="1"/>
  <c r="N213" i="269"/>
  <c r="O213" i="269"/>
  <c r="N242" i="269"/>
  <c r="O242" i="269"/>
  <c r="BT193" i="312"/>
  <c r="CF193" i="312"/>
  <c r="CE193" i="312" s="1"/>
  <c r="N278" i="269"/>
  <c r="O278" i="269"/>
  <c r="EF4" i="318"/>
  <c r="EF2" i="318" s="1"/>
  <c r="DW500" i="318"/>
  <c r="E49" i="326"/>
  <c r="AO498" i="318"/>
  <c r="H500" i="269" s="1"/>
  <c r="I500" i="269" s="1"/>
  <c r="AG500" i="269" s="1"/>
  <c r="H498" i="301" s="1"/>
  <c r="I498" i="301" s="1"/>
  <c r="L498" i="301" s="1"/>
  <c r="AN498" i="318"/>
  <c r="O208" i="269"/>
  <c r="O399" i="269"/>
  <c r="AO473" i="318"/>
  <c r="H475" i="269" s="1"/>
  <c r="I475" i="269" s="1"/>
  <c r="AN473" i="318"/>
  <c r="AO471" i="318"/>
  <c r="H473" i="269" s="1"/>
  <c r="I473" i="269" s="1"/>
  <c r="AN471" i="318"/>
  <c r="AO431" i="318"/>
  <c r="H433" i="269" s="1"/>
  <c r="I433" i="269" s="1"/>
  <c r="AG433" i="269" s="1"/>
  <c r="H431" i="301" s="1"/>
  <c r="I431" i="301" s="1"/>
  <c r="L431" i="301" s="1"/>
  <c r="AN431" i="318"/>
  <c r="AP369" i="318"/>
  <c r="AN369" i="318"/>
  <c r="AQ369" i="318" s="1"/>
  <c r="AX177" i="318"/>
  <c r="BE3" i="318" s="1"/>
  <c r="CF85" i="312"/>
  <c r="CE85" i="312" s="1"/>
  <c r="CF80" i="312"/>
  <c r="CE80" i="312" s="1"/>
  <c r="CF116" i="312"/>
  <c r="CE116" i="312" s="1"/>
  <c r="CF113" i="312"/>
  <c r="CE113" i="312" s="1"/>
  <c r="CF126" i="312"/>
  <c r="CE126" i="312" s="1"/>
  <c r="CF104" i="312"/>
  <c r="CE104" i="312" s="1"/>
  <c r="CF9" i="312"/>
  <c r="CF76" i="312"/>
  <c r="CE76" i="312" s="1"/>
  <c r="CF98" i="312"/>
  <c r="CE98" i="312" s="1"/>
  <c r="CF45" i="312"/>
  <c r="CE45" i="312" s="1"/>
  <c r="CF57" i="312"/>
  <c r="CE57" i="312" s="1"/>
  <c r="CF238" i="312"/>
  <c r="CE238" i="312" s="1"/>
  <c r="CF271" i="312"/>
  <c r="CE271" i="312" s="1"/>
  <c r="CF440" i="312"/>
  <c r="CE440" i="312" s="1"/>
  <c r="O233" i="269"/>
  <c r="CF285" i="312"/>
  <c r="CE285" i="312" s="1"/>
  <c r="CF405" i="312"/>
  <c r="CE405" i="312" s="1"/>
  <c r="BO300" i="312"/>
  <c r="CF383" i="312"/>
  <c r="CE383" i="312" s="1"/>
  <c r="CF138" i="312"/>
  <c r="CE138" i="312" s="1"/>
  <c r="CF341" i="312"/>
  <c r="CE341" i="312" s="1"/>
  <c r="CF300" i="312"/>
  <c r="CE300" i="312" s="1"/>
  <c r="AN463" i="318"/>
  <c r="AO412" i="318"/>
  <c r="H414" i="269" s="1"/>
  <c r="I414" i="269" s="1"/>
  <c r="AN412" i="318"/>
  <c r="AO406" i="318"/>
  <c r="AN406" i="318"/>
  <c r="AO493" i="318"/>
  <c r="H495" i="269" s="1"/>
  <c r="I495" i="269" s="1"/>
  <c r="AG495" i="269" s="1"/>
  <c r="H493" i="301" s="1"/>
  <c r="I493" i="301" s="1"/>
  <c r="L493" i="301" s="1"/>
  <c r="AN493" i="318"/>
  <c r="AO435" i="318"/>
  <c r="H437" i="269" s="1"/>
  <c r="I437" i="269" s="1"/>
  <c r="AN435" i="318"/>
  <c r="AN494" i="318"/>
  <c r="AO494" i="318"/>
  <c r="H496" i="269" s="1"/>
  <c r="I496" i="269" s="1"/>
  <c r="AG496" i="269" s="1"/>
  <c r="H494" i="301" s="1"/>
  <c r="I494" i="301" s="1"/>
  <c r="L494" i="301" s="1"/>
  <c r="AN461" i="318"/>
  <c r="AN457" i="318"/>
  <c r="AN455" i="318"/>
  <c r="AN439" i="318"/>
  <c r="AN423" i="318"/>
  <c r="AN419" i="318"/>
  <c r="AN411" i="318"/>
  <c r="AZ316" i="318"/>
  <c r="AV265" i="318"/>
  <c r="J271" i="269" s="1"/>
  <c r="K271" i="269" s="1"/>
  <c r="AN265" i="318"/>
  <c r="AQ265" i="318" s="1"/>
  <c r="AV180" i="318"/>
  <c r="AN180" i="318"/>
  <c r="AQ180" i="318" s="1"/>
  <c r="AN157" i="318"/>
  <c r="AQ157" i="318" s="1"/>
  <c r="AO157" i="318"/>
  <c r="H165" i="269" s="1"/>
  <c r="I165" i="269" s="1"/>
  <c r="AG165" i="269" s="1"/>
  <c r="H163" i="301" s="1"/>
  <c r="I163" i="301" s="1"/>
  <c r="L163" i="301" s="1"/>
  <c r="G23" i="322"/>
  <c r="G47" i="322" s="1"/>
  <c r="U47" i="322"/>
  <c r="AN497" i="318"/>
  <c r="AN403" i="318"/>
  <c r="AN399" i="318"/>
  <c r="AQ399" i="318" s="1"/>
  <c r="AN372" i="318"/>
  <c r="AQ372" i="318" s="1"/>
  <c r="AN361" i="318"/>
  <c r="AQ361" i="318" s="1"/>
  <c r="AN350" i="318"/>
  <c r="AQ350" i="318" s="1"/>
  <c r="AN342" i="318"/>
  <c r="AQ342" i="318" s="1"/>
  <c r="AN341" i="318"/>
  <c r="AQ341" i="318" s="1"/>
  <c r="AN334" i="318"/>
  <c r="AN443" i="318"/>
  <c r="AO443" i="318"/>
  <c r="H445" i="269" s="1"/>
  <c r="I445" i="269" s="1"/>
  <c r="AG445" i="269" s="1"/>
  <c r="H443" i="301" s="1"/>
  <c r="I443" i="301" s="1"/>
  <c r="L443" i="301" s="1"/>
  <c r="DT500" i="318"/>
  <c r="R316" i="318"/>
  <c r="AV222" i="318"/>
  <c r="J228" i="269" s="1"/>
  <c r="K228" i="269" s="1"/>
  <c r="AG228" i="269" s="1"/>
  <c r="H226" i="301" s="1"/>
  <c r="I226" i="301" s="1"/>
  <c r="L226" i="301" s="1"/>
  <c r="AN222" i="318"/>
  <c r="AQ222" i="318" s="1"/>
  <c r="AP101" i="318"/>
  <c r="F109" i="269" s="1"/>
  <c r="G109" i="269" s="1"/>
  <c r="AG109" i="269" s="1"/>
  <c r="H107" i="301" s="1"/>
  <c r="I107" i="301" s="1"/>
  <c r="L107" i="301" s="1"/>
  <c r="AN101" i="318"/>
  <c r="AQ101" i="318" s="1"/>
  <c r="AN91" i="318"/>
  <c r="AQ91" i="318" s="1"/>
  <c r="AP91" i="318"/>
  <c r="F99" i="269" s="1"/>
  <c r="G99" i="269" s="1"/>
  <c r="AG99" i="269" s="1"/>
  <c r="H97" i="301" s="1"/>
  <c r="I97" i="301" s="1"/>
  <c r="L97" i="301" s="1"/>
  <c r="AY8" i="318"/>
  <c r="BF2" i="318" s="1"/>
  <c r="BH2" i="318" s="1"/>
  <c r="AN251" i="318"/>
  <c r="AQ251" i="318" s="1"/>
  <c r="AV251" i="318"/>
  <c r="J257" i="269" s="1"/>
  <c r="K257" i="269" s="1"/>
  <c r="AN232" i="318"/>
  <c r="AQ232" i="318" s="1"/>
  <c r="AV232" i="318"/>
  <c r="J238" i="269" s="1"/>
  <c r="K238" i="269" s="1"/>
  <c r="AN204" i="318"/>
  <c r="AQ204" i="318" s="1"/>
  <c r="AN178" i="318"/>
  <c r="R177" i="318"/>
  <c r="CY3" i="318"/>
  <c r="O416" i="269"/>
  <c r="N416" i="269"/>
  <c r="AB21" i="322"/>
  <c r="G19" i="326" s="1"/>
  <c r="H19" i="326" s="1"/>
  <c r="K19" i="326" s="1"/>
  <c r="AN405" i="318"/>
  <c r="AN283" i="318"/>
  <c r="AQ283" i="318" s="1"/>
  <c r="AN260" i="318"/>
  <c r="AQ260" i="318" s="1"/>
  <c r="AV260" i="318"/>
  <c r="J266" i="269" s="1"/>
  <c r="K266" i="269" s="1"/>
  <c r="AG266" i="269" s="1"/>
  <c r="H264" i="301" s="1"/>
  <c r="I264" i="301" s="1"/>
  <c r="L264" i="301" s="1"/>
  <c r="AN229" i="318"/>
  <c r="AQ229" i="318" s="1"/>
  <c r="AN216" i="318"/>
  <c r="AQ216" i="318" s="1"/>
  <c r="AN181" i="318"/>
  <c r="AQ181" i="318" s="1"/>
  <c r="AO136" i="318"/>
  <c r="AN136" i="318"/>
  <c r="AQ136" i="318" s="1"/>
  <c r="AN119" i="318"/>
  <c r="AQ119" i="318" s="1"/>
  <c r="AP119" i="318"/>
  <c r="F127" i="269" s="1"/>
  <c r="G127" i="269" s="1"/>
  <c r="AG127" i="269" s="1"/>
  <c r="H125" i="301" s="1"/>
  <c r="I125" i="301" s="1"/>
  <c r="L125" i="301" s="1"/>
  <c r="AP111" i="318"/>
  <c r="F119" i="269" s="1"/>
  <c r="G119" i="269" s="1"/>
  <c r="AN111" i="318"/>
  <c r="AQ111" i="318" s="1"/>
  <c r="AN242" i="318"/>
  <c r="AQ242" i="318" s="1"/>
  <c r="AV242" i="318"/>
  <c r="J248" i="269" s="1"/>
  <c r="K248" i="269" s="1"/>
  <c r="AN155" i="318"/>
  <c r="AQ155" i="318" s="1"/>
  <c r="AO155" i="318"/>
  <c r="H163" i="269" s="1"/>
  <c r="I163" i="269" s="1"/>
  <c r="AN118" i="318"/>
  <c r="AQ118" i="318" s="1"/>
  <c r="AP118" i="318"/>
  <c r="F126" i="269" s="1"/>
  <c r="G126" i="269" s="1"/>
  <c r="AG126" i="269" s="1"/>
  <c r="H124" i="301" s="1"/>
  <c r="I124" i="301" s="1"/>
  <c r="L124" i="301" s="1"/>
  <c r="AP81" i="318"/>
  <c r="F89" i="269" s="1"/>
  <c r="AN81" i="318"/>
  <c r="AQ81" i="318" s="1"/>
  <c r="AQ41" i="318"/>
  <c r="AV41" i="318"/>
  <c r="J49" i="269" s="1"/>
  <c r="K49" i="269" s="1"/>
  <c r="AG49" i="269" s="1"/>
  <c r="H47" i="301" s="1"/>
  <c r="I47" i="301" s="1"/>
  <c r="L47" i="301" s="1"/>
  <c r="AB44" i="322"/>
  <c r="G42" i="326" s="1"/>
  <c r="H42" i="326" s="1"/>
  <c r="K42" i="326" s="1"/>
  <c r="AN262" i="318"/>
  <c r="AQ262" i="318" s="1"/>
  <c r="AN200" i="318"/>
  <c r="AQ200" i="318" s="1"/>
  <c r="AN52" i="318"/>
  <c r="DG1" i="318"/>
  <c r="DG2" i="318" s="1"/>
  <c r="CQ6" i="318"/>
  <c r="CY2" i="318"/>
  <c r="CE6" i="318"/>
  <c r="DH2" i="318" s="1"/>
  <c r="R8" i="318"/>
  <c r="M403" i="269"/>
  <c r="BF396" i="312"/>
  <c r="M357" i="269"/>
  <c r="BL350" i="312"/>
  <c r="M296" i="269"/>
  <c r="BF287" i="312"/>
  <c r="CD260" i="312"/>
  <c r="M257" i="269"/>
  <c r="BF248" i="312"/>
  <c r="BF237" i="312"/>
  <c r="CD232" i="312"/>
  <c r="CY209" i="312"/>
  <c r="CY208" i="312"/>
  <c r="CY179" i="312"/>
  <c r="BA498" i="312"/>
  <c r="M175" i="269"/>
  <c r="BF165" i="312"/>
  <c r="M124" i="269"/>
  <c r="BL114" i="312"/>
  <c r="CD85" i="312"/>
  <c r="AN50" i="318"/>
  <c r="M341" i="269"/>
  <c r="BL334" i="312"/>
  <c r="O329" i="269"/>
  <c r="N329" i="269"/>
  <c r="AY498" i="312"/>
  <c r="AY499" i="312" s="1"/>
  <c r="CD277" i="312"/>
  <c r="M262" i="269"/>
  <c r="BF253" i="312"/>
  <c r="CY212" i="312"/>
  <c r="BF208" i="312"/>
  <c r="CQ208" i="312"/>
  <c r="CY198" i="312"/>
  <c r="CY195" i="312"/>
  <c r="CY176" i="312"/>
  <c r="CC175" i="312"/>
  <c r="BY313" i="312"/>
  <c r="BY498" i="312" s="1"/>
  <c r="O173" i="269"/>
  <c r="N173" i="269"/>
  <c r="AP116" i="318"/>
  <c r="F124" i="269" s="1"/>
  <c r="G124" i="269" s="1"/>
  <c r="AN112" i="318"/>
  <c r="AQ112" i="318" s="1"/>
  <c r="AN69" i="318"/>
  <c r="AQ69" i="318" s="1"/>
  <c r="AN40" i="318"/>
  <c r="AN38" i="318"/>
  <c r="AV38" i="318" s="1"/>
  <c r="J46" i="269" s="1"/>
  <c r="K46" i="269" s="1"/>
  <c r="AG46" i="269" s="1"/>
  <c r="H44" i="301" s="1"/>
  <c r="I44" i="301" s="1"/>
  <c r="L44" i="301" s="1"/>
  <c r="AN36" i="318"/>
  <c r="AV36" i="318" s="1"/>
  <c r="J44" i="269" s="1"/>
  <c r="K44" i="269" s="1"/>
  <c r="AG44" i="269" s="1"/>
  <c r="H42" i="301" s="1"/>
  <c r="I42" i="301" s="1"/>
  <c r="L42" i="301" s="1"/>
  <c r="AN34" i="318"/>
  <c r="AV34" i="318" s="1"/>
  <c r="J42" i="269" s="1"/>
  <c r="K42" i="269" s="1"/>
  <c r="AG42" i="269" s="1"/>
  <c r="H40" i="301" s="1"/>
  <c r="I40" i="301" s="1"/>
  <c r="L40" i="301" s="1"/>
  <c r="AN32" i="318"/>
  <c r="AV32" i="318" s="1"/>
  <c r="J40" i="269" s="1"/>
  <c r="K40" i="269" s="1"/>
  <c r="AN30" i="318"/>
  <c r="AV30" i="318" s="1"/>
  <c r="J38" i="269" s="1"/>
  <c r="K38" i="269" s="1"/>
  <c r="AG38" i="269" s="1"/>
  <c r="H36" i="301" s="1"/>
  <c r="I36" i="301" s="1"/>
  <c r="L36" i="301" s="1"/>
  <c r="AN28" i="318"/>
  <c r="AV28" i="318" s="1"/>
  <c r="J36" i="269" s="1"/>
  <c r="K36" i="269" s="1"/>
  <c r="AG36" i="269" s="1"/>
  <c r="H34" i="301" s="1"/>
  <c r="I34" i="301" s="1"/>
  <c r="L34" i="301" s="1"/>
  <c r="AN26" i="318"/>
  <c r="AV26" i="318" s="1"/>
  <c r="J34" i="269" s="1"/>
  <c r="K34" i="269" s="1"/>
  <c r="AG34" i="269" s="1"/>
  <c r="H32" i="301" s="1"/>
  <c r="I32" i="301" s="1"/>
  <c r="L32" i="301" s="1"/>
  <c r="AN24" i="318"/>
  <c r="AV24" i="318" s="1"/>
  <c r="J32" i="269" s="1"/>
  <c r="K32" i="269" s="1"/>
  <c r="AN22" i="318"/>
  <c r="O414" i="269"/>
  <c r="N414" i="269"/>
  <c r="M330" i="269"/>
  <c r="BF323" i="312"/>
  <c r="O254" i="269"/>
  <c r="N254" i="269"/>
  <c r="BF156" i="312"/>
  <c r="CD93" i="312"/>
  <c r="CD101" i="312"/>
  <c r="BT84" i="312"/>
  <c r="CF84" i="312"/>
  <c r="CE84" i="312" s="1"/>
  <c r="CD81" i="312"/>
  <c r="M41" i="269"/>
  <c r="BL31" i="312"/>
  <c r="CD120" i="312"/>
  <c r="O87" i="269"/>
  <c r="N87" i="269"/>
  <c r="CF2" i="312"/>
  <c r="CF5" i="312" s="1"/>
  <c r="CC7" i="312"/>
  <c r="EH2" i="318"/>
  <c r="BV174" i="312"/>
  <c r="BV498" i="312" s="1"/>
  <c r="AB45" i="322"/>
  <c r="G43" i="326" s="1"/>
  <c r="H43" i="326" s="1"/>
  <c r="K43" i="326" s="1"/>
  <c r="N79" i="269"/>
  <c r="CY7" i="312"/>
  <c r="CQ39" i="312"/>
  <c r="F23" i="270"/>
  <c r="E22" i="270"/>
  <c r="BL52" i="312"/>
  <c r="CY44" i="312"/>
  <c r="CQ15" i="312"/>
  <c r="AB39" i="322"/>
  <c r="G37" i="326" s="1"/>
  <c r="H37" i="326" s="1"/>
  <c r="K37" i="326" s="1"/>
  <c r="AB42" i="322"/>
  <c r="G40" i="326" s="1"/>
  <c r="H40" i="326" s="1"/>
  <c r="K40" i="326" s="1"/>
  <c r="AB38" i="322"/>
  <c r="G36" i="326" s="1"/>
  <c r="H36" i="326" s="1"/>
  <c r="K36" i="326" s="1"/>
  <c r="AB34" i="322"/>
  <c r="G32" i="326" s="1"/>
  <c r="H32" i="326" s="1"/>
  <c r="K32" i="326" s="1"/>
  <c r="AB30" i="322"/>
  <c r="G28" i="326" s="1"/>
  <c r="H28" i="326" s="1"/>
  <c r="K28" i="326" s="1"/>
  <c r="AA502" i="269"/>
  <c r="AB23" i="322"/>
  <c r="G21" i="326" s="1"/>
  <c r="H21" i="326" s="1"/>
  <c r="K21" i="326" s="1"/>
  <c r="AB19" i="322"/>
  <c r="G17" i="326" s="1"/>
  <c r="H17" i="326" s="1"/>
  <c r="K17" i="326" s="1"/>
  <c r="AB41" i="322"/>
  <c r="G39" i="326" s="1"/>
  <c r="H39" i="326" s="1"/>
  <c r="K39" i="326" s="1"/>
  <c r="AB29" i="322"/>
  <c r="G27" i="326" s="1"/>
  <c r="H27" i="326" s="1"/>
  <c r="K27" i="326" s="1"/>
  <c r="AE502" i="269"/>
  <c r="AE511" i="269" s="1"/>
  <c r="AB43" i="322"/>
  <c r="G41" i="326" s="1"/>
  <c r="H41" i="326" s="1"/>
  <c r="K41" i="326" s="1"/>
  <c r="AB40" i="322"/>
  <c r="G38" i="326" s="1"/>
  <c r="H38" i="326" s="1"/>
  <c r="K38" i="326" s="1"/>
  <c r="AB17" i="322"/>
  <c r="AB33" i="322"/>
  <c r="G31" i="326" s="1"/>
  <c r="H31" i="326" s="1"/>
  <c r="K31" i="326" s="1"/>
  <c r="AB18" i="322"/>
  <c r="G16" i="326" s="1"/>
  <c r="H16" i="326" s="1"/>
  <c r="K16" i="326" s="1"/>
  <c r="AB25" i="322"/>
  <c r="G23" i="326" s="1"/>
  <c r="H23" i="326" s="1"/>
  <c r="K23" i="326" s="1"/>
  <c r="AB26" i="322"/>
  <c r="G24" i="326" s="1"/>
  <c r="H24" i="326" s="1"/>
  <c r="K24" i="326" s="1"/>
  <c r="AB32" i="322"/>
  <c r="G30" i="326" s="1"/>
  <c r="H30" i="326" s="1"/>
  <c r="K30" i="326" s="1"/>
  <c r="AB28" i="322"/>
  <c r="G26" i="326" s="1"/>
  <c r="H26" i="326" s="1"/>
  <c r="K26" i="326" s="1"/>
  <c r="F15" i="270"/>
  <c r="AB27" i="322"/>
  <c r="G25" i="326" s="1"/>
  <c r="H25" i="326" s="1"/>
  <c r="K25" i="326" s="1"/>
  <c r="AB35" i="322"/>
  <c r="G33" i="326" s="1"/>
  <c r="H33" i="326" s="1"/>
  <c r="K33" i="326" s="1"/>
  <c r="AB31" i="322"/>
  <c r="G29" i="326" s="1"/>
  <c r="H29" i="326" s="1"/>
  <c r="K29" i="326" s="1"/>
  <c r="AB24" i="322"/>
  <c r="G22" i="326" s="1"/>
  <c r="H22" i="326" s="1"/>
  <c r="K22" i="326" s="1"/>
  <c r="AB20" i="322"/>
  <c r="G18" i="326" s="1"/>
  <c r="H18" i="326" s="1"/>
  <c r="K18" i="326" s="1"/>
  <c r="N99" i="301" l="1"/>
  <c r="O99" i="301"/>
  <c r="N395" i="301"/>
  <c r="O395" i="301"/>
  <c r="N250" i="301"/>
  <c r="O250" i="301"/>
  <c r="N108" i="301"/>
  <c r="O108" i="301"/>
  <c r="P108" i="301" s="1"/>
  <c r="R108" i="301" s="1"/>
  <c r="N78" i="301"/>
  <c r="O78" i="301" s="1"/>
  <c r="P78" i="301" s="1"/>
  <c r="R78" i="301" s="1"/>
  <c r="N388" i="301"/>
  <c r="O388" i="301" s="1"/>
  <c r="N177" i="301"/>
  <c r="O177" i="301"/>
  <c r="P177" i="301" s="1"/>
  <c r="R177" i="301" s="1"/>
  <c r="AG473" i="269"/>
  <c r="H471" i="301" s="1"/>
  <c r="I471" i="301" s="1"/>
  <c r="L471" i="301" s="1"/>
  <c r="N471" i="301" s="1"/>
  <c r="BT30" i="312"/>
  <c r="CF30" i="312"/>
  <c r="CE30" i="312" s="1"/>
  <c r="BT17" i="312"/>
  <c r="BT174" i="312" s="1"/>
  <c r="CF17" i="312"/>
  <c r="CE17" i="312" s="1"/>
  <c r="BO356" i="312"/>
  <c r="X363" i="269"/>
  <c r="Y363" i="269" s="1"/>
  <c r="X219" i="269"/>
  <c r="Y219" i="269" s="1"/>
  <c r="BO210" i="312"/>
  <c r="BO239" i="312"/>
  <c r="X248" i="269"/>
  <c r="Y248" i="269" s="1"/>
  <c r="X283" i="269"/>
  <c r="Y283" i="269" s="1"/>
  <c r="BO274" i="312"/>
  <c r="BO184" i="312"/>
  <c r="X193" i="269"/>
  <c r="Y193" i="269" s="1"/>
  <c r="AG192" i="269"/>
  <c r="H190" i="301" s="1"/>
  <c r="I190" i="301" s="1"/>
  <c r="L190" i="301" s="1"/>
  <c r="N190" i="301" s="1"/>
  <c r="O190" i="301" s="1"/>
  <c r="U33" i="326"/>
  <c r="O17" i="301"/>
  <c r="P17" i="301" s="1"/>
  <c r="R17" i="301" s="1"/>
  <c r="O178" i="301"/>
  <c r="P178" i="301" s="1"/>
  <c r="R178" i="301" s="1"/>
  <c r="N188" i="301"/>
  <c r="O188" i="301"/>
  <c r="X92" i="269"/>
  <c r="Y92" i="269" s="1"/>
  <c r="BO82" i="312"/>
  <c r="X112" i="269"/>
  <c r="Y112" i="269" s="1"/>
  <c r="BO102" i="312"/>
  <c r="X370" i="269"/>
  <c r="Y370" i="269" s="1"/>
  <c r="BO363" i="312"/>
  <c r="X96" i="269"/>
  <c r="Y96" i="269" s="1"/>
  <c r="BO86" i="312"/>
  <c r="BO329" i="312"/>
  <c r="X336" i="269"/>
  <c r="Y336" i="269" s="1"/>
  <c r="X111" i="269"/>
  <c r="Y111" i="269" s="1"/>
  <c r="BO101" i="312"/>
  <c r="BO302" i="312"/>
  <c r="X311" i="269"/>
  <c r="Y311" i="269" s="1"/>
  <c r="BK199" i="312"/>
  <c r="P208" i="269"/>
  <c r="Q208" i="269" s="1"/>
  <c r="AG208" i="269" s="1"/>
  <c r="H206" i="301" s="1"/>
  <c r="I206" i="301" s="1"/>
  <c r="L206" i="301" s="1"/>
  <c r="BO468" i="312"/>
  <c r="P473" i="269" s="1"/>
  <c r="Q473" i="269" s="1"/>
  <c r="X473" i="269"/>
  <c r="Y473" i="269" s="1"/>
  <c r="BO459" i="312"/>
  <c r="P464" i="269" s="1"/>
  <c r="Q464" i="269" s="1"/>
  <c r="X464" i="269"/>
  <c r="Y464" i="269" s="1"/>
  <c r="X371" i="269"/>
  <c r="Y371" i="269" s="1"/>
  <c r="BO364" i="312"/>
  <c r="BO320" i="312"/>
  <c r="X327" i="269"/>
  <c r="Y327" i="269" s="1"/>
  <c r="N352" i="301"/>
  <c r="O352" i="301"/>
  <c r="N403" i="301"/>
  <c r="O403" i="301"/>
  <c r="X291" i="269"/>
  <c r="Y291" i="269" s="1"/>
  <c r="BO282" i="312"/>
  <c r="AG381" i="269"/>
  <c r="H379" i="301" s="1"/>
  <c r="I379" i="301" s="1"/>
  <c r="L379" i="301" s="1"/>
  <c r="P248" i="301"/>
  <c r="R248" i="301" s="1"/>
  <c r="BL174" i="312"/>
  <c r="BF399" i="312"/>
  <c r="CJ19" i="312" s="1"/>
  <c r="CK19" i="312" s="1"/>
  <c r="CI19" i="312" s="1"/>
  <c r="R500" i="318"/>
  <c r="O451" i="301"/>
  <c r="O399" i="301"/>
  <c r="O245" i="301"/>
  <c r="BT224" i="312"/>
  <c r="CF224" i="312"/>
  <c r="CE224" i="312" s="1"/>
  <c r="BO346" i="312"/>
  <c r="X353" i="269"/>
  <c r="Y353" i="269" s="1"/>
  <c r="X48" i="269"/>
  <c r="Y48" i="269" s="1"/>
  <c r="BO38" i="312"/>
  <c r="AV45" i="318"/>
  <c r="J53" i="269" s="1"/>
  <c r="K53" i="269" s="1"/>
  <c r="AG53" i="269" s="1"/>
  <c r="H51" i="301" s="1"/>
  <c r="I51" i="301" s="1"/>
  <c r="L51" i="301" s="1"/>
  <c r="N51" i="301" s="1"/>
  <c r="P51" i="301" s="1"/>
  <c r="R51" i="301" s="1"/>
  <c r="AQ45" i="318"/>
  <c r="BT392" i="312"/>
  <c r="CF392" i="312"/>
  <c r="CE392" i="312" s="1"/>
  <c r="AQ42" i="318"/>
  <c r="AV42" i="318"/>
  <c r="J50" i="269" s="1"/>
  <c r="K50" i="269" s="1"/>
  <c r="AG50" i="269" s="1"/>
  <c r="H48" i="301" s="1"/>
  <c r="I48" i="301" s="1"/>
  <c r="L48" i="301" s="1"/>
  <c r="N48" i="301" s="1"/>
  <c r="X163" i="269"/>
  <c r="Y163" i="269" s="1"/>
  <c r="BO153" i="312"/>
  <c r="BO53" i="312"/>
  <c r="X63" i="269"/>
  <c r="Y63" i="269" s="1"/>
  <c r="X458" i="269"/>
  <c r="Y458" i="269" s="1"/>
  <c r="BO453" i="312"/>
  <c r="P458" i="269" s="1"/>
  <c r="Q458" i="269" s="1"/>
  <c r="AG458" i="269" s="1"/>
  <c r="H456" i="301" s="1"/>
  <c r="I456" i="301" s="1"/>
  <c r="L456" i="301" s="1"/>
  <c r="N456" i="301" s="1"/>
  <c r="P236" i="269"/>
  <c r="Q236" i="269" s="1"/>
  <c r="AG236" i="269" s="1"/>
  <c r="H234" i="301" s="1"/>
  <c r="I234" i="301" s="1"/>
  <c r="L234" i="301" s="1"/>
  <c r="N234" i="301" s="1"/>
  <c r="BK227" i="312"/>
  <c r="X212" i="269"/>
  <c r="Y212" i="269" s="1"/>
  <c r="BO203" i="312"/>
  <c r="BT186" i="312"/>
  <c r="CF186" i="312"/>
  <c r="CE186" i="312" s="1"/>
  <c r="BT242" i="312"/>
  <c r="CF242" i="312"/>
  <c r="CE242" i="312" s="1"/>
  <c r="BT315" i="312"/>
  <c r="CF315" i="312"/>
  <c r="CE315" i="312" s="1"/>
  <c r="BT462" i="312"/>
  <c r="CF462" i="312"/>
  <c r="CE462" i="312" s="1"/>
  <c r="P95" i="269"/>
  <c r="Q95" i="269" s="1"/>
  <c r="AG95" i="269" s="1"/>
  <c r="H93" i="301" s="1"/>
  <c r="I93" i="301" s="1"/>
  <c r="L93" i="301" s="1"/>
  <c r="N93" i="301" s="1"/>
  <c r="BK85" i="312"/>
  <c r="X300" i="269"/>
  <c r="Y300" i="269" s="1"/>
  <c r="BO291" i="312"/>
  <c r="P104" i="301"/>
  <c r="R104" i="301" s="1"/>
  <c r="CF217" i="312"/>
  <c r="CE217" i="312" s="1"/>
  <c r="BH3" i="318"/>
  <c r="AG189" i="269"/>
  <c r="H187" i="301" s="1"/>
  <c r="I187" i="301" s="1"/>
  <c r="L187" i="301" s="1"/>
  <c r="O318" i="301"/>
  <c r="P318" i="301" s="1"/>
  <c r="R318" i="301" s="1"/>
  <c r="N258" i="301"/>
  <c r="O258" i="301" s="1"/>
  <c r="P258" i="301" s="1"/>
  <c r="R258" i="301" s="1"/>
  <c r="AG87" i="269"/>
  <c r="H85" i="301" s="1"/>
  <c r="I85" i="301" s="1"/>
  <c r="L85" i="301" s="1"/>
  <c r="AG173" i="269"/>
  <c r="H171" i="301" s="1"/>
  <c r="I171" i="301" s="1"/>
  <c r="L171" i="301" s="1"/>
  <c r="AG416" i="269"/>
  <c r="H414" i="301" s="1"/>
  <c r="I414" i="301" s="1"/>
  <c r="L414" i="301" s="1"/>
  <c r="O430" i="301"/>
  <c r="P430" i="301" s="1"/>
  <c r="R430" i="301" s="1"/>
  <c r="O216" i="301"/>
  <c r="P216" i="301" s="1"/>
  <c r="R216" i="301" s="1"/>
  <c r="P376" i="301"/>
  <c r="R376" i="301" s="1"/>
  <c r="BT229" i="312"/>
  <c r="CF229" i="312"/>
  <c r="CE229" i="312" s="1"/>
  <c r="BL313" i="312"/>
  <c r="BT240" i="312"/>
  <c r="CF240" i="312"/>
  <c r="CE240" i="312" s="1"/>
  <c r="CQ7" i="312"/>
  <c r="CP498" i="312"/>
  <c r="N157" i="269"/>
  <c r="AG157" i="269" s="1"/>
  <c r="H155" i="301" s="1"/>
  <c r="I155" i="301" s="1"/>
  <c r="L155" i="301" s="1"/>
  <c r="O157" i="269"/>
  <c r="BT385" i="312"/>
  <c r="CF385" i="312"/>
  <c r="CE385" i="312" s="1"/>
  <c r="BT449" i="312"/>
  <c r="CF449" i="312"/>
  <c r="CE449" i="312" s="1"/>
  <c r="BO465" i="312"/>
  <c r="P470" i="269" s="1"/>
  <c r="Q470" i="269" s="1"/>
  <c r="X470" i="269"/>
  <c r="Y470" i="269" s="1"/>
  <c r="M34" i="326"/>
  <c r="N34" i="326" s="1"/>
  <c r="O34" i="326" s="1"/>
  <c r="P34" i="326" s="1"/>
  <c r="N423" i="301"/>
  <c r="O423" i="301"/>
  <c r="P423" i="301" s="1"/>
  <c r="R423" i="301" s="1"/>
  <c r="BO471" i="312"/>
  <c r="P476" i="269" s="1"/>
  <c r="Q476" i="269" s="1"/>
  <c r="AG476" i="269" s="1"/>
  <c r="H474" i="301" s="1"/>
  <c r="I474" i="301" s="1"/>
  <c r="L474" i="301" s="1"/>
  <c r="X476" i="269"/>
  <c r="Y476" i="269" s="1"/>
  <c r="X196" i="269"/>
  <c r="Y196" i="269" s="1"/>
  <c r="BO187" i="312"/>
  <c r="BO318" i="312"/>
  <c r="X325" i="269"/>
  <c r="Y325" i="269" s="1"/>
  <c r="BO415" i="312"/>
  <c r="P420" i="269" s="1"/>
  <c r="Q420" i="269" s="1"/>
  <c r="X420" i="269"/>
  <c r="Y420" i="269" s="1"/>
  <c r="X237" i="269"/>
  <c r="Y237" i="269" s="1"/>
  <c r="BO228" i="312"/>
  <c r="X471" i="269"/>
  <c r="Y471" i="269" s="1"/>
  <c r="BO466" i="312"/>
  <c r="P471" i="269" s="1"/>
  <c r="Q471" i="269" s="1"/>
  <c r="AG471" i="269" s="1"/>
  <c r="H469" i="301" s="1"/>
  <c r="I469" i="301" s="1"/>
  <c r="L469" i="301" s="1"/>
  <c r="N469" i="301" s="1"/>
  <c r="O469" i="301" s="1"/>
  <c r="X475" i="269"/>
  <c r="Y475" i="269" s="1"/>
  <c r="AG475" i="269" s="1"/>
  <c r="H473" i="301" s="1"/>
  <c r="I473" i="301" s="1"/>
  <c r="L473" i="301" s="1"/>
  <c r="N473" i="301" s="1"/>
  <c r="BO470" i="312"/>
  <c r="P475" i="269" s="1"/>
  <c r="Q475" i="269" s="1"/>
  <c r="BO314" i="312"/>
  <c r="X321" i="269"/>
  <c r="Y321" i="269" s="1"/>
  <c r="BO326" i="312"/>
  <c r="X333" i="269"/>
  <c r="Y333" i="269" s="1"/>
  <c r="X323" i="269"/>
  <c r="Y323" i="269" s="1"/>
  <c r="BO316" i="312"/>
  <c r="X339" i="269"/>
  <c r="Y339" i="269" s="1"/>
  <c r="BO332" i="312"/>
  <c r="AG43" i="269"/>
  <c r="H41" i="301" s="1"/>
  <c r="I41" i="301" s="1"/>
  <c r="L41" i="301" s="1"/>
  <c r="X379" i="269"/>
  <c r="Y379" i="269" s="1"/>
  <c r="BO372" i="312"/>
  <c r="BO306" i="312"/>
  <c r="X315" i="269"/>
  <c r="Y315" i="269" s="1"/>
  <c r="N268" i="301"/>
  <c r="O268" i="301"/>
  <c r="M26" i="326"/>
  <c r="N26" i="326" s="1"/>
  <c r="M32" i="326"/>
  <c r="N32" i="326" s="1"/>
  <c r="O32" i="326" s="1"/>
  <c r="P32" i="326" s="1"/>
  <c r="M22" i="326"/>
  <c r="N25" i="326"/>
  <c r="M25" i="326"/>
  <c r="M29" i="326"/>
  <c r="N29" i="326" s="1"/>
  <c r="M17" i="326"/>
  <c r="M43" i="326"/>
  <c r="N34" i="301"/>
  <c r="BT253" i="312"/>
  <c r="CF253" i="312"/>
  <c r="CE253" i="312" s="1"/>
  <c r="BT165" i="312"/>
  <c r="CF165" i="312"/>
  <c r="CE165" i="312" s="1"/>
  <c r="O107" i="301"/>
  <c r="N107" i="301"/>
  <c r="N494" i="301"/>
  <c r="X115" i="269"/>
  <c r="Y115" i="269" s="1"/>
  <c r="BO105" i="312"/>
  <c r="BO120" i="312"/>
  <c r="X130" i="269"/>
  <c r="Y130" i="269" s="1"/>
  <c r="BO161" i="312"/>
  <c r="X171" i="269"/>
  <c r="Y171" i="269" s="1"/>
  <c r="BO15" i="312"/>
  <c r="X25" i="269"/>
  <c r="Y25" i="269" s="1"/>
  <c r="BO111" i="312"/>
  <c r="X121" i="269"/>
  <c r="Y121" i="269" s="1"/>
  <c r="X437" i="269"/>
  <c r="Y437" i="269" s="1"/>
  <c r="BO432" i="312"/>
  <c r="P437" i="269" s="1"/>
  <c r="Q437" i="269" s="1"/>
  <c r="AG437" i="269" s="1"/>
  <c r="H435" i="301" s="1"/>
  <c r="I435" i="301" s="1"/>
  <c r="L435" i="301" s="1"/>
  <c r="BO212" i="312"/>
  <c r="X221" i="269"/>
  <c r="Y221" i="269" s="1"/>
  <c r="AY500" i="318"/>
  <c r="AG64" i="269"/>
  <c r="H62" i="301" s="1"/>
  <c r="I62" i="301" s="1"/>
  <c r="L62" i="301" s="1"/>
  <c r="O283" i="301"/>
  <c r="P283" i="301" s="1"/>
  <c r="R283" i="301" s="1"/>
  <c r="O55" i="301"/>
  <c r="P55" i="301" s="1"/>
  <c r="R55" i="301" s="1"/>
  <c r="N405" i="301"/>
  <c r="O405" i="301" s="1"/>
  <c r="AX500" i="318"/>
  <c r="X119" i="269"/>
  <c r="Y119" i="269" s="1"/>
  <c r="BO109" i="312"/>
  <c r="BO97" i="312"/>
  <c r="X107" i="269"/>
  <c r="Y107" i="269" s="1"/>
  <c r="N112" i="301"/>
  <c r="O112" i="301" s="1"/>
  <c r="O341" i="301"/>
  <c r="P341" i="301" s="1"/>
  <c r="R341" i="301" s="1"/>
  <c r="P170" i="301"/>
  <c r="R170" i="301" s="1"/>
  <c r="O170" i="301"/>
  <c r="M16" i="326"/>
  <c r="N16" i="326" s="1"/>
  <c r="N36" i="301"/>
  <c r="G89" i="269"/>
  <c r="AG89" i="269" s="1"/>
  <c r="H87" i="301" s="1"/>
  <c r="I87" i="301" s="1"/>
  <c r="L87" i="301" s="1"/>
  <c r="F511" i="269"/>
  <c r="H144" i="269"/>
  <c r="AO8" i="318"/>
  <c r="M19" i="326"/>
  <c r="N19" i="326" s="1"/>
  <c r="N97" i="301"/>
  <c r="O97" i="301"/>
  <c r="N443" i="301"/>
  <c r="AV177" i="318"/>
  <c r="J186" i="269"/>
  <c r="K186" i="269" s="1"/>
  <c r="N493" i="301"/>
  <c r="O493" i="301" s="1"/>
  <c r="AG414" i="269"/>
  <c r="H412" i="301" s="1"/>
  <c r="I412" i="301" s="1"/>
  <c r="L412" i="301" s="1"/>
  <c r="N431" i="301"/>
  <c r="O431" i="301" s="1"/>
  <c r="X202" i="269"/>
  <c r="Y202" i="269" s="1"/>
  <c r="BO193" i="312"/>
  <c r="AG213" i="269"/>
  <c r="H211" i="301" s="1"/>
  <c r="I211" i="301" s="1"/>
  <c r="L211" i="301" s="1"/>
  <c r="AG289" i="269"/>
  <c r="H287" i="301" s="1"/>
  <c r="I287" i="301" s="1"/>
  <c r="L287" i="301" s="1"/>
  <c r="AG17" i="269"/>
  <c r="BO425" i="312"/>
  <c r="P430" i="269" s="1"/>
  <c r="Q430" i="269" s="1"/>
  <c r="AG430" i="269" s="1"/>
  <c r="H428" i="301" s="1"/>
  <c r="I428" i="301" s="1"/>
  <c r="L428" i="301" s="1"/>
  <c r="X430" i="269"/>
  <c r="Y430" i="269" s="1"/>
  <c r="BO381" i="312"/>
  <c r="X388" i="269"/>
  <c r="Y388" i="269" s="1"/>
  <c r="BO11" i="312"/>
  <c r="X21" i="269"/>
  <c r="X144" i="269"/>
  <c r="Y144" i="269" s="1"/>
  <c r="BO134" i="312"/>
  <c r="BO69" i="312"/>
  <c r="X79" i="269"/>
  <c r="Y79" i="269" s="1"/>
  <c r="X479" i="269"/>
  <c r="Y479" i="269" s="1"/>
  <c r="BO474" i="312"/>
  <c r="P479" i="269" s="1"/>
  <c r="Q479" i="269" s="1"/>
  <c r="AG479" i="269" s="1"/>
  <c r="H477" i="301" s="1"/>
  <c r="I477" i="301" s="1"/>
  <c r="L477" i="301" s="1"/>
  <c r="X451" i="269"/>
  <c r="Y451" i="269" s="1"/>
  <c r="BO446" i="312"/>
  <c r="P451" i="269" s="1"/>
  <c r="Q451" i="269" s="1"/>
  <c r="AG451" i="269" s="1"/>
  <c r="H449" i="301" s="1"/>
  <c r="I449" i="301" s="1"/>
  <c r="L449" i="301" s="1"/>
  <c r="N279" i="301"/>
  <c r="O279" i="301"/>
  <c r="N409" i="301"/>
  <c r="O409" i="301"/>
  <c r="BO452" i="312"/>
  <c r="P457" i="269" s="1"/>
  <c r="Q457" i="269" s="1"/>
  <c r="X457" i="269"/>
  <c r="Y457" i="269" s="1"/>
  <c r="BO379" i="312"/>
  <c r="X386" i="269"/>
  <c r="Y386" i="269" s="1"/>
  <c r="N434" i="301"/>
  <c r="O434" i="301"/>
  <c r="N311" i="301"/>
  <c r="O311" i="301"/>
  <c r="L45" i="326"/>
  <c r="N478" i="301"/>
  <c r="O478" i="301" s="1"/>
  <c r="X380" i="269"/>
  <c r="Y380" i="269" s="1"/>
  <c r="BO373" i="312"/>
  <c r="BO211" i="312"/>
  <c r="X220" i="269"/>
  <c r="Y220" i="269" s="1"/>
  <c r="X261" i="269"/>
  <c r="Y261" i="269" s="1"/>
  <c r="BO252" i="312"/>
  <c r="O476" i="301"/>
  <c r="P476" i="301" s="1"/>
  <c r="R476" i="301" s="1"/>
  <c r="O432" i="301"/>
  <c r="P432" i="301" s="1"/>
  <c r="R432" i="301" s="1"/>
  <c r="N106" i="301"/>
  <c r="O251" i="301"/>
  <c r="P251" i="301" s="1"/>
  <c r="R251" i="301" s="1"/>
  <c r="O482" i="301"/>
  <c r="P482" i="301" s="1"/>
  <c r="R482" i="301" s="1"/>
  <c r="O37" i="301"/>
  <c r="N37" i="301"/>
  <c r="O315" i="301"/>
  <c r="P315" i="301" s="1"/>
  <c r="R315" i="301" s="1"/>
  <c r="O54" i="301"/>
  <c r="P54" i="301" s="1"/>
  <c r="R54" i="301" s="1"/>
  <c r="M24" i="326"/>
  <c r="AE17" i="322"/>
  <c r="AB47" i="322"/>
  <c r="G15" i="326"/>
  <c r="M27" i="326"/>
  <c r="N27" i="326" s="1"/>
  <c r="M40" i="326"/>
  <c r="N40" i="326"/>
  <c r="N41" i="269"/>
  <c r="AG41" i="269" s="1"/>
  <c r="H39" i="301" s="1"/>
  <c r="I39" i="301" s="1"/>
  <c r="L39" i="301" s="1"/>
  <c r="O41" i="269"/>
  <c r="M502" i="269"/>
  <c r="X226" i="269"/>
  <c r="Y226" i="269" s="1"/>
  <c r="BO217" i="312"/>
  <c r="O330" i="269"/>
  <c r="N330" i="269"/>
  <c r="AQ40" i="318"/>
  <c r="AV40" i="318"/>
  <c r="J48" i="269" s="1"/>
  <c r="K48" i="269" s="1"/>
  <c r="N171" i="301"/>
  <c r="O171" i="301" s="1"/>
  <c r="BT208" i="312"/>
  <c r="CF208" i="312"/>
  <c r="CE208" i="312" s="1"/>
  <c r="BF313" i="312"/>
  <c r="BL399" i="312"/>
  <c r="N357" i="269"/>
  <c r="O357" i="269"/>
  <c r="AQ52" i="318"/>
  <c r="AV52" i="318"/>
  <c r="J60" i="269" s="1"/>
  <c r="K60" i="269" s="1"/>
  <c r="AG60" i="269" s="1"/>
  <c r="H58" i="301" s="1"/>
  <c r="I58" i="301" s="1"/>
  <c r="L58" i="301" s="1"/>
  <c r="N47" i="301"/>
  <c r="O47" i="301" s="1"/>
  <c r="N124" i="301"/>
  <c r="N125" i="301"/>
  <c r="N414" i="301"/>
  <c r="AQ178" i="318"/>
  <c r="AQ177" i="318" s="1"/>
  <c r="AN177" i="318"/>
  <c r="N226" i="301"/>
  <c r="O226" i="301" s="1"/>
  <c r="AN402" i="318"/>
  <c r="N163" i="301"/>
  <c r="O163" i="301" s="1"/>
  <c r="CE9" i="312"/>
  <c r="BK380" i="312"/>
  <c r="P387" i="269"/>
  <c r="Q387" i="269" s="1"/>
  <c r="AG387" i="269" s="1"/>
  <c r="H385" i="301" s="1"/>
  <c r="I385" i="301" s="1"/>
  <c r="L385" i="301" s="1"/>
  <c r="N491" i="301"/>
  <c r="N197" i="301"/>
  <c r="X58" i="269"/>
  <c r="Y58" i="269" s="1"/>
  <c r="BO48" i="312"/>
  <c r="BO92" i="312"/>
  <c r="X102" i="269"/>
  <c r="Y102" i="269" s="1"/>
  <c r="BO283" i="312"/>
  <c r="X292" i="269"/>
  <c r="Y292" i="269" s="1"/>
  <c r="AG423" i="269"/>
  <c r="H421" i="301" s="1"/>
  <c r="I421" i="301" s="1"/>
  <c r="L421" i="301" s="1"/>
  <c r="BO436" i="312"/>
  <c r="P441" i="269" s="1"/>
  <c r="Q441" i="269" s="1"/>
  <c r="X441" i="269"/>
  <c r="Y441" i="269" s="1"/>
  <c r="BO340" i="312"/>
  <c r="X347" i="269"/>
  <c r="Y347" i="269" s="1"/>
  <c r="N359" i="301"/>
  <c r="O359" i="301" s="1"/>
  <c r="O72" i="301"/>
  <c r="N72" i="301"/>
  <c r="CE317" i="312"/>
  <c r="AN514" i="318"/>
  <c r="X412" i="269"/>
  <c r="Y412" i="269" s="1"/>
  <c r="BO407" i="312"/>
  <c r="N284" i="301"/>
  <c r="O284" i="301" s="1"/>
  <c r="X474" i="269"/>
  <c r="Y474" i="269" s="1"/>
  <c r="BO469" i="312"/>
  <c r="P474" i="269" s="1"/>
  <c r="Q474" i="269" s="1"/>
  <c r="AG269" i="269"/>
  <c r="H267" i="301" s="1"/>
  <c r="I267" i="301" s="1"/>
  <c r="L267" i="301" s="1"/>
  <c r="X93" i="269"/>
  <c r="Y93" i="269" s="1"/>
  <c r="BO83" i="312"/>
  <c r="BO55" i="312"/>
  <c r="X65" i="269"/>
  <c r="Y65" i="269" s="1"/>
  <c r="X84" i="269"/>
  <c r="Y84" i="269" s="1"/>
  <c r="BO74" i="312"/>
  <c r="BO362" i="312"/>
  <c r="X369" i="269"/>
  <c r="Y369" i="269" s="1"/>
  <c r="BO486" i="312"/>
  <c r="P491" i="269" s="1"/>
  <c r="Q491" i="269" s="1"/>
  <c r="X491" i="269"/>
  <c r="Y491" i="269" s="1"/>
  <c r="AP8" i="318"/>
  <c r="P103" i="301"/>
  <c r="R103" i="301" s="1"/>
  <c r="X37" i="269"/>
  <c r="Y37" i="269" s="1"/>
  <c r="BO27" i="312"/>
  <c r="N442" i="301"/>
  <c r="O442" i="301"/>
  <c r="O131" i="301"/>
  <c r="P131" i="301" s="1"/>
  <c r="R131" i="301" s="1"/>
  <c r="BO395" i="312"/>
  <c r="P402" i="269" s="1"/>
  <c r="Q402" i="269" s="1"/>
  <c r="AG402" i="269" s="1"/>
  <c r="H400" i="301" s="1"/>
  <c r="I400" i="301" s="1"/>
  <c r="L400" i="301" s="1"/>
  <c r="X402" i="269"/>
  <c r="Y402" i="269" s="1"/>
  <c r="O51" i="301"/>
  <c r="P121" i="301"/>
  <c r="R121" i="301" s="1"/>
  <c r="O121" i="301"/>
  <c r="O64" i="301"/>
  <c r="P64" i="301" s="1"/>
  <c r="R64" i="301" s="1"/>
  <c r="P138" i="301"/>
  <c r="R138" i="301" s="1"/>
  <c r="O138" i="301"/>
  <c r="M41" i="326"/>
  <c r="N41" i="326"/>
  <c r="BT156" i="312"/>
  <c r="CF156" i="312"/>
  <c r="CE156" i="312" s="1"/>
  <c r="BF174" i="312"/>
  <c r="N42" i="301"/>
  <c r="AQ50" i="318"/>
  <c r="AV50" i="318"/>
  <c r="J58" i="269" s="1"/>
  <c r="K58" i="269" s="1"/>
  <c r="BT248" i="312"/>
  <c r="CF248" i="312"/>
  <c r="CE248" i="312" s="1"/>
  <c r="N296" i="269"/>
  <c r="O296" i="269"/>
  <c r="N403" i="269"/>
  <c r="O403" i="269"/>
  <c r="M33" i="326"/>
  <c r="N33" i="326"/>
  <c r="M30" i="326"/>
  <c r="M31" i="326"/>
  <c r="N31" i="326"/>
  <c r="O31" i="326" s="1"/>
  <c r="P31" i="326" s="1"/>
  <c r="M21" i="326"/>
  <c r="N21" i="326" s="1"/>
  <c r="M36" i="326"/>
  <c r="N36" i="326" s="1"/>
  <c r="BO84" i="312"/>
  <c r="X94" i="269"/>
  <c r="Y94" i="269" s="1"/>
  <c r="BT323" i="312"/>
  <c r="CF323" i="312"/>
  <c r="CE323" i="312" s="1"/>
  <c r="AV22" i="318"/>
  <c r="AN8" i="318"/>
  <c r="N44" i="301"/>
  <c r="O44" i="301" s="1"/>
  <c r="CD175" i="312"/>
  <c r="CD313" i="312" s="1"/>
  <c r="CD498" i="312" s="1"/>
  <c r="CC313" i="312"/>
  <c r="CC498" i="312" s="1"/>
  <c r="N262" i="269"/>
  <c r="O262" i="269"/>
  <c r="N175" i="269"/>
  <c r="O175" i="269"/>
  <c r="O502" i="269" s="1"/>
  <c r="N257" i="269"/>
  <c r="O257" i="269"/>
  <c r="M42" i="326"/>
  <c r="N42" i="326" s="1"/>
  <c r="N264" i="301"/>
  <c r="M18" i="326"/>
  <c r="N18" i="326"/>
  <c r="M23" i="326"/>
  <c r="N23" i="326" s="1"/>
  <c r="M38" i="326"/>
  <c r="M39" i="326"/>
  <c r="N39" i="326"/>
  <c r="M28" i="326"/>
  <c r="N28" i="326" s="1"/>
  <c r="M37" i="326"/>
  <c r="N37" i="326" s="1"/>
  <c r="F22" i="270"/>
  <c r="E14" i="270"/>
  <c r="CC174" i="312"/>
  <c r="CD7" i="312"/>
  <c r="CD174" i="312" s="1"/>
  <c r="AG254" i="269"/>
  <c r="H252" i="301" s="1"/>
  <c r="I252" i="301" s="1"/>
  <c r="L252" i="301" s="1"/>
  <c r="N32" i="301"/>
  <c r="O32" i="301" s="1"/>
  <c r="N40" i="301"/>
  <c r="O40" i="301" s="1"/>
  <c r="N341" i="269"/>
  <c r="O341" i="269"/>
  <c r="N124" i="269"/>
  <c r="O124" i="269"/>
  <c r="BT237" i="312"/>
  <c r="CF237" i="312"/>
  <c r="CE237" i="312" s="1"/>
  <c r="BT287" i="312"/>
  <c r="CF287" i="312"/>
  <c r="CE287" i="312" s="1"/>
  <c r="BT396" i="312"/>
  <c r="CF396" i="312"/>
  <c r="CE396" i="312" s="1"/>
  <c r="AQ334" i="318"/>
  <c r="AQ316" i="318" s="1"/>
  <c r="AQ500" i="318" s="1"/>
  <c r="AN316" i="318"/>
  <c r="H408" i="269"/>
  <c r="I408" i="269" s="1"/>
  <c r="AG408" i="269" s="1"/>
  <c r="H406" i="301" s="1"/>
  <c r="I406" i="301" s="1"/>
  <c r="L406" i="301" s="1"/>
  <c r="AO402" i="318"/>
  <c r="P309" i="269"/>
  <c r="Q309" i="269" s="1"/>
  <c r="AG309" i="269" s="1"/>
  <c r="H307" i="301" s="1"/>
  <c r="I307" i="301" s="1"/>
  <c r="L307" i="301" s="1"/>
  <c r="BK300" i="312"/>
  <c r="F373" i="269"/>
  <c r="AP316" i="318"/>
  <c r="N498" i="301"/>
  <c r="O498" i="301" s="1"/>
  <c r="AG278" i="269"/>
  <c r="H276" i="301" s="1"/>
  <c r="I276" i="301" s="1"/>
  <c r="L276" i="301" s="1"/>
  <c r="X345" i="269"/>
  <c r="Y345" i="269" s="1"/>
  <c r="BO338" i="312"/>
  <c r="X245" i="269"/>
  <c r="Y245" i="269" s="1"/>
  <c r="BO236" i="312"/>
  <c r="N438" i="301"/>
  <c r="N408" i="301"/>
  <c r="O408" i="301" s="1"/>
  <c r="BO351" i="312"/>
  <c r="X358" i="269"/>
  <c r="Y358" i="269" s="1"/>
  <c r="BO232" i="312"/>
  <c r="X241" i="269"/>
  <c r="Y241" i="269" s="1"/>
  <c r="X147" i="269"/>
  <c r="Y147" i="269" s="1"/>
  <c r="BO137" i="312"/>
  <c r="BO145" i="312"/>
  <c r="X155" i="269"/>
  <c r="Y155" i="269" s="1"/>
  <c r="N446" i="301"/>
  <c r="O446" i="301" s="1"/>
  <c r="X415" i="269"/>
  <c r="Y415" i="269" s="1"/>
  <c r="BO410" i="312"/>
  <c r="P415" i="269" s="1"/>
  <c r="Q415" i="269" s="1"/>
  <c r="AZ500" i="318"/>
  <c r="N457" i="301"/>
  <c r="X45" i="269"/>
  <c r="Y45" i="269" s="1"/>
  <c r="BO35" i="312"/>
  <c r="X124" i="269"/>
  <c r="Y124" i="269" s="1"/>
  <c r="BO114" i="312"/>
  <c r="BO22" i="312"/>
  <c r="X32" i="269"/>
  <c r="Y32" i="269" s="1"/>
  <c r="X174" i="269"/>
  <c r="Y174" i="269" s="1"/>
  <c r="BO164" i="312"/>
  <c r="BO214" i="312"/>
  <c r="X223" i="269"/>
  <c r="Y223" i="269" s="1"/>
  <c r="BO463" i="312"/>
  <c r="P468" i="269" s="1"/>
  <c r="Q468" i="269" s="1"/>
  <c r="X468" i="269"/>
  <c r="Y468" i="269" s="1"/>
  <c r="BO200" i="312"/>
  <c r="X209" i="269"/>
  <c r="Y209" i="269" s="1"/>
  <c r="X324" i="269"/>
  <c r="Y324" i="269" s="1"/>
  <c r="BO317" i="312"/>
  <c r="BO319" i="312"/>
  <c r="X326" i="269"/>
  <c r="Y326" i="269" s="1"/>
  <c r="X153" i="269"/>
  <c r="Y153" i="269" s="1"/>
  <c r="BO143" i="312"/>
  <c r="BO221" i="312"/>
  <c r="X230" i="269"/>
  <c r="Y230" i="269" s="1"/>
  <c r="O292" i="301"/>
  <c r="P292" i="301" s="1"/>
  <c r="R292" i="301" s="1"/>
  <c r="N29" i="301"/>
  <c r="N147" i="301"/>
  <c r="N27" i="301"/>
  <c r="N127" i="301"/>
  <c r="O127" i="301"/>
  <c r="O57" i="301"/>
  <c r="P57" i="301" s="1"/>
  <c r="R57" i="301" s="1"/>
  <c r="O134" i="301"/>
  <c r="P134" i="301" s="1"/>
  <c r="R134" i="301" s="1"/>
  <c r="N59" i="301"/>
  <c r="O59" i="301" s="1"/>
  <c r="AG375" i="269"/>
  <c r="H373" i="301" s="1"/>
  <c r="I373" i="301" s="1"/>
  <c r="L373" i="301" s="1"/>
  <c r="BO487" i="312"/>
  <c r="P492" i="269" s="1"/>
  <c r="Q492" i="269" s="1"/>
  <c r="AG492" i="269" s="1"/>
  <c r="H490" i="301" s="1"/>
  <c r="I490" i="301" s="1"/>
  <c r="L490" i="301" s="1"/>
  <c r="X492" i="269"/>
  <c r="Y492" i="269" s="1"/>
  <c r="X28" i="269"/>
  <c r="Y28" i="269" s="1"/>
  <c r="BO18" i="312"/>
  <c r="BO25" i="312"/>
  <c r="X35" i="269"/>
  <c r="Y35" i="269" s="1"/>
  <c r="AG83" i="269"/>
  <c r="H81" i="301" s="1"/>
  <c r="I81" i="301" s="1"/>
  <c r="L81" i="301" s="1"/>
  <c r="BO307" i="312"/>
  <c r="X316" i="269"/>
  <c r="Y316" i="269" s="1"/>
  <c r="BO267" i="312"/>
  <c r="X276" i="269"/>
  <c r="Y276" i="269" s="1"/>
  <c r="X279" i="269"/>
  <c r="Y279" i="269" s="1"/>
  <c r="BO270" i="312"/>
  <c r="X204" i="269"/>
  <c r="Y204" i="269" s="1"/>
  <c r="BO195" i="312"/>
  <c r="AG431" i="269"/>
  <c r="H429" i="301" s="1"/>
  <c r="I429" i="301" s="1"/>
  <c r="L429" i="301" s="1"/>
  <c r="BO421" i="312"/>
  <c r="P426" i="269" s="1"/>
  <c r="Q426" i="269" s="1"/>
  <c r="AG426" i="269" s="1"/>
  <c r="H424" i="301" s="1"/>
  <c r="I424" i="301" s="1"/>
  <c r="L424" i="301" s="1"/>
  <c r="X426" i="269"/>
  <c r="Y426" i="269" s="1"/>
  <c r="N66" i="301"/>
  <c r="O66" i="301" s="1"/>
  <c r="O304" i="301"/>
  <c r="P304" i="301" s="1"/>
  <c r="R304" i="301" s="1"/>
  <c r="O420" i="301"/>
  <c r="N420" i="301"/>
  <c r="N149" i="301"/>
  <c r="O149" i="301" s="1"/>
  <c r="N485" i="301"/>
  <c r="O485" i="301" s="1"/>
  <c r="P114" i="301"/>
  <c r="R114" i="301" s="1"/>
  <c r="CI17" i="312"/>
  <c r="N297" i="301"/>
  <c r="N463" i="301"/>
  <c r="O463" i="301" s="1"/>
  <c r="P448" i="301"/>
  <c r="R448" i="301" s="1"/>
  <c r="X73" i="269"/>
  <c r="Y73" i="269" s="1"/>
  <c r="BO63" i="312"/>
  <c r="X284" i="269"/>
  <c r="Y284" i="269" s="1"/>
  <c r="BO275" i="312"/>
  <c r="BO192" i="312"/>
  <c r="X201" i="269"/>
  <c r="Y201" i="269" s="1"/>
  <c r="P360" i="301"/>
  <c r="R360" i="301" s="1"/>
  <c r="P45" i="301"/>
  <c r="R45" i="301" s="1"/>
  <c r="X482" i="269"/>
  <c r="Y482" i="269" s="1"/>
  <c r="BO477" i="312"/>
  <c r="P482" i="269" s="1"/>
  <c r="Q482" i="269" s="1"/>
  <c r="AG482" i="269" s="1"/>
  <c r="H480" i="301" s="1"/>
  <c r="I480" i="301" s="1"/>
  <c r="L480" i="301" s="1"/>
  <c r="P102" i="301"/>
  <c r="R102" i="301" s="1"/>
  <c r="P272" i="301"/>
  <c r="R272" i="301" s="1"/>
  <c r="P488" i="301"/>
  <c r="R488" i="301" s="1"/>
  <c r="P370" i="301"/>
  <c r="R370" i="301" s="1"/>
  <c r="P168" i="301"/>
  <c r="R168" i="301" s="1"/>
  <c r="P245" i="301"/>
  <c r="R245" i="301" s="1"/>
  <c r="P50" i="301"/>
  <c r="R50" i="301" s="1"/>
  <c r="P349" i="301"/>
  <c r="R349" i="301" s="1"/>
  <c r="P176" i="301"/>
  <c r="R176" i="301" s="1"/>
  <c r="P123" i="301"/>
  <c r="R123" i="301" s="1"/>
  <c r="P362" i="301"/>
  <c r="R362" i="301" s="1"/>
  <c r="P183" i="301"/>
  <c r="R183" i="301" s="1"/>
  <c r="P18" i="301"/>
  <c r="R18" i="301" s="1"/>
  <c r="P286" i="301"/>
  <c r="R286" i="301" s="1"/>
  <c r="P450" i="301"/>
  <c r="R450" i="301" s="1"/>
  <c r="O335" i="301"/>
  <c r="P335" i="301" s="1"/>
  <c r="R335" i="301" s="1"/>
  <c r="P363" i="301"/>
  <c r="R363" i="301" s="1"/>
  <c r="P162" i="301"/>
  <c r="R162" i="301" s="1"/>
  <c r="O256" i="301"/>
  <c r="P256" i="301" s="1"/>
  <c r="R256" i="301" s="1"/>
  <c r="P296" i="301"/>
  <c r="R296" i="301" s="1"/>
  <c r="P204" i="301"/>
  <c r="R204" i="301" s="1"/>
  <c r="P285" i="301"/>
  <c r="R285" i="301" s="1"/>
  <c r="P213" i="301"/>
  <c r="R213" i="301" s="1"/>
  <c r="P419" i="301"/>
  <c r="R419" i="301" s="1"/>
  <c r="P487" i="301"/>
  <c r="R487" i="301" s="1"/>
  <c r="O317" i="301"/>
  <c r="P317" i="301" s="1"/>
  <c r="R317" i="301" s="1"/>
  <c r="O380" i="301"/>
  <c r="P380" i="301" s="1"/>
  <c r="R380" i="301" s="1"/>
  <c r="O165" i="301"/>
  <c r="P165" i="301" s="1"/>
  <c r="R165" i="301" s="1"/>
  <c r="P181" i="301"/>
  <c r="R181" i="301" s="1"/>
  <c r="O308" i="301"/>
  <c r="P308" i="301" s="1"/>
  <c r="R308" i="301" s="1"/>
  <c r="P261" i="301"/>
  <c r="R261" i="301" s="1"/>
  <c r="P250" i="301"/>
  <c r="R250" i="301" s="1"/>
  <c r="P266" i="301"/>
  <c r="R266" i="301" s="1"/>
  <c r="P394" i="301"/>
  <c r="R394" i="301" s="1"/>
  <c r="P381" i="301"/>
  <c r="R381" i="301" s="1"/>
  <c r="P89" i="301"/>
  <c r="R89" i="301" s="1"/>
  <c r="P130" i="301"/>
  <c r="R130" i="301" s="1"/>
  <c r="P253" i="301"/>
  <c r="R253" i="301" s="1"/>
  <c r="P326" i="301"/>
  <c r="R326" i="301" s="1"/>
  <c r="P265" i="301"/>
  <c r="R265" i="301" s="1"/>
  <c r="P136" i="301"/>
  <c r="R136" i="301" s="1"/>
  <c r="P496" i="301"/>
  <c r="R496" i="301" s="1"/>
  <c r="O453" i="301"/>
  <c r="P453" i="301" s="1"/>
  <c r="R453" i="301" s="1"/>
  <c r="P391" i="301"/>
  <c r="R391" i="301" s="1"/>
  <c r="O454" i="301"/>
  <c r="P454" i="301" s="1"/>
  <c r="R454" i="301" s="1"/>
  <c r="P407" i="301"/>
  <c r="R407" i="301" s="1"/>
  <c r="P278" i="301"/>
  <c r="R278" i="301" s="1"/>
  <c r="P99" i="301"/>
  <c r="R99" i="301" s="1"/>
  <c r="P166" i="301"/>
  <c r="R166" i="301" s="1"/>
  <c r="P192" i="301"/>
  <c r="R192" i="301" s="1"/>
  <c r="O74" i="301"/>
  <c r="P74" i="301" s="1"/>
  <c r="R74" i="301" s="1"/>
  <c r="O135" i="301"/>
  <c r="P135" i="301" s="1"/>
  <c r="R135" i="301" s="1"/>
  <c r="O111" i="301"/>
  <c r="P111" i="301" s="1"/>
  <c r="R111" i="301" s="1"/>
  <c r="P196" i="301"/>
  <c r="R196" i="301" s="1"/>
  <c r="P223" i="301"/>
  <c r="R223" i="301" s="1"/>
  <c r="P84" i="301"/>
  <c r="R84" i="301" s="1"/>
  <c r="O116" i="301"/>
  <c r="P116" i="301" s="1"/>
  <c r="R116" i="301" s="1"/>
  <c r="P295" i="301"/>
  <c r="R295" i="301" s="1"/>
  <c r="AM516" i="318"/>
  <c r="AN516" i="318" s="1"/>
  <c r="AM500" i="318"/>
  <c r="M20" i="326"/>
  <c r="N20" i="326" s="1"/>
  <c r="AG443" i="269"/>
  <c r="H441" i="301" s="1"/>
  <c r="I441" i="301" s="1"/>
  <c r="L441" i="301" s="1"/>
  <c r="N358" i="301"/>
  <c r="X461" i="269"/>
  <c r="Y461" i="269" s="1"/>
  <c r="BO456" i="312"/>
  <c r="P461" i="269" s="1"/>
  <c r="Q461" i="269" s="1"/>
  <c r="AG461" i="269" s="1"/>
  <c r="H459" i="301" s="1"/>
  <c r="I459" i="301" s="1"/>
  <c r="L459" i="301" s="1"/>
  <c r="X329" i="269"/>
  <c r="Y329" i="269" s="1"/>
  <c r="BO322" i="312"/>
  <c r="X335" i="269"/>
  <c r="Y335" i="269" s="1"/>
  <c r="BO328" i="312"/>
  <c r="AG275" i="269"/>
  <c r="H273" i="301" s="1"/>
  <c r="I273" i="301" s="1"/>
  <c r="L273" i="301" s="1"/>
  <c r="CJ20" i="312"/>
  <c r="CK20" i="312" s="1"/>
  <c r="CI20" i="312" s="1"/>
  <c r="BF498" i="312"/>
  <c r="X186" i="269"/>
  <c r="Y186" i="269" s="1"/>
  <c r="BO177" i="312"/>
  <c r="BO263" i="312"/>
  <c r="X272" i="269"/>
  <c r="Y272" i="269" s="1"/>
  <c r="BO262" i="312"/>
  <c r="X271" i="269"/>
  <c r="Y271" i="269" s="1"/>
  <c r="BO393" i="312"/>
  <c r="P400" i="269" s="1"/>
  <c r="Q400" i="269" s="1"/>
  <c r="X400" i="269"/>
  <c r="Y400" i="269" s="1"/>
  <c r="P341" i="269"/>
  <c r="Q341" i="269" s="1"/>
  <c r="BK334" i="312"/>
  <c r="X98" i="269"/>
  <c r="Y98" i="269" s="1"/>
  <c r="BO88" i="312"/>
  <c r="BK16" i="312"/>
  <c r="P26" i="269"/>
  <c r="Q26" i="269" s="1"/>
  <c r="AG26" i="269" s="1"/>
  <c r="H24" i="301" s="1"/>
  <c r="I24" i="301" s="1"/>
  <c r="L24" i="301" s="1"/>
  <c r="BO140" i="312"/>
  <c r="X150" i="269"/>
  <c r="Y150" i="269" s="1"/>
  <c r="X154" i="269"/>
  <c r="Y154" i="269" s="1"/>
  <c r="BO144" i="312"/>
  <c r="BO131" i="312"/>
  <c r="X141" i="269"/>
  <c r="Y141" i="269" s="1"/>
  <c r="BO284" i="312"/>
  <c r="X293" i="269"/>
  <c r="Y293" i="269" s="1"/>
  <c r="O230" i="301"/>
  <c r="P230" i="301" s="1"/>
  <c r="R230" i="301" s="1"/>
  <c r="X438" i="269"/>
  <c r="Y438" i="269" s="1"/>
  <c r="BO433" i="312"/>
  <c r="P438" i="269" s="1"/>
  <c r="Q438" i="269" s="1"/>
  <c r="BO129" i="312"/>
  <c r="X139" i="269"/>
  <c r="Y139" i="269" s="1"/>
  <c r="N65" i="301"/>
  <c r="O65" i="301" s="1"/>
  <c r="N402" i="301"/>
  <c r="O402" i="301" s="1"/>
  <c r="N492" i="301"/>
  <c r="O492" i="301"/>
  <c r="P486" i="301"/>
  <c r="R486" i="301" s="1"/>
  <c r="P95" i="301"/>
  <c r="R95" i="301" s="1"/>
  <c r="N185" i="301"/>
  <c r="O185" i="301" s="1"/>
  <c r="X214" i="269"/>
  <c r="Y214" i="269" s="1"/>
  <c r="BO205" i="312"/>
  <c r="BO149" i="312"/>
  <c r="X159" i="269"/>
  <c r="Y159" i="269" s="1"/>
  <c r="P479" i="301"/>
  <c r="R479" i="301" s="1"/>
  <c r="O160" i="301"/>
  <c r="P160" i="301" s="1"/>
  <c r="R160" i="301" s="1"/>
  <c r="P417" i="301"/>
  <c r="R417" i="301" s="1"/>
  <c r="P440" i="301"/>
  <c r="R440" i="301" s="1"/>
  <c r="P189" i="301"/>
  <c r="R189" i="301" s="1"/>
  <c r="P16" i="301"/>
  <c r="R16" i="301" s="1"/>
  <c r="P422" i="301"/>
  <c r="R422" i="301" s="1"/>
  <c r="P262" i="301"/>
  <c r="R262" i="301" s="1"/>
  <c r="P312" i="301"/>
  <c r="R312" i="301" s="1"/>
  <c r="P214" i="301"/>
  <c r="R214" i="301" s="1"/>
  <c r="P364" i="301"/>
  <c r="R364" i="301" s="1"/>
  <c r="P404" i="301"/>
  <c r="R404" i="301" s="1"/>
  <c r="P203" i="301"/>
  <c r="R203" i="301" s="1"/>
  <c r="P475" i="301"/>
  <c r="R475" i="301" s="1"/>
  <c r="O186" i="301"/>
  <c r="P186" i="301" s="1"/>
  <c r="R186" i="301" s="1"/>
  <c r="P232" i="301"/>
  <c r="R232" i="301" s="1"/>
  <c r="O257" i="301"/>
  <c r="P257" i="301" s="1"/>
  <c r="R257" i="301" s="1"/>
  <c r="P458" i="301"/>
  <c r="R458" i="301" s="1"/>
  <c r="P467" i="301"/>
  <c r="R467" i="301" s="1"/>
  <c r="P242" i="301"/>
  <c r="R242" i="301" s="1"/>
  <c r="O20" i="301"/>
  <c r="P20" i="301" s="1"/>
  <c r="R20" i="301" s="1"/>
  <c r="P375" i="301"/>
  <c r="R375" i="301" s="1"/>
  <c r="P340" i="301"/>
  <c r="R340" i="301" s="1"/>
  <c r="O350" i="301"/>
  <c r="P350" i="301" s="1"/>
  <c r="R350" i="301" s="1"/>
  <c r="P347" i="301"/>
  <c r="R347" i="301" s="1"/>
  <c r="P447" i="301"/>
  <c r="R447" i="301" s="1"/>
  <c r="P174" i="301"/>
  <c r="R174" i="301" s="1"/>
  <c r="P88" i="301"/>
  <c r="R88" i="301" s="1"/>
  <c r="O159" i="301"/>
  <c r="P159" i="301" s="1"/>
  <c r="R159" i="301" s="1"/>
  <c r="O392" i="301"/>
  <c r="P392" i="301" s="1"/>
  <c r="R392" i="301" s="1"/>
  <c r="P393" i="301"/>
  <c r="R393" i="301" s="1"/>
  <c r="P303" i="301"/>
  <c r="R303" i="301" s="1"/>
  <c r="P306" i="301"/>
  <c r="R306" i="301" s="1"/>
  <c r="P238" i="301"/>
  <c r="R238" i="301" s="1"/>
  <c r="O456" i="301"/>
  <c r="P456" i="301" s="1"/>
  <c r="R456" i="301" s="1"/>
  <c r="P437" i="301"/>
  <c r="R437" i="301" s="1"/>
  <c r="P302" i="301"/>
  <c r="R302" i="301" s="1"/>
  <c r="P310" i="301"/>
  <c r="R310" i="301" s="1"/>
  <c r="P133" i="301"/>
  <c r="R133" i="301" s="1"/>
  <c r="O70" i="301"/>
  <c r="P70" i="301" s="1"/>
  <c r="R70" i="301" s="1"/>
  <c r="P201" i="301"/>
  <c r="R201" i="301" s="1"/>
  <c r="P299" i="301"/>
  <c r="R299" i="301" s="1"/>
  <c r="P220" i="301"/>
  <c r="R220" i="301" s="1"/>
  <c r="P141" i="301"/>
  <c r="R141" i="301" s="1"/>
  <c r="P330" i="301"/>
  <c r="R330" i="301" s="1"/>
  <c r="P301" i="301"/>
  <c r="R301" i="301" s="1"/>
  <c r="P115" i="301"/>
  <c r="R115" i="301" s="1"/>
  <c r="O338" i="301"/>
  <c r="N338" i="301"/>
  <c r="N354" i="301"/>
  <c r="BO71" i="312"/>
  <c r="X81" i="269"/>
  <c r="Y81" i="269" s="1"/>
  <c r="BO233" i="312"/>
  <c r="X242" i="269"/>
  <c r="Y242" i="269" s="1"/>
  <c r="X210" i="269"/>
  <c r="Y210" i="269" s="1"/>
  <c r="BO201" i="312"/>
  <c r="BO264" i="312"/>
  <c r="X273" i="269"/>
  <c r="Y273" i="269" s="1"/>
  <c r="N464" i="301"/>
  <c r="BO175" i="312"/>
  <c r="X184" i="269"/>
  <c r="Y184" i="269" s="1"/>
  <c r="X413" i="269"/>
  <c r="Y413" i="269" s="1"/>
  <c r="BO408" i="312"/>
  <c r="P413" i="269" s="1"/>
  <c r="Q413" i="269" s="1"/>
  <c r="N229" i="301"/>
  <c r="O229" i="301" s="1"/>
  <c r="P451" i="301"/>
  <c r="R451" i="301" s="1"/>
  <c r="O180" i="301"/>
  <c r="P180" i="301" s="1"/>
  <c r="R180" i="301" s="1"/>
  <c r="P67" i="301"/>
  <c r="R67" i="301" s="1"/>
  <c r="P101" i="301"/>
  <c r="R101" i="301" s="1"/>
  <c r="P399" i="301"/>
  <c r="R399" i="301" s="1"/>
  <c r="P237" i="301"/>
  <c r="R237" i="301" s="1"/>
  <c r="O422" i="301"/>
  <c r="O52" i="301"/>
  <c r="P52" i="301" s="1"/>
  <c r="R52" i="301" s="1"/>
  <c r="P225" i="301"/>
  <c r="R225" i="301" s="1"/>
  <c r="O262" i="301"/>
  <c r="O227" i="301"/>
  <c r="P227" i="301" s="1"/>
  <c r="R227" i="301" s="1"/>
  <c r="P389" i="301"/>
  <c r="R389" i="301" s="1"/>
  <c r="P156" i="301"/>
  <c r="R156" i="301" s="1"/>
  <c r="O86" i="301"/>
  <c r="P86" i="301" s="1"/>
  <c r="R86" i="301" s="1"/>
  <c r="O366" i="301"/>
  <c r="P366" i="301" s="1"/>
  <c r="R366" i="301" s="1"/>
  <c r="P275" i="301"/>
  <c r="R275" i="301" s="1"/>
  <c r="P118" i="301"/>
  <c r="R118" i="301" s="1"/>
  <c r="O365" i="301"/>
  <c r="P365" i="301" s="1"/>
  <c r="R365" i="301" s="1"/>
  <c r="O444" i="301"/>
  <c r="P444" i="301" s="1"/>
  <c r="R444" i="301" s="1"/>
  <c r="O475" i="301"/>
  <c r="O383" i="301"/>
  <c r="P383" i="301" s="1"/>
  <c r="R383" i="301" s="1"/>
  <c r="P342" i="301"/>
  <c r="R342" i="301" s="1"/>
  <c r="O126" i="301"/>
  <c r="P126" i="301" s="1"/>
  <c r="R126" i="301" s="1"/>
  <c r="O22" i="301"/>
  <c r="P22" i="301" s="1"/>
  <c r="R22" i="301" s="1"/>
  <c r="O75" i="301"/>
  <c r="P75" i="301" s="1"/>
  <c r="R75" i="301" s="1"/>
  <c r="P495" i="301"/>
  <c r="R495" i="301" s="1"/>
  <c r="O445" i="301"/>
  <c r="P445" i="301" s="1"/>
  <c r="R445" i="301" s="1"/>
  <c r="O76" i="301"/>
  <c r="P76" i="301" s="1"/>
  <c r="R76" i="301" s="1"/>
  <c r="P158" i="301"/>
  <c r="R158" i="301" s="1"/>
  <c r="O93" i="301"/>
  <c r="P93" i="301" s="1"/>
  <c r="R93" i="301" s="1"/>
  <c r="O98" i="301"/>
  <c r="P98" i="301" s="1"/>
  <c r="R98" i="301" s="1"/>
  <c r="P205" i="301"/>
  <c r="R205" i="301" s="1"/>
  <c r="P357" i="301"/>
  <c r="R357" i="301" s="1"/>
  <c r="P300" i="301"/>
  <c r="R300" i="301" s="1"/>
  <c r="P195" i="301"/>
  <c r="R195" i="301" s="1"/>
  <c r="O143" i="301"/>
  <c r="P143" i="301" s="1"/>
  <c r="R143" i="301" s="1"/>
  <c r="P316" i="301"/>
  <c r="R316" i="301" s="1"/>
  <c r="O336" i="301"/>
  <c r="P336" i="301" s="1"/>
  <c r="R336" i="301" s="1"/>
  <c r="P374" i="301"/>
  <c r="R374" i="301" s="1"/>
  <c r="P132" i="301"/>
  <c r="R132" i="301" s="1"/>
  <c r="P150" i="301"/>
  <c r="R150" i="301" s="1"/>
  <c r="O21" i="301"/>
  <c r="P21" i="301" s="1"/>
  <c r="R21" i="301" s="1"/>
  <c r="O332" i="301"/>
  <c r="P332" i="301" s="1"/>
  <c r="R332" i="301" s="1"/>
  <c r="O433" i="301"/>
  <c r="P433" i="301" s="1"/>
  <c r="R433" i="301" s="1"/>
  <c r="O167" i="301"/>
  <c r="P167" i="301" s="1"/>
  <c r="R167" i="301" s="1"/>
  <c r="P31" i="301"/>
  <c r="R31" i="301" s="1"/>
  <c r="P497" i="301"/>
  <c r="R497" i="301" s="1"/>
  <c r="P483" i="301"/>
  <c r="R483" i="301" s="1"/>
  <c r="P425" i="301"/>
  <c r="R425" i="301" s="1"/>
  <c r="O470" i="301"/>
  <c r="P470" i="301" s="1"/>
  <c r="R470" i="301" s="1"/>
  <c r="P233" i="301"/>
  <c r="R233" i="301" s="1"/>
  <c r="O83" i="301"/>
  <c r="P83" i="301" s="1"/>
  <c r="R83" i="301" s="1"/>
  <c r="O427" i="301"/>
  <c r="P427" i="301" s="1"/>
  <c r="R427" i="301" s="1"/>
  <c r="P382" i="301"/>
  <c r="R382" i="301" s="1"/>
  <c r="O80" i="301"/>
  <c r="P80" i="301" s="1"/>
  <c r="R80" i="301" s="1"/>
  <c r="P396" i="301"/>
  <c r="R396" i="301" s="1"/>
  <c r="O68" i="301"/>
  <c r="P68" i="301" s="1"/>
  <c r="R68" i="301" s="1"/>
  <c r="O120" i="301"/>
  <c r="P120" i="301" s="1"/>
  <c r="R120" i="301" s="1"/>
  <c r="O69" i="301"/>
  <c r="P69" i="301" s="1"/>
  <c r="R69" i="301" s="1"/>
  <c r="P73" i="301"/>
  <c r="R73" i="301" s="1"/>
  <c r="P348" i="301"/>
  <c r="R348" i="301" s="1"/>
  <c r="O293" i="301"/>
  <c r="P293" i="301" s="1"/>
  <c r="R293" i="301" s="1"/>
  <c r="O129" i="301"/>
  <c r="P129" i="301" s="1"/>
  <c r="R129" i="301" s="1"/>
  <c r="O387" i="301"/>
  <c r="P387" i="301" s="1"/>
  <c r="R387" i="301" s="1"/>
  <c r="P305" i="301"/>
  <c r="R305" i="301" s="1"/>
  <c r="P53" i="301"/>
  <c r="R53" i="301" s="1"/>
  <c r="P288" i="301"/>
  <c r="R288" i="301" s="1"/>
  <c r="O179" i="301"/>
  <c r="P179" i="301" s="1"/>
  <c r="R179" i="301" s="1"/>
  <c r="P222" i="301"/>
  <c r="R222" i="301" s="1"/>
  <c r="O115" i="301"/>
  <c r="N155" i="301" l="1"/>
  <c r="O155" i="301"/>
  <c r="P155" i="301" s="1"/>
  <c r="R155" i="301" s="1"/>
  <c r="O187" i="301"/>
  <c r="N206" i="301"/>
  <c r="O206" i="301"/>
  <c r="N474" i="301"/>
  <c r="O474" i="301"/>
  <c r="P474" i="301" s="1"/>
  <c r="R474" i="301" s="1"/>
  <c r="X454" i="269"/>
  <c r="Y454" i="269" s="1"/>
  <c r="BO449" i="312"/>
  <c r="P454" i="269" s="1"/>
  <c r="Q454" i="269" s="1"/>
  <c r="AG454" i="269" s="1"/>
  <c r="H452" i="301" s="1"/>
  <c r="I452" i="301" s="1"/>
  <c r="L452" i="301" s="1"/>
  <c r="X249" i="269"/>
  <c r="Y249" i="269" s="1"/>
  <c r="BO240" i="312"/>
  <c r="P300" i="269"/>
  <c r="Q300" i="269" s="1"/>
  <c r="AG300" i="269" s="1"/>
  <c r="H298" i="301" s="1"/>
  <c r="I298" i="301" s="1"/>
  <c r="L298" i="301" s="1"/>
  <c r="BK291" i="312"/>
  <c r="N379" i="301"/>
  <c r="BK86" i="312"/>
  <c r="P96" i="269"/>
  <c r="Q96" i="269" s="1"/>
  <c r="AG96" i="269" s="1"/>
  <c r="H94" i="301" s="1"/>
  <c r="I94" i="301" s="1"/>
  <c r="L94" i="301" s="1"/>
  <c r="P283" i="269"/>
  <c r="Q283" i="269" s="1"/>
  <c r="AG283" i="269" s="1"/>
  <c r="H281" i="301" s="1"/>
  <c r="I281" i="301" s="1"/>
  <c r="L281" i="301" s="1"/>
  <c r="BK274" i="312"/>
  <c r="P219" i="269"/>
  <c r="Q219" i="269" s="1"/>
  <c r="AG219" i="269" s="1"/>
  <c r="H217" i="301" s="1"/>
  <c r="I217" i="301" s="1"/>
  <c r="L217" i="301" s="1"/>
  <c r="BK210" i="312"/>
  <c r="O471" i="301"/>
  <c r="BL498" i="312"/>
  <c r="N187" i="301"/>
  <c r="O41" i="301"/>
  <c r="N41" i="301"/>
  <c r="P321" i="269"/>
  <c r="Q321" i="269" s="1"/>
  <c r="AG321" i="269" s="1"/>
  <c r="H319" i="301" s="1"/>
  <c r="I319" i="301" s="1"/>
  <c r="L319" i="301" s="1"/>
  <c r="BK314" i="312"/>
  <c r="AG420" i="269"/>
  <c r="H418" i="301" s="1"/>
  <c r="I418" i="301" s="1"/>
  <c r="L418" i="301" s="1"/>
  <c r="AG470" i="269"/>
  <c r="H468" i="301" s="1"/>
  <c r="I468" i="301" s="1"/>
  <c r="L468" i="301" s="1"/>
  <c r="BO385" i="312"/>
  <c r="X392" i="269"/>
  <c r="Y392" i="269" s="1"/>
  <c r="BK203" i="312"/>
  <c r="P212" i="269"/>
  <c r="Q212" i="269" s="1"/>
  <c r="AG212" i="269" s="1"/>
  <c r="H210" i="301" s="1"/>
  <c r="I210" i="301" s="1"/>
  <c r="L210" i="301" s="1"/>
  <c r="N210" i="301" s="1"/>
  <c r="BK153" i="312"/>
  <c r="P163" i="269"/>
  <c r="Q163" i="269" s="1"/>
  <c r="AG163" i="269" s="1"/>
  <c r="H161" i="301" s="1"/>
  <c r="I161" i="301" s="1"/>
  <c r="L161" i="301" s="1"/>
  <c r="BK38" i="312"/>
  <c r="P48" i="269"/>
  <c r="Q48" i="269" s="1"/>
  <c r="BK364" i="312"/>
  <c r="P371" i="269"/>
  <c r="Q371" i="269" s="1"/>
  <c r="AG371" i="269" s="1"/>
  <c r="H369" i="301" s="1"/>
  <c r="I369" i="301" s="1"/>
  <c r="L369" i="301" s="1"/>
  <c r="N369" i="301" s="1"/>
  <c r="BK363" i="312"/>
  <c r="P370" i="269"/>
  <c r="Q370" i="269" s="1"/>
  <c r="AG370" i="269" s="1"/>
  <c r="H368" i="301" s="1"/>
  <c r="I368" i="301" s="1"/>
  <c r="L368" i="301" s="1"/>
  <c r="BK82" i="312"/>
  <c r="P92" i="269"/>
  <c r="Q92" i="269" s="1"/>
  <c r="AG92" i="269" s="1"/>
  <c r="H90" i="301" s="1"/>
  <c r="I90" i="301" s="1"/>
  <c r="L90" i="301" s="1"/>
  <c r="P379" i="269"/>
  <c r="Q379" i="269" s="1"/>
  <c r="AG379" i="269" s="1"/>
  <c r="H377" i="301" s="1"/>
  <c r="I377" i="301" s="1"/>
  <c r="L377" i="301" s="1"/>
  <c r="BK372" i="312"/>
  <c r="BK326" i="312"/>
  <c r="P333" i="269"/>
  <c r="Q333" i="269" s="1"/>
  <c r="AG333" i="269" s="1"/>
  <c r="H331" i="301" s="1"/>
  <c r="I331" i="301" s="1"/>
  <c r="L331" i="301" s="1"/>
  <c r="N331" i="301" s="1"/>
  <c r="P325" i="269"/>
  <c r="Q325" i="269" s="1"/>
  <c r="AG325" i="269" s="1"/>
  <c r="H323" i="301" s="1"/>
  <c r="I323" i="301" s="1"/>
  <c r="L323" i="301" s="1"/>
  <c r="BK318" i="312"/>
  <c r="P111" i="269"/>
  <c r="Q111" i="269" s="1"/>
  <c r="AG111" i="269" s="1"/>
  <c r="H109" i="301" s="1"/>
  <c r="I109" i="301" s="1"/>
  <c r="L109" i="301" s="1"/>
  <c r="BK101" i="312"/>
  <c r="P112" i="269"/>
  <c r="Q112" i="269" s="1"/>
  <c r="AG112" i="269" s="1"/>
  <c r="H110" i="301" s="1"/>
  <c r="I110" i="301" s="1"/>
  <c r="L110" i="301" s="1"/>
  <c r="BK102" i="312"/>
  <c r="AG357" i="269"/>
  <c r="H355" i="301" s="1"/>
  <c r="I355" i="301" s="1"/>
  <c r="L355" i="301" s="1"/>
  <c r="BK316" i="312"/>
  <c r="P323" i="269"/>
  <c r="Q323" i="269" s="1"/>
  <c r="AG323" i="269" s="1"/>
  <c r="H321" i="301" s="1"/>
  <c r="I321" i="301" s="1"/>
  <c r="L321" i="301" s="1"/>
  <c r="P196" i="269"/>
  <c r="Q196" i="269" s="1"/>
  <c r="AG196" i="269" s="1"/>
  <c r="H194" i="301" s="1"/>
  <c r="I194" i="301" s="1"/>
  <c r="L194" i="301" s="1"/>
  <c r="BK187" i="312"/>
  <c r="X467" i="269"/>
  <c r="Y467" i="269" s="1"/>
  <c r="BO462" i="312"/>
  <c r="P467" i="269" s="1"/>
  <c r="Q467" i="269" s="1"/>
  <c r="AG467" i="269" s="1"/>
  <c r="H465" i="301" s="1"/>
  <c r="I465" i="301" s="1"/>
  <c r="L465" i="301" s="1"/>
  <c r="N465" i="301" s="1"/>
  <c r="O465" i="301" s="1"/>
  <c r="X251" i="269"/>
  <c r="Y251" i="269" s="1"/>
  <c r="BO242" i="312"/>
  <c r="P63" i="269"/>
  <c r="Q63" i="269" s="1"/>
  <c r="AG63" i="269" s="1"/>
  <c r="H61" i="301" s="1"/>
  <c r="I61" i="301" s="1"/>
  <c r="L61" i="301" s="1"/>
  <c r="BK53" i="312"/>
  <c r="BK346" i="312"/>
  <c r="P353" i="269"/>
  <c r="Q353" i="269" s="1"/>
  <c r="AG353" i="269" s="1"/>
  <c r="H351" i="301" s="1"/>
  <c r="I351" i="301" s="1"/>
  <c r="L351" i="301" s="1"/>
  <c r="BK282" i="312"/>
  <c r="P291" i="269"/>
  <c r="Q291" i="269" s="1"/>
  <c r="AG291" i="269" s="1"/>
  <c r="H289" i="301" s="1"/>
  <c r="I289" i="301" s="1"/>
  <c r="L289" i="301" s="1"/>
  <c r="P403" i="301"/>
  <c r="R403" i="301" s="1"/>
  <c r="BK320" i="312"/>
  <c r="P327" i="269"/>
  <c r="Q327" i="269" s="1"/>
  <c r="AG327" i="269" s="1"/>
  <c r="H325" i="301" s="1"/>
  <c r="I325" i="301" s="1"/>
  <c r="L325" i="301" s="1"/>
  <c r="AG464" i="269"/>
  <c r="H462" i="301" s="1"/>
  <c r="I462" i="301" s="1"/>
  <c r="L462" i="301" s="1"/>
  <c r="N462" i="301" s="1"/>
  <c r="O462" i="301" s="1"/>
  <c r="P188" i="301"/>
  <c r="R188" i="301" s="1"/>
  <c r="X27" i="269"/>
  <c r="Y27" i="269" s="1"/>
  <c r="BO17" i="312"/>
  <c r="P395" i="301"/>
  <c r="R395" i="301" s="1"/>
  <c r="P190" i="301"/>
  <c r="R190" i="301" s="1"/>
  <c r="P388" i="301"/>
  <c r="R388" i="301" s="1"/>
  <c r="AG400" i="269"/>
  <c r="H398" i="301" s="1"/>
  <c r="I398" i="301" s="1"/>
  <c r="L398" i="301" s="1"/>
  <c r="N398" i="301" s="1"/>
  <c r="CI498" i="312"/>
  <c r="O48" i="301"/>
  <c r="P48" i="301" s="1"/>
  <c r="R48" i="301" s="1"/>
  <c r="AG468" i="269"/>
  <c r="H466" i="301" s="1"/>
  <c r="I466" i="301" s="1"/>
  <c r="L466" i="301" s="1"/>
  <c r="N85" i="301"/>
  <c r="O85" i="301" s="1"/>
  <c r="P85" i="301" s="1"/>
  <c r="R85" i="301" s="1"/>
  <c r="BT497" i="312"/>
  <c r="CF399" i="312"/>
  <c r="CJ498" i="312"/>
  <c r="AG438" i="269"/>
  <c r="H436" i="301" s="1"/>
  <c r="I436" i="301" s="1"/>
  <c r="L436" i="301" s="1"/>
  <c r="AO500" i="318"/>
  <c r="AO501" i="318" s="1"/>
  <c r="AG441" i="269"/>
  <c r="H439" i="301" s="1"/>
  <c r="I439" i="301" s="1"/>
  <c r="L439" i="301" s="1"/>
  <c r="AG48" i="269"/>
  <c r="H46" i="301" s="1"/>
  <c r="I46" i="301" s="1"/>
  <c r="L46" i="301" s="1"/>
  <c r="O234" i="301"/>
  <c r="P234" i="301" s="1"/>
  <c r="R234" i="301" s="1"/>
  <c r="P315" i="269"/>
  <c r="Q315" i="269" s="1"/>
  <c r="AG315" i="269" s="1"/>
  <c r="H313" i="301" s="1"/>
  <c r="I313" i="301" s="1"/>
  <c r="L313" i="301" s="1"/>
  <c r="BK306" i="312"/>
  <c r="P339" i="269"/>
  <c r="Q339" i="269" s="1"/>
  <c r="AG339" i="269" s="1"/>
  <c r="H337" i="301" s="1"/>
  <c r="I337" i="301" s="1"/>
  <c r="L337" i="301" s="1"/>
  <c r="BK332" i="312"/>
  <c r="P237" i="269"/>
  <c r="Q237" i="269" s="1"/>
  <c r="AG237" i="269" s="1"/>
  <c r="H235" i="301" s="1"/>
  <c r="I235" i="301" s="1"/>
  <c r="L235" i="301" s="1"/>
  <c r="BK228" i="312"/>
  <c r="BO229" i="312"/>
  <c r="X238" i="269"/>
  <c r="Y238" i="269" s="1"/>
  <c r="BO315" i="312"/>
  <c r="X322" i="269"/>
  <c r="Y322" i="269" s="1"/>
  <c r="X195" i="269"/>
  <c r="Y195" i="269" s="1"/>
  <c r="BO186" i="312"/>
  <c r="BO392" i="312"/>
  <c r="P399" i="269" s="1"/>
  <c r="Q399" i="269" s="1"/>
  <c r="AG399" i="269" s="1"/>
  <c r="H397" i="301" s="1"/>
  <c r="I397" i="301" s="1"/>
  <c r="L397" i="301" s="1"/>
  <c r="X399" i="269"/>
  <c r="Y399" i="269" s="1"/>
  <c r="BO224" i="312"/>
  <c r="X233" i="269"/>
  <c r="Y233" i="269" s="1"/>
  <c r="P352" i="301"/>
  <c r="R352" i="301" s="1"/>
  <c r="BK302" i="312"/>
  <c r="P311" i="269"/>
  <c r="Q311" i="269" s="1"/>
  <c r="AG311" i="269" s="1"/>
  <c r="H309" i="301" s="1"/>
  <c r="I309" i="301" s="1"/>
  <c r="L309" i="301" s="1"/>
  <c r="BK329" i="312"/>
  <c r="P336" i="269"/>
  <c r="Q336" i="269" s="1"/>
  <c r="AG336" i="269" s="1"/>
  <c r="H334" i="301" s="1"/>
  <c r="I334" i="301" s="1"/>
  <c r="L334" i="301" s="1"/>
  <c r="N334" i="301" s="1"/>
  <c r="O334" i="301" s="1"/>
  <c r="P193" i="269"/>
  <c r="Q193" i="269" s="1"/>
  <c r="AG193" i="269" s="1"/>
  <c r="H191" i="301" s="1"/>
  <c r="I191" i="301" s="1"/>
  <c r="L191" i="301" s="1"/>
  <c r="BK184" i="312"/>
  <c r="BK239" i="312"/>
  <c r="P248" i="269"/>
  <c r="Q248" i="269" s="1"/>
  <c r="AG248" i="269" s="1"/>
  <c r="H246" i="301" s="1"/>
  <c r="I246" i="301" s="1"/>
  <c r="L246" i="301" s="1"/>
  <c r="N246" i="301" s="1"/>
  <c r="O246" i="301" s="1"/>
  <c r="BK356" i="312"/>
  <c r="P363" i="269"/>
  <c r="Q363" i="269" s="1"/>
  <c r="AG363" i="269" s="1"/>
  <c r="H361" i="301" s="1"/>
  <c r="I361" i="301" s="1"/>
  <c r="L361" i="301" s="1"/>
  <c r="BO30" i="312"/>
  <c r="X40" i="269"/>
  <c r="Y40" i="269" s="1"/>
  <c r="N307" i="301"/>
  <c r="O307" i="301" s="1"/>
  <c r="BK71" i="312"/>
  <c r="P81" i="269"/>
  <c r="Q81" i="269" s="1"/>
  <c r="AG81" i="269" s="1"/>
  <c r="H79" i="301" s="1"/>
  <c r="I79" i="301" s="1"/>
  <c r="L79" i="301" s="1"/>
  <c r="P214" i="269"/>
  <c r="Q214" i="269" s="1"/>
  <c r="AG214" i="269" s="1"/>
  <c r="H212" i="301" s="1"/>
  <c r="I212" i="301" s="1"/>
  <c r="L212" i="301" s="1"/>
  <c r="BK205" i="312"/>
  <c r="BK284" i="312"/>
  <c r="P293" i="269"/>
  <c r="Q293" i="269" s="1"/>
  <c r="AG293" i="269" s="1"/>
  <c r="H291" i="301" s="1"/>
  <c r="I291" i="301" s="1"/>
  <c r="L291" i="301" s="1"/>
  <c r="O459" i="301"/>
  <c r="N459" i="301"/>
  <c r="N424" i="301"/>
  <c r="O424" i="301" s="1"/>
  <c r="BK270" i="312"/>
  <c r="P279" i="269"/>
  <c r="Q279" i="269" s="1"/>
  <c r="AG279" i="269" s="1"/>
  <c r="H277" i="301" s="1"/>
  <c r="I277" i="301" s="1"/>
  <c r="L277" i="301" s="1"/>
  <c r="P35" i="269"/>
  <c r="Q35" i="269" s="1"/>
  <c r="AG35" i="269" s="1"/>
  <c r="H33" i="301" s="1"/>
  <c r="I33" i="301" s="1"/>
  <c r="L33" i="301" s="1"/>
  <c r="BK25" i="312"/>
  <c r="P153" i="269"/>
  <c r="Q153" i="269" s="1"/>
  <c r="AG153" i="269" s="1"/>
  <c r="H151" i="301" s="1"/>
  <c r="I151" i="301" s="1"/>
  <c r="L151" i="301" s="1"/>
  <c r="BK143" i="312"/>
  <c r="P326" i="269"/>
  <c r="Q326" i="269" s="1"/>
  <c r="AG326" i="269" s="1"/>
  <c r="H324" i="301" s="1"/>
  <c r="I324" i="301" s="1"/>
  <c r="L324" i="301" s="1"/>
  <c r="BK319" i="312"/>
  <c r="BK232" i="312"/>
  <c r="P241" i="269"/>
  <c r="Q241" i="269" s="1"/>
  <c r="AG241" i="269" s="1"/>
  <c r="H239" i="301" s="1"/>
  <c r="I239" i="301" s="1"/>
  <c r="L239" i="301" s="1"/>
  <c r="AG341" i="269"/>
  <c r="H339" i="301" s="1"/>
  <c r="I339" i="301" s="1"/>
  <c r="L339" i="301" s="1"/>
  <c r="N385" i="301"/>
  <c r="N449" i="301"/>
  <c r="O449" i="301" s="1"/>
  <c r="N502" i="269"/>
  <c r="BK212" i="312"/>
  <c r="P221" i="269"/>
  <c r="Q221" i="269" s="1"/>
  <c r="AG221" i="269" s="1"/>
  <c r="H219" i="301" s="1"/>
  <c r="I219" i="301" s="1"/>
  <c r="L219" i="301" s="1"/>
  <c r="BK111" i="312"/>
  <c r="P121" i="269"/>
  <c r="Q121" i="269" s="1"/>
  <c r="AG121" i="269" s="1"/>
  <c r="H119" i="301" s="1"/>
  <c r="I119" i="301" s="1"/>
  <c r="L119" i="301" s="1"/>
  <c r="P171" i="269"/>
  <c r="Q171" i="269" s="1"/>
  <c r="AG171" i="269" s="1"/>
  <c r="H169" i="301" s="1"/>
  <c r="I169" i="301" s="1"/>
  <c r="L169" i="301" s="1"/>
  <c r="BK161" i="312"/>
  <c r="AG413" i="269"/>
  <c r="H411" i="301" s="1"/>
  <c r="I411" i="301" s="1"/>
  <c r="L411" i="301" s="1"/>
  <c r="BK175" i="312"/>
  <c r="P184" i="269"/>
  <c r="Q184" i="269" s="1"/>
  <c r="AG184" i="269" s="1"/>
  <c r="H182" i="301" s="1"/>
  <c r="I182" i="301" s="1"/>
  <c r="L182" i="301" s="1"/>
  <c r="P338" i="301"/>
  <c r="R338" i="301" s="1"/>
  <c r="P492" i="301"/>
  <c r="R492" i="301" s="1"/>
  <c r="BK129" i="312"/>
  <c r="P139" i="269"/>
  <c r="Q139" i="269" s="1"/>
  <c r="AG139" i="269" s="1"/>
  <c r="H137" i="301" s="1"/>
  <c r="I137" i="301" s="1"/>
  <c r="L137" i="301" s="1"/>
  <c r="P98" i="269"/>
  <c r="Q98" i="269" s="1"/>
  <c r="AG98" i="269" s="1"/>
  <c r="H96" i="301" s="1"/>
  <c r="I96" i="301" s="1"/>
  <c r="L96" i="301" s="1"/>
  <c r="BK88" i="312"/>
  <c r="N441" i="301"/>
  <c r="O441" i="301"/>
  <c r="AM6" i="318"/>
  <c r="AM501" i="318"/>
  <c r="AM510" i="318" s="1"/>
  <c r="AM511" i="318" s="1"/>
  <c r="P201" i="269"/>
  <c r="Q201" i="269" s="1"/>
  <c r="AG201" i="269" s="1"/>
  <c r="H199" i="301" s="1"/>
  <c r="I199" i="301" s="1"/>
  <c r="L199" i="301" s="1"/>
  <c r="BK192" i="312"/>
  <c r="P463" i="301"/>
  <c r="R463" i="301" s="1"/>
  <c r="P149" i="301"/>
  <c r="R149" i="301" s="1"/>
  <c r="N429" i="301"/>
  <c r="BK307" i="312"/>
  <c r="P316" i="269"/>
  <c r="Q316" i="269" s="1"/>
  <c r="AG316" i="269" s="1"/>
  <c r="H314" i="301" s="1"/>
  <c r="I314" i="301" s="1"/>
  <c r="L314" i="301" s="1"/>
  <c r="P28" i="269"/>
  <c r="Q28" i="269" s="1"/>
  <c r="AG28" i="269" s="1"/>
  <c r="H26" i="301" s="1"/>
  <c r="I26" i="301" s="1"/>
  <c r="L26" i="301" s="1"/>
  <c r="BK18" i="312"/>
  <c r="N373" i="301"/>
  <c r="O27" i="301"/>
  <c r="P27" i="301" s="1"/>
  <c r="R27" i="301" s="1"/>
  <c r="BK317" i="312"/>
  <c r="P324" i="269"/>
  <c r="Q324" i="269" s="1"/>
  <c r="AG324" i="269" s="1"/>
  <c r="H322" i="301" s="1"/>
  <c r="I322" i="301" s="1"/>
  <c r="L322" i="301" s="1"/>
  <c r="BK35" i="312"/>
  <c r="P45" i="269"/>
  <c r="Q45" i="269" s="1"/>
  <c r="AG45" i="269" s="1"/>
  <c r="H43" i="301" s="1"/>
  <c r="I43" i="301" s="1"/>
  <c r="L43" i="301" s="1"/>
  <c r="P147" i="269"/>
  <c r="Q147" i="269" s="1"/>
  <c r="AG147" i="269" s="1"/>
  <c r="H145" i="301" s="1"/>
  <c r="I145" i="301" s="1"/>
  <c r="L145" i="301" s="1"/>
  <c r="BK137" i="312"/>
  <c r="P245" i="269"/>
  <c r="Q245" i="269" s="1"/>
  <c r="AG245" i="269" s="1"/>
  <c r="H243" i="301" s="1"/>
  <c r="I243" i="301" s="1"/>
  <c r="L243" i="301" s="1"/>
  <c r="BK236" i="312"/>
  <c r="P498" i="301"/>
  <c r="R498" i="301" s="1"/>
  <c r="AP500" i="318"/>
  <c r="AP501" i="318" s="1"/>
  <c r="P32" i="301"/>
  <c r="R32" i="301" s="1"/>
  <c r="O39" i="326"/>
  <c r="P39" i="326" s="1"/>
  <c r="P44" i="301"/>
  <c r="R44" i="301" s="1"/>
  <c r="J30" i="269"/>
  <c r="AV8" i="318"/>
  <c r="AV500" i="318" s="1"/>
  <c r="AV501" i="318" s="1"/>
  <c r="BK84" i="312"/>
  <c r="P94" i="269"/>
  <c r="Q94" i="269" s="1"/>
  <c r="AG94" i="269" s="1"/>
  <c r="H92" i="301" s="1"/>
  <c r="I92" i="301" s="1"/>
  <c r="L92" i="301" s="1"/>
  <c r="AG58" i="269"/>
  <c r="H56" i="301" s="1"/>
  <c r="I56" i="301" s="1"/>
  <c r="L56" i="301" s="1"/>
  <c r="BO156" i="312"/>
  <c r="X166" i="269"/>
  <c r="Y166" i="269" s="1"/>
  <c r="P442" i="301"/>
  <c r="R442" i="301" s="1"/>
  <c r="BK362" i="312"/>
  <c r="P369" i="269"/>
  <c r="Q369" i="269" s="1"/>
  <c r="AG369" i="269" s="1"/>
  <c r="H367" i="301" s="1"/>
  <c r="I367" i="301" s="1"/>
  <c r="L367" i="301" s="1"/>
  <c r="BK55" i="312"/>
  <c r="P65" i="269"/>
  <c r="Q65" i="269" s="1"/>
  <c r="AG65" i="269" s="1"/>
  <c r="H63" i="301" s="1"/>
  <c r="I63" i="301" s="1"/>
  <c r="L63" i="301" s="1"/>
  <c r="AG474" i="269"/>
  <c r="H472" i="301" s="1"/>
  <c r="I472" i="301" s="1"/>
  <c r="L472" i="301" s="1"/>
  <c r="P284" i="301"/>
  <c r="R284" i="301" s="1"/>
  <c r="AM517" i="318"/>
  <c r="P72" i="301"/>
  <c r="R72" i="301" s="1"/>
  <c r="BK283" i="312"/>
  <c r="P292" i="269"/>
  <c r="Q292" i="269" s="1"/>
  <c r="AG292" i="269" s="1"/>
  <c r="H290" i="301" s="1"/>
  <c r="I290" i="301" s="1"/>
  <c r="L290" i="301" s="1"/>
  <c r="P226" i="301"/>
  <c r="R226" i="301" s="1"/>
  <c r="N58" i="301"/>
  <c r="O58" i="301"/>
  <c r="P478" i="301"/>
  <c r="R478" i="301" s="1"/>
  <c r="P311" i="301"/>
  <c r="R311" i="301" s="1"/>
  <c r="P434" i="301"/>
  <c r="R434" i="301" s="1"/>
  <c r="AG457" i="269"/>
  <c r="H455" i="301" s="1"/>
  <c r="I455" i="301" s="1"/>
  <c r="L455" i="301" s="1"/>
  <c r="BK69" i="312"/>
  <c r="P79" i="269"/>
  <c r="Q79" i="269" s="1"/>
  <c r="AG79" i="269" s="1"/>
  <c r="H77" i="301" s="1"/>
  <c r="I77" i="301" s="1"/>
  <c r="L77" i="301" s="1"/>
  <c r="Y21" i="269"/>
  <c r="N287" i="301"/>
  <c r="O287" i="301"/>
  <c r="P431" i="301"/>
  <c r="R431" i="301" s="1"/>
  <c r="P97" i="301"/>
  <c r="R97" i="301" s="1"/>
  <c r="P112" i="301"/>
  <c r="R112" i="301" s="1"/>
  <c r="P107" i="269"/>
  <c r="Q107" i="269" s="1"/>
  <c r="AG107" i="269" s="1"/>
  <c r="H105" i="301" s="1"/>
  <c r="I105" i="301" s="1"/>
  <c r="L105" i="301" s="1"/>
  <c r="BK97" i="312"/>
  <c r="N62" i="301"/>
  <c r="O62" i="301" s="1"/>
  <c r="P187" i="301"/>
  <c r="R187" i="301" s="1"/>
  <c r="P206" i="301"/>
  <c r="R206" i="301" s="1"/>
  <c r="BO165" i="312"/>
  <c r="X175" i="269"/>
  <c r="Y175" i="269" s="1"/>
  <c r="N43" i="326"/>
  <c r="O43" i="326" s="1"/>
  <c r="P43" i="326" s="1"/>
  <c r="O25" i="326"/>
  <c r="P25" i="326" s="1"/>
  <c r="N490" i="301"/>
  <c r="O490" i="301"/>
  <c r="BK145" i="312"/>
  <c r="P155" i="269"/>
  <c r="Q155" i="269" s="1"/>
  <c r="AG155" i="269" s="1"/>
  <c r="H153" i="301" s="1"/>
  <c r="I153" i="301" s="1"/>
  <c r="L153" i="301" s="1"/>
  <c r="BO396" i="312"/>
  <c r="P403" i="269" s="1"/>
  <c r="Q403" i="269" s="1"/>
  <c r="X403" i="269"/>
  <c r="Y403" i="269" s="1"/>
  <c r="O267" i="301"/>
  <c r="N267" i="301"/>
  <c r="N46" i="301"/>
  <c r="O46" i="301"/>
  <c r="N39" i="301"/>
  <c r="O39" i="301" s="1"/>
  <c r="BK252" i="312"/>
  <c r="P261" i="269"/>
  <c r="Q261" i="269" s="1"/>
  <c r="AG261" i="269" s="1"/>
  <c r="H259" i="301" s="1"/>
  <c r="I259" i="301" s="1"/>
  <c r="L259" i="301" s="1"/>
  <c r="P380" i="269"/>
  <c r="Q380" i="269" s="1"/>
  <c r="AG380" i="269" s="1"/>
  <c r="H378" i="301" s="1"/>
  <c r="I378" i="301" s="1"/>
  <c r="L378" i="301" s="1"/>
  <c r="BK373" i="312"/>
  <c r="P462" i="301"/>
  <c r="R462" i="301" s="1"/>
  <c r="P242" i="269"/>
  <c r="Q242" i="269" s="1"/>
  <c r="AG242" i="269" s="1"/>
  <c r="H240" i="301" s="1"/>
  <c r="I240" i="301" s="1"/>
  <c r="L240" i="301" s="1"/>
  <c r="BK233" i="312"/>
  <c r="P469" i="301"/>
  <c r="R469" i="301" s="1"/>
  <c r="P402" i="301"/>
  <c r="R402" i="301" s="1"/>
  <c r="N436" i="301"/>
  <c r="O436" i="301" s="1"/>
  <c r="BK131" i="312"/>
  <c r="P141" i="269"/>
  <c r="Q141" i="269" s="1"/>
  <c r="AG141" i="269" s="1"/>
  <c r="H139" i="301" s="1"/>
  <c r="I139" i="301" s="1"/>
  <c r="L139" i="301" s="1"/>
  <c r="BK140" i="312"/>
  <c r="P150" i="269"/>
  <c r="Q150" i="269" s="1"/>
  <c r="AG150" i="269" s="1"/>
  <c r="H148" i="301" s="1"/>
  <c r="I148" i="301" s="1"/>
  <c r="L148" i="301" s="1"/>
  <c r="P272" i="269"/>
  <c r="Q272" i="269" s="1"/>
  <c r="AG272" i="269" s="1"/>
  <c r="H270" i="301" s="1"/>
  <c r="I270" i="301" s="1"/>
  <c r="L270" i="301" s="1"/>
  <c r="BK263" i="312"/>
  <c r="BK322" i="312"/>
  <c r="P329" i="269"/>
  <c r="Q329" i="269" s="1"/>
  <c r="AG329" i="269" s="1"/>
  <c r="H327" i="301" s="1"/>
  <c r="I327" i="301" s="1"/>
  <c r="L327" i="301" s="1"/>
  <c r="N480" i="301"/>
  <c r="O480" i="301" s="1"/>
  <c r="P284" i="269"/>
  <c r="Q284" i="269" s="1"/>
  <c r="AG284" i="269" s="1"/>
  <c r="H282" i="301" s="1"/>
  <c r="I282" i="301" s="1"/>
  <c r="L282" i="301" s="1"/>
  <c r="BK275" i="312"/>
  <c r="CK498" i="312"/>
  <c r="P485" i="301"/>
  <c r="R485" i="301" s="1"/>
  <c r="BK195" i="312"/>
  <c r="P204" i="269"/>
  <c r="Q204" i="269" s="1"/>
  <c r="AG204" i="269" s="1"/>
  <c r="H202" i="301" s="1"/>
  <c r="I202" i="301" s="1"/>
  <c r="L202" i="301" s="1"/>
  <c r="N81" i="301"/>
  <c r="O81" i="301"/>
  <c r="P127" i="301"/>
  <c r="R127" i="301" s="1"/>
  <c r="BT399" i="312"/>
  <c r="BK200" i="312"/>
  <c r="P209" i="269"/>
  <c r="Q209" i="269" s="1"/>
  <c r="AG209" i="269" s="1"/>
  <c r="H207" i="301" s="1"/>
  <c r="I207" i="301" s="1"/>
  <c r="L207" i="301" s="1"/>
  <c r="P223" i="269"/>
  <c r="Q223" i="269" s="1"/>
  <c r="AG223" i="269" s="1"/>
  <c r="H221" i="301" s="1"/>
  <c r="I221" i="301" s="1"/>
  <c r="L221" i="301" s="1"/>
  <c r="BK214" i="312"/>
  <c r="BK22" i="312"/>
  <c r="P32" i="269"/>
  <c r="Q32" i="269" s="1"/>
  <c r="AG32" i="269" s="1"/>
  <c r="H30" i="301" s="1"/>
  <c r="I30" i="301" s="1"/>
  <c r="L30" i="301" s="1"/>
  <c r="P446" i="301"/>
  <c r="R446" i="301" s="1"/>
  <c r="BK351" i="312"/>
  <c r="P358" i="269"/>
  <c r="Q358" i="269" s="1"/>
  <c r="AG358" i="269" s="1"/>
  <c r="H356" i="301" s="1"/>
  <c r="I356" i="301" s="1"/>
  <c r="L356" i="301" s="1"/>
  <c r="O438" i="301"/>
  <c r="P438" i="301" s="1"/>
  <c r="R438" i="301" s="1"/>
  <c r="N276" i="301"/>
  <c r="O276" i="301"/>
  <c r="G373" i="269"/>
  <c r="F512" i="269"/>
  <c r="N406" i="301"/>
  <c r="X296" i="269"/>
  <c r="Y296" i="269" s="1"/>
  <c r="BO287" i="312"/>
  <c r="P40" i="301"/>
  <c r="R40" i="301" s="1"/>
  <c r="O37" i="326"/>
  <c r="P37" i="326" s="1"/>
  <c r="O28" i="326"/>
  <c r="P28" i="326" s="1"/>
  <c r="N38" i="326"/>
  <c r="O38" i="326" s="1"/>
  <c r="P38" i="326" s="1"/>
  <c r="O18" i="326"/>
  <c r="P18" i="326" s="1"/>
  <c r="O42" i="326"/>
  <c r="P42" i="326" s="1"/>
  <c r="O21" i="326"/>
  <c r="P21" i="326" s="1"/>
  <c r="O42" i="301"/>
  <c r="P42" i="301" s="1"/>
  <c r="R42" i="301" s="1"/>
  <c r="N400" i="301"/>
  <c r="O400" i="301" s="1"/>
  <c r="BK74" i="312"/>
  <c r="P84" i="269"/>
  <c r="Q84" i="269" s="1"/>
  <c r="AG84" i="269" s="1"/>
  <c r="H82" i="301" s="1"/>
  <c r="I82" i="301" s="1"/>
  <c r="L82" i="301" s="1"/>
  <c r="BK83" i="312"/>
  <c r="P93" i="269"/>
  <c r="Q93" i="269" s="1"/>
  <c r="AG93" i="269" s="1"/>
  <c r="H91" i="301" s="1"/>
  <c r="I91" i="301" s="1"/>
  <c r="L91" i="301" s="1"/>
  <c r="P412" i="269"/>
  <c r="Q412" i="269" s="1"/>
  <c r="AG412" i="269" s="1"/>
  <c r="H410" i="301" s="1"/>
  <c r="I410" i="301" s="1"/>
  <c r="L410" i="301" s="1"/>
  <c r="BO497" i="312"/>
  <c r="AN517" i="318"/>
  <c r="P359" i="301"/>
  <c r="R359" i="301" s="1"/>
  <c r="N439" i="301"/>
  <c r="O439" i="301" s="1"/>
  <c r="P171" i="301"/>
  <c r="R171" i="301" s="1"/>
  <c r="O27" i="326"/>
  <c r="P27" i="326" s="1"/>
  <c r="N24" i="326"/>
  <c r="O24" i="326" s="1"/>
  <c r="P24" i="326" s="1"/>
  <c r="O106" i="301"/>
  <c r="P106" i="301" s="1"/>
  <c r="R106" i="301" s="1"/>
  <c r="N477" i="301"/>
  <c r="O477" i="301" s="1"/>
  <c r="BK134" i="312"/>
  <c r="P144" i="269"/>
  <c r="Q144" i="269" s="1"/>
  <c r="BK11" i="312"/>
  <c r="P21" i="269"/>
  <c r="N428" i="301"/>
  <c r="O428" i="301" s="1"/>
  <c r="N211" i="301"/>
  <c r="O211" i="301" s="1"/>
  <c r="P493" i="301"/>
  <c r="R493" i="301" s="1"/>
  <c r="F502" i="269"/>
  <c r="O16" i="326"/>
  <c r="P16" i="326" s="1"/>
  <c r="BK109" i="312"/>
  <c r="P119" i="269"/>
  <c r="Q119" i="269" s="1"/>
  <c r="AG119" i="269" s="1"/>
  <c r="H117" i="301" s="1"/>
  <c r="I117" i="301" s="1"/>
  <c r="L117" i="301" s="1"/>
  <c r="P405" i="301"/>
  <c r="R405" i="301" s="1"/>
  <c r="BK15" i="312"/>
  <c r="P25" i="269"/>
  <c r="Q25" i="269" s="1"/>
  <c r="AG25" i="269" s="1"/>
  <c r="H23" i="301" s="1"/>
  <c r="I23" i="301" s="1"/>
  <c r="L23" i="301" s="1"/>
  <c r="BK120" i="312"/>
  <c r="P130" i="269"/>
  <c r="Q130" i="269" s="1"/>
  <c r="AG130" i="269" s="1"/>
  <c r="H128" i="301" s="1"/>
  <c r="I128" i="301" s="1"/>
  <c r="L128" i="301" s="1"/>
  <c r="P465" i="301"/>
  <c r="R465" i="301" s="1"/>
  <c r="P107" i="301"/>
  <c r="R107" i="301" s="1"/>
  <c r="O34" i="301"/>
  <c r="P34" i="301" s="1"/>
  <c r="R34" i="301" s="1"/>
  <c r="O29" i="326"/>
  <c r="P29" i="326" s="1"/>
  <c r="O26" i="326"/>
  <c r="P26" i="326" s="1"/>
  <c r="P268" i="301"/>
  <c r="R268" i="301" s="1"/>
  <c r="P185" i="301"/>
  <c r="R185" i="301" s="1"/>
  <c r="BK262" i="312"/>
  <c r="P271" i="269"/>
  <c r="Q271" i="269" s="1"/>
  <c r="AG271" i="269" s="1"/>
  <c r="H269" i="301" s="1"/>
  <c r="I269" i="301" s="1"/>
  <c r="L269" i="301" s="1"/>
  <c r="BK328" i="312"/>
  <c r="P335" i="269"/>
  <c r="Q335" i="269" s="1"/>
  <c r="AG335" i="269" s="1"/>
  <c r="H333" i="301" s="1"/>
  <c r="I333" i="301" s="1"/>
  <c r="L333" i="301" s="1"/>
  <c r="P73" i="269"/>
  <c r="Q73" i="269" s="1"/>
  <c r="AG73" i="269" s="1"/>
  <c r="H71" i="301" s="1"/>
  <c r="I71" i="301" s="1"/>
  <c r="L71" i="301" s="1"/>
  <c r="BK63" i="312"/>
  <c r="P66" i="301"/>
  <c r="R66" i="301" s="1"/>
  <c r="P59" i="301"/>
  <c r="R59" i="301" s="1"/>
  <c r="N466" i="301"/>
  <c r="O466" i="301"/>
  <c r="P408" i="301"/>
  <c r="R408" i="301" s="1"/>
  <c r="BO237" i="312"/>
  <c r="X246" i="269"/>
  <c r="Y246" i="269" s="1"/>
  <c r="P264" i="301"/>
  <c r="R264" i="301" s="1"/>
  <c r="BO248" i="312"/>
  <c r="X257" i="269"/>
  <c r="Y257" i="269" s="1"/>
  <c r="P347" i="269"/>
  <c r="Q347" i="269" s="1"/>
  <c r="AG347" i="269" s="1"/>
  <c r="H345" i="301" s="1"/>
  <c r="I345" i="301" s="1"/>
  <c r="L345" i="301" s="1"/>
  <c r="BK340" i="312"/>
  <c r="BK48" i="312"/>
  <c r="P58" i="269"/>
  <c r="Q58" i="269" s="1"/>
  <c r="P163" i="301"/>
  <c r="R163" i="301" s="1"/>
  <c r="N355" i="301"/>
  <c r="X217" i="269"/>
  <c r="Y217" i="269" s="1"/>
  <c r="BO208" i="312"/>
  <c r="BK217" i="312"/>
  <c r="P226" i="269"/>
  <c r="Q226" i="269" s="1"/>
  <c r="AG226" i="269" s="1"/>
  <c r="H224" i="301" s="1"/>
  <c r="I224" i="301" s="1"/>
  <c r="L224" i="301" s="1"/>
  <c r="BK381" i="312"/>
  <c r="P388" i="269"/>
  <c r="Q388" i="269" s="1"/>
  <c r="AG388" i="269" s="1"/>
  <c r="H386" i="301" s="1"/>
  <c r="I386" i="301" s="1"/>
  <c r="L386" i="301" s="1"/>
  <c r="O19" i="326"/>
  <c r="P19" i="326" s="1"/>
  <c r="BK264" i="312"/>
  <c r="P273" i="269"/>
  <c r="Q273" i="269" s="1"/>
  <c r="AG273" i="269" s="1"/>
  <c r="H271" i="301" s="1"/>
  <c r="I271" i="301" s="1"/>
  <c r="L271" i="301" s="1"/>
  <c r="P229" i="301"/>
  <c r="R229" i="301" s="1"/>
  <c r="BT313" i="312"/>
  <c r="BT498" i="312" s="1"/>
  <c r="BT3" i="312" s="1"/>
  <c r="O464" i="301"/>
  <c r="P464" i="301" s="1"/>
  <c r="R464" i="301" s="1"/>
  <c r="BK201" i="312"/>
  <c r="P210" i="269"/>
  <c r="Q210" i="269" s="1"/>
  <c r="AG210" i="269" s="1"/>
  <c r="H208" i="301" s="1"/>
  <c r="I208" i="301" s="1"/>
  <c r="L208" i="301" s="1"/>
  <c r="O354" i="301"/>
  <c r="P354" i="301" s="1"/>
  <c r="R354" i="301" s="1"/>
  <c r="P159" i="269"/>
  <c r="Q159" i="269" s="1"/>
  <c r="AG159" i="269" s="1"/>
  <c r="H157" i="301" s="1"/>
  <c r="I157" i="301" s="1"/>
  <c r="L157" i="301" s="1"/>
  <c r="BK149" i="312"/>
  <c r="P65" i="301"/>
  <c r="R65" i="301" s="1"/>
  <c r="P154" i="269"/>
  <c r="Q154" i="269" s="1"/>
  <c r="AG154" i="269" s="1"/>
  <c r="H152" i="301" s="1"/>
  <c r="I152" i="301" s="1"/>
  <c r="L152" i="301" s="1"/>
  <c r="BK144" i="312"/>
  <c r="N24" i="301"/>
  <c r="O24" i="301"/>
  <c r="BK177" i="312"/>
  <c r="P186" i="269"/>
  <c r="Q186" i="269" s="1"/>
  <c r="N273" i="301"/>
  <c r="O273" i="301" s="1"/>
  <c r="O358" i="301"/>
  <c r="P358" i="301" s="1"/>
  <c r="R358" i="301" s="1"/>
  <c r="O20" i="326"/>
  <c r="P20" i="326" s="1"/>
  <c r="O297" i="301"/>
  <c r="P297" i="301" s="1"/>
  <c r="R297" i="301" s="1"/>
  <c r="P420" i="301"/>
  <c r="R420" i="301" s="1"/>
  <c r="P276" i="269"/>
  <c r="Q276" i="269" s="1"/>
  <c r="AG276" i="269" s="1"/>
  <c r="H274" i="301" s="1"/>
  <c r="I274" i="301" s="1"/>
  <c r="L274" i="301" s="1"/>
  <c r="BK267" i="312"/>
  <c r="O147" i="301"/>
  <c r="P147" i="301" s="1"/>
  <c r="R147" i="301" s="1"/>
  <c r="O29" i="301"/>
  <c r="P29" i="301" s="1"/>
  <c r="R29" i="301" s="1"/>
  <c r="BK221" i="312"/>
  <c r="P230" i="269"/>
  <c r="Q230" i="269" s="1"/>
  <c r="AG230" i="269" s="1"/>
  <c r="H228" i="301" s="1"/>
  <c r="I228" i="301" s="1"/>
  <c r="L228" i="301" s="1"/>
  <c r="P174" i="269"/>
  <c r="Q174" i="269" s="1"/>
  <c r="AG174" i="269" s="1"/>
  <c r="H172" i="301" s="1"/>
  <c r="I172" i="301" s="1"/>
  <c r="L172" i="301" s="1"/>
  <c r="BK164" i="312"/>
  <c r="BK114" i="312"/>
  <c r="P124" i="269"/>
  <c r="Q124" i="269" s="1"/>
  <c r="AG124" i="269" s="1"/>
  <c r="H122" i="301" s="1"/>
  <c r="I122" i="301" s="1"/>
  <c r="L122" i="301" s="1"/>
  <c r="O457" i="301"/>
  <c r="P457" i="301" s="1"/>
  <c r="R457" i="301" s="1"/>
  <c r="AG415" i="269"/>
  <c r="H413" i="301" s="1"/>
  <c r="I413" i="301" s="1"/>
  <c r="L413" i="301" s="1"/>
  <c r="P345" i="269"/>
  <c r="Q345" i="269" s="1"/>
  <c r="AG345" i="269" s="1"/>
  <c r="H343" i="301" s="1"/>
  <c r="I343" i="301" s="1"/>
  <c r="L343" i="301" s="1"/>
  <c r="BK338" i="312"/>
  <c r="P471" i="301"/>
  <c r="R471" i="301" s="1"/>
  <c r="N435" i="301"/>
  <c r="O435" i="301"/>
  <c r="O252" i="301"/>
  <c r="N252" i="301"/>
  <c r="F14" i="270"/>
  <c r="F24" i="270" s="1"/>
  <c r="E24" i="270"/>
  <c r="G12" i="271" s="1"/>
  <c r="G10" i="271" s="1"/>
  <c r="O23" i="326"/>
  <c r="P23" i="326" s="1"/>
  <c r="O264" i="301"/>
  <c r="BO323" i="312"/>
  <c r="X330" i="269"/>
  <c r="Y330" i="269" s="1"/>
  <c r="O36" i="326"/>
  <c r="P36" i="326" s="1"/>
  <c r="N30" i="326"/>
  <c r="O30" i="326" s="1"/>
  <c r="P30" i="326" s="1"/>
  <c r="O33" i="326"/>
  <c r="P33" i="326" s="1"/>
  <c r="O41" i="326"/>
  <c r="P41" i="326" s="1"/>
  <c r="P37" i="269"/>
  <c r="Q37" i="269" s="1"/>
  <c r="AG37" i="269" s="1"/>
  <c r="H35" i="301" s="1"/>
  <c r="I35" i="301" s="1"/>
  <c r="L35" i="301" s="1"/>
  <c r="BK27" i="312"/>
  <c r="AG491" i="269"/>
  <c r="H489" i="301" s="1"/>
  <c r="I489" i="301" s="1"/>
  <c r="L489" i="301" s="1"/>
  <c r="CE399" i="312"/>
  <c r="N421" i="301"/>
  <c r="BK92" i="312"/>
  <c r="P102" i="269"/>
  <c r="Q102" i="269" s="1"/>
  <c r="AG102" i="269" s="1"/>
  <c r="H100" i="301" s="1"/>
  <c r="I100" i="301" s="1"/>
  <c r="L100" i="301" s="1"/>
  <c r="O197" i="301"/>
  <c r="P197" i="301" s="1"/>
  <c r="R197" i="301" s="1"/>
  <c r="O491" i="301"/>
  <c r="P491" i="301" s="1"/>
  <c r="R491" i="301" s="1"/>
  <c r="CF174" i="312"/>
  <c r="CF498" i="312" s="1"/>
  <c r="AN500" i="318"/>
  <c r="AN501" i="318" s="1"/>
  <c r="O414" i="301"/>
  <c r="P414" i="301" s="1"/>
  <c r="R414" i="301" s="1"/>
  <c r="O125" i="301"/>
  <c r="P125" i="301" s="1"/>
  <c r="R125" i="301" s="1"/>
  <c r="O124" i="301"/>
  <c r="P124" i="301" s="1"/>
  <c r="R124" i="301" s="1"/>
  <c r="P47" i="301"/>
  <c r="R47" i="301" s="1"/>
  <c r="O40" i="326"/>
  <c r="P40" i="326" s="1"/>
  <c r="H15" i="326"/>
  <c r="G45" i="326"/>
  <c r="P37" i="301"/>
  <c r="R37" i="301" s="1"/>
  <c r="BK211" i="312"/>
  <c r="P220" i="269"/>
  <c r="Q220" i="269" s="1"/>
  <c r="AG220" i="269" s="1"/>
  <c r="H218" i="301" s="1"/>
  <c r="I218" i="301" s="1"/>
  <c r="L218" i="301" s="1"/>
  <c r="BK379" i="312"/>
  <c r="P386" i="269"/>
  <c r="Q386" i="269" s="1"/>
  <c r="AG386" i="269" s="1"/>
  <c r="H384" i="301" s="1"/>
  <c r="I384" i="301" s="1"/>
  <c r="L384" i="301" s="1"/>
  <c r="P409" i="301"/>
  <c r="R409" i="301" s="1"/>
  <c r="P279" i="301"/>
  <c r="R279" i="301" s="1"/>
  <c r="H15" i="301"/>
  <c r="BK193" i="312"/>
  <c r="P202" i="269"/>
  <c r="Q202" i="269" s="1"/>
  <c r="AG202" i="269" s="1"/>
  <c r="H200" i="301" s="1"/>
  <c r="I200" i="301" s="1"/>
  <c r="L200" i="301" s="1"/>
  <c r="O473" i="301"/>
  <c r="P473" i="301" s="1"/>
  <c r="R473" i="301" s="1"/>
  <c r="N412" i="301"/>
  <c r="O412" i="301" s="1"/>
  <c r="AG186" i="269"/>
  <c r="H184" i="301" s="1"/>
  <c r="I184" i="301" s="1"/>
  <c r="L184" i="301" s="1"/>
  <c r="O443" i="301"/>
  <c r="P443" i="301" s="1"/>
  <c r="R443" i="301" s="1"/>
  <c r="I144" i="269"/>
  <c r="H502" i="269"/>
  <c r="N87" i="301"/>
  <c r="O87" i="301" s="1"/>
  <c r="O36" i="301"/>
  <c r="P36" i="301" s="1"/>
  <c r="R36" i="301" s="1"/>
  <c r="BK105" i="312"/>
  <c r="P115" i="269"/>
  <c r="Q115" i="269" s="1"/>
  <c r="AG115" i="269" s="1"/>
  <c r="H113" i="301" s="1"/>
  <c r="I113" i="301" s="1"/>
  <c r="L113" i="301" s="1"/>
  <c r="O494" i="301"/>
  <c r="P494" i="301" s="1"/>
  <c r="R494" i="301" s="1"/>
  <c r="BO253" i="312"/>
  <c r="X262" i="269"/>
  <c r="Y262" i="269" s="1"/>
  <c r="N17" i="326"/>
  <c r="O17" i="326" s="1"/>
  <c r="P17" i="326" s="1"/>
  <c r="N22" i="326"/>
  <c r="O22" i="326" s="1"/>
  <c r="P22" i="326" s="1"/>
  <c r="N397" i="301" l="1"/>
  <c r="O397" i="301"/>
  <c r="P322" i="269"/>
  <c r="Q322" i="269" s="1"/>
  <c r="AG322" i="269" s="1"/>
  <c r="H320" i="301" s="1"/>
  <c r="I320" i="301" s="1"/>
  <c r="L320" i="301" s="1"/>
  <c r="N320" i="301" s="1"/>
  <c r="BK315" i="312"/>
  <c r="N235" i="301"/>
  <c r="O235" i="301"/>
  <c r="P235" i="301" s="1"/>
  <c r="R235" i="301" s="1"/>
  <c r="N313" i="301"/>
  <c r="O313" i="301" s="1"/>
  <c r="N289" i="301"/>
  <c r="O289" i="301"/>
  <c r="N321" i="301"/>
  <c r="O321" i="301" s="1"/>
  <c r="N110" i="301"/>
  <c r="O110" i="301"/>
  <c r="N323" i="301"/>
  <c r="N377" i="301"/>
  <c r="O418" i="301"/>
  <c r="N418" i="301"/>
  <c r="N94" i="301"/>
  <c r="O94" i="301"/>
  <c r="P94" i="301" s="1"/>
  <c r="R94" i="301" s="1"/>
  <c r="AO511" i="318"/>
  <c r="P40" i="269"/>
  <c r="Q40" i="269" s="1"/>
  <c r="AG40" i="269" s="1"/>
  <c r="H38" i="301" s="1"/>
  <c r="I38" i="301" s="1"/>
  <c r="L38" i="301" s="1"/>
  <c r="BK30" i="312"/>
  <c r="BK186" i="312"/>
  <c r="P195" i="269"/>
  <c r="Q195" i="269" s="1"/>
  <c r="AG195" i="269" s="1"/>
  <c r="H193" i="301" s="1"/>
  <c r="I193" i="301" s="1"/>
  <c r="L193" i="301" s="1"/>
  <c r="P27" i="269"/>
  <c r="Q27" i="269" s="1"/>
  <c r="AG27" i="269" s="1"/>
  <c r="H25" i="301" s="1"/>
  <c r="I25" i="301" s="1"/>
  <c r="L25" i="301" s="1"/>
  <c r="BK17" i="312"/>
  <c r="N325" i="301"/>
  <c r="O325" i="301" s="1"/>
  <c r="P325" i="301" s="1"/>
  <c r="R325" i="301" s="1"/>
  <c r="O61" i="301"/>
  <c r="N61" i="301"/>
  <c r="O331" i="301"/>
  <c r="P331" i="301" s="1"/>
  <c r="R331" i="301" s="1"/>
  <c r="N90" i="301"/>
  <c r="O90" i="301" s="1"/>
  <c r="O369" i="301"/>
  <c r="P369" i="301" s="1"/>
  <c r="R369" i="301" s="1"/>
  <c r="O161" i="301"/>
  <c r="N161" i="301"/>
  <c r="N217" i="301"/>
  <c r="N452" i="301"/>
  <c r="O452" i="301" s="1"/>
  <c r="BO313" i="312"/>
  <c r="O398" i="301"/>
  <c r="P246" i="301"/>
  <c r="R246" i="301" s="1"/>
  <c r="AG403" i="269"/>
  <c r="H401" i="301" s="1"/>
  <c r="I401" i="301" s="1"/>
  <c r="L401" i="301" s="1"/>
  <c r="N361" i="301"/>
  <c r="N309" i="301"/>
  <c r="P233" i="269"/>
  <c r="Q233" i="269" s="1"/>
  <c r="AG233" i="269" s="1"/>
  <c r="H231" i="301" s="1"/>
  <c r="I231" i="301" s="1"/>
  <c r="L231" i="301" s="1"/>
  <c r="BK224" i="312"/>
  <c r="BK229" i="312"/>
  <c r="P238" i="269"/>
  <c r="Q238" i="269" s="1"/>
  <c r="AG238" i="269" s="1"/>
  <c r="H236" i="301" s="1"/>
  <c r="I236" i="301" s="1"/>
  <c r="L236" i="301" s="1"/>
  <c r="N337" i="301"/>
  <c r="O337" i="301"/>
  <c r="P337" i="301" s="1"/>
  <c r="R337" i="301" s="1"/>
  <c r="N351" i="301"/>
  <c r="O351" i="301"/>
  <c r="P351" i="301" s="1"/>
  <c r="R351" i="301" s="1"/>
  <c r="BK242" i="312"/>
  <c r="P251" i="269"/>
  <c r="Q251" i="269" s="1"/>
  <c r="AG251" i="269" s="1"/>
  <c r="H249" i="301" s="1"/>
  <c r="I249" i="301" s="1"/>
  <c r="L249" i="301" s="1"/>
  <c r="N109" i="301"/>
  <c r="O109" i="301"/>
  <c r="P109" i="301" s="1"/>
  <c r="R109" i="301" s="1"/>
  <c r="BK385" i="312"/>
  <c r="P392" i="269"/>
  <c r="Q392" i="269" s="1"/>
  <c r="AG392" i="269" s="1"/>
  <c r="H390" i="301" s="1"/>
  <c r="I390" i="301" s="1"/>
  <c r="L390" i="301" s="1"/>
  <c r="N390" i="301" s="1"/>
  <c r="N319" i="301"/>
  <c r="O319" i="301"/>
  <c r="P319" i="301" s="1"/>
  <c r="R319" i="301" s="1"/>
  <c r="N298" i="301"/>
  <c r="N191" i="301"/>
  <c r="O191" i="301"/>
  <c r="N194" i="301"/>
  <c r="O194" i="301"/>
  <c r="P194" i="301" s="1"/>
  <c r="R194" i="301" s="1"/>
  <c r="N368" i="301"/>
  <c r="O210" i="301"/>
  <c r="P210" i="301"/>
  <c r="R210" i="301" s="1"/>
  <c r="N468" i="301"/>
  <c r="O468" i="301"/>
  <c r="P41" i="301"/>
  <c r="R41" i="301" s="1"/>
  <c r="O281" i="301"/>
  <c r="N281" i="301"/>
  <c r="O379" i="301"/>
  <c r="P379" i="301" s="1"/>
  <c r="R379" i="301" s="1"/>
  <c r="BK240" i="312"/>
  <c r="P249" i="269"/>
  <c r="Q249" i="269" s="1"/>
  <c r="AG249" i="269" s="1"/>
  <c r="H247" i="301" s="1"/>
  <c r="I247" i="301" s="1"/>
  <c r="L247" i="301" s="1"/>
  <c r="N401" i="301"/>
  <c r="O401" i="301"/>
  <c r="N137" i="301"/>
  <c r="O137" i="301" s="1"/>
  <c r="N411" i="301"/>
  <c r="O411" i="301"/>
  <c r="N291" i="301"/>
  <c r="O291" i="301" s="1"/>
  <c r="N79" i="301"/>
  <c r="N71" i="301"/>
  <c r="O71" i="301" s="1"/>
  <c r="N410" i="301"/>
  <c r="O410" i="301" s="1"/>
  <c r="N30" i="301"/>
  <c r="N202" i="301"/>
  <c r="N270" i="301"/>
  <c r="O270" i="301" s="1"/>
  <c r="N290" i="301"/>
  <c r="BK156" i="312"/>
  <c r="P166" i="269"/>
  <c r="Q166" i="269" s="1"/>
  <c r="AG166" i="269" s="1"/>
  <c r="H164" i="301" s="1"/>
  <c r="I164" i="301" s="1"/>
  <c r="L164" i="301" s="1"/>
  <c r="N314" i="301"/>
  <c r="O314" i="301" s="1"/>
  <c r="N113" i="301"/>
  <c r="O113" i="301" s="1"/>
  <c r="P87" i="301"/>
  <c r="R87" i="301" s="1"/>
  <c r="I15" i="301"/>
  <c r="BK323" i="312"/>
  <c r="BK399" i="312" s="1"/>
  <c r="P330" i="269"/>
  <c r="Q330" i="269" s="1"/>
  <c r="AG330" i="269" s="1"/>
  <c r="H328" i="301" s="1"/>
  <c r="I328" i="301" s="1"/>
  <c r="L328" i="301" s="1"/>
  <c r="N122" i="301"/>
  <c r="O333" i="301"/>
  <c r="N333" i="301"/>
  <c r="N117" i="301"/>
  <c r="P211" i="301"/>
  <c r="R211" i="301" s="1"/>
  <c r="O77" i="301"/>
  <c r="N77" i="301"/>
  <c r="N184" i="301"/>
  <c r="O184" i="301" s="1"/>
  <c r="N343" i="301"/>
  <c r="O343" i="301" s="1"/>
  <c r="N274" i="301"/>
  <c r="O274" i="301" s="1"/>
  <c r="P24" i="301"/>
  <c r="R24" i="301" s="1"/>
  <c r="O355" i="301"/>
  <c r="P355" i="301" s="1"/>
  <c r="R355" i="301" s="1"/>
  <c r="N345" i="301"/>
  <c r="O345" i="301" s="1"/>
  <c r="P246" i="269"/>
  <c r="Q246" i="269" s="1"/>
  <c r="AG246" i="269" s="1"/>
  <c r="H244" i="301" s="1"/>
  <c r="I244" i="301" s="1"/>
  <c r="L244" i="301" s="1"/>
  <c r="BK237" i="312"/>
  <c r="N23" i="301"/>
  <c r="O23" i="301" s="1"/>
  <c r="P428" i="301"/>
  <c r="R428" i="301" s="1"/>
  <c r="Q21" i="269"/>
  <c r="P439" i="301"/>
  <c r="R439" i="301" s="1"/>
  <c r="BK287" i="312"/>
  <c r="P296" i="269"/>
  <c r="Q296" i="269" s="1"/>
  <c r="AG296" i="269" s="1"/>
  <c r="H294" i="301" s="1"/>
  <c r="I294" i="301" s="1"/>
  <c r="L294" i="301" s="1"/>
  <c r="O406" i="301"/>
  <c r="P406" i="301" s="1"/>
  <c r="R406" i="301" s="1"/>
  <c r="N139" i="301"/>
  <c r="O139" i="301" s="1"/>
  <c r="N240" i="301"/>
  <c r="O240" i="301" s="1"/>
  <c r="N259" i="301"/>
  <c r="O259" i="301" s="1"/>
  <c r="N153" i="301"/>
  <c r="O153" i="301"/>
  <c r="P490" i="301"/>
  <c r="R490" i="301" s="1"/>
  <c r="BK165" i="312"/>
  <c r="P175" i="269"/>
  <c r="Q175" i="269" s="1"/>
  <c r="AG175" i="269" s="1"/>
  <c r="H173" i="301" s="1"/>
  <c r="I173" i="301" s="1"/>
  <c r="L173" i="301" s="1"/>
  <c r="P62" i="301"/>
  <c r="R62" i="301" s="1"/>
  <c r="N105" i="301"/>
  <c r="O105" i="301"/>
  <c r="P58" i="301"/>
  <c r="R58" i="301" s="1"/>
  <c r="N63" i="301"/>
  <c r="O63" i="301" s="1"/>
  <c r="K30" i="269"/>
  <c r="J502" i="269"/>
  <c r="O429" i="301"/>
  <c r="P429" i="301" s="1"/>
  <c r="R429" i="301" s="1"/>
  <c r="P441" i="301"/>
  <c r="R441" i="301" s="1"/>
  <c r="N219" i="301"/>
  <c r="O219" i="301" s="1"/>
  <c r="P449" i="301"/>
  <c r="R449" i="301" s="1"/>
  <c r="N339" i="301"/>
  <c r="O339" i="301"/>
  <c r="N324" i="301"/>
  <c r="O324" i="301"/>
  <c r="I502" i="269"/>
  <c r="AG144" i="269"/>
  <c r="H142" i="301" s="1"/>
  <c r="I142" i="301" s="1"/>
  <c r="L142" i="301" s="1"/>
  <c r="N172" i="301"/>
  <c r="O172" i="301"/>
  <c r="N152" i="301"/>
  <c r="O152" i="301" s="1"/>
  <c r="BK208" i="312"/>
  <c r="P217" i="269"/>
  <c r="Q217" i="269" s="1"/>
  <c r="AG217" i="269" s="1"/>
  <c r="H215" i="301" s="1"/>
  <c r="I215" i="301" s="1"/>
  <c r="L215" i="301" s="1"/>
  <c r="BK248" i="312"/>
  <c r="P257" i="269"/>
  <c r="Q257" i="269" s="1"/>
  <c r="AG257" i="269" s="1"/>
  <c r="H255" i="301" s="1"/>
  <c r="I255" i="301" s="1"/>
  <c r="L255" i="301" s="1"/>
  <c r="N128" i="301"/>
  <c r="O128" i="301" s="1"/>
  <c r="AG373" i="269"/>
  <c r="H371" i="301" s="1"/>
  <c r="I371" i="301" s="1"/>
  <c r="L371" i="301" s="1"/>
  <c r="G502" i="269"/>
  <c r="N207" i="301"/>
  <c r="O207" i="301" s="1"/>
  <c r="N148" i="301"/>
  <c r="O148" i="301" s="1"/>
  <c r="P39" i="301"/>
  <c r="R39" i="301" s="1"/>
  <c r="Y502" i="269"/>
  <c r="N367" i="301"/>
  <c r="O367" i="301"/>
  <c r="N199" i="301"/>
  <c r="O96" i="301"/>
  <c r="N96" i="301"/>
  <c r="N119" i="301"/>
  <c r="O119" i="301"/>
  <c r="N151" i="301"/>
  <c r="O151" i="301" s="1"/>
  <c r="N277" i="301"/>
  <c r="O277" i="301" s="1"/>
  <c r="N212" i="301"/>
  <c r="O212" i="301" s="1"/>
  <c r="N384" i="301"/>
  <c r="O384" i="301" s="1"/>
  <c r="N228" i="301"/>
  <c r="O208" i="301"/>
  <c r="N208" i="301"/>
  <c r="N224" i="301"/>
  <c r="O224" i="301" s="1"/>
  <c r="BO174" i="312"/>
  <c r="N91" i="301"/>
  <c r="O91" i="301" s="1"/>
  <c r="N356" i="301"/>
  <c r="O356" i="301"/>
  <c r="N282" i="301"/>
  <c r="O282" i="301" s="1"/>
  <c r="N327" i="301"/>
  <c r="P436" i="301"/>
  <c r="R436" i="301" s="1"/>
  <c r="O378" i="301"/>
  <c r="N378" i="301"/>
  <c r="P46" i="301"/>
  <c r="R46" i="301" s="1"/>
  <c r="P334" i="301"/>
  <c r="R334" i="301" s="1"/>
  <c r="P287" i="301"/>
  <c r="R287" i="301" s="1"/>
  <c r="N472" i="301"/>
  <c r="N56" i="301"/>
  <c r="O56" i="301" s="1"/>
  <c r="N243" i="301"/>
  <c r="N43" i="301"/>
  <c r="O43" i="301" s="1"/>
  <c r="BO399" i="312"/>
  <c r="P262" i="269"/>
  <c r="Q262" i="269" s="1"/>
  <c r="AG262" i="269" s="1"/>
  <c r="H260" i="301" s="1"/>
  <c r="I260" i="301" s="1"/>
  <c r="L260" i="301" s="1"/>
  <c r="BK253" i="312"/>
  <c r="BK313" i="312" s="1"/>
  <c r="N35" i="301"/>
  <c r="O35" i="301" s="1"/>
  <c r="P412" i="301"/>
  <c r="R412" i="301" s="1"/>
  <c r="N200" i="301"/>
  <c r="O200" i="301"/>
  <c r="N218" i="301"/>
  <c r="O218" i="301" s="1"/>
  <c r="H45" i="326"/>
  <c r="K15" i="326"/>
  <c r="N100" i="301"/>
  <c r="O100" i="301" s="1"/>
  <c r="O421" i="301"/>
  <c r="P421" i="301" s="1"/>
  <c r="R421" i="301" s="1"/>
  <c r="N489" i="301"/>
  <c r="O489" i="301"/>
  <c r="P252" i="301"/>
  <c r="R252" i="301" s="1"/>
  <c r="P435" i="301"/>
  <c r="R435" i="301" s="1"/>
  <c r="N413" i="301"/>
  <c r="P273" i="301"/>
  <c r="R273" i="301" s="1"/>
  <c r="N157" i="301"/>
  <c r="O271" i="301"/>
  <c r="N271" i="301"/>
  <c r="N386" i="301"/>
  <c r="O386" i="301" s="1"/>
  <c r="P466" i="301"/>
  <c r="R466" i="301" s="1"/>
  <c r="N269" i="301"/>
  <c r="BK174" i="312"/>
  <c r="P477" i="301"/>
  <c r="R477" i="301" s="1"/>
  <c r="BO498" i="312"/>
  <c r="BO3" i="312" s="1"/>
  <c r="N82" i="301"/>
  <c r="P400" i="301"/>
  <c r="R400" i="301" s="1"/>
  <c r="P276" i="301"/>
  <c r="R276" i="301" s="1"/>
  <c r="N221" i="301"/>
  <c r="P81" i="301"/>
  <c r="R81" i="301" s="1"/>
  <c r="P480" i="301"/>
  <c r="R480" i="301" s="1"/>
  <c r="P398" i="301"/>
  <c r="R398" i="301" s="1"/>
  <c r="P267" i="301"/>
  <c r="R267" i="301" s="1"/>
  <c r="X502" i="269"/>
  <c r="N455" i="301"/>
  <c r="N92" i="301"/>
  <c r="O92" i="301" s="1"/>
  <c r="N145" i="301"/>
  <c r="O145" i="301"/>
  <c r="N322" i="301"/>
  <c r="O322" i="301" s="1"/>
  <c r="O373" i="301"/>
  <c r="P373" i="301" s="1"/>
  <c r="R373" i="301" s="1"/>
  <c r="N26" i="301"/>
  <c r="N182" i="301"/>
  <c r="O182" i="301" s="1"/>
  <c r="O169" i="301"/>
  <c r="N169" i="301"/>
  <c r="O385" i="301"/>
  <c r="P385" i="301" s="1"/>
  <c r="R385" i="301" s="1"/>
  <c r="N239" i="301"/>
  <c r="N33" i="301"/>
  <c r="P424" i="301"/>
  <c r="R424" i="301" s="1"/>
  <c r="P459" i="301"/>
  <c r="R459" i="301" s="1"/>
  <c r="P307" i="301"/>
  <c r="R307" i="301" s="1"/>
  <c r="N236" i="301" l="1"/>
  <c r="P281" i="301"/>
  <c r="R281" i="301" s="1"/>
  <c r="P468" i="301"/>
  <c r="R468" i="301" s="1"/>
  <c r="O368" i="301"/>
  <c r="P368" i="301" s="1"/>
  <c r="R368" i="301" s="1"/>
  <c r="P191" i="301"/>
  <c r="R191" i="301" s="1"/>
  <c r="O309" i="301"/>
  <c r="P309" i="301" s="1"/>
  <c r="R309" i="301" s="1"/>
  <c r="P161" i="301"/>
  <c r="R161" i="301" s="1"/>
  <c r="P61" i="301"/>
  <c r="R61" i="301" s="1"/>
  <c r="P377" i="301"/>
  <c r="R377" i="301" s="1"/>
  <c r="P321" i="301"/>
  <c r="R321" i="301" s="1"/>
  <c r="P313" i="301"/>
  <c r="R313" i="301" s="1"/>
  <c r="O320" i="301"/>
  <c r="P320" i="301"/>
  <c r="R320" i="301" s="1"/>
  <c r="N247" i="301"/>
  <c r="O247" i="301" s="1"/>
  <c r="P247" i="301" s="1"/>
  <c r="R247" i="301" s="1"/>
  <c r="O390" i="301"/>
  <c r="P390" i="301" s="1"/>
  <c r="R390" i="301" s="1"/>
  <c r="N249" i="301"/>
  <c r="P452" i="301"/>
  <c r="R452" i="301" s="1"/>
  <c r="P90" i="301"/>
  <c r="R90" i="301" s="1"/>
  <c r="N25" i="301"/>
  <c r="O25" i="301"/>
  <c r="N38" i="301"/>
  <c r="O38" i="301" s="1"/>
  <c r="P38" i="301" s="1"/>
  <c r="R38" i="301" s="1"/>
  <c r="O377" i="301"/>
  <c r="P110" i="301"/>
  <c r="R110" i="301" s="1"/>
  <c r="O298" i="301"/>
  <c r="P298" i="301" s="1"/>
  <c r="R298" i="301" s="1"/>
  <c r="N231" i="301"/>
  <c r="O361" i="301"/>
  <c r="P361" i="301" s="1"/>
  <c r="R361" i="301" s="1"/>
  <c r="O217" i="301"/>
  <c r="P217" i="301" s="1"/>
  <c r="R217" i="301" s="1"/>
  <c r="N193" i="301"/>
  <c r="P418" i="301"/>
  <c r="R418" i="301" s="1"/>
  <c r="O323" i="301"/>
  <c r="P323" i="301" s="1"/>
  <c r="R323" i="301" s="1"/>
  <c r="P289" i="301"/>
  <c r="R289" i="301" s="1"/>
  <c r="P397" i="301"/>
  <c r="R397" i="301" s="1"/>
  <c r="BK498" i="312"/>
  <c r="BK499" i="312"/>
  <c r="N255" i="301"/>
  <c r="P145" i="301"/>
  <c r="R145" i="301" s="1"/>
  <c r="P386" i="301"/>
  <c r="R386" i="301" s="1"/>
  <c r="P271" i="301"/>
  <c r="R271" i="301" s="1"/>
  <c r="P200" i="301"/>
  <c r="R200" i="301" s="1"/>
  <c r="P56" i="301"/>
  <c r="R56" i="301" s="1"/>
  <c r="O472" i="301"/>
  <c r="P472" i="301" s="1"/>
  <c r="R472" i="301" s="1"/>
  <c r="P356" i="301"/>
  <c r="R356" i="301" s="1"/>
  <c r="P91" i="301"/>
  <c r="R91" i="301" s="1"/>
  <c r="P212" i="301"/>
  <c r="R212" i="301" s="1"/>
  <c r="P207" i="301"/>
  <c r="R207" i="301" s="1"/>
  <c r="P172" i="301"/>
  <c r="R172" i="301" s="1"/>
  <c r="P339" i="301"/>
  <c r="R339" i="301" s="1"/>
  <c r="P63" i="301"/>
  <c r="R63" i="301" s="1"/>
  <c r="P105" i="301"/>
  <c r="R105" i="301" s="1"/>
  <c r="P240" i="301"/>
  <c r="R240" i="301" s="1"/>
  <c r="P139" i="301"/>
  <c r="R139" i="301" s="1"/>
  <c r="N244" i="301"/>
  <c r="O244" i="301" s="1"/>
  <c r="P333" i="301"/>
  <c r="R333" i="301" s="1"/>
  <c r="P270" i="301"/>
  <c r="R270" i="301" s="1"/>
  <c r="P411" i="301"/>
  <c r="R411" i="301" s="1"/>
  <c r="P100" i="301"/>
  <c r="R100" i="301" s="1"/>
  <c r="P384" i="301"/>
  <c r="R384" i="301" s="1"/>
  <c r="P199" i="301"/>
  <c r="R199" i="301" s="1"/>
  <c r="N371" i="301"/>
  <c r="O371" i="301"/>
  <c r="P152" i="301"/>
  <c r="R152" i="301" s="1"/>
  <c r="O33" i="301"/>
  <c r="P33" i="301" s="1"/>
  <c r="R33" i="301" s="1"/>
  <c r="P322" i="301"/>
  <c r="R322" i="301" s="1"/>
  <c r="P489" i="301"/>
  <c r="R489" i="301" s="1"/>
  <c r="P218" i="301"/>
  <c r="R218" i="301" s="1"/>
  <c r="P35" i="301"/>
  <c r="R35" i="301" s="1"/>
  <c r="P378" i="301"/>
  <c r="R378" i="301" s="1"/>
  <c r="O228" i="301"/>
  <c r="P228" i="301" s="1"/>
  <c r="R228" i="301" s="1"/>
  <c r="P119" i="301"/>
  <c r="R119" i="301" s="1"/>
  <c r="P96" i="301"/>
  <c r="R96" i="301" s="1"/>
  <c r="O199" i="301"/>
  <c r="P367" i="301"/>
  <c r="R367" i="301" s="1"/>
  <c r="P148" i="301"/>
  <c r="R148" i="301" s="1"/>
  <c r="P128" i="301"/>
  <c r="R128" i="301" s="1"/>
  <c r="N215" i="301"/>
  <c r="O215" i="301"/>
  <c r="P324" i="301"/>
  <c r="R324" i="301" s="1"/>
  <c r="P219" i="301"/>
  <c r="R219" i="301" s="1"/>
  <c r="AG30" i="269"/>
  <c r="H28" i="301" s="1"/>
  <c r="I28" i="301" s="1"/>
  <c r="L28" i="301" s="1"/>
  <c r="K502" i="269"/>
  <c r="P502" i="269"/>
  <c r="P343" i="301"/>
  <c r="R343" i="301" s="1"/>
  <c r="P77" i="301"/>
  <c r="R77" i="301" s="1"/>
  <c r="O122" i="301"/>
  <c r="P122" i="301" s="1"/>
  <c r="R122" i="301" s="1"/>
  <c r="L15" i="301"/>
  <c r="P113" i="301"/>
  <c r="R113" i="301" s="1"/>
  <c r="P291" i="301"/>
  <c r="R291" i="301" s="1"/>
  <c r="P137" i="301"/>
  <c r="R137" i="301" s="1"/>
  <c r="P92" i="301"/>
  <c r="R92" i="301" s="1"/>
  <c r="O260" i="301"/>
  <c r="N260" i="301"/>
  <c r="P224" i="301"/>
  <c r="R224" i="301" s="1"/>
  <c r="P314" i="301"/>
  <c r="R314" i="301" s="1"/>
  <c r="O239" i="301"/>
  <c r="P239" i="301" s="1"/>
  <c r="R239" i="301" s="1"/>
  <c r="P169" i="301"/>
  <c r="R169" i="301" s="1"/>
  <c r="P182" i="301"/>
  <c r="R182" i="301" s="1"/>
  <c r="O26" i="301"/>
  <c r="P26" i="301" s="1"/>
  <c r="R26" i="301" s="1"/>
  <c r="O455" i="301"/>
  <c r="P455" i="301" s="1"/>
  <c r="R455" i="301" s="1"/>
  <c r="O221" i="301"/>
  <c r="P221" i="301" s="1"/>
  <c r="R221" i="301" s="1"/>
  <c r="O82" i="301"/>
  <c r="P82" i="301" s="1"/>
  <c r="R82" i="301" s="1"/>
  <c r="O269" i="301"/>
  <c r="P269" i="301" s="1"/>
  <c r="R269" i="301" s="1"/>
  <c r="O157" i="301"/>
  <c r="P157" i="301" s="1"/>
  <c r="R157" i="301" s="1"/>
  <c r="O413" i="301"/>
  <c r="P413" i="301" s="1"/>
  <c r="R413" i="301" s="1"/>
  <c r="M15" i="326"/>
  <c r="N15" i="326"/>
  <c r="N45" i="326" s="1"/>
  <c r="K45" i="326"/>
  <c r="P43" i="301"/>
  <c r="R43" i="301" s="1"/>
  <c r="O243" i="301"/>
  <c r="P243" i="301" s="1"/>
  <c r="R243" i="301" s="1"/>
  <c r="O327" i="301"/>
  <c r="P327" i="301" s="1"/>
  <c r="R327" i="301" s="1"/>
  <c r="P282" i="301"/>
  <c r="R282" i="301" s="1"/>
  <c r="P208" i="301"/>
  <c r="R208" i="301" s="1"/>
  <c r="P277" i="301"/>
  <c r="R277" i="301" s="1"/>
  <c r="P151" i="301"/>
  <c r="R151" i="301" s="1"/>
  <c r="N142" i="301"/>
  <c r="O142" i="301" s="1"/>
  <c r="N173" i="301"/>
  <c r="O173" i="301" s="1"/>
  <c r="P153" i="301"/>
  <c r="R153" i="301" s="1"/>
  <c r="P259" i="301"/>
  <c r="R259" i="301" s="1"/>
  <c r="N294" i="301"/>
  <c r="AG21" i="269"/>
  <c r="Q502" i="269"/>
  <c r="P23" i="301"/>
  <c r="R23" i="301" s="1"/>
  <c r="P345" i="301"/>
  <c r="R345" i="301" s="1"/>
  <c r="P274" i="301"/>
  <c r="R274" i="301" s="1"/>
  <c r="P184" i="301"/>
  <c r="R184" i="301" s="1"/>
  <c r="O117" i="301"/>
  <c r="P117" i="301" s="1"/>
  <c r="R117" i="301" s="1"/>
  <c r="N328" i="301"/>
  <c r="O328" i="301" s="1"/>
  <c r="N164" i="301"/>
  <c r="O290" i="301"/>
  <c r="P290" i="301" s="1"/>
  <c r="R290" i="301" s="1"/>
  <c r="O202" i="301"/>
  <c r="P202" i="301" s="1"/>
  <c r="R202" i="301" s="1"/>
  <c r="O30" i="301"/>
  <c r="P30" i="301" s="1"/>
  <c r="R30" i="301" s="1"/>
  <c r="P410" i="301"/>
  <c r="R410" i="301" s="1"/>
  <c r="P71" i="301"/>
  <c r="R71" i="301" s="1"/>
  <c r="O79" i="301"/>
  <c r="P79" i="301" s="1"/>
  <c r="R79" i="301" s="1"/>
  <c r="P401" i="301"/>
  <c r="R401" i="301" s="1"/>
  <c r="P236" i="301" l="1"/>
  <c r="R236" i="301" s="1"/>
  <c r="P249" i="301"/>
  <c r="R249" i="301" s="1"/>
  <c r="O236" i="301"/>
  <c r="O193" i="301"/>
  <c r="P193" i="301" s="1"/>
  <c r="R193" i="301" s="1"/>
  <c r="O231" i="301"/>
  <c r="P231" i="301" s="1"/>
  <c r="R231" i="301" s="1"/>
  <c r="P25" i="301"/>
  <c r="R25" i="301" s="1"/>
  <c r="O249" i="301"/>
  <c r="N15" i="301"/>
  <c r="O15" i="301"/>
  <c r="AI504" i="269"/>
  <c r="AI502" i="269"/>
  <c r="P142" i="301"/>
  <c r="R142" i="301" s="1"/>
  <c r="M45" i="326"/>
  <c r="O15" i="326"/>
  <c r="N28" i="301"/>
  <c r="P244" i="301"/>
  <c r="R244" i="301" s="1"/>
  <c r="O294" i="301"/>
  <c r="P294" i="301" s="1"/>
  <c r="R294" i="301" s="1"/>
  <c r="O164" i="301"/>
  <c r="P164" i="301" s="1"/>
  <c r="R164" i="301" s="1"/>
  <c r="P328" i="301"/>
  <c r="R328" i="301" s="1"/>
  <c r="H19" i="301"/>
  <c r="AG502" i="269"/>
  <c r="P173" i="301"/>
  <c r="R173" i="301" s="1"/>
  <c r="P260" i="301"/>
  <c r="R260" i="301" s="1"/>
  <c r="P215" i="301"/>
  <c r="R215" i="301" s="1"/>
  <c r="P371" i="301"/>
  <c r="R371" i="301" s="1"/>
  <c r="O255" i="301"/>
  <c r="P255" i="301" s="1"/>
  <c r="R255" i="301" s="1"/>
  <c r="O45" i="326" l="1"/>
  <c r="P15" i="326"/>
  <c r="P45" i="326" s="1"/>
  <c r="AI505" i="269"/>
  <c r="AF49" i="322"/>
  <c r="AE47" i="322"/>
  <c r="AE49" i="322"/>
  <c r="AE50" i="322" s="1"/>
  <c r="P15" i="301"/>
  <c r="O28" i="301"/>
  <c r="P28" i="301" s="1"/>
  <c r="R28" i="301" s="1"/>
  <c r="I19" i="301"/>
  <c r="H500" i="301"/>
  <c r="T43" i="326" s="1"/>
  <c r="L19" i="301" l="1"/>
  <c r="I500" i="301"/>
  <c r="R15" i="301"/>
  <c r="T45" i="326" l="1"/>
  <c r="R43" i="326"/>
  <c r="N19" i="301"/>
  <c r="O19" i="301" s="1"/>
  <c r="O500" i="301" s="1"/>
  <c r="L500" i="301"/>
  <c r="U45" i="326" s="1"/>
  <c r="J12" i="271" l="1"/>
  <c r="J10" i="271" s="1"/>
  <c r="R48" i="326"/>
  <c r="T33" i="326"/>
  <c r="U52" i="326"/>
  <c r="P19" i="301"/>
  <c r="N500" i="301"/>
  <c r="T52" i="326" s="1"/>
  <c r="J17" i="271" l="1"/>
  <c r="G19" i="271" s="1"/>
  <c r="U57" i="326"/>
  <c r="V52" i="326"/>
  <c r="J16" i="271"/>
  <c r="G21" i="271" s="1"/>
  <c r="P500" i="301"/>
  <c r="R19" i="301"/>
  <c r="R500" i="301" s="1"/>
  <c r="U42" i="326" l="1"/>
  <c r="J18" i="271" s="1"/>
  <c r="T504" i="301"/>
  <c r="G18" i="271"/>
  <c r="G22" i="271" s="1"/>
  <c r="G23" i="27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B501" authorId="0" shapeId="0" xr:uid="{B24CD2EC-3CC8-499A-8DC2-4F3B59629E81}">
      <text>
        <r>
          <rPr>
            <b/>
            <sz val="9"/>
            <rFont val="Tahoma"/>
            <family val="2"/>
          </rPr>
          <t>ADMIN:</t>
        </r>
        <r>
          <rPr>
            <sz val="9"/>
            <rFont val="Tahoma"/>
            <family val="2"/>
          </rPr>
          <t xml:space="preserve">
30 ngày
</t>
        </r>
      </text>
    </comment>
    <comment ref="BB502" authorId="0" shapeId="0" xr:uid="{7D7E269D-7685-4898-8686-A28F15999F75}">
      <text>
        <r>
          <rPr>
            <b/>
            <sz val="9"/>
            <rFont val="Tahoma"/>
            <family val="2"/>
          </rPr>
          <t>ADMIN:</t>
        </r>
        <r>
          <rPr>
            <sz val="9"/>
            <rFont val="Tahoma"/>
            <family val="2"/>
          </rPr>
          <t xml:space="preserve">
31 ngày</t>
        </r>
      </text>
    </comment>
  </commentList>
</comments>
</file>

<file path=xl/sharedStrings.xml><?xml version="1.0" encoding="utf-8"?>
<sst xmlns="http://schemas.openxmlformats.org/spreadsheetml/2006/main" count="18692" uniqueCount="2097">
  <si>
    <t>ĐỢT I</t>
  </si>
  <si>
    <t>Tổ 1</t>
  </si>
  <si>
    <t>ĐỢT II</t>
  </si>
  <si>
    <t>D</t>
  </si>
  <si>
    <t>Tổ 2</t>
  </si>
  <si>
    <t>D2</t>
  </si>
  <si>
    <t>Tổ 3</t>
  </si>
  <si>
    <t>Stt</t>
  </si>
  <si>
    <t>Mã số CN</t>
  </si>
  <si>
    <t>Họ và tên</t>
  </si>
  <si>
    <t>Tổ khai thác</t>
  </si>
  <si>
    <t>Các ngày trong tháng</t>
  </si>
  <si>
    <t>CẠO ÚP</t>
  </si>
  <si>
    <t>CẠO XẢ</t>
  </si>
  <si>
    <t>Tổng công</t>
  </si>
  <si>
    <t>MÌ (D2)</t>
  </si>
  <si>
    <t>CCAN</t>
  </si>
  <si>
    <t>Lễ chol chnam thmay</t>
  </si>
  <si>
    <t>chuyển cần đã tách</t>
  </si>
  <si>
    <t>mì</t>
  </si>
  <si>
    <t>KIỂM TRA KỸ THUẬT</t>
  </si>
  <si>
    <t>Tổ 4</t>
  </si>
  <si>
    <t>Khmer</t>
  </si>
  <si>
    <t>Latinh</t>
  </si>
  <si>
    <t>1-15</t>
  </si>
  <si>
    <t>16-30</t>
  </si>
  <si>
    <t>HỌC CẠO</t>
  </si>
  <si>
    <t>Tổng</t>
  </si>
  <si>
    <t>tháng 05+ t6 đ1</t>
  </si>
  <si>
    <t>tháng 05+06</t>
  </si>
  <si>
    <t>19000
 (4/6 -6/6)</t>
  </si>
  <si>
    <t>16000
 (4/6 -6/6)</t>
  </si>
  <si>
    <t>chuyên cần</t>
  </si>
  <si>
    <t>cạo choàn</t>
  </si>
  <si>
    <t>HS NT</t>
  </si>
  <si>
    <t>CTY</t>
  </si>
  <si>
    <t>Cộng phiên A</t>
  </si>
  <si>
    <t>Cộng phiên B</t>
  </si>
  <si>
    <t>Cộng phiên C</t>
  </si>
  <si>
    <t>Cộng phiên D</t>
  </si>
  <si>
    <t>Tổng cộng</t>
  </si>
  <si>
    <t>Tổ 5</t>
  </si>
  <si>
    <t>Phiên cạo</t>
  </si>
  <si>
    <t>Đ1</t>
  </si>
  <si>
    <t>D 2</t>
  </si>
  <si>
    <t>CÔNG</t>
  </si>
  <si>
    <t>TIỀN</t>
  </si>
  <si>
    <t>công cao nhất</t>
  </si>
  <si>
    <t>Tổ 6</t>
  </si>
  <si>
    <t>Tổ 7</t>
  </si>
  <si>
    <t>Tổ 8</t>
  </si>
  <si>
    <t>Thưởng ngày công</t>
  </si>
  <si>
    <t>Tổ 9</t>
  </si>
  <si>
    <t>Tổ 10</t>
  </si>
  <si>
    <t>Tổ 11</t>
  </si>
  <si>
    <t>t 1.2.3</t>
  </si>
  <si>
    <t>T 4.5.8</t>
  </si>
  <si>
    <t>T 6.7</t>
  </si>
  <si>
    <t>T 9.10</t>
  </si>
  <si>
    <t>MỚI</t>
  </si>
  <si>
    <t>CÔNG CHỐT 17H HÀNG NGÀY</t>
  </si>
  <si>
    <t>Công NGHIỆM THU</t>
  </si>
  <si>
    <t>Chênh lệch</t>
  </si>
  <si>
    <t>đ1</t>
  </si>
  <si>
    <t>đ2</t>
  </si>
  <si>
    <t xml:space="preserve">Ghi chú: </t>
  </si>
  <si>
    <t>I</t>
  </si>
  <si>
    <t xml:space="preserve"> - X: chấm công nhật</t>
  </si>
  <si>
    <t xml:space="preserve"> - XX: chấm công cạo choàng</t>
  </si>
  <si>
    <t>II</t>
  </si>
  <si>
    <t>A</t>
  </si>
  <si>
    <t>B</t>
  </si>
  <si>
    <t>C</t>
  </si>
  <si>
    <t>TỔNG CỘNG</t>
  </si>
  <si>
    <t>đợt 1</t>
  </si>
  <si>
    <t>Tiền điện</t>
  </si>
  <si>
    <t>Tạm ứng</t>
  </si>
  <si>
    <t>Tiền dao</t>
  </si>
  <si>
    <t>Mủ dây</t>
  </si>
  <si>
    <t>đợt 2</t>
  </si>
  <si>
    <t>tổng đ1</t>
  </si>
  <si>
    <t>tổng 2 đợt</t>
  </si>
  <si>
    <t>Công đợt I</t>
  </si>
  <si>
    <t>Sản lượng đợt I</t>
  </si>
  <si>
    <t>Công đợt II</t>
  </si>
  <si>
    <t>Sản lượng đợt II</t>
  </si>
  <si>
    <t>Sản lượng 2 đợt</t>
  </si>
  <si>
    <t>tháng 04</t>
  </si>
  <si>
    <t>điện tháng 03</t>
  </si>
  <si>
    <t>STT</t>
  </si>
  <si>
    <t>đạt sản lượng</t>
  </si>
  <si>
    <t xml:space="preserve">A </t>
  </si>
  <si>
    <t>KH GIAO KHOÁN</t>
  </si>
  <si>
    <t>Tổng SL 2 đợt</t>
  </si>
  <si>
    <t>Bôi KT</t>
  </si>
  <si>
    <t>Bôi Phòng</t>
  </si>
  <si>
    <t>tiền nước</t>
  </si>
  <si>
    <t>Đá mài</t>
  </si>
  <si>
    <t>K</t>
  </si>
  <si>
    <t>d t1</t>
  </si>
  <si>
    <t>d t2</t>
  </si>
  <si>
    <t>dt3</t>
  </si>
  <si>
    <t>kỹ thuật</t>
  </si>
  <si>
    <t>QK</t>
  </si>
  <si>
    <t>CHĂM SÓC</t>
  </si>
  <si>
    <t>ការថែទាំ</t>
  </si>
  <si>
    <t>Phát cỏ luồng</t>
  </si>
  <si>
    <t>ជម្រះស្មៅចន្លោះរង</t>
  </si>
  <si>
    <t>Bón phân</t>
  </si>
  <si>
    <t>ដាក់ជី</t>
  </si>
  <si>
    <t>Phòng trị bệnh</t>
  </si>
  <si>
    <t>បង្ការព្យាបាលជម្ងឺ</t>
  </si>
  <si>
    <t>Làm giàn mủ tạp</t>
  </si>
  <si>
    <t>ធ្វើរានដាក់ជ័រចម្រុះ</t>
  </si>
  <si>
    <t>Phòng chống cháy + gác lửa</t>
  </si>
  <si>
    <t>ការពារភ្លើងឆេះ + យាមភ្លើង</t>
  </si>
  <si>
    <t>THU HOẠCH</t>
  </si>
  <si>
    <t>ប្រមូលផល</t>
  </si>
  <si>
    <t>Kiểm kê cây cao su đầu vụ cạo</t>
  </si>
  <si>
    <t>ជំរឿនដើមកៅស៊ូនៅដើមរដូវចៀរ</t>
  </si>
  <si>
    <t>Thiết kế mặt cạo</t>
  </si>
  <si>
    <t>បែងចែកផ្ទាំងចៀរ</t>
  </si>
  <si>
    <t>Đánh dấu hao dăm quý, năm</t>
  </si>
  <si>
    <t>គូសសញ្ញាចំណាយអាចម៍ពន្លាក់ប្រចាំត្រីមាស​និងឆ្នាំ</t>
  </si>
  <si>
    <t>Chia, đánh số phần cạo</t>
  </si>
  <si>
    <t>បែងចែកនិងគូសលេខរានចៀរ</t>
  </si>
  <si>
    <t>Trang bị vật tư (Kiềng, chén)</t>
  </si>
  <si>
    <t>បំពាក់ឧបករណ៍ (កង, ចាន)</t>
  </si>
  <si>
    <t>Cạo xả miệng, đóng máng, gắn mái che chén</t>
  </si>
  <si>
    <t>បើកមុខចៀរជ័រដំបូង ដោតស្លាបព្រា​និងទគម្របចាន</t>
  </si>
  <si>
    <t>Gắn máng chắn mưa</t>
  </si>
  <si>
    <t>ការបំពាក់ក្បាំងទឹកភ្លៀង</t>
  </si>
  <si>
    <t>Vệ sinh cây cạo</t>
  </si>
  <si>
    <t>សំអាតដើមចៀរ</t>
  </si>
  <si>
    <t>Bôi thuốc kích thích</t>
  </si>
  <si>
    <t>លាបថ្នាំរំញោច</t>
  </si>
  <si>
    <t>Thu dọn cuối vụ cạo</t>
  </si>
  <si>
    <t>ប្រមូលសម្ភារៈចុងរដូវចៀរ</t>
  </si>
  <si>
    <t>Cạo, trút và giao nộp mủ</t>
  </si>
  <si>
    <t>ចៀរ សារនិងប្រគូលជ័រ</t>
  </si>
  <si>
    <t>Công nhật (16.000 KHR)</t>
  </si>
  <si>
    <t>កម្លាំងចៀរ</t>
  </si>
  <si>
    <t>Công trả sản lượng mủ</t>
  </si>
  <si>
    <t>កម្លាំងចំណាយទៅលើផលិតផលជ័រ</t>
  </si>
  <si>
    <t>Bảo vệ vườn cây</t>
  </si>
  <si>
    <t>សន្តិសុខការពារចំការ</t>
  </si>
  <si>
    <t>Kinh doanh nhóm 1</t>
  </si>
  <si>
    <t>អាជីវកម្មក្រុមទី​១</t>
  </si>
  <si>
    <t>Kinh doanh năm 4</t>
  </si>
  <si>
    <t>អាជីវកម្មឆ្នាំទី​៤</t>
  </si>
  <si>
    <t>Kinh doanh năm 3</t>
  </si>
  <si>
    <t>អាជីវកម្មឆ្នាំទី​៣</t>
  </si>
  <si>
    <t>Kinh doanh năm 2</t>
  </si>
  <si>
    <t>អាជីវកម្មឆ្នាំទី​២</t>
  </si>
  <si>
    <t>Mở cạo 2021</t>
  </si>
  <si>
    <t>បើកមុខចៀរជ័រឆ្នាំ​២០២១</t>
  </si>
  <si>
    <t>Công/ha</t>
  </si>
  <si>
    <t>កម្លាំង/ហិតា</t>
  </si>
  <si>
    <t>Đợt 1</t>
  </si>
  <si>
    <t>វគ្គទី​១</t>
  </si>
  <si>
    <t>Đợt 2</t>
  </si>
  <si>
    <t>វគ្គទី​២</t>
  </si>
  <si>
    <t>Tổng 2 đợt</t>
  </si>
  <si>
    <t>សរុបទាំង​២វគ្គ</t>
  </si>
  <si>
    <t>Công/ngày</t>
  </si>
  <si>
    <t>កម្លាំង/ថ្ងៃ</t>
  </si>
  <si>
    <t>Hạng mục KTCB</t>
  </si>
  <si>
    <r>
      <t>មុខងារ</t>
    </r>
    <r>
      <rPr>
        <b/>
        <sz val="11"/>
        <color indexed="10"/>
        <rFont val="Khmer OS"/>
      </rPr>
      <t>រយៈមុនពេលប្រមូលផល</t>
    </r>
  </si>
  <si>
    <t>Phun thuốc cỏ hàng</t>
  </si>
  <si>
    <t>បាញ់ថ្នាំរង</t>
  </si>
  <si>
    <t>Phát dọn, phòng chống cháy</t>
  </si>
  <si>
    <t>ជម្រះការពារភ្លើងឆេះ</t>
  </si>
  <si>
    <t>Bảo vệ thường xuyên</t>
  </si>
  <si>
    <t>ការពារជាប្រចាំ</t>
  </si>
  <si>
    <t>Kiểm kê cuối năm</t>
  </si>
  <si>
    <t>ជំរឿនដើមកៅស៊ូនៅចុងរដូវចៀរ</t>
  </si>
  <si>
    <t>ក្រុមហ៊ុន កៅស៊ូ មេគង្គ ខូលអិលធីឌី</t>
  </si>
  <si>
    <t>Caoutchouc Mekong Co., Ltd</t>
  </si>
  <si>
    <t>_______</t>
  </si>
  <si>
    <t>តារាងបែងចែកប្រាក់បៀវត្សកម្មករ​ប្រមូលផល</t>
  </si>
  <si>
    <t>BẢNG PHÂN TOÁN  LƯƠNG CÔNG NHÂN KHAI THÁC</t>
  </si>
  <si>
    <t>ĐVT៖ Riel</t>
  </si>
  <si>
    <t>ល.រ</t>
  </si>
  <si>
    <t>សម្គាល់</t>
  </si>
  <si>
    <t>Hạng mục công việc</t>
  </si>
  <si>
    <t xml:space="preserve">Đơn​ gía </t>
  </si>
  <si>
    <t xml:space="preserve">Tổng cộng </t>
  </si>
  <si>
    <t>Ghi chú</t>
  </si>
  <si>
    <t>3=1*2</t>
  </si>
  <si>
    <r>
      <t xml:space="preserve">អាជីវកម្មក្រុម/ </t>
    </r>
    <r>
      <rPr>
        <b/>
        <sz val="12"/>
        <color indexed="8"/>
        <rFont val="Times New Roman"/>
        <family val="1"/>
      </rPr>
      <t>KD NHÓM I</t>
    </r>
  </si>
  <si>
    <r>
      <rPr>
        <b/>
        <i/>
        <sz val="14"/>
        <color indexed="8"/>
        <rFont val="Khmer OS"/>
      </rPr>
      <t>កំលាំងថែទាំ</t>
    </r>
    <r>
      <rPr>
        <b/>
        <i/>
        <sz val="14"/>
        <color indexed="8"/>
        <rFont val="Times New Roman"/>
        <family val="1"/>
      </rPr>
      <t>/Công chăm sóc</t>
    </r>
  </si>
  <si>
    <r>
      <rPr>
        <b/>
        <sz val="12"/>
        <color indexed="8"/>
        <rFont val="Khmer OS"/>
      </rPr>
      <t>ប្រមួលផល់</t>
    </r>
    <r>
      <rPr>
        <b/>
        <sz val="12"/>
        <color indexed="8"/>
        <rFont val="Times New Roman"/>
        <family val="1"/>
      </rPr>
      <t>/Thu hoạch</t>
    </r>
  </si>
  <si>
    <r>
      <rPr>
        <sz val="12"/>
        <color indexed="8"/>
        <rFont val="Khmer OS"/>
      </rPr>
      <t>ជ័រ,សាជៀរនិងព្រកល់ជៀរ</t>
    </r>
    <r>
      <rPr>
        <sz val="12"/>
        <color indexed="8"/>
        <rFont val="Times New Roman"/>
        <family val="1"/>
      </rPr>
      <t>/Cạo, trút và giao nộp mủ</t>
    </r>
  </si>
  <si>
    <r>
      <rPr>
        <b/>
        <sz val="12"/>
        <color indexed="8"/>
        <rFont val="Khmer OS"/>
      </rPr>
      <t>កាពារ/</t>
    </r>
    <r>
      <rPr>
        <b/>
        <sz val="12"/>
        <color indexed="8"/>
        <rFont val="Times New Roman"/>
        <family val="1"/>
      </rPr>
      <t>Bảo vệ</t>
    </r>
  </si>
  <si>
    <r>
      <rPr>
        <sz val="12"/>
        <color indexed="8"/>
        <rFont val="Khmer OS"/>
      </rPr>
      <t>កាពារ/</t>
    </r>
    <r>
      <rPr>
        <sz val="12"/>
        <color indexed="8"/>
        <rFont val="Times New Roman"/>
        <family val="1"/>
      </rPr>
      <t>Bảo vệ</t>
    </r>
  </si>
  <si>
    <r>
      <rPr>
        <b/>
        <sz val="14"/>
        <rFont val="Khmer OS Muol Light"/>
      </rPr>
      <t>សរុប</t>
    </r>
    <r>
      <rPr>
        <b/>
        <sz val="14"/>
        <rFont val="Khmer OS"/>
      </rPr>
      <t>/</t>
    </r>
    <r>
      <rPr>
        <b/>
        <sz val="14"/>
        <rFont val="Times New Roman"/>
        <family val="1"/>
      </rPr>
      <t>Tổng cộng</t>
    </r>
  </si>
  <si>
    <t>Tiền lương tháng 13</t>
  </si>
  <si>
    <t>អ្នករៀបចំ</t>
  </si>
  <si>
    <t>Người lập biểu</t>
  </si>
  <si>
    <t>Phạm Thành Tường</t>
  </si>
  <si>
    <t xml:space="preserve">   </t>
  </si>
  <si>
    <t>Chau Col</t>
  </si>
  <si>
    <t>ផ្នែក ចាត់តាំង រដ្ឋបាល</t>
  </si>
  <si>
    <t>ផ្នែក ហិរញ្ញវត្ថុ គណនេយ្យ</t>
  </si>
  <si>
    <t>PHÒNG TCHC</t>
  </si>
  <si>
    <t>PHÒNG TCKT</t>
  </si>
  <si>
    <t>អនុម័តនាយកក្រុមហ៊ុន</t>
  </si>
  <si>
    <t>DUYỆT GIÁM ĐỐC</t>
  </si>
  <si>
    <t>ព្រះរាជាណាចក្រ កម្ពុជា</t>
  </si>
  <si>
    <t>ជាតិ សាសនា ព្រះមហាក្សត្រ</t>
  </si>
  <si>
    <t>______</t>
  </si>
  <si>
    <t>តារាងតុល្យភាពបំណុល</t>
  </si>
  <si>
    <t>BẢNG CÂN ĐỐI CÔNG NỢ</t>
  </si>
  <si>
    <t>Riel</t>
  </si>
  <si>
    <t>TỔNG</t>
  </si>
  <si>
    <t>tháng 13</t>
  </si>
  <si>
    <t>1/ ប្រាក់បៀវត្សវគ្គ 1 (Tiền lương đợt 1):</t>
  </si>
  <si>
    <t>đầu vụ</t>
  </si>
  <si>
    <r>
      <t xml:space="preserve">2/ ប្រាក់បៀវត្សវគ្គ 2 </t>
    </r>
    <r>
      <rPr>
        <sz val="14"/>
        <color indexed="8"/>
        <rFont val="Times New Roman"/>
        <family val="1"/>
      </rPr>
      <t>(Tiền lương đợt 2)</t>
    </r>
    <r>
      <rPr>
        <sz val="14"/>
        <color indexed="8"/>
        <rFont val="Khmer OS Bokor"/>
      </rPr>
      <t>:</t>
    </r>
  </si>
  <si>
    <t>3/ Tiền lương tháng 13</t>
  </si>
  <si>
    <t>4/ Tiền Thưởng đầu vụ cạo</t>
  </si>
  <si>
    <t>3/ ប្រាក់អតិតភាព​ ៦ខែ ដើមឆ្នាំ ២០២១៣ 
(Lương thâm niên 6 tháng đầu năm 2023)</t>
  </si>
  <si>
    <t>thâm niên</t>
  </si>
  <si>
    <r>
      <t xml:space="preserve">II/ </t>
    </r>
    <r>
      <rPr>
        <u/>
        <sz val="14"/>
        <color indexed="8"/>
        <rFont val="Khmer OS Muol Light"/>
      </rPr>
      <t>ប្រាក់បានទទួល</t>
    </r>
    <r>
      <rPr>
        <b/>
        <u/>
        <sz val="14"/>
        <color indexed="8"/>
        <rFont val="Khmer OS Muol Light"/>
      </rPr>
      <t xml:space="preserve"> </t>
    </r>
    <r>
      <rPr>
        <b/>
        <u/>
        <sz val="14"/>
        <color indexed="8"/>
        <rFont val="Times New Roman"/>
        <family val="1"/>
      </rPr>
      <t>(Các khoản đã nhận)</t>
    </r>
    <r>
      <rPr>
        <b/>
        <u/>
        <sz val="14"/>
        <color indexed="8"/>
        <rFont val="Khmer OS Muol Light"/>
      </rPr>
      <t>:</t>
    </r>
  </si>
  <si>
    <t>BHHT</t>
  </si>
  <si>
    <t>1/ប្រាក់បៀវត្សវត្ត១បានទទូល/Lương đợt 1 đã nhận</t>
  </si>
  <si>
    <t>TNCN</t>
  </si>
  <si>
    <r>
      <t xml:space="preserve">III/ </t>
    </r>
    <r>
      <rPr>
        <u/>
        <sz val="14"/>
        <color indexed="8"/>
        <rFont val="Khmer OS Muol Light"/>
      </rPr>
      <t>ប្រាក់ត្រូវប្រមូល</t>
    </r>
    <r>
      <rPr>
        <b/>
        <u/>
        <sz val="14"/>
        <color indexed="8"/>
        <rFont val="Khmer OS Muol Light"/>
      </rPr>
      <t xml:space="preserve"> </t>
    </r>
    <r>
      <rPr>
        <b/>
        <u/>
        <sz val="14"/>
        <color indexed="8"/>
        <rFont val="Times New Roman"/>
        <family val="1"/>
      </rPr>
      <t>(Các khoản phải thu)</t>
    </r>
    <r>
      <rPr>
        <b/>
        <u/>
        <sz val="14"/>
        <color indexed="8"/>
        <rFont val="Khmer OS Muol Light"/>
      </rPr>
      <t>:</t>
    </r>
  </si>
  <si>
    <t>Thực nhận</t>
  </si>
  <si>
    <r>
      <t xml:space="preserve">1/ ពន្ធលើប្រាក់បៀវត្ស </t>
    </r>
    <r>
      <rPr>
        <sz val="14"/>
        <color indexed="8"/>
        <rFont val="Times New Roman"/>
        <family val="1"/>
      </rPr>
      <t>(Thuế TNCN)</t>
    </r>
    <r>
      <rPr>
        <sz val="14"/>
        <color indexed="8"/>
        <rFont val="Khmer OS Bokor"/>
      </rPr>
      <t>:</t>
    </r>
  </si>
  <si>
    <r>
      <t xml:space="preserve">2/ បុរេប្រទានផ្ទាល់ខ្លួន </t>
    </r>
    <r>
      <rPr>
        <sz val="14"/>
        <color indexed="8"/>
        <rFont val="Times New Roman"/>
        <family val="1"/>
      </rPr>
      <t>(Tạm ứng cá nhân)</t>
    </r>
    <r>
      <rPr>
        <sz val="14"/>
        <color indexed="8"/>
        <rFont val="Khmer OS Bokor"/>
      </rPr>
      <t>:</t>
    </r>
  </si>
  <si>
    <t>3/ភាគទានប្រាក់សោធន (BHXH):</t>
  </si>
  <si>
    <r>
      <t xml:space="preserve">IV/ </t>
    </r>
    <r>
      <rPr>
        <u/>
        <sz val="14"/>
        <color indexed="8"/>
        <rFont val="Khmer OS Muol Light"/>
      </rPr>
      <t>ប្រាក់ត្រូវទទួល</t>
    </r>
    <r>
      <rPr>
        <b/>
        <u/>
        <sz val="14"/>
        <color indexed="8"/>
        <rFont val="Khmer OS Muol Light"/>
      </rPr>
      <t xml:space="preserve"> </t>
    </r>
    <r>
      <rPr>
        <b/>
        <u/>
        <sz val="14"/>
        <color indexed="8"/>
        <rFont val="Times New Roman"/>
        <family val="1"/>
      </rPr>
      <t>(Thực nhận)</t>
    </r>
    <r>
      <rPr>
        <b/>
        <u/>
        <sz val="14"/>
        <color indexed="8"/>
        <rFont val="Khmer OS Muol Light"/>
      </rPr>
      <t>:</t>
    </r>
  </si>
  <si>
    <r>
      <t>1/ ប្រាក់បៀវត្សត្រូវទទួល</t>
    </r>
    <r>
      <rPr>
        <sz val="14"/>
        <color indexed="8"/>
        <rFont val="Times New Roman"/>
        <family val="1"/>
      </rPr>
      <t xml:space="preserve"> (Tiền lương thực nhận)</t>
    </r>
    <r>
      <rPr>
        <sz val="14"/>
        <color indexed="8"/>
        <rFont val="Khmer OS Bokor"/>
      </rPr>
      <t>:</t>
    </r>
  </si>
  <si>
    <t xml:space="preserve">          ផ្នែក ហិរញ្ញវត្ថុ គណនេយ្យ</t>
  </si>
  <si>
    <t xml:space="preserve">                 PHÒNG TCKT</t>
  </si>
  <si>
    <t>ក្រុមហ៊ុន កៅស៊ូ មេគង្គ ខូអិលធីឌី</t>
  </si>
  <si>
    <t>ព្រះរាជាណាចក្រកម្ពុជា</t>
  </si>
  <si>
    <t>___________</t>
  </si>
  <si>
    <t>BẢNG KHỐI LƯỢNG CÔNG NHÂN CAMPUCHIA VƯỜN KHAI THÁC</t>
  </si>
  <si>
    <t>Phần cạo</t>
  </si>
  <si>
    <t>ជៀរ សាជ័រកៅស៊ូ</t>
  </si>
  <si>
    <t>Cạo trút và giao nộp mủ</t>
  </si>
  <si>
    <t>Sản lượng mủ đông</t>
  </si>
  <si>
    <t>Công chuyên cần</t>
  </si>
  <si>
    <t xml:space="preserve">Thưởng phạt kỹ thuật </t>
  </si>
  <si>
    <t>Phụ cấp (mì+dầu)</t>
  </si>
  <si>
    <t>VƯỜN CÂY 2011</t>
  </si>
  <si>
    <t>tt</t>
  </si>
  <si>
    <t>Tổng Cộng</t>
  </si>
  <si>
    <t>Người lập</t>
  </si>
  <si>
    <t>BEN KHON</t>
  </si>
  <si>
    <t>NHOR SOKHA</t>
  </si>
  <si>
    <t xml:space="preserve">lễ </t>
  </si>
  <si>
    <t>ទិន្នផលជ័រកក/Sản lượng mủ đông KD 5</t>
  </si>
  <si>
    <t>ផ្លាស់ប្តូរគម្របចាន</t>
  </si>
  <si>
    <t>កម្លាំងការពារជាប្រចាំ 
(កម្លាំង/ហិកតា)</t>
  </si>
  <si>
    <t>Thay thế mái che chén</t>
  </si>
  <si>
    <t>Bảo vệ thường xuyên ( công/ha)</t>
  </si>
  <si>
    <t>ជាប្រាក់
Thành Tiền
44%</t>
  </si>
  <si>
    <t>cạo trút mủ</t>
  </si>
  <si>
    <t>ឆែម ហុង</t>
  </si>
  <si>
    <t>CHHEM HONG</t>
  </si>
  <si>
    <t>សុទ្ធ សីថា</t>
  </si>
  <si>
    <t>SOT SEYTHA</t>
  </si>
  <si>
    <t>CHOUN LOM</t>
  </si>
  <si>
    <t>ណំ ធីងធីង</t>
  </si>
  <si>
    <t>NON THING THING</t>
  </si>
  <si>
    <t>យឿង សុខជា</t>
  </si>
  <si>
    <t>YOEUNG SOKCHEA</t>
  </si>
  <si>
    <t>អួន សុភាព</t>
  </si>
  <si>
    <t>OURN SOPHEAP</t>
  </si>
  <si>
    <t>ភួន ភី</t>
  </si>
  <si>
    <t>PHUON PHY</t>
  </si>
  <si>
    <t>សេត ចន</t>
  </si>
  <si>
    <t>SET CHAN</t>
  </si>
  <si>
    <t>ណាំ សិទ្ធិ</t>
  </si>
  <si>
    <t>NOM SITH</t>
  </si>
  <si>
    <t>ធ្លក រាន់</t>
  </si>
  <si>
    <t>THLOK ROIN</t>
  </si>
  <si>
    <t>ប៉ិន សូភ័ស</t>
  </si>
  <si>
    <t>BIN SOPHORS</t>
  </si>
  <si>
    <t>វ៉ាន់ បូរិធ្ធ</t>
  </si>
  <si>
    <t>VANN BORITH</t>
  </si>
  <si>
    <t>CHHEANG PHALLEAB</t>
  </si>
  <si>
    <t>ឆែន ឆុន</t>
  </si>
  <si>
    <t>CHHEN CHHON</t>
  </si>
  <si>
    <t>មាស សំឡត</t>
  </si>
  <si>
    <t>MEAS SOMLOT</t>
  </si>
  <si>
    <t>គ្រួច គ្រីន</t>
  </si>
  <si>
    <t>KRUOCH KRIN</t>
  </si>
  <si>
    <t>ស្រេង សំណាង</t>
  </si>
  <si>
    <t>SRENG SAMNANG</t>
  </si>
  <si>
    <t>ហ៊ិត ងួន</t>
  </si>
  <si>
    <t>HIK NGUON</t>
  </si>
  <si>
    <t>សៀក សំ</t>
  </si>
  <si>
    <t>SIEK SAM</t>
  </si>
  <si>
    <t>សេង សោភា</t>
  </si>
  <si>
    <t>SENG SOPHEA</t>
  </si>
  <si>
    <t>សុទ្ធ សុខជា</t>
  </si>
  <si>
    <t>SOTH SOKCHEA</t>
  </si>
  <si>
    <t>ពិន ឆេន</t>
  </si>
  <si>
    <t>PIN CHHEN</t>
  </si>
  <si>
    <t>កេត នី</t>
  </si>
  <si>
    <t>KET NY</t>
  </si>
  <si>
    <t>គៀវ និ</t>
  </si>
  <si>
    <t>KIEV NIK</t>
  </si>
  <si>
    <t>ចាយ ពន្លក</t>
  </si>
  <si>
    <t>CHAY PONLOK</t>
  </si>
  <si>
    <t>សំ ផុន</t>
  </si>
  <si>
    <t>SOM PHON</t>
  </si>
  <si>
    <t>អ៊ុន ឆវ័ន</t>
  </si>
  <si>
    <t>UN CHORVON</t>
  </si>
  <si>
    <t>ប៉ិល ថា</t>
  </si>
  <si>
    <t>PEL THA</t>
  </si>
  <si>
    <t>ប៉ិល ផល្លា</t>
  </si>
  <si>
    <t>PEL PHALLA</t>
  </si>
  <si>
    <t>យៀក ឌី</t>
  </si>
  <si>
    <t>YIEN DY</t>
  </si>
  <si>
    <t>អៀវ សុភ័ណ្ន</t>
  </si>
  <si>
    <t>IEV SOPHORN</t>
  </si>
  <si>
    <t>គុយ សឿន</t>
  </si>
  <si>
    <t>KUY SOEUN</t>
  </si>
  <si>
    <t>សាំ សុរីសា</t>
  </si>
  <si>
    <t>SAM SORYSA</t>
  </si>
  <si>
    <t>មាស សំបាន</t>
  </si>
  <si>
    <t>MEAS SOM BAN</t>
  </si>
  <si>
    <t>សុទ្ធ ឡៃហ័ន</t>
  </si>
  <si>
    <t>SOT LAYHORN</t>
  </si>
  <si>
    <t>អឿង សំអុល</t>
  </si>
  <si>
    <t>OENG SAMOL</t>
  </si>
  <si>
    <t>ពិន អូនទូច</t>
  </si>
  <si>
    <t>PIN AUNTOUCH</t>
  </si>
  <si>
    <t>SIEK SOM</t>
  </si>
  <si>
    <t>ពិន កន</t>
  </si>
  <si>
    <t>PEN SREY KAN</t>
  </si>
  <si>
    <t>គាន ខេន</t>
  </si>
  <si>
    <t>KEAN KHEN</t>
  </si>
  <si>
    <t>ថៃ ឈាង</t>
  </si>
  <si>
    <t>THAI CHHEANG</t>
  </si>
  <si>
    <t>ឆេង យីន</t>
  </si>
  <si>
    <t>CHHENG YIN</t>
  </si>
  <si>
    <t>ណាក់ ស៊ាក</t>
  </si>
  <si>
    <t>NAK SEAK</t>
  </si>
  <si>
    <t>ឈុន សុខឃឿន</t>
  </si>
  <si>
    <t>CHHUN SOKHOEUN</t>
  </si>
  <si>
    <t>កោ លីណា</t>
  </si>
  <si>
    <t>KOA LYNA</t>
  </si>
  <si>
    <t>ទ្រី ចាន់ធូ</t>
  </si>
  <si>
    <t>TRY CHANTHOU</t>
  </si>
  <si>
    <t>ផុន វន</t>
  </si>
  <si>
    <t>PHON VORN</t>
  </si>
  <si>
    <t>ឃឿន ហែ</t>
  </si>
  <si>
    <t>KHOEUN HE</t>
  </si>
  <si>
    <t>ប៉ីង ថា</t>
  </si>
  <si>
    <t>POENG THA</t>
  </si>
  <si>
    <t>កោ គង្គា</t>
  </si>
  <si>
    <t>KOR KONGKEA</t>
  </si>
  <si>
    <t>សេង សីហា</t>
  </si>
  <si>
    <t>SENG SEYHA</t>
  </si>
  <si>
    <t>ថៃ លក្ខិណា</t>
  </si>
  <si>
    <t>THAI LEAKANA</t>
  </si>
  <si>
    <t>ឈឿន សុខច័ន្ទ</t>
  </si>
  <si>
    <t>CHHOEUN SOKCHAN</t>
  </si>
  <si>
    <t>សុទ្ធ សានី</t>
  </si>
  <si>
    <t>SOTH SANY</t>
  </si>
  <si>
    <t>យឿង សុខជាតិ</t>
  </si>
  <si>
    <t>YOEUNG SOCHEAT</t>
  </si>
  <si>
    <t>ម៉ែន មឿន</t>
  </si>
  <si>
    <t>MEN MOEUN</t>
  </si>
  <si>
    <t>យ៉ុង រី</t>
  </si>
  <si>
    <t>YONG RY</t>
  </si>
  <si>
    <t>ហៃ អូន</t>
  </si>
  <si>
    <t>HAI ON</t>
  </si>
  <si>
    <t>វ៉ាន់ គាត</t>
  </si>
  <si>
    <t>VANN KEAT</t>
  </si>
  <si>
    <t>ឆែម ឆុំ</t>
  </si>
  <si>
    <t>CHHEIM CHHOM</t>
  </si>
  <si>
    <t>ឃឿន សុក</t>
  </si>
  <si>
    <t>KHOEUN SOK</t>
  </si>
  <si>
    <t>ណំ វ៉ាន់ស៊ីង</t>
  </si>
  <si>
    <t>NOM VANSING</t>
  </si>
  <si>
    <t>DIEB CHANNA</t>
  </si>
  <si>
    <t>ឆែម ឆាន</t>
  </si>
  <si>
    <t>CHHEM CHHAN</t>
  </si>
  <si>
    <t>ហៃ សុខវី</t>
  </si>
  <si>
    <t>HAY SOK VY</t>
  </si>
  <si>
    <t>ចយ សុខណា</t>
  </si>
  <si>
    <t>JOY SOKNA</t>
  </si>
  <si>
    <t>តុប តង</t>
  </si>
  <si>
    <t>TOB TORNG</t>
  </si>
  <si>
    <t>រ៉ែម រ៉ុម</t>
  </si>
  <si>
    <t>REM ROM</t>
  </si>
  <si>
    <t>ចយ សុខា</t>
  </si>
  <si>
    <t>CHORY SOKHA</t>
  </si>
  <si>
    <t>សាត ម៉េងហួន</t>
  </si>
  <si>
    <t>SAT MENGHOUR</t>
  </si>
  <si>
    <t>ប៉ិល សុជា</t>
  </si>
  <si>
    <t>PEL SODA</t>
  </si>
  <si>
    <t>ទ្រី​ សុខខី</t>
  </si>
  <si>
    <t>TRY SOKKHEY</t>
  </si>
  <si>
    <t>ដែង ស</t>
  </si>
  <si>
    <t>DENG SOR</t>
  </si>
  <si>
    <t>អ៊ុក រដ្ឋ</t>
  </si>
  <si>
    <t>UK ROTH</t>
  </si>
  <si>
    <t>ដែង សន</t>
  </si>
  <si>
    <t xml:space="preserve">DENG SAN </t>
  </si>
  <si>
    <t>ញូន ស្រីខួច</t>
  </si>
  <si>
    <t>NHOUN SREYKHOUCH</t>
  </si>
  <si>
    <t>សេក សាមន់</t>
  </si>
  <si>
    <t>SEK SAMON</t>
  </si>
  <si>
    <t>សាយ ដួច</t>
  </si>
  <si>
    <t>SAY DUOCH</t>
  </si>
  <si>
    <t>ខ្វាន់ ណាក់</t>
  </si>
  <si>
    <t>KHVANN NAK</t>
  </si>
  <si>
    <t>KHA SOEUN</t>
  </si>
  <si>
    <t>ឈូក ឆោម</t>
  </si>
  <si>
    <t>CHHOUK CHHAOM</t>
  </si>
  <si>
    <t>LA RASAEN</t>
  </si>
  <si>
    <t>ទួន វ៉ាន់ណេត</t>
  </si>
  <si>
    <t>THOUN VANNET</t>
  </si>
  <si>
    <t>សាំ សាន</t>
  </si>
  <si>
    <t>SOM SAN</t>
  </si>
  <si>
    <t>សំអុន កាសេន</t>
  </si>
  <si>
    <t>SAMUN KASEN</t>
  </si>
  <si>
    <t>ខ្វេង ឡោះ</t>
  </si>
  <si>
    <t>KHVENG LOH</t>
  </si>
  <si>
    <t>លី​ ភៀត</t>
  </si>
  <si>
    <t>LY PHIET</t>
  </si>
  <si>
    <t>ហ៊ុយ ចយ</t>
  </si>
  <si>
    <t>HUY CHOY</t>
  </si>
  <si>
    <t>ឈាង ឆេន</t>
  </si>
  <si>
    <t>CHHEANG CHHEN</t>
  </si>
  <si>
    <t>ប៉ឹង តូច</t>
  </si>
  <si>
    <t>POENG TOUCH</t>
  </si>
  <si>
    <t>ម៉ន ស៊ីន</t>
  </si>
  <si>
    <t>MORN SIN</t>
  </si>
  <si>
    <t>យឿន យួន</t>
  </si>
  <si>
    <t>YOEUN YOUN</t>
  </si>
  <si>
    <t>ណាក់ ញ៉ាញ់</t>
  </si>
  <si>
    <t>NAK NHANH</t>
  </si>
  <si>
    <t>មាន រិទ្ធី</t>
  </si>
  <si>
    <t>MEAN RITHY</t>
  </si>
  <si>
    <t>ក្រិម រ៉ែម</t>
  </si>
  <si>
    <t>KROENG REM</t>
  </si>
  <si>
    <t>អ៊ុក សុគួន</t>
  </si>
  <si>
    <t>UK SOKOURN</t>
  </si>
  <si>
    <t>ហ៊ាង ហេន</t>
  </si>
  <si>
    <t>HEANG HEN</t>
  </si>
  <si>
    <t>ហួន យ៉េ</t>
  </si>
  <si>
    <t>HOURN YE</t>
  </si>
  <si>
    <t>លី ចិត្តត្រា</t>
  </si>
  <si>
    <t>LY CHITRA</t>
  </si>
  <si>
    <t>ម៉ោន ហ៊ុំ</t>
  </si>
  <si>
    <t>MORN HUM</t>
  </si>
  <si>
    <t>លី សឹង</t>
  </si>
  <si>
    <t>LY SOENG</t>
  </si>
  <si>
    <t>ងិន ម៉ុត</t>
  </si>
  <si>
    <t>NGIN MOT</t>
  </si>
  <si>
    <t>វ៉ន សុភី</t>
  </si>
  <si>
    <t>VORN SOPHY</t>
  </si>
  <si>
    <t>កោ វុទ្ធី</t>
  </si>
  <si>
    <t>KOR VUTHY</t>
  </si>
  <si>
    <t>ហាយ សុភី</t>
  </si>
  <si>
    <t>HAY SOPHY</t>
  </si>
  <si>
    <t>សែ ពិពឹ</t>
  </si>
  <si>
    <t>SE PIPY</t>
  </si>
  <si>
    <t>ឈីវ ភាត</t>
  </si>
  <si>
    <t>CHHIV PHEAT</t>
  </si>
  <si>
    <t>សុខ ណេ</t>
  </si>
  <si>
    <t>SOK NE</t>
  </si>
  <si>
    <t>កាន់ សុគីន</t>
  </si>
  <si>
    <t>KAN SOKIN</t>
  </si>
  <si>
    <t>ដែង តូច</t>
  </si>
  <si>
    <t>DENG TOUCH</t>
  </si>
  <si>
    <t>ឈីវ ផល</t>
  </si>
  <si>
    <t>CHHIV PHALL</t>
  </si>
  <si>
    <t>កែវ សុខគង់</t>
  </si>
  <si>
    <t>KEO SOKONG</t>
  </si>
  <si>
    <t>ភឿន សុផល់</t>
  </si>
  <si>
    <t>PHOEUN SOPHAL</t>
  </si>
  <si>
    <t>តូច លីម</t>
  </si>
  <si>
    <t>TOUCH LIM</t>
  </si>
  <si>
    <t>HET PHAN</t>
  </si>
  <si>
    <t>ហាង់ យ៉ាត់</t>
  </si>
  <si>
    <t>HANG YATH</t>
  </si>
  <si>
    <t>សែម សាមេន</t>
  </si>
  <si>
    <t>SEM SAMEN</t>
  </si>
  <si>
    <t>ផាន់ ខេ</t>
  </si>
  <si>
    <t>PHANN KHE</t>
  </si>
  <si>
    <t>លន លៀម</t>
  </si>
  <si>
    <t>LON LEAM</t>
  </si>
  <si>
    <t>ចាន់ ណារ៉ុង</t>
  </si>
  <si>
    <t>CHAN NARONG</t>
  </si>
  <si>
    <t>ង៉ា អ៊ាត</t>
  </si>
  <si>
    <t>NGAR EAT</t>
  </si>
  <si>
    <t>យៀត ដា</t>
  </si>
  <si>
    <t>YIET DA</t>
  </si>
  <si>
    <t>បួ សុខជា</t>
  </si>
  <si>
    <t>BOUR SOKCHEA</t>
  </si>
  <si>
    <t>ឃឹម ធឿន</t>
  </si>
  <si>
    <t>KHOEM THOEUN</t>
  </si>
  <si>
    <t>ឆែម អ៊ិន</t>
  </si>
  <si>
    <t>CHHEM IN</t>
  </si>
  <si>
    <t>វឿន លឹម</t>
  </si>
  <si>
    <t>VOEUN LIM</t>
  </si>
  <si>
    <t>តោ ទឿន</t>
  </si>
  <si>
    <t>TOR TOEUN</t>
  </si>
  <si>
    <t>NHOV NHIM</t>
  </si>
  <si>
    <t>តួច ចាន់លី</t>
  </si>
  <si>
    <t>TOUCH CHANLY</t>
  </si>
  <si>
    <t>ឈាន អន</t>
  </si>
  <si>
    <t>CHHEAN ORN</t>
  </si>
  <si>
    <t>មាស ណាលីន</t>
  </si>
  <si>
    <t>MEAS NALIN</t>
  </si>
  <si>
    <t>ម៉ួន ហ៊ាង</t>
  </si>
  <si>
    <t>MUON HEANG</t>
  </si>
  <si>
    <t>យ៉េន ហៃ</t>
  </si>
  <si>
    <t>YEN HAI</t>
  </si>
  <si>
    <t>ស្រី អ៊ឹម</t>
  </si>
  <si>
    <t>SREY OEM</t>
  </si>
  <si>
    <t>ណេ សារ៉ាត់</t>
  </si>
  <si>
    <t>NE SARATH</t>
  </si>
  <si>
    <t>សន ធីន</t>
  </si>
  <si>
    <t>SORN THIN</t>
  </si>
  <si>
    <t>ម៉ន ម៉ៃ</t>
  </si>
  <si>
    <t>MORN MAY</t>
  </si>
  <si>
    <t>ជន សាមាក់</t>
  </si>
  <si>
    <t>CHORN SAMAK</t>
  </si>
  <si>
    <t>សេង មករា</t>
  </si>
  <si>
    <t>SENG MEAKARA</t>
  </si>
  <si>
    <t>ហ៊ាវ ហៃ</t>
  </si>
  <si>
    <t>HEAV HAI</t>
  </si>
  <si>
    <t>មឿន សាវន</t>
  </si>
  <si>
    <t>MOEUN SAVON</t>
  </si>
  <si>
    <t>ប៉ុន សាវីន</t>
  </si>
  <si>
    <t>POV SAVIN</t>
  </si>
  <si>
    <t>ម៉ិក ស្រីលាក់</t>
  </si>
  <si>
    <t>MIK SREYLEAK</t>
  </si>
  <si>
    <t>គង់ ពន្លឹ</t>
  </si>
  <si>
    <t>KONG PUNLEU</t>
  </si>
  <si>
    <t>បាន សុខឿន</t>
  </si>
  <si>
    <t>BAN SOKHOEUN</t>
  </si>
  <si>
    <t>ខុន ស្រីនាង</t>
  </si>
  <si>
    <t>KHON SREYNEANG</t>
  </si>
  <si>
    <t>ត្រច ធីតា</t>
  </si>
  <si>
    <t>TROCH THYDA</t>
  </si>
  <si>
    <t>ភួន ខេង</t>
  </si>
  <si>
    <t>PHUON KHENG</t>
  </si>
  <si>
    <t>ពិន ចាន់នី</t>
  </si>
  <si>
    <t>PIN CHANNY</t>
  </si>
  <si>
    <t>ផា សុផុន</t>
  </si>
  <si>
    <t>PHA SOPHON</t>
  </si>
  <si>
    <t>វ៉ា វាសនា</t>
  </si>
  <si>
    <t>VA VEASNA</t>
  </si>
  <si>
    <t>សុត តក់</t>
  </si>
  <si>
    <t>SOT TORK</t>
  </si>
  <si>
    <t>បាន ល្អិត</t>
  </si>
  <si>
    <t>BAN LOITH</t>
  </si>
  <si>
    <t>ដា វ៉ាន់ណា</t>
  </si>
  <si>
    <t>DA VANNA</t>
  </si>
  <si>
    <t>ទៀន ចែម</t>
  </si>
  <si>
    <t>TEAN CHEM</t>
  </si>
  <si>
    <t>លី ឡាត់</t>
  </si>
  <si>
    <t>LY LAYH</t>
  </si>
  <si>
    <t>ទូច ណាង</t>
  </si>
  <si>
    <t>TOUCH NANG</t>
  </si>
  <si>
    <t>មាំង ម៉ែន</t>
  </si>
  <si>
    <t>MANG MAN</t>
  </si>
  <si>
    <t>សាត សុខណេង</t>
  </si>
  <si>
    <t>SAT SOKNENG</t>
  </si>
  <si>
    <t>ស៊ុយ ចាន់នី</t>
  </si>
  <si>
    <t>SUY CHANNY</t>
  </si>
  <si>
    <t>ហាង់ ហើយ</t>
  </si>
  <si>
    <t>HANG HAEUY</t>
  </si>
  <si>
    <t>ឡៃ គុណ</t>
  </si>
  <si>
    <t>LAY KUN</t>
  </si>
  <si>
    <t>ភា ស្រីភិច</t>
  </si>
  <si>
    <t>PHEA SREYPHICH</t>
  </si>
  <si>
    <t>ពិន ចាន់ណា</t>
  </si>
  <si>
    <t>PIN CHANNA</t>
  </si>
  <si>
    <t>ប៊ូ បៀន</t>
  </si>
  <si>
    <t>BO BEAN</t>
  </si>
  <si>
    <t>មឿន ម៉ាក់</t>
  </si>
  <si>
    <t>MOEUN MAK</t>
  </si>
  <si>
    <t>ស សឿ</t>
  </si>
  <si>
    <t>SOR SOEU</t>
  </si>
  <si>
    <t>ស៊ន សី</t>
  </si>
  <si>
    <t>SORN SEY</t>
  </si>
  <si>
    <t>ឡន លាង</t>
  </si>
  <si>
    <t>LAUN LENG</t>
  </si>
  <si>
    <t>ស៊ាន ពិន</t>
  </si>
  <si>
    <t>SEAN PIN</t>
  </si>
  <si>
    <t>ប៊ូ ផៃ</t>
  </si>
  <si>
    <t>BOU PHAY</t>
  </si>
  <si>
    <t>ហួន​ ហ៊ាន</t>
  </si>
  <si>
    <t>HOURN HEAN</t>
  </si>
  <si>
    <t>ហ៊ាន តុលា</t>
  </si>
  <si>
    <t>HAN TOLA</t>
  </si>
  <si>
    <t>ទេព មឿន</t>
  </si>
  <si>
    <t>TEP MOEUN</t>
  </si>
  <si>
    <t>ប៊ូ បឿន</t>
  </si>
  <si>
    <t>BOU BOEUN</t>
  </si>
  <si>
    <t>ញ៉ីវហាន</t>
  </si>
  <si>
    <t>NHIV HAN</t>
  </si>
  <si>
    <t>ម៉ៅ អ៊ីម</t>
  </si>
  <si>
    <t>MAO IM</t>
  </si>
  <si>
    <t>អ៊ុ សុភ័ក្រ</t>
  </si>
  <si>
    <t>UNG SOPHEAK</t>
  </si>
  <si>
    <t>សាង ចន្ធី</t>
  </si>
  <si>
    <t>LEANG CHATHY</t>
  </si>
  <si>
    <t>ភូន ខេត</t>
  </si>
  <si>
    <t>PHOUN KHET</t>
  </si>
  <si>
    <t>ហ៊ាន់ គី</t>
  </si>
  <si>
    <t>HOINN KY</t>
  </si>
  <si>
    <t>ឃាន អំ</t>
  </si>
  <si>
    <t>KHEAN AM</t>
  </si>
  <si>
    <t>សុខ ទ្រី</t>
  </si>
  <si>
    <t>SOK TRY</t>
  </si>
  <si>
    <t>HOUN HET</t>
  </si>
  <si>
    <t>សុក ចិន</t>
  </si>
  <si>
    <t>SOK CHIN</t>
  </si>
  <si>
    <t>ផាន់ ភឿន</t>
  </si>
  <si>
    <t>PHANN PHOEUN</t>
  </si>
  <si>
    <t>ផន នាន</t>
  </si>
  <si>
    <t>PHON NEAN</t>
  </si>
  <si>
    <t>ផាន់ សិភា</t>
  </si>
  <si>
    <t>PHANN SOPHEA</t>
  </si>
  <si>
    <t>អឿ វឿត</t>
  </si>
  <si>
    <t>OEUR VOEURTH</t>
  </si>
  <si>
    <t>ខា​ សុឃីម</t>
  </si>
  <si>
    <t>KHA SOKHIM</t>
  </si>
  <si>
    <t>ភា សុផាត</t>
  </si>
  <si>
    <t>PHEA SOPHAT</t>
  </si>
  <si>
    <t>វឿត សុខនីន</t>
  </si>
  <si>
    <t>VOEUT SOKNIN</t>
  </si>
  <si>
    <t>យុន សី</t>
  </si>
  <si>
    <t>YUN SEY</t>
  </si>
  <si>
    <t>ធី ពុទ្ធិ</t>
  </si>
  <si>
    <t>THY PUTHI</t>
  </si>
  <si>
    <t>ឃឹម ឡន</t>
  </si>
  <si>
    <t>KHOEM LAN</t>
  </si>
  <si>
    <t>ឈឿន សារិន</t>
  </si>
  <si>
    <t>CHHOEUN SARIN</t>
  </si>
  <si>
    <t>លាង ឡៃហេង</t>
  </si>
  <si>
    <t>LEANG LAIHENG</t>
  </si>
  <si>
    <t>ហួយ ភើក</t>
  </si>
  <si>
    <t>HOURY PHEAK</t>
  </si>
  <si>
    <t>ហន ហាយ</t>
  </si>
  <si>
    <t>HORN HAY</t>
  </si>
  <si>
    <t>លាង ផា</t>
  </si>
  <si>
    <t>LEANG PHA</t>
  </si>
  <si>
    <t>អ៊ឹម ចាន់ណា</t>
  </si>
  <si>
    <t>OEM CHANNA</t>
  </si>
  <si>
    <t>អៀង វី</t>
  </si>
  <si>
    <t>EANG VY</t>
  </si>
  <si>
    <t>បុន បួត</t>
  </si>
  <si>
    <t>BON BUOT</t>
  </si>
  <si>
    <t>អ៊ូន ខ្មិក</t>
  </si>
  <si>
    <t>OUN KHMEK</t>
  </si>
  <si>
    <t>ឡាញ់ រ៉ុម</t>
  </si>
  <si>
    <t>LANG ROM</t>
  </si>
  <si>
    <t>ឡាញ់ លី</t>
  </si>
  <si>
    <t>LANH LY</t>
  </si>
  <si>
    <t>ប៊ិន យ៉ួត</t>
  </si>
  <si>
    <t>BIN YOUT</t>
  </si>
  <si>
    <t>ជ្រឹម សាត</t>
  </si>
  <si>
    <t>CHRIM SATH</t>
  </si>
  <si>
    <t>នួន នាត</t>
  </si>
  <si>
    <t>NOUN NEAT</t>
  </si>
  <si>
    <t>សៃ ឆាយា</t>
  </si>
  <si>
    <t>SAI CHHAYA</t>
  </si>
  <si>
    <t>ធី ​ភិរក្ស</t>
  </si>
  <si>
    <t>THY PHY REAK</t>
  </si>
  <si>
    <t>ភី ភ័ក្រ</t>
  </si>
  <si>
    <t>PHY PHAEK</t>
  </si>
  <si>
    <t>ឈួន ធី</t>
  </si>
  <si>
    <t>CHHUON THY</t>
  </si>
  <si>
    <t>EANG CHHIN</t>
  </si>
  <si>
    <t>លី គី</t>
  </si>
  <si>
    <t>LY KY</t>
  </si>
  <si>
    <t>សឿង ថេង</t>
  </si>
  <si>
    <t>SOEUNG THENG</t>
  </si>
  <si>
    <t>សឿន ចាន់</t>
  </si>
  <si>
    <t>SOEUN CHAN</t>
  </si>
  <si>
    <t>សោម ច័ន្ធសុភា</t>
  </si>
  <si>
    <t>SAOM CHAN SOPHEA</t>
  </si>
  <si>
    <t>គង់ សុផាន</t>
  </si>
  <si>
    <t>KONG SOPHAN</t>
  </si>
  <si>
    <t>ពាង ដែន</t>
  </si>
  <si>
    <t>PEANG DEN</t>
  </si>
  <si>
    <t>តុត យាង</t>
  </si>
  <si>
    <t>TOT YEANG</t>
  </si>
  <si>
    <t>ថន សាន</t>
  </si>
  <si>
    <t>THAN SAN</t>
  </si>
  <si>
    <t>គឿន សុខអន</t>
  </si>
  <si>
    <t>KOEUN SOH ON</t>
  </si>
  <si>
    <t>ជិន ជឿន</t>
  </si>
  <si>
    <t>CHIN CHOEUNG</t>
  </si>
  <si>
    <t>កុង នេត្រា</t>
  </si>
  <si>
    <t>KONG NETRA</t>
  </si>
  <si>
    <t>យាង យេង</t>
  </si>
  <si>
    <t>YEANG YENG</t>
  </si>
  <si>
    <t>គុង សំអូន</t>
  </si>
  <si>
    <t>KONG SAMAUN</t>
  </si>
  <si>
    <t>ឈួន ជឿន</t>
  </si>
  <si>
    <t>CHHOUN CHOEUN</t>
  </si>
  <si>
    <t>ហាប់ វឿ</t>
  </si>
  <si>
    <t>HAB VOR</t>
  </si>
  <si>
    <t>YIM HEAK</t>
  </si>
  <si>
    <t>ប៉ែន វី</t>
  </si>
  <si>
    <t>PEN VY</t>
  </si>
  <si>
    <t>ឃន សាវី</t>
  </si>
  <si>
    <t>KHORN SAVY</t>
  </si>
  <si>
    <t>សំ សុខា</t>
  </si>
  <si>
    <t>SAM SOKHA</t>
  </si>
  <si>
    <t>ជិន សីឡា</t>
  </si>
  <si>
    <t>CHIN SEYLA</t>
  </si>
  <si>
    <t>ជិន ឡត</t>
  </si>
  <si>
    <t>CHIN LOT</t>
  </si>
  <si>
    <t>អឿង សុឃាក់</t>
  </si>
  <si>
    <t>EURNG SOKEAK</t>
  </si>
  <si>
    <t>ឡន លី</t>
  </si>
  <si>
    <t>LORN LY</t>
  </si>
  <si>
    <t>ឃួន លា</t>
  </si>
  <si>
    <t>KHUN LEA</t>
  </si>
  <si>
    <t>ញាន សំបុក</t>
  </si>
  <si>
    <t>NHAN SAMBOK</t>
  </si>
  <si>
    <t>ឆាង លាស</t>
  </si>
  <si>
    <t>CHHANG LEAS</t>
  </si>
  <si>
    <t>ឆែម ភាព</t>
  </si>
  <si>
    <t>CHHEM PHEAP</t>
  </si>
  <si>
    <t>ចាន់ រស់</t>
  </si>
  <si>
    <t>CHAN ROS</t>
  </si>
  <si>
    <t>ធឿន ​ធា</t>
  </si>
  <si>
    <t>THOEURN THEA</t>
  </si>
  <si>
    <t>យី ប៉ាង</t>
  </si>
  <si>
    <t>YI PANG</t>
  </si>
  <si>
    <t>វ៉ិត មីត</t>
  </si>
  <si>
    <t>VET MIT</t>
  </si>
  <si>
    <t>ប៉ែន វណ្ណា</t>
  </si>
  <si>
    <t>BEN VANNA</t>
  </si>
  <si>
    <t>លឿន មៅ</t>
  </si>
  <si>
    <t>LOEURN MAO</t>
  </si>
  <si>
    <t>សុខ សន</t>
  </si>
  <si>
    <t>SOK SORN</t>
  </si>
  <si>
    <t>រី ឆេង</t>
  </si>
  <si>
    <t>RY CHHENG</t>
  </si>
  <si>
    <t>ហឿន រីន</t>
  </si>
  <si>
    <t>HOEUNG RIN</t>
  </si>
  <si>
    <t>ធី សុខខៃ</t>
  </si>
  <si>
    <t>THY SOKKHAI</t>
  </si>
  <si>
    <t>កើត អាត</t>
  </si>
  <si>
    <t>KOEUT AT</t>
  </si>
  <si>
    <t>ឆ្លាម ឆ្លាត</t>
  </si>
  <si>
    <t>CHLAM CHLAT</t>
  </si>
  <si>
    <t>សៅ ធី</t>
  </si>
  <si>
    <t>SOA THY</t>
  </si>
  <si>
    <t>រី អឿន</t>
  </si>
  <si>
    <t>RY OEUN</t>
  </si>
  <si>
    <t>ប៊ុត សុកង់</t>
  </si>
  <si>
    <t>BUT SOKONG</t>
  </si>
  <si>
    <t>ឡាម វង្ស</t>
  </si>
  <si>
    <t>LAM VONG</t>
  </si>
  <si>
    <t>លីម ធា</t>
  </si>
  <si>
    <t>LIM THEA</t>
  </si>
  <si>
    <t>យ៉ុន ឆាយ</t>
  </si>
  <si>
    <t>YON CHHAY</t>
  </si>
  <si>
    <t>យ៉ាត សសុឃីម</t>
  </si>
  <si>
    <t>YAT SOKHIM</t>
  </si>
  <si>
    <t>ឈន ប៊ន</t>
  </si>
  <si>
    <t>CHHON BORN</t>
  </si>
  <si>
    <t>ចន អ៊ន់</t>
  </si>
  <si>
    <t>CHAN ON</t>
  </si>
  <si>
    <t>ហ៊ាន ភ័ក្រ</t>
  </si>
  <si>
    <t>HEAN PHEAK</t>
  </si>
  <si>
    <t>ប៊ូ ស្រីណាយ</t>
  </si>
  <si>
    <t>BOU SREYNOY</t>
  </si>
  <si>
    <t>អ៊ុវ សាវុន</t>
  </si>
  <si>
    <t>IV SAVUN</t>
  </si>
  <si>
    <t>សាត កីមសេង</t>
  </si>
  <si>
    <t>SAT KIMSENG</t>
  </si>
  <si>
    <t>ធី សៀងហេង</t>
  </si>
  <si>
    <t>THY SEANG HENG</t>
  </si>
  <si>
    <t>វ៉ាត ចន្ធី</t>
  </si>
  <si>
    <t>VAT CHANTHY</t>
  </si>
  <si>
    <t>យ៉ុន ឈីន</t>
  </si>
  <si>
    <t>YON CHHIN</t>
  </si>
  <si>
    <t>ហេង សុខ​</t>
  </si>
  <si>
    <t>HENG SOK</t>
  </si>
  <si>
    <t>មឿនរម្យ</t>
  </si>
  <si>
    <t>MOEUN RUM</t>
  </si>
  <si>
    <t>សំ វិជ្ជា</t>
  </si>
  <si>
    <t>SAM VICHEA</t>
  </si>
  <si>
    <t>គង់ កៀន</t>
  </si>
  <si>
    <t>KONG KIEN</t>
  </si>
  <si>
    <t>រួន រ៉ី</t>
  </si>
  <si>
    <t>RUON RY</t>
  </si>
  <si>
    <t>BOU SREYYA</t>
  </si>
  <si>
    <t>RY THIM</t>
  </si>
  <si>
    <t>ឈិត លាង</t>
  </si>
  <si>
    <t>CHHET LEANG</t>
  </si>
  <si>
    <t>ឡាម ពុំ</t>
  </si>
  <si>
    <t>LAM PUM</t>
  </si>
  <si>
    <t>ភ័ក្រ ធិ</t>
  </si>
  <si>
    <t>PHEAK THIK</t>
  </si>
  <si>
    <t>សៀក សិន្ធ</t>
  </si>
  <si>
    <t>SIEK SITH</t>
  </si>
  <si>
    <t>ហៃ អុល</t>
  </si>
  <si>
    <t>HAI OL</t>
  </si>
  <si>
    <t>ហួត សុវ័ន្ត</t>
  </si>
  <si>
    <t>HUOT SOVORN</t>
  </si>
  <si>
    <t>អាន់ សំអូន</t>
  </si>
  <si>
    <t>ANN SAMOUN</t>
  </si>
  <si>
    <t>ឡូត សុភ័ក្រ</t>
  </si>
  <si>
    <t>LOT SOPHEAK</t>
  </si>
  <si>
    <t>យ៉ុន ផល</t>
  </si>
  <si>
    <t>YON PHAL</t>
  </si>
  <si>
    <t>យ៉ាន ត្រប់</t>
  </si>
  <si>
    <t>YAN TROB</t>
  </si>
  <si>
    <t>យ៉ុន ធា</t>
  </si>
  <si>
    <t>YON THEA</t>
  </si>
  <si>
    <t>យឿន រ៉ាឌី</t>
  </si>
  <si>
    <t>YOEUNG RADIN</t>
  </si>
  <si>
    <t>ភូន ភា</t>
  </si>
  <si>
    <t>PHUON PHEA</t>
  </si>
  <si>
    <t>ងី តំ</t>
  </si>
  <si>
    <t>NGY TOM</t>
  </si>
  <si>
    <t>ហូយ វាសនា</t>
  </si>
  <si>
    <t>HAUY VEASNA</t>
  </si>
  <si>
    <t>សឿន ចែម</t>
  </si>
  <si>
    <t>SOEUN CHEM</t>
  </si>
  <si>
    <t>អាន អឿន</t>
  </si>
  <si>
    <t>AN OEURN</t>
  </si>
  <si>
    <t>ភួន ធារី</t>
  </si>
  <si>
    <t>PHUON THEARY</t>
  </si>
  <si>
    <t>ឈឿន ដានេ</t>
  </si>
  <si>
    <t>CHOEUN DANE</t>
  </si>
  <si>
    <t>រ៉េត បូរី</t>
  </si>
  <si>
    <t>RET BORY</t>
  </si>
  <si>
    <t>SUT SOPHAL</t>
  </si>
  <si>
    <t>ឈឿន ឈួយ</t>
  </si>
  <si>
    <t>CHHOEUN CHHUOY</t>
  </si>
  <si>
    <t>ក្រីង រ៉ៃ</t>
  </si>
  <si>
    <t>KRENG REY</t>
  </si>
  <si>
    <t>សេន សេត</t>
  </si>
  <si>
    <t>SEN SET</t>
  </si>
  <si>
    <t>សឿន សុគឿន</t>
  </si>
  <si>
    <t>SOEUN SO KOEUN</t>
  </si>
  <si>
    <t>ហ៊ាប យ៉ាន</t>
  </si>
  <si>
    <t>HEAB YAN</t>
  </si>
  <si>
    <t>ធី​ពៅ</t>
  </si>
  <si>
    <t>THY POV</t>
  </si>
  <si>
    <t>ផា បូរី</t>
  </si>
  <si>
    <t>PHAA BOREY</t>
  </si>
  <si>
    <t>ងី នីម</t>
  </si>
  <si>
    <t>NGI NIM</t>
  </si>
  <si>
    <t>រ៉ុន រឿម</t>
  </si>
  <si>
    <t>RON ROEURM</t>
  </si>
  <si>
    <t>ទឹត្យ បូរី</t>
  </si>
  <si>
    <t>TOET BOUREY</t>
  </si>
  <si>
    <t>វិន មុំ</t>
  </si>
  <si>
    <t>VIN MOM</t>
  </si>
  <si>
    <t>មន ម៉ុក</t>
  </si>
  <si>
    <t>MON MOK</t>
  </si>
  <si>
    <t>បៀន ចំរើន</t>
  </si>
  <si>
    <t>BEAN CHAMROEUN</t>
  </si>
  <si>
    <t>កាន់ ថេត</t>
  </si>
  <si>
    <t>KANN THET</t>
  </si>
  <si>
    <t>ឡញ វណ្ណណែត</t>
  </si>
  <si>
    <t>LONH VANNETH</t>
  </si>
  <si>
    <t>ឆាង ហ៊ឺ</t>
  </si>
  <si>
    <t>CHHANG HEU</t>
  </si>
  <si>
    <t>ឡេង ឡុញ</t>
  </si>
  <si>
    <t>LENG LONH</t>
  </si>
  <si>
    <t>ឃឹម សុឃីន</t>
  </si>
  <si>
    <t>KHOEM SOKHIN</t>
  </si>
  <si>
    <t>រ៉ាត សារី</t>
  </si>
  <si>
    <t>RATH SARY</t>
  </si>
  <si>
    <t>ផាត ភក្តី</t>
  </si>
  <si>
    <t>PHAT PHEAKDEY</t>
  </si>
  <si>
    <t>KHEAM CHANRA</t>
  </si>
  <si>
    <t>ពី ប៉ាត់</t>
  </si>
  <si>
    <t>PY PATH</t>
  </si>
  <si>
    <t>សរ បាង</t>
  </si>
  <si>
    <t>SOR THEANG</t>
  </si>
  <si>
    <t>EANG ANN</t>
  </si>
  <si>
    <t>អៀង ផុន</t>
  </si>
  <si>
    <t>EANG PHON</t>
  </si>
  <si>
    <t>ធី ធើយ</t>
  </si>
  <si>
    <t>THY THOEUY</t>
  </si>
  <si>
    <t>ចយ ជឿន</t>
  </si>
  <si>
    <t>CHAY CHOEUN</t>
  </si>
  <si>
    <t>ឈូក ស្រីម៉ៅ</t>
  </si>
  <si>
    <t>CHHOUK SREY MAO</t>
  </si>
  <si>
    <t>ភូន ឡែម</t>
  </si>
  <si>
    <t>PHUON LEM</t>
  </si>
  <si>
    <t>លឿន លុយ</t>
  </si>
  <si>
    <t>LOEUN LUY</t>
  </si>
  <si>
    <t>ឆែម ហៀក</t>
  </si>
  <si>
    <t>CHHEM HEAK</t>
  </si>
  <si>
    <t>គួន លី</t>
  </si>
  <si>
    <t>KOUN LY</t>
  </si>
  <si>
    <t>ខ្វាន់ ឡេត</t>
  </si>
  <si>
    <t>KHVAN LET</t>
  </si>
  <si>
    <t>ហំ គា</t>
  </si>
  <si>
    <t>HOM KEA</t>
  </si>
  <si>
    <t>លី ភាក់</t>
  </si>
  <si>
    <t>LY PHEAK</t>
  </si>
  <si>
    <t>រ៉ុន​ ម៉ៃ</t>
  </si>
  <si>
    <t>RON MAY</t>
  </si>
  <si>
    <t>ហួត ហ៊ាញ</t>
  </si>
  <si>
    <t>HUOT HEANH</t>
  </si>
  <si>
    <t>ថាន់ ណារី</t>
  </si>
  <si>
    <t>THANN NARY</t>
  </si>
  <si>
    <t>ហោ នាង</t>
  </si>
  <si>
    <t>HAO NEANG</t>
  </si>
  <si>
    <t>ប៉ិន ប៉ឹន</t>
  </si>
  <si>
    <t>BIN BEN</t>
  </si>
  <si>
    <t>ហង្ស ណេន</t>
  </si>
  <si>
    <t>HANG NEN</t>
  </si>
  <si>
    <t>ហំ ហ៊ុល</t>
  </si>
  <si>
    <t>HOM HUL</t>
  </si>
  <si>
    <t>យ៉ុន រីម</t>
  </si>
  <si>
    <t>YUN RIM</t>
  </si>
  <si>
    <t>ងិន យុត</t>
  </si>
  <si>
    <t>NGIN YUT</t>
  </si>
  <si>
    <t>ឃួន ឃីម</t>
  </si>
  <si>
    <t>KHOUN KHIM</t>
  </si>
  <si>
    <t>ផាក់ វ៉ង់</t>
  </si>
  <si>
    <t>PHAK VORNG</t>
  </si>
  <si>
    <t>រីម ស្រីអែម</t>
  </si>
  <si>
    <t>RIM SREYEM</t>
  </si>
  <si>
    <t>វន តាត</t>
  </si>
  <si>
    <t>VON TATH</t>
  </si>
  <si>
    <t>គូន រ៉ាល់</t>
  </si>
  <si>
    <t>KUON RAL</t>
  </si>
  <si>
    <t>ឃុនស៊ី សា</t>
  </si>
  <si>
    <t>KHOUNSY SA</t>
  </si>
  <si>
    <t>ឃុនស៊ី សង់</t>
  </si>
  <si>
    <t>KHOUNSY SONG</t>
  </si>
  <si>
    <t>លាន ស៊ីដា</t>
  </si>
  <si>
    <t>LEAN SIDA</t>
  </si>
  <si>
    <t>គីន ធី</t>
  </si>
  <si>
    <t>KIN THY</t>
  </si>
  <si>
    <t>KHVAN LATH</t>
  </si>
  <si>
    <t>ងី វីន</t>
  </si>
  <si>
    <t>NGY VIN</t>
  </si>
  <si>
    <t>ឆេង ផល្លា</t>
  </si>
  <si>
    <t>CHHENG PHALLA</t>
  </si>
  <si>
    <t>ហោន វាសនា</t>
  </si>
  <si>
    <t>HORN VEASNA</t>
  </si>
  <si>
    <t>ហោន ហឿន</t>
  </si>
  <si>
    <t>HORN HOEUN</t>
  </si>
  <si>
    <t>អួត អិន</t>
  </si>
  <si>
    <t>UOT ENN</t>
  </si>
  <si>
    <t>ខា ខន</t>
  </si>
  <si>
    <t>KHA KHORN</t>
  </si>
  <si>
    <t>ឈុន ដាលីន</t>
  </si>
  <si>
    <t>CHHUN DALIN</t>
  </si>
  <si>
    <t>ហ៊ី ទីន</t>
  </si>
  <si>
    <t>HY TIN</t>
  </si>
  <si>
    <t>ហន ហ៊ុន</t>
  </si>
  <si>
    <t>HORN HUN</t>
  </si>
  <si>
    <t>ហោន លីដា</t>
  </si>
  <si>
    <t>HORN LIDA</t>
  </si>
  <si>
    <t>ផល អេ</t>
  </si>
  <si>
    <t>PHAL E</t>
  </si>
  <si>
    <t>ខឹង យ៉ាត់</t>
  </si>
  <si>
    <t>KHING YATH</t>
  </si>
  <si>
    <t>ថា ស្រីអែម</t>
  </si>
  <si>
    <t>THA SREY EM</t>
  </si>
  <si>
    <t>ឆាន ណាន់</t>
  </si>
  <si>
    <t>CHHAN NANN</t>
  </si>
  <si>
    <t>គន កឿន</t>
  </si>
  <si>
    <t>KON NOEUN</t>
  </si>
  <si>
    <t>ណាន ពន្លក</t>
  </si>
  <si>
    <t>NAN POLORK</t>
  </si>
  <si>
    <t>ត្រុច ម៉ាច</t>
  </si>
  <si>
    <t>TROCH MACH</t>
  </si>
  <si>
    <t>អ៊ាង ទិត</t>
  </si>
  <si>
    <t>EANG TITH</t>
  </si>
  <si>
    <t>យ៉ុន ណៃត</t>
  </si>
  <si>
    <t>YON NEIT</t>
  </si>
  <si>
    <t>អឿន ចិចិត្រ</t>
  </si>
  <si>
    <t>AEURN VECHET</t>
  </si>
  <si>
    <t>ឈិត ម៉ៅ</t>
  </si>
  <si>
    <t>CHHIT MOA</t>
  </si>
  <si>
    <t>ស៊ីយ៉ង់</t>
  </si>
  <si>
    <t>SIM YANG</t>
  </si>
  <si>
    <t>LY CHANNY</t>
  </si>
  <si>
    <t>សេង ត្រុច</t>
  </si>
  <si>
    <t>SENG TROCH</t>
  </si>
  <si>
    <t>ឡាច ឆេងលី</t>
  </si>
  <si>
    <t>LACH CHHENGLY</t>
  </si>
  <si>
    <t>ហេង ចាន់</t>
  </si>
  <si>
    <t>HENG CHANN</t>
  </si>
  <si>
    <t>LAT MAO</t>
  </si>
  <si>
    <t>ធាន​ ញ៉ាញ់</t>
  </si>
  <si>
    <t>THEAN NHANH</t>
  </si>
  <si>
    <t>ក ប៉ា</t>
  </si>
  <si>
    <t>KOR PA</t>
  </si>
  <si>
    <t>ឡង ឡំ</t>
  </si>
  <si>
    <t>LONG LOM</t>
  </si>
  <si>
    <t>ក កុល</t>
  </si>
  <si>
    <t>KOR KOL</t>
  </si>
  <si>
    <t>ថន អន</t>
  </si>
  <si>
    <t>THORN ORN</t>
  </si>
  <si>
    <t>ទូច ចន្ថា</t>
  </si>
  <si>
    <t>TOCH CHANTHA</t>
  </si>
  <si>
    <t>បិន ចាន់</t>
  </si>
  <si>
    <t>BEN CHANN</t>
  </si>
  <si>
    <t>ធាន ថេង</t>
  </si>
  <si>
    <t>THEAN THENG</t>
  </si>
  <si>
    <t>ឈុន សុឃីម</t>
  </si>
  <si>
    <t>CHHUN SOKHIM</t>
  </si>
  <si>
    <t>អ៊ី សុខេន</t>
  </si>
  <si>
    <t>IY SOHKENG</t>
  </si>
  <si>
    <t>ទិត ចំរើន</t>
  </si>
  <si>
    <t>TET CHAMRAEUN</t>
  </si>
  <si>
    <t>ឈុន សុខខុម</t>
  </si>
  <si>
    <t>CHHUN SOKHOM</t>
  </si>
  <si>
    <t>ត្រុច ចិត្រ្តា</t>
  </si>
  <si>
    <t>TROCH CHET TRA</t>
  </si>
  <si>
    <t>ឈុន សុខធា</t>
  </si>
  <si>
    <t>CHHUN SOKTHEA</t>
  </si>
  <si>
    <t>ថាវ ផា</t>
  </si>
  <si>
    <t>THAV PHA</t>
  </si>
  <si>
    <t>លន វុត</t>
  </si>
  <si>
    <t>LORN VUT</t>
  </si>
  <si>
    <t>លីន ចាន់</t>
  </si>
  <si>
    <t>LIN CHAN</t>
  </si>
  <si>
    <t>ទិត ភឿន</t>
  </si>
  <si>
    <t>TITH PHOEUN</t>
  </si>
  <si>
    <t>យេត​ យ៉ី</t>
  </si>
  <si>
    <t>YET YEV</t>
  </si>
  <si>
    <t>ប៉ិច រក្សា</t>
  </si>
  <si>
    <t>PECH REAKSA</t>
  </si>
  <si>
    <t>គ្រីប គន្ធា</t>
  </si>
  <si>
    <t>KRIB KUNTHEA</t>
  </si>
  <si>
    <t>គ្រីប ស្រិន</t>
  </si>
  <si>
    <t>KRIB SRIN</t>
  </si>
  <si>
    <t>យូន ថាញ់</t>
  </si>
  <si>
    <t>YOUN THANH</t>
  </si>
  <si>
    <t>រត សារិ</t>
  </si>
  <si>
    <t>ROT SARIK</t>
  </si>
  <si>
    <t>លឹម ឡាច</t>
  </si>
  <si>
    <t>LOEM LACH</t>
  </si>
  <si>
    <t>យី​ សុខដា</t>
  </si>
  <si>
    <t>YI SOKDA</t>
  </si>
  <si>
    <t>អ៊ីម អាន</t>
  </si>
  <si>
    <t>OEM AN</t>
  </si>
  <si>
    <t>យី អាន់</t>
  </si>
  <si>
    <t>YI ANN</t>
  </si>
  <si>
    <t>ស៊ុំ សាលី</t>
  </si>
  <si>
    <t>SUM SALY</t>
  </si>
  <si>
    <t>ជិន ជុំ</t>
  </si>
  <si>
    <t>CHIN CHUM</t>
  </si>
  <si>
    <t>វិន វិត</t>
  </si>
  <si>
    <t>VIN VET</t>
  </si>
  <si>
    <t>ឈូក ខាត់ណា</t>
  </si>
  <si>
    <t>CHHOUK KHATNA</t>
  </si>
  <si>
    <t>សឿន សាន</t>
  </si>
  <si>
    <t>SOEUN SAN</t>
  </si>
  <si>
    <t>យូត លៀ</t>
  </si>
  <si>
    <t>YOUT LEA</t>
  </si>
  <si>
    <t>យួន ឃួន</t>
  </si>
  <si>
    <t>YUON KHUON</t>
  </si>
  <si>
    <t>មឿន ភាព</t>
  </si>
  <si>
    <t>MOEUN PHEP</t>
  </si>
  <si>
    <t>លាង សុឃា</t>
  </si>
  <si>
    <t>LEANG SOKHEA</t>
  </si>
  <si>
    <t>ទ្រី​អូន</t>
  </si>
  <si>
    <t>TRY ON</t>
  </si>
  <si>
    <t>អីម អន</t>
  </si>
  <si>
    <t>IM ON</t>
  </si>
  <si>
    <t>ផាន់ ខាន់</t>
  </si>
  <si>
    <t>PHANN KHANN</t>
  </si>
  <si>
    <t>SENG THOEU</t>
  </si>
  <si>
    <t>SENG CHINDA</t>
  </si>
  <si>
    <t>ឡេង ហ៊ីម</t>
  </si>
  <si>
    <t>LENG HIM</t>
  </si>
  <si>
    <t>ហ៊ីម ហ៊ី</t>
  </si>
  <si>
    <t>HIM HY</t>
  </si>
  <si>
    <t>ហួត ផន</t>
  </si>
  <si>
    <t>HOUT PHORN</t>
  </si>
  <si>
    <t>ឆាង ឆើត</t>
  </si>
  <si>
    <t>CHHANG CHHEUT</t>
  </si>
  <si>
    <t>ទ្រី អឹង</t>
  </si>
  <si>
    <t>TRY EUNG</t>
  </si>
  <si>
    <t>CHHOK CHHORT</t>
  </si>
  <si>
    <t>តិប កី</t>
  </si>
  <si>
    <t>TOEB KIE</t>
  </si>
  <si>
    <t>ពរ​ ឡូ</t>
  </si>
  <si>
    <t>POR LO</t>
  </si>
  <si>
    <t>ឈួន ឆេន</t>
  </si>
  <si>
    <t>CHHOUN CHHEN</t>
  </si>
  <si>
    <t>ស៊ុត សោន</t>
  </si>
  <si>
    <t>SUT SAON</t>
  </si>
  <si>
    <t>ឈួន ឈី</t>
  </si>
  <si>
    <t>CHHUON CHHY</t>
  </si>
  <si>
    <t>ម៉េត សុផល</t>
  </si>
  <si>
    <t>MET SOPHALL</t>
  </si>
  <si>
    <t>អ៊ីម ថូ</t>
  </si>
  <si>
    <t>OEM THO</t>
  </si>
  <si>
    <t>SEAV RINA</t>
  </si>
  <si>
    <t>ផា សុសាយ</t>
  </si>
  <si>
    <t>PHA SOSAY</t>
  </si>
  <si>
    <t>ធាន អូន</t>
  </si>
  <si>
    <t>THEAN OUN</t>
  </si>
  <si>
    <t>អ៊ឹម ធារ៉ា</t>
  </si>
  <si>
    <t>OEM THEARA</t>
  </si>
  <si>
    <t>ជី ប៊ុនរ៉ូ</t>
  </si>
  <si>
    <t>CHY BUNRO</t>
  </si>
  <si>
    <t>ហឿន ឡៃហឿ</t>
  </si>
  <si>
    <t>HOEUN LYHOEU</t>
  </si>
  <si>
    <t>ព បៀវ</t>
  </si>
  <si>
    <t>POR BEAV</t>
  </si>
  <si>
    <t>UT EN</t>
  </si>
  <si>
    <t>ផល ចាន់ណា</t>
  </si>
  <si>
    <t>PHAL CHANNA</t>
  </si>
  <si>
    <t>ម៉ុក សង់</t>
  </si>
  <si>
    <t>MORK SONG</t>
  </si>
  <si>
    <t>ហន ហួត</t>
  </si>
  <si>
    <t>HORN HOUT</t>
  </si>
  <si>
    <t>ឡឹក ឡូត</t>
  </si>
  <si>
    <t>LOEK LOTH</t>
  </si>
  <si>
    <t>ជិន ឡូត</t>
  </si>
  <si>
    <t>CHIN LOUT</t>
  </si>
  <si>
    <t>ឈីន ឈេន</t>
  </si>
  <si>
    <t>CHHIN CHHEN</t>
  </si>
  <si>
    <t>សួរ សុខេង</t>
  </si>
  <si>
    <t>SOUR SOKKHENG</t>
  </si>
  <si>
    <t>KHEAN CHIENG</t>
  </si>
  <si>
    <t>ឈិត លេញ</t>
  </si>
  <si>
    <t>CHHIT LENH</t>
  </si>
  <si>
    <t>បើង សំអាង</t>
  </si>
  <si>
    <t>BEUNG SAM ANG</t>
  </si>
  <si>
    <t>ឆាន វុទ្ធី</t>
  </si>
  <si>
    <t>CHHAN VUTHY</t>
  </si>
  <si>
    <t>ញ៉ សុខា</t>
  </si>
  <si>
    <t>សា យលាន</t>
  </si>
  <si>
    <t>SAY LEAN</t>
  </si>
  <si>
    <t>ដឺម ព្រិច</t>
  </si>
  <si>
    <t>DOEM PRICH</t>
  </si>
  <si>
    <t>ជន ចេន​</t>
  </si>
  <si>
    <t>CHON CHEN</t>
  </si>
  <si>
    <t>ហាន ញូស</t>
  </si>
  <si>
    <t>HAN NHOUSH</t>
  </si>
  <si>
    <t>ផន អូន</t>
  </si>
  <si>
    <t>PHORN OUN</t>
  </si>
  <si>
    <t>លាន ឡង</t>
  </si>
  <si>
    <t>LEAN LONG</t>
  </si>
  <si>
    <t>លាង ភាព</t>
  </si>
  <si>
    <t>LEANG PHEP</t>
  </si>
  <si>
    <t>បៀង ពេច្រ</t>
  </si>
  <si>
    <t>BEANG PECH</t>
  </si>
  <si>
    <t>សាន ជា</t>
  </si>
  <si>
    <t>SAN CHEA</t>
  </si>
  <si>
    <t>ឡន លីន</t>
  </si>
  <si>
    <t>LORN LIN</t>
  </si>
  <si>
    <t>សួរ​ ឡង</t>
  </si>
  <si>
    <t>SOUR LONG</t>
  </si>
  <si>
    <t>តាន់ វង</t>
  </si>
  <si>
    <t>TAN VORNG</t>
  </si>
  <si>
    <t>អ៊ុម ភា</t>
  </si>
  <si>
    <t>OCH PHEA</t>
  </si>
  <si>
    <t>អុង ឆេងលាង</t>
  </si>
  <si>
    <t>UNG CHHENG LEANG</t>
  </si>
  <si>
    <t>ងិន​ ច្រិប</t>
  </si>
  <si>
    <t>NGIN CHRIB</t>
  </si>
  <si>
    <t>ហ៊ល ហេន</t>
  </si>
  <si>
    <t>HOL HEN</t>
  </si>
  <si>
    <t>TUỔI</t>
  </si>
  <si>
    <t>ប្រុល់</t>
  </si>
  <si>
    <t>ស្រី</t>
  </si>
  <si>
    <t>CMNN</t>
  </si>
  <si>
    <t>TÊN</t>
  </si>
  <si>
    <t>Tổ</t>
  </si>
  <si>
    <t>Số phần cây</t>
  </si>
  <si>
    <t>NAM</t>
  </si>
  <si>
    <t>NỮ</t>
  </si>
  <si>
    <t>SAO PHEAROM</t>
  </si>
  <si>
    <t>PECH CHAN</t>
  </si>
  <si>
    <t>NUON SAROEUN</t>
  </si>
  <si>
    <t>150815265</t>
  </si>
  <si>
    <t>HEAN CHANROTH</t>
  </si>
  <si>
    <t>CHOUN SAMUN</t>
  </si>
  <si>
    <t>MORN POV</t>
  </si>
  <si>
    <t>TRI MAK</t>
  </si>
  <si>
    <t>YET YEN</t>
  </si>
  <si>
    <t>TANN NAVEN</t>
  </si>
  <si>
    <t>CHHON YIN</t>
  </si>
  <si>
    <t>PHORN SAMBIEN</t>
  </si>
  <si>
    <t>SRENG NARIN</t>
  </si>
  <si>
    <t>KROUCH KRIN</t>
  </si>
  <si>
    <t>060541171</t>
  </si>
  <si>
    <t>KHOURN HOUY</t>
  </si>
  <si>
    <t>060540793</t>
  </si>
  <si>
    <t>LAY NHOENG</t>
  </si>
  <si>
    <t>CHHENG CHAMRAEUN</t>
  </si>
  <si>
    <t>KHOEUN KHEN</t>
  </si>
  <si>
    <t>TAN VOT</t>
  </si>
  <si>
    <t>POV CHHONG</t>
  </si>
  <si>
    <t>VEAT TY</t>
  </si>
  <si>
    <t/>
  </si>
  <si>
    <t>ណំ វ៉ាន់​ស៊ីង</t>
  </si>
  <si>
    <t>SIE RITH</t>
  </si>
  <si>
    <t>ROEUN SARANN</t>
  </si>
  <si>
    <t>លឿន ឡែម</t>
  </si>
  <si>
    <t>LOEUN LEM</t>
  </si>
  <si>
    <t>SAL SOPHORN</t>
  </si>
  <si>
    <t>PHAN SOPHY</t>
  </si>
  <si>
    <t>CHORN SOCHEAT</t>
  </si>
  <si>
    <t>SAL SOPHY</t>
  </si>
  <si>
    <t>HON HIM</t>
  </si>
  <si>
    <t>ពិន ឈាន</t>
  </si>
  <si>
    <t>PIN CHHEAN</t>
  </si>
  <si>
    <t>សៀក ពេញ</t>
  </si>
  <si>
    <t>SEAK PENH</t>
  </si>
  <si>
    <t>ហ៊ីម ហៀក</t>
  </si>
  <si>
    <t xml:space="preserve">HIM HIEK </t>
  </si>
  <si>
    <t>ស្រេង ស្រីអូន</t>
  </si>
  <si>
    <t>SRENG SREY OUN</t>
  </si>
  <si>
    <t>PHANN PHANNY</t>
  </si>
  <si>
    <t>ហៀក ហ៊ា</t>
  </si>
  <si>
    <t>HIEK HEA</t>
  </si>
  <si>
    <t>LOEURN CHA</t>
  </si>
  <si>
    <t>LENG PHAN</t>
  </si>
  <si>
    <t>SIM SEYLA</t>
  </si>
  <si>
    <t>CHHUN 
SOKHOEUN</t>
  </si>
  <si>
    <t>KOA LINA</t>
  </si>
  <si>
    <t>SEN SOUEN</t>
  </si>
  <si>
    <t>PHORN PHEAK</t>
  </si>
  <si>
    <t>NAT PISEY</t>
  </si>
  <si>
    <t>CHON CHAEUT</t>
  </si>
  <si>
    <t>MORN VICHET</t>
  </si>
  <si>
    <t>RA HEN</t>
  </si>
  <si>
    <t>KY SAMBATH</t>
  </si>
  <si>
    <t>22211461</t>
  </si>
  <si>
    <t>220140659</t>
  </si>
  <si>
    <t>SAY SENG</t>
  </si>
  <si>
    <t>THOUN BHIB</t>
  </si>
  <si>
    <t>HAL OL</t>
  </si>
  <si>
    <t>TAK MAO</t>
  </si>
  <si>
    <t>LOEUN LIS</t>
  </si>
  <si>
    <t>TRY SOKHON</t>
  </si>
  <si>
    <t>UK RATH</t>
  </si>
  <si>
    <t>220140656</t>
  </si>
  <si>
    <t>DENG SAN</t>
  </si>
  <si>
    <t>150947762</t>
  </si>
  <si>
    <t>SEN PA</t>
  </si>
  <si>
    <t>SEN SAT</t>
  </si>
  <si>
    <t>150612299</t>
  </si>
  <si>
    <t>NAK SOKNE</t>
  </si>
  <si>
    <t>NAK NAN</t>
  </si>
  <si>
    <t>CHOUN SOKOUN THEA</t>
  </si>
  <si>
    <t>CHHEA THEARA</t>
  </si>
  <si>
    <t>190372420</t>
  </si>
  <si>
    <t>AN TETYA</t>
  </si>
  <si>
    <t>ង៉ា អែម</t>
  </si>
  <si>
    <t>NGA EM</t>
  </si>
  <si>
    <t>PAT HIEK</t>
  </si>
  <si>
    <t>HAM SREY</t>
  </si>
  <si>
    <t>ថា សុខគី</t>
  </si>
  <si>
    <t>THA SOKY</t>
  </si>
  <si>
    <t>MON MAO</t>
  </si>
  <si>
    <t>ហឿង ខេន</t>
  </si>
  <si>
    <t>HOEUNG KHEN</t>
  </si>
  <si>
    <t>16/01/1990</t>
  </si>
  <si>
    <t>150306223</t>
  </si>
  <si>
    <t>HEN HOY</t>
  </si>
  <si>
    <t>BIT SOKNOV</t>
  </si>
  <si>
    <t>ផាន់ ហ៊ីម</t>
  </si>
  <si>
    <t>PHAN HIM</t>
  </si>
  <si>
    <t>ហ៊ិត ថាន</t>
  </si>
  <si>
    <t>HIT THAN</t>
  </si>
  <si>
    <t>POL VET</t>
  </si>
  <si>
    <t>150612311</t>
  </si>
  <si>
    <t>ប៉ុល វ៉េត</t>
  </si>
  <si>
    <t>NORN RANN</t>
  </si>
  <si>
    <t>220102065</t>
  </si>
  <si>
    <t>220137726</t>
  </si>
  <si>
    <t>TUOUCH HOEUN</t>
  </si>
  <si>
    <t>26/01/1981</t>
  </si>
  <si>
    <t>PHA BORA</t>
  </si>
  <si>
    <t>ប៉យ ពេញ</t>
  </si>
  <si>
    <t>POY PENH</t>
  </si>
  <si>
    <t>220140655</t>
  </si>
  <si>
    <t>220152900</t>
  </si>
  <si>
    <t>SIEK BUNSA</t>
  </si>
  <si>
    <t>220175254</t>
  </si>
  <si>
    <t>THY KEA</t>
  </si>
  <si>
    <t>សំ​ បឿន</t>
  </si>
  <si>
    <t>SAM BOEUN</t>
  </si>
  <si>
    <t>ហេន ហាត</t>
  </si>
  <si>
    <t>HEN HAT</t>
  </si>
  <si>
    <t>HAN CHAB</t>
  </si>
  <si>
    <t>ឌិន ម៉ារ៉ា</t>
  </si>
  <si>
    <t>DIN MARA</t>
  </si>
  <si>
    <t>CHUM IN</t>
  </si>
  <si>
    <t>ហិត ហេន</t>
  </si>
  <si>
    <t>HET HEN</t>
  </si>
  <si>
    <t xml:space="preserve">THY CHAN </t>
  </si>
  <si>
    <t>220140654</t>
  </si>
  <si>
    <t>ធី ចាន់</t>
  </si>
  <si>
    <t>THY CHAN</t>
  </si>
  <si>
    <t>YIET SOCHEAT</t>
  </si>
  <si>
    <t xml:space="preserve">LY KIM </t>
  </si>
  <si>
    <t>MON MORL</t>
  </si>
  <si>
    <t>220102093</t>
  </si>
  <si>
    <t>NGA EAT</t>
  </si>
  <si>
    <t>DIEB KUN THEA</t>
  </si>
  <si>
    <t>ហ៊ិត ផៃ</t>
  </si>
  <si>
    <t>HIT PHAI</t>
  </si>
  <si>
    <t>20/01/1981</t>
  </si>
  <si>
    <t>ឆេង ចាន់រ៉ា</t>
  </si>
  <si>
    <t>CHHENG CHANRA</t>
  </si>
  <si>
    <t>TOR SOCHEA</t>
  </si>
  <si>
    <t>ជឿន សុវ័ន្ក</t>
  </si>
  <si>
    <t>CHOEUN SOVORN</t>
  </si>
  <si>
    <t>យន់ រ៉ី</t>
  </si>
  <si>
    <t>YON REY</t>
  </si>
  <si>
    <t>BUNNA CHAN TRREA</t>
  </si>
  <si>
    <t>ធឿន តុលា</t>
  </si>
  <si>
    <t>THOEUN TOLA</t>
  </si>
  <si>
    <t>EAM YEN</t>
  </si>
  <si>
    <t>060539712</t>
  </si>
  <si>
    <t>វ៉ាន់ វី</t>
  </si>
  <si>
    <t>VANN VY</t>
  </si>
  <si>
    <t>TANN SOUPHAT</t>
  </si>
  <si>
    <t>060539696</t>
  </si>
  <si>
    <t>ខេន ពៅ</t>
  </si>
  <si>
    <t>KHEN POV</t>
  </si>
  <si>
    <t>SOM CHHAEUT</t>
  </si>
  <si>
    <t>ហួយ ពុធ</t>
  </si>
  <si>
    <t>HOUY PUTH</t>
  </si>
  <si>
    <t>220175408</t>
  </si>
  <si>
    <t>ធិន សុផល</t>
  </si>
  <si>
    <t>DIN SOPHALL</t>
  </si>
  <si>
    <t>ម៉ាន រ៉ាន់</t>
  </si>
  <si>
    <t>MAN RANN</t>
  </si>
  <si>
    <t>CHHUON CHOEUN</t>
  </si>
  <si>
    <t>ផន សម្បត្តិ</t>
  </si>
  <si>
    <t>PHORN SAMBATH</t>
  </si>
  <si>
    <t>ឈាង ស្រីធី</t>
  </si>
  <si>
    <t>CHHEANG SREYTHY</t>
  </si>
  <si>
    <t>MOEUN SOPHA</t>
  </si>
  <si>
    <t>ហៃ ផាន់នី</t>
  </si>
  <si>
    <t>HAI PHANNY</t>
  </si>
  <si>
    <t>គ្រឿន រី</t>
  </si>
  <si>
    <t>KROEUN RY</t>
  </si>
  <si>
    <t>051669732</t>
  </si>
  <si>
    <t>TRY TUN</t>
  </si>
  <si>
    <t>CHOUN YORT</t>
  </si>
  <si>
    <t>ទី ឈឿ</t>
  </si>
  <si>
    <t>TY CHHOEU</t>
  </si>
  <si>
    <t>PENH PHEAK</t>
  </si>
  <si>
    <t>តូច ចាន់លី</t>
  </si>
  <si>
    <t>ពេញ​ ផែន</t>
  </si>
  <si>
    <t>PENH PHEN</t>
  </si>
  <si>
    <t>រុន សារ៉េត</t>
  </si>
  <si>
    <t>RUN SARETH</t>
  </si>
  <si>
    <t>OURN AN</t>
  </si>
  <si>
    <t>ឃីម សុឃីន</t>
  </si>
  <si>
    <t>KHOEN SOKKHEY</t>
  </si>
  <si>
    <t>CHORN SREYPUM</t>
  </si>
  <si>
    <t>នូ វ៉ាន្នី</t>
  </si>
  <si>
    <t>NOU VANNY</t>
  </si>
  <si>
    <t>រឿន រ៉ាត់</t>
  </si>
  <si>
    <t>ROEUN RATH</t>
  </si>
  <si>
    <t>តន់ ចំរើន</t>
  </si>
  <si>
    <t>TAN CHAMROEUN</t>
  </si>
  <si>
    <t>ទី សុខជា</t>
  </si>
  <si>
    <t>TI SOKCHEA</t>
  </si>
  <si>
    <t>NHOEB NHANH</t>
  </si>
  <si>
    <t>សេត សំភ័ស</t>
  </si>
  <si>
    <t>SET SOMPHORS</t>
  </si>
  <si>
    <t>CHHOEM SARIN</t>
  </si>
  <si>
    <t>ហយ​ ហាត</t>
  </si>
  <si>
    <t>HOY HAT</t>
  </si>
  <si>
    <t>CHHEAK ORN</t>
  </si>
  <si>
    <t>ផន ថាក់</t>
  </si>
  <si>
    <t>PHORN THAK</t>
  </si>
  <si>
    <t>សេត ចំរើន</t>
  </si>
  <si>
    <t>SET CHOMROEUN</t>
  </si>
  <si>
    <t>ខន ចន្ធូ</t>
  </si>
  <si>
    <t>KHAN CHANTHOU</t>
  </si>
  <si>
    <t>មឿន សុខា</t>
  </si>
  <si>
    <t>MAEUN SOKHA</t>
  </si>
  <si>
    <t>សេង ចន្តា</t>
  </si>
  <si>
    <t>070305622</t>
  </si>
  <si>
    <t>ភឿង ចន្ថន</t>
  </si>
  <si>
    <t>POEUNG CHANTHA</t>
  </si>
  <si>
    <t>CHAN SAMOEUN</t>
  </si>
  <si>
    <t>ពន ឆាន</t>
  </si>
  <si>
    <t>PON CHHAN</t>
  </si>
  <si>
    <t>YIT KHEAK</t>
  </si>
  <si>
    <t>060581849</t>
  </si>
  <si>
    <t>MOEUN MON</t>
  </si>
  <si>
    <t>LEAT LIM</t>
  </si>
  <si>
    <t>CHHIE SAO</t>
  </si>
  <si>
    <t>គីម សំរ៉ុង</t>
  </si>
  <si>
    <t>KIM SAMRONG</t>
  </si>
  <si>
    <t>THAY LAISIN</t>
  </si>
  <si>
    <t>សេង កក្កដា</t>
  </si>
  <si>
    <t>SENG KAKADA</t>
  </si>
  <si>
    <t>គីម ថារី</t>
  </si>
  <si>
    <t>KOEM THARY</t>
  </si>
  <si>
    <t>LUY CHANLA</t>
  </si>
  <si>
    <t>ធឹម សុផា</t>
  </si>
  <si>
    <t>THOEM SOPHA</t>
  </si>
  <si>
    <t>SEU SOEUY</t>
  </si>
  <si>
    <t>តូច ហឿន</t>
  </si>
  <si>
    <t>TOUCH HOEUN</t>
  </si>
  <si>
    <t>12/02/1984</t>
  </si>
  <si>
    <t>150306194</t>
  </si>
  <si>
    <t>អឹម ឆេង</t>
  </si>
  <si>
    <t>IM CHHENG</t>
  </si>
  <si>
    <t>KHEAV KAI</t>
  </si>
  <si>
    <t>LUON LEANG</t>
  </si>
  <si>
    <t>លី សុភាព</t>
  </si>
  <si>
    <t>LY SOHEAP</t>
  </si>
  <si>
    <t>SORN SANG</t>
  </si>
  <si>
    <t>ជួន សុគន្ធា</t>
  </si>
  <si>
    <t>CHOUN SOKOUNTHEA</t>
  </si>
  <si>
    <t>ម៉េន​ សុខមាន</t>
  </si>
  <si>
    <t>MEN SOKMEAN</t>
  </si>
  <si>
    <t>រ៉ សាវុត</t>
  </si>
  <si>
    <t>RY SAVUTH</t>
  </si>
  <si>
    <t>SOEUN OEUN</t>
  </si>
  <si>
    <t>PHAN PHORN</t>
  </si>
  <si>
    <t>វេត ឡី</t>
  </si>
  <si>
    <t>VET LEY</t>
  </si>
  <si>
    <t>BAN HOY</t>
  </si>
  <si>
    <t>អាត វ៉ន</t>
  </si>
  <si>
    <t>AT VORN</t>
  </si>
  <si>
    <t>ជូ អាត</t>
  </si>
  <si>
    <t>CHOU AT</t>
  </si>
  <si>
    <t>រីម សារៀង</t>
  </si>
  <si>
    <t>RIM SAREANG</t>
  </si>
  <si>
    <t>150306375</t>
  </si>
  <si>
    <t>ថេង ហាក់</t>
  </si>
  <si>
    <t>THENG HAK</t>
  </si>
  <si>
    <t>ខា ឃីន</t>
  </si>
  <si>
    <t>KHA KHIN</t>
  </si>
  <si>
    <t>LOEN RIN</t>
  </si>
  <si>
    <t>ខា​ ណារី</t>
  </si>
  <si>
    <t>KHA NARY</t>
  </si>
  <si>
    <t>PHUON KHET</t>
  </si>
  <si>
    <t>ណៃ មី</t>
  </si>
  <si>
    <t>NAI MY</t>
  </si>
  <si>
    <t>DIEB SAMAN</t>
  </si>
  <si>
    <t>យួត ​​យាត</t>
  </si>
  <si>
    <t>YOUT YEAT</t>
  </si>
  <si>
    <t>THON MORM</t>
  </si>
  <si>
    <t>នីម ណាគ្រីន</t>
  </si>
  <si>
    <t>NIM NAKRIN</t>
  </si>
  <si>
    <t>SOKHOM SOTHEARATH</t>
  </si>
  <si>
    <t>PUT NGUONHENG</t>
  </si>
  <si>
    <t>មាន​ ភារះ</t>
  </si>
  <si>
    <t>MEAN PHEARAK</t>
  </si>
  <si>
    <t>រ៉ាន់ ណារ៉េន</t>
  </si>
  <si>
    <t>RANN NAREN</t>
  </si>
  <si>
    <t>KOEM KIN</t>
  </si>
  <si>
    <t>សៀក សាវឿន</t>
  </si>
  <si>
    <t>SEAK SAVOEUN</t>
  </si>
  <si>
    <t>THA THIM</t>
  </si>
  <si>
    <t>150840472</t>
  </si>
  <si>
    <t>ថា ធីម</t>
  </si>
  <si>
    <t>ណែ មុន</t>
  </si>
  <si>
    <t>NAI MON</t>
  </si>
  <si>
    <t>YON EAT</t>
  </si>
  <si>
    <t>LAY LY</t>
  </si>
  <si>
    <t>BUO RANNY</t>
  </si>
  <si>
    <t>220195423</t>
  </si>
  <si>
    <t>គឿន ថេត</t>
  </si>
  <si>
    <t>BOUR SAMBATH</t>
  </si>
  <si>
    <t>VOEUT SOKRA</t>
  </si>
  <si>
    <t>ជីន សុខសាន្ដ</t>
  </si>
  <si>
    <t>CHIN SOKSAN</t>
  </si>
  <si>
    <t>THOEUN BON</t>
  </si>
  <si>
    <t>PHEA PHIECH</t>
  </si>
  <si>
    <t>220102559</t>
  </si>
  <si>
    <t>ភា ភៀច</t>
  </si>
  <si>
    <t>150113511</t>
  </si>
  <si>
    <t>VA DY</t>
  </si>
  <si>
    <t>PHORN SARAT</t>
  </si>
  <si>
    <t>យាង​ យេង</t>
  </si>
  <si>
    <t>150902209</t>
  </si>
  <si>
    <t>ពី រ៉ា</t>
  </si>
  <si>
    <t>PY VA</t>
  </si>
  <si>
    <t>ជីន សុខគុណ</t>
  </si>
  <si>
    <t>CHIN SOKUN</t>
  </si>
  <si>
    <t>220175319</t>
  </si>
  <si>
    <t>HOUN LOEM</t>
  </si>
  <si>
    <t>150770745</t>
  </si>
  <si>
    <t>ថង ឆុង</t>
  </si>
  <si>
    <t>THORNG CHHONG</t>
  </si>
  <si>
    <t>POL SOVIN</t>
  </si>
  <si>
    <t>150935160</t>
  </si>
  <si>
    <t>លី កញ្ញា</t>
  </si>
  <si>
    <t>LY KANHA</t>
  </si>
  <si>
    <t>SET HENG</t>
  </si>
  <si>
    <t>150111776</t>
  </si>
  <si>
    <t>លេង ​ផាន</t>
  </si>
  <si>
    <t>150114585</t>
  </si>
  <si>
    <t>SOT TÂK</t>
  </si>
  <si>
    <t>សាំ សៃ</t>
  </si>
  <si>
    <t>SAM SAI</t>
  </si>
  <si>
    <t>SOUM SOK HEN</t>
  </si>
  <si>
    <t>150354757</t>
  </si>
  <si>
    <t>ចាន់  ផាត</t>
  </si>
  <si>
    <t>CHANN PHAT</t>
  </si>
  <si>
    <t>051462695</t>
  </si>
  <si>
    <t>HENG SOKHA</t>
  </si>
  <si>
    <t>ស្រី ស៊ី</t>
  </si>
  <si>
    <t>SREY SY</t>
  </si>
  <si>
    <t>ជឿន រីន</t>
  </si>
  <si>
    <t>CHOEUN RIN</t>
  </si>
  <si>
    <t>SOT DORN</t>
  </si>
  <si>
    <t>ហេង ឡៃហ៊ីន</t>
  </si>
  <si>
    <t>HENG LAIHIN</t>
  </si>
  <si>
    <t>យៀង សុលី</t>
  </si>
  <si>
    <t>YEANG SOLY</t>
  </si>
  <si>
    <t>ផល្លី ចន្ធី</t>
  </si>
  <si>
    <t>PHOLLY CHANTHY</t>
  </si>
  <si>
    <t>ផាត់ ជិន</t>
  </si>
  <si>
    <t>PHATH CHIN</t>
  </si>
  <si>
    <t>ផន​ណៃ</t>
  </si>
  <si>
    <t>PHORN NAY</t>
  </si>
  <si>
    <t>នាម ភារប្យ</t>
  </si>
  <si>
    <t>NEAM PHEARUM</t>
  </si>
  <si>
    <t>សេង ចាន់ណា</t>
  </si>
  <si>
    <t>SENG CHANNA</t>
  </si>
  <si>
    <t>NGIN VON</t>
  </si>
  <si>
    <t>ខា ឃាន់</t>
  </si>
  <si>
    <t>KHA KHOIN</t>
  </si>
  <si>
    <t>CHHAN NATH</t>
  </si>
  <si>
    <t>ឡាម ហេង</t>
  </si>
  <si>
    <t>LAM HENG</t>
  </si>
  <si>
    <t>PHAL SAM AT</t>
  </si>
  <si>
    <t>ហន យាយ</t>
  </si>
  <si>
    <t>CHI SOKUN</t>
  </si>
  <si>
    <t>150306110</t>
  </si>
  <si>
    <t>VAT VORN</t>
  </si>
  <si>
    <t>វ៉ាន់ បូរិន្ធ</t>
  </si>
  <si>
    <t>រឿង រុន</t>
  </si>
  <si>
    <t>ROEUNG RUN</t>
  </si>
  <si>
    <t>LY NIM</t>
  </si>
  <si>
    <t>150111190</t>
  </si>
  <si>
    <t>រី ធី</t>
  </si>
  <si>
    <t>RY THY</t>
  </si>
  <si>
    <t>LORN LEAM</t>
  </si>
  <si>
    <t>YUN YI</t>
  </si>
  <si>
    <t>PHAN PHEA</t>
  </si>
  <si>
    <t>EAM KHNHONG</t>
  </si>
  <si>
    <t>PHAN HEANN</t>
  </si>
  <si>
    <t>150952466</t>
  </si>
  <si>
    <t>150865362</t>
  </si>
  <si>
    <t>SORN SOKRAEON</t>
  </si>
  <si>
    <t>ឃី ចាន់ធូ</t>
  </si>
  <si>
    <t>KHY CHANTHOU</t>
  </si>
  <si>
    <t>TRIN NARET</t>
  </si>
  <si>
    <t>ចាំង ណាង</t>
  </si>
  <si>
    <t>CHANG NANG</t>
  </si>
  <si>
    <t>20/3/1993</t>
  </si>
  <si>
    <t>YAN RACHNA</t>
  </si>
  <si>
    <t>រ៉ាម រុម</t>
  </si>
  <si>
    <t>RAM ROM</t>
  </si>
  <si>
    <t>SOEUN SOKUN</t>
  </si>
  <si>
    <t>ឃីម បញ្ញា</t>
  </si>
  <si>
    <t>KHOEM PHANHA</t>
  </si>
  <si>
    <t>ប៉ិច ឆវ័ន</t>
  </si>
  <si>
    <t>PECH CHORVORN</t>
  </si>
  <si>
    <t>061770457</t>
  </si>
  <si>
    <t>MET SREYTOUCH</t>
  </si>
  <si>
    <t>ទ្រី សុខុន</t>
  </si>
  <si>
    <t>OL THON</t>
  </si>
  <si>
    <t>រ៉ាម់ សុខី</t>
  </si>
  <si>
    <t>RAM SOKHEY</t>
  </si>
  <si>
    <t>រាំ ហំ</t>
  </si>
  <si>
    <t>RAM HUM</t>
  </si>
  <si>
    <t>HOEUN SOKHENG</t>
  </si>
  <si>
    <t>ញ៉ឹប ញ៉ាញ់</t>
  </si>
  <si>
    <t>CHOU TEANGLY</t>
  </si>
  <si>
    <t>រាំ ហេន</t>
  </si>
  <si>
    <t>RAM HEN</t>
  </si>
  <si>
    <t>OOUK HEM</t>
  </si>
  <si>
    <t>ពៅ​ម៉ាច</t>
  </si>
  <si>
    <t>POV MACH</t>
  </si>
  <si>
    <t>PAO PAN</t>
  </si>
  <si>
    <t>សន សុរើន</t>
  </si>
  <si>
    <t>ព្រំ ព្រីន</t>
  </si>
  <si>
    <t>PRUM PRIN</t>
  </si>
  <si>
    <t>សំ ណាង</t>
  </si>
  <si>
    <t>SOM NANG</t>
  </si>
  <si>
    <t>KROENG THLATH</t>
  </si>
  <si>
    <t>នាង សុខជាតិ</t>
  </si>
  <si>
    <t>NEANG SOKCHEAT</t>
  </si>
  <si>
    <t>150523536</t>
  </si>
  <si>
    <t>ធុច ទូច</t>
  </si>
  <si>
    <t>THUCH TOUCH</t>
  </si>
  <si>
    <t>SOEUN PHAT</t>
  </si>
  <si>
    <t>KHOUN CHUN</t>
  </si>
  <si>
    <t xml:space="preserve">CHHOEUN  CHHUOY </t>
  </si>
  <si>
    <t>RON SOM</t>
  </si>
  <si>
    <t>CHOUN VISAL</t>
  </si>
  <si>
    <t>BUNNA NET</t>
  </si>
  <si>
    <t>ROS MON</t>
  </si>
  <si>
    <t>150522977</t>
  </si>
  <si>
    <t>LAM VIN</t>
  </si>
  <si>
    <t>CHOY CHHET</t>
  </si>
  <si>
    <t>VIN MON</t>
  </si>
  <si>
    <t>VIN SAVIN</t>
  </si>
  <si>
    <t>200208616</t>
  </si>
  <si>
    <t>150523510</t>
  </si>
  <si>
    <t>150523514</t>
  </si>
  <si>
    <t>វន ចាន់វី</t>
  </si>
  <si>
    <t>VORN CHANNVY</t>
  </si>
  <si>
    <t>ប៊ិ ប៊ុន</t>
  </si>
  <si>
    <t>BIK BUN</t>
  </si>
  <si>
    <t>ម៉ុក សឿង</t>
  </si>
  <si>
    <t>MOK SOEUNG</t>
  </si>
  <si>
    <t>ឡែន សុខណា</t>
  </si>
  <si>
    <t>LEN SOKNA</t>
  </si>
  <si>
    <t>ខឿន ខេន</t>
  </si>
  <si>
    <t>អ៊ី គីមសេន</t>
  </si>
  <si>
    <t>IY KIMSEN</t>
  </si>
  <si>
    <t>គើ ភីន</t>
  </si>
  <si>
    <t>KEUN PHIN</t>
  </si>
  <si>
    <t>ឈាវ សិច</t>
  </si>
  <si>
    <t>CHHEAV LICH</t>
  </si>
  <si>
    <t>ឃុន ឃីម</t>
  </si>
  <si>
    <t>KHUN KHIM</t>
  </si>
  <si>
    <t>បឿន លៃហៀង</t>
  </si>
  <si>
    <t>BOEUN LAYHEANG</t>
  </si>
  <si>
    <t>ហ៊ុល អេត</t>
  </si>
  <si>
    <t>HUL ET</t>
  </si>
  <si>
    <t>ហ៊ុល រំលឺក</t>
  </si>
  <si>
    <t>HUL ROMLOEK</t>
  </si>
  <si>
    <t>150236407</t>
  </si>
  <si>
    <t>គ្រី កក្កដា</t>
  </si>
  <si>
    <t>KRY KAKADA</t>
  </si>
  <si>
    <t>សាន​ សម្ភស្ស</t>
  </si>
  <si>
    <t>SAN SOMPHORS</t>
  </si>
  <si>
    <t>ម៉េត សុខផៃ</t>
  </si>
  <si>
    <t>MET SOKPHAI</t>
  </si>
  <si>
    <t>នឹម សាឃិត</t>
  </si>
  <si>
    <t>NOEM SAKHITH</t>
  </si>
  <si>
    <t>ម៉េត សុភា</t>
  </si>
  <si>
    <t>MET SOPHEA</t>
  </si>
  <si>
    <t>កេន រុំ</t>
  </si>
  <si>
    <t>KEN ROM</t>
  </si>
  <si>
    <t>ព​ សំណាង</t>
  </si>
  <si>
    <t>POV SAMNANG</t>
  </si>
  <si>
    <t>150113594</t>
  </si>
  <si>
    <t>TT</t>
  </si>
  <si>
    <t>220175390</t>
  </si>
  <si>
    <t>150759255</t>
  </si>
  <si>
    <t>220175272</t>
  </si>
  <si>
    <t>គី​អ៊ីម</t>
  </si>
  <si>
    <t>KY IM</t>
  </si>
  <si>
    <t>150427583</t>
  </si>
  <si>
    <t>150612296</t>
  </si>
  <si>
    <t>150111723</t>
  </si>
  <si>
    <t>BV</t>
  </si>
  <si>
    <t>150117942</t>
  </si>
  <si>
    <t>CHIN VANHOEUN</t>
  </si>
  <si>
    <t>HOUT CHHOUN</t>
  </si>
  <si>
    <t>CHHIV CHHRON</t>
  </si>
  <si>
    <t>150904923</t>
  </si>
  <si>
    <t>សែន ចាន់ស៊ីន</t>
  </si>
  <si>
    <t>SEN CHANSIN</t>
  </si>
  <si>
    <t>CHOM SARIN</t>
  </si>
  <si>
    <t>ជុំ សារិន</t>
  </si>
  <si>
    <t>SAMCHAY</t>
  </si>
  <si>
    <t>រស់ សោម</t>
  </si>
  <si>
    <t xml:space="preserve">CTY </t>
  </si>
  <si>
    <t>ក្រុមហ៊ុន កៅស៊ូ មេគង្គ</t>
  </si>
  <si>
    <t>BẢNG THANH TOÁN LƯƠNG CÔNG NHÂN​​ KHAI THÁC</t>
  </si>
  <si>
    <t>ĐVT: Riel</t>
  </si>
  <si>
    <t>បទដ្ឋាន
Định mức 31947 Riel/công</t>
  </si>
  <si>
    <t>សរុប
Tổng lương</t>
  </si>
  <si>
    <t>សរុបបំណុល
Tổng nợ</t>
  </si>
  <si>
    <t>5=4*1</t>
  </si>
  <si>
    <t>9=7+8</t>
  </si>
  <si>
    <t>ĐỢT 2</t>
  </si>
  <si>
    <t>THỰC NHẬN</t>
  </si>
  <si>
    <t>Đ 2</t>
  </si>
  <si>
    <t>công</t>
  </si>
  <si>
    <t>bhxh</t>
  </si>
  <si>
    <t>TỔNG NỢ</t>
  </si>
  <si>
    <t>TỔ</t>
  </si>
  <si>
    <t>GA 1</t>
  </si>
  <si>
    <t>GA 3</t>
  </si>
  <si>
    <t>GA 4</t>
  </si>
  <si>
    <t>GA 2</t>
  </si>
  <si>
    <t>ĐỘI SẢN XUẤT 1</t>
  </si>
  <si>
    <t>សៀន អេម</t>
  </si>
  <si>
    <t>SEAN EM</t>
  </si>
  <si>
    <t>គឿន គា</t>
  </si>
  <si>
    <t>KOEURN KEA</t>
  </si>
  <si>
    <t>សែម ធឿន</t>
  </si>
  <si>
    <t>SEM THOEURN</t>
  </si>
  <si>
    <t>CHHLAMCHHAT SOKHEN</t>
  </si>
  <si>
    <t>ស្លា វេហា</t>
  </si>
  <si>
    <t>SNA VEHA</t>
  </si>
  <si>
    <t>SEM MOM</t>
  </si>
  <si>
    <t>ជុំ មី</t>
  </si>
  <si>
    <t>CHUM ME</t>
  </si>
  <si>
    <t>HET KIMLING</t>
  </si>
  <si>
    <t>យៀត សុជឿន</t>
  </si>
  <si>
    <t>YIET SOCHOEUN</t>
  </si>
  <si>
    <t>ឃឹម បញ្ញា</t>
  </si>
  <si>
    <t>BIL NA</t>
  </si>
  <si>
    <t>OEM IN</t>
  </si>
  <si>
    <t>MET SOKUNTHEA</t>
  </si>
  <si>
    <t>MINH SORS</t>
  </si>
  <si>
    <t>ជា ឡៃយ៉ុន</t>
  </si>
  <si>
    <t>CHEA LAIYON</t>
  </si>
  <si>
    <t>061864604</t>
  </si>
  <si>
    <t>សេង ស្រីមុំ</t>
  </si>
  <si>
    <t>SENG SREYMOM</t>
  </si>
  <si>
    <t>GA</t>
  </si>
  <si>
    <t>រ៉ន ចាន់រាជ</t>
  </si>
  <si>
    <t>RORN CHANREACH</t>
  </si>
  <si>
    <t>អេង ចាន់</t>
  </si>
  <si>
    <t>EANG CHANN</t>
  </si>
  <si>
    <t>ឆែម ហ៊ាច</t>
  </si>
  <si>
    <t>CHHEM HEACH</t>
  </si>
  <si>
    <t>ម៉ន វិចិត្រ</t>
  </si>
  <si>
    <t>រឿន ចាន់រ៉ា</t>
  </si>
  <si>
    <t>ROEUN CHANRA</t>
  </si>
  <si>
    <t>ញ៉ុវ ញឹម</t>
  </si>
  <si>
    <t>ហួន ហេត</t>
  </si>
  <si>
    <t>ឆ្លាមឆ្លាត សុខេន</t>
  </si>
  <si>
    <t>សែម មុំ</t>
  </si>
  <si>
    <t>ដៀប ចាន់ណា</t>
  </si>
  <si>
    <t>ខា​ សឿន</t>
  </si>
  <si>
    <t>ឡា រ៉ាសែន</t>
  </si>
  <si>
    <t>ហេត គឹមសីង</t>
  </si>
  <si>
    <t>អ៊ាង ឈីន</t>
  </si>
  <si>
    <t>III</t>
  </si>
  <si>
    <t>ខ្វាន ឡាត់</t>
  </si>
  <si>
    <t>អ៊ាង ផាត</t>
  </si>
  <si>
    <t>IENG PHAT</t>
  </si>
  <si>
    <t>ហ៊ន់ ស្រីហ៊ាង</t>
  </si>
  <si>
    <t>HORN SREYHEANG</t>
  </si>
  <si>
    <t>ខុន ឃាង</t>
  </si>
  <si>
    <t>KHON KHEARNG</t>
  </si>
  <si>
    <t>គ្រឹប ថេត</t>
  </si>
  <si>
    <t>KRIP THET</t>
  </si>
  <si>
    <t>IV</t>
  </si>
  <si>
    <t>ប៉ិល ណា</t>
  </si>
  <si>
    <t>អ៊ាង អាន់</t>
  </si>
  <si>
    <t>អ៊ីម អ៊ីន</t>
  </si>
  <si>
    <t>ម៉េត សុគទ្ធា</t>
  </si>
  <si>
    <t>ម៉ៅ ស្រីណុច</t>
  </si>
  <si>
    <t>MAO SREYNOCH</t>
  </si>
  <si>
    <t>បិញ ស្រស់</t>
  </si>
  <si>
    <t>សៀវ រីណា</t>
  </si>
  <si>
    <t>ផល់ វុន</t>
  </si>
  <si>
    <t>Phall Vun</t>
  </si>
  <si>
    <t>វ៉ន ស្រស់</t>
  </si>
  <si>
    <t>Vorn Sras</t>
  </si>
  <si>
    <t>Kosal Sang</t>
  </si>
  <si>
    <t>កុសល់ សង់</t>
  </si>
  <si>
    <t>Vat Ven</t>
  </si>
  <si>
    <t>វ៉ាត់ វ៉េន</t>
  </si>
  <si>
    <t>TTBV</t>
  </si>
  <si>
    <t>តារាងបរិមាណកម្មករ ប្រមូលផល</t>
  </si>
  <si>
    <t>យ៉ែម ឃឿន</t>
  </si>
  <si>
    <t>YEM KHOEUN</t>
  </si>
  <si>
    <t>ដួត ដែន</t>
  </si>
  <si>
    <t>DOUT DEN</t>
  </si>
  <si>
    <t>ហោ យ៉ាន</t>
  </si>
  <si>
    <t>HO YAN</t>
  </si>
  <si>
    <t>ឡោ ហ៊ុន</t>
  </si>
  <si>
    <t>LAO HUN</t>
  </si>
  <si>
    <t>061577117</t>
  </si>
  <si>
    <t>តែ សុនាង</t>
  </si>
  <si>
    <t>TOE AONANG</t>
  </si>
  <si>
    <t>បាវ ប៊ន</t>
  </si>
  <si>
    <t>BAV BORN</t>
  </si>
  <si>
    <t>សាយ សេង</t>
  </si>
  <si>
    <t>សល់ សុភី</t>
  </si>
  <si>
    <t>ស៊ុត សុភ័ន</t>
  </si>
  <si>
    <t>SUTH SOPHON</t>
  </si>
  <si>
    <t>ធា ចាន់</t>
  </si>
  <si>
    <t>THEA CHANN</t>
  </si>
  <si>
    <t>040410628</t>
  </si>
  <si>
    <t>ស្រឿន ស្រីហាន់</t>
  </si>
  <si>
    <t>SROEUN SREYHANN</t>
  </si>
  <si>
    <t>040410627</t>
  </si>
  <si>
    <t>ជី ឆេងលាង</t>
  </si>
  <si>
    <t>CHY CHHENGLENG</t>
  </si>
  <si>
    <t>ពយ នីន</t>
  </si>
  <si>
    <t>POY NIN</t>
  </si>
  <si>
    <t>ពៅ ផាត</t>
  </si>
  <si>
    <t>POV PHAT</t>
  </si>
  <si>
    <t>ហាប សឿ</t>
  </si>
  <si>
    <t>HORN SOEU</t>
  </si>
  <si>
    <t>វី ភក្កី</t>
  </si>
  <si>
    <t>VY PHEAKDEY</t>
  </si>
  <si>
    <t>ឃុន សុខខៃ</t>
  </si>
  <si>
    <t>ហាន គឹមហុង</t>
  </si>
  <si>
    <t>HEAN KIMHONG</t>
  </si>
  <si>
    <t>ហ៊ី សុន</t>
  </si>
  <si>
    <t>HY SON</t>
  </si>
  <si>
    <t>ញ៉ិប អេន់</t>
  </si>
  <si>
    <t>NHIB EN</t>
  </si>
  <si>
    <t>យ៉ុន ស្រីរ័ត្ទ</t>
  </si>
  <si>
    <t>YON SREYROTH</t>
  </si>
  <si>
    <t>រឿន ភារុណ</t>
  </si>
  <si>
    <t>ROEUN PHEARUN</t>
  </si>
  <si>
    <t>ហ៊ន់ ហ៊ីម</t>
  </si>
  <si>
    <t>HOUN HIM</t>
  </si>
  <si>
    <t>ប៊ុណ្ណា ចាន់ទ្រា</t>
  </si>
  <si>
    <t>BUNNA CHAN TREA</t>
  </si>
  <si>
    <t>ប៊ុណ្ណា មករា</t>
  </si>
  <si>
    <t>BUNNA MAKARA</t>
  </si>
  <si>
    <t>គា គន្ធា</t>
  </si>
  <si>
    <t>KHEA KUNTHEA</t>
  </si>
  <si>
    <t>ឡាក់ ចំរើន</t>
  </si>
  <si>
    <t>LAK CHAMRERN</t>
  </si>
  <si>
    <t>ណាង ស៊ីនិច</t>
  </si>
  <si>
    <t>NANG SINCH</t>
  </si>
  <si>
    <t>ស៊ុត សុផល</t>
  </si>
  <si>
    <t>Phụ trợ trực tiếp (quản lý)</t>
  </si>
  <si>
    <t>Phụ trợ trực tiếp</t>
  </si>
  <si>
    <t>tổ1</t>
  </si>
  <si>
    <r>
      <rPr>
        <sz val="12"/>
        <rFont val="Khmer OS Muol Light"/>
      </rPr>
      <t>រាយនាមការងារ</t>
    </r>
    <r>
      <rPr>
        <sz val="12"/>
        <rFont val="Times New Roman"/>
        <family val="1"/>
      </rPr>
      <t xml:space="preserve">  </t>
    </r>
  </si>
  <si>
    <r>
      <rPr>
        <b/>
        <sz val="12"/>
        <rFont val="Khmer OS Muol Light"/>
      </rPr>
      <t xml:space="preserve"> </t>
    </r>
    <r>
      <rPr>
        <sz val="12"/>
        <rFont val="Khmer OS Muol Light"/>
      </rPr>
      <t>តម្លៃ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 xml:space="preserve">         </t>
    </r>
  </si>
  <si>
    <r>
      <rPr>
        <sz val="12"/>
        <rFont val="Khmer OS Muol Light"/>
      </rPr>
      <t>កម្លាំងថ្ងៃធម្មតា</t>
    </r>
    <r>
      <rPr>
        <sz val="12"/>
        <rFont val="Times New Roman"/>
        <family val="1"/>
      </rPr>
      <t xml:space="preserve">
</t>
    </r>
    <r>
      <rPr>
        <b/>
        <sz val="12"/>
        <rFont val="Times New Roman"/>
        <family val="1"/>
      </rPr>
      <t>Công ngày</t>
    </r>
  </si>
  <si>
    <r>
      <rPr>
        <sz val="12"/>
        <rFont val="Khmer OS Muol Light"/>
      </rPr>
      <t xml:space="preserve">សរុប </t>
    </r>
    <r>
      <rPr>
        <b/>
        <sz val="12"/>
        <rFont val="Khmer OS Muol Light"/>
      </rPr>
      <t xml:space="preserve">      </t>
    </r>
  </si>
  <si>
    <r>
      <rPr>
        <sz val="12"/>
        <rFont val="Khmer OS Muol Light"/>
      </rPr>
      <t>កម្លាំង</t>
    </r>
    <r>
      <rPr>
        <b/>
        <sz val="12"/>
        <rFont val="Times New Roman"/>
        <family val="1"/>
      </rPr>
      <t xml:space="preserve">
Công</t>
    </r>
  </si>
  <si>
    <r>
      <rPr>
        <sz val="12"/>
        <rFont val="Khmer OS Muol Light"/>
      </rPr>
      <t>ជាប្រាក់</t>
    </r>
    <r>
      <rPr>
        <b/>
        <sz val="12"/>
        <rFont val="Times New Roman"/>
        <family val="1"/>
      </rPr>
      <t xml:space="preserve">
Thành tiền</t>
    </r>
  </si>
  <si>
    <t>អង្គភាព៖ ក្រុមផលិត​ទី ១</t>
  </si>
  <si>
    <t>ក្រុមផលិត​ទី ១</t>
  </si>
  <si>
    <t>អង្គភាព: ក្រុមផលិត​ទី ១</t>
  </si>
  <si>
    <t>ណំ សិទ្ធិ</t>
  </si>
  <si>
    <t>វ៉ាន់ បូរិទ្ធ</t>
  </si>
  <si>
    <t>ឆែម ឆុន</t>
  </si>
  <si>
    <t>មាស សំឡូត</t>
  </si>
  <si>
    <t>ហ៊ិក ងួន</t>
  </si>
  <si>
    <t>យៀត ឌី</t>
  </si>
  <si>
    <t>អៀវ សុភ័ណ្ឌ</t>
  </si>
  <si>
    <t>វឿន លីម</t>
  </si>
  <si>
    <t>គង់ ពន្លឺ</t>
  </si>
  <si>
    <t>ផល់ ណាត</t>
  </si>
  <si>
    <t>PHOL NAT</t>
  </si>
  <si>
    <t>ហង់ ហើយ</t>
  </si>
  <si>
    <t>ឡុន លាង</t>
  </si>
  <si>
    <t>ញ៉ីវ ហាន</t>
  </si>
  <si>
    <t>អ៊ុង សុភ័ក្រ</t>
  </si>
  <si>
    <t>លាង ចន្ធី</t>
  </si>
  <si>
    <t>ហួន​ ហេត</t>
  </si>
  <si>
    <t>ផាន់ សុភា</t>
  </si>
  <si>
    <t>លឿន ម៉ៅ</t>
  </si>
  <si>
    <t>ហឿង រីន</t>
  </si>
  <si>
    <t>សៅ​ ធី</t>
  </si>
  <si>
    <t>ប៊ុត សុគង់</t>
  </si>
  <si>
    <t>យ៉ាត សុឃីម</t>
  </si>
  <si>
    <t>ប៊ូ ស្រីណយ</t>
  </si>
  <si>
    <t>អ៊ីវ សាវុន</t>
  </si>
  <si>
    <t>សាត គឹមសេង</t>
  </si>
  <si>
    <t>មឿន រម្យ</t>
  </si>
  <si>
    <t>សៀក សិទ្ធ</t>
  </si>
  <si>
    <t>ប៉ឹង ថា</t>
  </si>
  <si>
    <t>សាត ម៉េងហួង</t>
  </si>
  <si>
    <t>ប៉ិល សុដា</t>
  </si>
  <si>
    <t>ខា សឿន</t>
  </si>
  <si>
    <t>ក្រឹង រ៉ែម</t>
  </si>
  <si>
    <t>អ៊ុក សុខគួន</t>
  </si>
  <si>
    <t>សែ ពីពី</t>
  </si>
  <si>
    <t>ហេត គឹមលីង</t>
  </si>
  <si>
    <t>ហង់ យ៉ាត់</t>
  </si>
  <si>
    <t>អ៊ួន ខ្មិក</t>
  </si>
  <si>
    <t>ប៊ិន យ៉ូត</t>
  </si>
  <si>
    <t>ធី ភិរក្ស</t>
  </si>
  <si>
    <t>150574691</t>
  </si>
  <si>
    <t>ឃាន ជាង</t>
  </si>
  <si>
    <t>ប៉ិន ប៉ីន</t>
  </si>
  <si>
    <t>គួន រ៉ាល់</t>
  </si>
  <si>
    <t>ឃុន ស៊ីសា</t>
  </si>
  <si>
    <t>គន នឿន</t>
  </si>
  <si>
    <t>យ៉ុន ណែត</t>
  </si>
  <si>
    <t>អឿន វិចិត្រ</t>
  </si>
  <si>
    <t>ស៊ឹម យ៉ង់</t>
  </si>
  <si>
    <t>ឡុង ឡុំ</t>
  </si>
  <si>
    <t>ប៊ិន ចាន់</t>
  </si>
  <si>
    <t>អ៊ី​ សុខេង</t>
  </si>
  <si>
    <t>យេត​ យ៉ឺ</t>
  </si>
  <si>
    <t>រឹម ធីម</t>
  </si>
  <si>
    <t>ROEM THIM</t>
  </si>
  <si>
    <t>យឿង រ៉ាឌី</t>
  </si>
  <si>
    <t>ភួន ភា</t>
  </si>
  <si>
    <t>ក្រឹង រ៉ៃ</t>
  </si>
  <si>
    <t>ធី ​ពៅ</t>
  </si>
  <si>
    <t>កាន់ថេត</t>
  </si>
  <si>
    <t>សរ ធាង</t>
  </si>
  <si>
    <t>ភួន ឡែម</t>
  </si>
  <si>
    <t>062315460</t>
  </si>
  <si>
    <t>ធីម ម៉ាប់</t>
  </si>
  <si>
    <t>THIM MAB</t>
  </si>
  <si>
    <t>អ៊ឹម អាន</t>
  </si>
  <si>
    <t>យួត លៀ</t>
  </si>
  <si>
    <t>អ៊ឹម អ៊ីន</t>
  </si>
  <si>
    <t>អឹម អន</t>
  </si>
  <si>
    <t>ម៉េត សុគន្ធា</t>
  </si>
  <si>
    <t>អ៊ឹម ថូ</t>
  </si>
  <si>
    <t>ឆាយ គី</t>
  </si>
  <si>
    <t>CHHAY KY</t>
  </si>
  <si>
    <t>ហន ហូត</t>
  </si>
  <si>
    <r>
      <rPr>
        <sz val="14"/>
        <color indexed="8"/>
        <rFont val="Khmer OS Muol Light"/>
      </rPr>
      <t>ល.រ</t>
    </r>
    <r>
      <rPr>
        <b/>
        <sz val="14"/>
        <color indexed="8"/>
        <rFont val="Times New Roman"/>
        <family val="1"/>
      </rPr>
      <t xml:space="preserve">
STT</t>
    </r>
  </si>
  <si>
    <r>
      <t>តារាងទូទាត់បៀវត្សកម្មករ</t>
    </r>
    <r>
      <rPr>
        <b/>
        <sz val="16"/>
        <color indexed="8"/>
        <rFont val="Khmer OS Muol Light"/>
      </rPr>
      <t xml:space="preserve"> ប្រមូលផល</t>
    </r>
  </si>
  <si>
    <r>
      <rPr>
        <sz val="14"/>
        <color indexed="8"/>
        <rFont val="Khmer OS Muol Light"/>
      </rPr>
      <t>ល.រ</t>
    </r>
    <r>
      <rPr>
        <b/>
        <sz val="14"/>
        <color indexed="8"/>
        <rFont val="Khmer OS Muol Light"/>
      </rPr>
      <t xml:space="preserve">
STT</t>
    </r>
  </si>
  <si>
    <r>
      <rPr>
        <sz val="14"/>
        <color indexed="8"/>
        <rFont val="Khmer OS Muol Light"/>
      </rPr>
      <t>ត្រកូល និង ឈ្មោះ</t>
    </r>
    <r>
      <rPr>
        <b/>
        <sz val="14"/>
        <color indexed="8"/>
        <rFont val="Times New Roman"/>
        <family val="1"/>
      </rPr>
      <t xml:space="preserve">
Họ và tên</t>
    </r>
  </si>
  <si>
    <r>
      <rPr>
        <sz val="14"/>
        <color indexed="8"/>
        <rFont val="Khmer OS Muol Light"/>
      </rPr>
      <t xml:space="preserve">បៀវត្សវគ្គ១
</t>
    </r>
    <r>
      <rPr>
        <b/>
        <sz val="14"/>
        <color indexed="8"/>
        <rFont val="Khmer OS Muol Light"/>
      </rPr>
      <t>Lương đợt 1</t>
    </r>
  </si>
  <si>
    <r>
      <rPr>
        <sz val="14"/>
        <color indexed="8"/>
        <rFont val="Khmer OS Muol Light"/>
      </rPr>
      <t>បៀវត្សវគ្គ២</t>
    </r>
    <r>
      <rPr>
        <b/>
        <sz val="14"/>
        <color indexed="8"/>
        <rFont val="Khmer OS Muol Light"/>
      </rPr>
      <t xml:space="preserve">
Lương đợt 2</t>
    </r>
  </si>
  <si>
    <r>
      <rPr>
        <sz val="14"/>
        <color indexed="8"/>
        <rFont val="Khmer OS Muol Light"/>
      </rPr>
      <t>សរុប</t>
    </r>
    <r>
      <rPr>
        <b/>
        <sz val="14"/>
        <color indexed="8"/>
        <rFont val="Khmer OS Muol Light"/>
      </rPr>
      <t xml:space="preserve">
Tổng lương</t>
    </r>
  </si>
  <si>
    <r>
      <rPr>
        <sz val="14"/>
        <color indexed="8"/>
        <rFont val="Khmer OS Muol Light"/>
      </rPr>
      <t>បំណុល</t>
    </r>
    <r>
      <rPr>
        <b/>
        <sz val="14"/>
        <color indexed="8"/>
        <rFont val="Khmer OS Muol Light"/>
      </rPr>
      <t xml:space="preserve">
Công nợ</t>
    </r>
  </si>
  <si>
    <r>
      <rPr>
        <sz val="14"/>
        <color indexed="8"/>
        <rFont val="Khmer OS Muol Light"/>
      </rPr>
      <t>ត្រូវទទួល</t>
    </r>
    <r>
      <rPr>
        <b/>
        <sz val="14"/>
        <color indexed="8"/>
        <rFont val="Khmer OS Muol Light"/>
      </rPr>
      <t xml:space="preserve">
Thực nhận</t>
    </r>
  </si>
  <si>
    <r>
      <rPr>
        <sz val="14"/>
        <color indexed="8"/>
        <rFont val="Khmer OS Muol Light"/>
      </rPr>
      <t>ហត្ថលេខាទទួល</t>
    </r>
    <r>
      <rPr>
        <b/>
        <sz val="14"/>
        <color indexed="8"/>
        <rFont val="Khmer OS Muol Light"/>
      </rPr>
      <t xml:space="preserve">
KÝ NHẬN</t>
    </r>
  </si>
  <si>
    <r>
      <rPr>
        <sz val="14"/>
        <color indexed="8"/>
        <rFont val="Khmer OS Muol Light"/>
      </rPr>
      <t>កម្លាំង</t>
    </r>
    <r>
      <rPr>
        <b/>
        <sz val="14"/>
        <color indexed="8"/>
        <rFont val="Khmer OS Muol Light"/>
      </rPr>
      <t xml:space="preserve">
Công </t>
    </r>
  </si>
  <si>
    <r>
      <rPr>
        <sz val="14"/>
        <color indexed="8"/>
        <rFont val="Khmer OS Muol Light"/>
      </rPr>
      <t>ជាប្រាក់</t>
    </r>
    <r>
      <rPr>
        <b/>
        <sz val="14"/>
        <color indexed="8"/>
        <rFont val="Khmer OS Muol Light"/>
      </rPr>
      <t xml:space="preserve">
Thành Tiền</t>
    </r>
  </si>
  <si>
    <r>
      <rPr>
        <sz val="12"/>
        <color indexed="8"/>
        <rFont val="Khmer OS Muol Light"/>
      </rPr>
      <t>ប្រាក់បៀវត្សបានទទួលវគ្គ១</t>
    </r>
    <r>
      <rPr>
        <b/>
        <sz val="12"/>
        <color indexed="8"/>
        <rFont val="Khmer OS Muol Light"/>
      </rPr>
      <t>/Lương đã nhận đợt 1</t>
    </r>
  </si>
  <si>
    <r>
      <rPr>
        <b/>
        <sz val="14"/>
        <color indexed="8"/>
        <rFont val="Khmer OS Muol Light"/>
      </rPr>
      <t>ភាគទានប្រាក់សោធន</t>
    </r>
    <r>
      <rPr>
        <b/>
        <sz val="14"/>
        <color indexed="8"/>
        <rFont val="Times New Roman"/>
        <family val="1"/>
      </rPr>
      <t xml:space="preserve">
BHXH</t>
    </r>
  </si>
  <si>
    <r>
      <rPr>
        <sz val="14"/>
        <color indexed="8"/>
        <rFont val="Khmer OS Muol Light"/>
      </rPr>
      <t>ពន្ធលើប្រាក់បៀវត្ស</t>
    </r>
    <r>
      <rPr>
        <b/>
        <sz val="14"/>
        <color indexed="8"/>
        <rFont val="Khmer OS Muol Light"/>
      </rPr>
      <t xml:space="preserve">
TNCN</t>
    </r>
  </si>
  <si>
    <r>
      <t>តារាងទូទាត់បៀវត្សកម្មករ</t>
    </r>
    <r>
      <rPr>
        <b/>
        <sz val="18"/>
        <color indexed="8"/>
        <rFont val="Khmer OS Muol Light"/>
      </rPr>
      <t xml:space="preserve"> ប្រមូលផល</t>
    </r>
  </si>
  <si>
    <r>
      <rPr>
        <sz val="14"/>
        <color indexed="8"/>
        <rFont val="Khmer OS Muol Light"/>
      </rPr>
      <t xml:space="preserve">បៀវត្សវគ្គ១
</t>
    </r>
    <r>
      <rPr>
        <b/>
        <sz val="14"/>
        <color indexed="8"/>
        <rFont val="Times New Roman"/>
        <family val="1"/>
      </rPr>
      <t>Lương đợt 1</t>
    </r>
  </si>
  <si>
    <r>
      <rPr>
        <sz val="14"/>
        <color indexed="8"/>
        <rFont val="Khmer OS Muol Light"/>
      </rPr>
      <t>បៀវត្សវគ្គ២</t>
    </r>
    <r>
      <rPr>
        <b/>
        <sz val="14"/>
        <color indexed="8"/>
        <rFont val="Times New Roman"/>
        <family val="1"/>
      </rPr>
      <t xml:space="preserve">
Lương đợt 2</t>
    </r>
  </si>
  <si>
    <r>
      <rPr>
        <sz val="14"/>
        <color indexed="8"/>
        <rFont val="Khmer OS Muol Light"/>
      </rPr>
      <t>បំណុល</t>
    </r>
    <r>
      <rPr>
        <b/>
        <sz val="14"/>
        <color indexed="8"/>
        <rFont val="Times New Roman"/>
        <family val="1"/>
      </rPr>
      <t xml:space="preserve">
Công nợ</t>
    </r>
  </si>
  <si>
    <r>
      <t>ប្រាក់បៀវត្ស /</t>
    </r>
    <r>
      <rPr>
        <b/>
        <sz val="14"/>
        <color indexed="8"/>
        <rFont val="Times New Roman"/>
        <family val="1"/>
      </rPr>
      <t>THÂM NIÊN</t>
    </r>
  </si>
  <si>
    <r>
      <rPr>
        <sz val="14"/>
        <color indexed="8"/>
        <rFont val="Khmer OS Muol Light"/>
      </rPr>
      <t>កម្លាំង</t>
    </r>
    <r>
      <rPr>
        <b/>
        <sz val="14"/>
        <color indexed="8"/>
        <rFont val="Times New Roman"/>
        <family val="1"/>
      </rPr>
      <t xml:space="preserve">
Công </t>
    </r>
  </si>
  <si>
    <r>
      <rPr>
        <sz val="14"/>
        <color indexed="8"/>
        <rFont val="Khmer OS Muol Light"/>
      </rPr>
      <t>កម្លាំង</t>
    </r>
    <r>
      <rPr>
        <b/>
        <sz val="14"/>
        <color indexed="8"/>
        <rFont val="Times New Roman"/>
        <family val="1"/>
      </rPr>
      <t xml:space="preserve">
Công</t>
    </r>
  </si>
  <si>
    <r>
      <rPr>
        <sz val="14"/>
        <color indexed="8"/>
        <rFont val="Khmer OS Muol Light"/>
      </rPr>
      <t>ប្រាក់បៀវត្សបានទទួលវគ្គ១</t>
    </r>
    <r>
      <rPr>
        <b/>
        <sz val="14"/>
        <color indexed="8"/>
        <rFont val="Khmer OS Muol Light"/>
      </rPr>
      <t>/Lương đã nhận đợt 1</t>
    </r>
  </si>
  <si>
    <r>
      <rPr>
        <sz val="14"/>
        <color indexed="8"/>
        <rFont val="Khmer OS Muol Light"/>
      </rPr>
      <t>ពន្ធលើប្រាក់បៀវត្ស</t>
    </r>
    <r>
      <rPr>
        <b/>
        <sz val="14"/>
        <color indexed="8"/>
        <rFont val="Times New Roman"/>
        <family val="1"/>
      </rPr>
      <t xml:space="preserve">
TNCN</t>
    </r>
  </si>
  <si>
    <t>ផុន អឿន</t>
  </si>
  <si>
    <t>PON OEUN</t>
  </si>
  <si>
    <t>សុក ចូក</t>
  </si>
  <si>
    <t>SOK CHOUK</t>
  </si>
  <si>
    <t>ខុន ចំរ៉ុង</t>
  </si>
  <si>
    <t>KHUN CHAMRONG</t>
  </si>
  <si>
    <t>មិក ម៉ាច</t>
  </si>
  <si>
    <t>MIK MACH</t>
  </si>
  <si>
    <t>សួស ថេ</t>
  </si>
  <si>
    <t>SOUS THE</t>
  </si>
  <si>
    <t>ហង់ ទីន</t>
  </si>
  <si>
    <t>HANG TIN</t>
  </si>
  <si>
    <t>រីម យ៉ុម</t>
  </si>
  <si>
    <t>RIM YOM</t>
  </si>
  <si>
    <t>ហឿន សារ៉េ</t>
  </si>
  <si>
    <t>HOEUN SAREN</t>
  </si>
  <si>
    <t>អៀម យ៉េន</t>
  </si>
  <si>
    <t>ជុំ ជាតិ</t>
  </si>
  <si>
    <t>CHUM CHEAT</t>
  </si>
  <si>
    <t>គឿន ភាក់</t>
  </si>
  <si>
    <t>KOEUN PHEAK</t>
  </si>
  <si>
    <t>051715381</t>
  </si>
  <si>
    <t>ប៊ើង សំអាង</t>
  </si>
  <si>
    <t>BOEUNG SAMANG</t>
  </si>
  <si>
    <t>Xịt chồi dại</t>
  </si>
  <si>
    <t>បាញ់ថ្នាំស្មៅព្រៃ</t>
  </si>
  <si>
    <t>LỄ (PCHUM BANH)</t>
  </si>
  <si>
    <t>សេង​ ធឿ</t>
  </si>
  <si>
    <t>យ៉ាំ ឡត</t>
  </si>
  <si>
    <t>YAM LOTH</t>
  </si>
  <si>
    <t>ផាវ ផាន់</t>
  </si>
  <si>
    <t>PHAV PHANN</t>
  </si>
  <si>
    <t>សឿន ផាត</t>
  </si>
  <si>
    <t>ហាត់ ធីតា</t>
  </si>
  <si>
    <t>HAT THYDA</t>
  </si>
  <si>
    <t>ទី វេន</t>
  </si>
  <si>
    <t>TY VEN</t>
  </si>
  <si>
    <t>HIM SOPHEAKDEY</t>
  </si>
  <si>
    <t>ធឹម លិញ</t>
  </si>
  <si>
    <t>THOEM LENH</t>
  </si>
  <si>
    <t>ឡិក វិញ</t>
  </si>
  <si>
    <t>LEK VINH</t>
  </si>
  <si>
    <t>ជូន ជឿត</t>
  </si>
  <si>
    <t>CHUON CHOEURT</t>
  </si>
  <si>
    <t>tổ 4</t>
  </si>
  <si>
    <r>
      <rPr>
        <sz val="14"/>
        <color indexed="8"/>
        <rFont val="Khmer OS"/>
      </rPr>
      <t>ការពារភ្លើងឆេះ + យាមភ្លើង</t>
    </r>
    <r>
      <rPr>
        <sz val="14"/>
        <color indexed="8"/>
        <rFont val="Times New Roman"/>
        <family val="1"/>
      </rPr>
      <t>/Phòng chống cháy + gác lửa</t>
    </r>
  </si>
  <si>
    <t>ញ៉ិប អេន</t>
  </si>
  <si>
    <t>ខ្វាន់ ឡាត់</t>
  </si>
  <si>
    <t>យ៉ុន ស្រីរ័ត្ន</t>
  </si>
  <si>
    <t>គ្រីប ថេត</t>
  </si>
  <si>
    <t>ប៊ុនណា មករា</t>
  </si>
  <si>
    <t>ហ៊ីម សុភក្តី</t>
  </si>
  <si>
    <t>x</t>
  </si>
  <si>
    <t>វ៉ាន់ បូរ៉ុង</t>
  </si>
  <si>
    <t>VANN BORONG</t>
  </si>
  <si>
    <t>ទូ គុលា</t>
  </si>
  <si>
    <t>TO TOKLA</t>
  </si>
  <si>
    <t>ឡា​ឡច</t>
  </si>
  <si>
    <t>LA LOCH</t>
  </si>
  <si>
    <t>អ៊ីម សារ៉ាន</t>
  </si>
  <si>
    <t>IM SARAN</t>
  </si>
  <si>
    <t>ទួច សុភាន់</t>
  </si>
  <si>
    <t>TUOCH SOPHOIN</t>
  </si>
  <si>
    <t>លាង លីម</t>
  </si>
  <si>
    <t>LEANG LIM</t>
  </si>
  <si>
    <t>អ៊ី សុខួច</t>
  </si>
  <si>
    <t>Y SOKHOUCH</t>
  </si>
  <si>
    <t>ហង់ ស៊ីយាន</t>
  </si>
  <si>
    <t>HONG SIYEAN</t>
  </si>
  <si>
    <t>CạoD2 (17,000 riel)</t>
  </si>
  <si>
    <t>យ៉ុង កាញ់</t>
  </si>
  <si>
    <t>YONG KANH</t>
  </si>
  <si>
    <t>សឿន ចំរើន</t>
  </si>
  <si>
    <t>SOEUN CHAMRAEUN</t>
  </si>
  <si>
    <t>លី ចាន់នី</t>
  </si>
  <si>
    <t>ឃី ស៊ីណា</t>
  </si>
  <si>
    <t>KHY SINA</t>
  </si>
  <si>
    <t>អាង សី</t>
  </si>
  <si>
    <t>ANG SEY</t>
  </si>
  <si>
    <t>ហួន ហេង</t>
  </si>
  <si>
    <t>HOUN HENG</t>
  </si>
  <si>
    <t>150113259</t>
  </si>
  <si>
    <t>ឈិន ឈឿន</t>
  </si>
  <si>
    <t>CHHIN CHHOEUN</t>
  </si>
  <si>
    <t>ឡេង ឡៃហួត</t>
  </si>
  <si>
    <t>LENG LAYHUOT</t>
  </si>
  <si>
    <t>ធី សៀក</t>
  </si>
  <si>
    <t>THY SEAK</t>
  </si>
  <si>
    <t>យី​ វណ្ណី</t>
  </si>
  <si>
    <t>YI VANNY</t>
  </si>
  <si>
    <t>ស្រី ឈួង</t>
  </si>
  <si>
    <t>SREY CHHUONG</t>
  </si>
  <si>
    <t>061111947</t>
  </si>
  <si>
    <t>ផន មើន</t>
  </si>
  <si>
    <t>PHAN MOEUN</t>
  </si>
  <si>
    <t>សួរ ឆវ័ន</t>
  </si>
  <si>
    <t>SOUR CHHORVORN</t>
  </si>
  <si>
    <t>សាយ លាន</t>
  </si>
  <si>
    <t>សួរ​ ឡុង</t>
  </si>
  <si>
    <t>អ៊ុច ភា</t>
  </si>
  <si>
    <t>ងិន ច្រិប</t>
  </si>
  <si>
    <t>ត្រុចធីតា</t>
  </si>
  <si>
    <t>ប្រុស</t>
  </si>
  <si>
    <t>កេរ្ត៍​ ថ្លម</t>
  </si>
  <si>
    <t>KE THNORM</t>
  </si>
  <si>
    <t>វៀត សុខេន</t>
  </si>
  <si>
    <t>VEAT SOKHEN</t>
  </si>
  <si>
    <t>ងិន ភា</t>
  </si>
  <si>
    <t>NGIN PHEA</t>
  </si>
  <si>
    <t>បូ បូត</t>
  </si>
  <si>
    <t>BO BOUT</t>
  </si>
  <si>
    <t>គីន ចន្ថា</t>
  </si>
  <si>
    <t>KIN CHANTHA</t>
  </si>
  <si>
    <t>ងិន វន</t>
  </si>
  <si>
    <t>NGIN VORN</t>
  </si>
  <si>
    <t>ឡាក់ ចាក់</t>
  </si>
  <si>
    <t>LAK CHHAK</t>
  </si>
  <si>
    <t>BẢNG CHẤM CÔNG CẠO MỦ THÁNG 01/2026</t>
  </si>
  <si>
    <t>SẢN LƯỢNG THÁNG 01/2026 đ2</t>
  </si>
  <si>
    <t>ពីថ្ងៃទី 16-31 ខែ 01 ឆ្នាំ 2026</t>
  </si>
  <si>
    <t>TỪ NGÀY 16-31 THÁNG 01 NĂM 2026</t>
  </si>
  <si>
    <r>
      <rPr>
        <i/>
        <sz val="12"/>
        <rFont val="Khmer OS"/>
      </rPr>
      <t>កំពង់ធំ, ថ្ងៃ</t>
    </r>
    <r>
      <rPr>
        <i/>
        <sz val="12"/>
        <rFont val="Times New Roman"/>
        <family val="1"/>
      </rPr>
      <t xml:space="preserve"> (ngày)        </t>
    </r>
    <r>
      <rPr>
        <i/>
        <sz val="12"/>
        <rFont val="Khmer OS"/>
      </rPr>
      <t xml:space="preserve">ខែ </t>
    </r>
    <r>
      <rPr>
        <i/>
        <sz val="12"/>
        <rFont val="Times New Roman"/>
        <family val="1"/>
      </rPr>
      <t xml:space="preserve">(tháng)      </t>
    </r>
    <r>
      <rPr>
        <i/>
        <sz val="12"/>
        <rFont val="Khmer OS"/>
      </rPr>
      <t xml:space="preserve">ឆ្នាំ </t>
    </r>
    <r>
      <rPr>
        <i/>
        <sz val="12"/>
        <rFont val="Times New Roman"/>
        <family val="1"/>
      </rPr>
      <t>(năm) 2026</t>
    </r>
  </si>
  <si>
    <t>បៀវត្សកម្មករប្រមូលផលពីថ្ងៃទី 16-31 ខែ 01 ឆ្នាំ​ 2026</t>
  </si>
  <si>
    <t>LƯƠNG CÔNG NHÂN KHAI THÁC TỪ NGÀY 16-31 THÁNG 01 NĂM 2026</t>
  </si>
  <si>
    <r>
      <t xml:space="preserve">I/ </t>
    </r>
    <r>
      <rPr>
        <u/>
        <sz val="14"/>
        <color indexed="8"/>
        <rFont val="Khmer OS Muol Light"/>
      </rPr>
      <t>សរុបបៀវត្សខែ</t>
    </r>
    <r>
      <rPr>
        <b/>
        <u/>
        <sz val="14"/>
        <color indexed="8"/>
        <rFont val="Khmer OS Muol Light"/>
      </rPr>
      <t xml:space="preserve"> 01/2026 </t>
    </r>
    <r>
      <rPr>
        <b/>
        <u/>
        <sz val="14"/>
        <color indexed="8"/>
        <rFont val="Times New Roman"/>
        <family val="1"/>
      </rPr>
      <t>(Tổng lương tháng 01/2026)</t>
    </r>
    <r>
      <rPr>
        <b/>
        <u/>
        <sz val="14"/>
        <color indexed="8"/>
        <rFont val="Khmer OS Muol Light"/>
      </rPr>
      <t>:</t>
    </r>
  </si>
  <si>
    <r>
      <rPr>
        <i/>
        <sz val="12"/>
        <color indexed="8"/>
        <rFont val="Khmer OS"/>
      </rPr>
      <t>កំពង់ធំ, ថ្ងៃ</t>
    </r>
    <r>
      <rPr>
        <i/>
        <sz val="12"/>
        <color indexed="8"/>
        <rFont val="Times New Roman"/>
        <family val="1"/>
      </rPr>
      <t xml:space="preserve"> (ngày)     </t>
    </r>
    <r>
      <rPr>
        <i/>
        <sz val="12"/>
        <color indexed="8"/>
        <rFont val="Khmer OS"/>
      </rPr>
      <t xml:space="preserve">  ខែ </t>
    </r>
    <r>
      <rPr>
        <i/>
        <sz val="12"/>
        <color indexed="8"/>
        <rFont val="Times New Roman"/>
        <family val="1"/>
      </rPr>
      <t xml:space="preserve">(tháng)        </t>
    </r>
    <r>
      <rPr>
        <i/>
        <sz val="12"/>
        <color indexed="8"/>
        <rFont val="Khmer OS"/>
      </rPr>
      <t xml:space="preserve">ឆ្នាំ </t>
    </r>
    <r>
      <rPr>
        <i/>
        <sz val="12"/>
        <color indexed="8"/>
        <rFont val="Times New Roman"/>
        <family val="1"/>
      </rPr>
      <t>(năm)  2026</t>
    </r>
  </si>
  <si>
    <t>កំពង់ធំ, ថ្ងៃ (ngày)          ខែ (tháng)         ឆ្នាំ (năm) 2026</t>
  </si>
  <si>
    <t>កំពង់ធំ, ថ្ងៃ (ngày)       ខែ (tháng)     ឆ្នាំ (năm) 2026</t>
  </si>
  <si>
    <t>កំពង់ធំ, ថ្ងៃ (ngày)         ខែ (tháng)   ​​​     ឆ្នាំ (năm) 2026</t>
  </si>
  <si>
    <r>
      <t xml:space="preserve">ពីថ្ងៃទី 16-31 ខែ 01 ឆ្នាំ </t>
    </r>
    <r>
      <rPr>
        <b/>
        <sz val="18"/>
        <color indexed="8"/>
        <rFont val="Khmer OS Muol Light"/>
      </rPr>
      <t>2026</t>
    </r>
  </si>
  <si>
    <t>X</t>
  </si>
  <si>
    <t>D-B</t>
  </si>
  <si>
    <t>A-C</t>
  </si>
  <si>
    <t>B-D</t>
  </si>
  <si>
    <t>C-A</t>
  </si>
  <si>
    <t xml:space="preserve">Cạo mủ 16.000 riel
</t>
  </si>
  <si>
    <t>Phụ cấp (xăng) 1.000 riel</t>
  </si>
  <si>
    <r>
      <rPr>
        <sz val="14"/>
        <color indexed="8"/>
        <rFont val="Khmer OS Muol Light"/>
      </rPr>
      <t>ល.រ</t>
    </r>
    <r>
      <rPr>
        <b/>
        <sz val="14"/>
        <color indexed="8"/>
        <rFont val="Times New Roman"/>
        <family val="1"/>
      </rPr>
      <t xml:space="preserve">
STT</t>
    </r>
  </si>
  <si>
    <r>
      <rPr>
        <sz val="14"/>
        <color indexed="8"/>
        <rFont val="Khmer OS Muol Light"/>
      </rPr>
      <t>ត្រកូលនិងឈ្មោះ</t>
    </r>
    <r>
      <rPr>
        <b/>
        <sz val="14"/>
        <color indexed="8"/>
        <rFont val="Times New Roman"/>
        <family val="1"/>
      </rPr>
      <t xml:space="preserve">
Họ và tên</t>
    </r>
  </si>
  <si>
    <r>
      <rPr>
        <sz val="12"/>
        <color indexed="8"/>
        <rFont val="Khmer OS Muol Light"/>
      </rPr>
      <t>សរុប</t>
    </r>
    <r>
      <rPr>
        <b/>
        <sz val="12"/>
        <color indexed="8"/>
        <rFont val="Times New Roman"/>
        <family val="1"/>
      </rPr>
      <t xml:space="preserve">
Tổng công</t>
    </r>
  </si>
  <si>
    <r>
      <rPr>
        <sz val="12"/>
        <color indexed="8"/>
        <rFont val="Khmer OS Muol Light"/>
      </rPr>
      <t>ហត្ថលេខាទទួល</t>
    </r>
    <r>
      <rPr>
        <b/>
        <sz val="12"/>
        <color indexed="8"/>
        <rFont val="Times New Roman"/>
        <family val="1"/>
      </rPr>
      <t xml:space="preserve">
KÝ NHẬN</t>
    </r>
  </si>
  <si>
    <r>
      <rPr>
        <sz val="12"/>
        <color indexed="8"/>
        <rFont val="Khmer OS Muol Light"/>
      </rPr>
      <t>បរិមាណ</t>
    </r>
    <r>
      <rPr>
        <b/>
        <sz val="12"/>
        <color indexed="8"/>
        <rFont val="Times New Roman"/>
        <family val="1"/>
      </rPr>
      <t xml:space="preserve">
Khối lượng </t>
    </r>
  </si>
  <si>
    <r>
      <rPr>
        <sz val="12"/>
        <color indexed="8"/>
        <rFont val="Khmer OS Muol Light"/>
      </rPr>
      <t>កម្លាំង</t>
    </r>
    <r>
      <rPr>
        <b/>
        <sz val="12"/>
        <color indexed="8"/>
        <rFont val="Times New Roman"/>
        <family val="1"/>
      </rPr>
      <t xml:space="preserve">
Công</t>
    </r>
  </si>
  <si>
    <r>
      <rPr>
        <sz val="11"/>
        <color indexed="8"/>
        <rFont val="Khmer OS Muol Light"/>
      </rPr>
      <t>បរិមាណ</t>
    </r>
    <r>
      <rPr>
        <b/>
        <sz val="11"/>
        <color indexed="8"/>
        <rFont val="Times New Roman"/>
        <family val="1"/>
      </rPr>
      <t xml:space="preserve">
Khối lượng </t>
    </r>
  </si>
  <si>
    <r>
      <rPr>
        <sz val="11"/>
        <color indexed="8"/>
        <rFont val="Khmer OS Muol Light"/>
      </rPr>
      <t>កម្លាំង</t>
    </r>
    <r>
      <rPr>
        <b/>
        <sz val="11"/>
        <color indexed="8"/>
        <rFont val="Times New Roman"/>
        <family val="1"/>
      </rPr>
      <t xml:space="preserve">
Công</t>
    </r>
  </si>
  <si>
    <r>
      <rPr>
        <sz val="10"/>
        <color indexed="8"/>
        <rFont val="Khmer OS Muol Light"/>
      </rPr>
      <t>ល.រ</t>
    </r>
    <r>
      <rPr>
        <b/>
        <sz val="10"/>
        <color indexed="8"/>
        <rFont val="Times New Roman"/>
        <family val="1"/>
      </rPr>
      <t xml:space="preserve">
STT</t>
    </r>
  </si>
  <si>
    <r>
      <rPr>
        <sz val="10"/>
        <color indexed="8"/>
        <rFont val="Khmer OS Muol Light"/>
      </rPr>
      <t>ត្រកូលនិងឈ្មោះ</t>
    </r>
    <r>
      <rPr>
        <b/>
        <sz val="10"/>
        <color indexed="8"/>
        <rFont val="Times New Roman"/>
        <family val="1"/>
      </rPr>
      <t xml:space="preserve">
Họ và tên</t>
    </r>
  </si>
  <si>
    <r>
      <rPr>
        <sz val="10"/>
        <color indexed="8"/>
        <rFont val="Khmer OS Muol Light"/>
      </rPr>
      <t>សរុប</t>
    </r>
    <r>
      <rPr>
        <b/>
        <sz val="10"/>
        <color indexed="8"/>
        <rFont val="Times New Roman"/>
        <family val="1"/>
      </rPr>
      <t xml:space="preserve">
Tổng công</t>
    </r>
  </si>
  <si>
    <r>
      <rPr>
        <sz val="10"/>
        <color indexed="8"/>
        <rFont val="Khmer OS Muol Light"/>
      </rPr>
      <t>ហត្ថលេខាទទួល</t>
    </r>
    <r>
      <rPr>
        <b/>
        <sz val="10"/>
        <color indexed="8"/>
        <rFont val="Times New Roman"/>
        <family val="1"/>
      </rPr>
      <t xml:space="preserve">
KÝ NHẬN</t>
    </r>
  </si>
  <si>
    <r>
      <rPr>
        <sz val="10"/>
        <color indexed="8"/>
        <rFont val="Khmer OS Muol Light"/>
      </rPr>
      <t>បរិមាណ</t>
    </r>
    <r>
      <rPr>
        <b/>
        <sz val="10"/>
        <color indexed="8"/>
        <rFont val="Times New Roman"/>
        <family val="1"/>
      </rPr>
      <t xml:space="preserve">
Khối lượng </t>
    </r>
  </si>
  <si>
    <r>
      <rPr>
        <sz val="10"/>
        <color indexed="8"/>
        <rFont val="Khmer OS Muol Light"/>
      </rPr>
      <t>កម្លាំង</t>
    </r>
    <r>
      <rPr>
        <b/>
        <sz val="10"/>
        <color indexed="8"/>
        <rFont val="Times New Roman"/>
        <family val="1"/>
      </rPr>
      <t xml:space="preserve">
Công</t>
    </r>
  </si>
  <si>
    <r>
      <rPr>
        <sz val="14"/>
        <color indexed="8"/>
        <rFont val="Khmer OS"/>
      </rPr>
      <t>ជម្រះស្មៅចន្លោះរង</t>
    </r>
    <r>
      <rPr>
        <sz val="14"/>
        <color indexed="8"/>
        <rFont val="Times New Roman"/>
        <family val="1"/>
      </rPr>
      <t>/Phát cỏ luồng</t>
    </r>
  </si>
  <si>
    <r>
      <rPr>
        <sz val="12"/>
        <color indexed="8"/>
        <rFont val="Khmer OS"/>
      </rPr>
      <t>បែងចែកផ្ទាំងចៀរ/</t>
    </r>
    <r>
      <rPr>
        <sz val="12"/>
        <color indexed="8"/>
        <rFont val="Times New Roman"/>
        <family val="1"/>
      </rPr>
      <t>Thiết kế mặt cạo</t>
    </r>
  </si>
  <si>
    <r>
      <rPr>
        <sz val="12"/>
        <color indexed="8"/>
        <rFont val="Khmer OS"/>
      </rPr>
      <t>ជំរឿនដើមកៅស៊ូនៅដើមរដូវចៀរ</t>
    </r>
    <r>
      <rPr>
        <sz val="12"/>
        <color indexed="8"/>
        <rFont val="Times New Roman"/>
        <family val="1"/>
      </rPr>
      <t>/Kiểm kê cây cao su đầu vụ cạo</t>
    </r>
  </si>
  <si>
    <t>ជាអក្សរ៖ ​​ ប្រាំមួយរយម្ភៃលាន​   ​ ប្រាំមួយរយហាសិបប្រាំបួនពាន់     ប្រាំបួនរយម្ភៃប្រាំមួយរៀលគត់។</t>
  </si>
  <si>
    <t>- Bằng chữ:  Sáu trăm hai mươi triệu    sáu trăm năm mươi chín ngàn    chín trăm hai mươi sáu Riel Chẵn.</t>
  </si>
  <si>
    <t>- Bằng chữ:   Sáu trăm lẻ ba triệu    tám trăm lẻ một ngàn    tám trăm lẻ năm Riel Chẵn.</t>
  </si>
  <si>
    <t>ជាអក្សរ៖  ប្រាំមួយរយបីរលាន​   ប្រាំបីររយមួយពាន់   ​ ប្រាំបីររយប្រាំរៀលគត់។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</si>
</sst>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_-* #,##0.00_-;\-* #,##0.00_-;_-* &quot;-&quot;??_-;_-@_-"/>
    <numFmt numFmtId="165" formatCode="_-* #,##0.00\ _₫_-;\-* #,##0.00\ _₫_-;_-* &quot;-&quot;??\ _₫_-;_-@_-"/>
    <numFmt numFmtId="166" formatCode="_(* #,##0.0_);_(* \(#,##0.0\);_(* &quot;-&quot;??_);_(@_)"/>
    <numFmt numFmtId="167" formatCode="_-* #,##0.0_-;\-* #,##0.0_-;_-* &quot;-&quot;??_-;_-@_-"/>
    <numFmt numFmtId="168" formatCode="_-* #,##0_-;\-* #,##0_-;_-* &quot;-&quot;??_-;_-@_-"/>
    <numFmt numFmtId="169" formatCode="#,##0.0"/>
    <numFmt numFmtId="170" formatCode="_-* #,##0.0_-;\-* #,##0.0_-;_-* &quot;-&quot;?_-;_-@_-"/>
    <numFmt numFmtId="171" formatCode="_(* #,##0.0_);_(* \(#,##0.0\);_(* &quot;-&quot;?_);_(@_)"/>
    <numFmt numFmtId="172" formatCode="_(* #,##0_);_(* \(#,##0\);_(* &quot;-&quot;??_);_(@_)"/>
    <numFmt numFmtId="173" formatCode="_-* #,##0.000_-;\-* #,##0.000_-;_-* &quot;-&quot;??_-;_-@_-"/>
    <numFmt numFmtId="174" formatCode="_-* #,##0.0000_-;\-* #,##0.0000_-;_-* &quot;-&quot;??_-;_-@_-"/>
    <numFmt numFmtId="175" formatCode="0.0"/>
  </numFmts>
  <fonts count="167">
    <font>
      <sz val="11"/>
      <color theme="1"/>
      <name val="Arial"/>
      <family val="2"/>
    </font>
    <font>
      <sz val="14"/>
      <color indexed="8"/>
      <name val="Khmer OS Muol Light"/>
    </font>
    <font>
      <sz val="16"/>
      <color indexed="8"/>
      <name val="Times New Roman"/>
      <family val="1"/>
    </font>
    <font>
      <sz val="12"/>
      <color indexed="8"/>
      <name val="Times New Roman"/>
      <family val="1"/>
    </font>
    <font>
      <sz val="14"/>
      <color indexed="8"/>
      <name val="Times New Roman"/>
      <family val="1"/>
    </font>
    <font>
      <sz val="11"/>
      <color indexed="8"/>
      <name val="Times New Roman"/>
      <family val="1"/>
    </font>
    <font>
      <b/>
      <sz val="16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4"/>
      <color indexed="8"/>
      <name val="Times New Roman"/>
      <family val="1"/>
    </font>
    <font>
      <sz val="11"/>
      <color indexed="8"/>
      <name val="Calibri"/>
      <family val="2"/>
    </font>
    <font>
      <sz val="12"/>
      <color indexed="8"/>
      <name val="Khmer OS Muol Light"/>
    </font>
    <font>
      <sz val="11"/>
      <color indexed="8"/>
      <name val="Arial"/>
      <family val="2"/>
    </font>
    <font>
      <sz val="12"/>
      <color indexed="8"/>
      <name val="Khmer OS"/>
    </font>
    <font>
      <sz val="14"/>
      <color indexed="8"/>
      <name val="Arial"/>
      <family val="2"/>
    </font>
    <font>
      <b/>
      <sz val="13"/>
      <color indexed="8"/>
      <name val="Khmer OS Muol Light"/>
    </font>
    <font>
      <sz val="14"/>
      <color indexed="8"/>
      <name val="VNI-Times"/>
      <family val="2"/>
    </font>
    <font>
      <sz val="14"/>
      <color indexed="8"/>
      <name val="Khmer OS Muol"/>
    </font>
    <font>
      <sz val="16"/>
      <name val="Times New Roman"/>
      <family val="1"/>
    </font>
    <font>
      <sz val="11"/>
      <name val="Times New Roman"/>
      <family val="1"/>
    </font>
    <font>
      <sz val="11"/>
      <color indexed="10"/>
      <name val="Times New Roman"/>
      <family val="1"/>
    </font>
    <font>
      <b/>
      <sz val="11"/>
      <color indexed="8"/>
      <name val="Times New Roman"/>
      <family val="1"/>
    </font>
    <font>
      <b/>
      <sz val="14"/>
      <color indexed="8"/>
      <name val="Khmer OS Muol"/>
    </font>
    <font>
      <sz val="24"/>
      <color indexed="8"/>
      <name val="Times New Roman"/>
      <family val="1"/>
    </font>
    <font>
      <sz val="13"/>
      <color indexed="8"/>
      <name val="Khmer OS Muol Light"/>
    </font>
    <font>
      <sz val="13"/>
      <color indexed="10"/>
      <name val="Khmer OS Muol Light"/>
    </font>
    <font>
      <sz val="8"/>
      <color indexed="8"/>
      <name val="Times New Roman"/>
      <family val="1"/>
    </font>
    <font>
      <b/>
      <i/>
      <sz val="14"/>
      <color indexed="8"/>
      <name val="Times New Roman"/>
      <family val="1"/>
    </font>
    <font>
      <sz val="11"/>
      <color indexed="8"/>
      <name val="Khmer OS"/>
    </font>
    <font>
      <sz val="14"/>
      <color indexed="8"/>
      <name val="Calibri"/>
      <family val="2"/>
    </font>
    <font>
      <sz val="12"/>
      <color indexed="8"/>
      <name val="Khmer OS Bokor"/>
    </font>
    <font>
      <vertAlign val="superscript"/>
      <sz val="12"/>
      <color indexed="8"/>
      <name val="Times New Roman"/>
      <family val="1"/>
    </font>
    <font>
      <vertAlign val="superscript"/>
      <sz val="14"/>
      <color indexed="8"/>
      <name val="Times New Roman"/>
      <family val="1"/>
    </font>
    <font>
      <b/>
      <u/>
      <sz val="14"/>
      <color indexed="8"/>
      <name val="Khmer OS Muol Light"/>
    </font>
    <font>
      <b/>
      <u/>
      <sz val="14"/>
      <color indexed="8"/>
      <name val="Times New Roman"/>
      <family val="1"/>
    </font>
    <font>
      <sz val="14"/>
      <color indexed="8"/>
      <name val="Khmer OS Bokor"/>
    </font>
    <font>
      <u/>
      <sz val="14"/>
      <color indexed="8"/>
      <name val="Times New Roman"/>
      <family val="1"/>
    </font>
    <font>
      <u/>
      <sz val="14"/>
      <color indexed="8"/>
      <name val="VNI-Times"/>
      <family val="2"/>
    </font>
    <font>
      <b/>
      <u/>
      <sz val="14"/>
      <color indexed="8"/>
      <name val="VNI-Times"/>
      <family val="2"/>
    </font>
    <font>
      <sz val="13"/>
      <color indexed="8"/>
      <name val="Times New Roman"/>
      <family val="1"/>
    </font>
    <font>
      <i/>
      <sz val="12"/>
      <color indexed="8"/>
      <name val="Times New Roman"/>
      <family val="1"/>
    </font>
    <font>
      <b/>
      <sz val="13"/>
      <color indexed="8"/>
      <name val="Times New Roman"/>
      <family val="1"/>
    </font>
    <font>
      <sz val="13"/>
      <color indexed="8"/>
      <name val="Arial"/>
      <family val="2"/>
    </font>
    <font>
      <sz val="13"/>
      <color indexed="8"/>
      <name val="Calibri"/>
      <family val="2"/>
    </font>
    <font>
      <i/>
      <sz val="12"/>
      <color indexed="8"/>
      <name val="Khmer OS Bokor"/>
    </font>
    <font>
      <i/>
      <sz val="14"/>
      <color indexed="8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sz val="14"/>
      <name val="VNI-Times"/>
      <family val="2"/>
    </font>
    <font>
      <sz val="14"/>
      <name val="VNI-Times"/>
      <family val="2"/>
    </font>
    <font>
      <b/>
      <sz val="13"/>
      <name val="VNI-Times"/>
      <family val="2"/>
    </font>
    <font>
      <sz val="13"/>
      <name val="Khmer OS Muol Light"/>
    </font>
    <font>
      <sz val="13"/>
      <name val="Calibri"/>
      <family val="2"/>
    </font>
    <font>
      <sz val="13"/>
      <name val="VNI-Times"/>
      <family val="2"/>
    </font>
    <font>
      <sz val="13"/>
      <name val="Khmer OS Bokor"/>
    </font>
    <font>
      <b/>
      <vertAlign val="superscript"/>
      <sz val="13"/>
      <name val="Times New Roman"/>
      <family val="1"/>
    </font>
    <font>
      <vertAlign val="superscript"/>
      <sz val="13"/>
      <name val="Times New Roman"/>
      <family val="1"/>
    </font>
    <font>
      <sz val="14"/>
      <name val="Khmer OS Muol Light"/>
    </font>
    <font>
      <b/>
      <sz val="14"/>
      <name val="Times New Roman"/>
      <family val="1"/>
    </font>
    <font>
      <b/>
      <sz val="12"/>
      <color indexed="8"/>
      <name val="Khmer OS"/>
    </font>
    <font>
      <b/>
      <sz val="12"/>
      <name val="Times New Roman"/>
      <family val="1"/>
    </font>
    <font>
      <sz val="12"/>
      <name val="Times New Roman"/>
      <family val="1"/>
    </font>
    <font>
      <b/>
      <sz val="14"/>
      <name val="Khmer OS"/>
    </font>
    <font>
      <b/>
      <sz val="12"/>
      <name val="VNI-Times"/>
      <family val="2"/>
    </font>
    <font>
      <sz val="14"/>
      <name val="Khmer OS Bokor"/>
    </font>
    <font>
      <sz val="14"/>
      <name val="Times New Roman"/>
      <family val="1"/>
    </font>
    <font>
      <i/>
      <sz val="12"/>
      <name val="Times New Roman"/>
      <family val="1"/>
    </font>
    <font>
      <b/>
      <sz val="13"/>
      <name val="Khmer OS Muol Light"/>
    </font>
    <font>
      <b/>
      <sz val="11"/>
      <color indexed="8"/>
      <name val="Calibri"/>
      <family val="2"/>
    </font>
    <font>
      <sz val="13"/>
      <color indexed="8"/>
      <name val="Cambria"/>
      <family val="1"/>
    </font>
    <font>
      <b/>
      <sz val="13"/>
      <color indexed="8"/>
      <name val="Cambria"/>
      <family val="1"/>
    </font>
    <font>
      <b/>
      <sz val="14"/>
      <color indexed="8"/>
      <name val="Cambria"/>
      <family val="1"/>
    </font>
    <font>
      <b/>
      <sz val="11"/>
      <color indexed="8"/>
      <name val="Khmer OS"/>
    </font>
    <font>
      <b/>
      <sz val="11"/>
      <color indexed="10"/>
      <name val="Times New Roman"/>
      <family val="1"/>
    </font>
    <font>
      <sz val="12"/>
      <color indexed="10"/>
      <name val="Times New Roman"/>
      <family val="1"/>
    </font>
    <font>
      <b/>
      <sz val="11"/>
      <name val="Times New Roman"/>
      <family val="1"/>
    </font>
    <font>
      <sz val="12"/>
      <name val="VNI-Times"/>
      <family val="2"/>
    </font>
    <font>
      <sz val="10"/>
      <name val="Arial"/>
      <family val="2"/>
    </font>
    <font>
      <b/>
      <sz val="14"/>
      <name val="Khmer OS Muol Light"/>
    </font>
    <font>
      <i/>
      <sz val="12"/>
      <color indexed="8"/>
      <name val="Khmer OS"/>
    </font>
    <font>
      <b/>
      <sz val="11"/>
      <color indexed="10"/>
      <name val="Khmer OS"/>
    </font>
    <font>
      <u/>
      <sz val="14"/>
      <color indexed="8"/>
      <name val="Khmer OS Muol Light"/>
    </font>
    <font>
      <i/>
      <sz val="12"/>
      <name val="Khmer OS"/>
    </font>
    <font>
      <b/>
      <i/>
      <sz val="14"/>
      <color indexed="8"/>
      <name val="Khmer OS"/>
    </font>
    <font>
      <b/>
      <sz val="9"/>
      <name val="Tahoma"/>
      <family val="2"/>
    </font>
    <font>
      <sz val="9"/>
      <name val="Tahoma"/>
      <family val="2"/>
    </font>
    <font>
      <sz val="8"/>
      <name val="Arial"/>
      <family val="2"/>
    </font>
    <font>
      <sz val="12"/>
      <name val="Khmer OS Muol Light"/>
    </font>
    <font>
      <b/>
      <sz val="12"/>
      <name val="Khmer OS Muol Light"/>
    </font>
    <font>
      <sz val="12"/>
      <name val="Arial"/>
      <family val="2"/>
    </font>
    <font>
      <b/>
      <sz val="16"/>
      <color indexed="8"/>
      <name val="Khmer OS Muol Light"/>
    </font>
    <font>
      <b/>
      <sz val="14"/>
      <color indexed="8"/>
      <name val="Khmer OS Muol Light"/>
    </font>
    <font>
      <b/>
      <sz val="12"/>
      <color indexed="8"/>
      <name val="Khmer OS Muol Light"/>
    </font>
    <font>
      <b/>
      <sz val="18"/>
      <color indexed="8"/>
      <name val="Khmer OS Muol Light"/>
    </font>
    <font>
      <sz val="14"/>
      <color indexed="8"/>
      <name val="Khmer OS"/>
    </font>
    <font>
      <sz val="10"/>
      <color indexed="8"/>
      <name val="Times New Roman"/>
      <family val="1"/>
    </font>
    <font>
      <sz val="11"/>
      <color indexed="8"/>
      <name val="Khmer OS Muol Light"/>
    </font>
    <font>
      <b/>
      <sz val="10"/>
      <color indexed="8"/>
      <name val="Times New Roman"/>
      <family val="1"/>
    </font>
    <font>
      <sz val="10"/>
      <color indexed="8"/>
      <name val="Khmer OS Muol Light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sz val="13"/>
      <color theme="1"/>
      <name val="Arial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sz val="12"/>
      <color theme="1"/>
      <name val="Khmer OS"/>
    </font>
    <font>
      <b/>
      <sz val="11"/>
      <color theme="1"/>
      <name val="Times New Roman"/>
      <family val="1"/>
    </font>
    <font>
      <sz val="11"/>
      <color rgb="FF00B0F0"/>
      <name val="Times New Roman"/>
      <family val="1"/>
    </font>
    <font>
      <sz val="11"/>
      <color rgb="FF00B050"/>
      <name val="Times New Roman"/>
      <family val="1"/>
    </font>
    <font>
      <sz val="11"/>
      <color rgb="FF7030A0"/>
      <name val="Times New Roman"/>
      <family val="1"/>
    </font>
    <font>
      <sz val="12"/>
      <color rgb="FF7030A0"/>
      <name val="Times New Roman"/>
      <family val="1"/>
    </font>
    <font>
      <sz val="13"/>
      <color theme="1"/>
      <name val="Khmer OS Muol Light"/>
    </font>
    <font>
      <sz val="14"/>
      <color theme="1"/>
      <name val="Khmer OS Muol"/>
    </font>
    <font>
      <sz val="11"/>
      <color theme="1"/>
      <name val="Khmer OS Muol Light"/>
    </font>
    <font>
      <sz val="14"/>
      <color theme="1"/>
      <name val="Khmer OS Muol Light"/>
    </font>
    <font>
      <sz val="12"/>
      <color theme="1"/>
      <name val="Arial"/>
      <family val="2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b/>
      <sz val="14"/>
      <color theme="1"/>
      <name val="Khmer OS Muol Light"/>
    </font>
    <font>
      <b/>
      <vertAlign val="superscript"/>
      <sz val="18"/>
      <color theme="1"/>
      <name val="Khmer OS Muol Light"/>
    </font>
    <font>
      <b/>
      <vertAlign val="superscript"/>
      <sz val="14"/>
      <color theme="1"/>
      <name val="Khmer OS Muol Light"/>
    </font>
    <font>
      <b/>
      <sz val="12"/>
      <color theme="1"/>
      <name val="Times New Roman"/>
      <family val="1"/>
    </font>
    <font>
      <b/>
      <sz val="14"/>
      <color theme="1"/>
      <name val="Khmer OS"/>
    </font>
    <font>
      <sz val="14"/>
      <color theme="1"/>
      <name val="Khmer OS"/>
    </font>
    <font>
      <b/>
      <sz val="12"/>
      <color theme="1"/>
      <name val="Khmer OS Muol Light"/>
    </font>
    <font>
      <sz val="12"/>
      <color theme="1"/>
      <name val="Khmer OS Muol Light"/>
    </font>
    <font>
      <sz val="11"/>
      <color theme="1"/>
      <name val="Calibri"/>
      <family val="2"/>
    </font>
    <font>
      <sz val="18"/>
      <color theme="1"/>
      <name val="Times New Roman"/>
      <family val="1"/>
    </font>
    <font>
      <b/>
      <sz val="16"/>
      <color theme="1"/>
      <name val="Khmer OS"/>
    </font>
    <font>
      <sz val="16"/>
      <color theme="1"/>
      <name val="Khmer OS"/>
    </font>
    <font>
      <sz val="16"/>
      <color theme="1"/>
      <name val="Arial"/>
      <family val="2"/>
    </font>
    <font>
      <sz val="16"/>
      <color theme="1"/>
      <name val="Khmer OS Muol Light"/>
    </font>
    <font>
      <sz val="14"/>
      <color theme="1"/>
      <name val="Arial"/>
      <family val="2"/>
    </font>
    <font>
      <b/>
      <sz val="16"/>
      <color theme="1"/>
      <name val="Times New Roman"/>
      <family val="1"/>
    </font>
    <font>
      <b/>
      <sz val="14"/>
      <color theme="1"/>
      <name val="Arial"/>
      <family val="2"/>
    </font>
    <font>
      <b/>
      <sz val="16"/>
      <color theme="1"/>
      <name val="Khmer OS Muol Light"/>
    </font>
    <font>
      <b/>
      <vertAlign val="superscript"/>
      <sz val="18"/>
      <color theme="1"/>
      <name val="Times New Roman"/>
      <family val="1"/>
    </font>
    <font>
      <sz val="11"/>
      <color rgb="FFFFFF00"/>
      <name val="Times New Roman"/>
      <family val="1"/>
    </font>
    <font>
      <b/>
      <sz val="16"/>
      <color theme="1"/>
      <name val="Arial"/>
      <family val="2"/>
    </font>
    <font>
      <sz val="17"/>
      <color theme="1"/>
      <name val="Times New Roman"/>
      <family val="1"/>
    </font>
    <font>
      <sz val="17"/>
      <color theme="1"/>
      <name val="Arial"/>
      <family val="2"/>
    </font>
    <font>
      <b/>
      <sz val="17"/>
      <color theme="1"/>
      <name val="Times New Roman"/>
      <family val="1"/>
    </font>
    <font>
      <sz val="15"/>
      <color theme="1"/>
      <name val="Arial"/>
      <family val="2"/>
    </font>
    <font>
      <sz val="15"/>
      <color theme="1"/>
      <name val="VNI-Times"/>
      <family val="2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  <font>
      <sz val="11"/>
      <color rgb="FF000000"/>
      <name val="Khmer OS Muol Light"/>
    </font>
    <font>
      <sz val="13"/>
      <color rgb="FFFF0000"/>
      <name val="Khmer OS Muol Light"/>
    </font>
    <font>
      <b/>
      <sz val="9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Khmer OS Bokor"/>
    </font>
    <font>
      <b/>
      <vertAlign val="superscript"/>
      <sz val="16"/>
      <color theme="1"/>
      <name val="Times New Roman"/>
      <family val="1"/>
    </font>
    <font>
      <b/>
      <i/>
      <sz val="14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10"/>
      <color theme="1"/>
      <name val="Khmer OS Muol Light"/>
    </font>
    <font>
      <sz val="10"/>
      <color theme="1"/>
      <name val="Arial"/>
      <family val="2"/>
    </font>
    <font>
      <sz val="10"/>
      <color theme="1"/>
      <name val="Khmer OS"/>
    </font>
    <font>
      <b/>
      <sz val="12"/>
      <color theme="1"/>
      <name val="Khmer OS Muol"/>
    </font>
    <font>
      <b/>
      <sz val="8"/>
      <color theme="1"/>
      <name val="Khmer OS Muol"/>
    </font>
    <font>
      <b/>
      <sz val="14"/>
      <color theme="1"/>
      <name val="Khmer OS Bokor"/>
    </font>
    <font>
      <b/>
      <sz val="11"/>
      <color theme="1"/>
      <name val="Khmer OS Muol Light"/>
    </font>
    <font>
      <sz val="18"/>
      <color theme="1"/>
      <name val="Khmer OS Muol Light"/>
    </font>
    <font>
      <b/>
      <sz val="18"/>
      <color theme="1"/>
      <name val="Times New Roman"/>
      <family val="1"/>
    </font>
    <font>
      <sz val="20"/>
      <color theme="1"/>
      <name val="Khmer OS Muol Light"/>
    </font>
    <font>
      <b/>
      <sz val="20"/>
      <color theme="1"/>
      <name val="Khmer OS Muol Light"/>
    </font>
  </fonts>
  <fills count="15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uble">
        <color indexed="64"/>
      </right>
      <top/>
      <bottom style="dotted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4">
    <xf numFmtId="0" fontId="0" fillId="0" borderId="0"/>
    <xf numFmtId="164" fontId="11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3" fontId="9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9" fillId="0" borderId="0"/>
    <xf numFmtId="0" fontId="99" fillId="0" borderId="0"/>
    <xf numFmtId="0" fontId="100" fillId="0" borderId="0"/>
    <xf numFmtId="0" fontId="11" fillId="0" borderId="0"/>
    <xf numFmtId="0" fontId="100" fillId="0" borderId="0"/>
    <xf numFmtId="0" fontId="76" fillId="0" borderId="0"/>
    <xf numFmtId="0" fontId="75" fillId="0" borderId="0"/>
    <xf numFmtId="0" fontId="75" fillId="0" borderId="0"/>
    <xf numFmtId="0" fontId="101" fillId="0" borderId="0"/>
    <xf numFmtId="0" fontId="99" fillId="0" borderId="0"/>
    <xf numFmtId="0" fontId="98" fillId="0" borderId="0"/>
    <xf numFmtId="0" fontId="102" fillId="0" borderId="0"/>
    <xf numFmtId="0" fontId="99" fillId="0" borderId="0"/>
    <xf numFmtId="0" fontId="76" fillId="0" borderId="0"/>
    <xf numFmtId="0" fontId="99" fillId="0" borderId="0"/>
  </cellStyleXfs>
  <cellXfs count="1206">
    <xf numFmtId="0" fontId="0" fillId="0" borderId="0" xfId="0"/>
    <xf numFmtId="0" fontId="4" fillId="0" borderId="0" xfId="0" applyFont="1"/>
    <xf numFmtId="0" fontId="5" fillId="0" borderId="0" xfId="0" applyFont="1"/>
    <xf numFmtId="167" fontId="5" fillId="0" borderId="0" xfId="1" applyNumberFormat="1" applyFont="1" applyFill="1"/>
    <xf numFmtId="4" fontId="4" fillId="0" borderId="0" xfId="0" applyNumberFormat="1" applyFont="1"/>
    <xf numFmtId="0" fontId="5" fillId="0" borderId="0" xfId="0" applyFont="1" applyAlignment="1">
      <alignment vertical="center"/>
    </xf>
    <xf numFmtId="164" fontId="103" fillId="0" borderId="1" xfId="1" applyFont="1" applyFill="1" applyBorder="1"/>
    <xf numFmtId="167" fontId="13" fillId="0" borderId="0" xfId="1" applyNumberFormat="1" applyFont="1" applyFill="1"/>
    <xf numFmtId="168" fontId="5" fillId="0" borderId="0" xfId="0" applyNumberFormat="1" applyFont="1"/>
    <xf numFmtId="0" fontId="13" fillId="0" borderId="0" xfId="0" applyFont="1"/>
    <xf numFmtId="168" fontId="4" fillId="0" borderId="0" xfId="1" applyNumberFormat="1" applyFont="1" applyFill="1"/>
    <xf numFmtId="168" fontId="5" fillId="0" borderId="0" xfId="1" applyNumberFormat="1" applyFont="1" applyFill="1"/>
    <xf numFmtId="164" fontId="5" fillId="0" borderId="0" xfId="1" applyFont="1" applyFill="1"/>
    <xf numFmtId="170" fontId="0" fillId="0" borderId="0" xfId="0" applyNumberFormat="1"/>
    <xf numFmtId="164" fontId="4" fillId="0" borderId="0" xfId="1" applyFont="1" applyFill="1"/>
    <xf numFmtId="3" fontId="4" fillId="0" borderId="0" xfId="0" applyNumberFormat="1" applyFont="1"/>
    <xf numFmtId="0" fontId="5" fillId="0" borderId="0" xfId="0" applyFont="1" applyAlignment="1">
      <alignment horizontal="left" vertical="center"/>
    </xf>
    <xf numFmtId="168" fontId="13" fillId="0" borderId="0" xfId="1" applyNumberFormat="1" applyFont="1" applyFill="1"/>
    <xf numFmtId="0" fontId="104" fillId="0" borderId="0" xfId="0" applyFont="1"/>
    <xf numFmtId="167" fontId="0" fillId="0" borderId="0" xfId="0" applyNumberFormat="1"/>
    <xf numFmtId="167" fontId="0" fillId="0" borderId="2" xfId="0" applyNumberFormat="1" applyBorder="1"/>
    <xf numFmtId="167" fontId="0" fillId="0" borderId="3" xfId="0" applyNumberFormat="1" applyBorder="1"/>
    <xf numFmtId="167" fontId="5" fillId="0" borderId="0" xfId="0" applyNumberFormat="1" applyFont="1"/>
    <xf numFmtId="3" fontId="17" fillId="0" borderId="0" xfId="0" applyNumberFormat="1" applyFont="1"/>
    <xf numFmtId="0" fontId="18" fillId="0" borderId="0" xfId="0" applyFont="1"/>
    <xf numFmtId="0" fontId="19" fillId="0" borderId="0" xfId="0" applyFont="1"/>
    <xf numFmtId="0" fontId="5" fillId="5" borderId="0" xfId="0" applyFont="1" applyFill="1"/>
    <xf numFmtId="14" fontId="5" fillId="0" borderId="0" xfId="0" applyNumberFormat="1" applyFont="1"/>
    <xf numFmtId="0" fontId="5" fillId="0" borderId="0" xfId="0" applyFont="1" applyAlignment="1">
      <alignment horizontal="center" vertical="center"/>
    </xf>
    <xf numFmtId="0" fontId="16" fillId="0" borderId="0" xfId="0" applyFont="1"/>
    <xf numFmtId="3" fontId="2" fillId="0" borderId="0" xfId="0" applyNumberFormat="1" applyFont="1"/>
    <xf numFmtId="0" fontId="5" fillId="0" borderId="4" xfId="0" applyFont="1" applyBorder="1"/>
    <xf numFmtId="0" fontId="5" fillId="0" borderId="4" xfId="0" applyFont="1" applyBorder="1" applyAlignment="1">
      <alignment horizontal="center" vertical="center"/>
    </xf>
    <xf numFmtId="0" fontId="5" fillId="14" borderId="4" xfId="0" applyFont="1" applyFill="1" applyBorder="1"/>
    <xf numFmtId="14" fontId="5" fillId="0" borderId="4" xfId="0" applyNumberFormat="1" applyFont="1" applyBorder="1"/>
    <xf numFmtId="0" fontId="5" fillId="0" borderId="4" xfId="0" applyFont="1" applyBorder="1" applyAlignment="1">
      <alignment horizontal="left" vertical="center"/>
    </xf>
    <xf numFmtId="0" fontId="22" fillId="0" borderId="4" xfId="0" applyFont="1" applyBorder="1"/>
    <xf numFmtId="0" fontId="19" fillId="0" borderId="4" xfId="0" applyFont="1" applyBorder="1"/>
    <xf numFmtId="3" fontId="17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14" fontId="5" fillId="0" borderId="5" xfId="0" applyNumberFormat="1" applyFont="1" applyBorder="1" applyAlignment="1">
      <alignment horizontal="right"/>
    </xf>
    <xf numFmtId="0" fontId="23" fillId="0" borderId="4" xfId="0" applyFont="1" applyBorder="1" applyAlignment="1">
      <alignment horizontal="left" vertical="top"/>
    </xf>
    <xf numFmtId="14" fontId="3" fillId="0" borderId="6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23" fillId="0" borderId="5" xfId="0" applyFont="1" applyBorder="1" applyAlignment="1">
      <alignment horizontal="left" vertical="top"/>
    </xf>
    <xf numFmtId="0" fontId="3" fillId="0" borderId="5" xfId="0" applyFont="1" applyBorder="1"/>
    <xf numFmtId="0" fontId="5" fillId="0" borderId="4" xfId="0" applyFont="1" applyBorder="1" applyAlignment="1">
      <alignment horizontal="center"/>
    </xf>
    <xf numFmtId="0" fontId="16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/>
    </xf>
    <xf numFmtId="14" fontId="5" fillId="0" borderId="4" xfId="0" applyNumberFormat="1" applyFont="1" applyBorder="1" applyAlignment="1">
      <alignment horizontal="left" vertical="center"/>
    </xf>
    <xf numFmtId="14" fontId="5" fillId="0" borderId="4" xfId="0" applyNumberFormat="1" applyFont="1" applyBorder="1" applyAlignment="1">
      <alignment horizontal="center" vertical="center"/>
    </xf>
    <xf numFmtId="14" fontId="5" fillId="0" borderId="4" xfId="0" applyNumberFormat="1" applyFont="1" applyBorder="1" applyAlignment="1">
      <alignment vertical="center"/>
    </xf>
    <xf numFmtId="14" fontId="5" fillId="0" borderId="4" xfId="0" applyNumberFormat="1" applyFont="1" applyBorder="1" applyAlignment="1">
      <alignment horizontal="right" vertical="center"/>
    </xf>
    <xf numFmtId="0" fontId="16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22" fillId="0" borderId="4" xfId="0" applyFont="1" applyBorder="1" applyAlignment="1">
      <alignment vertical="center"/>
    </xf>
    <xf numFmtId="0" fontId="5" fillId="0" borderId="0" xfId="0" applyFont="1" applyAlignment="1">
      <alignment horizontal="center"/>
    </xf>
    <xf numFmtId="0" fontId="23" fillId="0" borderId="0" xfId="0" applyFont="1" applyAlignment="1">
      <alignment horizontal="left" vertical="top"/>
    </xf>
    <xf numFmtId="14" fontId="3" fillId="0" borderId="4" xfId="0" applyNumberFormat="1" applyFont="1" applyBorder="1"/>
    <xf numFmtId="14" fontId="5" fillId="0" borderId="5" xfId="0" applyNumberFormat="1" applyFont="1" applyBorder="1" applyAlignment="1">
      <alignment horizontal="center" vertical="center"/>
    </xf>
    <xf numFmtId="14" fontId="20" fillId="0" borderId="4" xfId="0" applyNumberFormat="1" applyFont="1" applyBorder="1"/>
    <xf numFmtId="0" fontId="1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wrapText="1"/>
    </xf>
    <xf numFmtId="14" fontId="23" fillId="0" borderId="7" xfId="0" applyNumberFormat="1" applyFont="1" applyBorder="1" applyAlignment="1">
      <alignment horizontal="left" vertical="top"/>
    </xf>
    <xf numFmtId="14" fontId="3" fillId="0" borderId="7" xfId="0" applyNumberFormat="1" applyFont="1" applyBorder="1"/>
    <xf numFmtId="0" fontId="20" fillId="0" borderId="4" xfId="0" applyFont="1" applyBorder="1" applyAlignment="1">
      <alignment horizontal="center"/>
    </xf>
    <xf numFmtId="0" fontId="14" fillId="0" borderId="4" xfId="0" applyFont="1" applyBorder="1" applyAlignment="1">
      <alignment horizontal="left" vertical="top"/>
    </xf>
    <xf numFmtId="0" fontId="19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22" fillId="0" borderId="0" xfId="0" applyFont="1"/>
    <xf numFmtId="14" fontId="5" fillId="0" borderId="4" xfId="0" applyNumberFormat="1" applyFont="1" applyBorder="1" applyAlignment="1">
      <alignment horizontal="right"/>
    </xf>
    <xf numFmtId="14" fontId="5" fillId="0" borderId="8" xfId="0" applyNumberFormat="1" applyFont="1" applyBorder="1" applyAlignment="1">
      <alignment horizontal="center" vertical="center"/>
    </xf>
    <xf numFmtId="0" fontId="24" fillId="5" borderId="4" xfId="0" applyFont="1" applyFill="1" applyBorder="1" applyAlignment="1">
      <alignment horizontal="left" vertical="top"/>
    </xf>
    <xf numFmtId="0" fontId="19" fillId="5" borderId="4" xfId="0" applyFont="1" applyFill="1" applyBorder="1"/>
    <xf numFmtId="0" fontId="5" fillId="6" borderId="4" xfId="0" applyFont="1" applyFill="1" applyBorder="1" applyAlignment="1">
      <alignment horizontal="right" vertical="center"/>
    </xf>
    <xf numFmtId="0" fontId="3" fillId="6" borderId="4" xfId="0" applyFont="1" applyFill="1" applyBorder="1" applyAlignment="1">
      <alignment horizontal="center" vertical="center"/>
    </xf>
    <xf numFmtId="0" fontId="23" fillId="6" borderId="4" xfId="0" applyFont="1" applyFill="1" applyBorder="1" applyAlignment="1">
      <alignment horizontal="left" vertical="top"/>
    </xf>
    <xf numFmtId="0" fontId="5" fillId="6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 applyProtection="1">
      <alignment horizontal="left" vertical="center" wrapText="1"/>
      <protection locked="0"/>
    </xf>
    <xf numFmtId="0" fontId="5" fillId="14" borderId="4" xfId="0" applyFont="1" applyFill="1" applyBorder="1" applyAlignment="1">
      <alignment horizontal="left" vertical="center"/>
    </xf>
    <xf numFmtId="0" fontId="4" fillId="0" borderId="4" xfId="0" applyFont="1" applyBorder="1"/>
    <xf numFmtId="0" fontId="16" fillId="0" borderId="4" xfId="0" applyFont="1" applyBorder="1"/>
    <xf numFmtId="14" fontId="3" fillId="6" borderId="4" xfId="0" applyNumberFormat="1" applyFont="1" applyFill="1" applyBorder="1" applyAlignment="1">
      <alignment vertical="center"/>
    </xf>
    <xf numFmtId="0" fontId="5" fillId="14" borderId="4" xfId="0" applyFont="1" applyFill="1" applyBorder="1" applyAlignment="1">
      <alignment horizontal="center" vertical="center"/>
    </xf>
    <xf numFmtId="0" fontId="16" fillId="14" borderId="4" xfId="0" applyFont="1" applyFill="1" applyBorder="1" applyAlignment="1">
      <alignment horizontal="left" vertical="top"/>
    </xf>
    <xf numFmtId="0" fontId="5" fillId="0" borderId="4" xfId="0" applyFont="1" applyBorder="1" applyAlignment="1">
      <alignment horizontal="right" vertical="center"/>
    </xf>
    <xf numFmtId="0" fontId="25" fillId="0" borderId="9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5" fillId="7" borderId="4" xfId="0" applyFont="1" applyFill="1" applyBorder="1"/>
    <xf numFmtId="0" fontId="16" fillId="0" borderId="4" xfId="0" applyFont="1" applyBorder="1" applyAlignment="1">
      <alignment horizontal="left" vertical="top"/>
    </xf>
    <xf numFmtId="0" fontId="0" fillId="14" borderId="0" xfId="0" applyFill="1"/>
    <xf numFmtId="0" fontId="7" fillId="0" borderId="0" xfId="0" applyFont="1"/>
    <xf numFmtId="0" fontId="3" fillId="0" borderId="0" xfId="0" applyFont="1"/>
    <xf numFmtId="169" fontId="3" fillId="0" borderId="0" xfId="0" applyNumberFormat="1" applyFont="1"/>
    <xf numFmtId="164" fontId="3" fillId="0" borderId="0" xfId="1" applyFont="1" applyFill="1"/>
    <xf numFmtId="0" fontId="8" fillId="0" borderId="0" xfId="0" applyFont="1"/>
    <xf numFmtId="0" fontId="7" fillId="0" borderId="0" xfId="0" applyFont="1" applyAlignment="1">
      <alignment horizontal="center"/>
    </xf>
    <xf numFmtId="0" fontId="105" fillId="0" borderId="0" xfId="0" applyFont="1" applyProtection="1">
      <protection locked="0"/>
    </xf>
    <xf numFmtId="0" fontId="104" fillId="0" borderId="0" xfId="0" applyFont="1" applyProtection="1">
      <protection locked="0"/>
    </xf>
    <xf numFmtId="0" fontId="102" fillId="0" borderId="0" xfId="0" applyFont="1" applyProtection="1">
      <protection locked="0"/>
    </xf>
    <xf numFmtId="164" fontId="8" fillId="0" borderId="0" xfId="1" applyFont="1" applyFill="1"/>
    <xf numFmtId="169" fontId="7" fillId="0" borderId="0" xfId="0" applyNumberFormat="1" applyFont="1"/>
    <xf numFmtId="0" fontId="20" fillId="0" borderId="0" xfId="0" applyFont="1"/>
    <xf numFmtId="0" fontId="106" fillId="0" borderId="0" xfId="0" applyFont="1" applyAlignment="1">
      <alignment vertical="center"/>
    </xf>
    <xf numFmtId="0" fontId="100" fillId="0" borderId="0" xfId="0" applyFont="1"/>
    <xf numFmtId="0" fontId="28" fillId="0" borderId="0" xfId="0" applyFont="1"/>
    <xf numFmtId="0" fontId="15" fillId="0" borderId="0" xfId="0" applyFont="1"/>
    <xf numFmtId="0" fontId="10" fillId="0" borderId="0" xfId="0" applyFont="1"/>
    <xf numFmtId="0" fontId="4" fillId="0" borderId="0" xfId="0" applyFont="1" applyAlignment="1">
      <alignment vertical="top"/>
    </xf>
    <xf numFmtId="4" fontId="13" fillId="0" borderId="0" xfId="0" applyNumberFormat="1" applyFont="1"/>
    <xf numFmtId="14" fontId="3" fillId="0" borderId="0" xfId="0" applyNumberFormat="1" applyFont="1"/>
    <xf numFmtId="3" fontId="3" fillId="0" borderId="0" xfId="0" applyNumberFormat="1" applyFont="1"/>
    <xf numFmtId="0" fontId="31" fillId="0" borderId="0" xfId="0" applyFont="1"/>
    <xf numFmtId="0" fontId="32" fillId="0" borderId="0" xfId="0" applyFont="1"/>
    <xf numFmtId="3" fontId="33" fillId="0" borderId="0" xfId="0" applyNumberFormat="1" applyFont="1"/>
    <xf numFmtId="0" fontId="34" fillId="0" borderId="0" xfId="0" applyFont="1" applyAlignment="1">
      <alignment vertical="center"/>
    </xf>
    <xf numFmtId="3" fontId="35" fillId="0" borderId="0" xfId="0" applyNumberFormat="1" applyFont="1"/>
    <xf numFmtId="166" fontId="15" fillId="0" borderId="0" xfId="2" applyNumberFormat="1" applyFont="1" applyFill="1"/>
    <xf numFmtId="3" fontId="33" fillId="0" borderId="0" xfId="2" applyNumberFormat="1" applyFont="1" applyFill="1"/>
    <xf numFmtId="0" fontId="34" fillId="0" borderId="0" xfId="0" applyFont="1"/>
    <xf numFmtId="0" fontId="36" fillId="0" borderId="0" xfId="0" applyFont="1"/>
    <xf numFmtId="3" fontId="4" fillId="0" borderId="0" xfId="2" applyNumberFormat="1" applyFont="1" applyFill="1" applyAlignment="1"/>
    <xf numFmtId="0" fontId="37" fillId="0" borderId="0" xfId="0" applyFont="1"/>
    <xf numFmtId="3" fontId="33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3" fontId="15" fillId="0" borderId="0" xfId="0" applyNumberFormat="1" applyFont="1" applyAlignment="1">
      <alignment horizontal="right"/>
    </xf>
    <xf numFmtId="4" fontId="3" fillId="0" borderId="0" xfId="0" applyNumberFormat="1" applyFont="1"/>
    <xf numFmtId="0" fontId="1" fillId="0" borderId="0" xfId="0" applyFont="1"/>
    <xf numFmtId="0" fontId="40" fillId="0" borderId="0" xfId="0" applyFont="1"/>
    <xf numFmtId="170" fontId="13" fillId="0" borderId="0" xfId="0" applyNumberFormat="1" applyFont="1"/>
    <xf numFmtId="164" fontId="3" fillId="0" borderId="0" xfId="0" applyNumberFormat="1" applyFont="1"/>
    <xf numFmtId="0" fontId="13" fillId="0" borderId="0" xfId="0" applyFont="1" applyAlignment="1">
      <alignment wrapText="1"/>
    </xf>
    <xf numFmtId="0" fontId="41" fillId="0" borderId="0" xfId="0" applyFont="1"/>
    <xf numFmtId="3" fontId="13" fillId="0" borderId="0" xfId="0" applyNumberFormat="1" applyFont="1"/>
    <xf numFmtId="3" fontId="41" fillId="0" borderId="0" xfId="0" applyNumberFormat="1" applyFont="1"/>
    <xf numFmtId="3" fontId="15" fillId="0" borderId="0" xfId="0" applyNumberFormat="1" applyFont="1"/>
    <xf numFmtId="3" fontId="42" fillId="0" borderId="0" xfId="0" applyNumberFormat="1" applyFont="1"/>
    <xf numFmtId="3" fontId="28" fillId="0" borderId="0" xfId="0" applyNumberFormat="1" applyFont="1"/>
    <xf numFmtId="0" fontId="43" fillId="0" borderId="0" xfId="0" applyFont="1" applyAlignment="1">
      <alignment vertical="center"/>
    </xf>
    <xf numFmtId="0" fontId="43" fillId="0" borderId="0" xfId="0" applyFont="1"/>
    <xf numFmtId="0" fontId="38" fillId="0" borderId="0" xfId="0" applyFont="1"/>
    <xf numFmtId="0" fontId="44" fillId="0" borderId="0" xfId="0" applyFont="1"/>
    <xf numFmtId="0" fontId="39" fillId="0" borderId="0" xfId="0" applyFont="1"/>
    <xf numFmtId="14" fontId="10" fillId="0" borderId="0" xfId="0" applyNumberFormat="1" applyFont="1"/>
    <xf numFmtId="169" fontId="10" fillId="0" borderId="0" xfId="0" applyNumberFormat="1" applyFont="1"/>
    <xf numFmtId="3" fontId="10" fillId="0" borderId="0" xfId="0" applyNumberFormat="1" applyFont="1"/>
    <xf numFmtId="14" fontId="7" fillId="0" borderId="0" xfId="0" applyNumberFormat="1" applyFont="1"/>
    <xf numFmtId="3" fontId="7" fillId="0" borderId="0" xfId="0" applyNumberFormat="1" applyFont="1"/>
    <xf numFmtId="0" fontId="10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3" fillId="0" borderId="0" xfId="0" applyFont="1" applyAlignment="1">
      <alignment vertical="top"/>
    </xf>
    <xf numFmtId="14" fontId="3" fillId="0" borderId="0" xfId="0" applyNumberFormat="1" applyFont="1" applyAlignment="1">
      <alignment vertical="top"/>
    </xf>
    <xf numFmtId="169" fontId="3" fillId="0" borderId="0" xfId="0" applyNumberFormat="1" applyFont="1" applyAlignment="1">
      <alignment vertical="top"/>
    </xf>
    <xf numFmtId="3" fontId="3" fillId="0" borderId="0" xfId="0" applyNumberFormat="1" applyFont="1" applyAlignment="1">
      <alignment vertical="top"/>
    </xf>
    <xf numFmtId="0" fontId="7" fillId="0" borderId="0" xfId="0" applyFont="1" applyAlignment="1">
      <alignment wrapText="1"/>
    </xf>
    <xf numFmtId="0" fontId="45" fillId="0" borderId="0" xfId="0" applyFont="1"/>
    <xf numFmtId="0" fontId="46" fillId="0" borderId="0" xfId="0" applyFont="1"/>
    <xf numFmtId="0" fontId="45" fillId="0" borderId="0" xfId="0" applyFont="1" applyAlignment="1">
      <alignment wrapText="1"/>
    </xf>
    <xf numFmtId="0" fontId="47" fillId="0" borderId="0" xfId="0" applyFont="1" applyAlignment="1">
      <alignment vertical="center"/>
    </xf>
    <xf numFmtId="0" fontId="48" fillId="0" borderId="0" xfId="0" applyFont="1" applyAlignment="1">
      <alignment vertical="center"/>
    </xf>
    <xf numFmtId="0" fontId="49" fillId="0" borderId="0" xfId="0" applyFont="1" applyAlignment="1">
      <alignment vertical="center"/>
    </xf>
    <xf numFmtId="0" fontId="50" fillId="0" borderId="0" xfId="0" applyFont="1"/>
    <xf numFmtId="0" fontId="51" fillId="0" borderId="0" xfId="0" applyFont="1"/>
    <xf numFmtId="164" fontId="51" fillId="0" borderId="0" xfId="1" applyFont="1" applyFill="1"/>
    <xf numFmtId="0" fontId="52" fillId="0" borderId="0" xfId="0" applyFont="1"/>
    <xf numFmtId="168" fontId="52" fillId="0" borderId="0" xfId="1" applyNumberFormat="1" applyFont="1" applyFill="1"/>
    <xf numFmtId="3" fontId="50" fillId="0" borderId="0" xfId="0" applyNumberFormat="1" applyFont="1"/>
    <xf numFmtId="164" fontId="46" fillId="0" borderId="0" xfId="1" applyFont="1" applyFill="1" applyAlignment="1"/>
    <xf numFmtId="3" fontId="46" fillId="0" borderId="0" xfId="0" applyNumberFormat="1" applyFont="1" applyAlignment="1">
      <alignment horizontal="center"/>
    </xf>
    <xf numFmtId="3" fontId="46" fillId="0" borderId="0" xfId="0" applyNumberFormat="1" applyFont="1"/>
    <xf numFmtId="3" fontId="53" fillId="0" borderId="0" xfId="0" applyNumberFormat="1" applyFont="1"/>
    <xf numFmtId="164" fontId="54" fillId="0" borderId="0" xfId="1" applyFont="1" applyFill="1" applyAlignment="1"/>
    <xf numFmtId="0" fontId="54" fillId="0" borderId="0" xfId="0" applyFont="1"/>
    <xf numFmtId="164" fontId="46" fillId="0" borderId="0" xfId="1" applyFont="1" applyFill="1" applyAlignment="1">
      <alignment horizontal="center"/>
    </xf>
    <xf numFmtId="0" fontId="46" fillId="0" borderId="0" xfId="0" applyFont="1" applyAlignment="1">
      <alignment horizontal="center"/>
    </xf>
    <xf numFmtId="164" fontId="45" fillId="0" borderId="0" xfId="1" applyFont="1" applyFill="1" applyAlignment="1"/>
    <xf numFmtId="0" fontId="46" fillId="0" borderId="10" xfId="0" applyFont="1" applyBorder="1" applyAlignment="1">
      <alignment horizontal="center" vertical="center" wrapText="1"/>
    </xf>
    <xf numFmtId="0" fontId="46" fillId="0" borderId="11" xfId="0" applyFont="1" applyBorder="1" applyAlignment="1">
      <alignment horizontal="center" vertical="center" wrapText="1"/>
    </xf>
    <xf numFmtId="164" fontId="46" fillId="0" borderId="11" xfId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46" fillId="0" borderId="12" xfId="0" applyFont="1" applyBorder="1" applyAlignment="1">
      <alignment horizontal="center" vertical="center" wrapText="1"/>
    </xf>
    <xf numFmtId="0" fontId="7" fillId="0" borderId="13" xfId="11" applyFont="1" applyBorder="1" applyAlignment="1">
      <alignment horizontal="center" vertical="center"/>
    </xf>
    <xf numFmtId="0" fontId="58" fillId="0" borderId="14" xfId="11" applyFont="1" applyBorder="1" applyAlignment="1">
      <alignment horizontal="left" vertical="center" wrapText="1"/>
    </xf>
    <xf numFmtId="172" fontId="59" fillId="0" borderId="14" xfId="2" applyNumberFormat="1" applyFont="1" applyFill="1" applyBorder="1" applyAlignment="1">
      <alignment horizontal="right" vertical="center"/>
    </xf>
    <xf numFmtId="164" fontId="59" fillId="0" borderId="14" xfId="1" applyFont="1" applyFill="1" applyBorder="1" applyAlignment="1">
      <alignment horizontal="right" vertical="center"/>
    </xf>
    <xf numFmtId="167" fontId="59" fillId="0" borderId="14" xfId="1" applyNumberFormat="1" applyFont="1" applyFill="1" applyBorder="1" applyAlignment="1">
      <alignment horizontal="right" vertical="center"/>
    </xf>
    <xf numFmtId="3" fontId="47" fillId="0" borderId="15" xfId="0" applyNumberFormat="1" applyFont="1" applyBorder="1" applyAlignment="1">
      <alignment vertical="center"/>
    </xf>
    <xf numFmtId="0" fontId="26" fillId="0" borderId="14" xfId="11" applyFont="1" applyBorder="1" applyAlignment="1">
      <alignment horizontal="left" vertical="center"/>
    </xf>
    <xf numFmtId="172" fontId="60" fillId="0" borderId="14" xfId="2" applyNumberFormat="1" applyFont="1" applyFill="1" applyBorder="1" applyAlignment="1">
      <alignment horizontal="right" vertical="center"/>
    </xf>
    <xf numFmtId="164" fontId="60" fillId="0" borderId="14" xfId="1" applyFont="1" applyFill="1" applyBorder="1" applyAlignment="1">
      <alignment horizontal="right" vertical="center"/>
    </xf>
    <xf numFmtId="167" fontId="60" fillId="0" borderId="14" xfId="1" applyNumberFormat="1" applyFont="1" applyFill="1" applyBorder="1" applyAlignment="1">
      <alignment horizontal="right" vertical="center"/>
    </xf>
    <xf numFmtId="0" fontId="7" fillId="0" borderId="14" xfId="11" applyFont="1" applyBorder="1" applyAlignment="1">
      <alignment horizontal="left" vertical="center"/>
    </xf>
    <xf numFmtId="0" fontId="3" fillId="0" borderId="14" xfId="11" applyFont="1" applyBorder="1" applyAlignment="1">
      <alignment horizontal="left" vertical="center" wrapText="1"/>
    </xf>
    <xf numFmtId="3" fontId="48" fillId="0" borderId="15" xfId="0" applyNumberFormat="1" applyFont="1" applyBorder="1" applyAlignment="1">
      <alignment vertical="center"/>
    </xf>
    <xf numFmtId="0" fontId="3" fillId="0" borderId="16" xfId="11" applyFont="1" applyBorder="1" applyAlignment="1">
      <alignment horizontal="center" vertical="center"/>
    </xf>
    <xf numFmtId="0" fontId="3" fillId="0" borderId="17" xfId="11" applyFont="1" applyBorder="1" applyAlignment="1">
      <alignment horizontal="left" vertical="center"/>
    </xf>
    <xf numFmtId="164" fontId="60" fillId="0" borderId="17" xfId="1" applyFont="1" applyFill="1" applyBorder="1" applyAlignment="1">
      <alignment horizontal="right" vertical="center"/>
    </xf>
    <xf numFmtId="167" fontId="60" fillId="0" borderId="17" xfId="1" applyNumberFormat="1" applyFont="1" applyFill="1" applyBorder="1" applyAlignment="1">
      <alignment horizontal="right" vertical="center"/>
    </xf>
    <xf numFmtId="3" fontId="48" fillId="0" borderId="18" xfId="0" applyNumberFormat="1" applyFont="1" applyBorder="1" applyAlignment="1">
      <alignment vertical="center"/>
    </xf>
    <xf numFmtId="164" fontId="45" fillId="0" borderId="0" xfId="1" applyFont="1" applyFill="1" applyBorder="1" applyAlignment="1"/>
    <xf numFmtId="164" fontId="65" fillId="0" borderId="0" xfId="1" applyFont="1" applyFill="1" applyAlignment="1">
      <alignment horizontal="left"/>
    </xf>
    <xf numFmtId="0" fontId="50" fillId="0" borderId="0" xfId="0" applyFont="1" applyAlignment="1">
      <alignment horizontal="center"/>
    </xf>
    <xf numFmtId="164" fontId="50" fillId="0" borderId="0" xfId="1" applyFont="1" applyFill="1" applyAlignment="1"/>
    <xf numFmtId="164" fontId="46" fillId="0" borderId="0" xfId="1" applyFont="1" applyFill="1"/>
    <xf numFmtId="2" fontId="46" fillId="0" borderId="0" xfId="0" applyNumberFormat="1" applyFont="1"/>
    <xf numFmtId="0" fontId="66" fillId="0" borderId="0" xfId="0" applyFont="1"/>
    <xf numFmtId="168" fontId="45" fillId="0" borderId="0" xfId="1" applyNumberFormat="1" applyFont="1" applyFill="1"/>
    <xf numFmtId="168" fontId="45" fillId="0" borderId="0" xfId="1" applyNumberFormat="1" applyFont="1" applyFill="1" applyAlignment="1"/>
    <xf numFmtId="168" fontId="46" fillId="0" borderId="0" xfId="1" applyNumberFormat="1" applyFont="1" applyFill="1" applyAlignment="1"/>
    <xf numFmtId="168" fontId="45" fillId="0" borderId="0" xfId="1" applyNumberFormat="1" applyFont="1" applyFill="1" applyAlignment="1">
      <alignment wrapText="1"/>
    </xf>
    <xf numFmtId="168" fontId="47" fillId="0" borderId="0" xfId="1" applyNumberFormat="1" applyFont="1" applyFill="1" applyAlignment="1">
      <alignment vertical="center"/>
    </xf>
    <xf numFmtId="168" fontId="48" fillId="0" borderId="0" xfId="1" applyNumberFormat="1" applyFont="1" applyFill="1" applyAlignment="1">
      <alignment vertical="center"/>
    </xf>
    <xf numFmtId="168" fontId="49" fillId="0" borderId="0" xfId="1" applyNumberFormat="1" applyFont="1" applyFill="1" applyAlignment="1">
      <alignment vertical="center"/>
    </xf>
    <xf numFmtId="168" fontId="50" fillId="0" borderId="0" xfId="1" applyNumberFormat="1" applyFont="1" applyFill="1"/>
    <xf numFmtId="0" fontId="67" fillId="0" borderId="0" xfId="10" applyFont="1"/>
    <xf numFmtId="0" fontId="99" fillId="0" borderId="0" xfId="10"/>
    <xf numFmtId="0" fontId="99" fillId="0" borderId="0" xfId="10" applyAlignment="1">
      <alignment horizontal="center"/>
    </xf>
    <xf numFmtId="0" fontId="68" fillId="0" borderId="0" xfId="10" applyFont="1"/>
    <xf numFmtId="0" fontId="8" fillId="0" borderId="0" xfId="10" applyFont="1" applyAlignment="1">
      <alignment horizontal="left" vertical="center"/>
    </xf>
    <xf numFmtId="0" fontId="69" fillId="0" borderId="0" xfId="10" applyFont="1" applyAlignment="1">
      <alignment horizontal="left" vertical="center"/>
    </xf>
    <xf numFmtId="0" fontId="12" fillId="0" borderId="0" xfId="10" applyFont="1" applyAlignment="1">
      <alignment vertical="center"/>
    </xf>
    <xf numFmtId="0" fontId="4" fillId="0" borderId="0" xfId="10" applyFont="1" applyAlignment="1">
      <alignment horizontal="left" vertical="center"/>
    </xf>
    <xf numFmtId="0" fontId="68" fillId="0" borderId="0" xfId="10" applyFont="1" applyAlignment="1">
      <alignment horizontal="left" vertical="center"/>
    </xf>
    <xf numFmtId="0" fontId="58" fillId="0" borderId="0" xfId="10" applyFont="1" applyAlignment="1">
      <alignment vertical="center"/>
    </xf>
    <xf numFmtId="0" fontId="68" fillId="0" borderId="0" xfId="10" applyFont="1" applyAlignment="1">
      <alignment vertical="center"/>
    </xf>
    <xf numFmtId="0" fontId="12" fillId="0" borderId="0" xfId="10" applyFont="1"/>
    <xf numFmtId="0" fontId="58" fillId="0" borderId="0" xfId="10" applyFont="1" applyAlignment="1">
      <alignment horizontal="left" vertical="center"/>
    </xf>
    <xf numFmtId="0" fontId="27" fillId="0" borderId="0" xfId="10" applyFont="1"/>
    <xf numFmtId="0" fontId="70" fillId="0" borderId="0" xfId="10" applyFont="1" applyAlignment="1">
      <alignment horizontal="left"/>
    </xf>
    <xf numFmtId="0" fontId="71" fillId="0" borderId="0" xfId="10" applyFont="1"/>
    <xf numFmtId="0" fontId="60" fillId="0" borderId="19" xfId="17" applyFont="1" applyBorder="1"/>
    <xf numFmtId="0" fontId="20" fillId="5" borderId="0" xfId="0" applyFont="1" applyFill="1"/>
    <xf numFmtId="168" fontId="20" fillId="5" borderId="0" xfId="1" applyNumberFormat="1" applyFont="1" applyFill="1"/>
    <xf numFmtId="168" fontId="5" fillId="0" borderId="0" xfId="1" applyNumberFormat="1" applyFont="1"/>
    <xf numFmtId="168" fontId="4" fillId="0" borderId="0" xfId="1" applyNumberFormat="1" applyFont="1"/>
    <xf numFmtId="168" fontId="5" fillId="0" borderId="0" xfId="1" applyNumberFormat="1" applyFont="1" applyAlignment="1">
      <alignment horizontal="center" vertical="center"/>
    </xf>
    <xf numFmtId="167" fontId="5" fillId="0" borderId="0" xfId="1" applyNumberFormat="1" applyFont="1"/>
    <xf numFmtId="0" fontId="8" fillId="0" borderId="0" xfId="0" applyFont="1" applyAlignment="1">
      <alignment horizontal="center"/>
    </xf>
    <xf numFmtId="168" fontId="20" fillId="0" borderId="0" xfId="1" applyNumberFormat="1" applyFont="1" applyFill="1"/>
    <xf numFmtId="175" fontId="5" fillId="0" borderId="0" xfId="0" applyNumberFormat="1" applyFont="1"/>
    <xf numFmtId="168" fontId="20" fillId="0" borderId="0" xfId="1" applyNumberFormat="1" applyFont="1" applyAlignment="1">
      <alignment horizontal="center"/>
    </xf>
    <xf numFmtId="168" fontId="5" fillId="0" borderId="0" xfId="1" applyNumberFormat="1" applyFont="1" applyAlignment="1">
      <alignment horizontal="center"/>
    </xf>
    <xf numFmtId="175" fontId="5" fillId="0" borderId="0" xfId="1" applyNumberFormat="1" applyFont="1" applyFill="1"/>
    <xf numFmtId="168" fontId="4" fillId="0" borderId="0" xfId="1" applyNumberFormat="1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168" fontId="8" fillId="0" borderId="0" xfId="1" applyNumberFormat="1" applyFont="1" applyFill="1"/>
    <xf numFmtId="168" fontId="20" fillId="0" borderId="0" xfId="1" applyNumberFormat="1" applyFont="1" applyFill="1" applyAlignment="1">
      <alignment horizontal="center" vertical="center"/>
    </xf>
    <xf numFmtId="168" fontId="5" fillId="0" borderId="0" xfId="1" applyNumberFormat="1" applyFont="1" applyFill="1" applyAlignment="1">
      <alignment horizontal="center" vertical="center"/>
    </xf>
    <xf numFmtId="0" fontId="18" fillId="0" borderId="0" xfId="0" applyFont="1" applyAlignment="1">
      <alignment horizontal="center"/>
    </xf>
    <xf numFmtId="168" fontId="8" fillId="0" borderId="0" xfId="1" applyNumberFormat="1" applyFont="1" applyAlignment="1">
      <alignment horizontal="center"/>
    </xf>
    <xf numFmtId="168" fontId="20" fillId="0" borderId="0" xfId="1" applyNumberFormat="1" applyFont="1"/>
    <xf numFmtId="0" fontId="72" fillId="7" borderId="0" xfId="0" applyFont="1" applyFill="1"/>
    <xf numFmtId="0" fontId="72" fillId="2" borderId="0" xfId="0" applyFont="1" applyFill="1"/>
    <xf numFmtId="0" fontId="8" fillId="2" borderId="0" xfId="0" applyFont="1" applyFill="1"/>
    <xf numFmtId="0" fontId="20" fillId="0" borderId="0" xfId="0" applyFont="1" applyAlignment="1">
      <alignment horizontal="center"/>
    </xf>
    <xf numFmtId="168" fontId="20" fillId="0" borderId="0" xfId="0" applyNumberFormat="1" applyFont="1"/>
    <xf numFmtId="0" fontId="19" fillId="2" borderId="0" xfId="0" applyFont="1" applyFill="1"/>
    <xf numFmtId="0" fontId="73" fillId="2" borderId="0" xfId="0" applyFont="1" applyFill="1"/>
    <xf numFmtId="0" fontId="3" fillId="2" borderId="0" xfId="0" applyFont="1" applyFill="1"/>
    <xf numFmtId="0" fontId="5" fillId="2" borderId="0" xfId="0" applyFont="1" applyFill="1"/>
    <xf numFmtId="0" fontId="7" fillId="2" borderId="0" xfId="0" applyFont="1" applyFill="1"/>
    <xf numFmtId="164" fontId="20" fillId="0" borderId="0" xfId="1" applyFont="1"/>
    <xf numFmtId="3" fontId="5" fillId="0" borderId="0" xfId="0" applyNumberFormat="1" applyFont="1"/>
    <xf numFmtId="168" fontId="5" fillId="2" borderId="0" xfId="1" applyNumberFormat="1" applyFont="1" applyFill="1"/>
    <xf numFmtId="168" fontId="5" fillId="5" borderId="0" xfId="1" applyNumberFormat="1" applyFont="1" applyFill="1"/>
    <xf numFmtId="167" fontId="20" fillId="0" borderId="0" xfId="1" applyNumberFormat="1" applyFont="1"/>
    <xf numFmtId="0" fontId="5" fillId="8" borderId="0" xfId="0" applyFont="1" applyFill="1" applyAlignment="1">
      <alignment horizontal="center"/>
    </xf>
    <xf numFmtId="2" fontId="5" fillId="0" borderId="0" xfId="0" applyNumberFormat="1" applyFont="1"/>
    <xf numFmtId="0" fontId="5" fillId="0" borderId="0" xfId="0" applyFont="1" applyAlignment="1">
      <alignment horizontal="right"/>
    </xf>
    <xf numFmtId="164" fontId="5" fillId="0" borderId="0" xfId="1" applyFont="1"/>
    <xf numFmtId="0" fontId="5" fillId="9" borderId="0" xfId="0" applyFont="1" applyFill="1"/>
    <xf numFmtId="168" fontId="20" fillId="5" borderId="0" xfId="0" applyNumberFormat="1" applyFont="1" applyFill="1"/>
    <xf numFmtId="164" fontId="20" fillId="5" borderId="0" xfId="1" applyFont="1" applyFill="1"/>
    <xf numFmtId="168" fontId="3" fillId="2" borderId="0" xfId="1" applyNumberFormat="1" applyFont="1" applyFill="1"/>
    <xf numFmtId="168" fontId="73" fillId="2" borderId="0" xfId="1" applyNumberFormat="1" applyFont="1" applyFill="1"/>
    <xf numFmtId="167" fontId="3" fillId="2" borderId="0" xfId="1" applyNumberFormat="1" applyFont="1" applyFill="1"/>
    <xf numFmtId="167" fontId="20" fillId="5" borderId="0" xfId="1" applyNumberFormat="1" applyFont="1" applyFill="1"/>
    <xf numFmtId="168" fontId="5" fillId="0" borderId="0" xfId="1" applyNumberFormat="1" applyFont="1" applyFill="1" applyBorder="1"/>
    <xf numFmtId="168" fontId="5" fillId="0" borderId="0" xfId="1" applyNumberFormat="1" applyFont="1" applyBorder="1"/>
    <xf numFmtId="168" fontId="20" fillId="5" borderId="0" xfId="1" applyNumberFormat="1" applyFont="1" applyFill="1" applyAlignment="1">
      <alignment horizontal="center"/>
    </xf>
    <xf numFmtId="1" fontId="5" fillId="0" borderId="0" xfId="0" applyNumberFormat="1" applyFont="1"/>
    <xf numFmtId="1" fontId="5" fillId="0" borderId="0" xfId="1" applyNumberFormat="1" applyFont="1"/>
    <xf numFmtId="168" fontId="8" fillId="5" borderId="0" xfId="1" applyNumberFormat="1" applyFont="1" applyFill="1" applyAlignment="1">
      <alignment horizontal="center"/>
    </xf>
    <xf numFmtId="168" fontId="19" fillId="0" borderId="0" xfId="1" applyNumberFormat="1" applyFont="1"/>
    <xf numFmtId="168" fontId="19" fillId="0" borderId="0" xfId="1" applyNumberFormat="1" applyFont="1" applyAlignment="1">
      <alignment horizontal="center" vertical="center"/>
    </xf>
    <xf numFmtId="0" fontId="19" fillId="8" borderId="0" xfId="0" applyFont="1" applyFill="1"/>
    <xf numFmtId="0" fontId="19" fillId="6" borderId="0" xfId="0" applyFont="1" applyFill="1"/>
    <xf numFmtId="0" fontId="5" fillId="8" borderId="0" xfId="0" applyFont="1" applyFill="1"/>
    <xf numFmtId="0" fontId="20" fillId="5" borderId="0" xfId="0" applyFont="1" applyFill="1" applyAlignment="1">
      <alignment horizontal="center"/>
    </xf>
    <xf numFmtId="168" fontId="20" fillId="5" borderId="0" xfId="1" applyNumberFormat="1" applyFont="1" applyFill="1" applyAlignment="1">
      <alignment horizontal="center" vertical="center"/>
    </xf>
    <xf numFmtId="168" fontId="19" fillId="0" borderId="0" xfId="0" applyNumberFormat="1" applyFont="1"/>
    <xf numFmtId="0" fontId="5" fillId="6" borderId="0" xfId="0" applyFont="1" applyFill="1"/>
    <xf numFmtId="168" fontId="8" fillId="5" borderId="0" xfId="1" applyNumberFormat="1" applyFont="1" applyFill="1"/>
    <xf numFmtId="164" fontId="20" fillId="0" borderId="0" xfId="0" applyNumberFormat="1" applyFont="1"/>
    <xf numFmtId="0" fontId="20" fillId="0" borderId="4" xfId="0" applyFont="1" applyBorder="1"/>
    <xf numFmtId="168" fontId="20" fillId="0" borderId="4" xfId="0" applyNumberFormat="1" applyFont="1" applyBorder="1"/>
    <xf numFmtId="168" fontId="5" fillId="5" borderId="0" xfId="0" applyNumberFormat="1" applyFont="1" applyFill="1"/>
    <xf numFmtId="43" fontId="5" fillId="0" borderId="0" xfId="0" applyNumberFormat="1" applyFont="1"/>
    <xf numFmtId="168" fontId="5" fillId="6" borderId="0" xfId="1" applyNumberFormat="1" applyFont="1" applyFill="1"/>
    <xf numFmtId="168" fontId="0" fillId="0" borderId="0" xfId="0" applyNumberFormat="1"/>
    <xf numFmtId="171" fontId="5" fillId="0" borderId="0" xfId="0" applyNumberFormat="1" applyFont="1"/>
    <xf numFmtId="0" fontId="8" fillId="3" borderId="0" xfId="0" applyFont="1" applyFill="1"/>
    <xf numFmtId="0" fontId="8" fillId="5" borderId="0" xfId="0" applyFont="1" applyFill="1"/>
    <xf numFmtId="0" fontId="8" fillId="9" borderId="0" xfId="0" applyFont="1" applyFill="1"/>
    <xf numFmtId="0" fontId="100" fillId="6" borderId="0" xfId="0" applyFont="1" applyFill="1"/>
    <xf numFmtId="0" fontId="100" fillId="5" borderId="0" xfId="0" applyFont="1" applyFill="1"/>
    <xf numFmtId="0" fontId="20" fillId="6" borderId="0" xfId="0" applyFont="1" applyFill="1" applyAlignment="1">
      <alignment horizontal="center"/>
    </xf>
    <xf numFmtId="0" fontId="20" fillId="6" borderId="20" xfId="0" applyFont="1" applyFill="1" applyBorder="1" applyAlignment="1">
      <alignment horizontal="center" vertical="center" wrapText="1"/>
    </xf>
    <xf numFmtId="0" fontId="100" fillId="0" borderId="4" xfId="0" applyFont="1" applyBorder="1" applyAlignment="1">
      <alignment horizontal="center" vertical="center"/>
    </xf>
    <xf numFmtId="0" fontId="107" fillId="0" borderId="4" xfId="0" applyFont="1" applyBorder="1" applyAlignment="1">
      <alignment vertical="center" wrapText="1"/>
    </xf>
    <xf numFmtId="0" fontId="100" fillId="0" borderId="4" xfId="0" applyFont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20" fillId="3" borderId="4" xfId="0" applyFont="1" applyFill="1" applyBorder="1" applyAlignment="1">
      <alignment horizontal="left"/>
    </xf>
    <xf numFmtId="0" fontId="20" fillId="6" borderId="4" xfId="0" applyFont="1" applyFill="1" applyBorder="1" applyAlignment="1">
      <alignment horizontal="center"/>
    </xf>
    <xf numFmtId="0" fontId="107" fillId="5" borderId="4" xfId="0" applyFont="1" applyFill="1" applyBorder="1" applyAlignment="1">
      <alignment horizontal="center"/>
    </xf>
    <xf numFmtId="0" fontId="100" fillId="0" borderId="9" xfId="0" applyFont="1" applyBorder="1" applyAlignment="1">
      <alignment horizontal="center"/>
    </xf>
    <xf numFmtId="0" fontId="100" fillId="5" borderId="4" xfId="0" applyFont="1" applyFill="1" applyBorder="1" applyAlignment="1">
      <alignment horizontal="center" vertical="center"/>
    </xf>
    <xf numFmtId="0" fontId="107" fillId="5" borderId="4" xfId="0" applyFont="1" applyFill="1" applyBorder="1" applyAlignment="1">
      <alignment vertical="center" wrapText="1"/>
    </xf>
    <xf numFmtId="0" fontId="20" fillId="6" borderId="4" xfId="0" applyFont="1" applyFill="1" applyBorder="1" applyAlignment="1">
      <alignment vertical="center" wrapText="1"/>
    </xf>
    <xf numFmtId="0" fontId="74" fillId="6" borderId="4" xfId="0" applyFont="1" applyFill="1" applyBorder="1" applyAlignment="1">
      <alignment vertical="center" wrapText="1"/>
    </xf>
    <xf numFmtId="0" fontId="72" fillId="6" borderId="4" xfId="0" applyFont="1" applyFill="1" applyBorder="1" applyAlignment="1">
      <alignment vertical="center" wrapText="1"/>
    </xf>
    <xf numFmtId="0" fontId="100" fillId="0" borderId="21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72" fillId="5" borderId="4" xfId="0" applyFont="1" applyFill="1" applyBorder="1" applyAlignment="1">
      <alignment horizontal="center"/>
    </xf>
    <xf numFmtId="0" fontId="100" fillId="0" borderId="22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19" fillId="0" borderId="23" xfId="0" applyFont="1" applyBorder="1"/>
    <xf numFmtId="0" fontId="19" fillId="6" borderId="4" xfId="0" applyFont="1" applyFill="1" applyBorder="1" applyAlignment="1">
      <alignment horizontal="center" vertical="center"/>
    </xf>
    <xf numFmtId="0" fontId="72" fillId="6" borderId="20" xfId="0" applyFont="1" applyFill="1" applyBorder="1" applyAlignment="1">
      <alignment vertical="center" wrapText="1"/>
    </xf>
    <xf numFmtId="0" fontId="20" fillId="0" borderId="24" xfId="0" applyFont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49" fontId="5" fillId="0" borderId="20" xfId="0" applyNumberFormat="1" applyFont="1" applyBorder="1" applyAlignment="1">
      <alignment horizontal="center" vertical="center"/>
    </xf>
    <xf numFmtId="168" fontId="20" fillId="3" borderId="4" xfId="1" applyNumberFormat="1" applyFont="1" applyFill="1" applyBorder="1" applyAlignment="1">
      <alignment horizontal="center"/>
    </xf>
    <xf numFmtId="168" fontId="20" fillId="0" borderId="24" xfId="1" applyNumberFormat="1" applyFont="1" applyBorder="1" applyAlignment="1">
      <alignment horizontal="center" vertical="center" wrapText="1"/>
    </xf>
    <xf numFmtId="0" fontId="20" fillId="5" borderId="24" xfId="0" applyFont="1" applyFill="1" applyBorder="1" applyAlignment="1">
      <alignment horizontal="center" vertical="center" wrapText="1"/>
    </xf>
    <xf numFmtId="168" fontId="5" fillId="0" borderId="0" xfId="1" applyNumberFormat="1" applyFont="1" applyBorder="1" applyAlignment="1">
      <alignment horizontal="center" vertical="center" wrapText="1"/>
    </xf>
    <xf numFmtId="49" fontId="5" fillId="5" borderId="0" xfId="0" applyNumberFormat="1" applyFont="1" applyFill="1" applyAlignment="1">
      <alignment horizontal="center" vertical="center" wrapText="1"/>
    </xf>
    <xf numFmtId="0" fontId="72" fillId="0" borderId="0" xfId="0" applyFont="1" applyAlignment="1">
      <alignment horizontal="center"/>
    </xf>
    <xf numFmtId="49" fontId="19" fillId="5" borderId="0" xfId="0" applyNumberFormat="1" applyFont="1" applyFill="1" applyAlignment="1">
      <alignment horizontal="center" vertical="center" wrapText="1"/>
    </xf>
    <xf numFmtId="0" fontId="20" fillId="8" borderId="0" xfId="0" applyFont="1" applyFill="1" applyAlignment="1">
      <alignment horizontal="center" vertical="center" wrapText="1"/>
    </xf>
    <xf numFmtId="0" fontId="20" fillId="5" borderId="0" xfId="0" applyFont="1" applyFill="1" applyAlignment="1">
      <alignment horizontal="center" vertical="center" wrapText="1"/>
    </xf>
    <xf numFmtId="168" fontId="20" fillId="8" borderId="0" xfId="1" applyNumberFormat="1" applyFont="1" applyFill="1" applyBorder="1" applyAlignment="1">
      <alignment horizontal="center" vertical="center" wrapText="1"/>
    </xf>
    <xf numFmtId="49" fontId="5" fillId="5" borderId="0" xfId="0" applyNumberFormat="1" applyFont="1" applyFill="1" applyAlignment="1">
      <alignment horizontal="center" vertical="center"/>
    </xf>
    <xf numFmtId="49" fontId="5" fillId="0" borderId="0" xfId="0" applyNumberFormat="1" applyFont="1"/>
    <xf numFmtId="164" fontId="5" fillId="0" borderId="0" xfId="1" applyFont="1" applyFill="1" applyBorder="1"/>
    <xf numFmtId="3" fontId="5" fillId="0" borderId="4" xfId="0" applyNumberFormat="1" applyFont="1" applyBorder="1"/>
    <xf numFmtId="3" fontId="5" fillId="0" borderId="0" xfId="0" applyNumberFormat="1" applyFont="1" applyAlignment="1">
      <alignment horizontal="right"/>
    </xf>
    <xf numFmtId="3" fontId="5" fillId="4" borderId="4" xfId="0" applyNumberFormat="1" applyFont="1" applyFill="1" applyBorder="1"/>
    <xf numFmtId="0" fontId="20" fillId="0" borderId="0" xfId="0" applyFont="1" applyAlignment="1">
      <alignment horizontal="right"/>
    </xf>
    <xf numFmtId="175" fontId="5" fillId="5" borderId="0" xfId="0" applyNumberFormat="1" applyFont="1" applyFill="1"/>
    <xf numFmtId="0" fontId="4" fillId="0" borderId="25" xfId="0" applyFont="1" applyBorder="1"/>
    <xf numFmtId="3" fontId="20" fillId="3" borderId="4" xfId="0" applyNumberFormat="1" applyFont="1" applyFill="1" applyBorder="1"/>
    <xf numFmtId="164" fontId="8" fillId="3" borderId="0" xfId="1" applyFont="1" applyFill="1"/>
    <xf numFmtId="0" fontId="20" fillId="5" borderId="4" xfId="0" applyFont="1" applyFill="1" applyBorder="1" applyAlignment="1">
      <alignment horizontal="center"/>
    </xf>
    <xf numFmtId="3" fontId="20" fillId="5" borderId="4" xfId="0" applyNumberFormat="1" applyFont="1" applyFill="1" applyBorder="1"/>
    <xf numFmtId="164" fontId="8" fillId="5" borderId="0" xfId="1" applyFont="1" applyFill="1"/>
    <xf numFmtId="0" fontId="100" fillId="5" borderId="4" xfId="0" applyFont="1" applyFill="1" applyBorder="1" applyAlignment="1">
      <alignment horizontal="center"/>
    </xf>
    <xf numFmtId="0" fontId="72" fillId="0" borderId="4" xfId="0" applyFont="1" applyBorder="1" applyAlignment="1">
      <alignment horizontal="center"/>
    </xf>
    <xf numFmtId="0" fontId="5" fillId="0" borderId="26" xfId="0" applyFont="1" applyBorder="1" applyAlignment="1">
      <alignment horizontal="left"/>
    </xf>
    <xf numFmtId="0" fontId="5" fillId="0" borderId="27" xfId="0" applyFont="1" applyBorder="1" applyAlignment="1">
      <alignment horizontal="center"/>
    </xf>
    <xf numFmtId="3" fontId="3" fillId="0" borderId="28" xfId="0" applyNumberFormat="1" applyFont="1" applyBorder="1" applyAlignment="1">
      <alignment horizontal="center"/>
    </xf>
    <xf numFmtId="0" fontId="20" fillId="9" borderId="4" xfId="0" applyFont="1" applyFill="1" applyBorder="1" applyAlignment="1">
      <alignment horizontal="center"/>
    </xf>
    <xf numFmtId="0" fontId="20" fillId="9" borderId="27" xfId="0" applyFont="1" applyFill="1" applyBorder="1" applyAlignment="1">
      <alignment horizontal="center"/>
    </xf>
    <xf numFmtId="0" fontId="20" fillId="9" borderId="26" xfId="0" applyFont="1" applyFill="1" applyBorder="1" applyAlignment="1">
      <alignment horizontal="left"/>
    </xf>
    <xf numFmtId="3" fontId="3" fillId="0" borderId="29" xfId="0" applyNumberFormat="1" applyFont="1" applyBorder="1" applyAlignment="1">
      <alignment horizontal="center"/>
    </xf>
    <xf numFmtId="3" fontId="3" fillId="0" borderId="30" xfId="0" applyNumberFormat="1" applyFont="1" applyBorder="1" applyAlignment="1">
      <alignment horizontal="center"/>
    </xf>
    <xf numFmtId="0" fontId="20" fillId="9" borderId="0" xfId="0" applyFont="1" applyFill="1" applyAlignment="1">
      <alignment horizontal="right"/>
    </xf>
    <xf numFmtId="0" fontId="20" fillId="9" borderId="0" xfId="0" applyFont="1" applyFill="1"/>
    <xf numFmtId="3" fontId="20" fillId="9" borderId="4" xfId="0" applyNumberFormat="1" applyFont="1" applyFill="1" applyBorder="1"/>
    <xf numFmtId="164" fontId="8" fillId="9" borderId="0" xfId="1" applyFont="1" applyFill="1"/>
    <xf numFmtId="0" fontId="5" fillId="0" borderId="21" xfId="0" applyFont="1" applyBorder="1" applyAlignment="1">
      <alignment horizontal="center"/>
    </xf>
    <xf numFmtId="0" fontId="20" fillId="5" borderId="21" xfId="0" applyFont="1" applyFill="1" applyBorder="1" applyAlignment="1">
      <alignment horizontal="center"/>
    </xf>
    <xf numFmtId="0" fontId="20" fillId="5" borderId="27" xfId="0" applyFont="1" applyFill="1" applyBorder="1" applyAlignment="1">
      <alignment horizontal="center"/>
    </xf>
    <xf numFmtId="0" fontId="20" fillId="5" borderId="26" xfId="0" applyFont="1" applyFill="1" applyBorder="1" applyAlignment="1">
      <alignment horizontal="left"/>
    </xf>
    <xf numFmtId="3" fontId="3" fillId="0" borderId="31" xfId="0" applyNumberFormat="1" applyFont="1" applyBorder="1" applyAlignment="1">
      <alignment horizontal="center"/>
    </xf>
    <xf numFmtId="168" fontId="5" fillId="0" borderId="0" xfId="1" applyNumberFormat="1" applyFont="1" applyFill="1" applyBorder="1" applyAlignment="1">
      <alignment horizontal="center"/>
    </xf>
    <xf numFmtId="0" fontId="20" fillId="0" borderId="26" xfId="0" applyFont="1" applyBorder="1" applyAlignment="1">
      <alignment horizontal="left"/>
    </xf>
    <xf numFmtId="0" fontId="20" fillId="0" borderId="27" xfId="0" applyFont="1" applyBorder="1" applyAlignment="1">
      <alignment horizontal="center"/>
    </xf>
    <xf numFmtId="0" fontId="20" fillId="5" borderId="26" xfId="0" applyFont="1" applyFill="1" applyBorder="1" applyAlignment="1">
      <alignment horizontal="center"/>
    </xf>
    <xf numFmtId="168" fontId="20" fillId="0" borderId="0" xfId="1" applyNumberFormat="1" applyFont="1" applyFill="1" applyBorder="1" applyAlignment="1">
      <alignment horizontal="center"/>
    </xf>
    <xf numFmtId="0" fontId="20" fillId="0" borderId="23" xfId="0" applyFont="1" applyBorder="1" applyAlignment="1">
      <alignment horizontal="center"/>
    </xf>
    <xf numFmtId="168" fontId="20" fillId="0" borderId="23" xfId="1" applyNumberFormat="1" applyFont="1" applyFill="1" applyBorder="1" applyAlignment="1">
      <alignment horizontal="center"/>
    </xf>
    <xf numFmtId="164" fontId="20" fillId="5" borderId="32" xfId="0" applyNumberFormat="1" applyFont="1" applyFill="1" applyBorder="1" applyAlignment="1">
      <alignment horizontal="center"/>
    </xf>
    <xf numFmtId="3" fontId="20" fillId="0" borderId="4" xfId="0" applyNumberFormat="1" applyFont="1" applyBorder="1"/>
    <xf numFmtId="168" fontId="74" fillId="6" borderId="4" xfId="0" applyNumberFormat="1" applyFont="1" applyFill="1" applyBorder="1" applyAlignment="1">
      <alignment horizontal="center"/>
    </xf>
    <xf numFmtId="168" fontId="19" fillId="5" borderId="0" xfId="0" applyNumberFormat="1" applyFont="1" applyFill="1"/>
    <xf numFmtId="168" fontId="19" fillId="0" borderId="4" xfId="1" applyNumberFormat="1" applyFont="1" applyBorder="1"/>
    <xf numFmtId="168" fontId="19" fillId="0" borderId="4" xfId="0" applyNumberFormat="1" applyFont="1" applyBorder="1"/>
    <xf numFmtId="168" fontId="19" fillId="5" borderId="0" xfId="1" applyNumberFormat="1" applyFont="1" applyFill="1"/>
    <xf numFmtId="168" fontId="5" fillId="0" borderId="4" xfId="1" applyNumberFormat="1" applyFont="1" applyBorder="1"/>
    <xf numFmtId="0" fontId="74" fillId="6" borderId="4" xfId="0" applyFont="1" applyFill="1" applyBorder="1" applyAlignment="1">
      <alignment horizontal="center"/>
    </xf>
    <xf numFmtId="43" fontId="19" fillId="0" borderId="0" xfId="0" applyNumberFormat="1" applyFont="1"/>
    <xf numFmtId="164" fontId="5" fillId="0" borderId="0" xfId="0" applyNumberFormat="1" applyFont="1"/>
    <xf numFmtId="0" fontId="5" fillId="0" borderId="4" xfId="0" quotePrefix="1" applyFont="1" applyBorder="1" applyAlignment="1">
      <alignment horizontal="center"/>
    </xf>
    <xf numFmtId="0" fontId="5" fillId="0" borderId="4" xfId="0" quotePrefix="1" applyFont="1" applyBorder="1" applyAlignment="1">
      <alignment horizontal="center" vertical="center"/>
    </xf>
    <xf numFmtId="172" fontId="59" fillId="0" borderId="33" xfId="2" applyNumberFormat="1" applyFont="1" applyFill="1" applyBorder="1" applyAlignment="1">
      <alignment horizontal="right" vertical="center"/>
    </xf>
    <xf numFmtId="164" fontId="7" fillId="0" borderId="33" xfId="1" applyFont="1" applyFill="1" applyBorder="1" applyAlignment="1">
      <alignment horizontal="right" vertical="center"/>
    </xf>
    <xf numFmtId="43" fontId="62" fillId="0" borderId="34" xfId="0" applyNumberFormat="1" applyFont="1" applyBorder="1" applyAlignment="1">
      <alignment vertical="center"/>
    </xf>
    <xf numFmtId="168" fontId="20" fillId="0" borderId="4" xfId="1" applyNumberFormat="1" applyFont="1" applyFill="1" applyBorder="1" applyAlignment="1">
      <alignment horizontal="center"/>
    </xf>
    <xf numFmtId="168" fontId="20" fillId="14" borderId="0" xfId="1" applyNumberFormat="1" applyFont="1" applyFill="1" applyAlignment="1">
      <alignment horizontal="center" vertical="center"/>
    </xf>
    <xf numFmtId="0" fontId="20" fillId="11" borderId="0" xfId="0" applyFont="1" applyFill="1"/>
    <xf numFmtId="0" fontId="20" fillId="11" borderId="0" xfId="0" applyFont="1" applyFill="1" applyAlignment="1">
      <alignment horizontal="center"/>
    </xf>
    <xf numFmtId="0" fontId="5" fillId="11" borderId="0" xfId="0" applyFont="1" applyFill="1"/>
    <xf numFmtId="168" fontId="5" fillId="11" borderId="0" xfId="1" applyNumberFormat="1" applyFont="1" applyFill="1"/>
    <xf numFmtId="168" fontId="4" fillId="11" borderId="0" xfId="1" applyNumberFormat="1" applyFont="1" applyFill="1"/>
    <xf numFmtId="168" fontId="5" fillId="11" borderId="0" xfId="1" applyNumberFormat="1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168" fontId="20" fillId="11" borderId="0" xfId="0" applyNumberFormat="1" applyFont="1" applyFill="1"/>
    <xf numFmtId="168" fontId="5" fillId="11" borderId="0" xfId="0" applyNumberFormat="1" applyFont="1" applyFill="1"/>
    <xf numFmtId="168" fontId="20" fillId="11" borderId="0" xfId="1" applyNumberFormat="1" applyFont="1" applyFill="1"/>
    <xf numFmtId="167" fontId="5" fillId="11" borderId="0" xfId="1" applyNumberFormat="1" applyFont="1" applyFill="1"/>
    <xf numFmtId="0" fontId="5" fillId="11" borderId="0" xfId="0" applyFont="1" applyFill="1" applyAlignment="1">
      <alignment horizontal="center"/>
    </xf>
    <xf numFmtId="3" fontId="5" fillId="11" borderId="0" xfId="0" applyNumberFormat="1" applyFont="1" applyFill="1"/>
    <xf numFmtId="2" fontId="5" fillId="11" borderId="0" xfId="0" applyNumberFormat="1" applyFont="1" applyFill="1"/>
    <xf numFmtId="164" fontId="5" fillId="11" borderId="0" xfId="1" applyFont="1" applyFill="1"/>
    <xf numFmtId="0" fontId="19" fillId="11" borderId="0" xfId="0" applyFont="1" applyFill="1"/>
    <xf numFmtId="175" fontId="5" fillId="11" borderId="0" xfId="0" applyNumberFormat="1" applyFont="1" applyFill="1"/>
    <xf numFmtId="175" fontId="5" fillId="11" borderId="0" xfId="1" applyNumberFormat="1" applyFont="1" applyFill="1"/>
    <xf numFmtId="168" fontId="5" fillId="11" borderId="0" xfId="1" applyNumberFormat="1" applyFont="1" applyFill="1" applyBorder="1"/>
    <xf numFmtId="0" fontId="25" fillId="0" borderId="0" xfId="0" applyFont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0" fontId="5" fillId="6" borderId="4" xfId="0" applyFont="1" applyFill="1" applyBorder="1"/>
    <xf numFmtId="0" fontId="19" fillId="6" borderId="4" xfId="0" applyFont="1" applyFill="1" applyBorder="1"/>
    <xf numFmtId="0" fontId="19" fillId="5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vertical="center"/>
    </xf>
    <xf numFmtId="0" fontId="100" fillId="0" borderId="4" xfId="0" applyFont="1" applyBorder="1" applyAlignment="1">
      <alignment horizontal="left" vertical="center"/>
    </xf>
    <xf numFmtId="0" fontId="108" fillId="0" borderId="0" xfId="0" applyFont="1"/>
    <xf numFmtId="0" fontId="109" fillId="0" borderId="0" xfId="0" applyFont="1"/>
    <xf numFmtId="164" fontId="20" fillId="14" borderId="0" xfId="1" applyFont="1" applyFill="1" applyAlignment="1">
      <alignment horizontal="center" vertical="center"/>
    </xf>
    <xf numFmtId="164" fontId="20" fillId="0" borderId="0" xfId="1" applyFont="1" applyFill="1" applyAlignment="1">
      <alignment horizontal="center" vertical="center"/>
    </xf>
    <xf numFmtId="167" fontId="5" fillId="11" borderId="0" xfId="0" applyNumberFormat="1" applyFont="1" applyFill="1"/>
    <xf numFmtId="167" fontId="20" fillId="14" borderId="0" xfId="1" applyNumberFormat="1" applyFont="1" applyFill="1" applyAlignment="1">
      <alignment horizontal="center" vertical="center"/>
    </xf>
    <xf numFmtId="0" fontId="110" fillId="13" borderId="0" xfId="0" applyFont="1" applyFill="1"/>
    <xf numFmtId="0" fontId="111" fillId="13" borderId="0" xfId="0" applyFont="1" applyFill="1" applyAlignment="1">
      <alignment horizontal="center" vertical="center"/>
    </xf>
    <xf numFmtId="14" fontId="100" fillId="0" borderId="4" xfId="0" applyNumberFormat="1" applyFont="1" applyBorder="1"/>
    <xf numFmtId="14" fontId="102" fillId="0" borderId="4" xfId="0" applyNumberFormat="1" applyFont="1" applyBorder="1"/>
    <xf numFmtId="0" fontId="102" fillId="0" borderId="4" xfId="0" applyFont="1" applyBorder="1" applyAlignment="1">
      <alignment horizontal="center"/>
    </xf>
    <xf numFmtId="0" fontId="112" fillId="0" borderId="4" xfId="0" applyFont="1" applyBorder="1" applyAlignment="1">
      <alignment horizontal="left" vertical="top"/>
    </xf>
    <xf numFmtId="0" fontId="102" fillId="0" borderId="4" xfId="0" applyFont="1" applyBorder="1" applyAlignment="1">
      <alignment horizontal="left" vertical="center" wrapText="1"/>
    </xf>
    <xf numFmtId="0" fontId="100" fillId="0" borderId="4" xfId="0" applyFont="1" applyBorder="1"/>
    <xf numFmtId="0" fontId="102" fillId="0" borderId="4" xfId="0" applyFont="1" applyBorder="1" applyAlignment="1">
      <alignment horizontal="center" vertical="center"/>
    </xf>
    <xf numFmtId="0" fontId="102" fillId="0" borderId="4" xfId="0" quotePrefix="1" applyFont="1" applyBorder="1" applyAlignment="1">
      <alignment horizontal="center" vertical="center"/>
    </xf>
    <xf numFmtId="14" fontId="100" fillId="0" borderId="5" xfId="0" applyNumberFormat="1" applyFont="1" applyBorder="1" applyAlignment="1">
      <alignment horizontal="right" vertical="center"/>
    </xf>
    <xf numFmtId="0" fontId="102" fillId="0" borderId="5" xfId="0" applyFont="1" applyBorder="1" applyAlignment="1">
      <alignment horizontal="center"/>
    </xf>
    <xf numFmtId="0" fontId="112" fillId="0" borderId="5" xfId="0" applyFont="1" applyBorder="1" applyAlignment="1">
      <alignment horizontal="left" vertical="top"/>
    </xf>
    <xf numFmtId="0" fontId="102" fillId="0" borderId="5" xfId="0" applyFont="1" applyBorder="1"/>
    <xf numFmtId="14" fontId="100" fillId="0" borderId="5" xfId="0" applyNumberFormat="1" applyFont="1" applyBorder="1" applyAlignment="1">
      <alignment horizontal="center" vertical="center"/>
    </xf>
    <xf numFmtId="14" fontId="102" fillId="0" borderId="6" xfId="0" applyNumberFormat="1" applyFont="1" applyBorder="1" applyAlignment="1">
      <alignment horizontal="right" vertical="center"/>
    </xf>
    <xf numFmtId="0" fontId="102" fillId="0" borderId="4" xfId="0" quotePrefix="1" applyFont="1" applyBorder="1" applyAlignment="1">
      <alignment horizontal="center"/>
    </xf>
    <xf numFmtId="14" fontId="102" fillId="0" borderId="6" xfId="0" applyNumberFormat="1" applyFont="1" applyBorder="1" applyAlignment="1">
      <alignment horizontal="center" vertical="center"/>
    </xf>
    <xf numFmtId="14" fontId="100" fillId="0" borderId="4" xfId="0" applyNumberFormat="1" applyFont="1" applyBorder="1" applyAlignment="1">
      <alignment horizontal="right" vertical="center"/>
    </xf>
    <xf numFmtId="14" fontId="100" fillId="0" borderId="4" xfId="0" applyNumberFormat="1" applyFont="1" applyBorder="1" applyAlignment="1">
      <alignment vertical="center"/>
    </xf>
    <xf numFmtId="0" fontId="112" fillId="0" borderId="4" xfId="0" applyFont="1" applyBorder="1" applyAlignment="1">
      <alignment vertical="top"/>
    </xf>
    <xf numFmtId="0" fontId="100" fillId="0" borderId="4" xfId="0" applyFont="1" applyBorder="1" applyAlignment="1">
      <alignment vertical="center"/>
    </xf>
    <xf numFmtId="14" fontId="102" fillId="0" borderId="6" xfId="0" applyNumberFormat="1" applyFont="1" applyBorder="1" applyAlignment="1">
      <alignment horizontal="left" vertical="center"/>
    </xf>
    <xf numFmtId="0" fontId="102" fillId="0" borderId="5" xfId="0" applyFont="1" applyBorder="1" applyAlignment="1">
      <alignment horizontal="center" vertical="center"/>
    </xf>
    <xf numFmtId="14" fontId="112" fillId="0" borderId="7" xfId="0" applyNumberFormat="1" applyFont="1" applyBorder="1" applyAlignment="1">
      <alignment horizontal="left" vertical="top"/>
    </xf>
    <xf numFmtId="14" fontId="102" fillId="0" borderId="7" xfId="0" applyNumberFormat="1" applyFont="1" applyBorder="1" applyAlignment="1">
      <alignment horizontal="left" vertical="center"/>
    </xf>
    <xf numFmtId="0" fontId="102" fillId="0" borderId="0" xfId="0" applyFont="1" applyAlignment="1">
      <alignment horizontal="center"/>
    </xf>
    <xf numFmtId="14" fontId="100" fillId="0" borderId="11" xfId="0" applyNumberFormat="1" applyFont="1" applyBorder="1"/>
    <xf numFmtId="0" fontId="102" fillId="0" borderId="11" xfId="0" applyFont="1" applyBorder="1" applyAlignment="1">
      <alignment horizontal="center"/>
    </xf>
    <xf numFmtId="0" fontId="112" fillId="0" borderId="11" xfId="0" applyFont="1" applyBorder="1" applyAlignment="1">
      <alignment horizontal="left" vertical="top"/>
    </xf>
    <xf numFmtId="14" fontId="100" fillId="0" borderId="0" xfId="0" applyNumberFormat="1" applyFont="1"/>
    <xf numFmtId="14" fontId="102" fillId="0" borderId="7" xfId="0" applyNumberFormat="1" applyFont="1" applyBorder="1"/>
    <xf numFmtId="1" fontId="102" fillId="0" borderId="5" xfId="0" applyNumberFormat="1" applyFont="1" applyBorder="1" applyAlignment="1">
      <alignment horizontal="center"/>
    </xf>
    <xf numFmtId="14" fontId="100" fillId="0" borderId="4" xfId="0" applyNumberFormat="1" applyFont="1" applyBorder="1" applyAlignment="1">
      <alignment horizontal="right"/>
    </xf>
    <xf numFmtId="14" fontId="100" fillId="0" borderId="4" xfId="0" applyNumberFormat="1" applyFont="1" applyBorder="1" applyAlignment="1">
      <alignment horizontal="left" vertical="center"/>
    </xf>
    <xf numFmtId="14" fontId="100" fillId="0" borderId="8" xfId="0" applyNumberFormat="1" applyFont="1" applyBorder="1" applyAlignment="1">
      <alignment horizontal="center" vertical="center"/>
    </xf>
    <xf numFmtId="0" fontId="100" fillId="0" borderId="4" xfId="0" applyFont="1" applyBorder="1" applyAlignment="1">
      <alignment vertical="center" wrapText="1"/>
    </xf>
    <xf numFmtId="14" fontId="100" fillId="0" borderId="4" xfId="0" applyNumberFormat="1" applyFont="1" applyBorder="1" applyAlignment="1">
      <alignment horizontal="center" vertical="center"/>
    </xf>
    <xf numFmtId="14" fontId="102" fillId="0" borderId="21" xfId="0" applyNumberFormat="1" applyFont="1" applyBorder="1" applyAlignment="1">
      <alignment horizontal="center" vertical="center"/>
    </xf>
    <xf numFmtId="0" fontId="102" fillId="0" borderId="4" xfId="0" applyFont="1" applyBorder="1"/>
    <xf numFmtId="14" fontId="100" fillId="0" borderId="35" xfId="0" applyNumberFormat="1" applyFont="1" applyBorder="1" applyAlignment="1">
      <alignment horizontal="center" vertical="center"/>
    </xf>
    <xf numFmtId="14" fontId="102" fillId="0" borderId="24" xfId="0" applyNumberFormat="1" applyFont="1" applyBorder="1" applyAlignment="1">
      <alignment horizontal="center" vertical="center"/>
    </xf>
    <xf numFmtId="0" fontId="102" fillId="0" borderId="35" xfId="0" applyFont="1" applyBorder="1" applyAlignment="1">
      <alignment horizontal="center"/>
    </xf>
    <xf numFmtId="0" fontId="112" fillId="0" borderId="35" xfId="0" applyFont="1" applyBorder="1" applyAlignment="1">
      <alignment horizontal="left" vertical="top"/>
    </xf>
    <xf numFmtId="0" fontId="102" fillId="0" borderId="35" xfId="0" applyFont="1" applyBorder="1"/>
    <xf numFmtId="0" fontId="102" fillId="0" borderId="4" xfId="0" applyFont="1" applyBorder="1" applyAlignment="1" applyProtection="1">
      <alignment horizontal="left" vertical="center" wrapText="1"/>
      <protection locked="0"/>
    </xf>
    <xf numFmtId="0" fontId="102" fillId="0" borderId="5" xfId="0" applyFont="1" applyBorder="1" applyAlignment="1">
      <alignment vertical="center"/>
    </xf>
    <xf numFmtId="1" fontId="102" fillId="0" borderId="4" xfId="0" quotePrefix="1" applyNumberFormat="1" applyFont="1" applyBorder="1" applyAlignment="1">
      <alignment horizontal="center"/>
    </xf>
    <xf numFmtId="14" fontId="112" fillId="0" borderId="4" xfId="0" applyNumberFormat="1" applyFont="1" applyBorder="1" applyAlignment="1">
      <alignment horizontal="left" vertical="center"/>
    </xf>
    <xf numFmtId="14" fontId="102" fillId="0" borderId="4" xfId="0" applyNumberFormat="1" applyFont="1" applyBorder="1" applyAlignment="1">
      <alignment vertical="center"/>
    </xf>
    <xf numFmtId="0" fontId="113" fillId="0" borderId="4" xfId="0" applyFont="1" applyBorder="1" applyAlignment="1">
      <alignment horizontal="left" vertical="top"/>
    </xf>
    <xf numFmtId="0" fontId="114" fillId="0" borderId="4" xfId="0" applyFont="1" applyBorder="1"/>
    <xf numFmtId="0" fontId="115" fillId="0" borderId="4" xfId="0" applyFont="1" applyBorder="1"/>
    <xf numFmtId="167" fontId="20" fillId="0" borderId="0" xfId="0" applyNumberFormat="1" applyFont="1"/>
    <xf numFmtId="167" fontId="20" fillId="5" borderId="0" xfId="0" applyNumberFormat="1" applyFont="1" applyFill="1"/>
    <xf numFmtId="0" fontId="86" fillId="0" borderId="36" xfId="0" applyFont="1" applyBorder="1" applyAlignment="1">
      <alignment horizontal="center" wrapText="1"/>
    </xf>
    <xf numFmtId="0" fontId="60" fillId="0" borderId="37" xfId="0" applyFont="1" applyBorder="1" applyAlignment="1">
      <alignment horizontal="center" wrapText="1"/>
    </xf>
    <xf numFmtId="0" fontId="59" fillId="0" borderId="37" xfId="0" applyFont="1" applyBorder="1" applyAlignment="1">
      <alignment horizontal="center" wrapText="1"/>
    </xf>
    <xf numFmtId="0" fontId="116" fillId="0" borderId="37" xfId="0" applyFont="1" applyBorder="1" applyAlignment="1">
      <alignment horizontal="center" vertical="center"/>
    </xf>
    <xf numFmtId="0" fontId="86" fillId="0" borderId="38" xfId="0" applyFont="1" applyBorder="1" applyAlignment="1">
      <alignment horizontal="center" wrapText="1"/>
    </xf>
    <xf numFmtId="0" fontId="59" fillId="0" borderId="39" xfId="0" applyFont="1" applyBorder="1" applyAlignment="1">
      <alignment vertical="center" wrapText="1"/>
    </xf>
    <xf numFmtId="0" fontId="59" fillId="0" borderId="20" xfId="0" applyFont="1" applyBorder="1" applyAlignment="1">
      <alignment horizontal="center" vertical="center" wrapText="1"/>
    </xf>
    <xf numFmtId="0" fontId="8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59" fillId="0" borderId="40" xfId="0" applyFont="1" applyBorder="1" applyAlignment="1">
      <alignment horizontal="center" vertical="top" wrapText="1"/>
    </xf>
    <xf numFmtId="168" fontId="5" fillId="10" borderId="0" xfId="0" applyNumberFormat="1" applyFont="1" applyFill="1"/>
    <xf numFmtId="168" fontId="117" fillId="10" borderId="0" xfId="0" applyNumberFormat="1" applyFont="1" applyFill="1"/>
    <xf numFmtId="0" fontId="112" fillId="0" borderId="4" xfId="0" applyFont="1" applyBorder="1" applyAlignment="1">
      <alignment horizontal="left" vertical="center"/>
    </xf>
    <xf numFmtId="0" fontId="100" fillId="0" borderId="35" xfId="0" applyFont="1" applyBorder="1"/>
    <xf numFmtId="0" fontId="100" fillId="0" borderId="21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03" fillId="0" borderId="0" xfId="0" applyFont="1" applyAlignment="1" applyProtection="1">
      <alignment horizontal="center"/>
      <protection locked="0"/>
    </xf>
    <xf numFmtId="168" fontId="20" fillId="12" borderId="0" xfId="1" applyNumberFormat="1" applyFont="1" applyFill="1" applyAlignment="1">
      <alignment horizontal="center" vertical="center"/>
    </xf>
    <xf numFmtId="168" fontId="118" fillId="0" borderId="0" xfId="1" applyNumberFormat="1" applyFont="1"/>
    <xf numFmtId="168" fontId="117" fillId="0" borderId="0" xfId="0" applyNumberFormat="1" applyFont="1"/>
    <xf numFmtId="0" fontId="117" fillId="0" borderId="0" xfId="0" applyFont="1"/>
    <xf numFmtId="0" fontId="105" fillId="0" borderId="0" xfId="0" applyFont="1"/>
    <xf numFmtId="164" fontId="115" fillId="0" borderId="0" xfId="1" applyFont="1" applyFill="1" applyProtection="1">
      <protection locked="0"/>
    </xf>
    <xf numFmtId="0" fontId="115" fillId="0" borderId="0" xfId="0" applyFont="1" applyProtection="1">
      <protection locked="0"/>
    </xf>
    <xf numFmtId="166" fontId="115" fillId="0" borderId="0" xfId="0" applyNumberFormat="1" applyFont="1" applyProtection="1">
      <protection locked="0"/>
    </xf>
    <xf numFmtId="167" fontId="115" fillId="0" borderId="0" xfId="1" applyNumberFormat="1" applyFont="1" applyFill="1" applyProtection="1">
      <protection locked="0"/>
    </xf>
    <xf numFmtId="164" fontId="115" fillId="0" borderId="0" xfId="1" applyFont="1" applyFill="1" applyAlignment="1" applyProtection="1">
      <alignment horizontal="center"/>
      <protection locked="0"/>
    </xf>
    <xf numFmtId="0" fontId="115" fillId="0" borderId="0" xfId="0" applyFont="1" applyAlignment="1" applyProtection="1">
      <alignment horizontal="center"/>
      <protection locked="0"/>
    </xf>
    <xf numFmtId="166" fontId="115" fillId="0" borderId="0" xfId="0" applyNumberFormat="1" applyFont="1" applyAlignment="1" applyProtection="1">
      <alignment horizontal="center"/>
      <protection locked="0"/>
    </xf>
    <xf numFmtId="167" fontId="115" fillId="0" borderId="0" xfId="1" applyNumberFormat="1" applyFont="1" applyFill="1" applyAlignment="1" applyProtection="1">
      <alignment horizontal="center"/>
      <protection locked="0"/>
    </xf>
    <xf numFmtId="0" fontId="119" fillId="0" borderId="0" xfId="0" applyFont="1" applyAlignment="1" applyProtection="1">
      <alignment horizontal="center"/>
      <protection locked="0"/>
    </xf>
    <xf numFmtId="167" fontId="119" fillId="0" borderId="0" xfId="1" applyNumberFormat="1" applyFont="1" applyFill="1" applyAlignment="1" applyProtection="1">
      <alignment horizontal="center"/>
      <protection locked="0"/>
    </xf>
    <xf numFmtId="0" fontId="120" fillId="0" borderId="0" xfId="0" applyFont="1" applyProtection="1">
      <protection locked="0"/>
    </xf>
    <xf numFmtId="167" fontId="121" fillId="0" borderId="0" xfId="1" applyNumberFormat="1" applyFont="1" applyFill="1" applyAlignment="1" applyProtection="1">
      <alignment horizontal="center"/>
      <protection locked="0"/>
    </xf>
    <xf numFmtId="164" fontId="121" fillId="0" borderId="0" xfId="1" applyFont="1" applyFill="1" applyAlignment="1" applyProtection="1">
      <alignment horizontal="center"/>
      <protection locked="0"/>
    </xf>
    <xf numFmtId="0" fontId="122" fillId="0" borderId="0" xfId="0" applyFont="1" applyAlignment="1" applyProtection="1">
      <alignment horizontal="center"/>
      <protection locked="0"/>
    </xf>
    <xf numFmtId="0" fontId="123" fillId="0" borderId="0" xfId="0" applyFont="1" applyAlignment="1" applyProtection="1">
      <alignment horizontal="center"/>
      <protection locked="0"/>
    </xf>
    <xf numFmtId="164" fontId="122" fillId="0" borderId="0" xfId="1" applyFont="1" applyFill="1" applyAlignment="1" applyProtection="1">
      <alignment horizontal="center"/>
      <protection locked="0"/>
    </xf>
    <xf numFmtId="166" fontId="122" fillId="0" borderId="0" xfId="0" applyNumberFormat="1" applyFont="1" applyAlignment="1" applyProtection="1">
      <alignment horizontal="center"/>
      <protection locked="0"/>
    </xf>
    <xf numFmtId="167" fontId="122" fillId="0" borderId="0" xfId="1" applyNumberFormat="1" applyFont="1" applyFill="1" applyAlignment="1" applyProtection="1">
      <alignment horizontal="center"/>
      <protection locked="0"/>
    </xf>
    <xf numFmtId="0" fontId="124" fillId="0" borderId="0" xfId="0" applyFont="1" applyProtection="1">
      <protection locked="0"/>
    </xf>
    <xf numFmtId="164" fontId="102" fillId="0" borderId="0" xfId="1" applyFont="1" applyFill="1" applyProtection="1">
      <protection locked="0"/>
    </xf>
    <xf numFmtId="166" fontId="102" fillId="0" borderId="0" xfId="0" applyNumberFormat="1" applyFont="1" applyProtection="1">
      <protection locked="0"/>
    </xf>
    <xf numFmtId="167" fontId="102" fillId="0" borderId="0" xfId="1" applyNumberFormat="1" applyFont="1" applyFill="1" applyProtection="1">
      <protection locked="0"/>
    </xf>
    <xf numFmtId="167" fontId="102" fillId="0" borderId="41" xfId="1" applyNumberFormat="1" applyFont="1" applyFill="1" applyBorder="1" applyAlignment="1" applyProtection="1">
      <protection locked="0"/>
    </xf>
    <xf numFmtId="164" fontId="102" fillId="0" borderId="41" xfId="1" applyFont="1" applyFill="1" applyBorder="1" applyAlignment="1" applyProtection="1">
      <alignment horizontal="center"/>
      <protection locked="0"/>
    </xf>
    <xf numFmtId="0" fontId="119" fillId="0" borderId="20" xfId="0" applyFont="1" applyBorder="1" applyAlignment="1" applyProtection="1">
      <alignment horizontal="center" vertical="center" wrapText="1"/>
      <protection locked="0"/>
    </xf>
    <xf numFmtId="164" fontId="119" fillId="0" borderId="20" xfId="1" applyFont="1" applyFill="1" applyBorder="1" applyAlignment="1" applyProtection="1">
      <alignment horizontal="center" vertical="center" wrapText="1"/>
      <protection locked="0"/>
    </xf>
    <xf numFmtId="166" fontId="119" fillId="0" borderId="20" xfId="0" applyNumberFormat="1" applyFont="1" applyBorder="1" applyAlignment="1" applyProtection="1">
      <alignment horizontal="center" vertical="center" wrapText="1"/>
      <protection locked="0"/>
    </xf>
    <xf numFmtId="0" fontId="125" fillId="0" borderId="11" xfId="0" applyFont="1" applyBorder="1" applyAlignment="1" applyProtection="1">
      <alignment horizontal="center" vertical="center" wrapText="1"/>
      <protection locked="0"/>
    </xf>
    <xf numFmtId="0" fontId="103" fillId="0" borderId="11" xfId="0" applyFont="1" applyBorder="1" applyAlignment="1" applyProtection="1">
      <alignment horizontal="center" vertical="center" wrapText="1"/>
      <protection locked="0"/>
    </xf>
    <xf numFmtId="0" fontId="119" fillId="0" borderId="11" xfId="0" applyFont="1" applyBorder="1" applyAlignment="1" applyProtection="1">
      <alignment horizontal="center" vertical="center" wrapText="1"/>
      <protection locked="0"/>
    </xf>
    <xf numFmtId="0" fontId="122" fillId="0" borderId="10" xfId="0" applyFont="1" applyBorder="1" applyAlignment="1" applyProtection="1">
      <alignment horizontal="center" vertical="center"/>
      <protection locked="0"/>
    </xf>
    <xf numFmtId="0" fontId="123" fillId="0" borderId="11" xfId="0" applyFont="1" applyBorder="1" applyAlignment="1" applyProtection="1">
      <alignment horizontal="center" vertical="center"/>
      <protection locked="0"/>
    </xf>
    <xf numFmtId="0" fontId="103" fillId="0" borderId="11" xfId="0" applyFont="1" applyBorder="1" applyAlignment="1" applyProtection="1">
      <alignment horizontal="center" vertical="center"/>
      <protection locked="0"/>
    </xf>
    <xf numFmtId="0" fontId="102" fillId="0" borderId="11" xfId="0" applyFont="1" applyBorder="1" applyAlignment="1" applyProtection="1">
      <alignment horizontal="center" vertical="center" wrapText="1"/>
      <protection locked="0"/>
    </xf>
    <xf numFmtId="164" fontId="102" fillId="0" borderId="11" xfId="1" applyFont="1" applyFill="1" applyBorder="1" applyAlignment="1" applyProtection="1">
      <alignment horizontal="center" vertical="center" wrapText="1"/>
      <protection locked="0"/>
    </xf>
    <xf numFmtId="166" fontId="102" fillId="0" borderId="11" xfId="0" applyNumberFormat="1" applyFont="1" applyBorder="1" applyAlignment="1" applyProtection="1">
      <alignment horizontal="center" vertical="center" wrapText="1"/>
      <protection locked="0"/>
    </xf>
    <xf numFmtId="167" fontId="102" fillId="0" borderId="11" xfId="1" applyNumberFormat="1" applyFont="1" applyFill="1" applyBorder="1" applyAlignment="1" applyProtection="1">
      <alignment horizontal="center" vertical="center" wrapText="1"/>
      <protection locked="0"/>
    </xf>
    <xf numFmtId="0" fontId="102" fillId="0" borderId="11" xfId="0" applyFont="1" applyBorder="1" applyAlignment="1" applyProtection="1">
      <alignment horizontal="center" vertical="center"/>
      <protection locked="0"/>
    </xf>
    <xf numFmtId="167" fontId="102" fillId="0" borderId="11" xfId="1" applyNumberFormat="1" applyFont="1" applyFill="1" applyBorder="1" applyAlignment="1" applyProtection="1">
      <alignment horizontal="center" vertical="center"/>
      <protection locked="0"/>
    </xf>
    <xf numFmtId="164" fontId="102" fillId="0" borderId="12" xfId="1" applyFont="1" applyFill="1" applyBorder="1" applyAlignment="1" applyProtection="1">
      <alignment horizontal="center" vertical="center"/>
      <protection locked="0"/>
    </xf>
    <xf numFmtId="0" fontId="102" fillId="0" borderId="13" xfId="0" applyFont="1" applyBorder="1" applyAlignment="1" applyProtection="1">
      <alignment horizontal="center" vertical="center"/>
      <protection locked="0"/>
    </xf>
    <xf numFmtId="0" fontId="124" fillId="0" borderId="14" xfId="0" applyFont="1" applyBorder="1" applyAlignment="1" applyProtection="1">
      <alignment horizontal="left" vertical="center" wrapText="1"/>
      <protection locked="0"/>
    </xf>
    <xf numFmtId="167" fontId="104" fillId="0" borderId="14" xfId="1" applyNumberFormat="1" applyFont="1" applyFill="1" applyBorder="1" applyAlignment="1" applyProtection="1">
      <alignment vertical="center"/>
      <protection locked="0"/>
    </xf>
    <xf numFmtId="4" fontId="104" fillId="0" borderId="14" xfId="2" applyNumberFormat="1" applyFont="1" applyFill="1" applyBorder="1" applyAlignment="1" applyProtection="1">
      <alignment horizontal="right" vertical="center"/>
      <protection locked="0"/>
    </xf>
    <xf numFmtId="168" fontId="104" fillId="0" borderId="14" xfId="1" applyNumberFormat="1" applyFont="1" applyFill="1" applyBorder="1" applyAlignment="1" applyProtection="1">
      <alignment vertical="center"/>
      <protection locked="0"/>
    </xf>
    <xf numFmtId="43" fontId="104" fillId="0" borderId="14" xfId="2" applyFont="1" applyFill="1" applyBorder="1" applyAlignment="1" applyProtection="1">
      <alignment horizontal="right" vertical="center"/>
      <protection locked="0"/>
    </xf>
    <xf numFmtId="166" fontId="104" fillId="0" borderId="14" xfId="2" applyNumberFormat="1" applyFont="1" applyFill="1" applyBorder="1" applyAlignment="1" applyProtection="1">
      <alignment horizontal="right" vertical="center" shrinkToFit="1"/>
      <protection locked="0"/>
    </xf>
    <xf numFmtId="166" fontId="104" fillId="0" borderId="42" xfId="2" applyNumberFormat="1" applyFont="1" applyFill="1" applyBorder="1" applyAlignment="1" applyProtection="1">
      <alignment horizontal="right" vertical="center" shrinkToFit="1"/>
      <protection locked="0"/>
    </xf>
    <xf numFmtId="167" fontId="104" fillId="0" borderId="42" xfId="1" applyNumberFormat="1" applyFont="1" applyFill="1" applyBorder="1"/>
    <xf numFmtId="167" fontId="104" fillId="0" borderId="14" xfId="1" applyNumberFormat="1" applyFont="1" applyFill="1" applyBorder="1" applyAlignment="1" applyProtection="1">
      <alignment horizontal="right" vertical="center"/>
      <protection locked="0"/>
    </xf>
    <xf numFmtId="168" fontId="104" fillId="0" borderId="14" xfId="0" applyNumberFormat="1" applyFont="1" applyBorder="1" applyAlignment="1" applyProtection="1">
      <alignment vertical="center"/>
      <protection locked="0"/>
    </xf>
    <xf numFmtId="167" fontId="105" fillId="0" borderId="42" xfId="1" applyNumberFormat="1" applyFont="1" applyFill="1" applyBorder="1" applyAlignment="1">
      <alignment horizontal="center" vertical="center" wrapText="1"/>
    </xf>
    <xf numFmtId="164" fontId="104" fillId="0" borderId="14" xfId="1" applyFont="1" applyFill="1" applyBorder="1" applyAlignment="1" applyProtection="1">
      <alignment horizontal="right"/>
      <protection locked="0"/>
    </xf>
    <xf numFmtId="167" fontId="104" fillId="0" borderId="14" xfId="1" applyNumberFormat="1" applyFont="1" applyFill="1" applyBorder="1" applyAlignment="1" applyProtection="1">
      <alignment horizontal="center" vertical="center" wrapText="1"/>
      <protection locked="0"/>
    </xf>
    <xf numFmtId="164" fontId="105" fillId="0" borderId="15" xfId="1" applyFont="1" applyFill="1" applyBorder="1" applyAlignment="1" applyProtection="1">
      <alignment vertical="center"/>
      <protection locked="0"/>
    </xf>
    <xf numFmtId="0" fontId="102" fillId="0" borderId="0" xfId="0" applyFont="1" applyAlignment="1" applyProtection="1">
      <alignment vertical="center"/>
      <protection locked="0"/>
    </xf>
    <xf numFmtId="0" fontId="104" fillId="0" borderId="0" xfId="0" applyFont="1" applyAlignment="1" applyProtection="1">
      <alignment vertical="center"/>
      <protection locked="0"/>
    </xf>
    <xf numFmtId="167" fontId="104" fillId="0" borderId="14" xfId="1" applyNumberFormat="1" applyFont="1" applyFill="1" applyBorder="1" applyAlignment="1" applyProtection="1">
      <alignment horizontal="right" vertical="center" shrinkToFit="1"/>
      <protection locked="0"/>
    </xf>
    <xf numFmtId="164" fontId="102" fillId="0" borderId="0" xfId="1" applyFont="1" applyFill="1" applyAlignment="1" applyProtection="1">
      <alignment vertical="center"/>
      <protection locked="0"/>
    </xf>
    <xf numFmtId="164" fontId="102" fillId="0" borderId="0" xfId="0" applyNumberFormat="1" applyFont="1" applyAlignment="1" applyProtection="1">
      <alignment vertical="center"/>
      <protection locked="0"/>
    </xf>
    <xf numFmtId="168" fontId="104" fillId="0" borderId="0" xfId="0" applyNumberFormat="1" applyFont="1" applyAlignment="1" applyProtection="1">
      <alignment vertical="center"/>
      <protection locked="0"/>
    </xf>
    <xf numFmtId="4" fontId="102" fillId="0" borderId="4" xfId="0" applyNumberFormat="1" applyFont="1" applyBorder="1" applyAlignment="1" applyProtection="1">
      <alignment vertical="center"/>
      <protection locked="0"/>
    </xf>
    <xf numFmtId="164" fontId="102" fillId="0" borderId="4" xfId="0" applyNumberFormat="1" applyFont="1" applyBorder="1" applyAlignment="1" applyProtection="1">
      <alignment vertical="center"/>
      <protection locked="0"/>
    </xf>
    <xf numFmtId="0" fontId="102" fillId="0" borderId="4" xfId="0" applyFont="1" applyBorder="1" applyAlignment="1" applyProtection="1">
      <alignment vertical="center"/>
      <protection locked="0"/>
    </xf>
    <xf numFmtId="164" fontId="102" fillId="0" borderId="4" xfId="1" applyFont="1" applyFill="1" applyBorder="1" applyAlignment="1" applyProtection="1">
      <alignment vertical="center"/>
      <protection locked="0"/>
    </xf>
    <xf numFmtId="0" fontId="102" fillId="0" borderId="4" xfId="0" applyFont="1" applyBorder="1" applyAlignment="1" applyProtection="1">
      <alignment horizontal="center" vertical="center"/>
      <protection locked="0"/>
    </xf>
    <xf numFmtId="43" fontId="102" fillId="0" borderId="4" xfId="0" applyNumberFormat="1" applyFont="1" applyBorder="1" applyAlignment="1" applyProtection="1">
      <alignment vertical="center"/>
      <protection locked="0"/>
    </xf>
    <xf numFmtId="167" fontId="102" fillId="0" borderId="4" xfId="0" applyNumberFormat="1" applyFont="1" applyBorder="1" applyAlignment="1" applyProtection="1">
      <alignment vertical="center"/>
      <protection locked="0"/>
    </xf>
    <xf numFmtId="43" fontId="102" fillId="0" borderId="0" xfId="0" applyNumberFormat="1" applyFont="1" applyAlignment="1" applyProtection="1">
      <alignment vertical="center"/>
      <protection locked="0"/>
    </xf>
    <xf numFmtId="43" fontId="104" fillId="0" borderId="0" xfId="0" applyNumberFormat="1" applyFont="1" applyAlignment="1" applyProtection="1">
      <alignment vertical="center"/>
      <protection locked="0"/>
    </xf>
    <xf numFmtId="0" fontId="102" fillId="0" borderId="43" xfId="0" applyFont="1" applyBorder="1" applyAlignment="1" applyProtection="1">
      <alignment horizontal="center"/>
      <protection locked="0"/>
    </xf>
    <xf numFmtId="0" fontId="124" fillId="0" borderId="44" xfId="0" applyFont="1" applyBorder="1" applyAlignment="1" applyProtection="1">
      <alignment horizontal="left" wrapText="1"/>
      <protection locked="0"/>
    </xf>
    <xf numFmtId="0" fontId="104" fillId="0" borderId="44" xfId="0" applyFont="1" applyBorder="1" applyAlignment="1" applyProtection="1">
      <alignment horizontal="left" wrapText="1"/>
      <protection locked="0"/>
    </xf>
    <xf numFmtId="169" fontId="104" fillId="0" borderId="44" xfId="0" applyNumberFormat="1" applyFont="1" applyBorder="1" applyProtection="1">
      <protection locked="0"/>
    </xf>
    <xf numFmtId="4" fontId="104" fillId="0" borderId="44" xfId="2" applyNumberFormat="1" applyFont="1" applyFill="1" applyBorder="1" applyAlignment="1" applyProtection="1">
      <alignment horizontal="right"/>
      <protection locked="0"/>
    </xf>
    <xf numFmtId="164" fontId="104" fillId="0" borderId="44" xfId="1" applyFont="1" applyFill="1" applyBorder="1" applyAlignment="1" applyProtection="1">
      <protection locked="0"/>
    </xf>
    <xf numFmtId="43" fontId="104" fillId="0" borderId="8" xfId="2" applyFont="1" applyFill="1" applyBorder="1" applyAlignment="1" applyProtection="1">
      <alignment horizontal="right" vertical="center"/>
      <protection locked="0"/>
    </xf>
    <xf numFmtId="166" fontId="104" fillId="0" borderId="8" xfId="2" applyNumberFormat="1" applyFont="1" applyFill="1" applyBorder="1" applyAlignment="1" applyProtection="1">
      <alignment horizontal="right" vertical="center" shrinkToFit="1"/>
      <protection locked="0"/>
    </xf>
    <xf numFmtId="167" fontId="104" fillId="0" borderId="8" xfId="1" applyNumberFormat="1" applyFont="1" applyFill="1" applyBorder="1" applyAlignment="1" applyProtection="1">
      <alignment horizontal="right" vertical="center" shrinkToFit="1"/>
      <protection locked="0"/>
    </xf>
    <xf numFmtId="167" fontId="104" fillId="0" borderId="8" xfId="1" applyNumberFormat="1" applyFont="1" applyFill="1" applyBorder="1" applyAlignment="1" applyProtection="1">
      <alignment horizontal="right" vertical="center"/>
      <protection locked="0"/>
    </xf>
    <xf numFmtId="168" fontId="104" fillId="0" borderId="8" xfId="0" applyNumberFormat="1" applyFont="1" applyBorder="1" applyAlignment="1" applyProtection="1">
      <alignment vertical="center"/>
      <protection locked="0"/>
    </xf>
    <xf numFmtId="167" fontId="104" fillId="0" borderId="8" xfId="1" applyNumberFormat="1" applyFont="1" applyFill="1" applyBorder="1" applyAlignment="1" applyProtection="1">
      <alignment vertical="center"/>
      <protection locked="0"/>
    </xf>
    <xf numFmtId="168" fontId="104" fillId="0" borderId="8" xfId="0" applyNumberFormat="1" applyFont="1" applyBorder="1" applyAlignment="1" applyProtection="1">
      <alignment horizontal="right" vertical="center"/>
      <protection locked="0"/>
    </xf>
    <xf numFmtId="167" fontId="104" fillId="0" borderId="8" xfId="1" applyNumberFormat="1" applyFont="1" applyFill="1" applyBorder="1" applyAlignment="1" applyProtection="1">
      <alignment horizontal="center" vertical="center" wrapText="1"/>
      <protection locked="0"/>
    </xf>
    <xf numFmtId="164" fontId="105" fillId="0" borderId="45" xfId="1" applyFont="1" applyFill="1" applyBorder="1" applyAlignment="1" applyProtection="1">
      <protection locked="0"/>
    </xf>
    <xf numFmtId="0" fontId="104" fillId="0" borderId="1" xfId="0" applyFont="1" applyBorder="1"/>
    <xf numFmtId="4" fontId="103" fillId="0" borderId="1" xfId="0" applyNumberFormat="1" applyFont="1" applyBorder="1"/>
    <xf numFmtId="4" fontId="105" fillId="0" borderId="46" xfId="0" applyNumberFormat="1" applyFont="1" applyBorder="1"/>
    <xf numFmtId="43" fontId="104" fillId="0" borderId="0" xfId="0" applyNumberFormat="1" applyFont="1"/>
    <xf numFmtId="4" fontId="104" fillId="0" borderId="4" xfId="0" applyNumberFormat="1" applyFont="1" applyBorder="1"/>
    <xf numFmtId="3" fontId="104" fillId="0" borderId="4" xfId="0" applyNumberFormat="1" applyFont="1" applyBorder="1"/>
    <xf numFmtId="168" fontId="104" fillId="0" borderId="4" xfId="1" applyNumberFormat="1" applyFont="1" applyFill="1" applyBorder="1" applyAlignment="1">
      <alignment horizontal="center" vertical="center"/>
    </xf>
    <xf numFmtId="0" fontId="124" fillId="0" borderId="0" xfId="0" applyFont="1"/>
    <xf numFmtId="166" fontId="100" fillId="0" borderId="0" xfId="0" applyNumberFormat="1" applyFont="1"/>
    <xf numFmtId="167" fontId="100" fillId="0" borderId="0" xfId="1" applyNumberFormat="1" applyFont="1" applyFill="1"/>
    <xf numFmtId="0" fontId="119" fillId="0" borderId="0" xfId="0" applyFont="1" applyProtection="1">
      <protection locked="0"/>
    </xf>
    <xf numFmtId="0" fontId="115" fillId="0" borderId="0" xfId="0" applyFont="1"/>
    <xf numFmtId="4" fontId="115" fillId="0" borderId="0" xfId="0" applyNumberFormat="1" applyFont="1"/>
    <xf numFmtId="166" fontId="115" fillId="0" borderId="0" xfId="0" applyNumberFormat="1" applyFont="1"/>
    <xf numFmtId="167" fontId="115" fillId="0" borderId="0" xfId="1" applyNumberFormat="1" applyFont="1" applyFill="1" applyBorder="1"/>
    <xf numFmtId="43" fontId="115" fillId="0" borderId="0" xfId="0" applyNumberFormat="1" applyFont="1"/>
    <xf numFmtId="4" fontId="115" fillId="0" borderId="0" xfId="0" applyNumberFormat="1" applyFont="1" applyAlignment="1">
      <alignment horizontal="center"/>
    </xf>
    <xf numFmtId="167" fontId="126" fillId="0" borderId="0" xfId="1" applyNumberFormat="1" applyFont="1" applyFill="1" applyBorder="1"/>
    <xf numFmtId="167" fontId="115" fillId="0" borderId="0" xfId="1" applyNumberFormat="1" applyFont="1" applyFill="1"/>
    <xf numFmtId="164" fontId="115" fillId="0" borderId="0" xfId="0" applyNumberFormat="1" applyFont="1"/>
    <xf numFmtId="4" fontId="104" fillId="0" borderId="0" xfId="0" applyNumberFormat="1" applyFont="1"/>
    <xf numFmtId="166" fontId="104" fillId="0" borderId="0" xfId="0" applyNumberFormat="1" applyFont="1"/>
    <xf numFmtId="167" fontId="104" fillId="0" borderId="0" xfId="1" applyNumberFormat="1" applyFont="1" applyFill="1"/>
    <xf numFmtId="0" fontId="104" fillId="0" borderId="4" xfId="0" applyFont="1" applyBorder="1" applyAlignment="1">
      <alignment horizontal="center"/>
    </xf>
    <xf numFmtId="0" fontId="104" fillId="0" borderId="4" xfId="0" applyFont="1" applyBorder="1"/>
    <xf numFmtId="170" fontId="104" fillId="0" borderId="4" xfId="0" applyNumberFormat="1" applyFont="1" applyBorder="1" applyAlignment="1">
      <alignment horizontal="right" vertical="center"/>
    </xf>
    <xf numFmtId="164" fontId="104" fillId="0" borderId="4" xfId="0" applyNumberFormat="1" applyFont="1" applyBorder="1" applyAlignment="1">
      <alignment horizontal="center" vertical="center"/>
    </xf>
    <xf numFmtId="164" fontId="104" fillId="0" borderId="0" xfId="0" applyNumberFormat="1" applyFont="1" applyAlignment="1">
      <alignment vertical="center"/>
    </xf>
    <xf numFmtId="167" fontId="104" fillId="0" borderId="0" xfId="0" applyNumberFormat="1" applyFont="1"/>
    <xf numFmtId="164" fontId="104" fillId="0" borderId="0" xfId="0" applyNumberFormat="1" applyFont="1"/>
    <xf numFmtId="0" fontId="127" fillId="0" borderId="0" xfId="9" applyFont="1"/>
    <xf numFmtId="164" fontId="98" fillId="0" borderId="0" xfId="1" applyFont="1" applyFill="1"/>
    <xf numFmtId="0" fontId="128" fillId="0" borderId="0" xfId="0" applyFont="1" applyProtection="1">
      <protection locked="0"/>
    </xf>
    <xf numFmtId="0" fontId="128" fillId="0" borderId="0" xfId="0" applyFont="1" applyAlignment="1" applyProtection="1">
      <alignment horizontal="center"/>
      <protection locked="0"/>
    </xf>
    <xf numFmtId="168" fontId="122" fillId="0" borderId="0" xfId="0" applyNumberFormat="1" applyFont="1" applyAlignment="1" applyProtection="1">
      <alignment horizontal="center"/>
      <protection locked="0"/>
    </xf>
    <xf numFmtId="168" fontId="102" fillId="0" borderId="0" xfId="0" applyNumberFormat="1" applyFont="1" applyProtection="1">
      <protection locked="0"/>
    </xf>
    <xf numFmtId="0" fontId="104" fillId="0" borderId="47" xfId="0" applyFont="1" applyBorder="1" applyProtection="1">
      <protection locked="0"/>
    </xf>
    <xf numFmtId="0" fontId="103" fillId="0" borderId="20" xfId="15" applyFont="1" applyBorder="1" applyAlignment="1" applyProtection="1">
      <alignment horizontal="center" vertical="center" wrapText="1"/>
      <protection locked="0"/>
    </xf>
    <xf numFmtId="168" fontId="102" fillId="0" borderId="11" xfId="0" applyNumberFormat="1" applyFont="1" applyBorder="1" applyAlignment="1" applyProtection="1">
      <alignment horizontal="center" vertical="center" wrapText="1"/>
      <protection locked="0"/>
    </xf>
    <xf numFmtId="167" fontId="102" fillId="0" borderId="11" xfId="0" applyNumberFormat="1" applyFont="1" applyBorder="1" applyAlignment="1" applyProtection="1">
      <alignment horizontal="center" vertical="center" wrapText="1"/>
      <protection locked="0"/>
    </xf>
    <xf numFmtId="0" fontId="105" fillId="0" borderId="48" xfId="0" applyFont="1" applyBorder="1" applyAlignment="1" applyProtection="1">
      <alignment horizontal="center"/>
      <protection locked="0"/>
    </xf>
    <xf numFmtId="0" fontId="124" fillId="0" borderId="23" xfId="0" applyFont="1" applyBorder="1" applyAlignment="1">
      <alignment horizontal="left" vertical="center"/>
    </xf>
    <xf numFmtId="0" fontId="124" fillId="0" borderId="49" xfId="0" applyFont="1" applyBorder="1" applyAlignment="1">
      <alignment horizontal="left" vertical="center"/>
    </xf>
    <xf numFmtId="164" fontId="104" fillId="0" borderId="50" xfId="1" applyFont="1" applyFill="1" applyBorder="1" applyAlignment="1" applyProtection="1">
      <protection locked="0"/>
    </xf>
    <xf numFmtId="43" fontId="105" fillId="0" borderId="0" xfId="0" applyNumberFormat="1" applyFont="1" applyProtection="1">
      <protection locked="0"/>
    </xf>
    <xf numFmtId="164" fontId="103" fillId="0" borderId="51" xfId="1" applyFont="1" applyFill="1" applyBorder="1" applyAlignment="1">
      <alignment horizontal="right" vertical="center"/>
    </xf>
    <xf numFmtId="43" fontId="104" fillId="0" borderId="0" xfId="0" applyNumberFormat="1" applyFont="1" applyAlignment="1">
      <alignment horizontal="right" vertical="center"/>
    </xf>
    <xf numFmtId="0" fontId="104" fillId="0" borderId="0" xfId="0" applyFont="1" applyAlignment="1">
      <alignment horizontal="right" vertical="center"/>
    </xf>
    <xf numFmtId="3" fontId="104" fillId="0" borderId="0" xfId="0" applyNumberFormat="1" applyFont="1" applyAlignment="1">
      <alignment horizontal="right" vertical="center"/>
    </xf>
    <xf numFmtId="168" fontId="100" fillId="0" borderId="0" xfId="0" applyNumberFormat="1" applyFont="1"/>
    <xf numFmtId="164" fontId="100" fillId="0" borderId="0" xfId="1" applyFont="1" applyFill="1"/>
    <xf numFmtId="167" fontId="100" fillId="0" borderId="0" xfId="0" applyNumberFormat="1" applyFont="1"/>
    <xf numFmtId="43" fontId="100" fillId="0" borderId="0" xfId="0" applyNumberFormat="1" applyFont="1"/>
    <xf numFmtId="0" fontId="129" fillId="0" borderId="0" xfId="0" applyFont="1" applyProtection="1">
      <protection locked="0"/>
    </xf>
    <xf numFmtId="168" fontId="130" fillId="0" borderId="0" xfId="0" applyNumberFormat="1" applyFont="1"/>
    <xf numFmtId="0" fontId="130" fillId="0" borderId="0" xfId="0" applyFont="1"/>
    <xf numFmtId="167" fontId="130" fillId="0" borderId="0" xfId="1" applyNumberFormat="1" applyFont="1" applyFill="1"/>
    <xf numFmtId="167" fontId="131" fillId="0" borderId="0" xfId="1" applyNumberFormat="1" applyFont="1" applyFill="1"/>
    <xf numFmtId="0" fontId="124" fillId="0" borderId="0" xfId="0" applyFont="1" applyAlignment="1">
      <alignment vertical="center"/>
    </xf>
    <xf numFmtId="168" fontId="132" fillId="0" borderId="0" xfId="0" applyNumberFormat="1" applyFont="1"/>
    <xf numFmtId="0" fontId="132" fillId="0" borderId="0" xfId="0" applyFont="1"/>
    <xf numFmtId="167" fontId="132" fillId="0" borderId="0" xfId="1" applyNumberFormat="1" applyFont="1" applyFill="1"/>
    <xf numFmtId="168" fontId="105" fillId="0" borderId="0" xfId="0" applyNumberFormat="1" applyFont="1"/>
    <xf numFmtId="167" fontId="105" fillId="0" borderId="0" xfId="1" applyNumberFormat="1" applyFont="1" applyFill="1"/>
    <xf numFmtId="0" fontId="133" fillId="0" borderId="0" xfId="0" applyFont="1"/>
    <xf numFmtId="167" fontId="133" fillId="0" borderId="0" xfId="1" applyNumberFormat="1" applyFont="1" applyFill="1"/>
    <xf numFmtId="164" fontId="133" fillId="0" borderId="0" xfId="1" applyFont="1" applyFill="1"/>
    <xf numFmtId="167" fontId="98" fillId="0" borderId="0" xfId="1" applyNumberFormat="1" applyFont="1" applyFill="1"/>
    <xf numFmtId="0" fontId="0" fillId="0" borderId="4" xfId="0" applyBorder="1" applyAlignment="1">
      <alignment horizontal="left" vertical="center"/>
    </xf>
    <xf numFmtId="0" fontId="134" fillId="0" borderId="0" xfId="0" applyFont="1" applyAlignment="1">
      <alignment horizontal="center"/>
    </xf>
    <xf numFmtId="0" fontId="135" fillId="0" borderId="0" xfId="0" applyFont="1" applyAlignment="1">
      <alignment horizontal="center"/>
    </xf>
    <xf numFmtId="0" fontId="103" fillId="0" borderId="20" xfId="0" applyFont="1" applyBorder="1" applyAlignment="1" applyProtection="1">
      <alignment horizontal="center" vertical="center" wrapText="1"/>
      <protection locked="0"/>
    </xf>
    <xf numFmtId="0" fontId="136" fillId="0" borderId="0" xfId="0" applyFont="1" applyAlignment="1" applyProtection="1">
      <alignment horizontal="center"/>
      <protection locked="0"/>
    </xf>
    <xf numFmtId="0" fontId="103" fillId="0" borderId="52" xfId="0" applyFont="1" applyBorder="1" applyAlignment="1" applyProtection="1">
      <alignment horizontal="center" vertical="center" wrapText="1"/>
      <protection locked="0"/>
    </xf>
    <xf numFmtId="0" fontId="103" fillId="0" borderId="49" xfId="0" applyFont="1" applyBorder="1" applyAlignment="1" applyProtection="1">
      <alignment horizontal="center" vertical="center" wrapText="1"/>
      <protection locked="0"/>
    </xf>
    <xf numFmtId="0" fontId="137" fillId="0" borderId="0" xfId="0" applyFont="1" applyAlignment="1" applyProtection="1">
      <alignment horizontal="center"/>
      <protection locked="0"/>
    </xf>
    <xf numFmtId="0" fontId="103" fillId="0" borderId="3" xfId="0" applyFont="1" applyBorder="1" applyAlignment="1" applyProtection="1">
      <alignment horizontal="center" vertical="center"/>
      <protection locked="0"/>
    </xf>
    <xf numFmtId="0" fontId="138" fillId="14" borderId="0" xfId="0" applyFont="1" applyFill="1"/>
    <xf numFmtId="0" fontId="105" fillId="0" borderId="13" xfId="0" applyFont="1" applyBorder="1" applyAlignment="1" applyProtection="1">
      <alignment horizontal="center" vertical="center"/>
      <protection locked="0"/>
    </xf>
    <xf numFmtId="0" fontId="124" fillId="0" borderId="14" xfId="0" applyFont="1" applyBorder="1" applyAlignment="1">
      <alignment vertical="center"/>
    </xf>
    <xf numFmtId="0" fontId="105" fillId="0" borderId="0" xfId="0" applyFont="1" applyAlignment="1" applyProtection="1">
      <alignment vertical="center"/>
      <protection locked="0"/>
    </xf>
    <xf numFmtId="0" fontId="139" fillId="0" borderId="0" xfId="0" applyFont="1" applyAlignment="1">
      <alignment vertical="center"/>
    </xf>
    <xf numFmtId="0" fontId="140" fillId="0" borderId="14" xfId="0" applyFont="1" applyBorder="1" applyAlignment="1">
      <alignment horizontal="center" vertical="center"/>
    </xf>
    <xf numFmtId="168" fontId="140" fillId="0" borderId="14" xfId="1" applyNumberFormat="1" applyFont="1" applyFill="1" applyBorder="1" applyAlignment="1" applyProtection="1">
      <alignment vertical="center"/>
      <protection locked="0"/>
    </xf>
    <xf numFmtId="164" fontId="140" fillId="0" borderId="14" xfId="1" applyFont="1" applyFill="1" applyBorder="1" applyAlignment="1">
      <alignment vertical="center"/>
    </xf>
    <xf numFmtId="167" fontId="140" fillId="0" borderId="14" xfId="1" applyNumberFormat="1" applyFont="1" applyFill="1" applyBorder="1" applyAlignment="1" applyProtection="1">
      <alignment vertical="center"/>
      <protection locked="0"/>
    </xf>
    <xf numFmtId="167" fontId="140" fillId="0" borderId="42" xfId="1" applyNumberFormat="1" applyFont="1" applyFill="1" applyBorder="1" applyAlignment="1">
      <alignment vertical="center"/>
    </xf>
    <xf numFmtId="167" fontId="140" fillId="0" borderId="14" xfId="1" applyNumberFormat="1" applyFont="1" applyFill="1" applyBorder="1" applyAlignment="1">
      <alignment vertical="center"/>
    </xf>
    <xf numFmtId="167" fontId="140" fillId="0" borderId="42" xfId="1" applyNumberFormat="1" applyFont="1" applyFill="1" applyBorder="1" applyAlignment="1">
      <alignment horizontal="center" vertical="center" wrapText="1"/>
    </xf>
    <xf numFmtId="164" fontId="140" fillId="0" borderId="14" xfId="1" applyFont="1" applyFill="1" applyBorder="1" applyAlignment="1" applyProtection="1">
      <alignment horizontal="right" vertical="center"/>
      <protection locked="0"/>
    </xf>
    <xf numFmtId="167" fontId="140" fillId="0" borderId="19" xfId="1" applyNumberFormat="1" applyFont="1" applyFill="1" applyBorder="1" applyAlignment="1">
      <alignment vertical="center"/>
    </xf>
    <xf numFmtId="0" fontId="141" fillId="0" borderId="0" xfId="0" applyFont="1" applyAlignment="1">
      <alignment vertical="center"/>
    </xf>
    <xf numFmtId="0" fontId="104" fillId="0" borderId="14" xfId="0" applyFont="1" applyBorder="1" applyAlignment="1">
      <alignment vertical="center"/>
    </xf>
    <xf numFmtId="0" fontId="140" fillId="0" borderId="25" xfId="0" applyFont="1" applyBorder="1" applyAlignment="1">
      <alignment horizontal="center" vertical="center"/>
    </xf>
    <xf numFmtId="164" fontId="142" fillId="0" borderId="1" xfId="1" applyFont="1" applyFill="1" applyBorder="1" applyAlignment="1">
      <alignment horizontal="center" vertical="center"/>
    </xf>
    <xf numFmtId="0" fontId="143" fillId="0" borderId="0" xfId="0" applyFont="1"/>
    <xf numFmtId="164" fontId="144" fillId="0" borderId="35" xfId="1" applyFont="1" applyFill="1" applyBorder="1" applyAlignment="1" applyProtection="1">
      <alignment horizontal="right"/>
      <protection locked="0"/>
    </xf>
    <xf numFmtId="167" fontId="145" fillId="0" borderId="35" xfId="1" applyNumberFormat="1" applyFont="1" applyFill="1" applyBorder="1" applyAlignment="1" applyProtection="1">
      <protection locked="0"/>
    </xf>
    <xf numFmtId="167" fontId="145" fillId="0" borderId="35" xfId="1" applyNumberFormat="1" applyFont="1" applyFill="1" applyBorder="1"/>
    <xf numFmtId="164" fontId="145" fillId="0" borderId="35" xfId="1" applyFont="1" applyFill="1" applyBorder="1" applyAlignment="1" applyProtection="1">
      <alignment horizontal="right"/>
      <protection locked="0"/>
    </xf>
    <xf numFmtId="167" fontId="145" fillId="0" borderId="0" xfId="1" applyNumberFormat="1" applyFont="1" applyFill="1" applyBorder="1"/>
    <xf numFmtId="164" fontId="145" fillId="0" borderId="35" xfId="1" applyFont="1" applyFill="1" applyBorder="1" applyAlignment="1" applyProtection="1">
      <alignment horizontal="center" wrapText="1"/>
      <protection locked="0"/>
    </xf>
    <xf numFmtId="164" fontId="146" fillId="0" borderId="1" xfId="1" applyFont="1" applyFill="1" applyBorder="1"/>
    <xf numFmtId="164" fontId="146" fillId="0" borderId="53" xfId="1" applyFont="1" applyFill="1" applyBorder="1"/>
    <xf numFmtId="167" fontId="146" fillId="0" borderId="1" xfId="1" applyNumberFormat="1" applyFont="1" applyFill="1" applyBorder="1"/>
    <xf numFmtId="168" fontId="94" fillId="9" borderId="0" xfId="1" applyNumberFormat="1" applyFont="1" applyFill="1" applyAlignment="1">
      <alignment horizontal="center" vertical="center"/>
    </xf>
    <xf numFmtId="0" fontId="4" fillId="0" borderId="14" xfId="11" applyFont="1" applyBorder="1" applyAlignment="1">
      <alignment horizontal="left" vertical="center" wrapText="1"/>
    </xf>
    <xf numFmtId="166" fontId="126" fillId="0" borderId="0" xfId="0" applyNumberFormat="1" applyFont="1"/>
    <xf numFmtId="0" fontId="117" fillId="0" borderId="4" xfId="0" applyFont="1" applyBorder="1" applyAlignment="1">
      <alignment horizontal="left" vertical="center"/>
    </xf>
    <xf numFmtId="0" fontId="147" fillId="0" borderId="85" xfId="0" applyFont="1" applyBorder="1"/>
    <xf numFmtId="0" fontId="0" fillId="0" borderId="0" xfId="0" applyAlignment="1">
      <alignment horizontal="center"/>
    </xf>
    <xf numFmtId="164" fontId="0" fillId="0" borderId="0" xfId="0" applyNumberFormat="1"/>
    <xf numFmtId="167" fontId="116" fillId="0" borderId="0" xfId="1" applyNumberFormat="1" applyFont="1" applyFill="1"/>
    <xf numFmtId="164" fontId="106" fillId="0" borderId="0" xfId="0" applyNumberFormat="1" applyFont="1"/>
    <xf numFmtId="0" fontId="117" fillId="0" borderId="4" xfId="0" applyFont="1" applyBorder="1"/>
    <xf numFmtId="0" fontId="100" fillId="0" borderId="4" xfId="0" quotePrefix="1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134" fillId="0" borderId="0" xfId="0" applyFont="1" applyAlignment="1" applyProtection="1">
      <alignment horizontal="center"/>
      <protection locked="0"/>
    </xf>
    <xf numFmtId="0" fontId="103" fillId="0" borderId="0" xfId="0" applyFont="1" applyAlignment="1">
      <alignment horizontal="center"/>
    </xf>
    <xf numFmtId="14" fontId="106" fillId="0" borderId="4" xfId="0" applyNumberFormat="1" applyFont="1" applyBorder="1" applyAlignment="1">
      <alignment horizontal="center"/>
    </xf>
    <xf numFmtId="14" fontId="106" fillId="0" borderId="4" xfId="0" applyNumberFormat="1" applyFont="1" applyBorder="1" applyAlignment="1">
      <alignment horizontal="center" vertical="center"/>
    </xf>
    <xf numFmtId="0" fontId="148" fillId="14" borderId="4" xfId="0" applyFont="1" applyFill="1" applyBorder="1" applyAlignment="1">
      <alignment horizontal="left" vertical="top"/>
    </xf>
    <xf numFmtId="0" fontId="117" fillId="14" borderId="4" xfId="0" applyFont="1" applyFill="1" applyBorder="1"/>
    <xf numFmtId="0" fontId="112" fillId="0" borderId="20" xfId="0" applyFont="1" applyBorder="1" applyAlignment="1">
      <alignment horizontal="left" vertical="top"/>
    </xf>
    <xf numFmtId="0" fontId="100" fillId="0" borderId="20" xfId="0" applyFont="1" applyBorder="1"/>
    <xf numFmtId="0" fontId="19" fillId="14" borderId="4" xfId="0" applyFont="1" applyFill="1" applyBorder="1" applyAlignment="1">
      <alignment horizontal="center" vertical="center"/>
    </xf>
    <xf numFmtId="164" fontId="149" fillId="0" borderId="1" xfId="1" applyFont="1" applyFill="1" applyBorder="1"/>
    <xf numFmtId="164" fontId="150" fillId="0" borderId="1" xfId="1" applyFont="1" applyFill="1" applyBorder="1"/>
    <xf numFmtId="0" fontId="136" fillId="0" borderId="0" xfId="0" applyFont="1" applyAlignment="1" applyProtection="1">
      <alignment vertical="center"/>
      <protection locked="0"/>
    </xf>
    <xf numFmtId="169" fontId="136" fillId="0" borderId="0" xfId="0" applyNumberFormat="1" applyFont="1" applyAlignment="1" applyProtection="1">
      <alignment vertical="center"/>
      <protection locked="0"/>
    </xf>
    <xf numFmtId="164" fontId="136" fillId="0" borderId="0" xfId="1" applyFont="1" applyFill="1" applyAlignment="1" applyProtection="1">
      <alignment vertical="center"/>
      <protection locked="0"/>
    </xf>
    <xf numFmtId="0" fontId="134" fillId="0" borderId="0" xfId="0" applyFont="1" applyProtection="1">
      <protection locked="0"/>
    </xf>
    <xf numFmtId="0" fontId="151" fillId="0" borderId="0" xfId="0" applyFont="1" applyAlignment="1" applyProtection="1">
      <alignment horizontal="center" vertical="center"/>
      <protection locked="0"/>
    </xf>
    <xf numFmtId="0" fontId="152" fillId="0" borderId="0" xfId="0" applyFont="1" applyProtection="1">
      <protection locked="0"/>
    </xf>
    <xf numFmtId="169" fontId="152" fillId="0" borderId="0" xfId="0" applyNumberFormat="1" applyFont="1" applyProtection="1">
      <protection locked="0"/>
    </xf>
    <xf numFmtId="164" fontId="152" fillId="0" borderId="0" xfId="1" applyFont="1" applyFill="1" applyAlignment="1" applyProtection="1">
      <protection locked="0"/>
    </xf>
    <xf numFmtId="0" fontId="152" fillId="0" borderId="0" xfId="0" applyFont="1" applyAlignment="1" applyProtection="1">
      <alignment horizontal="center"/>
      <protection locked="0"/>
    </xf>
    <xf numFmtId="169" fontId="152" fillId="0" borderId="0" xfId="0" applyNumberFormat="1" applyFont="1" applyAlignment="1" applyProtection="1">
      <alignment horizontal="center"/>
      <protection locked="0"/>
    </xf>
    <xf numFmtId="164" fontId="152" fillId="0" borderId="0" xfId="1" applyFont="1" applyFill="1" applyAlignment="1" applyProtection="1">
      <alignment horizontal="center"/>
      <protection locked="0"/>
    </xf>
    <xf numFmtId="3" fontId="152" fillId="0" borderId="0" xfId="0" applyNumberFormat="1" applyFont="1" applyProtection="1">
      <protection locked="0"/>
    </xf>
    <xf numFmtId="0" fontId="134" fillId="0" borderId="0" xfId="15" applyFont="1" applyAlignment="1" applyProtection="1">
      <alignment horizontal="center"/>
      <protection locked="0"/>
    </xf>
    <xf numFmtId="164" fontId="134" fillId="0" borderId="0" xfId="1" applyFont="1" applyFill="1" applyAlignment="1" applyProtection="1">
      <alignment horizontal="center"/>
      <protection locked="0"/>
    </xf>
    <xf numFmtId="169" fontId="134" fillId="0" borderId="0" xfId="15" applyNumberFormat="1" applyFont="1" applyAlignment="1" applyProtection="1">
      <alignment horizontal="center"/>
      <protection locked="0"/>
    </xf>
    <xf numFmtId="0" fontId="152" fillId="0" borderId="0" xfId="15" applyFont="1" applyAlignment="1" applyProtection="1">
      <alignment horizontal="center"/>
      <protection locked="0"/>
    </xf>
    <xf numFmtId="0" fontId="152" fillId="0" borderId="0" xfId="15" applyFont="1" applyProtection="1">
      <protection locked="0"/>
    </xf>
    <xf numFmtId="0" fontId="132" fillId="0" borderId="0" xfId="15" applyFont="1" applyProtection="1">
      <protection locked="0"/>
    </xf>
    <xf numFmtId="164" fontId="132" fillId="0" borderId="0" xfId="1" applyFont="1" applyFill="1" applyAlignment="1" applyProtection="1">
      <protection locked="0"/>
    </xf>
    <xf numFmtId="0" fontId="132" fillId="0" borderId="0" xfId="0" applyFont="1" applyAlignment="1" applyProtection="1">
      <alignment vertical="center"/>
      <protection locked="0"/>
    </xf>
    <xf numFmtId="164" fontId="132" fillId="0" borderId="0" xfId="1" applyFont="1" applyFill="1" applyAlignment="1" applyProtection="1">
      <alignment vertical="center"/>
      <protection locked="0"/>
    </xf>
    <xf numFmtId="0" fontId="134" fillId="0" borderId="0" xfId="15" applyFont="1" applyProtection="1">
      <protection locked="0"/>
    </xf>
    <xf numFmtId="164" fontId="134" fillId="0" borderId="0" xfId="1" applyFont="1" applyFill="1" applyAlignment="1" applyProtection="1">
      <protection locked="0"/>
    </xf>
    <xf numFmtId="0" fontId="104" fillId="0" borderId="0" xfId="15" applyFont="1" applyProtection="1">
      <protection locked="0"/>
    </xf>
    <xf numFmtId="164" fontId="104" fillId="0" borderId="0" xfId="1" applyFont="1" applyFill="1" applyProtection="1">
      <protection locked="0"/>
    </xf>
    <xf numFmtId="169" fontId="104" fillId="0" borderId="0" xfId="15" applyNumberFormat="1" applyFont="1" applyProtection="1">
      <protection locked="0"/>
    </xf>
    <xf numFmtId="0" fontId="153" fillId="0" borderId="0" xfId="15" applyFont="1" applyProtection="1">
      <protection locked="0"/>
    </xf>
    <xf numFmtId="164" fontId="102" fillId="0" borderId="0" xfId="1" applyFont="1" applyFill="1" applyBorder="1" applyAlignment="1" applyProtection="1">
      <alignment horizontal="center" vertical="center"/>
      <protection locked="0"/>
    </xf>
    <xf numFmtId="0" fontId="122" fillId="0" borderId="0" xfId="0" applyFont="1" applyProtection="1">
      <protection locked="0"/>
    </xf>
    <xf numFmtId="0" fontId="0" fillId="0" borderId="4" xfId="0" applyBorder="1"/>
    <xf numFmtId="0" fontId="0" fillId="0" borderId="21" xfId="0" applyBorder="1"/>
    <xf numFmtId="164" fontId="122" fillId="0" borderId="26" xfId="1" applyFont="1" applyFill="1" applyBorder="1" applyAlignment="1" applyProtection="1">
      <alignment horizontal="center" vertical="center" wrapText="1"/>
      <protection locked="0"/>
    </xf>
    <xf numFmtId="0" fontId="107" fillId="0" borderId="20" xfId="15" applyFont="1" applyBorder="1" applyAlignment="1" applyProtection="1">
      <alignment horizontal="center" vertical="center" wrapText="1"/>
      <protection locked="0"/>
    </xf>
    <xf numFmtId="0" fontId="107" fillId="0" borderId="4" xfId="15" applyFont="1" applyBorder="1" applyAlignment="1" applyProtection="1">
      <alignment horizontal="center" vertical="center" wrapText="1"/>
      <protection locked="0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134" fillId="0" borderId="17" xfId="15" applyFont="1" applyBorder="1" applyAlignment="1" applyProtection="1">
      <alignment horizontal="center" vertical="center" wrapText="1"/>
      <protection locked="0"/>
    </xf>
    <xf numFmtId="0" fontId="0" fillId="0" borderId="54" xfId="0" applyBorder="1"/>
    <xf numFmtId="0" fontId="0" fillId="0" borderId="55" xfId="0" applyBorder="1"/>
    <xf numFmtId="169" fontId="134" fillId="0" borderId="17" xfId="15" applyNumberFormat="1" applyFont="1" applyBorder="1" applyAlignment="1" applyProtection="1">
      <alignment horizontal="center" vertical="center" wrapText="1"/>
      <protection locked="0"/>
    </xf>
    <xf numFmtId="0" fontId="122" fillId="0" borderId="17" xfId="15" applyFont="1" applyBorder="1" applyAlignment="1" applyProtection="1">
      <alignment horizontal="center" vertical="center" wrapText="1"/>
      <protection locked="0"/>
    </xf>
    <xf numFmtId="164" fontId="134" fillId="0" borderId="17" xfId="1" applyFont="1" applyFill="1" applyBorder="1" applyAlignment="1" applyProtection="1">
      <alignment horizontal="center" vertical="center" wrapText="1"/>
      <protection locked="0"/>
    </xf>
    <xf numFmtId="0" fontId="134" fillId="0" borderId="18" xfId="15" applyFont="1" applyBorder="1" applyAlignment="1" applyProtection="1">
      <alignment horizontal="center" vertical="center"/>
      <protection locked="0"/>
    </xf>
    <xf numFmtId="0" fontId="105" fillId="0" borderId="0" xfId="15" applyFont="1" applyAlignment="1" applyProtection="1">
      <alignment horizontal="center" vertical="center"/>
      <protection locked="0"/>
    </xf>
    <xf numFmtId="164" fontId="105" fillId="0" borderId="0" xfId="1" applyFont="1" applyFill="1" applyBorder="1" applyAlignment="1" applyProtection="1">
      <alignment horizontal="center" vertical="center"/>
      <protection locked="0"/>
    </xf>
    <xf numFmtId="0" fontId="134" fillId="0" borderId="8" xfId="15" applyFont="1" applyBorder="1" applyAlignment="1" applyProtection="1">
      <alignment horizontal="center" vertical="center" wrapText="1"/>
      <protection locked="0"/>
    </xf>
    <xf numFmtId="164" fontId="105" fillId="0" borderId="8" xfId="1" applyFont="1" applyFill="1" applyBorder="1" applyAlignment="1" applyProtection="1">
      <protection locked="0"/>
    </xf>
    <xf numFmtId="2" fontId="105" fillId="0" borderId="8" xfId="0" applyNumberFormat="1" applyFont="1" applyBorder="1" applyProtection="1">
      <protection locked="0"/>
    </xf>
    <xf numFmtId="169" fontId="105" fillId="0" borderId="8" xfId="0" applyNumberFormat="1" applyFont="1" applyBorder="1" applyProtection="1">
      <protection locked="0"/>
    </xf>
    <xf numFmtId="164" fontId="134" fillId="0" borderId="8" xfId="1" applyFont="1" applyFill="1" applyBorder="1" applyAlignment="1" applyProtection="1">
      <alignment horizontal="center" vertical="center" wrapText="1"/>
      <protection locked="0"/>
    </xf>
    <xf numFmtId="0" fontId="134" fillId="0" borderId="56" xfId="15" applyFont="1" applyBorder="1" applyAlignment="1" applyProtection="1">
      <alignment horizontal="center" vertical="center"/>
      <protection locked="0"/>
    </xf>
    <xf numFmtId="0" fontId="100" fillId="0" borderId="0" xfId="15" applyFont="1" applyAlignment="1" applyProtection="1">
      <alignment horizontal="center" vertical="center"/>
      <protection locked="0"/>
    </xf>
    <xf numFmtId="164" fontId="100" fillId="0" borderId="0" xfId="1" applyFont="1" applyFill="1" applyBorder="1" applyAlignment="1" applyProtection="1">
      <alignment horizontal="center" vertical="center"/>
      <protection locked="0"/>
    </xf>
    <xf numFmtId="0" fontId="100" fillId="0" borderId="0" xfId="0" applyFont="1" applyProtection="1">
      <protection locked="0"/>
    </xf>
    <xf numFmtId="0" fontId="102" fillId="0" borderId="57" xfId="0" applyFont="1" applyBorder="1" applyAlignment="1" applyProtection="1">
      <alignment horizontal="center"/>
      <protection locked="0"/>
    </xf>
    <xf numFmtId="0" fontId="106" fillId="0" borderId="8" xfId="0" applyFont="1" applyBorder="1" applyAlignment="1">
      <alignment horizontal="left" vertical="center"/>
    </xf>
    <xf numFmtId="14" fontId="106" fillId="0" borderId="8" xfId="0" applyNumberFormat="1" applyFont="1" applyBorder="1" applyAlignment="1">
      <alignment horizontal="left" vertical="center"/>
    </xf>
    <xf numFmtId="14" fontId="102" fillId="0" borderId="8" xfId="0" applyNumberFormat="1" applyFont="1" applyBorder="1" applyAlignment="1">
      <alignment horizontal="left" vertical="center"/>
    </xf>
    <xf numFmtId="0" fontId="102" fillId="0" borderId="8" xfId="0" applyFont="1" applyBorder="1" applyAlignment="1" applyProtection="1">
      <alignment horizontal="center" wrapText="1"/>
      <protection locked="0"/>
    </xf>
    <xf numFmtId="164" fontId="102" fillId="0" borderId="8" xfId="1" applyFont="1" applyFill="1" applyBorder="1" applyAlignment="1" applyProtection="1">
      <protection locked="0"/>
    </xf>
    <xf numFmtId="167" fontId="102" fillId="0" borderId="8" xfId="1" applyNumberFormat="1" applyFont="1" applyFill="1" applyBorder="1" applyAlignment="1" applyProtection="1">
      <protection locked="0"/>
    </xf>
    <xf numFmtId="169" fontId="102" fillId="0" borderId="8" xfId="0" applyNumberFormat="1" applyFont="1" applyBorder="1" applyProtection="1">
      <protection locked="0"/>
    </xf>
    <xf numFmtId="4" fontId="102" fillId="0" borderId="8" xfId="0" applyNumberFormat="1" applyFont="1" applyBorder="1" applyProtection="1">
      <protection locked="0"/>
    </xf>
    <xf numFmtId="164" fontId="102" fillId="0" borderId="8" xfId="1" applyFont="1" applyFill="1" applyBorder="1" applyAlignment="1">
      <alignment horizontal="right" vertical="center"/>
    </xf>
    <xf numFmtId="2" fontId="102" fillId="0" borderId="56" xfId="0" applyNumberFormat="1" applyFont="1" applyBorder="1" applyProtection="1">
      <protection locked="0"/>
    </xf>
    <xf numFmtId="164" fontId="100" fillId="0" borderId="0" xfId="1" applyFont="1" applyFill="1" applyBorder="1" applyAlignment="1" applyProtection="1">
      <protection locked="0"/>
    </xf>
    <xf numFmtId="0" fontId="102" fillId="0" borderId="56" xfId="0" applyFont="1" applyBorder="1" applyProtection="1">
      <protection locked="0"/>
    </xf>
    <xf numFmtId="164" fontId="100" fillId="0" borderId="0" xfId="0" applyNumberFormat="1" applyFont="1" applyProtection="1">
      <protection locked="0"/>
    </xf>
    <xf numFmtId="167" fontId="102" fillId="0" borderId="56" xfId="1" applyNumberFormat="1" applyFont="1" applyFill="1" applyBorder="1" applyAlignment="1" applyProtection="1">
      <protection locked="0"/>
    </xf>
    <xf numFmtId="164" fontId="102" fillId="0" borderId="56" xfId="0" applyNumberFormat="1" applyFont="1" applyBorder="1" applyProtection="1">
      <protection locked="0"/>
    </xf>
    <xf numFmtId="0" fontId="105" fillId="0" borderId="43" xfId="0" applyFont="1" applyBorder="1" applyAlignment="1" applyProtection="1">
      <alignment horizontal="center"/>
      <protection locked="0"/>
    </xf>
    <xf numFmtId="0" fontId="105" fillId="0" borderId="44" xfId="0" applyFont="1" applyBorder="1" applyAlignment="1" applyProtection="1">
      <alignment horizontal="left" wrapText="1"/>
      <protection locked="0"/>
    </xf>
    <xf numFmtId="14" fontId="106" fillId="0" borderId="44" xfId="0" applyNumberFormat="1" applyFont="1" applyBorder="1" applyAlignment="1">
      <alignment horizontal="left" vertical="center"/>
    </xf>
    <xf numFmtId="14" fontId="102" fillId="0" borderId="44" xfId="0" applyNumberFormat="1" applyFont="1" applyBorder="1" applyAlignment="1">
      <alignment horizontal="left" vertical="center"/>
    </xf>
    <xf numFmtId="0" fontId="105" fillId="0" borderId="44" xfId="0" applyFont="1" applyBorder="1" applyAlignment="1" applyProtection="1">
      <alignment horizontal="center" wrapText="1"/>
      <protection locked="0"/>
    </xf>
    <xf numFmtId="164" fontId="105" fillId="0" borderId="44" xfId="1" applyFont="1" applyFill="1" applyBorder="1" applyAlignment="1" applyProtection="1">
      <protection locked="0"/>
    </xf>
    <xf numFmtId="2" fontId="105" fillId="0" borderId="44" xfId="0" applyNumberFormat="1" applyFont="1" applyBorder="1" applyProtection="1">
      <protection locked="0"/>
    </xf>
    <xf numFmtId="169" fontId="128" fillId="0" borderId="44" xfId="0" applyNumberFormat="1" applyFont="1" applyBorder="1" applyProtection="1">
      <protection locked="0"/>
    </xf>
    <xf numFmtId="2" fontId="128" fillId="0" borderId="44" xfId="0" applyNumberFormat="1" applyFont="1" applyBorder="1" applyProtection="1">
      <protection locked="0"/>
    </xf>
    <xf numFmtId="164" fontId="128" fillId="0" borderId="5" xfId="1" applyFont="1" applyFill="1" applyBorder="1" applyAlignment="1" applyProtection="1">
      <protection locked="0"/>
    </xf>
    <xf numFmtId="4" fontId="128" fillId="0" borderId="5" xfId="0" applyNumberFormat="1" applyFont="1" applyBorder="1" applyProtection="1">
      <protection locked="0"/>
    </xf>
    <xf numFmtId="4" fontId="128" fillId="0" borderId="44" xfId="0" applyNumberFormat="1" applyFont="1" applyBorder="1" applyProtection="1">
      <protection locked="0"/>
    </xf>
    <xf numFmtId="2" fontId="128" fillId="0" borderId="5" xfId="0" applyNumberFormat="1" applyFont="1" applyBorder="1" applyProtection="1">
      <protection locked="0"/>
    </xf>
    <xf numFmtId="164" fontId="128" fillId="0" borderId="5" xfId="1" applyFont="1" applyFill="1" applyBorder="1" applyProtection="1">
      <protection locked="0"/>
    </xf>
    <xf numFmtId="0" fontId="105" fillId="0" borderId="45" xfId="0" applyFont="1" applyBorder="1" applyProtection="1">
      <protection locked="0"/>
    </xf>
    <xf numFmtId="164" fontId="122" fillId="0" borderId="58" xfId="1" applyFont="1" applyFill="1" applyBorder="1"/>
    <xf numFmtId="164" fontId="122" fillId="0" borderId="1" xfId="1" applyFont="1" applyFill="1" applyBorder="1"/>
    <xf numFmtId="164" fontId="122" fillId="0" borderId="59" xfId="0" applyNumberFormat="1" applyFont="1" applyBorder="1"/>
    <xf numFmtId="164" fontId="102" fillId="0" borderId="0" xfId="1" applyFont="1" applyFill="1"/>
    <xf numFmtId="0" fontId="102" fillId="0" borderId="0" xfId="0" applyFont="1"/>
    <xf numFmtId="0" fontId="103" fillId="0" borderId="0" xfId="0" applyFont="1"/>
    <xf numFmtId="169" fontId="103" fillId="0" borderId="0" xfId="0" applyNumberFormat="1" applyFont="1"/>
    <xf numFmtId="164" fontId="103" fillId="0" borderId="0" xfId="1" applyFont="1" applyFill="1" applyAlignment="1"/>
    <xf numFmtId="0" fontId="102" fillId="0" borderId="0" xfId="0" applyFont="1" applyAlignment="1">
      <alignment vertical="center"/>
    </xf>
    <xf numFmtId="164" fontId="102" fillId="0" borderId="0" xfId="0" applyNumberFormat="1" applyFont="1" applyAlignment="1">
      <alignment vertical="center"/>
    </xf>
    <xf numFmtId="164" fontId="106" fillId="0" borderId="0" xfId="1" applyFont="1" applyFill="1" applyAlignment="1">
      <alignment vertical="center"/>
    </xf>
    <xf numFmtId="164" fontId="102" fillId="0" borderId="0" xfId="1" applyFont="1" applyFill="1" applyAlignment="1">
      <alignment vertical="center"/>
    </xf>
    <xf numFmtId="0" fontId="134" fillId="0" borderId="0" xfId="0" applyFont="1"/>
    <xf numFmtId="164" fontId="134" fillId="0" borderId="0" xfId="0" applyNumberFormat="1" applyFont="1"/>
    <xf numFmtId="169" fontId="134" fillId="0" borderId="0" xfId="0" applyNumberFormat="1" applyFont="1"/>
    <xf numFmtId="164" fontId="122" fillId="0" borderId="0" xfId="0" applyNumberFormat="1" applyFont="1"/>
    <xf numFmtId="164" fontId="122" fillId="0" borderId="0" xfId="1" applyFont="1" applyFill="1"/>
    <xf numFmtId="0" fontId="122" fillId="0" borderId="0" xfId="0" applyFont="1" applyAlignment="1">
      <alignment horizontal="center"/>
    </xf>
    <xf numFmtId="0" fontId="122" fillId="0" borderId="0" xfId="0" applyFont="1"/>
    <xf numFmtId="169" fontId="105" fillId="0" borderId="0" xfId="0" applyNumberFormat="1" applyFont="1"/>
    <xf numFmtId="164" fontId="100" fillId="0" borderId="0" xfId="0" applyNumberFormat="1" applyFont="1"/>
    <xf numFmtId="164" fontId="154" fillId="0" borderId="0" xfId="0" applyNumberFormat="1" applyFont="1"/>
    <xf numFmtId="164" fontId="102" fillId="0" borderId="0" xfId="0" applyNumberFormat="1" applyFont="1"/>
    <xf numFmtId="164" fontId="105" fillId="0" borderId="0" xfId="0" applyNumberFormat="1" applyFont="1"/>
    <xf numFmtId="164" fontId="105" fillId="0" borderId="0" xfId="1" applyFont="1" applyFill="1"/>
    <xf numFmtId="168" fontId="105" fillId="0" borderId="0" xfId="1" applyNumberFormat="1" applyFont="1" applyFill="1"/>
    <xf numFmtId="169" fontId="102" fillId="0" borderId="0" xfId="0" applyNumberFormat="1" applyFont="1"/>
    <xf numFmtId="0" fontId="155" fillId="0" borderId="0" xfId="0" applyFont="1"/>
    <xf numFmtId="167" fontId="136" fillId="0" borderId="0" xfId="1" applyNumberFormat="1" applyFont="1" applyFill="1" applyAlignment="1" applyProtection="1">
      <alignment vertical="center"/>
      <protection locked="0"/>
    </xf>
    <xf numFmtId="167" fontId="152" fillId="0" borderId="0" xfId="1" applyNumberFormat="1" applyFont="1" applyFill="1" applyAlignment="1" applyProtection="1">
      <protection locked="0"/>
    </xf>
    <xf numFmtId="167" fontId="152" fillId="0" borderId="0" xfId="0" applyNumberFormat="1" applyFont="1" applyProtection="1">
      <protection locked="0"/>
    </xf>
    <xf numFmtId="168" fontId="152" fillId="0" borderId="0" xfId="1" applyNumberFormat="1" applyFont="1" applyFill="1" applyAlignment="1" applyProtection="1">
      <protection locked="0"/>
    </xf>
    <xf numFmtId="175" fontId="152" fillId="0" borderId="0" xfId="0" applyNumberFormat="1" applyFont="1" applyProtection="1">
      <protection locked="0"/>
    </xf>
    <xf numFmtId="167" fontId="152" fillId="0" borderId="0" xfId="1" applyNumberFormat="1" applyFont="1" applyFill="1" applyAlignment="1" applyProtection="1">
      <alignment horizontal="center"/>
      <protection locked="0"/>
    </xf>
    <xf numFmtId="167" fontId="152" fillId="0" borderId="0" xfId="0" applyNumberFormat="1" applyFont="1" applyAlignment="1" applyProtection="1">
      <alignment horizontal="center"/>
      <protection locked="0"/>
    </xf>
    <xf numFmtId="168" fontId="152" fillId="0" borderId="0" xfId="1" applyNumberFormat="1" applyFont="1" applyFill="1" applyAlignment="1" applyProtection="1">
      <alignment horizontal="center"/>
      <protection locked="0"/>
    </xf>
    <xf numFmtId="175" fontId="152" fillId="0" borderId="0" xfId="0" applyNumberFormat="1" applyFont="1" applyAlignment="1" applyProtection="1">
      <alignment horizontal="center"/>
      <protection locked="0"/>
    </xf>
    <xf numFmtId="167" fontId="134" fillId="0" borderId="0" xfId="1" applyNumberFormat="1" applyFont="1" applyFill="1" applyAlignment="1" applyProtection="1">
      <alignment horizontal="center"/>
      <protection locked="0"/>
    </xf>
    <xf numFmtId="167" fontId="134" fillId="0" borderId="0" xfId="15" applyNumberFormat="1" applyFont="1" applyAlignment="1" applyProtection="1">
      <alignment horizontal="center"/>
      <protection locked="0"/>
    </xf>
    <xf numFmtId="168" fontId="134" fillId="0" borderId="0" xfId="1" applyNumberFormat="1" applyFont="1" applyFill="1" applyAlignment="1" applyProtection="1">
      <alignment horizontal="center"/>
      <protection locked="0"/>
    </xf>
    <xf numFmtId="175" fontId="134" fillId="0" borderId="0" xfId="15" applyNumberFormat="1" applyFont="1" applyAlignment="1" applyProtection="1">
      <alignment horizontal="center"/>
      <protection locked="0"/>
    </xf>
    <xf numFmtId="167" fontId="104" fillId="0" borderId="0" xfId="1" applyNumberFormat="1" applyFont="1" applyFill="1" applyProtection="1">
      <protection locked="0"/>
    </xf>
    <xf numFmtId="167" fontId="104" fillId="0" borderId="0" xfId="15" applyNumberFormat="1" applyFont="1" applyProtection="1">
      <protection locked="0"/>
    </xf>
    <xf numFmtId="168" fontId="104" fillId="0" borderId="0" xfId="1" applyNumberFormat="1" applyFont="1" applyFill="1" applyProtection="1">
      <protection locked="0"/>
    </xf>
    <xf numFmtId="175" fontId="104" fillId="0" borderId="0" xfId="15" applyNumberFormat="1" applyFont="1" applyProtection="1">
      <protection locked="0"/>
    </xf>
    <xf numFmtId="0" fontId="156" fillId="0" borderId="60" xfId="0" applyFont="1" applyBorder="1" applyAlignment="1">
      <alignment horizontal="center" vertical="center"/>
    </xf>
    <xf numFmtId="0" fontId="150" fillId="0" borderId="4" xfId="0" applyFont="1" applyBorder="1" applyAlignment="1">
      <alignment horizontal="center" vertical="center"/>
    </xf>
    <xf numFmtId="0" fontId="150" fillId="0" borderId="4" xfId="0" applyFont="1" applyBorder="1" applyAlignment="1">
      <alignment horizontal="center" vertical="center" wrapText="1"/>
    </xf>
    <xf numFmtId="0" fontId="150" fillId="0" borderId="20" xfId="15" applyFont="1" applyBorder="1" applyAlignment="1" applyProtection="1">
      <alignment horizontal="center" vertical="center" wrapText="1"/>
      <protection locked="0"/>
    </xf>
    <xf numFmtId="168" fontId="150" fillId="0" borderId="20" xfId="15" applyNumberFormat="1" applyFont="1" applyBorder="1" applyAlignment="1" applyProtection="1">
      <alignment horizontal="center" vertical="center" wrapText="1"/>
      <protection locked="0"/>
    </xf>
    <xf numFmtId="0" fontId="150" fillId="0" borderId="17" xfId="15" applyFont="1" applyBorder="1" applyAlignment="1" applyProtection="1">
      <alignment horizontal="center" vertical="center" wrapText="1"/>
      <protection locked="0"/>
    </xf>
    <xf numFmtId="167" fontId="149" fillId="0" borderId="61" xfId="1" applyNumberFormat="1" applyFont="1" applyFill="1" applyBorder="1" applyAlignment="1" applyProtection="1">
      <alignment horizontal="center" vertical="center" wrapText="1"/>
      <protection locked="0"/>
    </xf>
    <xf numFmtId="167" fontId="150" fillId="0" borderId="17" xfId="1" applyNumberFormat="1" applyFont="1" applyFill="1" applyBorder="1" applyAlignment="1" applyProtection="1">
      <alignment horizontal="center" vertical="center" wrapText="1"/>
      <protection locked="0"/>
    </xf>
    <xf numFmtId="164" fontId="150" fillId="0" borderId="17" xfId="1" applyFont="1" applyFill="1" applyBorder="1" applyAlignment="1" applyProtection="1">
      <alignment horizontal="center" vertical="center" wrapText="1"/>
      <protection locked="0"/>
    </xf>
    <xf numFmtId="167" fontId="150" fillId="0" borderId="62" xfId="1" applyNumberFormat="1" applyFont="1" applyFill="1" applyBorder="1" applyAlignment="1" applyProtection="1">
      <alignment horizontal="center" vertical="center" wrapText="1"/>
      <protection locked="0"/>
    </xf>
    <xf numFmtId="0" fontId="150" fillId="0" borderId="62" xfId="15" applyFont="1" applyBorder="1" applyAlignment="1" applyProtection="1">
      <alignment horizontal="center" vertical="center" wrapText="1"/>
      <protection locked="0"/>
    </xf>
    <xf numFmtId="0" fontId="157" fillId="0" borderId="63" xfId="0" applyFont="1" applyBorder="1"/>
    <xf numFmtId="167" fontId="157" fillId="0" borderId="63" xfId="1" applyNumberFormat="1" applyFont="1" applyFill="1" applyBorder="1"/>
    <xf numFmtId="174" fontId="150" fillId="0" borderId="2" xfId="1" applyNumberFormat="1" applyFont="1" applyFill="1" applyBorder="1" applyAlignment="1" applyProtection="1">
      <alignment vertical="center" wrapText="1"/>
      <protection locked="0"/>
    </xf>
    <xf numFmtId="174" fontId="150" fillId="0" borderId="3" xfId="1" applyNumberFormat="1" applyFont="1" applyFill="1" applyBorder="1" applyAlignment="1" applyProtection="1">
      <alignment vertical="center" wrapText="1"/>
      <protection locked="0"/>
    </xf>
    <xf numFmtId="175" fontId="150" fillId="0" borderId="64" xfId="0" applyNumberFormat="1" applyFont="1" applyBorder="1" applyAlignment="1">
      <alignment horizontal="center" vertical="center"/>
    </xf>
    <xf numFmtId="0" fontId="150" fillId="0" borderId="18" xfId="15" applyFont="1" applyBorder="1" applyAlignment="1" applyProtection="1">
      <alignment horizontal="center" vertical="center"/>
      <protection locked="0"/>
    </xf>
    <xf numFmtId="0" fontId="150" fillId="0" borderId="8" xfId="15" applyFont="1" applyBorder="1" applyAlignment="1" applyProtection="1">
      <alignment horizontal="center" vertical="center" wrapText="1"/>
      <protection locked="0"/>
    </xf>
    <xf numFmtId="0" fontId="150" fillId="0" borderId="5" xfId="15" applyFont="1" applyBorder="1" applyAlignment="1" applyProtection="1">
      <alignment horizontal="center" vertical="center" wrapText="1"/>
      <protection locked="0"/>
    </xf>
    <xf numFmtId="164" fontId="154" fillId="0" borderId="5" xfId="1" applyFont="1" applyFill="1" applyBorder="1" applyAlignment="1" applyProtection="1">
      <protection locked="0"/>
    </xf>
    <xf numFmtId="167" fontId="154" fillId="0" borderId="5" xfId="1" applyNumberFormat="1" applyFont="1" applyFill="1" applyBorder="1" applyAlignment="1" applyProtection="1">
      <protection locked="0"/>
    </xf>
    <xf numFmtId="164" fontId="154" fillId="0" borderId="0" xfId="1" applyFont="1" applyFill="1" applyBorder="1" applyAlignment="1" applyProtection="1">
      <protection locked="0"/>
    </xf>
    <xf numFmtId="0" fontId="157" fillId="0" borderId="0" xfId="0" applyFont="1"/>
    <xf numFmtId="164" fontId="157" fillId="0" borderId="0" xfId="1" applyFont="1" applyFill="1"/>
    <xf numFmtId="167" fontId="154" fillId="0" borderId="35" xfId="1" applyNumberFormat="1" applyFont="1" applyFill="1" applyBorder="1" applyAlignment="1" applyProtection="1">
      <protection locked="0"/>
    </xf>
    <xf numFmtId="167" fontId="100" fillId="0" borderId="8" xfId="1" applyNumberFormat="1" applyFont="1" applyFill="1" applyBorder="1" applyAlignment="1" applyProtection="1">
      <protection locked="0"/>
    </xf>
    <xf numFmtId="167" fontId="157" fillId="0" borderId="0" xfId="1" applyNumberFormat="1" applyFont="1" applyFill="1"/>
    <xf numFmtId="168" fontId="157" fillId="0" borderId="0" xfId="1" applyNumberFormat="1" applyFont="1" applyFill="1"/>
    <xf numFmtId="0" fontId="150" fillId="0" borderId="56" xfId="15" applyFont="1" applyBorder="1" applyAlignment="1" applyProtection="1">
      <alignment horizontal="center" vertical="center"/>
      <protection locked="0"/>
    </xf>
    <xf numFmtId="0" fontId="154" fillId="0" borderId="57" xfId="0" applyFont="1" applyBorder="1" applyAlignment="1" applyProtection="1">
      <alignment horizontal="center"/>
      <protection locked="0"/>
    </xf>
    <xf numFmtId="0" fontId="158" fillId="0" borderId="8" xfId="0" applyFont="1" applyBorder="1" applyAlignment="1">
      <alignment horizontal="left" vertical="center"/>
    </xf>
    <xf numFmtId="14" fontId="158" fillId="0" borderId="8" xfId="0" applyNumberFormat="1" applyFont="1" applyBorder="1" applyAlignment="1">
      <alignment horizontal="left" vertical="center"/>
    </xf>
    <xf numFmtId="0" fontId="154" fillId="0" borderId="8" xfId="0" applyFont="1" applyBorder="1" applyAlignment="1" applyProtection="1">
      <alignment horizontal="center" wrapText="1"/>
      <protection locked="0"/>
    </xf>
    <xf numFmtId="164" fontId="100" fillId="0" borderId="8" xfId="1" applyFont="1" applyFill="1" applyBorder="1" applyAlignment="1" applyProtection="1">
      <protection locked="0"/>
    </xf>
    <xf numFmtId="0" fontId="0" fillId="0" borderId="8" xfId="0" applyBorder="1"/>
    <xf numFmtId="167" fontId="0" fillId="0" borderId="8" xfId="0" applyNumberFormat="1" applyBorder="1"/>
    <xf numFmtId="2" fontId="0" fillId="0" borderId="8" xfId="0" applyNumberFormat="1" applyBorder="1"/>
    <xf numFmtId="164" fontId="0" fillId="0" borderId="8" xfId="0" applyNumberFormat="1" applyBorder="1"/>
    <xf numFmtId="4" fontId="100" fillId="0" borderId="56" xfId="0" applyNumberFormat="1" applyFont="1" applyBorder="1" applyProtection="1">
      <protection locked="0"/>
    </xf>
    <xf numFmtId="0" fontId="100" fillId="0" borderId="0" xfId="0" applyFont="1" applyAlignment="1" applyProtection="1">
      <alignment horizontal="center"/>
      <protection locked="0"/>
    </xf>
    <xf numFmtId="43" fontId="100" fillId="0" borderId="0" xfId="0" applyNumberFormat="1" applyFont="1" applyProtection="1">
      <protection locked="0"/>
    </xf>
    <xf numFmtId="167" fontId="100" fillId="0" borderId="8" xfId="1" applyNumberFormat="1" applyFont="1" applyFill="1" applyBorder="1"/>
    <xf numFmtId="0" fontId="107" fillId="0" borderId="0" xfId="0" applyFont="1"/>
    <xf numFmtId="0" fontId="154" fillId="0" borderId="43" xfId="0" applyFont="1" applyBorder="1" applyAlignment="1" applyProtection="1">
      <alignment horizontal="center"/>
      <protection locked="0"/>
    </xf>
    <xf numFmtId="0" fontId="154" fillId="0" borderId="44" xfId="0" applyFont="1" applyBorder="1" applyAlignment="1" applyProtection="1">
      <alignment horizontal="left" wrapText="1"/>
      <protection locked="0"/>
    </xf>
    <xf numFmtId="0" fontId="154" fillId="0" borderId="44" xfId="0" applyFont="1" applyBorder="1" applyAlignment="1" applyProtection="1">
      <alignment horizontal="center" wrapText="1"/>
      <protection locked="0"/>
    </xf>
    <xf numFmtId="169" fontId="154" fillId="0" borderId="20" xfId="0" applyNumberFormat="1" applyFont="1" applyBorder="1" applyProtection="1">
      <protection locked="0"/>
    </xf>
    <xf numFmtId="169" fontId="154" fillId="0" borderId="35" xfId="0" applyNumberFormat="1" applyFont="1" applyBorder="1" applyProtection="1">
      <protection locked="0"/>
    </xf>
    <xf numFmtId="164" fontId="154" fillId="0" borderId="35" xfId="1" applyFont="1" applyFill="1" applyBorder="1" applyAlignment="1" applyProtection="1">
      <protection locked="0"/>
    </xf>
    <xf numFmtId="2" fontId="157" fillId="0" borderId="35" xfId="0" applyNumberFormat="1" applyFont="1" applyBorder="1"/>
    <xf numFmtId="167" fontId="154" fillId="0" borderId="35" xfId="0" applyNumberFormat="1" applyFont="1" applyBorder="1" applyProtection="1">
      <protection locked="0"/>
    </xf>
    <xf numFmtId="167" fontId="157" fillId="0" borderId="8" xfId="1" applyNumberFormat="1" applyFont="1" applyFill="1" applyBorder="1"/>
    <xf numFmtId="0" fontId="154" fillId="0" borderId="65" xfId="0" applyFont="1" applyBorder="1" applyAlignment="1" applyProtection="1">
      <alignment horizontal="center"/>
      <protection locked="0"/>
    </xf>
    <xf numFmtId="164" fontId="150" fillId="0" borderId="0" xfId="0" applyNumberFormat="1" applyFont="1"/>
    <xf numFmtId="167" fontId="103" fillId="0" borderId="0" xfId="1" applyNumberFormat="1" applyFont="1" applyFill="1" applyAlignment="1"/>
    <xf numFmtId="167" fontId="103" fillId="0" borderId="0" xfId="0" applyNumberFormat="1" applyFont="1"/>
    <xf numFmtId="168" fontId="103" fillId="0" borderId="0" xfId="1" applyNumberFormat="1" applyFont="1" applyFill="1" applyAlignment="1"/>
    <xf numFmtId="175" fontId="103" fillId="0" borderId="0" xfId="0" applyNumberFormat="1" applyFont="1"/>
    <xf numFmtId="164" fontId="104" fillId="0" borderId="0" xfId="1" applyFont="1" applyFill="1"/>
    <xf numFmtId="167" fontId="102" fillId="0" borderId="0" xfId="1" applyNumberFormat="1" applyFont="1" applyFill="1" applyAlignment="1">
      <alignment vertical="center"/>
    </xf>
    <xf numFmtId="164" fontId="154" fillId="0" borderId="0" xfId="1" applyFont="1" applyFill="1" applyAlignment="1">
      <alignment vertical="center"/>
    </xf>
    <xf numFmtId="43" fontId="100" fillId="0" borderId="0" xfId="0" applyNumberFormat="1" applyFont="1" applyAlignment="1">
      <alignment vertical="center"/>
    </xf>
    <xf numFmtId="164" fontId="100" fillId="0" borderId="0" xfId="0" applyNumberFormat="1" applyFont="1" applyAlignment="1">
      <alignment vertical="center"/>
    </xf>
    <xf numFmtId="167" fontId="106" fillId="0" borderId="0" xfId="1" applyNumberFormat="1" applyFont="1" applyFill="1" applyAlignment="1">
      <alignment vertical="center"/>
    </xf>
    <xf numFmtId="164" fontId="158" fillId="0" borderId="0" xfId="1" applyFont="1" applyFill="1" applyAlignment="1">
      <alignment vertical="center"/>
    </xf>
    <xf numFmtId="167" fontId="124" fillId="0" borderId="0" xfId="1" applyNumberFormat="1" applyFont="1" applyFill="1" applyAlignment="1">
      <alignment vertical="center"/>
    </xf>
    <xf numFmtId="168" fontId="124" fillId="0" borderId="0" xfId="1" applyNumberFormat="1" applyFont="1" applyFill="1" applyAlignment="1">
      <alignment vertical="center"/>
    </xf>
    <xf numFmtId="175" fontId="102" fillId="0" borderId="0" xfId="0" applyNumberFormat="1" applyFont="1" applyAlignment="1">
      <alignment vertical="center"/>
    </xf>
    <xf numFmtId="167" fontId="122" fillId="0" borderId="0" xfId="1" applyNumberFormat="1" applyFont="1" applyFill="1"/>
    <xf numFmtId="167" fontId="159" fillId="0" borderId="0" xfId="1" applyNumberFormat="1" applyFont="1" applyFill="1" applyAlignment="1"/>
    <xf numFmtId="0" fontId="159" fillId="0" borderId="0" xfId="0" applyFont="1"/>
    <xf numFmtId="167" fontId="160" fillId="0" borderId="0" xfId="0" applyNumberFormat="1" applyFont="1"/>
    <xf numFmtId="164" fontId="160" fillId="0" borderId="0" xfId="0" applyNumberFormat="1" applyFont="1"/>
    <xf numFmtId="168" fontId="160" fillId="0" borderId="0" xfId="0" applyNumberFormat="1" applyFont="1"/>
    <xf numFmtId="167" fontId="122" fillId="0" borderId="0" xfId="1" applyNumberFormat="1" applyFont="1" applyFill="1" applyAlignment="1"/>
    <xf numFmtId="167" fontId="122" fillId="0" borderId="0" xfId="0" applyNumberFormat="1" applyFont="1"/>
    <xf numFmtId="168" fontId="122" fillId="0" borderId="0" xfId="0" applyNumberFormat="1" applyFont="1"/>
    <xf numFmtId="167" fontId="102" fillId="0" borderId="0" xfId="1" applyNumberFormat="1" applyFont="1" applyFill="1"/>
    <xf numFmtId="168" fontId="102" fillId="0" borderId="0" xfId="1" applyNumberFormat="1" applyFont="1" applyFill="1"/>
    <xf numFmtId="167" fontId="102" fillId="0" borderId="0" xfId="0" applyNumberFormat="1" applyFont="1"/>
    <xf numFmtId="175" fontId="102" fillId="0" borderId="0" xfId="0" applyNumberFormat="1" applyFont="1"/>
    <xf numFmtId="167" fontId="102" fillId="0" borderId="0" xfId="1" applyNumberFormat="1" applyFont="1" applyFill="1" applyBorder="1"/>
    <xf numFmtId="164" fontId="102" fillId="0" borderId="0" xfId="1" applyFont="1" applyFill="1" applyBorder="1"/>
    <xf numFmtId="164" fontId="155" fillId="0" borderId="0" xfId="0" applyNumberFormat="1" applyFont="1"/>
    <xf numFmtId="168" fontId="155" fillId="0" borderId="0" xfId="1" applyNumberFormat="1" applyFont="1" applyFill="1"/>
    <xf numFmtId="164" fontId="155" fillId="0" borderId="0" xfId="1" applyFont="1" applyFill="1"/>
    <xf numFmtId="164" fontId="98" fillId="0" borderId="8" xfId="1" applyFont="1" applyFill="1" applyBorder="1"/>
    <xf numFmtId="167" fontId="98" fillId="0" borderId="8" xfId="1" applyNumberFormat="1" applyFont="1" applyFill="1" applyBorder="1"/>
    <xf numFmtId="164" fontId="98" fillId="0" borderId="8" xfId="1" applyFont="1" applyFill="1" applyBorder="1" applyAlignment="1">
      <alignment horizontal="center" vertical="center"/>
    </xf>
    <xf numFmtId="167" fontId="149" fillId="0" borderId="58" xfId="1" applyNumberFormat="1" applyFont="1" applyFill="1" applyBorder="1"/>
    <xf numFmtId="167" fontId="149" fillId="0" borderId="1" xfId="1" applyNumberFormat="1" applyFont="1" applyFill="1" applyBorder="1"/>
    <xf numFmtId="167" fontId="150" fillId="0" borderId="1" xfId="1" applyNumberFormat="1" applyFont="1" applyFill="1" applyBorder="1"/>
    <xf numFmtId="168" fontId="149" fillId="0" borderId="1" xfId="1" applyNumberFormat="1" applyFont="1" applyFill="1" applyBorder="1"/>
    <xf numFmtId="164" fontId="115" fillId="0" borderId="0" xfId="0" applyNumberFormat="1" applyFont="1" applyAlignment="1">
      <alignment vertical="center"/>
    </xf>
    <xf numFmtId="0" fontId="4" fillId="0" borderId="14" xfId="11" applyFont="1" applyBorder="1" applyAlignment="1">
      <alignment horizontal="left" vertical="center"/>
    </xf>
    <xf numFmtId="3" fontId="50" fillId="0" borderId="0" xfId="0" applyNumberFormat="1" applyFont="1" applyAlignment="1">
      <alignment horizontal="center"/>
    </xf>
    <xf numFmtId="3" fontId="46" fillId="0" borderId="0" xfId="0" applyNumberFormat="1" applyFont="1" applyAlignment="1">
      <alignment horizontal="center"/>
    </xf>
    <xf numFmtId="3" fontId="53" fillId="0" borderId="0" xfId="0" applyNumberFormat="1" applyFont="1" applyAlignment="1">
      <alignment horizontal="center" vertical="center"/>
    </xf>
    <xf numFmtId="0" fontId="55" fillId="0" borderId="0" xfId="0" applyFont="1" applyAlignment="1">
      <alignment horizontal="center"/>
    </xf>
    <xf numFmtId="0" fontId="60" fillId="0" borderId="67" xfId="0" applyFont="1" applyBorder="1" applyAlignment="1">
      <alignment horizontal="center" vertical="center" wrapText="1"/>
    </xf>
    <xf numFmtId="0" fontId="60" fillId="0" borderId="52" xfId="0" applyFont="1" applyBorder="1" applyAlignment="1">
      <alignment horizontal="center" vertical="center" wrapText="1"/>
    </xf>
    <xf numFmtId="3" fontId="61" fillId="0" borderId="68" xfId="0" applyNumberFormat="1" applyFont="1" applyBorder="1" applyAlignment="1">
      <alignment horizontal="center"/>
    </xf>
    <xf numFmtId="3" fontId="61" fillId="0" borderId="33" xfId="0" applyNumberFormat="1" applyFont="1" applyBorder="1" applyAlignment="1">
      <alignment horizontal="center"/>
    </xf>
    <xf numFmtId="0" fontId="6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3" fontId="56" fillId="0" borderId="0" xfId="0" applyNumberFormat="1" applyFont="1" applyAlignment="1">
      <alignment horizontal="center"/>
    </xf>
    <xf numFmtId="3" fontId="50" fillId="0" borderId="0" xfId="0" applyNumberFormat="1" applyFont="1" applyAlignment="1">
      <alignment horizontal="center" vertical="center"/>
    </xf>
    <xf numFmtId="0" fontId="57" fillId="0" borderId="0" xfId="0" applyFont="1" applyAlignment="1">
      <alignment horizontal="center"/>
    </xf>
    <xf numFmtId="0" fontId="46" fillId="0" borderId="0" xfId="0" applyFont="1" applyAlignment="1">
      <alignment horizontal="center"/>
    </xf>
    <xf numFmtId="0" fontId="50" fillId="0" borderId="0" xfId="0" applyFont="1" applyAlignment="1">
      <alignment horizontal="center" vertical="top"/>
    </xf>
    <xf numFmtId="0" fontId="46" fillId="0" borderId="0" xfId="0" applyFont="1" applyAlignment="1">
      <alignment horizontal="center" vertical="center" wrapText="1"/>
    </xf>
    <xf numFmtId="0" fontId="64" fillId="0" borderId="0" xfId="0" quotePrefix="1" applyFont="1" applyAlignment="1">
      <alignment horizontal="center"/>
    </xf>
    <xf numFmtId="0" fontId="64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0" fontId="21" fillId="0" borderId="2" xfId="0" applyFont="1" applyBorder="1" applyAlignment="1" applyProtection="1">
      <alignment horizontal="center" wrapText="1"/>
      <protection locked="0"/>
    </xf>
    <xf numFmtId="0" fontId="21" fillId="0" borderId="3" xfId="0" applyFont="1" applyBorder="1" applyAlignment="1" applyProtection="1">
      <alignment horizontal="center" wrapText="1"/>
      <protection locked="0"/>
    </xf>
    <xf numFmtId="0" fontId="21" fillId="0" borderId="32" xfId="0" applyFont="1" applyBorder="1" applyAlignment="1" applyProtection="1">
      <alignment horizontal="center" wrapText="1"/>
      <protection locked="0"/>
    </xf>
    <xf numFmtId="0" fontId="21" fillId="0" borderId="49" xfId="0" applyFont="1" applyBorder="1" applyAlignment="1" applyProtection="1">
      <alignment horizontal="center" wrapText="1"/>
      <protection locked="0"/>
    </xf>
    <xf numFmtId="0" fontId="8" fillId="0" borderId="11" xfId="0" applyFont="1" applyBorder="1" applyAlignment="1" applyProtection="1">
      <alignment horizontal="center" vertical="center" wrapText="1"/>
      <protection locked="0"/>
    </xf>
    <xf numFmtId="0" fontId="8" fillId="0" borderId="66" xfId="0" applyFont="1" applyBorder="1" applyAlignment="1" applyProtection="1">
      <alignment horizontal="center" vertical="center" wrapText="1"/>
      <protection locked="0"/>
    </xf>
    <xf numFmtId="3" fontId="6" fillId="0" borderId="0" xfId="0" applyNumberFormat="1" applyFont="1" applyAlignment="1">
      <alignment horizontal="center" vertical="center"/>
    </xf>
    <xf numFmtId="3" fontId="17" fillId="0" borderId="0" xfId="0" applyNumberFormat="1" applyFont="1" applyAlignment="1">
      <alignment horizontal="center"/>
    </xf>
    <xf numFmtId="0" fontId="0" fillId="0" borderId="4" xfId="0" applyBorder="1" applyAlignment="1">
      <alignment horizontal="center"/>
    </xf>
    <xf numFmtId="14" fontId="20" fillId="0" borderId="11" xfId="0" applyNumberFormat="1" applyFont="1" applyBorder="1" applyAlignment="1" applyProtection="1">
      <alignment horizontal="center" vertical="center" wrapText="1"/>
      <protection locked="0"/>
    </xf>
    <xf numFmtId="14" fontId="20" fillId="0" borderId="20" xfId="0" applyNumberFormat="1" applyFont="1" applyBorder="1" applyAlignment="1" applyProtection="1">
      <alignment horizontal="center" vertical="center" wrapText="1"/>
      <protection locked="0"/>
    </xf>
    <xf numFmtId="0" fontId="20" fillId="0" borderId="11" xfId="0" applyFont="1" applyBorder="1" applyAlignment="1" applyProtection="1">
      <alignment horizontal="center" vertical="center" wrapText="1"/>
      <protection locked="0"/>
    </xf>
    <xf numFmtId="0" fontId="20" fillId="0" borderId="20" xfId="0" applyFont="1" applyBorder="1" applyAlignment="1" applyProtection="1">
      <alignment horizontal="center" vertical="center" wrapText="1"/>
      <protection locked="0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8" fontId="5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20" fillId="5" borderId="0" xfId="0" applyFont="1" applyFill="1" applyAlignment="1">
      <alignment horizontal="center"/>
    </xf>
    <xf numFmtId="168" fontId="20" fillId="5" borderId="0" xfId="1" applyNumberFormat="1" applyFont="1" applyFill="1" applyAlignment="1">
      <alignment horizontal="center"/>
    </xf>
    <xf numFmtId="0" fontId="8" fillId="0" borderId="0" xfId="0" applyFont="1" applyAlignment="1">
      <alignment horizontal="center"/>
    </xf>
    <xf numFmtId="0" fontId="5" fillId="5" borderId="0" xfId="0" applyFont="1" applyFill="1" applyAlignment="1">
      <alignment horizontal="center"/>
    </xf>
    <xf numFmtId="0" fontId="19" fillId="0" borderId="23" xfId="0" applyFont="1" applyBorder="1" applyAlignment="1">
      <alignment horizontal="center"/>
    </xf>
    <xf numFmtId="0" fontId="20" fillId="0" borderId="21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/>
    </xf>
    <xf numFmtId="0" fontId="19" fillId="0" borderId="26" xfId="0" applyFont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20" fillId="0" borderId="4" xfId="0" applyFont="1" applyBorder="1" applyAlignment="1">
      <alignment horizontal="center" vertical="center" wrapText="1"/>
    </xf>
    <xf numFmtId="0" fontId="5" fillId="5" borderId="24" xfId="0" applyFont="1" applyFill="1" applyBorder="1" applyAlignment="1">
      <alignment horizontal="center"/>
    </xf>
    <xf numFmtId="0" fontId="8" fillId="5" borderId="21" xfId="0" applyFont="1" applyFill="1" applyBorder="1" applyAlignment="1">
      <alignment horizontal="center"/>
    </xf>
    <xf numFmtId="0" fontId="8" fillId="5" borderId="26" xfId="0" applyFont="1" applyFill="1" applyBorder="1" applyAlignment="1">
      <alignment horizontal="center"/>
    </xf>
    <xf numFmtId="0" fontId="8" fillId="5" borderId="27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0" fillId="0" borderId="26" xfId="0" applyFont="1" applyBorder="1" applyAlignment="1">
      <alignment horizontal="center"/>
    </xf>
    <xf numFmtId="0" fontId="20" fillId="0" borderId="27" xfId="0" applyFont="1" applyBorder="1" applyAlignment="1">
      <alignment horizontal="center"/>
    </xf>
    <xf numFmtId="49" fontId="5" fillId="0" borderId="11" xfId="0" applyNumberFormat="1" applyFont="1" applyBorder="1" applyAlignment="1">
      <alignment horizontal="center" vertical="center"/>
    </xf>
    <xf numFmtId="49" fontId="5" fillId="0" borderId="20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167" fontId="5" fillId="5" borderId="0" xfId="1" applyNumberFormat="1" applyFont="1" applyFill="1" applyBorder="1" applyAlignment="1">
      <alignment horizontal="center" vertical="center" wrapText="1"/>
    </xf>
    <xf numFmtId="168" fontId="100" fillId="6" borderId="0" xfId="1" applyNumberFormat="1" applyFont="1" applyFill="1" applyAlignment="1">
      <alignment horizontal="center"/>
    </xf>
    <xf numFmtId="0" fontId="20" fillId="0" borderId="11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 wrapText="1"/>
    </xf>
    <xf numFmtId="0" fontId="20" fillId="6" borderId="20" xfId="0" applyFont="1" applyFill="1" applyBorder="1" applyAlignment="1">
      <alignment horizontal="center" vertical="center" wrapText="1"/>
    </xf>
    <xf numFmtId="0" fontId="20" fillId="9" borderId="21" xfId="0" applyFont="1" applyFill="1" applyBorder="1" applyAlignment="1">
      <alignment horizontal="center"/>
    </xf>
    <xf numFmtId="0" fontId="20" fillId="9" borderId="26" xfId="0" applyFont="1" applyFill="1" applyBorder="1" applyAlignment="1">
      <alignment horizontal="center"/>
    </xf>
    <xf numFmtId="0" fontId="20" fillId="9" borderId="27" xfId="0" applyFont="1" applyFill="1" applyBorder="1" applyAlignment="1">
      <alignment horizontal="center"/>
    </xf>
    <xf numFmtId="0" fontId="20" fillId="3" borderId="21" xfId="0" applyFont="1" applyFill="1" applyBorder="1" applyAlignment="1">
      <alignment horizontal="center"/>
    </xf>
    <xf numFmtId="0" fontId="20" fillId="3" borderId="26" xfId="0" applyFont="1" applyFill="1" applyBorder="1" applyAlignment="1">
      <alignment horizontal="center"/>
    </xf>
    <xf numFmtId="0" fontId="20" fillId="3" borderId="27" xfId="0" applyFont="1" applyFill="1" applyBorder="1" applyAlignment="1">
      <alignment horizontal="center"/>
    </xf>
    <xf numFmtId="0" fontId="20" fillId="0" borderId="3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49" fontId="20" fillId="0" borderId="11" xfId="0" applyNumberFormat="1" applyFont="1" applyBorder="1" applyAlignment="1">
      <alignment horizontal="center" vertical="center" wrapText="1"/>
    </xf>
    <xf numFmtId="49" fontId="20" fillId="0" borderId="20" xfId="0" applyNumberFormat="1" applyFont="1" applyBorder="1" applyAlignment="1">
      <alignment horizontal="center" vertical="center" wrapText="1"/>
    </xf>
    <xf numFmtId="49" fontId="5" fillId="0" borderId="24" xfId="0" applyNumberFormat="1" applyFont="1" applyBorder="1" applyAlignment="1">
      <alignment horizontal="center" vertical="center" wrapText="1"/>
    </xf>
    <xf numFmtId="168" fontId="5" fillId="0" borderId="0" xfId="1" applyNumberFormat="1" applyFont="1" applyBorder="1" applyAlignment="1">
      <alignment horizontal="center" vertical="center" wrapText="1"/>
    </xf>
    <xf numFmtId="168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8" fontId="5" fillId="0" borderId="4" xfId="0" applyNumberFormat="1" applyFont="1" applyBorder="1" applyAlignment="1">
      <alignment horizontal="center"/>
    </xf>
    <xf numFmtId="49" fontId="5" fillId="5" borderId="0" xfId="0" applyNumberFormat="1" applyFont="1" applyFill="1" applyAlignment="1">
      <alignment horizontal="center" vertical="center" wrapText="1"/>
    </xf>
    <xf numFmtId="49" fontId="19" fillId="5" borderId="0" xfId="0" applyNumberFormat="1" applyFont="1" applyFill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64" fontId="5" fillId="0" borderId="0" xfId="1" applyFont="1" applyAlignment="1">
      <alignment horizontal="center"/>
    </xf>
    <xf numFmtId="3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4" fillId="0" borderId="0" xfId="0" applyFont="1" applyAlignment="1">
      <alignment horizontal="left" vertical="center"/>
    </xf>
    <xf numFmtId="0" fontId="34" fillId="0" borderId="0" xfId="0" applyFont="1" applyAlignment="1">
      <alignment horizontal="left" vertical="center" wrapText="1"/>
    </xf>
    <xf numFmtId="0" fontId="34" fillId="0" borderId="0" xfId="0" applyFont="1" applyAlignment="1">
      <alignment horizontal="center" vertical="top"/>
    </xf>
    <xf numFmtId="0" fontId="38" fillId="0" borderId="0" xfId="0" quotePrefix="1" applyFont="1" applyAlignment="1">
      <alignment horizontal="center"/>
    </xf>
    <xf numFmtId="0" fontId="38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 vertical="top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left"/>
    </xf>
    <xf numFmtId="3" fontId="7" fillId="0" borderId="0" xfId="0" applyNumberFormat="1" applyFont="1" applyAlignment="1">
      <alignment horizontal="center"/>
    </xf>
    <xf numFmtId="0" fontId="119" fillId="0" borderId="0" xfId="0" applyFont="1" applyAlignment="1" applyProtection="1">
      <alignment horizontal="center" vertical="center"/>
      <protection locked="0"/>
    </xf>
    <xf numFmtId="0" fontId="150" fillId="0" borderId="4" xfId="0" applyFont="1" applyBorder="1" applyAlignment="1">
      <alignment horizontal="center" vertical="center" wrapText="1"/>
    </xf>
    <xf numFmtId="0" fontId="132" fillId="0" borderId="0" xfId="15" applyFont="1" applyAlignment="1" applyProtection="1">
      <alignment horizontal="center"/>
      <protection locked="0"/>
    </xf>
    <xf numFmtId="0" fontId="132" fillId="0" borderId="0" xfId="0" applyFont="1" applyAlignment="1" applyProtection="1">
      <alignment horizontal="center" vertical="center"/>
      <protection locked="0"/>
    </xf>
    <xf numFmtId="164" fontId="104" fillId="0" borderId="0" xfId="0" applyNumberFormat="1" applyFont="1" applyAlignment="1">
      <alignment horizontal="center"/>
    </xf>
    <xf numFmtId="167" fontId="150" fillId="0" borderId="54" xfId="1" applyNumberFormat="1" applyFont="1" applyFill="1" applyBorder="1" applyAlignment="1" applyProtection="1">
      <alignment horizontal="center" vertical="center" wrapText="1"/>
      <protection locked="0"/>
    </xf>
    <xf numFmtId="167" fontId="150" fillId="0" borderId="69" xfId="1" applyNumberFormat="1" applyFont="1" applyFill="1" applyBorder="1" applyAlignment="1" applyProtection="1">
      <alignment horizontal="center" vertical="center" wrapText="1"/>
      <protection locked="0"/>
    </xf>
    <xf numFmtId="0" fontId="152" fillId="0" borderId="0" xfId="0" applyFont="1" applyAlignment="1" applyProtection="1">
      <alignment horizontal="center"/>
      <protection locked="0"/>
    </xf>
    <xf numFmtId="0" fontId="134" fillId="0" borderId="0" xfId="15" applyFont="1" applyAlignment="1" applyProtection="1">
      <alignment horizontal="center"/>
      <protection locked="0"/>
    </xf>
    <xf numFmtId="0" fontId="156" fillId="0" borderId="60" xfId="0" applyFont="1" applyBorder="1" applyAlignment="1">
      <alignment horizontal="center" vertical="center"/>
    </xf>
    <xf numFmtId="0" fontId="150" fillId="0" borderId="4" xfId="0" applyFont="1" applyBorder="1" applyAlignment="1">
      <alignment horizontal="center" vertical="center"/>
    </xf>
    <xf numFmtId="0" fontId="150" fillId="0" borderId="37" xfId="15" applyFont="1" applyBorder="1" applyAlignment="1" applyProtection="1">
      <alignment horizontal="center" vertical="center" wrapText="1"/>
      <protection locked="0"/>
    </xf>
    <xf numFmtId="0" fontId="150" fillId="0" borderId="35" xfId="15" applyFont="1" applyBorder="1" applyAlignment="1" applyProtection="1">
      <alignment horizontal="center" vertical="center" wrapText="1"/>
      <protection locked="0"/>
    </xf>
    <xf numFmtId="0" fontId="150" fillId="0" borderId="20" xfId="15" applyFont="1" applyBorder="1" applyAlignment="1" applyProtection="1">
      <alignment horizontal="center" vertical="center" wrapText="1"/>
      <protection locked="0"/>
    </xf>
    <xf numFmtId="0" fontId="150" fillId="0" borderId="70" xfId="15" applyFont="1" applyBorder="1" applyAlignment="1" applyProtection="1">
      <alignment horizontal="center" vertical="center" wrapText="1"/>
      <protection locked="0"/>
    </xf>
    <xf numFmtId="0" fontId="150" fillId="0" borderId="71" xfId="15" applyFont="1" applyBorder="1" applyAlignment="1" applyProtection="1">
      <alignment horizontal="center" vertical="center" wrapText="1"/>
      <protection locked="0"/>
    </xf>
    <xf numFmtId="0" fontId="150" fillId="0" borderId="45" xfId="15" applyFont="1" applyBorder="1" applyAlignment="1" applyProtection="1">
      <alignment horizontal="center" vertical="center"/>
      <protection locked="0"/>
    </xf>
    <xf numFmtId="0" fontId="150" fillId="0" borderId="21" xfId="0" applyFont="1" applyBorder="1" applyAlignment="1">
      <alignment horizontal="center" vertical="center" wrapText="1"/>
    </xf>
    <xf numFmtId="0" fontId="150" fillId="0" borderId="27" xfId="0" applyFont="1" applyBorder="1" applyAlignment="1">
      <alignment horizontal="center" vertical="center" wrapText="1"/>
    </xf>
    <xf numFmtId="0" fontId="150" fillId="0" borderId="72" xfId="15" applyFont="1" applyBorder="1" applyAlignment="1" applyProtection="1">
      <alignment horizontal="center" vertical="center" wrapText="1"/>
      <protection locked="0"/>
    </xf>
    <xf numFmtId="0" fontId="150" fillId="0" borderId="44" xfId="15" applyFont="1" applyBorder="1" applyAlignment="1" applyProtection="1">
      <alignment horizontal="center" vertical="center" wrapText="1"/>
      <protection locked="0"/>
    </xf>
    <xf numFmtId="164" fontId="102" fillId="0" borderId="0" xfId="0" applyNumberFormat="1" applyFont="1" applyAlignment="1">
      <alignment horizontal="center"/>
    </xf>
    <xf numFmtId="0" fontId="102" fillId="0" borderId="0" xfId="0" applyFont="1" applyAlignment="1">
      <alignment horizontal="center"/>
    </xf>
    <xf numFmtId="0" fontId="122" fillId="0" borderId="0" xfId="0" applyFont="1" applyAlignment="1">
      <alignment horizontal="center"/>
    </xf>
    <xf numFmtId="0" fontId="125" fillId="0" borderId="0" xfId="0" applyFont="1" applyAlignment="1">
      <alignment horizontal="center"/>
    </xf>
    <xf numFmtId="164" fontId="122" fillId="0" borderId="0" xfId="0" applyNumberFormat="1" applyFont="1" applyAlignment="1">
      <alignment horizontal="center"/>
    </xf>
    <xf numFmtId="0" fontId="150" fillId="0" borderId="16" xfId="0" applyFont="1" applyBorder="1" applyAlignment="1" applyProtection="1">
      <alignment horizontal="center" vertical="center"/>
      <protection locked="0"/>
    </xf>
    <xf numFmtId="0" fontId="150" fillId="0" borderId="17" xfId="0" applyFont="1" applyBorder="1" applyAlignment="1" applyProtection="1">
      <alignment horizontal="center" vertical="center"/>
      <protection locked="0"/>
    </xf>
    <xf numFmtId="174" fontId="150" fillId="0" borderId="63" xfId="1" applyNumberFormat="1" applyFont="1" applyFill="1" applyBorder="1" applyAlignment="1" applyProtection="1">
      <alignment horizontal="center" vertical="center" wrapText="1"/>
      <protection locked="0"/>
    </xf>
    <xf numFmtId="174" fontId="150" fillId="0" borderId="64" xfId="1" applyNumberFormat="1" applyFont="1" applyFill="1" applyBorder="1" applyAlignment="1" applyProtection="1">
      <alignment horizontal="center" vertical="center" wrapText="1"/>
      <protection locked="0"/>
    </xf>
    <xf numFmtId="0" fontId="150" fillId="0" borderId="73" xfId="15" applyFont="1" applyBorder="1" applyAlignment="1" applyProtection="1">
      <alignment horizontal="center" vertical="center" wrapText="1"/>
      <protection locked="0"/>
    </xf>
    <xf numFmtId="0" fontId="150" fillId="0" borderId="74" xfId="15" applyFont="1" applyBorder="1" applyAlignment="1" applyProtection="1">
      <alignment horizontal="center" vertical="center" wrapText="1"/>
      <protection locked="0"/>
    </xf>
    <xf numFmtId="0" fontId="150" fillId="0" borderId="43" xfId="15" applyFont="1" applyBorder="1" applyAlignment="1" applyProtection="1">
      <alignment horizontal="center" vertical="center"/>
      <protection locked="0"/>
    </xf>
    <xf numFmtId="173" fontId="150" fillId="0" borderId="54" xfId="1" applyNumberFormat="1" applyFont="1" applyFill="1" applyBorder="1" applyAlignment="1" applyProtection="1">
      <alignment horizontal="center" vertical="center" wrapText="1"/>
      <protection locked="0"/>
    </xf>
    <xf numFmtId="173" fontId="150" fillId="0" borderId="69" xfId="1" applyNumberFormat="1" applyFont="1" applyFill="1" applyBorder="1" applyAlignment="1" applyProtection="1">
      <alignment horizontal="center" vertical="center" wrapText="1"/>
      <protection locked="0"/>
    </xf>
    <xf numFmtId="0" fontId="150" fillId="0" borderId="75" xfId="15" applyFont="1" applyBorder="1" applyAlignment="1" applyProtection="1">
      <alignment horizontal="center" vertical="center" wrapText="1"/>
      <protection locked="0"/>
    </xf>
    <xf numFmtId="0" fontId="150" fillId="0" borderId="64" xfId="15" applyFont="1" applyBorder="1" applyAlignment="1" applyProtection="1">
      <alignment horizontal="center" vertical="center" wrapText="1"/>
      <protection locked="0"/>
    </xf>
    <xf numFmtId="0" fontId="150" fillId="0" borderId="57" xfId="15" applyFont="1" applyBorder="1" applyAlignment="1" applyProtection="1">
      <alignment horizontal="center" vertical="center"/>
      <protection locked="0"/>
    </xf>
    <xf numFmtId="0" fontId="150" fillId="0" borderId="8" xfId="15" applyFont="1" applyBorder="1" applyAlignment="1" applyProtection="1">
      <alignment horizontal="center" vertical="center"/>
      <protection locked="0"/>
    </xf>
    <xf numFmtId="0" fontId="103" fillId="0" borderId="76" xfId="0" applyFont="1" applyBorder="1" applyAlignment="1">
      <alignment horizontal="center"/>
    </xf>
    <xf numFmtId="0" fontId="103" fillId="0" borderId="58" xfId="0" applyFont="1" applyBorder="1" applyAlignment="1">
      <alignment horizontal="center"/>
    </xf>
    <xf numFmtId="0" fontId="103" fillId="0" borderId="0" xfId="0" applyFont="1" applyAlignment="1" applyProtection="1">
      <alignment horizontal="center"/>
      <protection locked="0"/>
    </xf>
    <xf numFmtId="0" fontId="161" fillId="0" borderId="0" xfId="0" applyFont="1" applyAlignment="1" applyProtection="1">
      <alignment horizontal="center" vertical="center"/>
      <protection locked="0"/>
    </xf>
    <xf numFmtId="0" fontId="102" fillId="0" borderId="0" xfId="15" applyFont="1" applyAlignment="1" applyProtection="1">
      <alignment horizontal="center" vertical="center"/>
      <protection locked="0"/>
    </xf>
    <xf numFmtId="0" fontId="156" fillId="0" borderId="60" xfId="0" applyFont="1" applyBorder="1" applyAlignment="1">
      <alignment horizontal="center" vertical="center" wrapText="1"/>
    </xf>
    <xf numFmtId="0" fontId="156" fillId="0" borderId="4" xfId="0" applyFont="1" applyBorder="1" applyAlignment="1">
      <alignment horizontal="center" vertical="center" wrapText="1"/>
    </xf>
    <xf numFmtId="0" fontId="156" fillId="0" borderId="37" xfId="0" applyFont="1" applyBorder="1" applyAlignment="1">
      <alignment horizontal="center" vertical="center" wrapText="1"/>
    </xf>
    <xf numFmtId="0" fontId="156" fillId="0" borderId="20" xfId="0" applyFont="1" applyBorder="1" applyAlignment="1">
      <alignment horizontal="center" vertical="center" wrapText="1"/>
    </xf>
    <xf numFmtId="0" fontId="136" fillId="0" borderId="0" xfId="0" applyFont="1" applyAlignment="1" applyProtection="1">
      <alignment horizontal="center"/>
      <protection locked="0"/>
    </xf>
    <xf numFmtId="0" fontId="136" fillId="0" borderId="0" xfId="0" applyFont="1" applyAlignment="1" applyProtection="1">
      <alignment horizontal="center" vertical="center"/>
      <protection locked="0"/>
    </xf>
    <xf numFmtId="0" fontId="134" fillId="0" borderId="0" xfId="0" applyFont="1" applyAlignment="1" applyProtection="1">
      <alignment horizontal="center"/>
      <protection locked="0"/>
    </xf>
    <xf numFmtId="0" fontId="151" fillId="0" borderId="0" xfId="0" applyFont="1" applyAlignment="1" applyProtection="1">
      <alignment horizontal="center" vertical="center"/>
      <protection locked="0"/>
    </xf>
    <xf numFmtId="0" fontId="152" fillId="0" borderId="0" xfId="0" applyFont="1" applyAlignment="1" applyProtection="1">
      <alignment horizontal="center" vertical="top"/>
      <protection locked="0"/>
    </xf>
    <xf numFmtId="0" fontId="0" fillId="0" borderId="0" xfId="0"/>
    <xf numFmtId="0" fontId="122" fillId="0" borderId="70" xfId="15" applyFont="1" applyBorder="1" applyAlignment="1" applyProtection="1">
      <alignment horizontal="center" vertical="center" wrapText="1"/>
      <protection locked="0"/>
    </xf>
    <xf numFmtId="0" fontId="122" fillId="0" borderId="71" xfId="15" applyFont="1" applyBorder="1" applyAlignment="1" applyProtection="1">
      <alignment horizontal="center" vertical="center" wrapText="1"/>
      <protection locked="0"/>
    </xf>
    <xf numFmtId="0" fontId="122" fillId="0" borderId="45" xfId="15" applyFont="1" applyBorder="1" applyAlignment="1" applyProtection="1">
      <alignment horizontal="center" vertical="center"/>
      <protection locked="0"/>
    </xf>
    <xf numFmtId="0" fontId="134" fillId="0" borderId="0" xfId="0" applyFont="1" applyAlignment="1">
      <alignment horizontal="center"/>
    </xf>
    <xf numFmtId="0" fontId="122" fillId="0" borderId="4" xfId="0" applyFont="1" applyBorder="1" applyAlignment="1">
      <alignment horizontal="center" vertical="center" wrapText="1"/>
    </xf>
    <xf numFmtId="0" fontId="103" fillId="0" borderId="16" xfId="0" applyFont="1" applyBorder="1" applyAlignment="1" applyProtection="1">
      <alignment horizontal="center" vertical="center"/>
      <protection locked="0"/>
    </xf>
    <xf numFmtId="0" fontId="103" fillId="0" borderId="17" xfId="0" applyFont="1" applyBorder="1" applyAlignment="1" applyProtection="1">
      <alignment horizontal="center" vertical="center"/>
      <protection locked="0"/>
    </xf>
    <xf numFmtId="0" fontId="125" fillId="0" borderId="21" xfId="15" applyFont="1" applyBorder="1" applyAlignment="1" applyProtection="1">
      <alignment horizontal="center" vertical="center" wrapText="1"/>
      <protection locked="0"/>
    </xf>
    <xf numFmtId="0" fontId="125" fillId="0" borderId="27" xfId="15" applyFont="1" applyBorder="1" applyAlignment="1" applyProtection="1">
      <alignment horizontal="center" vertical="center" wrapText="1"/>
      <protection locked="0"/>
    </xf>
    <xf numFmtId="0" fontId="134" fillId="0" borderId="57" xfId="15" applyFont="1" applyBorder="1" applyAlignment="1" applyProtection="1">
      <alignment horizontal="center" vertical="center"/>
      <protection locked="0"/>
    </xf>
    <xf numFmtId="0" fontId="134" fillId="0" borderId="8" xfId="15" applyFont="1" applyBorder="1" applyAlignment="1" applyProtection="1">
      <alignment horizontal="center" vertical="center"/>
      <protection locked="0"/>
    </xf>
    <xf numFmtId="0" fontId="122" fillId="0" borderId="21" xfId="0" applyFont="1" applyBorder="1" applyAlignment="1">
      <alignment horizontal="center" vertical="center" wrapText="1"/>
    </xf>
    <xf numFmtId="0" fontId="122" fillId="0" borderId="27" xfId="0" applyFont="1" applyBorder="1" applyAlignment="1">
      <alignment horizontal="center" vertical="center" wrapText="1"/>
    </xf>
    <xf numFmtId="0" fontId="125" fillId="0" borderId="60" xfId="0" applyFont="1" applyBorder="1" applyAlignment="1">
      <alignment horizontal="center" vertical="center"/>
    </xf>
    <xf numFmtId="0" fontId="136" fillId="0" borderId="0" xfId="0" applyFont="1" applyAlignment="1">
      <alignment horizontal="center" vertical="center"/>
    </xf>
    <xf numFmtId="169" fontId="132" fillId="0" borderId="0" xfId="0" applyNumberFormat="1" applyFont="1" applyAlignment="1">
      <alignment horizontal="center" vertical="center"/>
    </xf>
    <xf numFmtId="0" fontId="125" fillId="0" borderId="60" xfId="0" applyFont="1" applyBorder="1" applyAlignment="1">
      <alignment horizontal="center" vertical="center" wrapText="1"/>
    </xf>
    <xf numFmtId="0" fontId="125" fillId="0" borderId="4" xfId="0" applyFont="1" applyBorder="1" applyAlignment="1">
      <alignment horizontal="center" vertical="center" wrapText="1"/>
    </xf>
    <xf numFmtId="0" fontId="122" fillId="0" borderId="0" xfId="0" applyFont="1" applyAlignment="1">
      <alignment horizontal="center" vertical="center"/>
    </xf>
    <xf numFmtId="0" fontId="122" fillId="0" borderId="54" xfId="15" applyFont="1" applyBorder="1" applyAlignment="1" applyProtection="1">
      <alignment horizontal="center" vertical="center" wrapText="1"/>
      <protection locked="0"/>
    </xf>
    <xf numFmtId="0" fontId="122" fillId="0" borderId="69" xfId="15" applyFont="1" applyBorder="1" applyAlignment="1" applyProtection="1">
      <alignment horizontal="center" vertical="center" wrapText="1"/>
      <protection locked="0"/>
    </xf>
    <xf numFmtId="0" fontId="103" fillId="0" borderId="73" xfId="15" applyFont="1" applyBorder="1" applyAlignment="1" applyProtection="1">
      <alignment horizontal="center" vertical="center" wrapText="1"/>
      <protection locked="0"/>
    </xf>
    <xf numFmtId="0" fontId="103" fillId="0" borderId="74" xfId="15" applyFont="1" applyBorder="1" applyAlignment="1" applyProtection="1">
      <alignment horizontal="center" vertical="center" wrapText="1"/>
      <protection locked="0"/>
    </xf>
    <xf numFmtId="0" fontId="103" fillId="0" borderId="43" xfId="15" applyFont="1" applyBorder="1" applyAlignment="1" applyProtection="1">
      <alignment horizontal="center" vertical="center"/>
      <protection locked="0"/>
    </xf>
    <xf numFmtId="0" fontId="103" fillId="0" borderId="72" xfId="15" applyFont="1" applyBorder="1" applyAlignment="1" applyProtection="1">
      <alignment horizontal="center" vertical="center" wrapText="1"/>
      <protection locked="0"/>
    </xf>
    <xf numFmtId="0" fontId="103" fillId="0" borderId="35" xfId="15" applyFont="1" applyBorder="1" applyAlignment="1" applyProtection="1">
      <alignment horizontal="center" vertical="center" wrapText="1"/>
      <protection locked="0"/>
    </xf>
    <xf numFmtId="0" fontId="103" fillId="0" borderId="44" xfId="15" applyFont="1" applyBorder="1" applyAlignment="1" applyProtection="1">
      <alignment horizontal="center" vertical="center" wrapText="1"/>
      <protection locked="0"/>
    </xf>
    <xf numFmtId="0" fontId="122" fillId="0" borderId="37" xfId="15" applyFont="1" applyBorder="1" applyAlignment="1" applyProtection="1">
      <alignment horizontal="center" vertical="center" wrapText="1"/>
      <protection locked="0"/>
    </xf>
    <xf numFmtId="0" fontId="122" fillId="0" borderId="35" xfId="15" applyFont="1" applyBorder="1" applyAlignment="1" applyProtection="1">
      <alignment horizontal="center" vertical="center" wrapText="1"/>
      <protection locked="0"/>
    </xf>
    <xf numFmtId="0" fontId="122" fillId="0" borderId="20" xfId="15" applyFont="1" applyBorder="1" applyAlignment="1" applyProtection="1">
      <alignment horizontal="center" vertical="center" wrapText="1"/>
      <protection locked="0"/>
    </xf>
    <xf numFmtId="0" fontId="103" fillId="0" borderId="4" xfId="0" applyFont="1" applyBorder="1" applyAlignment="1">
      <alignment horizontal="center" vertical="center" wrapText="1"/>
    </xf>
    <xf numFmtId="0" fontId="122" fillId="0" borderId="76" xfId="0" applyFont="1" applyBorder="1" applyAlignment="1">
      <alignment horizontal="center"/>
    </xf>
    <xf numFmtId="0" fontId="122" fillId="0" borderId="58" xfId="0" applyFont="1" applyBorder="1" applyAlignment="1">
      <alignment horizontal="center"/>
    </xf>
    <xf numFmtId="169" fontId="106" fillId="0" borderId="0" xfId="0" applyNumberFormat="1" applyFont="1" applyAlignment="1">
      <alignment horizontal="center" vertical="center"/>
    </xf>
    <xf numFmtId="0" fontId="126" fillId="0" borderId="60" xfId="0" applyFont="1" applyBorder="1" applyAlignment="1">
      <alignment horizontal="center" vertical="center" wrapText="1"/>
    </xf>
    <xf numFmtId="0" fontId="126" fillId="0" borderId="4" xfId="0" applyFont="1" applyBorder="1" applyAlignment="1">
      <alignment horizontal="center" vertical="center" wrapText="1"/>
    </xf>
    <xf numFmtId="0" fontId="162" fillId="0" borderId="60" xfId="0" applyFont="1" applyBorder="1" applyAlignment="1">
      <alignment horizontal="center" vertical="center" wrapText="1"/>
    </xf>
    <xf numFmtId="0" fontId="162" fillId="0" borderId="4" xfId="0" applyFont="1" applyBorder="1" applyAlignment="1">
      <alignment horizontal="center" vertical="center" wrapText="1"/>
    </xf>
    <xf numFmtId="0" fontId="125" fillId="0" borderId="77" xfId="0" applyFont="1" applyBorder="1" applyAlignment="1">
      <alignment horizontal="center" vertical="center" wrapText="1"/>
    </xf>
    <xf numFmtId="0" fontId="125" fillId="0" borderId="52" xfId="0" applyFont="1" applyBorder="1" applyAlignment="1">
      <alignment horizontal="center" vertical="center" wrapText="1"/>
    </xf>
    <xf numFmtId="0" fontId="125" fillId="0" borderId="32" xfId="0" applyFont="1" applyBorder="1" applyAlignment="1">
      <alignment horizontal="center" vertical="center" wrapText="1"/>
    </xf>
    <xf numFmtId="0" fontId="125" fillId="0" borderId="49" xfId="0" applyFont="1" applyBorder="1" applyAlignment="1">
      <alignment horizontal="center" vertical="center" wrapText="1"/>
    </xf>
    <xf numFmtId="0" fontId="163" fillId="0" borderId="0" xfId="0" applyFont="1" applyAlignment="1" applyProtection="1">
      <alignment horizontal="center"/>
      <protection locked="0"/>
    </xf>
    <xf numFmtId="0" fontId="163" fillId="0" borderId="0" xfId="0" applyFont="1" applyAlignment="1" applyProtection="1">
      <alignment horizontal="center" vertical="center"/>
      <protection locked="0"/>
    </xf>
    <xf numFmtId="0" fontId="164" fillId="0" borderId="0" xfId="0" applyFont="1" applyAlignment="1" applyProtection="1">
      <alignment horizontal="center"/>
      <protection locked="0"/>
    </xf>
    <xf numFmtId="0" fontId="136" fillId="0" borderId="0" xfId="0" applyFont="1" applyAlignment="1">
      <alignment horizontal="center" vertical="top"/>
    </xf>
    <xf numFmtId="0" fontId="137" fillId="0" borderId="0" xfId="0" applyFont="1" applyAlignment="1" applyProtection="1">
      <alignment horizontal="center"/>
      <protection locked="0"/>
    </xf>
    <xf numFmtId="0" fontId="103" fillId="0" borderId="67" xfId="0" applyFont="1" applyBorder="1" applyAlignment="1" applyProtection="1">
      <alignment horizontal="center" vertical="center" wrapText="1"/>
      <protection locked="0"/>
    </xf>
    <xf numFmtId="0" fontId="103" fillId="0" borderId="78" xfId="0" applyFont="1" applyBorder="1" applyAlignment="1" applyProtection="1">
      <alignment horizontal="center" vertical="center" wrapText="1"/>
      <protection locked="0"/>
    </xf>
    <xf numFmtId="167" fontId="119" fillId="0" borderId="37" xfId="1" applyNumberFormat="1" applyFont="1" applyFill="1" applyBorder="1" applyAlignment="1" applyProtection="1">
      <alignment horizontal="center" vertical="center" wrapText="1"/>
      <protection locked="0"/>
    </xf>
    <xf numFmtId="167" fontId="119" fillId="0" borderId="20" xfId="1" applyNumberFormat="1" applyFont="1" applyFill="1" applyBorder="1" applyAlignment="1" applyProtection="1">
      <alignment horizontal="center" vertical="center" wrapText="1"/>
      <protection locked="0"/>
    </xf>
    <xf numFmtId="0" fontId="103" fillId="0" borderId="79" xfId="0" applyFont="1" applyBorder="1" applyAlignment="1" applyProtection="1">
      <alignment horizontal="center" vertical="center" wrapText="1"/>
      <protection locked="0"/>
    </xf>
    <xf numFmtId="167" fontId="103" fillId="0" borderId="24" xfId="0" applyNumberFormat="1" applyFont="1" applyBorder="1" applyAlignment="1" applyProtection="1">
      <alignment horizontal="center" vertical="center" wrapText="1"/>
      <protection locked="0"/>
    </xf>
    <xf numFmtId="0" fontId="103" fillId="0" borderId="77" xfId="0" applyFont="1" applyBorder="1" applyAlignment="1" applyProtection="1">
      <alignment horizontal="center" vertical="center" wrapText="1"/>
      <protection locked="0"/>
    </xf>
    <xf numFmtId="0" fontId="103" fillId="0" borderId="52" xfId="0" applyFont="1" applyBorder="1" applyAlignment="1" applyProtection="1">
      <alignment horizontal="center" vertical="center" wrapText="1"/>
      <protection locked="0"/>
    </xf>
    <xf numFmtId="0" fontId="103" fillId="0" borderId="32" xfId="0" applyFont="1" applyBorder="1" applyAlignment="1" applyProtection="1">
      <alignment horizontal="center" vertical="center" wrapText="1"/>
      <protection locked="0"/>
    </xf>
    <xf numFmtId="0" fontId="103" fillId="0" borderId="49" xfId="0" applyFont="1" applyBorder="1" applyAlignment="1" applyProtection="1">
      <alignment horizontal="center" vertical="center" wrapText="1"/>
      <protection locked="0"/>
    </xf>
    <xf numFmtId="0" fontId="136" fillId="0" borderId="0" xfId="0" applyFont="1" applyAlignment="1">
      <alignment horizontal="center"/>
    </xf>
    <xf numFmtId="164" fontId="119" fillId="0" borderId="38" xfId="1" applyFont="1" applyFill="1" applyBorder="1" applyAlignment="1" applyProtection="1">
      <alignment horizontal="center" vertical="center" wrapText="1"/>
      <protection locked="0"/>
    </xf>
    <xf numFmtId="164" fontId="119" fillId="0" borderId="40" xfId="1" applyFont="1" applyFill="1" applyBorder="1" applyAlignment="1" applyProtection="1">
      <alignment horizontal="center" vertical="center"/>
      <protection locked="0"/>
    </xf>
    <xf numFmtId="0" fontId="119" fillId="0" borderId="37" xfId="0" applyFont="1" applyBorder="1" applyAlignment="1" applyProtection="1">
      <alignment horizontal="center" vertical="center" wrapText="1"/>
      <protection locked="0"/>
    </xf>
    <xf numFmtId="0" fontId="119" fillId="0" borderId="20" xfId="0" applyFont="1" applyBorder="1" applyAlignment="1" applyProtection="1">
      <alignment horizontal="center" vertical="center"/>
      <protection locked="0"/>
    </xf>
    <xf numFmtId="0" fontId="103" fillId="0" borderId="20" xfId="0" applyFont="1" applyBorder="1" applyAlignment="1" applyProtection="1">
      <alignment horizontal="center" vertical="center" wrapText="1"/>
      <protection locked="0"/>
    </xf>
    <xf numFmtId="0" fontId="135" fillId="0" borderId="0" xfId="0" applyFont="1" applyAlignment="1">
      <alignment horizontal="center"/>
    </xf>
    <xf numFmtId="0" fontId="103" fillId="0" borderId="36" xfId="0" applyFont="1" applyBorder="1" applyAlignment="1" applyProtection="1">
      <alignment horizontal="center" vertical="center" wrapText="1"/>
      <protection locked="0"/>
    </xf>
    <xf numFmtId="0" fontId="103" fillId="0" borderId="39" xfId="0" applyFont="1" applyBorder="1" applyAlignment="1" applyProtection="1">
      <alignment horizontal="center" vertical="center"/>
      <protection locked="0"/>
    </xf>
    <xf numFmtId="168" fontId="119" fillId="0" borderId="37" xfId="0" applyNumberFormat="1" applyFont="1" applyBorder="1" applyAlignment="1" applyProtection="1">
      <alignment horizontal="center" vertical="center" wrapText="1"/>
      <protection locked="0"/>
    </xf>
    <xf numFmtId="168" fontId="119" fillId="0" borderId="20" xfId="0" applyNumberFormat="1" applyFont="1" applyBorder="1" applyAlignment="1" applyProtection="1">
      <alignment horizontal="center" vertical="center"/>
      <protection locked="0"/>
    </xf>
    <xf numFmtId="167" fontId="103" fillId="0" borderId="20" xfId="1" applyNumberFormat="1" applyFont="1" applyFill="1" applyBorder="1" applyAlignment="1" applyProtection="1">
      <alignment horizontal="center" vertical="center" wrapText="1"/>
      <protection locked="0"/>
    </xf>
    <xf numFmtId="0" fontId="134" fillId="0" borderId="80" xfId="0" applyFont="1" applyBorder="1" applyAlignment="1" applyProtection="1">
      <alignment horizontal="center" vertical="center"/>
      <protection locked="0"/>
    </xf>
    <xf numFmtId="0" fontId="134" fillId="0" borderId="81" xfId="0" applyFont="1" applyBorder="1" applyAlignment="1" applyProtection="1">
      <alignment horizontal="center" vertical="center"/>
      <protection locked="0"/>
    </xf>
    <xf numFmtId="0" fontId="134" fillId="0" borderId="3" xfId="0" applyFont="1" applyBorder="1" applyAlignment="1" applyProtection="1">
      <alignment horizontal="center" vertical="center"/>
      <protection locked="0"/>
    </xf>
    <xf numFmtId="0" fontId="103" fillId="0" borderId="82" xfId="0" applyFont="1" applyBorder="1" applyAlignment="1">
      <alignment horizontal="center" vertical="center"/>
    </xf>
    <xf numFmtId="0" fontId="103" fillId="0" borderId="83" xfId="0" applyFont="1" applyBorder="1" applyAlignment="1">
      <alignment horizontal="center" vertical="center"/>
    </xf>
    <xf numFmtId="0" fontId="103" fillId="0" borderId="84" xfId="0" applyFont="1" applyBorder="1" applyAlignment="1">
      <alignment horizontal="center" vertical="center"/>
    </xf>
    <xf numFmtId="0" fontId="165" fillId="0" borderId="0" xfId="0" applyFont="1" applyAlignment="1" applyProtection="1">
      <alignment horizontal="center"/>
      <protection locked="0"/>
    </xf>
    <xf numFmtId="0" fontId="165" fillId="0" borderId="0" xfId="0" applyFont="1" applyAlignment="1" applyProtection="1">
      <alignment horizontal="center" vertical="center"/>
      <protection locked="0"/>
    </xf>
    <xf numFmtId="0" fontId="166" fillId="0" borderId="0" xfId="0" applyFont="1" applyAlignment="1" applyProtection="1">
      <alignment horizontal="center"/>
      <protection locked="0"/>
    </xf>
    <xf numFmtId="0" fontId="121" fillId="0" borderId="0" xfId="0" applyFont="1" applyAlignment="1" applyProtection="1">
      <alignment horizontal="center"/>
      <protection locked="0"/>
    </xf>
    <xf numFmtId="0" fontId="119" fillId="0" borderId="67" xfId="0" applyFont="1" applyBorder="1" applyAlignment="1" applyProtection="1">
      <alignment horizontal="center" vertical="center" wrapText="1"/>
      <protection locked="0"/>
    </xf>
    <xf numFmtId="0" fontId="119" fillId="0" borderId="78" xfId="0" applyFont="1" applyBorder="1" applyAlignment="1" applyProtection="1">
      <alignment horizontal="center" vertical="center" wrapText="1"/>
      <protection locked="0"/>
    </xf>
    <xf numFmtId="0" fontId="119" fillId="0" borderId="79" xfId="0" applyFont="1" applyBorder="1" applyAlignment="1" applyProtection="1">
      <alignment horizontal="center" vertical="center" wrapText="1"/>
      <protection locked="0"/>
    </xf>
    <xf numFmtId="0" fontId="103" fillId="0" borderId="80" xfId="0" applyFont="1" applyBorder="1" applyAlignment="1" applyProtection="1">
      <alignment horizontal="center" vertical="center"/>
      <protection locked="0"/>
    </xf>
    <xf numFmtId="0" fontId="103" fillId="0" borderId="81" xfId="0" applyFont="1" applyBorder="1" applyAlignment="1" applyProtection="1">
      <alignment horizontal="center" vertical="center"/>
      <protection locked="0"/>
    </xf>
    <xf numFmtId="0" fontId="103" fillId="0" borderId="3" xfId="0" applyFont="1" applyBorder="1" applyAlignment="1" applyProtection="1">
      <alignment horizontal="center" vertical="center"/>
      <protection locked="0"/>
    </xf>
    <xf numFmtId="0" fontId="103" fillId="0" borderId="82" xfId="0" applyFont="1" applyBorder="1" applyAlignment="1">
      <alignment horizontal="center"/>
    </xf>
    <xf numFmtId="0" fontId="103" fillId="0" borderId="83" xfId="0" applyFont="1" applyBorder="1" applyAlignment="1">
      <alignment horizontal="center"/>
    </xf>
    <xf numFmtId="0" fontId="103" fillId="0" borderId="84" xfId="0" applyFont="1" applyBorder="1" applyAlignment="1">
      <alignment horizontal="center"/>
    </xf>
    <xf numFmtId="0" fontId="115" fillId="0" borderId="0" xfId="0" applyFont="1" applyAlignment="1">
      <alignment horizontal="center" vertical="center"/>
    </xf>
    <xf numFmtId="0" fontId="119" fillId="0" borderId="0" xfId="0" applyFont="1" applyAlignment="1" applyProtection="1">
      <alignment horizontal="center"/>
      <protection locked="0"/>
    </xf>
    <xf numFmtId="0" fontId="119" fillId="0" borderId="0" xfId="0" applyFont="1" applyAlignment="1">
      <alignment horizontal="center"/>
    </xf>
    <xf numFmtId="0" fontId="103" fillId="0" borderId="0" xfId="0" applyFont="1" applyAlignment="1">
      <alignment horizontal="center"/>
    </xf>
    <xf numFmtId="0" fontId="119" fillId="0" borderId="36" xfId="0" applyFont="1" applyBorder="1" applyAlignment="1" applyProtection="1">
      <alignment horizontal="center" vertical="center" wrapText="1"/>
      <protection locked="0"/>
    </xf>
    <xf numFmtId="0" fontId="119" fillId="0" borderId="39" xfId="0" applyFont="1" applyBorder="1" applyAlignment="1" applyProtection="1">
      <alignment horizontal="center" vertical="center"/>
      <protection locked="0"/>
    </xf>
    <xf numFmtId="0" fontId="119" fillId="0" borderId="20" xfId="0" applyFont="1" applyBorder="1" applyAlignment="1" applyProtection="1">
      <alignment horizontal="center" vertical="center" wrapText="1"/>
      <protection locked="0"/>
    </xf>
    <xf numFmtId="0" fontId="103" fillId="0" borderId="37" xfId="0" applyFont="1" applyBorder="1" applyAlignment="1" applyProtection="1">
      <alignment horizontal="center" vertical="center" wrapText="1"/>
      <protection locked="0"/>
    </xf>
    <xf numFmtId="167" fontId="119" fillId="0" borderId="20" xfId="1" applyNumberFormat="1" applyFont="1" applyFill="1" applyBorder="1" applyAlignment="1" applyProtection="1">
      <alignment horizontal="center" vertical="center"/>
      <protection locked="0"/>
    </xf>
  </cellXfs>
  <cellStyles count="24">
    <cellStyle name="Comma" xfId="1" builtinId="3"/>
    <cellStyle name="Comma 10" xfId="2" xr:uid="{2A0FAD6D-A4B0-4D41-93A1-28B4C520F409}"/>
    <cellStyle name="Comma 10 2" xfId="3" xr:uid="{DB0A3736-16DC-4303-9AAA-930387F7D858}"/>
    <cellStyle name="Comma 2" xfId="4" xr:uid="{00B55503-857A-42E5-B4EE-47C8232838AF}"/>
    <cellStyle name="Comma 2 2" xfId="5" xr:uid="{E9CE2069-7922-4AFC-809B-F9B81E6B7690}"/>
    <cellStyle name="Comma 3" xfId="6" xr:uid="{DED89F08-7C8B-423D-839C-515DD00E66D6}"/>
    <cellStyle name="Comma 3 2" xfId="7" xr:uid="{DF5E5126-73A3-4F66-AA0E-2DE3F2701503}"/>
    <cellStyle name="Comma 4" xfId="8" xr:uid="{B363AB24-F191-4398-A40D-218ADDEDC2A2}"/>
    <cellStyle name="Normal" xfId="0" builtinId="0"/>
    <cellStyle name="Normal 12 3" xfId="9" xr:uid="{7D44DDBF-3027-4D7B-BEE5-AFA7F6855CFC}"/>
    <cellStyle name="Normal 15" xfId="10" xr:uid="{BA66FB6D-C12B-4A4E-94DA-7C448C269E94}"/>
    <cellStyle name="Normal 2" xfId="11" xr:uid="{437E3431-93D3-427C-8E4D-BC605A85A732}"/>
    <cellStyle name="Normal 2 2" xfId="12" xr:uid="{191224B8-F647-4245-B8C7-A0E006F14788}"/>
    <cellStyle name="Normal 2 3" xfId="13" xr:uid="{813F52DA-E177-451F-9EAC-88C432B060C1}"/>
    <cellStyle name="Normal 2 3 3" xfId="14" xr:uid="{3D81576D-27FE-4866-9635-57174AF3FAE3}"/>
    <cellStyle name="Normal 3" xfId="15" xr:uid="{D6D185AE-6F72-40D3-91D7-AECF83658CC1}"/>
    <cellStyle name="Normal 3 2" xfId="16" xr:uid="{CB79C107-AE96-4228-BE27-E72B8FDF6743}"/>
    <cellStyle name="Normal 3 3" xfId="17" xr:uid="{34C86478-FA3E-4604-9649-183FB2F52191}"/>
    <cellStyle name="Normal 4" xfId="18" xr:uid="{29EE1896-E73D-4375-9D5B-EC8D2B3160B8}"/>
    <cellStyle name="Normal 4 2" xfId="19" xr:uid="{335CC562-312E-4B0E-B11F-DC4E467C9897}"/>
    <cellStyle name="Normal 4 4" xfId="20" xr:uid="{724F3E73-CF77-42D8-B0E7-CBAE98C523F0}"/>
    <cellStyle name="Normal 6" xfId="21" xr:uid="{CF33A07A-773D-4AC9-B272-304B5B54A86E}"/>
    <cellStyle name="Normal 6 2" xfId="22" xr:uid="{AFFBD26C-C954-4DDC-9FAA-3E237E736C2C}"/>
    <cellStyle name="Normal 6 2 2" xfId="23" xr:uid="{C36EC649-B893-4854-92D1-41C102D52D7E}"/>
  </cellStyles>
  <dxfs count="4045"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"/>
        <scheme val="none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2117</xdr:colOff>
      <xdr:row>2</xdr:row>
      <xdr:rowOff>0</xdr:rowOff>
    </xdr:from>
    <xdr:to>
      <xdr:col>31</xdr:col>
      <xdr:colOff>0</xdr:colOff>
      <xdr:row>2</xdr:row>
      <xdr:rowOff>0</xdr:rowOff>
    </xdr:to>
    <xdr:cxnSp macro="">
      <xdr:nvCxnSpPr>
        <xdr:cNvPr id="2" name="Straight Connector 3">
          <a:extLst>
            <a:ext uri="{FF2B5EF4-FFF2-40B4-BE49-F238E27FC236}">
              <a16:creationId xmlns:a16="http://schemas.microsoft.com/office/drawing/2014/main" id="{B3359D32-9B93-CEA7-E9F7-4E62EC3420B8}"/>
            </a:ext>
          </a:extLst>
        </xdr:cNvPr>
        <xdr:cNvCxnSpPr/>
      </xdr:nvCxnSpPr>
      <xdr:spPr>
        <a:xfrm>
          <a:off x="9178290" y="1053465"/>
          <a:ext cx="267843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240030</xdr:colOff>
      <xdr:row>2</xdr:row>
      <xdr:rowOff>0</xdr:rowOff>
    </xdr:from>
    <xdr:to>
      <xdr:col>27</xdr:col>
      <xdr:colOff>66675</xdr:colOff>
      <xdr:row>2</xdr:row>
      <xdr:rowOff>0</xdr:rowOff>
    </xdr:to>
    <xdr:cxnSp macro="">
      <xdr:nvCxnSpPr>
        <xdr:cNvPr id="2" name="Straight Connector 2">
          <a:extLst>
            <a:ext uri="{FF2B5EF4-FFF2-40B4-BE49-F238E27FC236}">
              <a16:creationId xmlns:a16="http://schemas.microsoft.com/office/drawing/2014/main" id="{A5868F58-EB10-33FD-B016-B5DC4B33E8ED}"/>
            </a:ext>
          </a:extLst>
        </xdr:cNvPr>
        <xdr:cNvCxnSpPr/>
      </xdr:nvCxnSpPr>
      <xdr:spPr>
        <a:xfrm>
          <a:off x="10146030" y="906780"/>
          <a:ext cx="171640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1267460</xdr:colOff>
      <xdr:row>4</xdr:row>
      <xdr:rowOff>12700</xdr:rowOff>
    </xdr:from>
    <xdr:to>
      <xdr:col>3</xdr:col>
      <xdr:colOff>466093</xdr:colOff>
      <xdr:row>4</xdr:row>
      <xdr:rowOff>12700</xdr:rowOff>
    </xdr:to>
    <xdr:cxnSp macro="">
      <xdr:nvCxnSpPr>
        <xdr:cNvPr id="2" name="Straight Connector 3">
          <a:extLst>
            <a:ext uri="{FF2B5EF4-FFF2-40B4-BE49-F238E27FC236}">
              <a16:creationId xmlns:a16="http://schemas.microsoft.com/office/drawing/2014/main" id="{EA29E6DE-02D9-BE12-642E-09208CDE237C}"/>
            </a:ext>
          </a:extLst>
        </xdr:cNvPr>
        <xdr:cNvCxnSpPr/>
      </xdr:nvCxnSpPr>
      <xdr:spPr>
        <a:xfrm>
          <a:off x="1816100" y="1534795"/>
          <a:ext cx="210883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</xdr:row>
      <xdr:rowOff>10886</xdr:rowOff>
    </xdr:from>
    <xdr:to>
      <xdr:col>18</xdr:col>
      <xdr:colOff>531545</xdr:colOff>
      <xdr:row>2</xdr:row>
      <xdr:rowOff>10886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4A86E49-DEE0-6DE1-0FAF-048F36E6752B}"/>
            </a:ext>
          </a:extLst>
        </xdr:cNvPr>
        <xdr:cNvCxnSpPr/>
      </xdr:nvCxnSpPr>
      <xdr:spPr>
        <a:xfrm>
          <a:off x="16436340" y="970915"/>
          <a:ext cx="197929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1143000</xdr:colOff>
      <xdr:row>2</xdr:row>
      <xdr:rowOff>2540</xdr:rowOff>
    </xdr:from>
    <xdr:to>
      <xdr:col>16</xdr:col>
      <xdr:colOff>955069</xdr:colOff>
      <xdr:row>2</xdr:row>
      <xdr:rowOff>2540</xdr:rowOff>
    </xdr:to>
    <xdr:cxnSp macro="">
      <xdr:nvCxnSpPr>
        <xdr:cNvPr id="2" name="Straight Connector 3">
          <a:extLst>
            <a:ext uri="{FF2B5EF4-FFF2-40B4-BE49-F238E27FC236}">
              <a16:creationId xmlns:a16="http://schemas.microsoft.com/office/drawing/2014/main" id="{D0C224D1-15E4-2BC0-802F-A1176C7CA98F}"/>
            </a:ext>
          </a:extLst>
        </xdr:cNvPr>
        <xdr:cNvCxnSpPr/>
      </xdr:nvCxnSpPr>
      <xdr:spPr>
        <a:xfrm>
          <a:off x="14851380" y="1173480"/>
          <a:ext cx="22733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566420</xdr:colOff>
      <xdr:row>3</xdr:row>
      <xdr:rowOff>0</xdr:rowOff>
    </xdr:from>
    <xdr:to>
      <xdr:col>2</xdr:col>
      <xdr:colOff>1305616</xdr:colOff>
      <xdr:row>3</xdr:row>
      <xdr:rowOff>0</xdr:rowOff>
    </xdr:to>
    <xdr:cxnSp macro="">
      <xdr:nvCxnSpPr>
        <xdr:cNvPr id="3" name="Straight Connector 3">
          <a:extLst>
            <a:ext uri="{FF2B5EF4-FFF2-40B4-BE49-F238E27FC236}">
              <a16:creationId xmlns:a16="http://schemas.microsoft.com/office/drawing/2014/main" id="{D0170B89-AB93-F65E-FD41-09F0305974B9}"/>
            </a:ext>
          </a:extLst>
        </xdr:cNvPr>
        <xdr:cNvCxnSpPr/>
      </xdr:nvCxnSpPr>
      <xdr:spPr>
        <a:xfrm>
          <a:off x="1191260" y="1744980"/>
          <a:ext cx="217360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IEU%20MAU%20NGHIEM%20THU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B KD (Đ1)"/>
      <sheetName val="TH (Đ1)"/>
      <sheetName val="C.TIET (Đ1)"/>
      <sheetName val="BB KD (Đ2)"/>
      <sheetName val="TH (Đ2)"/>
      <sheetName val="C.TIET (Đ2)"/>
      <sheetName val="chi tiết t4-2021"/>
      <sheetName val="Ten hang muc (2)"/>
      <sheetName val="BB KTCB"/>
      <sheetName val="TH KTCB"/>
      <sheetName val="C.TIET KTC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A029A-FEEF-4B7A-AF24-4C40474C2633}">
  <dimension ref="A1:AN533"/>
  <sheetViews>
    <sheetView view="pageBreakPreview" zoomScale="80" zoomScaleNormal="80" workbookViewId="0">
      <selection activeCell="B9" sqref="B9"/>
    </sheetView>
  </sheetViews>
  <sheetFormatPr defaultColWidth="8.69921875" defaultRowHeight="17.399999999999999"/>
  <cols>
    <col min="1" max="1" width="9" style="2" bestFit="1" customWidth="1"/>
    <col min="2" max="3" width="19.69921875" style="27" customWidth="1"/>
    <col min="4" max="4" width="19.69921875" style="28" customWidth="1"/>
    <col min="5" max="5" width="20.3984375" style="29" customWidth="1"/>
    <col min="6" max="6" width="21.19921875" style="2" customWidth="1"/>
    <col min="7" max="7" width="7.69921875" style="2" customWidth="1"/>
    <col min="8" max="9" width="11.19921875" style="2" customWidth="1"/>
    <col min="10" max="22" width="9" style="2" hidden="1" customWidth="1"/>
    <col min="23" max="23" width="19.09765625" style="2" hidden="1" customWidth="1"/>
    <col min="24" max="29" width="16.19921875" style="2" hidden="1" customWidth="1"/>
    <col min="30" max="30" width="9" style="2" hidden="1" customWidth="1"/>
    <col min="31" max="31" width="12.19921875" style="2" customWidth="1"/>
    <col min="32" max="32" width="10.69921875" style="2" customWidth="1"/>
    <col min="33" max="33" width="10.69921875" style="2" hidden="1" customWidth="1"/>
    <col min="34" max="35" width="12.5" style="2" hidden="1" customWidth="1"/>
    <col min="36" max="36" width="15.59765625" style="2" hidden="1" customWidth="1"/>
    <col min="37" max="37" width="19.8984375" style="2" hidden="1" customWidth="1"/>
    <col min="38" max="38" width="8.69921875" style="2"/>
    <col min="39" max="39" width="18.69921875" style="2" customWidth="1"/>
    <col min="40" max="40" width="16.19921875" style="2" customWidth="1"/>
    <col min="41" max="16384" width="8.69921875" style="2"/>
  </cols>
  <sheetData>
    <row r="1" spans="1:33" s="23" customFormat="1" ht="34.5" customHeight="1">
      <c r="A1" s="30"/>
      <c r="B1" s="977"/>
      <c r="C1" s="977"/>
      <c r="D1" s="977"/>
      <c r="E1" s="977"/>
      <c r="F1" s="977"/>
      <c r="G1" s="977"/>
      <c r="H1" s="977"/>
      <c r="I1" s="977"/>
      <c r="AC1" s="978" t="s">
        <v>1173</v>
      </c>
      <c r="AD1" s="978"/>
      <c r="AE1" s="978" t="s">
        <v>1173</v>
      </c>
      <c r="AF1" s="978"/>
      <c r="AG1" s="38"/>
    </row>
    <row r="2" spans="1:33" customFormat="1" ht="15" customHeight="1">
      <c r="A2" s="979" t="s">
        <v>89</v>
      </c>
      <c r="B2" s="980" t="s">
        <v>1174</v>
      </c>
      <c r="C2" s="980" t="s">
        <v>1175</v>
      </c>
      <c r="D2" s="982" t="s">
        <v>1176</v>
      </c>
      <c r="E2" s="971" t="s">
        <v>1177</v>
      </c>
      <c r="F2" s="972"/>
      <c r="G2" s="975" t="s">
        <v>1724</v>
      </c>
      <c r="H2" s="984" t="s">
        <v>1178</v>
      </c>
      <c r="I2" s="985" t="s">
        <v>1179</v>
      </c>
    </row>
    <row r="3" spans="1:33" customFormat="1" ht="17.399999999999999" customHeight="1">
      <c r="A3" s="979"/>
      <c r="B3" s="981"/>
      <c r="C3" s="981"/>
      <c r="D3" s="983"/>
      <c r="E3" s="973"/>
      <c r="F3" s="974"/>
      <c r="G3" s="976"/>
      <c r="H3" s="984"/>
      <c r="I3" s="985"/>
      <c r="AC3" t="s">
        <v>1180</v>
      </c>
      <c r="AD3" t="s">
        <v>1181</v>
      </c>
      <c r="AE3" s="39" t="s">
        <v>1180</v>
      </c>
      <c r="AF3" s="39" t="s">
        <v>1181</v>
      </c>
      <c r="AG3" s="39"/>
    </row>
    <row r="4" spans="1:33" ht="32.4" customHeight="1">
      <c r="A4" s="31">
        <v>1</v>
      </c>
      <c r="B4" s="439">
        <v>33030</v>
      </c>
      <c r="C4" s="717" t="s">
        <v>1175</v>
      </c>
      <c r="D4" s="440">
        <v>150429518</v>
      </c>
      <c r="E4" s="441" t="s">
        <v>261</v>
      </c>
      <c r="F4" s="442" t="s">
        <v>262</v>
      </c>
      <c r="G4" s="32">
        <v>1</v>
      </c>
      <c r="H4" s="32" t="s">
        <v>66</v>
      </c>
      <c r="I4" s="31">
        <v>1</v>
      </c>
      <c r="W4" s="2" t="s">
        <v>1182</v>
      </c>
      <c r="AC4" s="2">
        <f t="shared" ref="AC4:AC67" ca="1" si="0">YEAR(NOW())-YEAR(B4)</f>
        <v>36</v>
      </c>
      <c r="AD4" s="2" t="e">
        <f t="shared" ref="AD4:AD67" ca="1" si="1">YEAR(NOW())-YEAR(C4)</f>
        <v>#VALUE!</v>
      </c>
      <c r="AE4" s="2">
        <f ca="1">IF(AC4&lt;=69,AC4,IF(AC4=70,1))</f>
        <v>36</v>
      </c>
      <c r="AF4" s="2" t="e">
        <f ca="1">IF(AD4&lt;=69,AD4,IF(AD4=70,1))</f>
        <v>#VALUE!</v>
      </c>
    </row>
    <row r="5" spans="1:33" ht="32.4" customHeight="1">
      <c r="A5" s="31">
        <v>2</v>
      </c>
      <c r="B5" s="438">
        <v>35982</v>
      </c>
      <c r="C5" s="718" t="s">
        <v>2041</v>
      </c>
      <c r="D5" s="440">
        <v>220140698</v>
      </c>
      <c r="E5" s="441" t="s">
        <v>263</v>
      </c>
      <c r="F5" s="443" t="s">
        <v>264</v>
      </c>
      <c r="G5" s="32">
        <v>1</v>
      </c>
      <c r="H5" s="32" t="s">
        <v>66</v>
      </c>
      <c r="I5" s="31">
        <v>2</v>
      </c>
      <c r="W5" s="2" t="s">
        <v>1183</v>
      </c>
      <c r="AC5" s="2">
        <f t="shared" ca="1" si="0"/>
        <v>28</v>
      </c>
      <c r="AD5" s="2" t="e">
        <f t="shared" ca="1" si="1"/>
        <v>#VALUE!</v>
      </c>
      <c r="AE5" s="2">
        <f t="shared" ref="AE5:AE68" ca="1" si="2">IF(AC5&lt;=69,AC5,IF(AC5=70,1))</f>
        <v>28</v>
      </c>
      <c r="AF5" s="2" t="e">
        <f t="shared" ref="AF5:AF68" ca="1" si="3">IF(AD5&lt;=69,AD5,IF(AD5=70,1))</f>
        <v>#VALUE!</v>
      </c>
    </row>
    <row r="6" spans="1:33" ht="32.4" customHeight="1">
      <c r="A6" s="31">
        <v>3</v>
      </c>
      <c r="B6" s="438">
        <v>38457</v>
      </c>
      <c r="C6" s="718" t="s">
        <v>2041</v>
      </c>
      <c r="D6" s="440">
        <v>151027370</v>
      </c>
      <c r="E6" s="441" t="s">
        <v>1725</v>
      </c>
      <c r="F6" s="443" t="s">
        <v>1726</v>
      </c>
      <c r="G6" s="32">
        <v>1</v>
      </c>
      <c r="H6" s="32" t="s">
        <v>66</v>
      </c>
      <c r="I6" s="31">
        <v>3</v>
      </c>
      <c r="W6" s="2" t="s">
        <v>1184</v>
      </c>
      <c r="AC6" s="2">
        <f t="shared" ca="1" si="0"/>
        <v>21</v>
      </c>
      <c r="AD6" s="2" t="e">
        <f t="shared" ca="1" si="1"/>
        <v>#VALUE!</v>
      </c>
      <c r="AE6" s="2">
        <f t="shared" ca="1" si="2"/>
        <v>21</v>
      </c>
      <c r="AF6" s="2" t="e">
        <f t="shared" ca="1" si="3"/>
        <v>#VALUE!</v>
      </c>
    </row>
    <row r="7" spans="1:33" ht="32.4" customHeight="1">
      <c r="A7" s="31">
        <v>4</v>
      </c>
      <c r="B7" s="438">
        <v>36175</v>
      </c>
      <c r="C7" s="717" t="s">
        <v>1175</v>
      </c>
      <c r="D7" s="440" t="s">
        <v>1185</v>
      </c>
      <c r="E7" s="441" t="s">
        <v>266</v>
      </c>
      <c r="F7" s="443" t="s">
        <v>267</v>
      </c>
      <c r="G7" s="32">
        <v>1</v>
      </c>
      <c r="H7" s="32" t="s">
        <v>66</v>
      </c>
      <c r="I7" s="31">
        <v>4</v>
      </c>
      <c r="W7" s="2" t="s">
        <v>1186</v>
      </c>
      <c r="AC7" s="2">
        <f t="shared" ca="1" si="0"/>
        <v>27</v>
      </c>
      <c r="AD7" s="2" t="e">
        <f t="shared" ca="1" si="1"/>
        <v>#VALUE!</v>
      </c>
      <c r="AE7" s="2">
        <f t="shared" ca="1" si="2"/>
        <v>27</v>
      </c>
      <c r="AF7" s="2" t="e">
        <f t="shared" ca="1" si="3"/>
        <v>#VALUE!</v>
      </c>
    </row>
    <row r="8" spans="1:33" ht="32.4" customHeight="1">
      <c r="A8" s="31">
        <v>5</v>
      </c>
      <c r="B8" s="438">
        <v>33615</v>
      </c>
      <c r="C8" s="718" t="s">
        <v>2041</v>
      </c>
      <c r="D8" s="444">
        <v>150523483</v>
      </c>
      <c r="E8" s="441" t="s">
        <v>1992</v>
      </c>
      <c r="F8" s="443" t="s">
        <v>1993</v>
      </c>
      <c r="G8" s="32">
        <v>1</v>
      </c>
      <c r="H8" s="32" t="s">
        <v>66</v>
      </c>
      <c r="I8" s="31">
        <v>5</v>
      </c>
      <c r="W8" s="2" t="s">
        <v>1187</v>
      </c>
      <c r="AC8" s="2">
        <f t="shared" ca="1" si="0"/>
        <v>34</v>
      </c>
      <c r="AD8" s="2" t="e">
        <f t="shared" ca="1" si="1"/>
        <v>#VALUE!</v>
      </c>
      <c r="AE8" s="2">
        <f t="shared" ca="1" si="2"/>
        <v>34</v>
      </c>
      <c r="AF8" s="2" t="e">
        <f t="shared" ca="1" si="3"/>
        <v>#VALUE!</v>
      </c>
    </row>
    <row r="9" spans="1:33" ht="32.4" customHeight="1">
      <c r="A9" s="31">
        <v>6</v>
      </c>
      <c r="B9" s="438">
        <v>35986</v>
      </c>
      <c r="C9" s="718" t="s">
        <v>2041</v>
      </c>
      <c r="D9" s="440">
        <v>220152906</v>
      </c>
      <c r="E9" s="441" t="s">
        <v>268</v>
      </c>
      <c r="F9" s="443" t="s">
        <v>269</v>
      </c>
      <c r="G9" s="32">
        <v>1</v>
      </c>
      <c r="H9" s="32" t="s">
        <v>66</v>
      </c>
      <c r="I9" s="31">
        <v>6</v>
      </c>
      <c r="W9" s="2" t="s">
        <v>1188</v>
      </c>
      <c r="AC9" s="2">
        <f t="shared" ca="1" si="0"/>
        <v>28</v>
      </c>
      <c r="AD9" s="2" t="e">
        <f t="shared" ca="1" si="1"/>
        <v>#VALUE!</v>
      </c>
      <c r="AE9" s="2">
        <f t="shared" ca="1" si="2"/>
        <v>28</v>
      </c>
      <c r="AF9" s="2" t="e">
        <f t="shared" ca="1" si="3"/>
        <v>#VALUE!</v>
      </c>
    </row>
    <row r="10" spans="1:33" ht="32.4" customHeight="1">
      <c r="A10" s="31">
        <v>7</v>
      </c>
      <c r="B10" s="438">
        <v>36651</v>
      </c>
      <c r="C10" s="718" t="s">
        <v>2041</v>
      </c>
      <c r="D10" s="440">
        <v>220175364</v>
      </c>
      <c r="E10" s="441" t="s">
        <v>270</v>
      </c>
      <c r="F10" s="443" t="s">
        <v>271</v>
      </c>
      <c r="G10" s="32">
        <v>1</v>
      </c>
      <c r="H10" s="32" t="s">
        <v>66</v>
      </c>
      <c r="I10" s="31">
        <v>7</v>
      </c>
      <c r="W10" s="2" t="s">
        <v>1189</v>
      </c>
      <c r="AC10" s="2">
        <f t="shared" ca="1" si="0"/>
        <v>26</v>
      </c>
      <c r="AD10" s="2" t="e">
        <f t="shared" ca="1" si="1"/>
        <v>#VALUE!</v>
      </c>
      <c r="AE10" s="2">
        <f t="shared" ca="1" si="2"/>
        <v>26</v>
      </c>
      <c r="AF10" s="2" t="e">
        <f t="shared" ca="1" si="3"/>
        <v>#VALUE!</v>
      </c>
    </row>
    <row r="11" spans="1:33" ht="32.4" customHeight="1">
      <c r="A11" s="31">
        <v>8</v>
      </c>
      <c r="B11" s="438">
        <v>35950</v>
      </c>
      <c r="C11" s="718" t="s">
        <v>2041</v>
      </c>
      <c r="D11" s="440">
        <v>220209900</v>
      </c>
      <c r="E11" s="441" t="s">
        <v>272</v>
      </c>
      <c r="F11" s="443" t="s">
        <v>273</v>
      </c>
      <c r="G11" s="32">
        <v>1</v>
      </c>
      <c r="H11" s="32" t="s">
        <v>66</v>
      </c>
      <c r="I11" s="31">
        <v>8</v>
      </c>
      <c r="W11" s="2" t="s">
        <v>1190</v>
      </c>
      <c r="AC11" s="2">
        <f t="shared" ca="1" si="0"/>
        <v>28</v>
      </c>
      <c r="AD11" s="2" t="e">
        <f t="shared" ca="1" si="1"/>
        <v>#VALUE!</v>
      </c>
      <c r="AE11" s="2">
        <f t="shared" ca="1" si="2"/>
        <v>28</v>
      </c>
      <c r="AF11" s="2" t="e">
        <f t="shared" ca="1" si="3"/>
        <v>#VALUE!</v>
      </c>
    </row>
    <row r="12" spans="1:33" ht="32.4" customHeight="1">
      <c r="A12" s="31">
        <v>9</v>
      </c>
      <c r="B12" s="438">
        <v>36447</v>
      </c>
      <c r="C12" s="718" t="s">
        <v>2041</v>
      </c>
      <c r="D12" s="440">
        <v>150789799</v>
      </c>
      <c r="E12" s="441" t="s">
        <v>1994</v>
      </c>
      <c r="F12" s="443" t="s">
        <v>1995</v>
      </c>
      <c r="G12" s="32">
        <v>1</v>
      </c>
      <c r="H12" s="32" t="s">
        <v>66</v>
      </c>
      <c r="I12" s="31">
        <v>9</v>
      </c>
      <c r="W12" s="2" t="s">
        <v>1191</v>
      </c>
      <c r="AC12" s="2">
        <f t="shared" ca="1" si="0"/>
        <v>27</v>
      </c>
      <c r="AD12" s="2" t="e">
        <f t="shared" ca="1" si="1"/>
        <v>#VALUE!</v>
      </c>
      <c r="AE12" s="2">
        <f t="shared" ca="1" si="2"/>
        <v>27</v>
      </c>
      <c r="AF12" s="2" t="e">
        <f t="shared" ca="1" si="3"/>
        <v>#VALUE!</v>
      </c>
    </row>
    <row r="13" spans="1:33" ht="32.4" customHeight="1">
      <c r="A13" s="31">
        <v>10</v>
      </c>
      <c r="B13" s="438">
        <v>38244</v>
      </c>
      <c r="C13" s="717" t="s">
        <v>1175</v>
      </c>
      <c r="D13" s="444">
        <v>150983095</v>
      </c>
      <c r="E13" s="441" t="s">
        <v>1841</v>
      </c>
      <c r="F13" s="443" t="s">
        <v>277</v>
      </c>
      <c r="G13" s="32">
        <v>1</v>
      </c>
      <c r="H13" s="32" t="s">
        <v>66</v>
      </c>
      <c r="I13" s="31">
        <v>10</v>
      </c>
      <c r="W13" s="2" t="s">
        <v>267</v>
      </c>
      <c r="AC13" s="2">
        <f t="shared" ca="1" si="0"/>
        <v>22</v>
      </c>
      <c r="AD13" s="2" t="e">
        <f t="shared" ca="1" si="1"/>
        <v>#VALUE!</v>
      </c>
      <c r="AE13" s="2">
        <f t="shared" ca="1" si="2"/>
        <v>22</v>
      </c>
      <c r="AF13" s="2" t="e">
        <f t="shared" ca="1" si="3"/>
        <v>#VALUE!</v>
      </c>
    </row>
    <row r="14" spans="1:33" ht="32.4" customHeight="1">
      <c r="A14" s="31">
        <v>11</v>
      </c>
      <c r="B14" s="438">
        <v>29073</v>
      </c>
      <c r="C14" s="717" t="s">
        <v>1175</v>
      </c>
      <c r="D14" s="444">
        <v>150814730</v>
      </c>
      <c r="E14" s="441" t="s">
        <v>278</v>
      </c>
      <c r="F14" s="443" t="s">
        <v>279</v>
      </c>
      <c r="G14" s="32">
        <v>1</v>
      </c>
      <c r="H14" s="32" t="s">
        <v>66</v>
      </c>
      <c r="I14" s="31">
        <v>11</v>
      </c>
      <c r="W14" s="2" t="s">
        <v>264</v>
      </c>
      <c r="AC14" s="2">
        <f t="shared" ca="1" si="0"/>
        <v>47</v>
      </c>
      <c r="AD14" s="2" t="e">
        <f t="shared" ca="1" si="1"/>
        <v>#VALUE!</v>
      </c>
      <c r="AE14" s="2">
        <f t="shared" ca="1" si="2"/>
        <v>47</v>
      </c>
      <c r="AF14" s="2" t="e">
        <f t="shared" ca="1" si="3"/>
        <v>#VALUE!</v>
      </c>
    </row>
    <row r="15" spans="1:33" ht="32.4" customHeight="1">
      <c r="A15" s="31">
        <v>12</v>
      </c>
      <c r="B15" s="438">
        <v>29082</v>
      </c>
      <c r="C15" s="717" t="s">
        <v>1175</v>
      </c>
      <c r="D15" s="444">
        <v>150427542</v>
      </c>
      <c r="E15" s="441" t="s">
        <v>1772</v>
      </c>
      <c r="F15" s="443" t="s">
        <v>1773</v>
      </c>
      <c r="G15" s="32">
        <v>1</v>
      </c>
      <c r="H15" s="32" t="s">
        <v>66</v>
      </c>
      <c r="I15" s="31">
        <v>12</v>
      </c>
      <c r="W15" s="2" t="s">
        <v>1192</v>
      </c>
      <c r="AC15" s="2">
        <f t="shared" ca="1" si="0"/>
        <v>47</v>
      </c>
      <c r="AD15" s="2" t="e">
        <f t="shared" ca="1" si="1"/>
        <v>#VALUE!</v>
      </c>
      <c r="AE15" s="2">
        <f t="shared" ca="1" si="2"/>
        <v>47</v>
      </c>
      <c r="AF15" s="2" t="e">
        <f t="shared" ca="1" si="3"/>
        <v>#VALUE!</v>
      </c>
    </row>
    <row r="16" spans="1:33" ht="32.4" customHeight="1">
      <c r="A16" s="31">
        <v>13</v>
      </c>
      <c r="B16" s="438">
        <v>37848</v>
      </c>
      <c r="C16" s="718" t="s">
        <v>2041</v>
      </c>
      <c r="D16" s="444">
        <v>220234084</v>
      </c>
      <c r="E16" s="441" t="s">
        <v>1896</v>
      </c>
      <c r="F16" s="443" t="s">
        <v>823</v>
      </c>
      <c r="G16" s="32">
        <v>1</v>
      </c>
      <c r="H16" s="32" t="s">
        <v>66</v>
      </c>
      <c r="I16" s="31">
        <v>13</v>
      </c>
      <c r="W16" s="2" t="s">
        <v>1193</v>
      </c>
      <c r="AC16" s="2">
        <f t="shared" ca="1" si="0"/>
        <v>23</v>
      </c>
      <c r="AD16" s="2" t="e">
        <f t="shared" ca="1" si="1"/>
        <v>#VALUE!</v>
      </c>
      <c r="AE16" s="2">
        <f t="shared" ca="1" si="2"/>
        <v>23</v>
      </c>
      <c r="AF16" s="2" t="e">
        <f t="shared" ca="1" si="3"/>
        <v>#VALUE!</v>
      </c>
    </row>
    <row r="17" spans="1:32" ht="32.4" customHeight="1">
      <c r="A17" s="31">
        <v>14</v>
      </c>
      <c r="B17" s="438">
        <v>34127</v>
      </c>
      <c r="C17" s="718" t="s">
        <v>2041</v>
      </c>
      <c r="D17" s="444">
        <v>150468345</v>
      </c>
      <c r="E17" s="441" t="s">
        <v>1842</v>
      </c>
      <c r="F17" s="443" t="s">
        <v>283</v>
      </c>
      <c r="G17" s="32">
        <v>1</v>
      </c>
      <c r="H17" s="32" t="s">
        <v>66</v>
      </c>
      <c r="I17" s="31">
        <v>14</v>
      </c>
      <c r="W17" s="2" t="s">
        <v>829</v>
      </c>
      <c r="AC17" s="2">
        <f t="shared" ca="1" si="0"/>
        <v>33</v>
      </c>
      <c r="AD17" s="2" t="e">
        <f t="shared" ca="1" si="1"/>
        <v>#VALUE!</v>
      </c>
      <c r="AE17" s="2">
        <f t="shared" ca="1" si="2"/>
        <v>33</v>
      </c>
      <c r="AF17" s="2" t="e">
        <f t="shared" ca="1" si="3"/>
        <v>#VALUE!</v>
      </c>
    </row>
    <row r="18" spans="1:32" ht="32.4" customHeight="1">
      <c r="A18" s="31">
        <v>15</v>
      </c>
      <c r="B18" s="438">
        <v>30477</v>
      </c>
      <c r="C18" s="717" t="s">
        <v>1175</v>
      </c>
      <c r="D18" s="444">
        <v>250230683</v>
      </c>
      <c r="E18" s="441" t="s">
        <v>1729</v>
      </c>
      <c r="F18" s="443" t="s">
        <v>1730</v>
      </c>
      <c r="G18" s="32">
        <v>1</v>
      </c>
      <c r="H18" s="32" t="s">
        <v>66</v>
      </c>
      <c r="I18" s="31">
        <v>15</v>
      </c>
      <c r="W18" s="2" t="s">
        <v>1194</v>
      </c>
      <c r="AC18" s="2">
        <f t="shared" ca="1" si="0"/>
        <v>43</v>
      </c>
      <c r="AD18" s="2" t="e">
        <f t="shared" ca="1" si="1"/>
        <v>#VALUE!</v>
      </c>
      <c r="AE18" s="2">
        <f t="shared" ca="1" si="2"/>
        <v>43</v>
      </c>
      <c r="AF18" s="2" t="e">
        <f t="shared" ca="1" si="3"/>
        <v>#VALUE!</v>
      </c>
    </row>
    <row r="19" spans="1:32" ht="32.4" customHeight="1">
      <c r="A19" s="31">
        <v>16</v>
      </c>
      <c r="B19" s="446">
        <v>34095</v>
      </c>
      <c r="C19" s="718" t="s">
        <v>2041</v>
      </c>
      <c r="D19" s="447">
        <v>150523533</v>
      </c>
      <c r="E19" s="448" t="s">
        <v>1843</v>
      </c>
      <c r="F19" s="449" t="s">
        <v>286</v>
      </c>
      <c r="G19" s="32">
        <v>1</v>
      </c>
      <c r="H19" s="32" t="s">
        <v>66</v>
      </c>
      <c r="I19" s="31">
        <v>16</v>
      </c>
      <c r="W19" s="2" t="s">
        <v>410</v>
      </c>
      <c r="AC19" s="2">
        <f t="shared" ca="1" si="0"/>
        <v>33</v>
      </c>
      <c r="AD19" s="2" t="e">
        <f t="shared" ca="1" si="1"/>
        <v>#VALUE!</v>
      </c>
      <c r="AE19" s="2">
        <f t="shared" ca="1" si="2"/>
        <v>33</v>
      </c>
      <c r="AF19" s="2" t="e">
        <f t="shared" ca="1" si="3"/>
        <v>#VALUE!</v>
      </c>
    </row>
    <row r="20" spans="1:32" ht="32.4" customHeight="1">
      <c r="A20" s="31">
        <v>17</v>
      </c>
      <c r="B20" s="438">
        <v>34015</v>
      </c>
      <c r="C20" s="717" t="s">
        <v>1175</v>
      </c>
      <c r="D20" s="444">
        <v>150483982</v>
      </c>
      <c r="E20" s="441" t="s">
        <v>1844</v>
      </c>
      <c r="F20" s="443" t="s">
        <v>288</v>
      </c>
      <c r="G20" s="32">
        <v>1</v>
      </c>
      <c r="H20" s="32" t="s">
        <v>66</v>
      </c>
      <c r="I20" s="31">
        <v>17</v>
      </c>
      <c r="W20" s="2" t="s">
        <v>412</v>
      </c>
      <c r="AC20" s="2">
        <f t="shared" ca="1" si="0"/>
        <v>33</v>
      </c>
      <c r="AD20" s="2" t="e">
        <f t="shared" ca="1" si="1"/>
        <v>#VALUE!</v>
      </c>
      <c r="AE20" s="2">
        <f t="shared" ca="1" si="2"/>
        <v>33</v>
      </c>
      <c r="AF20" s="2" t="e">
        <f t="shared" ca="1" si="3"/>
        <v>#VALUE!</v>
      </c>
    </row>
    <row r="21" spans="1:32" ht="32.4" customHeight="1">
      <c r="A21" s="31">
        <v>18</v>
      </c>
      <c r="B21" s="438">
        <v>34125</v>
      </c>
      <c r="C21" s="718" t="s">
        <v>2041</v>
      </c>
      <c r="D21" s="444">
        <v>220102090</v>
      </c>
      <c r="E21" s="441" t="s">
        <v>1731</v>
      </c>
      <c r="F21" s="443" t="s">
        <v>1236</v>
      </c>
      <c r="G21" s="32">
        <v>1</v>
      </c>
      <c r="H21" s="32" t="s">
        <v>66</v>
      </c>
      <c r="I21" s="31">
        <v>18</v>
      </c>
      <c r="W21" s="2" t="s">
        <v>298</v>
      </c>
      <c r="AC21" s="2">
        <f t="shared" ca="1" si="0"/>
        <v>33</v>
      </c>
      <c r="AD21" s="2" t="e">
        <f t="shared" ca="1" si="1"/>
        <v>#VALUE!</v>
      </c>
      <c r="AE21" s="2">
        <f t="shared" ca="1" si="2"/>
        <v>33</v>
      </c>
      <c r="AF21" s="2" t="e">
        <f t="shared" ca="1" si="3"/>
        <v>#VALUE!</v>
      </c>
    </row>
    <row r="22" spans="1:32" ht="32.4" customHeight="1">
      <c r="A22" s="31">
        <v>19</v>
      </c>
      <c r="B22" s="438">
        <v>29474</v>
      </c>
      <c r="C22" s="718" t="s">
        <v>2041</v>
      </c>
      <c r="D22" s="444">
        <v>250230682</v>
      </c>
      <c r="E22" s="441" t="s">
        <v>289</v>
      </c>
      <c r="F22" s="443" t="s">
        <v>290</v>
      </c>
      <c r="G22" s="32">
        <v>1</v>
      </c>
      <c r="H22" s="32" t="s">
        <v>66</v>
      </c>
      <c r="I22" s="31">
        <v>19</v>
      </c>
      <c r="W22" s="2" t="s">
        <v>1195</v>
      </c>
      <c r="AC22" s="2">
        <f t="shared" ca="1" si="0"/>
        <v>46</v>
      </c>
      <c r="AD22" s="2" t="e">
        <f t="shared" ca="1" si="1"/>
        <v>#VALUE!</v>
      </c>
      <c r="AE22" s="2">
        <f t="shared" ca="1" si="2"/>
        <v>46</v>
      </c>
      <c r="AF22" s="2" t="e">
        <f t="shared" ca="1" si="3"/>
        <v>#VALUE!</v>
      </c>
    </row>
    <row r="23" spans="1:32" ht="32.4" customHeight="1">
      <c r="A23" s="31">
        <v>20</v>
      </c>
      <c r="B23" s="438">
        <v>34523</v>
      </c>
      <c r="C23" s="718" t="s">
        <v>2041</v>
      </c>
      <c r="D23" s="444">
        <v>220205841</v>
      </c>
      <c r="E23" s="441" t="s">
        <v>291</v>
      </c>
      <c r="F23" s="443" t="s">
        <v>292</v>
      </c>
      <c r="G23" s="32">
        <v>1</v>
      </c>
      <c r="H23" s="32" t="s">
        <v>66</v>
      </c>
      <c r="I23" s="31">
        <v>20</v>
      </c>
      <c r="W23" s="2" t="s">
        <v>801</v>
      </c>
      <c r="AC23" s="2">
        <f t="shared" ca="1" si="0"/>
        <v>32</v>
      </c>
      <c r="AD23" s="2" t="e">
        <f t="shared" ca="1" si="1"/>
        <v>#VALUE!</v>
      </c>
      <c r="AE23" s="2">
        <f t="shared" ca="1" si="2"/>
        <v>32</v>
      </c>
      <c r="AF23" s="2" t="e">
        <f t="shared" ca="1" si="3"/>
        <v>#VALUE!</v>
      </c>
    </row>
    <row r="24" spans="1:32" ht="32.4" customHeight="1">
      <c r="A24" s="31">
        <v>21</v>
      </c>
      <c r="B24" s="450">
        <v>32936</v>
      </c>
      <c r="C24" s="718" t="s">
        <v>2041</v>
      </c>
      <c r="D24" s="447">
        <v>220175291</v>
      </c>
      <c r="E24" s="448" t="s">
        <v>1845</v>
      </c>
      <c r="F24" s="449" t="s">
        <v>294</v>
      </c>
      <c r="G24" s="32">
        <v>1</v>
      </c>
      <c r="H24" s="32" t="s">
        <v>66</v>
      </c>
      <c r="I24" s="31">
        <v>21</v>
      </c>
      <c r="W24" s="2" t="s">
        <v>803</v>
      </c>
      <c r="AC24" s="2">
        <f t="shared" ca="1" si="0"/>
        <v>36</v>
      </c>
      <c r="AD24" s="2" t="e">
        <f t="shared" ca="1" si="1"/>
        <v>#VALUE!</v>
      </c>
      <c r="AE24" s="2">
        <f t="shared" ca="1" si="2"/>
        <v>36</v>
      </c>
      <c r="AF24" s="2" t="e">
        <f t="shared" ca="1" si="3"/>
        <v>#VALUE!</v>
      </c>
    </row>
    <row r="25" spans="1:32" ht="32.4" customHeight="1">
      <c r="A25" s="31">
        <v>22</v>
      </c>
      <c r="B25" s="438">
        <v>34552</v>
      </c>
      <c r="C25" s="718" t="s">
        <v>2041</v>
      </c>
      <c r="D25" s="444">
        <v>220234353</v>
      </c>
      <c r="E25" s="441" t="s">
        <v>295</v>
      </c>
      <c r="F25" s="443" t="s">
        <v>296</v>
      </c>
      <c r="G25" s="32">
        <v>1</v>
      </c>
      <c r="H25" s="32" t="s">
        <v>66</v>
      </c>
      <c r="I25" s="31">
        <v>22</v>
      </c>
      <c r="W25" s="2" t="s">
        <v>775</v>
      </c>
      <c r="AC25" s="2">
        <f t="shared" ca="1" si="0"/>
        <v>32</v>
      </c>
      <c r="AD25" s="2" t="e">
        <f t="shared" ca="1" si="1"/>
        <v>#VALUE!</v>
      </c>
      <c r="AE25" s="2">
        <f t="shared" ca="1" si="2"/>
        <v>32</v>
      </c>
      <c r="AF25" s="2" t="e">
        <f t="shared" ca="1" si="3"/>
        <v>#VALUE!</v>
      </c>
    </row>
    <row r="26" spans="1:32" ht="32.4" customHeight="1">
      <c r="A26" s="31">
        <v>23</v>
      </c>
      <c r="B26" s="446">
        <v>36692</v>
      </c>
      <c r="C26" s="718" t="s">
        <v>2041</v>
      </c>
      <c r="D26" s="447">
        <v>150836178</v>
      </c>
      <c r="E26" s="448" t="s">
        <v>376</v>
      </c>
      <c r="F26" s="449" t="s">
        <v>377</v>
      </c>
      <c r="G26" s="32">
        <v>1</v>
      </c>
      <c r="H26" s="32" t="s">
        <v>66</v>
      </c>
      <c r="I26" s="31">
        <v>23</v>
      </c>
      <c r="W26" s="2" t="s">
        <v>417</v>
      </c>
      <c r="AC26" s="2">
        <f t="shared" ca="1" si="0"/>
        <v>26</v>
      </c>
      <c r="AD26" s="2" t="e">
        <f t="shared" ca="1" si="1"/>
        <v>#VALUE!</v>
      </c>
      <c r="AE26" s="2">
        <f t="shared" ca="1" si="2"/>
        <v>26</v>
      </c>
      <c r="AF26" s="2" t="e">
        <f t="shared" ca="1" si="3"/>
        <v>#VALUE!</v>
      </c>
    </row>
    <row r="27" spans="1:32" ht="32.4" customHeight="1">
      <c r="A27" s="31">
        <v>24</v>
      </c>
      <c r="B27" s="438">
        <v>35189</v>
      </c>
      <c r="C27" s="718" t="s">
        <v>2041</v>
      </c>
      <c r="D27" s="440">
        <v>220208788</v>
      </c>
      <c r="E27" s="441" t="s">
        <v>299</v>
      </c>
      <c r="F27" s="443" t="s">
        <v>300</v>
      </c>
      <c r="G27" s="32">
        <v>1</v>
      </c>
      <c r="H27" s="32" t="s">
        <v>66</v>
      </c>
      <c r="I27" s="31">
        <v>24</v>
      </c>
      <c r="W27" s="2" t="s">
        <v>328</v>
      </c>
      <c r="AC27" s="2">
        <f t="shared" ca="1" si="0"/>
        <v>30</v>
      </c>
      <c r="AD27" s="2" t="e">
        <f t="shared" ca="1" si="1"/>
        <v>#VALUE!</v>
      </c>
      <c r="AE27" s="2">
        <f t="shared" ca="1" si="2"/>
        <v>30</v>
      </c>
      <c r="AF27" s="2" t="e">
        <f t="shared" ca="1" si="3"/>
        <v>#VALUE!</v>
      </c>
    </row>
    <row r="28" spans="1:32" ht="32.4" customHeight="1">
      <c r="A28" s="31">
        <v>25</v>
      </c>
      <c r="B28" s="438">
        <v>31200</v>
      </c>
      <c r="C28" s="717" t="s">
        <v>1175</v>
      </c>
      <c r="D28" s="452" t="s">
        <v>1196</v>
      </c>
      <c r="E28" s="441" t="s">
        <v>301</v>
      </c>
      <c r="F28" s="443" t="s">
        <v>302</v>
      </c>
      <c r="G28" s="32">
        <v>1</v>
      </c>
      <c r="H28" s="32" t="s">
        <v>66</v>
      </c>
      <c r="I28" s="31">
        <v>25</v>
      </c>
      <c r="W28" s="2" t="s">
        <v>1197</v>
      </c>
      <c r="AC28" s="2">
        <f t="shared" ca="1" si="0"/>
        <v>41</v>
      </c>
      <c r="AD28" s="2" t="e">
        <f t="shared" ca="1" si="1"/>
        <v>#VALUE!</v>
      </c>
      <c r="AE28" s="2">
        <f t="shared" ca="1" si="2"/>
        <v>41</v>
      </c>
      <c r="AF28" s="2" t="e">
        <f t="shared" ca="1" si="3"/>
        <v>#VALUE!</v>
      </c>
    </row>
    <row r="29" spans="1:32" ht="32.4" customHeight="1">
      <c r="A29" s="31">
        <v>26</v>
      </c>
      <c r="B29" s="438">
        <v>30904</v>
      </c>
      <c r="C29" s="718" t="s">
        <v>2041</v>
      </c>
      <c r="D29" s="452" t="s">
        <v>1198</v>
      </c>
      <c r="E29" s="441" t="s">
        <v>303</v>
      </c>
      <c r="F29" s="443" t="s">
        <v>304</v>
      </c>
      <c r="G29" s="32">
        <v>1</v>
      </c>
      <c r="H29" s="32" t="s">
        <v>66</v>
      </c>
      <c r="I29" s="31">
        <v>26</v>
      </c>
      <c r="W29" s="2" t="s">
        <v>1199</v>
      </c>
      <c r="AC29" s="2">
        <f t="shared" ca="1" si="0"/>
        <v>42</v>
      </c>
      <c r="AD29" s="2" t="e">
        <f t="shared" ca="1" si="1"/>
        <v>#VALUE!</v>
      </c>
      <c r="AE29" s="2">
        <f t="shared" ca="1" si="2"/>
        <v>42</v>
      </c>
      <c r="AF29" s="2" t="e">
        <f t="shared" ca="1" si="3"/>
        <v>#VALUE!</v>
      </c>
    </row>
    <row r="30" spans="1:32" ht="32.4" customHeight="1">
      <c r="A30" s="31">
        <v>27</v>
      </c>
      <c r="B30" s="438">
        <v>38861</v>
      </c>
      <c r="C30" s="718" t="s">
        <v>2041</v>
      </c>
      <c r="D30" s="444">
        <v>250373915</v>
      </c>
      <c r="E30" s="441" t="s">
        <v>305</v>
      </c>
      <c r="F30" s="443" t="s">
        <v>306</v>
      </c>
      <c r="G30" s="32">
        <v>1</v>
      </c>
      <c r="H30" s="32" t="s">
        <v>66</v>
      </c>
      <c r="I30" s="31">
        <v>27</v>
      </c>
      <c r="W30" s="2" t="s">
        <v>1200</v>
      </c>
      <c r="AC30" s="2">
        <f t="shared" ca="1" si="0"/>
        <v>20</v>
      </c>
      <c r="AD30" s="2" t="e">
        <f t="shared" ca="1" si="1"/>
        <v>#VALUE!</v>
      </c>
      <c r="AE30" s="2">
        <f t="shared" ca="1" si="2"/>
        <v>20</v>
      </c>
      <c r="AF30" s="2" t="e">
        <f t="shared" ca="1" si="3"/>
        <v>#VALUE!</v>
      </c>
    </row>
    <row r="31" spans="1:32" ht="32.4" customHeight="1">
      <c r="A31" s="31">
        <v>28</v>
      </c>
      <c r="B31" s="438">
        <v>39434</v>
      </c>
      <c r="C31" s="718" t="s">
        <v>2041</v>
      </c>
      <c r="D31" s="444">
        <v>151065238</v>
      </c>
      <c r="E31" s="441" t="s">
        <v>1774</v>
      </c>
      <c r="F31" s="443" t="s">
        <v>1775</v>
      </c>
      <c r="G31" s="32">
        <v>1</v>
      </c>
      <c r="H31" s="32" t="s">
        <v>66</v>
      </c>
      <c r="I31" s="31">
        <v>28</v>
      </c>
      <c r="W31" s="2" t="s">
        <v>1201</v>
      </c>
      <c r="AC31" s="2">
        <f t="shared" ca="1" si="0"/>
        <v>19</v>
      </c>
      <c r="AD31" s="2" t="e">
        <f t="shared" ca="1" si="1"/>
        <v>#VALUE!</v>
      </c>
      <c r="AE31" s="2">
        <f t="shared" ca="1" si="2"/>
        <v>19</v>
      </c>
      <c r="AF31" s="2" t="e">
        <f t="shared" ca="1" si="3"/>
        <v>#VALUE!</v>
      </c>
    </row>
    <row r="32" spans="1:32" ht="32.4" customHeight="1">
      <c r="A32" s="31">
        <v>29</v>
      </c>
      <c r="B32" s="438">
        <v>39615</v>
      </c>
      <c r="C32" s="717" t="s">
        <v>1175</v>
      </c>
      <c r="D32" s="444">
        <v>151057212</v>
      </c>
      <c r="E32" s="441" t="s">
        <v>307</v>
      </c>
      <c r="F32" s="443" t="s">
        <v>308</v>
      </c>
      <c r="G32" s="32">
        <v>1</v>
      </c>
      <c r="H32" s="32" t="s">
        <v>66</v>
      </c>
      <c r="I32" s="31">
        <v>29</v>
      </c>
      <c r="W32" s="2" t="s">
        <v>1202</v>
      </c>
      <c r="AC32" s="2">
        <f t="shared" ca="1" si="0"/>
        <v>18</v>
      </c>
      <c r="AD32" s="2" t="e">
        <f t="shared" ca="1" si="1"/>
        <v>#VALUE!</v>
      </c>
      <c r="AE32" s="2">
        <f t="shared" ca="1" si="2"/>
        <v>18</v>
      </c>
      <c r="AF32" s="2" t="e">
        <f t="shared" ca="1" si="3"/>
        <v>#VALUE!</v>
      </c>
    </row>
    <row r="33" spans="1:37" ht="32.4" customHeight="1">
      <c r="A33" s="31">
        <v>30</v>
      </c>
      <c r="B33" s="438">
        <v>28982</v>
      </c>
      <c r="C33" s="718" t="s">
        <v>2041</v>
      </c>
      <c r="D33" s="444">
        <v>150978869</v>
      </c>
      <c r="E33" s="441" t="s">
        <v>309</v>
      </c>
      <c r="F33" s="443" t="s">
        <v>310</v>
      </c>
      <c r="G33" s="32">
        <v>1</v>
      </c>
      <c r="H33" s="32" t="s">
        <v>66</v>
      </c>
      <c r="I33" s="31">
        <v>30</v>
      </c>
      <c r="W33" s="2" t="s">
        <v>1203</v>
      </c>
      <c r="AC33" s="2">
        <f t="shared" ca="1" si="0"/>
        <v>47</v>
      </c>
      <c r="AD33" s="2" t="e">
        <f t="shared" ca="1" si="1"/>
        <v>#VALUE!</v>
      </c>
      <c r="AE33" s="2">
        <f t="shared" ca="1" si="2"/>
        <v>47</v>
      </c>
      <c r="AF33" s="2" t="e">
        <f t="shared" ca="1" si="3"/>
        <v>#VALUE!</v>
      </c>
    </row>
    <row r="34" spans="1:37" ht="32.4" customHeight="1">
      <c r="A34" s="31">
        <v>31</v>
      </c>
      <c r="B34" s="438">
        <v>38595</v>
      </c>
      <c r="C34" s="717" t="s">
        <v>1175</v>
      </c>
      <c r="D34" s="440">
        <v>150983094</v>
      </c>
      <c r="E34" s="441" t="s">
        <v>311</v>
      </c>
      <c r="F34" s="443" t="s">
        <v>312</v>
      </c>
      <c r="G34" s="32">
        <v>1</v>
      </c>
      <c r="H34" s="32" t="s">
        <v>66</v>
      </c>
      <c r="I34" s="31">
        <v>31</v>
      </c>
      <c r="W34" s="2" t="s">
        <v>333</v>
      </c>
      <c r="AC34" s="2">
        <f t="shared" ca="1" si="0"/>
        <v>21</v>
      </c>
      <c r="AD34" s="2" t="e">
        <f t="shared" ca="1" si="1"/>
        <v>#VALUE!</v>
      </c>
      <c r="AE34" s="2">
        <f t="shared" ca="1" si="2"/>
        <v>21</v>
      </c>
      <c r="AF34" s="2" t="e">
        <f t="shared" ca="1" si="3"/>
        <v>#VALUE!</v>
      </c>
    </row>
    <row r="35" spans="1:37" ht="32.4" customHeight="1">
      <c r="A35" s="31">
        <v>32</v>
      </c>
      <c r="B35" s="446">
        <v>30503</v>
      </c>
      <c r="C35" s="718" t="s">
        <v>2041</v>
      </c>
      <c r="D35" s="447">
        <v>220175216</v>
      </c>
      <c r="E35" s="448" t="s">
        <v>313</v>
      </c>
      <c r="F35" s="449" t="s">
        <v>314</v>
      </c>
      <c r="G35" s="32">
        <v>1</v>
      </c>
      <c r="H35" s="32" t="s">
        <v>66</v>
      </c>
      <c r="I35" s="31">
        <v>32</v>
      </c>
      <c r="W35" s="2" t="s">
        <v>476</v>
      </c>
      <c r="AC35" s="2">
        <f t="shared" ca="1" si="0"/>
        <v>43</v>
      </c>
      <c r="AD35" s="2" t="e">
        <f t="shared" ca="1" si="1"/>
        <v>#VALUE!</v>
      </c>
      <c r="AE35" s="2">
        <f t="shared" ca="1" si="2"/>
        <v>43</v>
      </c>
      <c r="AF35" s="2" t="e">
        <f t="shared" ca="1" si="3"/>
        <v>#VALUE!</v>
      </c>
    </row>
    <row r="36" spans="1:37" ht="32.4" customHeight="1">
      <c r="A36" s="31">
        <v>33</v>
      </c>
      <c r="B36" s="438">
        <v>31663</v>
      </c>
      <c r="C36" s="718" t="s">
        <v>2041</v>
      </c>
      <c r="D36" s="444">
        <v>220175443</v>
      </c>
      <c r="E36" s="441" t="s">
        <v>315</v>
      </c>
      <c r="F36" s="443" t="s">
        <v>316</v>
      </c>
      <c r="G36" s="32">
        <v>1</v>
      </c>
      <c r="H36" s="32" t="s">
        <v>66</v>
      </c>
      <c r="I36" s="31">
        <v>33</v>
      </c>
      <c r="W36" s="2" t="s">
        <v>1204</v>
      </c>
      <c r="AC36" s="2">
        <f t="shared" ca="1" si="0"/>
        <v>40</v>
      </c>
      <c r="AD36" s="2" t="e">
        <f t="shared" ca="1" si="1"/>
        <v>#VALUE!</v>
      </c>
      <c r="AE36" s="2">
        <f t="shared" ca="1" si="2"/>
        <v>40</v>
      </c>
      <c r="AF36" s="2" t="e">
        <f t="shared" ca="1" si="3"/>
        <v>#VALUE!</v>
      </c>
    </row>
    <row r="37" spans="1:37" ht="32.4" customHeight="1">
      <c r="A37" s="31">
        <v>34</v>
      </c>
      <c r="B37" s="438">
        <v>37412</v>
      </c>
      <c r="C37" s="718" t="s">
        <v>2041</v>
      </c>
      <c r="D37" s="444">
        <v>220208812</v>
      </c>
      <c r="E37" s="441" t="s">
        <v>1846</v>
      </c>
      <c r="F37" s="443" t="s">
        <v>318</v>
      </c>
      <c r="G37" s="32">
        <v>1</v>
      </c>
      <c r="H37" s="32" t="s">
        <v>66</v>
      </c>
      <c r="I37" s="31">
        <v>34</v>
      </c>
      <c r="J37" s="34">
        <v>37309</v>
      </c>
      <c r="K37" s="34" t="s">
        <v>1205</v>
      </c>
      <c r="L37" s="35">
        <v>150935164</v>
      </c>
      <c r="M37" s="36" t="s">
        <v>1206</v>
      </c>
      <c r="N37" s="37" t="s">
        <v>381</v>
      </c>
      <c r="W37" s="2" t="s">
        <v>1207</v>
      </c>
      <c r="AC37" s="2">
        <f t="shared" ca="1" si="0"/>
        <v>24</v>
      </c>
      <c r="AD37" s="2" t="e">
        <f t="shared" ca="1" si="1"/>
        <v>#VALUE!</v>
      </c>
      <c r="AE37" s="2">
        <f t="shared" ca="1" si="2"/>
        <v>24</v>
      </c>
      <c r="AF37" s="2" t="e">
        <f t="shared" ca="1" si="3"/>
        <v>#VALUE!</v>
      </c>
    </row>
    <row r="38" spans="1:37" ht="32.4" customHeight="1">
      <c r="A38" s="31">
        <v>35</v>
      </c>
      <c r="B38" s="438">
        <v>30868</v>
      </c>
      <c r="C38" s="717" t="s">
        <v>1175</v>
      </c>
      <c r="D38" s="444">
        <v>220175374</v>
      </c>
      <c r="E38" s="441" t="s">
        <v>1732</v>
      </c>
      <c r="F38" s="443" t="s">
        <v>1733</v>
      </c>
      <c r="G38" s="32">
        <v>1</v>
      </c>
      <c r="H38" s="32" t="s">
        <v>66</v>
      </c>
      <c r="I38" s="31">
        <v>35</v>
      </c>
      <c r="W38" s="2" t="s">
        <v>1009</v>
      </c>
      <c r="AC38" s="2">
        <f t="shared" ca="1" si="0"/>
        <v>42</v>
      </c>
      <c r="AD38" s="2" t="e">
        <f t="shared" ca="1" si="1"/>
        <v>#VALUE!</v>
      </c>
      <c r="AE38" s="2">
        <f t="shared" ca="1" si="2"/>
        <v>42</v>
      </c>
      <c r="AF38" s="2" t="e">
        <f t="shared" ca="1" si="3"/>
        <v>#VALUE!</v>
      </c>
    </row>
    <row r="39" spans="1:37" ht="32.4" customHeight="1">
      <c r="A39" s="31">
        <v>36</v>
      </c>
      <c r="B39" s="438">
        <v>38777</v>
      </c>
      <c r="C39" s="717" t="s">
        <v>1175</v>
      </c>
      <c r="D39" s="444">
        <v>220234356</v>
      </c>
      <c r="E39" s="441" t="s">
        <v>1847</v>
      </c>
      <c r="F39" s="443" t="s">
        <v>320</v>
      </c>
      <c r="G39" s="32">
        <v>1</v>
      </c>
      <c r="H39" s="32" t="s">
        <v>66</v>
      </c>
      <c r="I39" s="31">
        <v>36</v>
      </c>
      <c r="W39" s="2" t="s">
        <v>1208</v>
      </c>
      <c r="AC39" s="2">
        <f t="shared" ca="1" si="0"/>
        <v>20</v>
      </c>
      <c r="AD39" s="2" t="e">
        <f t="shared" ca="1" si="1"/>
        <v>#VALUE!</v>
      </c>
      <c r="AE39" s="2">
        <f t="shared" ca="1" si="2"/>
        <v>20</v>
      </c>
      <c r="AF39" s="2" t="e">
        <f t="shared" ca="1" si="3"/>
        <v>#VALUE!</v>
      </c>
    </row>
    <row r="40" spans="1:37" ht="32.4" customHeight="1">
      <c r="A40" s="31">
        <v>37</v>
      </c>
      <c r="B40" s="438">
        <v>30835</v>
      </c>
      <c r="C40" s="718" t="s">
        <v>2041</v>
      </c>
      <c r="D40" s="444">
        <v>160485580</v>
      </c>
      <c r="E40" s="441" t="s">
        <v>321</v>
      </c>
      <c r="F40" s="443" t="s">
        <v>322</v>
      </c>
      <c r="G40" s="32">
        <v>1</v>
      </c>
      <c r="H40" s="32" t="s">
        <v>66</v>
      </c>
      <c r="I40" s="31">
        <v>37</v>
      </c>
      <c r="W40" s="2" t="s">
        <v>369</v>
      </c>
      <c r="AC40" s="2">
        <f t="shared" ca="1" si="0"/>
        <v>42</v>
      </c>
      <c r="AD40" s="2" t="e">
        <f t="shared" ca="1" si="1"/>
        <v>#VALUE!</v>
      </c>
      <c r="AE40" s="2">
        <f t="shared" ca="1" si="2"/>
        <v>42</v>
      </c>
      <c r="AF40" s="2" t="e">
        <f t="shared" ca="1" si="3"/>
        <v>#VALUE!</v>
      </c>
    </row>
    <row r="41" spans="1:37" ht="32.4" customHeight="1">
      <c r="A41" s="31">
        <v>38</v>
      </c>
      <c r="B41" s="438">
        <v>35066</v>
      </c>
      <c r="C41" s="717" t="s">
        <v>1175</v>
      </c>
      <c r="D41" s="444">
        <v>150523513</v>
      </c>
      <c r="E41" s="441" t="s">
        <v>323</v>
      </c>
      <c r="F41" s="443" t="s">
        <v>324</v>
      </c>
      <c r="G41" s="32">
        <v>1</v>
      </c>
      <c r="H41" s="32" t="s">
        <v>66</v>
      </c>
      <c r="I41" s="31">
        <v>38</v>
      </c>
      <c r="J41" s="34">
        <v>35351</v>
      </c>
      <c r="K41" s="34" t="s">
        <v>1205</v>
      </c>
      <c r="L41" s="35">
        <v>150650748</v>
      </c>
      <c r="M41" s="36" t="s">
        <v>1209</v>
      </c>
      <c r="N41" s="37" t="s">
        <v>1210</v>
      </c>
      <c r="W41" s="2" t="s">
        <v>1211</v>
      </c>
      <c r="AC41" s="2">
        <f t="shared" ca="1" si="0"/>
        <v>30</v>
      </c>
      <c r="AD41" s="2" t="e">
        <f t="shared" ca="1" si="1"/>
        <v>#VALUE!</v>
      </c>
      <c r="AE41" s="2">
        <f t="shared" ca="1" si="2"/>
        <v>30</v>
      </c>
      <c r="AF41" s="2" t="e">
        <f t="shared" ca="1" si="3"/>
        <v>#VALUE!</v>
      </c>
    </row>
    <row r="42" spans="1:37" ht="32.4" customHeight="1">
      <c r="A42" s="31">
        <v>39</v>
      </c>
      <c r="B42" s="438">
        <v>33401</v>
      </c>
      <c r="C42" s="718" t="s">
        <v>2041</v>
      </c>
      <c r="D42" s="444">
        <v>150648033</v>
      </c>
      <c r="E42" s="441" t="s">
        <v>325</v>
      </c>
      <c r="F42" s="443" t="s">
        <v>326</v>
      </c>
      <c r="G42" s="32">
        <v>1</v>
      </c>
      <c r="H42" s="32" t="s">
        <v>66</v>
      </c>
      <c r="I42" s="31">
        <v>39</v>
      </c>
      <c r="W42" s="2" t="s">
        <v>1212</v>
      </c>
      <c r="AC42" s="2">
        <f t="shared" ca="1" si="0"/>
        <v>35</v>
      </c>
      <c r="AD42" s="2" t="e">
        <f t="shared" ca="1" si="1"/>
        <v>#VALUE!</v>
      </c>
      <c r="AE42" s="2">
        <f t="shared" ca="1" si="2"/>
        <v>35</v>
      </c>
      <c r="AF42" s="2" t="e">
        <f t="shared" ca="1" si="3"/>
        <v>#VALUE!</v>
      </c>
    </row>
    <row r="43" spans="1:37" ht="32.4" customHeight="1">
      <c r="A43" s="31">
        <v>40</v>
      </c>
      <c r="B43" s="438">
        <v>38363</v>
      </c>
      <c r="C43" s="717" t="s">
        <v>1175</v>
      </c>
      <c r="D43" s="444">
        <v>220220033</v>
      </c>
      <c r="E43" s="441" t="s">
        <v>327</v>
      </c>
      <c r="F43" s="443" t="s">
        <v>328</v>
      </c>
      <c r="G43" s="32">
        <v>1</v>
      </c>
      <c r="H43" s="32" t="s">
        <v>66</v>
      </c>
      <c r="I43" s="31">
        <v>40</v>
      </c>
      <c r="W43" s="2" t="s">
        <v>1213</v>
      </c>
      <c r="AC43" s="2">
        <f t="shared" ca="1" si="0"/>
        <v>21</v>
      </c>
      <c r="AD43" s="2" t="e">
        <f t="shared" ca="1" si="1"/>
        <v>#VALUE!</v>
      </c>
      <c r="AE43" s="2">
        <f t="shared" ca="1" si="2"/>
        <v>21</v>
      </c>
      <c r="AF43" s="2" t="e">
        <f t="shared" ca="1" si="3"/>
        <v>#VALUE!</v>
      </c>
    </row>
    <row r="44" spans="1:37" ht="32.4" customHeight="1">
      <c r="A44" s="31">
        <v>41</v>
      </c>
      <c r="B44" s="438">
        <v>37441</v>
      </c>
      <c r="C44" s="718" t="s">
        <v>2041</v>
      </c>
      <c r="D44" s="444">
        <v>150935343</v>
      </c>
      <c r="E44" s="441" t="s">
        <v>329</v>
      </c>
      <c r="F44" s="443" t="s">
        <v>330</v>
      </c>
      <c r="G44" s="32">
        <v>1</v>
      </c>
      <c r="H44" s="32" t="s">
        <v>66</v>
      </c>
      <c r="I44" s="31">
        <v>41</v>
      </c>
      <c r="W44" s="2" t="s">
        <v>1214</v>
      </c>
      <c r="AC44" s="2">
        <f t="shared" ca="1" si="0"/>
        <v>24</v>
      </c>
      <c r="AD44" s="2" t="e">
        <f t="shared" ca="1" si="1"/>
        <v>#VALUE!</v>
      </c>
      <c r="AE44" s="2">
        <f t="shared" ca="1" si="2"/>
        <v>24</v>
      </c>
      <c r="AF44" s="2" t="e">
        <f t="shared" ca="1" si="3"/>
        <v>#VALUE!</v>
      </c>
    </row>
    <row r="45" spans="1:37" ht="32.4" customHeight="1">
      <c r="A45" s="31">
        <v>42</v>
      </c>
      <c r="B45" s="438">
        <v>33796</v>
      </c>
      <c r="C45" s="718" t="s">
        <v>2041</v>
      </c>
      <c r="D45" s="444">
        <v>150468460</v>
      </c>
      <c r="E45" s="441" t="s">
        <v>1996</v>
      </c>
      <c r="F45" s="443" t="s">
        <v>1997</v>
      </c>
      <c r="G45" s="32">
        <v>1</v>
      </c>
      <c r="H45" s="32" t="s">
        <v>66</v>
      </c>
      <c r="I45" s="31">
        <v>42</v>
      </c>
      <c r="W45" s="2" t="s">
        <v>1215</v>
      </c>
      <c r="AC45" s="2">
        <f t="shared" ca="1" si="0"/>
        <v>34</v>
      </c>
      <c r="AD45" s="2" t="e">
        <f t="shared" ca="1" si="1"/>
        <v>#VALUE!</v>
      </c>
      <c r="AE45" s="2">
        <f t="shared" ca="1" si="2"/>
        <v>34</v>
      </c>
      <c r="AF45" s="2" t="e">
        <f t="shared" ca="1" si="3"/>
        <v>#VALUE!</v>
      </c>
      <c r="AG45" s="34"/>
      <c r="AH45" s="34">
        <v>30201</v>
      </c>
      <c r="AI45" s="32">
        <v>250121370</v>
      </c>
      <c r="AJ45" s="41" t="s">
        <v>1216</v>
      </c>
      <c r="AK45" s="31" t="s">
        <v>1217</v>
      </c>
    </row>
    <row r="46" spans="1:37" ht="32.4" customHeight="1">
      <c r="A46" s="31">
        <v>43</v>
      </c>
      <c r="B46" s="438">
        <v>32968</v>
      </c>
      <c r="C46" s="718" t="s">
        <v>2041</v>
      </c>
      <c r="D46" s="444">
        <v>220175299</v>
      </c>
      <c r="E46" s="441" t="s">
        <v>295</v>
      </c>
      <c r="F46" s="443" t="s">
        <v>333</v>
      </c>
      <c r="G46" s="32">
        <v>1</v>
      </c>
      <c r="H46" s="32" t="s">
        <v>66</v>
      </c>
      <c r="I46" s="31">
        <v>43</v>
      </c>
      <c r="J46" s="34" t="s">
        <v>1205</v>
      </c>
      <c r="K46" s="34">
        <v>37162</v>
      </c>
      <c r="L46" s="35">
        <v>220217470</v>
      </c>
      <c r="M46" s="36" t="s">
        <v>1218</v>
      </c>
      <c r="N46" s="37" t="s">
        <v>1219</v>
      </c>
      <c r="W46" s="2" t="s">
        <v>1219</v>
      </c>
      <c r="AC46" s="2">
        <f t="shared" ca="1" si="0"/>
        <v>36</v>
      </c>
      <c r="AD46" s="2" t="e">
        <f t="shared" ca="1" si="1"/>
        <v>#VALUE!</v>
      </c>
      <c r="AE46" s="2">
        <f t="shared" ca="1" si="2"/>
        <v>36</v>
      </c>
      <c r="AF46" s="2" t="e">
        <f t="shared" ca="1" si="3"/>
        <v>#VALUE!</v>
      </c>
      <c r="AG46" s="34">
        <v>30796</v>
      </c>
      <c r="AH46" s="34"/>
      <c r="AI46" s="32">
        <v>250121371</v>
      </c>
      <c r="AJ46" s="41" t="s">
        <v>1220</v>
      </c>
      <c r="AK46" s="31" t="s">
        <v>1221</v>
      </c>
    </row>
    <row r="47" spans="1:37" ht="32.4" customHeight="1">
      <c r="A47" s="31">
        <v>44</v>
      </c>
      <c r="B47" s="453">
        <v>36783</v>
      </c>
      <c r="C47" s="717" t="s">
        <v>1175</v>
      </c>
      <c r="D47" s="447">
        <v>150982919</v>
      </c>
      <c r="E47" s="448" t="s">
        <v>1998</v>
      </c>
      <c r="F47" s="449" t="s">
        <v>1999</v>
      </c>
      <c r="G47" s="32">
        <v>1</v>
      </c>
      <c r="H47" s="32" t="s">
        <v>66</v>
      </c>
      <c r="I47" s="31">
        <v>44</v>
      </c>
      <c r="J47" s="34">
        <v>37316</v>
      </c>
      <c r="K47" s="35">
        <v>220210781</v>
      </c>
      <c r="L47" s="36" t="s">
        <v>1222</v>
      </c>
      <c r="M47" s="37" t="s">
        <v>1223</v>
      </c>
      <c r="W47" s="2" t="s">
        <v>1224</v>
      </c>
      <c r="AC47" s="2">
        <f t="shared" ca="1" si="0"/>
        <v>26</v>
      </c>
      <c r="AD47" s="2" t="e">
        <f t="shared" ca="1" si="1"/>
        <v>#VALUE!</v>
      </c>
      <c r="AE47" s="2">
        <f t="shared" ca="1" si="2"/>
        <v>26</v>
      </c>
      <c r="AF47" s="2" t="e">
        <f t="shared" ca="1" si="3"/>
        <v>#VALUE!</v>
      </c>
      <c r="AG47" s="40">
        <v>38971</v>
      </c>
      <c r="AH47" s="42"/>
      <c r="AI47" s="43">
        <v>250373914</v>
      </c>
      <c r="AJ47" s="44" t="s">
        <v>1225</v>
      </c>
      <c r="AK47" s="45" t="s">
        <v>1226</v>
      </c>
    </row>
    <row r="48" spans="1:37" ht="32.4" customHeight="1">
      <c r="A48" s="31">
        <v>45</v>
      </c>
      <c r="B48" s="438">
        <v>36670</v>
      </c>
      <c r="C48" s="718" t="s">
        <v>2041</v>
      </c>
      <c r="D48" s="440">
        <v>150865342</v>
      </c>
      <c r="E48" s="441" t="s">
        <v>336</v>
      </c>
      <c r="F48" s="442" t="s">
        <v>337</v>
      </c>
      <c r="G48" s="32">
        <v>1</v>
      </c>
      <c r="H48" s="32" t="s">
        <v>66</v>
      </c>
      <c r="I48" s="31">
        <v>45</v>
      </c>
      <c r="W48" s="2" t="s">
        <v>1227</v>
      </c>
      <c r="AC48" s="2">
        <f t="shared" ca="1" si="0"/>
        <v>26</v>
      </c>
      <c r="AD48" s="2" t="e">
        <f t="shared" ca="1" si="1"/>
        <v>#VALUE!</v>
      </c>
      <c r="AE48" s="2">
        <f t="shared" ca="1" si="2"/>
        <v>26</v>
      </c>
      <c r="AF48" s="2" t="e">
        <f t="shared" ca="1" si="3"/>
        <v>#VALUE!</v>
      </c>
    </row>
    <row r="49" spans="1:32" ht="32.4" customHeight="1">
      <c r="A49" s="31">
        <v>46</v>
      </c>
      <c r="B49" s="438">
        <v>37842</v>
      </c>
      <c r="C49" s="718" t="s">
        <v>2041</v>
      </c>
      <c r="D49" s="444">
        <v>151016972</v>
      </c>
      <c r="E49" s="441" t="s">
        <v>2000</v>
      </c>
      <c r="F49" s="443" t="s">
        <v>2001</v>
      </c>
      <c r="G49" s="32">
        <v>1</v>
      </c>
      <c r="H49" s="32" t="s">
        <v>66</v>
      </c>
      <c r="I49" s="31">
        <v>46</v>
      </c>
      <c r="W49" s="2" t="s">
        <v>349</v>
      </c>
      <c r="AC49" s="2">
        <f t="shared" ca="1" si="0"/>
        <v>23</v>
      </c>
      <c r="AD49" s="2" t="e">
        <f t="shared" ca="1" si="1"/>
        <v>#VALUE!</v>
      </c>
      <c r="AE49" s="2">
        <f t="shared" ca="1" si="2"/>
        <v>23</v>
      </c>
      <c r="AF49" s="2" t="e">
        <f t="shared" ca="1" si="3"/>
        <v>#VALUE!</v>
      </c>
    </row>
    <row r="50" spans="1:32" ht="32.4" customHeight="1">
      <c r="A50" s="31">
        <v>47</v>
      </c>
      <c r="B50" s="438">
        <v>30868</v>
      </c>
      <c r="C50" s="717" t="s">
        <v>1175</v>
      </c>
      <c r="D50" s="440">
        <v>150574873</v>
      </c>
      <c r="E50" s="441" t="s">
        <v>340</v>
      </c>
      <c r="F50" s="712" t="s">
        <v>341</v>
      </c>
      <c r="G50" s="32">
        <v>1</v>
      </c>
      <c r="H50" s="32" t="s">
        <v>66</v>
      </c>
      <c r="I50" s="31">
        <v>47</v>
      </c>
      <c r="J50" s="26"/>
      <c r="W50" s="2" t="s">
        <v>1228</v>
      </c>
      <c r="AC50" s="2">
        <f t="shared" ca="1" si="0"/>
        <v>42</v>
      </c>
      <c r="AD50" s="2" t="e">
        <f t="shared" ca="1" si="1"/>
        <v>#VALUE!</v>
      </c>
      <c r="AE50" s="2">
        <f t="shared" ca="1" si="2"/>
        <v>42</v>
      </c>
      <c r="AF50" s="2" t="e">
        <f t="shared" ca="1" si="3"/>
        <v>#VALUE!</v>
      </c>
    </row>
    <row r="51" spans="1:32" ht="32.4" customHeight="1">
      <c r="A51" s="31">
        <v>48</v>
      </c>
      <c r="B51" s="438">
        <v>32151</v>
      </c>
      <c r="C51" s="718" t="s">
        <v>2041</v>
      </c>
      <c r="D51" s="440">
        <v>200053838</v>
      </c>
      <c r="E51" s="441" t="s">
        <v>502</v>
      </c>
      <c r="F51" s="443" t="s">
        <v>503</v>
      </c>
      <c r="G51" s="32">
        <v>4</v>
      </c>
      <c r="H51" s="32" t="s">
        <v>66</v>
      </c>
      <c r="I51" s="33">
        <v>137</v>
      </c>
      <c r="V51" s="2">
        <v>2</v>
      </c>
      <c r="W51" s="2" t="s">
        <v>1229</v>
      </c>
      <c r="AC51" s="2">
        <f t="shared" ca="1" si="0"/>
        <v>38</v>
      </c>
      <c r="AD51" s="2" t="e">
        <f t="shared" ca="1" si="1"/>
        <v>#VALUE!</v>
      </c>
      <c r="AE51" s="2">
        <f t="shared" ca="1" si="2"/>
        <v>38</v>
      </c>
      <c r="AF51" s="2" t="e">
        <f t="shared" ca="1" si="3"/>
        <v>#VALUE!</v>
      </c>
    </row>
    <row r="52" spans="1:32" ht="32.4" customHeight="1">
      <c r="A52" s="31">
        <v>49</v>
      </c>
      <c r="B52" s="438">
        <v>31426</v>
      </c>
      <c r="C52" s="717" t="s">
        <v>1175</v>
      </c>
      <c r="D52" s="440">
        <v>200053839</v>
      </c>
      <c r="E52" s="441" t="s">
        <v>1848</v>
      </c>
      <c r="F52" s="443" t="s">
        <v>505</v>
      </c>
      <c r="G52" s="32">
        <v>4</v>
      </c>
      <c r="H52" s="32" t="s">
        <v>66</v>
      </c>
      <c r="I52" s="31">
        <v>138</v>
      </c>
      <c r="W52" s="2" t="s">
        <v>1230</v>
      </c>
      <c r="AC52" s="2">
        <f t="shared" ca="1" si="0"/>
        <v>40</v>
      </c>
      <c r="AD52" s="2" t="e">
        <f t="shared" ca="1" si="1"/>
        <v>#VALUE!</v>
      </c>
      <c r="AE52" s="2">
        <f t="shared" ca="1" si="2"/>
        <v>40</v>
      </c>
      <c r="AF52" s="2" t="e">
        <f t="shared" ca="1" si="3"/>
        <v>#VALUE!</v>
      </c>
    </row>
    <row r="53" spans="1:32" ht="32.4" customHeight="1">
      <c r="A53" s="31">
        <v>50</v>
      </c>
      <c r="B53" s="438">
        <v>30921</v>
      </c>
      <c r="C53" s="717" t="s">
        <v>1175</v>
      </c>
      <c r="D53" s="440">
        <v>150236406</v>
      </c>
      <c r="E53" s="441" t="s">
        <v>1776</v>
      </c>
      <c r="F53" s="443" t="s">
        <v>1777</v>
      </c>
      <c r="G53" s="32">
        <v>4</v>
      </c>
      <c r="H53" s="32" t="s">
        <v>66</v>
      </c>
      <c r="I53" s="31">
        <v>139</v>
      </c>
      <c r="W53" s="2" t="s">
        <v>1231</v>
      </c>
      <c r="AC53" s="2">
        <f t="shared" ca="1" si="0"/>
        <v>42</v>
      </c>
      <c r="AD53" s="2" t="e">
        <f t="shared" ca="1" si="1"/>
        <v>#VALUE!</v>
      </c>
      <c r="AE53" s="2">
        <f t="shared" ca="1" si="2"/>
        <v>42</v>
      </c>
      <c r="AF53" s="2" t="e">
        <f t="shared" ca="1" si="3"/>
        <v>#VALUE!</v>
      </c>
    </row>
    <row r="54" spans="1:32" ht="32.4" customHeight="1">
      <c r="A54" s="31">
        <v>51</v>
      </c>
      <c r="B54" s="438">
        <v>33136</v>
      </c>
      <c r="C54" s="718" t="s">
        <v>2041</v>
      </c>
      <c r="D54" s="440">
        <v>150468401</v>
      </c>
      <c r="E54" s="441" t="s">
        <v>506</v>
      </c>
      <c r="F54" s="443" t="s">
        <v>507</v>
      </c>
      <c r="G54" s="32">
        <v>4</v>
      </c>
      <c r="H54" s="32" t="s">
        <v>66</v>
      </c>
      <c r="I54" s="31">
        <v>140</v>
      </c>
      <c r="W54" s="2" t="s">
        <v>353</v>
      </c>
      <c r="AC54" s="2">
        <f t="shared" ca="1" si="0"/>
        <v>36</v>
      </c>
      <c r="AD54" s="2" t="e">
        <f t="shared" ca="1" si="1"/>
        <v>#VALUE!</v>
      </c>
      <c r="AE54" s="2">
        <f t="shared" ca="1" si="2"/>
        <v>36</v>
      </c>
      <c r="AF54" s="2" t="e">
        <f t="shared" ca="1" si="3"/>
        <v>#VALUE!</v>
      </c>
    </row>
    <row r="55" spans="1:32" ht="32.4" customHeight="1">
      <c r="A55" s="31">
        <v>52</v>
      </c>
      <c r="B55" s="438">
        <v>28896</v>
      </c>
      <c r="C55" s="718" t="s">
        <v>2041</v>
      </c>
      <c r="D55" s="440">
        <v>150113053</v>
      </c>
      <c r="E55" s="441" t="s">
        <v>1734</v>
      </c>
      <c r="F55" s="443" t="s">
        <v>508</v>
      </c>
      <c r="G55" s="32">
        <v>4</v>
      </c>
      <c r="H55" s="32" t="s">
        <v>66</v>
      </c>
      <c r="I55" s="31">
        <v>141</v>
      </c>
      <c r="W55" s="2" t="s">
        <v>1120</v>
      </c>
      <c r="AC55" s="2">
        <f t="shared" ca="1" si="0"/>
        <v>47</v>
      </c>
      <c r="AD55" s="2" t="e">
        <f t="shared" ca="1" si="1"/>
        <v>#VALUE!</v>
      </c>
      <c r="AE55" s="2">
        <f t="shared" ca="1" si="2"/>
        <v>47</v>
      </c>
      <c r="AF55" s="2" t="e">
        <f t="shared" ca="1" si="3"/>
        <v>#VALUE!</v>
      </c>
    </row>
    <row r="56" spans="1:32" ht="32.4" customHeight="1">
      <c r="A56" s="31">
        <v>53</v>
      </c>
      <c r="B56" s="454">
        <v>31780</v>
      </c>
      <c r="C56" s="718" t="s">
        <v>2041</v>
      </c>
      <c r="D56" s="444">
        <v>220140705</v>
      </c>
      <c r="E56" s="441" t="s">
        <v>1358</v>
      </c>
      <c r="F56" s="429" t="s">
        <v>510</v>
      </c>
      <c r="G56" s="32">
        <v>4</v>
      </c>
      <c r="H56" s="32" t="s">
        <v>66</v>
      </c>
      <c r="I56" s="31">
        <v>142</v>
      </c>
      <c r="W56" s="2" t="s">
        <v>1232</v>
      </c>
      <c r="AC56" s="2">
        <f t="shared" ca="1" si="0"/>
        <v>39</v>
      </c>
      <c r="AD56" s="2" t="e">
        <f t="shared" ca="1" si="1"/>
        <v>#VALUE!</v>
      </c>
      <c r="AE56" s="2">
        <f t="shared" ca="1" si="2"/>
        <v>39</v>
      </c>
      <c r="AF56" s="2" t="e">
        <f t="shared" ca="1" si="3"/>
        <v>#VALUE!</v>
      </c>
    </row>
    <row r="57" spans="1:32" ht="32.4" customHeight="1">
      <c r="A57" s="31">
        <v>54</v>
      </c>
      <c r="B57" s="438">
        <v>29482</v>
      </c>
      <c r="C57" s="717" t="s">
        <v>1175</v>
      </c>
      <c r="D57" s="440">
        <v>150865582</v>
      </c>
      <c r="E57" s="441" t="s">
        <v>1778</v>
      </c>
      <c r="F57" s="443" t="s">
        <v>1779</v>
      </c>
      <c r="G57" s="32">
        <v>4</v>
      </c>
      <c r="H57" s="32" t="s">
        <v>66</v>
      </c>
      <c r="I57" s="31">
        <v>143</v>
      </c>
      <c r="W57" s="2" t="s">
        <v>1233</v>
      </c>
      <c r="AC57" s="2">
        <f t="shared" ca="1" si="0"/>
        <v>46</v>
      </c>
      <c r="AD57" s="2" t="e">
        <f t="shared" ca="1" si="1"/>
        <v>#VALUE!</v>
      </c>
      <c r="AE57" s="2">
        <f t="shared" ca="1" si="2"/>
        <v>46</v>
      </c>
      <c r="AF57" s="2" t="e">
        <f t="shared" ca="1" si="3"/>
        <v>#VALUE!</v>
      </c>
    </row>
    <row r="58" spans="1:32" ht="32.4" customHeight="1">
      <c r="A58" s="31">
        <v>55</v>
      </c>
      <c r="B58" s="438">
        <v>31940</v>
      </c>
      <c r="C58" s="717" t="s">
        <v>1175</v>
      </c>
      <c r="D58" s="440">
        <v>150427588</v>
      </c>
      <c r="E58" s="441" t="s">
        <v>511</v>
      </c>
      <c r="F58" s="443" t="s">
        <v>512</v>
      </c>
      <c r="G58" s="32">
        <v>4</v>
      </c>
      <c r="H58" s="32" t="s">
        <v>66</v>
      </c>
      <c r="I58" s="31">
        <v>144</v>
      </c>
      <c r="W58" s="2" t="s">
        <v>1234</v>
      </c>
      <c r="AC58" s="2">
        <f t="shared" ca="1" si="0"/>
        <v>39</v>
      </c>
      <c r="AD58" s="2" t="e">
        <f t="shared" ca="1" si="1"/>
        <v>#VALUE!</v>
      </c>
      <c r="AE58" s="2">
        <f t="shared" ca="1" si="2"/>
        <v>39</v>
      </c>
      <c r="AF58" s="2" t="e">
        <f t="shared" ca="1" si="3"/>
        <v>#VALUE!</v>
      </c>
    </row>
    <row r="59" spans="1:32" ht="32.4" customHeight="1">
      <c r="A59" s="31">
        <v>56</v>
      </c>
      <c r="B59" s="438">
        <v>32554</v>
      </c>
      <c r="C59" s="717" t="s">
        <v>1175</v>
      </c>
      <c r="D59" s="440">
        <v>150429561</v>
      </c>
      <c r="E59" s="441" t="s">
        <v>513</v>
      </c>
      <c r="F59" s="443" t="s">
        <v>514</v>
      </c>
      <c r="G59" s="32">
        <v>4</v>
      </c>
      <c r="H59" s="32" t="s">
        <v>66</v>
      </c>
      <c r="I59" s="31">
        <v>145</v>
      </c>
      <c r="W59" s="2" t="s">
        <v>1235</v>
      </c>
      <c r="AC59" s="2">
        <f t="shared" ca="1" si="0"/>
        <v>37</v>
      </c>
      <c r="AD59" s="2" t="e">
        <f t="shared" ca="1" si="1"/>
        <v>#VALUE!</v>
      </c>
      <c r="AE59" s="2">
        <f t="shared" ca="1" si="2"/>
        <v>37</v>
      </c>
      <c r="AF59" s="2" t="e">
        <f t="shared" ca="1" si="3"/>
        <v>#VALUE!</v>
      </c>
    </row>
    <row r="60" spans="1:32" ht="32.4" customHeight="1">
      <c r="A60" s="31">
        <v>57</v>
      </c>
      <c r="B60" s="438">
        <v>38127</v>
      </c>
      <c r="C60" s="717" t="s">
        <v>1175</v>
      </c>
      <c r="D60" s="440">
        <v>150949342</v>
      </c>
      <c r="E60" s="441" t="s">
        <v>515</v>
      </c>
      <c r="F60" s="443" t="s">
        <v>516</v>
      </c>
      <c r="G60" s="32">
        <v>4</v>
      </c>
      <c r="H60" s="32" t="s">
        <v>66</v>
      </c>
      <c r="I60" s="31">
        <v>146</v>
      </c>
      <c r="W60" s="2" t="s">
        <v>1236</v>
      </c>
      <c r="AC60" s="2">
        <f t="shared" ca="1" si="0"/>
        <v>22</v>
      </c>
      <c r="AD60" s="2" t="e">
        <f t="shared" ca="1" si="1"/>
        <v>#VALUE!</v>
      </c>
      <c r="AE60" s="2">
        <f t="shared" ca="1" si="2"/>
        <v>22</v>
      </c>
      <c r="AF60" s="2" t="e">
        <f t="shared" ca="1" si="3"/>
        <v>#VALUE!</v>
      </c>
    </row>
    <row r="61" spans="1:32" ht="32.4" customHeight="1">
      <c r="A61" s="31">
        <v>58</v>
      </c>
      <c r="B61" s="438">
        <v>37818</v>
      </c>
      <c r="C61" s="718" t="s">
        <v>2041</v>
      </c>
      <c r="D61" s="440" t="s">
        <v>1352</v>
      </c>
      <c r="E61" s="441" t="s">
        <v>517</v>
      </c>
      <c r="F61" s="443" t="s">
        <v>518</v>
      </c>
      <c r="G61" s="32">
        <v>4</v>
      </c>
      <c r="H61" s="32" t="s">
        <v>66</v>
      </c>
      <c r="I61" s="31">
        <v>147</v>
      </c>
      <c r="W61" s="2" t="s">
        <v>840</v>
      </c>
      <c r="AC61" s="2">
        <f t="shared" ca="1" si="0"/>
        <v>23</v>
      </c>
      <c r="AD61" s="2" t="e">
        <f t="shared" ca="1" si="1"/>
        <v>#VALUE!</v>
      </c>
      <c r="AE61" s="2">
        <f t="shared" ca="1" si="2"/>
        <v>23</v>
      </c>
      <c r="AF61" s="2" t="e">
        <f t="shared" ca="1" si="3"/>
        <v>#VALUE!</v>
      </c>
    </row>
    <row r="62" spans="1:32" ht="32.4" customHeight="1">
      <c r="A62" s="31">
        <v>59</v>
      </c>
      <c r="B62" s="438">
        <v>24275</v>
      </c>
      <c r="C62" s="718" t="s">
        <v>2041</v>
      </c>
      <c r="D62" s="440">
        <v>150360039</v>
      </c>
      <c r="E62" s="441" t="s">
        <v>519</v>
      </c>
      <c r="F62" s="443" t="s">
        <v>520</v>
      </c>
      <c r="G62" s="32">
        <v>4</v>
      </c>
      <c r="H62" s="32" t="s">
        <v>66</v>
      </c>
      <c r="I62" s="31">
        <v>148</v>
      </c>
      <c r="W62" s="2" t="s">
        <v>1237</v>
      </c>
      <c r="AC62" s="2">
        <f t="shared" ca="1" si="0"/>
        <v>60</v>
      </c>
      <c r="AD62" s="2" t="e">
        <f t="shared" ca="1" si="1"/>
        <v>#VALUE!</v>
      </c>
      <c r="AE62" s="2">
        <f t="shared" ca="1" si="2"/>
        <v>60</v>
      </c>
      <c r="AF62" s="2" t="e">
        <f t="shared" ca="1" si="3"/>
        <v>#VALUE!</v>
      </c>
    </row>
    <row r="63" spans="1:32" ht="32.4" customHeight="1">
      <c r="A63" s="31">
        <v>60</v>
      </c>
      <c r="B63" s="455">
        <v>33636</v>
      </c>
      <c r="C63" s="718" t="s">
        <v>2041</v>
      </c>
      <c r="D63" s="444">
        <v>150523030</v>
      </c>
      <c r="E63" s="456" t="s">
        <v>521</v>
      </c>
      <c r="F63" s="457" t="s">
        <v>522</v>
      </c>
      <c r="G63" s="32">
        <v>4</v>
      </c>
      <c r="H63" s="32" t="s">
        <v>66</v>
      </c>
      <c r="I63" s="31">
        <v>149</v>
      </c>
      <c r="W63" s="2" t="s">
        <v>1238</v>
      </c>
      <c r="AC63" s="2">
        <f t="shared" ca="1" si="0"/>
        <v>34</v>
      </c>
      <c r="AD63" s="2" t="e">
        <f t="shared" ca="1" si="1"/>
        <v>#VALUE!</v>
      </c>
      <c r="AE63" s="2">
        <f t="shared" ca="1" si="2"/>
        <v>34</v>
      </c>
      <c r="AF63" s="2" t="e">
        <f t="shared" ca="1" si="3"/>
        <v>#VALUE!</v>
      </c>
    </row>
    <row r="64" spans="1:32" ht="32.4" customHeight="1">
      <c r="A64" s="31">
        <v>61</v>
      </c>
      <c r="B64" s="458">
        <v>30757</v>
      </c>
      <c r="C64" s="717" t="s">
        <v>1175</v>
      </c>
      <c r="D64" s="459">
        <v>150236408</v>
      </c>
      <c r="E64" s="460" t="s">
        <v>523</v>
      </c>
      <c r="F64" s="461" t="s">
        <v>524</v>
      </c>
      <c r="G64" s="32">
        <v>4</v>
      </c>
      <c r="H64" s="32" t="s">
        <v>66</v>
      </c>
      <c r="I64" s="31">
        <v>150</v>
      </c>
      <c r="W64" s="2" t="s">
        <v>367</v>
      </c>
      <c r="AC64" s="2">
        <f t="shared" ca="1" si="0"/>
        <v>42</v>
      </c>
      <c r="AD64" s="2" t="e">
        <f t="shared" ca="1" si="1"/>
        <v>#VALUE!</v>
      </c>
      <c r="AE64" s="2">
        <f t="shared" ca="1" si="2"/>
        <v>42</v>
      </c>
      <c r="AF64" s="2" t="e">
        <f t="shared" ca="1" si="3"/>
        <v>#VALUE!</v>
      </c>
    </row>
    <row r="65" spans="1:32" ht="32.4" customHeight="1">
      <c r="A65" s="31">
        <v>62</v>
      </c>
      <c r="B65" s="438">
        <v>28445</v>
      </c>
      <c r="C65" s="718" t="s">
        <v>2041</v>
      </c>
      <c r="D65" s="440">
        <v>150523289</v>
      </c>
      <c r="E65" s="441" t="s">
        <v>525</v>
      </c>
      <c r="F65" s="443" t="s">
        <v>526</v>
      </c>
      <c r="G65" s="32">
        <v>4</v>
      </c>
      <c r="H65" s="32" t="s">
        <v>66</v>
      </c>
      <c r="I65" s="31">
        <v>151</v>
      </c>
      <c r="W65" s="2" t="s">
        <v>296</v>
      </c>
      <c r="AC65" s="2">
        <f t="shared" ca="1" si="0"/>
        <v>49</v>
      </c>
      <c r="AD65" s="2" t="e">
        <f t="shared" ca="1" si="1"/>
        <v>#VALUE!</v>
      </c>
      <c r="AE65" s="2">
        <f t="shared" ca="1" si="2"/>
        <v>49</v>
      </c>
      <c r="AF65" s="2" t="e">
        <f t="shared" ca="1" si="3"/>
        <v>#VALUE!</v>
      </c>
    </row>
    <row r="66" spans="1:32" ht="32.4" customHeight="1">
      <c r="A66" s="31">
        <v>63</v>
      </c>
      <c r="B66" s="438">
        <v>28158</v>
      </c>
      <c r="C66" s="717" t="s">
        <v>1175</v>
      </c>
      <c r="D66" s="440">
        <v>150523290</v>
      </c>
      <c r="E66" s="441" t="s">
        <v>527</v>
      </c>
      <c r="F66" s="443" t="s">
        <v>528</v>
      </c>
      <c r="G66" s="32">
        <v>4</v>
      </c>
      <c r="H66" s="32" t="s">
        <v>66</v>
      </c>
      <c r="I66" s="31">
        <v>152</v>
      </c>
      <c r="W66" s="2" t="s">
        <v>371</v>
      </c>
      <c r="AC66" s="2">
        <f t="shared" ca="1" si="0"/>
        <v>49</v>
      </c>
      <c r="AD66" s="2" t="e">
        <f t="shared" ca="1" si="1"/>
        <v>#VALUE!</v>
      </c>
      <c r="AE66" s="2">
        <f t="shared" ca="1" si="2"/>
        <v>49</v>
      </c>
      <c r="AF66" s="2" t="e">
        <f t="shared" ca="1" si="3"/>
        <v>#VALUE!</v>
      </c>
    </row>
    <row r="67" spans="1:32" ht="32.4" customHeight="1">
      <c r="A67" s="31">
        <v>64</v>
      </c>
      <c r="B67" s="438">
        <v>37640</v>
      </c>
      <c r="C67" s="717" t="s">
        <v>1175</v>
      </c>
      <c r="D67" s="440">
        <v>150938986</v>
      </c>
      <c r="E67" s="441" t="s">
        <v>529</v>
      </c>
      <c r="F67" s="443" t="s">
        <v>530</v>
      </c>
      <c r="G67" s="32">
        <v>4</v>
      </c>
      <c r="H67" s="32" t="s">
        <v>66</v>
      </c>
      <c r="I67" s="31">
        <v>153</v>
      </c>
      <c r="W67" s="2" t="s">
        <v>1241</v>
      </c>
      <c r="AC67" s="2">
        <f t="shared" ca="1" si="0"/>
        <v>23</v>
      </c>
      <c r="AD67" s="2" t="e">
        <f t="shared" ca="1" si="1"/>
        <v>#VALUE!</v>
      </c>
      <c r="AE67" s="2">
        <f t="shared" ca="1" si="2"/>
        <v>23</v>
      </c>
      <c r="AF67" s="2" t="e">
        <f t="shared" ca="1" si="3"/>
        <v>#VALUE!</v>
      </c>
    </row>
    <row r="68" spans="1:32" ht="32.4" customHeight="1">
      <c r="A68" s="31">
        <v>65</v>
      </c>
      <c r="B68" s="438">
        <v>30443</v>
      </c>
      <c r="C68" s="718" t="s">
        <v>2041</v>
      </c>
      <c r="D68" s="440">
        <v>150612485</v>
      </c>
      <c r="E68" s="441" t="s">
        <v>531</v>
      </c>
      <c r="F68" s="443" t="s">
        <v>532</v>
      </c>
      <c r="G68" s="32">
        <v>4</v>
      </c>
      <c r="H68" s="32" t="s">
        <v>66</v>
      </c>
      <c r="I68" s="31">
        <v>154</v>
      </c>
      <c r="W68" s="2" t="s">
        <v>375</v>
      </c>
      <c r="AC68" s="2">
        <f t="shared" ref="AC68:AC131" ca="1" si="4">YEAR(NOW())-YEAR(B68)</f>
        <v>43</v>
      </c>
      <c r="AD68" s="2" t="e">
        <f t="shared" ref="AD68:AD131" ca="1" si="5">YEAR(NOW())-YEAR(C68)</f>
        <v>#VALUE!</v>
      </c>
      <c r="AE68" s="2">
        <f t="shared" ca="1" si="2"/>
        <v>43</v>
      </c>
      <c r="AF68" s="2" t="e">
        <f t="shared" ca="1" si="3"/>
        <v>#VALUE!</v>
      </c>
    </row>
    <row r="69" spans="1:32" ht="32.4" customHeight="1">
      <c r="A69" s="31">
        <v>66</v>
      </c>
      <c r="B69" s="438">
        <v>29954</v>
      </c>
      <c r="C69" s="717" t="s">
        <v>1175</v>
      </c>
      <c r="D69" s="440">
        <v>150612484</v>
      </c>
      <c r="E69" s="441" t="s">
        <v>533</v>
      </c>
      <c r="F69" s="443" t="s">
        <v>534</v>
      </c>
      <c r="G69" s="32">
        <v>4</v>
      </c>
      <c r="H69" s="32" t="s">
        <v>66</v>
      </c>
      <c r="I69" s="31">
        <v>155</v>
      </c>
      <c r="W69" s="2" t="s">
        <v>1242</v>
      </c>
      <c r="AC69" s="2">
        <f t="shared" ca="1" si="4"/>
        <v>44</v>
      </c>
      <c r="AD69" s="2" t="e">
        <f t="shared" ca="1" si="5"/>
        <v>#VALUE!</v>
      </c>
      <c r="AE69" s="2">
        <f t="shared" ref="AE69:AE132" ca="1" si="6">IF(AC69&lt;=69,AC69,IF(AC69=70,1))</f>
        <v>44</v>
      </c>
      <c r="AF69" s="2" t="e">
        <f t="shared" ref="AF69:AF132" ca="1" si="7">IF(AD69&lt;=69,AD69,IF(AD69=70,1))</f>
        <v>#VALUE!</v>
      </c>
    </row>
    <row r="70" spans="1:32" ht="32.4" customHeight="1">
      <c r="A70" s="31">
        <v>67</v>
      </c>
      <c r="B70" s="438">
        <v>35930</v>
      </c>
      <c r="C70" s="718" t="s">
        <v>2041</v>
      </c>
      <c r="D70" s="440">
        <v>150755457</v>
      </c>
      <c r="E70" s="441" t="s">
        <v>1388</v>
      </c>
      <c r="F70" s="443" t="s">
        <v>1389</v>
      </c>
      <c r="G70" s="32">
        <v>4</v>
      </c>
      <c r="H70" s="32" t="s">
        <v>66</v>
      </c>
      <c r="I70" s="31">
        <v>156</v>
      </c>
      <c r="W70" s="2" t="s">
        <v>379</v>
      </c>
      <c r="AC70" s="2">
        <f t="shared" ca="1" si="4"/>
        <v>28</v>
      </c>
      <c r="AD70" s="2" t="e">
        <f t="shared" ca="1" si="5"/>
        <v>#VALUE!</v>
      </c>
      <c r="AE70" s="2">
        <f t="shared" ca="1" si="6"/>
        <v>28</v>
      </c>
      <c r="AF70" s="2" t="e">
        <f t="shared" ca="1" si="7"/>
        <v>#VALUE!</v>
      </c>
    </row>
    <row r="71" spans="1:32" ht="32.4" customHeight="1">
      <c r="A71" s="31">
        <v>68</v>
      </c>
      <c r="B71" s="438">
        <v>33339</v>
      </c>
      <c r="C71" s="717" t="s">
        <v>1175</v>
      </c>
      <c r="D71" s="440">
        <v>150469788</v>
      </c>
      <c r="E71" s="441" t="s">
        <v>537</v>
      </c>
      <c r="F71" s="443" t="s">
        <v>538</v>
      </c>
      <c r="G71" s="32">
        <v>4</v>
      </c>
      <c r="H71" s="32" t="s">
        <v>66</v>
      </c>
      <c r="I71" s="31">
        <v>157</v>
      </c>
      <c r="W71" s="2" t="s">
        <v>1243</v>
      </c>
      <c r="AC71" s="2">
        <f t="shared" ca="1" si="4"/>
        <v>35</v>
      </c>
      <c r="AD71" s="2" t="e">
        <f t="shared" ca="1" si="5"/>
        <v>#VALUE!</v>
      </c>
      <c r="AE71" s="2">
        <f t="shared" ca="1" si="6"/>
        <v>35</v>
      </c>
      <c r="AF71" s="2" t="e">
        <f t="shared" ca="1" si="7"/>
        <v>#VALUE!</v>
      </c>
    </row>
    <row r="72" spans="1:32" ht="32.4" customHeight="1">
      <c r="A72" s="31">
        <v>69</v>
      </c>
      <c r="B72" s="438">
        <v>38045</v>
      </c>
      <c r="C72" s="718" t="s">
        <v>2041</v>
      </c>
      <c r="D72" s="440">
        <v>220244414</v>
      </c>
      <c r="E72" s="441" t="s">
        <v>1849</v>
      </c>
      <c r="F72" s="443" t="s">
        <v>540</v>
      </c>
      <c r="G72" s="32">
        <v>4</v>
      </c>
      <c r="H72" s="32" t="s">
        <v>66</v>
      </c>
      <c r="I72" s="31">
        <v>158</v>
      </c>
      <c r="W72" s="2" t="s">
        <v>1244</v>
      </c>
      <c r="AC72" s="2">
        <f t="shared" ca="1" si="4"/>
        <v>22</v>
      </c>
      <c r="AD72" s="2" t="e">
        <f t="shared" ca="1" si="5"/>
        <v>#VALUE!</v>
      </c>
      <c r="AE72" s="2">
        <f t="shared" ca="1" si="6"/>
        <v>22</v>
      </c>
      <c r="AF72" s="2" t="e">
        <f t="shared" ca="1" si="7"/>
        <v>#VALUE!</v>
      </c>
    </row>
    <row r="73" spans="1:32" ht="32.4" customHeight="1">
      <c r="A73" s="31">
        <v>70</v>
      </c>
      <c r="B73" s="438">
        <v>31265</v>
      </c>
      <c r="C73" s="718" t="s">
        <v>2041</v>
      </c>
      <c r="D73" s="440">
        <v>220171344</v>
      </c>
      <c r="E73" s="441" t="s">
        <v>541</v>
      </c>
      <c r="F73" s="443" t="s">
        <v>542</v>
      </c>
      <c r="G73" s="32">
        <v>4</v>
      </c>
      <c r="H73" s="32" t="s">
        <v>66</v>
      </c>
      <c r="I73" s="31">
        <v>159</v>
      </c>
      <c r="W73" s="2" t="s">
        <v>570</v>
      </c>
      <c r="AC73" s="2">
        <f t="shared" ca="1" si="4"/>
        <v>41</v>
      </c>
      <c r="AD73" s="2" t="e">
        <f t="shared" ca="1" si="5"/>
        <v>#VALUE!</v>
      </c>
      <c r="AE73" s="2">
        <f t="shared" ca="1" si="6"/>
        <v>41</v>
      </c>
      <c r="AF73" s="2" t="e">
        <f t="shared" ca="1" si="7"/>
        <v>#VALUE!</v>
      </c>
    </row>
    <row r="74" spans="1:32" ht="32.4" customHeight="1">
      <c r="A74" s="31">
        <v>71</v>
      </c>
      <c r="B74" s="438">
        <v>31089</v>
      </c>
      <c r="C74" s="717" t="s">
        <v>1175</v>
      </c>
      <c r="D74" s="440">
        <v>220171330</v>
      </c>
      <c r="E74" s="441" t="s">
        <v>543</v>
      </c>
      <c r="F74" s="443" t="s">
        <v>544</v>
      </c>
      <c r="G74" s="32">
        <v>4</v>
      </c>
      <c r="H74" s="32" t="s">
        <v>66</v>
      </c>
      <c r="I74" s="31">
        <v>160</v>
      </c>
      <c r="W74" s="2" t="s">
        <v>1078</v>
      </c>
      <c r="AC74" s="2">
        <f t="shared" ca="1" si="4"/>
        <v>41</v>
      </c>
      <c r="AD74" s="2" t="e">
        <f t="shared" ca="1" si="5"/>
        <v>#VALUE!</v>
      </c>
      <c r="AE74" s="2">
        <f t="shared" ca="1" si="6"/>
        <v>41</v>
      </c>
      <c r="AF74" s="2" t="e">
        <f t="shared" ca="1" si="7"/>
        <v>#VALUE!</v>
      </c>
    </row>
    <row r="75" spans="1:32" ht="32.4" customHeight="1">
      <c r="A75" s="31">
        <v>72</v>
      </c>
      <c r="B75" s="438">
        <v>34986</v>
      </c>
      <c r="C75" s="718" t="s">
        <v>2041</v>
      </c>
      <c r="D75" s="440">
        <v>150648456</v>
      </c>
      <c r="E75" s="441" t="s">
        <v>2040</v>
      </c>
      <c r="F75" s="443" t="s">
        <v>546</v>
      </c>
      <c r="G75" s="32">
        <v>4</v>
      </c>
      <c r="H75" s="32" t="s">
        <v>66</v>
      </c>
      <c r="I75" s="31">
        <v>161</v>
      </c>
      <c r="W75" s="2" t="s">
        <v>1245</v>
      </c>
      <c r="AC75" s="2">
        <f t="shared" ca="1" si="4"/>
        <v>31</v>
      </c>
      <c r="AD75" s="2" t="e">
        <f t="shared" ca="1" si="5"/>
        <v>#VALUE!</v>
      </c>
      <c r="AE75" s="2">
        <f t="shared" ca="1" si="6"/>
        <v>31</v>
      </c>
      <c r="AF75" s="2" t="e">
        <f t="shared" ca="1" si="7"/>
        <v>#VALUE!</v>
      </c>
    </row>
    <row r="76" spans="1:32" ht="32.4" customHeight="1">
      <c r="A76" s="31">
        <v>73</v>
      </c>
      <c r="B76" s="438">
        <v>31037</v>
      </c>
      <c r="C76" s="718" t="s">
        <v>2041</v>
      </c>
      <c r="D76" s="440">
        <v>180898705</v>
      </c>
      <c r="E76" s="441" t="s">
        <v>1850</v>
      </c>
      <c r="F76" s="443" t="s">
        <v>1851</v>
      </c>
      <c r="G76" s="32">
        <v>4</v>
      </c>
      <c r="H76" s="32" t="s">
        <v>66</v>
      </c>
      <c r="I76" s="31">
        <v>162</v>
      </c>
      <c r="W76" s="2" t="s">
        <v>339</v>
      </c>
      <c r="AC76" s="2">
        <f t="shared" ca="1" si="4"/>
        <v>42</v>
      </c>
      <c r="AD76" s="2" t="e">
        <f t="shared" ca="1" si="5"/>
        <v>#VALUE!</v>
      </c>
      <c r="AE76" s="2">
        <f t="shared" ca="1" si="6"/>
        <v>42</v>
      </c>
      <c r="AF76" s="2" t="e">
        <f t="shared" ca="1" si="7"/>
        <v>#VALUE!</v>
      </c>
    </row>
    <row r="77" spans="1:32" ht="32.4" customHeight="1">
      <c r="A77" s="31">
        <v>74</v>
      </c>
      <c r="B77" s="438">
        <v>39592</v>
      </c>
      <c r="C77" s="717" t="s">
        <v>1175</v>
      </c>
      <c r="D77" s="440">
        <v>151049055</v>
      </c>
      <c r="E77" s="441" t="s">
        <v>549</v>
      </c>
      <c r="F77" s="443" t="s">
        <v>550</v>
      </c>
      <c r="G77" s="32">
        <v>4</v>
      </c>
      <c r="H77" s="32" t="s">
        <v>66</v>
      </c>
      <c r="I77" s="31">
        <v>163</v>
      </c>
      <c r="W77" s="2" t="s">
        <v>1246</v>
      </c>
      <c r="AC77" s="2">
        <f t="shared" ca="1" si="4"/>
        <v>18</v>
      </c>
      <c r="AD77" s="2" t="e">
        <f t="shared" ca="1" si="5"/>
        <v>#VALUE!</v>
      </c>
      <c r="AE77" s="2">
        <f t="shared" ca="1" si="6"/>
        <v>18</v>
      </c>
      <c r="AF77" s="2" t="e">
        <f t="shared" ca="1" si="7"/>
        <v>#VALUE!</v>
      </c>
    </row>
    <row r="78" spans="1:32" ht="32.4" customHeight="1">
      <c r="A78" s="31">
        <v>75</v>
      </c>
      <c r="B78" s="438">
        <v>33714</v>
      </c>
      <c r="C78" s="718" t="s">
        <v>2041</v>
      </c>
      <c r="D78" s="440">
        <v>150469728</v>
      </c>
      <c r="E78" s="441" t="s">
        <v>551</v>
      </c>
      <c r="F78" s="443" t="s">
        <v>552</v>
      </c>
      <c r="G78" s="32">
        <v>4</v>
      </c>
      <c r="H78" s="32" t="s">
        <v>66</v>
      </c>
      <c r="I78" s="31">
        <v>164</v>
      </c>
      <c r="W78" s="2" t="s">
        <v>284</v>
      </c>
      <c r="AC78" s="2">
        <f t="shared" ca="1" si="4"/>
        <v>34</v>
      </c>
      <c r="AD78" s="2" t="e">
        <f t="shared" ca="1" si="5"/>
        <v>#VALUE!</v>
      </c>
      <c r="AE78" s="2">
        <f t="shared" ca="1" si="6"/>
        <v>34</v>
      </c>
      <c r="AF78" s="2" t="e">
        <f t="shared" ca="1" si="7"/>
        <v>#VALUE!</v>
      </c>
    </row>
    <row r="79" spans="1:32" ht="32.4" customHeight="1">
      <c r="A79" s="31">
        <v>76</v>
      </c>
      <c r="B79" s="438">
        <v>34231</v>
      </c>
      <c r="C79" s="717" t="s">
        <v>1175</v>
      </c>
      <c r="D79" s="440">
        <v>150523250</v>
      </c>
      <c r="E79" s="441" t="s">
        <v>553</v>
      </c>
      <c r="F79" s="443" t="s">
        <v>554</v>
      </c>
      <c r="G79" s="32">
        <v>4</v>
      </c>
      <c r="H79" s="32" t="s">
        <v>66</v>
      </c>
      <c r="I79" s="31">
        <v>165</v>
      </c>
      <c r="W79" s="2" t="s">
        <v>1118</v>
      </c>
      <c r="AC79" s="2">
        <f t="shared" ca="1" si="4"/>
        <v>33</v>
      </c>
      <c r="AD79" s="2" t="e">
        <f t="shared" ca="1" si="5"/>
        <v>#VALUE!</v>
      </c>
      <c r="AE79" s="2">
        <f t="shared" ca="1" si="6"/>
        <v>33</v>
      </c>
      <c r="AF79" s="2" t="e">
        <f t="shared" ca="1" si="7"/>
        <v>#VALUE!</v>
      </c>
    </row>
    <row r="80" spans="1:32" ht="32.4" customHeight="1">
      <c r="A80" s="31">
        <v>77</v>
      </c>
      <c r="B80" s="438">
        <v>28865</v>
      </c>
      <c r="C80" s="718" t="s">
        <v>2041</v>
      </c>
      <c r="D80" s="462" t="s">
        <v>1398</v>
      </c>
      <c r="E80" s="441" t="s">
        <v>555</v>
      </c>
      <c r="F80" s="443" t="s">
        <v>556</v>
      </c>
      <c r="G80" s="32">
        <v>4</v>
      </c>
      <c r="H80" s="32" t="s">
        <v>66</v>
      </c>
      <c r="I80" s="31">
        <v>166</v>
      </c>
      <c r="W80" s="2" t="s">
        <v>653</v>
      </c>
      <c r="AC80" s="2">
        <f t="shared" ca="1" si="4"/>
        <v>47</v>
      </c>
      <c r="AD80" s="2" t="e">
        <f t="shared" ca="1" si="5"/>
        <v>#VALUE!</v>
      </c>
      <c r="AE80" s="2">
        <f t="shared" ca="1" si="6"/>
        <v>47</v>
      </c>
      <c r="AF80" s="2" t="e">
        <f t="shared" ca="1" si="7"/>
        <v>#VALUE!</v>
      </c>
    </row>
    <row r="81" spans="1:32" ht="32.4" customHeight="1">
      <c r="A81" s="31">
        <v>78</v>
      </c>
      <c r="B81" s="438">
        <v>32333</v>
      </c>
      <c r="C81" s="717" t="s">
        <v>1175</v>
      </c>
      <c r="D81" s="440">
        <v>220175240</v>
      </c>
      <c r="E81" s="441" t="s">
        <v>557</v>
      </c>
      <c r="F81" s="443" t="s">
        <v>558</v>
      </c>
      <c r="G81" s="32">
        <v>4</v>
      </c>
      <c r="H81" s="32" t="s">
        <v>66</v>
      </c>
      <c r="I81" s="31">
        <v>167</v>
      </c>
      <c r="W81" s="2" t="s">
        <v>883</v>
      </c>
      <c r="AC81" s="2">
        <f t="shared" ca="1" si="4"/>
        <v>38</v>
      </c>
      <c r="AD81" s="2" t="e">
        <f t="shared" ca="1" si="5"/>
        <v>#VALUE!</v>
      </c>
      <c r="AE81" s="2">
        <f t="shared" ca="1" si="6"/>
        <v>38</v>
      </c>
      <c r="AF81" s="2" t="e">
        <f t="shared" ca="1" si="7"/>
        <v>#VALUE!</v>
      </c>
    </row>
    <row r="82" spans="1:32" ht="32.4" customHeight="1">
      <c r="A82" s="31">
        <v>79</v>
      </c>
      <c r="B82" s="438">
        <v>36832</v>
      </c>
      <c r="C82" s="717" t="s">
        <v>1175</v>
      </c>
      <c r="D82" s="440">
        <v>150895877</v>
      </c>
      <c r="E82" s="441" t="s">
        <v>559</v>
      </c>
      <c r="F82" s="443" t="s">
        <v>560</v>
      </c>
      <c r="G82" s="32">
        <v>4</v>
      </c>
      <c r="H82" s="32" t="s">
        <v>66</v>
      </c>
      <c r="I82" s="31">
        <v>168</v>
      </c>
      <c r="W82" s="2" t="s">
        <v>390</v>
      </c>
      <c r="AC82" s="2">
        <f t="shared" ca="1" si="4"/>
        <v>26</v>
      </c>
      <c r="AD82" s="2" t="e">
        <f t="shared" ca="1" si="5"/>
        <v>#VALUE!</v>
      </c>
      <c r="AE82" s="2">
        <f t="shared" ca="1" si="6"/>
        <v>26</v>
      </c>
      <c r="AF82" s="2" t="e">
        <f t="shared" ca="1" si="7"/>
        <v>#VALUE!</v>
      </c>
    </row>
    <row r="83" spans="1:32" ht="32.4" customHeight="1">
      <c r="A83" s="31">
        <v>80</v>
      </c>
      <c r="B83" s="438">
        <v>31584</v>
      </c>
      <c r="C83" s="717" t="s">
        <v>1175</v>
      </c>
      <c r="D83" s="440">
        <v>150873361</v>
      </c>
      <c r="E83" s="441" t="s">
        <v>561</v>
      </c>
      <c r="F83" s="443" t="s">
        <v>562</v>
      </c>
      <c r="G83" s="32">
        <v>4</v>
      </c>
      <c r="H83" s="32" t="s">
        <v>66</v>
      </c>
      <c r="I83" s="31">
        <v>169</v>
      </c>
      <c r="W83" s="2" t="s">
        <v>1247</v>
      </c>
      <c r="AC83" s="2">
        <f t="shared" ca="1" si="4"/>
        <v>40</v>
      </c>
      <c r="AD83" s="2" t="e">
        <f t="shared" ca="1" si="5"/>
        <v>#VALUE!</v>
      </c>
      <c r="AE83" s="2">
        <f t="shared" ca="1" si="6"/>
        <v>40</v>
      </c>
      <c r="AF83" s="2" t="e">
        <f t="shared" ca="1" si="7"/>
        <v>#VALUE!</v>
      </c>
    </row>
    <row r="84" spans="1:32" ht="32.4" customHeight="1">
      <c r="A84" s="31">
        <v>81</v>
      </c>
      <c r="B84" s="438">
        <v>30531</v>
      </c>
      <c r="C84" s="718" t="s">
        <v>2041</v>
      </c>
      <c r="D84" s="440">
        <v>150657963</v>
      </c>
      <c r="E84" s="441" t="s">
        <v>563</v>
      </c>
      <c r="F84" s="443" t="s">
        <v>564</v>
      </c>
      <c r="G84" s="32">
        <v>4</v>
      </c>
      <c r="H84" s="32" t="s">
        <v>66</v>
      </c>
      <c r="I84" s="31">
        <v>170</v>
      </c>
      <c r="W84" s="2" t="s">
        <v>1249</v>
      </c>
      <c r="AC84" s="2">
        <f t="shared" ca="1" si="4"/>
        <v>43</v>
      </c>
      <c r="AD84" s="2" t="e">
        <f t="shared" ca="1" si="5"/>
        <v>#VALUE!</v>
      </c>
      <c r="AE84" s="2">
        <f t="shared" ca="1" si="6"/>
        <v>43</v>
      </c>
      <c r="AF84" s="2" t="e">
        <f t="shared" ca="1" si="7"/>
        <v>#VALUE!</v>
      </c>
    </row>
    <row r="85" spans="1:32" ht="32.4" customHeight="1">
      <c r="A85" s="31">
        <v>82</v>
      </c>
      <c r="B85" s="438">
        <v>33299</v>
      </c>
      <c r="C85" s="717" t="s">
        <v>1175</v>
      </c>
      <c r="D85" s="440">
        <v>150468339</v>
      </c>
      <c r="E85" s="441" t="s">
        <v>565</v>
      </c>
      <c r="F85" s="443" t="s">
        <v>566</v>
      </c>
      <c r="G85" s="32">
        <v>4</v>
      </c>
      <c r="H85" s="32" t="s">
        <v>66</v>
      </c>
      <c r="I85" s="31">
        <v>171</v>
      </c>
      <c r="W85" s="2" t="s">
        <v>1251</v>
      </c>
      <c r="AC85" s="2">
        <f t="shared" ca="1" si="4"/>
        <v>35</v>
      </c>
      <c r="AD85" s="2" t="e">
        <f t="shared" ca="1" si="5"/>
        <v>#VALUE!</v>
      </c>
      <c r="AE85" s="2">
        <f t="shared" ca="1" si="6"/>
        <v>35</v>
      </c>
      <c r="AF85" s="2" t="e">
        <f t="shared" ca="1" si="7"/>
        <v>#VALUE!</v>
      </c>
    </row>
    <row r="86" spans="1:32" ht="32.4" customHeight="1">
      <c r="A86" s="31">
        <v>83</v>
      </c>
      <c r="B86" s="438">
        <v>32036</v>
      </c>
      <c r="C86" s="718" t="s">
        <v>2041</v>
      </c>
      <c r="D86" s="440">
        <v>150307661</v>
      </c>
      <c r="E86" s="441" t="s">
        <v>567</v>
      </c>
      <c r="F86" s="443" t="s">
        <v>568</v>
      </c>
      <c r="G86" s="32">
        <v>4</v>
      </c>
      <c r="H86" s="32" t="s">
        <v>66</v>
      </c>
      <c r="I86" s="31">
        <v>172</v>
      </c>
      <c r="W86" s="2" t="s">
        <v>1252</v>
      </c>
      <c r="AC86" s="2">
        <f t="shared" ca="1" si="4"/>
        <v>39</v>
      </c>
      <c r="AD86" s="2" t="e">
        <f t="shared" ca="1" si="5"/>
        <v>#VALUE!</v>
      </c>
      <c r="AE86" s="2">
        <f t="shared" ca="1" si="6"/>
        <v>39</v>
      </c>
      <c r="AF86" s="2" t="e">
        <f t="shared" ca="1" si="7"/>
        <v>#VALUE!</v>
      </c>
    </row>
    <row r="87" spans="1:32" ht="32.4" customHeight="1">
      <c r="A87" s="31">
        <v>84</v>
      </c>
      <c r="B87" s="438">
        <v>36348</v>
      </c>
      <c r="C87" s="717" t="s">
        <v>1175</v>
      </c>
      <c r="D87" s="440">
        <v>220208910</v>
      </c>
      <c r="E87" s="441" t="s">
        <v>569</v>
      </c>
      <c r="F87" s="443" t="s">
        <v>570</v>
      </c>
      <c r="G87" s="32">
        <v>4</v>
      </c>
      <c r="H87" s="32" t="s">
        <v>66</v>
      </c>
      <c r="I87" s="31">
        <v>173</v>
      </c>
      <c r="W87" s="2" t="s">
        <v>388</v>
      </c>
      <c r="AC87" s="2">
        <f t="shared" ca="1" si="4"/>
        <v>27</v>
      </c>
      <c r="AD87" s="2" t="e">
        <f t="shared" ca="1" si="5"/>
        <v>#VALUE!</v>
      </c>
      <c r="AE87" s="2">
        <f t="shared" ca="1" si="6"/>
        <v>27</v>
      </c>
      <c r="AF87" s="2" t="e">
        <f t="shared" ca="1" si="7"/>
        <v>#VALUE!</v>
      </c>
    </row>
    <row r="88" spans="1:32" ht="32.4" customHeight="1">
      <c r="A88" s="31">
        <v>85</v>
      </c>
      <c r="B88" s="438">
        <v>33710</v>
      </c>
      <c r="C88" s="718" t="s">
        <v>2041</v>
      </c>
      <c r="D88" s="440">
        <v>220243810</v>
      </c>
      <c r="E88" s="441" t="s">
        <v>571</v>
      </c>
      <c r="F88" s="443" t="s">
        <v>572</v>
      </c>
      <c r="G88" s="32">
        <v>4</v>
      </c>
      <c r="H88" s="32" t="s">
        <v>66</v>
      </c>
      <c r="I88" s="31">
        <v>174</v>
      </c>
      <c r="W88" s="2" t="s">
        <v>1254</v>
      </c>
      <c r="AC88" s="2">
        <f t="shared" ca="1" si="4"/>
        <v>34</v>
      </c>
      <c r="AD88" s="2" t="e">
        <f t="shared" ca="1" si="5"/>
        <v>#VALUE!</v>
      </c>
      <c r="AE88" s="2">
        <f t="shared" ca="1" si="6"/>
        <v>34</v>
      </c>
      <c r="AF88" s="2" t="e">
        <f t="shared" ca="1" si="7"/>
        <v>#VALUE!</v>
      </c>
    </row>
    <row r="89" spans="1:32" ht="32.4" customHeight="1">
      <c r="A89" s="31">
        <v>86</v>
      </c>
      <c r="B89" s="463">
        <v>33362</v>
      </c>
      <c r="C89" s="718" t="s">
        <v>2041</v>
      </c>
      <c r="D89" s="464">
        <v>150946031</v>
      </c>
      <c r="E89" s="465" t="s">
        <v>1852</v>
      </c>
      <c r="F89" t="s">
        <v>574</v>
      </c>
      <c r="G89" s="424">
        <v>4</v>
      </c>
      <c r="H89" s="32" t="s">
        <v>66</v>
      </c>
      <c r="I89" s="31">
        <v>175</v>
      </c>
      <c r="W89" s="2" t="s">
        <v>1255</v>
      </c>
      <c r="AC89" s="2">
        <f t="shared" ca="1" si="4"/>
        <v>35</v>
      </c>
      <c r="AD89" s="2" t="e">
        <f t="shared" ca="1" si="5"/>
        <v>#VALUE!</v>
      </c>
      <c r="AE89" s="2">
        <f t="shared" ca="1" si="6"/>
        <v>35</v>
      </c>
      <c r="AF89" s="2" t="e">
        <f t="shared" ca="1" si="7"/>
        <v>#VALUE!</v>
      </c>
    </row>
    <row r="90" spans="1:32" ht="32.4" customHeight="1">
      <c r="A90" s="31">
        <v>87</v>
      </c>
      <c r="B90" s="438">
        <v>35394</v>
      </c>
      <c r="C90" s="718" t="s">
        <v>2041</v>
      </c>
      <c r="D90" s="444">
        <v>150522887</v>
      </c>
      <c r="E90" s="441" t="s">
        <v>575</v>
      </c>
      <c r="F90" s="443" t="s">
        <v>576</v>
      </c>
      <c r="G90" s="32">
        <v>5</v>
      </c>
      <c r="H90" s="32" t="s">
        <v>66</v>
      </c>
      <c r="I90" s="33">
        <v>176</v>
      </c>
      <c r="W90" s="2" t="s">
        <v>1256</v>
      </c>
      <c r="AC90" s="2">
        <f t="shared" ca="1" si="4"/>
        <v>30</v>
      </c>
      <c r="AD90" s="2" t="e">
        <f t="shared" ca="1" si="5"/>
        <v>#VALUE!</v>
      </c>
      <c r="AE90" s="2">
        <f t="shared" ca="1" si="6"/>
        <v>30</v>
      </c>
      <c r="AF90" s="2" t="e">
        <f t="shared" ca="1" si="7"/>
        <v>#VALUE!</v>
      </c>
    </row>
    <row r="91" spans="1:32" ht="32.4" customHeight="1">
      <c r="A91" s="31">
        <v>88</v>
      </c>
      <c r="B91" s="438">
        <v>36743</v>
      </c>
      <c r="C91" s="717" t="s">
        <v>1175</v>
      </c>
      <c r="D91" s="440">
        <v>150761767</v>
      </c>
      <c r="E91" s="441" t="s">
        <v>577</v>
      </c>
      <c r="F91" s="443" t="s">
        <v>578</v>
      </c>
      <c r="G91" s="32">
        <v>5</v>
      </c>
      <c r="H91" s="32" t="s">
        <v>66</v>
      </c>
      <c r="I91" s="31">
        <v>177</v>
      </c>
      <c r="W91" s="2" t="s">
        <v>265</v>
      </c>
      <c r="AC91" s="2">
        <f t="shared" ca="1" si="4"/>
        <v>26</v>
      </c>
      <c r="AD91" s="2" t="e">
        <f t="shared" ca="1" si="5"/>
        <v>#VALUE!</v>
      </c>
      <c r="AE91" s="2">
        <f t="shared" ca="1" si="6"/>
        <v>26</v>
      </c>
      <c r="AF91" s="2" t="e">
        <f t="shared" ca="1" si="7"/>
        <v>#VALUE!</v>
      </c>
    </row>
    <row r="92" spans="1:32" ht="32.4" customHeight="1">
      <c r="A92" s="31">
        <v>89</v>
      </c>
      <c r="B92" s="438">
        <v>38363</v>
      </c>
      <c r="C92" s="717" t="s">
        <v>1175</v>
      </c>
      <c r="D92" s="440">
        <v>150961109</v>
      </c>
      <c r="E92" s="441" t="s">
        <v>579</v>
      </c>
      <c r="F92" s="443" t="s">
        <v>580</v>
      </c>
      <c r="G92" s="32">
        <v>5</v>
      </c>
      <c r="H92" s="32" t="s">
        <v>66</v>
      </c>
      <c r="I92" s="31">
        <v>178</v>
      </c>
      <c r="W92" s="2" t="s">
        <v>807</v>
      </c>
      <c r="AC92" s="2">
        <f t="shared" ca="1" si="4"/>
        <v>21</v>
      </c>
      <c r="AD92" s="2" t="e">
        <f t="shared" ca="1" si="5"/>
        <v>#VALUE!</v>
      </c>
      <c r="AE92" s="2">
        <f t="shared" ca="1" si="6"/>
        <v>21</v>
      </c>
      <c r="AF92" s="2" t="e">
        <f t="shared" ca="1" si="7"/>
        <v>#VALUE!</v>
      </c>
    </row>
    <row r="93" spans="1:32" ht="32.4" customHeight="1">
      <c r="A93" s="31">
        <v>90</v>
      </c>
      <c r="B93" s="438">
        <v>29567</v>
      </c>
      <c r="C93" s="718" t="s">
        <v>2041</v>
      </c>
      <c r="D93" s="440">
        <v>150117995</v>
      </c>
      <c r="E93" s="441" t="s">
        <v>581</v>
      </c>
      <c r="F93" s="443" t="s">
        <v>582</v>
      </c>
      <c r="G93" s="32">
        <v>5</v>
      </c>
      <c r="H93" s="32" t="s">
        <v>66</v>
      </c>
      <c r="I93" s="31">
        <v>179</v>
      </c>
      <c r="W93" s="2" t="s">
        <v>1257</v>
      </c>
      <c r="AC93" s="2">
        <f t="shared" ca="1" si="4"/>
        <v>46</v>
      </c>
      <c r="AD93" s="2" t="e">
        <f t="shared" ca="1" si="5"/>
        <v>#VALUE!</v>
      </c>
      <c r="AE93" s="2">
        <f t="shared" ca="1" si="6"/>
        <v>46</v>
      </c>
      <c r="AF93" s="2" t="e">
        <f t="shared" ca="1" si="7"/>
        <v>#VALUE!</v>
      </c>
    </row>
    <row r="94" spans="1:32" ht="32.4" customHeight="1">
      <c r="A94" s="31">
        <v>91</v>
      </c>
      <c r="B94" s="438">
        <v>30139</v>
      </c>
      <c r="C94" s="718" t="s">
        <v>2041</v>
      </c>
      <c r="D94" s="440">
        <v>150354785</v>
      </c>
      <c r="E94" s="441" t="s">
        <v>583</v>
      </c>
      <c r="F94" s="443" t="s">
        <v>584</v>
      </c>
      <c r="G94" s="32">
        <v>5</v>
      </c>
      <c r="H94" s="32" t="s">
        <v>66</v>
      </c>
      <c r="I94" s="31">
        <v>180</v>
      </c>
      <c r="W94" s="2" t="s">
        <v>885</v>
      </c>
      <c r="AC94" s="2">
        <f t="shared" ca="1" si="4"/>
        <v>44</v>
      </c>
      <c r="AD94" s="2" t="e">
        <f t="shared" ca="1" si="5"/>
        <v>#VALUE!</v>
      </c>
      <c r="AE94" s="2">
        <f t="shared" ca="1" si="6"/>
        <v>44</v>
      </c>
      <c r="AF94" s="2" t="e">
        <f t="shared" ca="1" si="7"/>
        <v>#VALUE!</v>
      </c>
    </row>
    <row r="95" spans="1:32" ht="32.4" customHeight="1">
      <c r="A95" s="31">
        <v>92</v>
      </c>
      <c r="B95" s="438" t="s">
        <v>1415</v>
      </c>
      <c r="C95" s="717" t="s">
        <v>1175</v>
      </c>
      <c r="D95" s="440">
        <v>150354789</v>
      </c>
      <c r="E95" s="441" t="s">
        <v>585</v>
      </c>
      <c r="F95" s="443" t="s">
        <v>586</v>
      </c>
      <c r="G95" s="32">
        <v>5</v>
      </c>
      <c r="H95" s="32" t="s">
        <v>66</v>
      </c>
      <c r="I95" s="31">
        <v>181</v>
      </c>
      <c r="J95" s="26"/>
      <c r="W95" s="2" t="s">
        <v>1073</v>
      </c>
      <c r="AC95" s="2">
        <f t="shared" ca="1" si="4"/>
        <v>42</v>
      </c>
      <c r="AD95" s="2" t="e">
        <f t="shared" ca="1" si="5"/>
        <v>#VALUE!</v>
      </c>
      <c r="AE95" s="2">
        <f t="shared" ca="1" si="6"/>
        <v>42</v>
      </c>
      <c r="AF95" s="2" t="e">
        <f t="shared" ca="1" si="7"/>
        <v>#VALUE!</v>
      </c>
    </row>
    <row r="96" spans="1:32" ht="32.4" customHeight="1">
      <c r="A96" s="31">
        <v>93</v>
      </c>
      <c r="B96" s="438">
        <v>30843</v>
      </c>
      <c r="C96" s="718" t="s">
        <v>2041</v>
      </c>
      <c r="D96" s="440">
        <v>150113757</v>
      </c>
      <c r="E96" s="441" t="s">
        <v>587</v>
      </c>
      <c r="F96" s="443" t="s">
        <v>588</v>
      </c>
      <c r="G96" s="32">
        <v>5</v>
      </c>
      <c r="H96" s="32" t="s">
        <v>66</v>
      </c>
      <c r="I96" s="31">
        <v>182</v>
      </c>
      <c r="V96" s="2">
        <v>3</v>
      </c>
      <c r="W96" s="2" t="s">
        <v>448</v>
      </c>
      <c r="AC96" s="2">
        <f t="shared" ca="1" si="4"/>
        <v>42</v>
      </c>
      <c r="AD96" s="2" t="e">
        <f t="shared" ca="1" si="5"/>
        <v>#VALUE!</v>
      </c>
      <c r="AE96" s="2">
        <f t="shared" ca="1" si="6"/>
        <v>42</v>
      </c>
      <c r="AF96" s="2" t="e">
        <f t="shared" ca="1" si="7"/>
        <v>#VALUE!</v>
      </c>
    </row>
    <row r="97" spans="1:37" ht="32.4" customHeight="1">
      <c r="A97" s="31">
        <v>94</v>
      </c>
      <c r="B97" s="438">
        <v>31575</v>
      </c>
      <c r="C97" s="717" t="s">
        <v>1175</v>
      </c>
      <c r="D97" s="440">
        <v>150360266</v>
      </c>
      <c r="E97" s="441" t="s">
        <v>1853</v>
      </c>
      <c r="F97" s="443" t="s">
        <v>590</v>
      </c>
      <c r="G97" s="32">
        <v>5</v>
      </c>
      <c r="H97" s="32" t="s">
        <v>66</v>
      </c>
      <c r="I97" s="31">
        <v>183</v>
      </c>
      <c r="W97" s="2" t="s">
        <v>483</v>
      </c>
      <c r="AC97" s="2">
        <f t="shared" ca="1" si="4"/>
        <v>40</v>
      </c>
      <c r="AD97" s="2" t="e">
        <f t="shared" ca="1" si="5"/>
        <v>#VALUE!</v>
      </c>
      <c r="AE97" s="2">
        <f t="shared" ca="1" si="6"/>
        <v>40</v>
      </c>
      <c r="AF97" s="2" t="e">
        <f t="shared" ca="1" si="7"/>
        <v>#VALUE!</v>
      </c>
    </row>
    <row r="98" spans="1:37" ht="32.4" customHeight="1">
      <c r="A98" s="31">
        <v>95</v>
      </c>
      <c r="B98" s="438">
        <v>31593</v>
      </c>
      <c r="C98" s="718" t="s">
        <v>2041</v>
      </c>
      <c r="D98" s="440">
        <v>150427531</v>
      </c>
      <c r="E98" s="441" t="s">
        <v>591</v>
      </c>
      <c r="F98" s="443" t="s">
        <v>592</v>
      </c>
      <c r="G98" s="32">
        <v>5</v>
      </c>
      <c r="H98" s="32" t="s">
        <v>66</v>
      </c>
      <c r="I98" s="31">
        <v>184</v>
      </c>
      <c r="W98" s="2" t="s">
        <v>1259</v>
      </c>
      <c r="AC98" s="2">
        <f t="shared" ca="1" si="4"/>
        <v>40</v>
      </c>
      <c r="AD98" s="2" t="e">
        <f t="shared" ca="1" si="5"/>
        <v>#VALUE!</v>
      </c>
      <c r="AE98" s="2">
        <f t="shared" ca="1" si="6"/>
        <v>40</v>
      </c>
      <c r="AF98" s="2" t="e">
        <f t="shared" ca="1" si="7"/>
        <v>#VALUE!</v>
      </c>
      <c r="AG98" s="34"/>
      <c r="AH98" s="34">
        <v>29975</v>
      </c>
      <c r="AI98" s="46">
        <v>150114845</v>
      </c>
      <c r="AJ98" s="41" t="s">
        <v>1260</v>
      </c>
      <c r="AK98" s="37" t="s">
        <v>1261</v>
      </c>
    </row>
    <row r="99" spans="1:37" ht="32.4" customHeight="1">
      <c r="A99" s="31">
        <v>96</v>
      </c>
      <c r="B99" s="438">
        <v>32539</v>
      </c>
      <c r="C99" s="717" t="s">
        <v>1175</v>
      </c>
      <c r="D99" s="440">
        <v>150354762</v>
      </c>
      <c r="E99" s="441" t="s">
        <v>593</v>
      </c>
      <c r="F99" s="443" t="s">
        <v>594</v>
      </c>
      <c r="G99" s="32">
        <v>5</v>
      </c>
      <c r="H99" s="32" t="s">
        <v>66</v>
      </c>
      <c r="I99" s="31">
        <v>185</v>
      </c>
      <c r="W99" s="2" t="s">
        <v>1262</v>
      </c>
      <c r="AC99" s="2">
        <f t="shared" ca="1" si="4"/>
        <v>37</v>
      </c>
      <c r="AD99" s="2" t="e">
        <f t="shared" ca="1" si="5"/>
        <v>#VALUE!</v>
      </c>
      <c r="AE99" s="2">
        <f t="shared" ca="1" si="6"/>
        <v>37</v>
      </c>
      <c r="AF99" s="2" t="e">
        <f t="shared" ca="1" si="7"/>
        <v>#VALUE!</v>
      </c>
    </row>
    <row r="100" spans="1:37" ht="32.4" customHeight="1">
      <c r="A100" s="31">
        <v>97</v>
      </c>
      <c r="B100" s="438">
        <v>26831</v>
      </c>
      <c r="C100" s="718" t="s">
        <v>2041</v>
      </c>
      <c r="D100" s="440">
        <v>150574729</v>
      </c>
      <c r="E100" s="441" t="s">
        <v>595</v>
      </c>
      <c r="F100" s="443" t="s">
        <v>596</v>
      </c>
      <c r="G100" s="32">
        <v>5</v>
      </c>
      <c r="H100" s="32" t="s">
        <v>66</v>
      </c>
      <c r="I100" s="31">
        <v>186</v>
      </c>
      <c r="W100" s="2" t="s">
        <v>436</v>
      </c>
      <c r="AC100" s="2">
        <f t="shared" ca="1" si="4"/>
        <v>53</v>
      </c>
      <c r="AD100" s="2" t="e">
        <f t="shared" ca="1" si="5"/>
        <v>#VALUE!</v>
      </c>
      <c r="AE100" s="2">
        <f t="shared" ca="1" si="6"/>
        <v>53</v>
      </c>
      <c r="AF100" s="2" t="e">
        <f t="shared" ca="1" si="7"/>
        <v>#VALUE!</v>
      </c>
    </row>
    <row r="101" spans="1:37" ht="32.4" customHeight="1">
      <c r="A101" s="31">
        <v>98</v>
      </c>
      <c r="B101" s="466">
        <v>39014</v>
      </c>
      <c r="C101" s="717" t="s">
        <v>1175</v>
      </c>
      <c r="D101" s="440">
        <v>151013388</v>
      </c>
      <c r="E101" s="441" t="s">
        <v>597</v>
      </c>
      <c r="F101" s="443" t="s">
        <v>598</v>
      </c>
      <c r="G101" s="32">
        <v>5</v>
      </c>
      <c r="H101" s="32" t="s">
        <v>66</v>
      </c>
      <c r="I101" s="31">
        <v>187</v>
      </c>
      <c r="W101" s="2" t="s">
        <v>482</v>
      </c>
      <c r="AC101" s="2">
        <f t="shared" ca="1" si="4"/>
        <v>20</v>
      </c>
      <c r="AD101" s="2" t="e">
        <f t="shared" ca="1" si="5"/>
        <v>#VALUE!</v>
      </c>
      <c r="AE101" s="2">
        <f t="shared" ca="1" si="6"/>
        <v>20</v>
      </c>
      <c r="AF101" s="2" t="e">
        <f t="shared" ca="1" si="7"/>
        <v>#VALUE!</v>
      </c>
    </row>
    <row r="102" spans="1:37" ht="32.4" customHeight="1">
      <c r="A102" s="31">
        <v>99</v>
      </c>
      <c r="B102" s="438">
        <v>29173</v>
      </c>
      <c r="C102" s="718" t="s">
        <v>2041</v>
      </c>
      <c r="D102" s="440">
        <v>110334693</v>
      </c>
      <c r="E102" s="441" t="s">
        <v>599</v>
      </c>
      <c r="F102" s="443" t="s">
        <v>600</v>
      </c>
      <c r="G102" s="32">
        <v>5</v>
      </c>
      <c r="H102" s="32" t="s">
        <v>66</v>
      </c>
      <c r="I102" s="31">
        <v>188</v>
      </c>
      <c r="W102" s="2" t="s">
        <v>1263</v>
      </c>
      <c r="X102" s="34"/>
      <c r="Y102" s="34">
        <v>37491</v>
      </c>
      <c r="Z102" s="46">
        <v>220233821</v>
      </c>
      <c r="AA102" s="47" t="s">
        <v>1264</v>
      </c>
      <c r="AB102" s="31" t="s">
        <v>1265</v>
      </c>
      <c r="AC102" s="2">
        <f t="shared" ca="1" si="4"/>
        <v>47</v>
      </c>
      <c r="AD102" s="2" t="e">
        <f t="shared" ca="1" si="5"/>
        <v>#VALUE!</v>
      </c>
      <c r="AE102" s="2">
        <f t="shared" ca="1" si="6"/>
        <v>47</v>
      </c>
      <c r="AF102" s="2" t="e">
        <f t="shared" ca="1" si="7"/>
        <v>#VALUE!</v>
      </c>
    </row>
    <row r="103" spans="1:37" ht="32.4" customHeight="1">
      <c r="A103" s="31">
        <v>100</v>
      </c>
      <c r="B103" s="450">
        <v>33073</v>
      </c>
      <c r="C103" s="718" t="s">
        <v>2041</v>
      </c>
      <c r="D103" s="447">
        <v>150523506</v>
      </c>
      <c r="E103" s="460" t="s">
        <v>601</v>
      </c>
      <c r="F103" s="467" t="s">
        <v>602</v>
      </c>
      <c r="G103" s="32">
        <v>5</v>
      </c>
      <c r="H103" s="32" t="s">
        <v>66</v>
      </c>
      <c r="I103" s="31">
        <v>189</v>
      </c>
      <c r="W103" s="2" t="s">
        <v>1266</v>
      </c>
      <c r="X103" s="34">
        <v>35344</v>
      </c>
      <c r="Y103" s="34"/>
      <c r="Z103" s="46">
        <v>220164355</v>
      </c>
      <c r="AA103" s="47" t="s">
        <v>1267</v>
      </c>
      <c r="AB103" s="31" t="s">
        <v>1268</v>
      </c>
      <c r="AC103" s="2">
        <f t="shared" ca="1" si="4"/>
        <v>36</v>
      </c>
      <c r="AD103" s="2" t="e">
        <f t="shared" ca="1" si="5"/>
        <v>#VALUE!</v>
      </c>
      <c r="AE103" s="2">
        <f t="shared" ca="1" si="6"/>
        <v>36</v>
      </c>
      <c r="AF103" s="2" t="e">
        <f t="shared" ca="1" si="7"/>
        <v>#VALUE!</v>
      </c>
    </row>
    <row r="104" spans="1:37" ht="32.4" customHeight="1">
      <c r="A104" s="31">
        <v>101</v>
      </c>
      <c r="B104" s="438">
        <v>29504</v>
      </c>
      <c r="C104" s="718" t="s">
        <v>2041</v>
      </c>
      <c r="D104" s="440">
        <v>150788568</v>
      </c>
      <c r="E104" s="441" t="s">
        <v>1854</v>
      </c>
      <c r="F104" s="443" t="s">
        <v>604</v>
      </c>
      <c r="G104" s="32">
        <v>5</v>
      </c>
      <c r="H104" s="32" t="s">
        <v>66</v>
      </c>
      <c r="I104" s="31">
        <v>190</v>
      </c>
      <c r="W104" s="2" t="s">
        <v>355</v>
      </c>
      <c r="AC104" s="2">
        <f t="shared" ca="1" si="4"/>
        <v>46</v>
      </c>
      <c r="AD104" s="2" t="e">
        <f t="shared" ca="1" si="5"/>
        <v>#VALUE!</v>
      </c>
      <c r="AE104" s="2">
        <f t="shared" ca="1" si="6"/>
        <v>46</v>
      </c>
      <c r="AF104" s="2" t="e">
        <f t="shared" ca="1" si="7"/>
        <v>#VALUE!</v>
      </c>
    </row>
    <row r="105" spans="1:37" ht="32.4" customHeight="1">
      <c r="A105" s="31">
        <v>102</v>
      </c>
      <c r="B105" s="438">
        <v>29648</v>
      </c>
      <c r="C105" s="717" t="s">
        <v>1175</v>
      </c>
      <c r="D105" s="440">
        <v>150788567</v>
      </c>
      <c r="E105" s="441" t="s">
        <v>605</v>
      </c>
      <c r="F105" s="443" t="s">
        <v>606</v>
      </c>
      <c r="G105" s="32">
        <v>5</v>
      </c>
      <c r="H105" s="32" t="s">
        <v>66</v>
      </c>
      <c r="I105" s="31">
        <v>191</v>
      </c>
      <c r="W105" s="2" t="s">
        <v>446</v>
      </c>
      <c r="AC105" s="2">
        <f t="shared" ca="1" si="4"/>
        <v>45</v>
      </c>
      <c r="AD105" s="2" t="e">
        <f t="shared" ca="1" si="5"/>
        <v>#VALUE!</v>
      </c>
      <c r="AE105" s="2">
        <f t="shared" ca="1" si="6"/>
        <v>45</v>
      </c>
      <c r="AF105" s="2" t="e">
        <f t="shared" ca="1" si="7"/>
        <v>#VALUE!</v>
      </c>
    </row>
    <row r="106" spans="1:37" ht="32.4" customHeight="1">
      <c r="A106" s="31">
        <v>103</v>
      </c>
      <c r="B106" s="438">
        <v>35326</v>
      </c>
      <c r="C106" s="718" t="s">
        <v>2041</v>
      </c>
      <c r="D106" s="440">
        <v>220204515</v>
      </c>
      <c r="E106" s="441" t="s">
        <v>1855</v>
      </c>
      <c r="F106" s="443" t="s">
        <v>608</v>
      </c>
      <c r="G106" s="32">
        <v>5</v>
      </c>
      <c r="H106" s="32" t="s">
        <v>66</v>
      </c>
      <c r="I106" s="31">
        <v>192</v>
      </c>
      <c r="W106" s="2" t="s">
        <v>1271</v>
      </c>
      <c r="AC106" s="2">
        <f t="shared" ca="1" si="4"/>
        <v>30</v>
      </c>
      <c r="AD106" s="2" t="e">
        <f t="shared" ca="1" si="5"/>
        <v>#VALUE!</v>
      </c>
      <c r="AE106" s="2">
        <f t="shared" ca="1" si="6"/>
        <v>30</v>
      </c>
      <c r="AF106" s="2" t="e">
        <f t="shared" ca="1" si="7"/>
        <v>#VALUE!</v>
      </c>
    </row>
    <row r="107" spans="1:37" ht="32.4" customHeight="1">
      <c r="A107" s="31">
        <v>104</v>
      </c>
      <c r="B107" s="451">
        <v>35806</v>
      </c>
      <c r="C107" s="717" t="s">
        <v>1175</v>
      </c>
      <c r="D107" s="468">
        <v>150648532</v>
      </c>
      <c r="E107" s="460" t="s">
        <v>1856</v>
      </c>
      <c r="F107" s="467" t="s">
        <v>610</v>
      </c>
      <c r="G107" s="32">
        <v>5</v>
      </c>
      <c r="H107" s="32" t="s">
        <v>66</v>
      </c>
      <c r="I107" s="31">
        <v>193</v>
      </c>
      <c r="W107" s="2" t="s">
        <v>1272</v>
      </c>
      <c r="X107" s="34"/>
      <c r="Y107" s="34">
        <v>30384</v>
      </c>
      <c r="Z107" s="46">
        <v>150113662</v>
      </c>
      <c r="AA107" s="47" t="s">
        <v>1273</v>
      </c>
      <c r="AB107" s="31" t="s">
        <v>1274</v>
      </c>
      <c r="AC107" s="2">
        <f t="shared" ca="1" si="4"/>
        <v>28</v>
      </c>
      <c r="AD107" s="2" t="e">
        <f t="shared" ca="1" si="5"/>
        <v>#VALUE!</v>
      </c>
      <c r="AE107" s="2">
        <f t="shared" ca="1" si="6"/>
        <v>28</v>
      </c>
      <c r="AF107" s="2" t="e">
        <f t="shared" ca="1" si="7"/>
        <v>#VALUE!</v>
      </c>
    </row>
    <row r="108" spans="1:37" ht="32.4" customHeight="1">
      <c r="A108" s="31">
        <v>105</v>
      </c>
      <c r="B108" s="438">
        <v>29356</v>
      </c>
      <c r="C108" s="718" t="s">
        <v>2041</v>
      </c>
      <c r="D108" s="440">
        <v>220234432</v>
      </c>
      <c r="E108" s="441" t="s">
        <v>611</v>
      </c>
      <c r="F108" s="443" t="s">
        <v>612</v>
      </c>
      <c r="G108" s="32">
        <v>5</v>
      </c>
      <c r="H108" s="32" t="s">
        <v>66</v>
      </c>
      <c r="I108" s="31">
        <v>194</v>
      </c>
      <c r="W108" s="2" t="s">
        <v>799</v>
      </c>
      <c r="X108" s="34"/>
      <c r="Y108" s="34"/>
      <c r="Z108" s="46"/>
      <c r="AA108" s="47"/>
      <c r="AB108" s="31"/>
      <c r="AC108" s="2">
        <f t="shared" ca="1" si="4"/>
        <v>46</v>
      </c>
      <c r="AD108" s="2" t="e">
        <f t="shared" ca="1" si="5"/>
        <v>#VALUE!</v>
      </c>
      <c r="AE108" s="2">
        <f t="shared" ca="1" si="6"/>
        <v>46</v>
      </c>
      <c r="AF108" s="2" t="e">
        <f t="shared" ca="1" si="7"/>
        <v>#VALUE!</v>
      </c>
    </row>
    <row r="109" spans="1:37" ht="32.4" customHeight="1">
      <c r="A109" s="31">
        <v>106</v>
      </c>
      <c r="B109" s="438">
        <v>32996</v>
      </c>
      <c r="C109" s="717" t="s">
        <v>1175</v>
      </c>
      <c r="D109" s="440">
        <v>220234344</v>
      </c>
      <c r="E109" s="441" t="s">
        <v>613</v>
      </c>
      <c r="F109" s="443" t="s">
        <v>614</v>
      </c>
      <c r="G109" s="32">
        <v>5</v>
      </c>
      <c r="H109" s="32" t="s">
        <v>66</v>
      </c>
      <c r="I109" s="31">
        <v>195</v>
      </c>
      <c r="W109" s="2" t="s">
        <v>269</v>
      </c>
      <c r="X109" s="34">
        <v>31087</v>
      </c>
      <c r="Y109" s="34"/>
      <c r="Z109" s="46">
        <v>220060477</v>
      </c>
      <c r="AA109" s="47" t="s">
        <v>1275</v>
      </c>
      <c r="AB109" s="31" t="s">
        <v>1276</v>
      </c>
      <c r="AC109" s="2">
        <f t="shared" ca="1" si="4"/>
        <v>36</v>
      </c>
      <c r="AD109" s="2" t="e">
        <f t="shared" ca="1" si="5"/>
        <v>#VALUE!</v>
      </c>
      <c r="AE109" s="2">
        <f t="shared" ca="1" si="6"/>
        <v>36</v>
      </c>
      <c r="AF109" s="2" t="e">
        <f t="shared" ca="1" si="7"/>
        <v>#VALUE!</v>
      </c>
    </row>
    <row r="110" spans="1:37" ht="32.4" customHeight="1">
      <c r="A110" s="31">
        <v>107</v>
      </c>
      <c r="B110" s="438">
        <v>31797</v>
      </c>
      <c r="C110" s="717" t="s">
        <v>1175</v>
      </c>
      <c r="D110" s="440">
        <v>150326632</v>
      </c>
      <c r="E110" s="441" t="s">
        <v>615</v>
      </c>
      <c r="F110" s="443" t="s">
        <v>616</v>
      </c>
      <c r="G110" s="32">
        <v>5</v>
      </c>
      <c r="H110" s="32" t="s">
        <v>66</v>
      </c>
      <c r="I110" s="31">
        <v>196</v>
      </c>
      <c r="W110" s="2" t="s">
        <v>1277</v>
      </c>
      <c r="AC110" s="2">
        <f t="shared" ca="1" si="4"/>
        <v>39</v>
      </c>
      <c r="AD110" s="2" t="e">
        <f t="shared" ca="1" si="5"/>
        <v>#VALUE!</v>
      </c>
      <c r="AE110" s="2">
        <f t="shared" ca="1" si="6"/>
        <v>39</v>
      </c>
      <c r="AF110" s="2" t="e">
        <f t="shared" ca="1" si="7"/>
        <v>#VALUE!</v>
      </c>
      <c r="AG110" s="34"/>
      <c r="AH110" s="34">
        <v>29866</v>
      </c>
      <c r="AI110" s="46" t="s">
        <v>1278</v>
      </c>
      <c r="AJ110" s="41" t="s">
        <v>1279</v>
      </c>
      <c r="AK110" s="37" t="s">
        <v>1277</v>
      </c>
    </row>
    <row r="111" spans="1:37" ht="32.4" customHeight="1">
      <c r="A111" s="31">
        <v>108</v>
      </c>
      <c r="B111" s="438">
        <v>31610</v>
      </c>
      <c r="C111" s="718" t="s">
        <v>2041</v>
      </c>
      <c r="D111" s="440">
        <v>150959866</v>
      </c>
      <c r="E111" s="441" t="s">
        <v>617</v>
      </c>
      <c r="F111" s="443" t="s">
        <v>618</v>
      </c>
      <c r="G111" s="32">
        <v>5</v>
      </c>
      <c r="H111" s="32" t="s">
        <v>66</v>
      </c>
      <c r="I111" s="31">
        <v>197</v>
      </c>
      <c r="W111" s="2" t="s">
        <v>1280</v>
      </c>
      <c r="AC111" s="2">
        <f t="shared" ca="1" si="4"/>
        <v>40</v>
      </c>
      <c r="AD111" s="2" t="e">
        <f t="shared" ca="1" si="5"/>
        <v>#VALUE!</v>
      </c>
      <c r="AE111" s="2">
        <f t="shared" ca="1" si="6"/>
        <v>40</v>
      </c>
      <c r="AF111" s="2" t="e">
        <f t="shared" ca="1" si="7"/>
        <v>#VALUE!</v>
      </c>
    </row>
    <row r="112" spans="1:37" ht="32.4" customHeight="1">
      <c r="A112" s="31">
        <v>109</v>
      </c>
      <c r="B112" s="438">
        <v>31413</v>
      </c>
      <c r="C112" s="718" t="s">
        <v>2041</v>
      </c>
      <c r="D112" s="440">
        <v>150326792</v>
      </c>
      <c r="E112" s="441" t="s">
        <v>1857</v>
      </c>
      <c r="F112" s="443" t="s">
        <v>619</v>
      </c>
      <c r="G112" s="32">
        <v>5</v>
      </c>
      <c r="H112" s="32" t="s">
        <v>66</v>
      </c>
      <c r="I112" s="31">
        <v>198</v>
      </c>
      <c r="W112" s="2" t="s">
        <v>458</v>
      </c>
      <c r="AC112" s="2">
        <f t="shared" ca="1" si="4"/>
        <v>40</v>
      </c>
      <c r="AD112" s="2" t="e">
        <f t="shared" ca="1" si="5"/>
        <v>#VALUE!</v>
      </c>
      <c r="AE112" s="2">
        <f t="shared" ca="1" si="6"/>
        <v>40</v>
      </c>
      <c r="AF112" s="2" t="e">
        <f t="shared" ca="1" si="7"/>
        <v>#VALUE!</v>
      </c>
    </row>
    <row r="113" spans="1:37" ht="32.4" customHeight="1">
      <c r="A113" s="31">
        <v>110</v>
      </c>
      <c r="B113" s="453">
        <v>30108</v>
      </c>
      <c r="C113" s="717" t="s">
        <v>1175</v>
      </c>
      <c r="D113" s="447">
        <v>150113301</v>
      </c>
      <c r="E113" s="460" t="s">
        <v>620</v>
      </c>
      <c r="F113" s="467" t="s">
        <v>621</v>
      </c>
      <c r="G113" s="32">
        <v>5</v>
      </c>
      <c r="H113" s="32" t="s">
        <v>66</v>
      </c>
      <c r="I113" s="31">
        <v>199</v>
      </c>
      <c r="W113" s="2" t="s">
        <v>460</v>
      </c>
      <c r="AC113" s="2">
        <f t="shared" ca="1" si="4"/>
        <v>44</v>
      </c>
      <c r="AD113" s="2" t="e">
        <f t="shared" ca="1" si="5"/>
        <v>#VALUE!</v>
      </c>
      <c r="AE113" s="2">
        <f t="shared" ca="1" si="6"/>
        <v>44</v>
      </c>
      <c r="AF113" s="2" t="e">
        <f t="shared" ca="1" si="7"/>
        <v>#VALUE!</v>
      </c>
    </row>
    <row r="114" spans="1:37" ht="32.4" customHeight="1">
      <c r="A114" s="31">
        <v>111</v>
      </c>
      <c r="B114" s="438">
        <v>27216</v>
      </c>
      <c r="C114" s="718" t="s">
        <v>2041</v>
      </c>
      <c r="D114" s="440">
        <v>150113647</v>
      </c>
      <c r="E114" s="441" t="s">
        <v>622</v>
      </c>
      <c r="F114" s="443" t="s">
        <v>623</v>
      </c>
      <c r="G114" s="32">
        <v>5</v>
      </c>
      <c r="H114" s="32" t="s">
        <v>66</v>
      </c>
      <c r="I114" s="31">
        <v>200</v>
      </c>
      <c r="W114" s="2" t="s">
        <v>462</v>
      </c>
      <c r="AC114" s="2">
        <f t="shared" ca="1" si="4"/>
        <v>52</v>
      </c>
      <c r="AD114" s="2" t="e">
        <f t="shared" ca="1" si="5"/>
        <v>#VALUE!</v>
      </c>
      <c r="AE114" s="2">
        <f t="shared" ca="1" si="6"/>
        <v>52</v>
      </c>
      <c r="AF114" s="2" t="e">
        <f t="shared" ca="1" si="7"/>
        <v>#VALUE!</v>
      </c>
    </row>
    <row r="115" spans="1:37" ht="32.4" customHeight="1">
      <c r="A115" s="31">
        <v>112</v>
      </c>
      <c r="B115" s="438">
        <v>27829</v>
      </c>
      <c r="C115" s="717" t="s">
        <v>1175</v>
      </c>
      <c r="D115" s="440">
        <v>150887113</v>
      </c>
      <c r="E115" s="441" t="s">
        <v>624</v>
      </c>
      <c r="F115" s="443" t="s">
        <v>625</v>
      </c>
      <c r="G115" s="32">
        <v>5</v>
      </c>
      <c r="H115" s="32" t="s">
        <v>66</v>
      </c>
      <c r="I115" s="31">
        <v>201</v>
      </c>
      <c r="W115" s="2" t="s">
        <v>825</v>
      </c>
      <c r="AC115" s="2">
        <f t="shared" ca="1" si="4"/>
        <v>50</v>
      </c>
      <c r="AD115" s="2" t="e">
        <f t="shared" ca="1" si="5"/>
        <v>#VALUE!</v>
      </c>
      <c r="AE115" s="2">
        <f t="shared" ca="1" si="6"/>
        <v>50</v>
      </c>
      <c r="AF115" s="2" t="e">
        <f t="shared" ca="1" si="7"/>
        <v>#VALUE!</v>
      </c>
    </row>
    <row r="116" spans="1:37" ht="32.4" customHeight="1">
      <c r="A116" s="31">
        <v>113</v>
      </c>
      <c r="B116" s="438">
        <v>32222</v>
      </c>
      <c r="C116" s="717" t="s">
        <v>1175</v>
      </c>
      <c r="D116" s="440">
        <v>150745552</v>
      </c>
      <c r="E116" s="441" t="s">
        <v>1858</v>
      </c>
      <c r="F116" s="443" t="s">
        <v>627</v>
      </c>
      <c r="G116" s="32">
        <v>5</v>
      </c>
      <c r="H116" s="32" t="s">
        <v>66</v>
      </c>
      <c r="I116" s="31">
        <v>202</v>
      </c>
      <c r="W116" s="2" t="s">
        <v>1283</v>
      </c>
      <c r="AC116" s="2">
        <f t="shared" ca="1" si="4"/>
        <v>38</v>
      </c>
      <c r="AD116" s="2" t="e">
        <f t="shared" ca="1" si="5"/>
        <v>#VALUE!</v>
      </c>
      <c r="AE116" s="2">
        <f t="shared" ca="1" si="6"/>
        <v>38</v>
      </c>
      <c r="AF116" s="2" t="e">
        <f t="shared" ca="1" si="7"/>
        <v>#VALUE!</v>
      </c>
    </row>
    <row r="117" spans="1:37" ht="32.4" customHeight="1">
      <c r="A117" s="31">
        <v>114</v>
      </c>
      <c r="B117" s="438">
        <v>32547</v>
      </c>
      <c r="C117" s="718" t="s">
        <v>2041</v>
      </c>
      <c r="D117" s="440">
        <v>150745550</v>
      </c>
      <c r="E117" s="441" t="s">
        <v>1699</v>
      </c>
      <c r="F117" s="443" t="s">
        <v>1700</v>
      </c>
      <c r="G117" s="32">
        <v>5</v>
      </c>
      <c r="H117" s="32" t="s">
        <v>66</v>
      </c>
      <c r="I117" s="31">
        <v>203</v>
      </c>
      <c r="W117" s="2" t="s">
        <v>468</v>
      </c>
      <c r="AC117" s="2">
        <f t="shared" ca="1" si="4"/>
        <v>37</v>
      </c>
      <c r="AD117" s="2" t="e">
        <f t="shared" ca="1" si="5"/>
        <v>#VALUE!</v>
      </c>
      <c r="AE117" s="2">
        <f t="shared" ca="1" si="6"/>
        <v>37</v>
      </c>
      <c r="AF117" s="2" t="e">
        <f t="shared" ca="1" si="7"/>
        <v>#VALUE!</v>
      </c>
    </row>
    <row r="118" spans="1:37" ht="32.4" customHeight="1">
      <c r="A118" s="31">
        <v>115</v>
      </c>
      <c r="B118" s="438">
        <v>38334</v>
      </c>
      <c r="C118" s="718" t="s">
        <v>2041</v>
      </c>
      <c r="D118" s="440">
        <v>181042037</v>
      </c>
      <c r="E118" s="441" t="s">
        <v>1701</v>
      </c>
      <c r="F118" s="443" t="s">
        <v>1702</v>
      </c>
      <c r="G118" s="32">
        <v>5</v>
      </c>
      <c r="H118" s="32" t="s">
        <v>66</v>
      </c>
      <c r="I118" s="31">
        <v>204</v>
      </c>
      <c r="W118" s="2" t="s">
        <v>1285</v>
      </c>
      <c r="AC118" s="2">
        <f t="shared" ca="1" si="4"/>
        <v>22</v>
      </c>
      <c r="AD118" s="2" t="e">
        <f t="shared" ca="1" si="5"/>
        <v>#VALUE!</v>
      </c>
      <c r="AE118" s="2">
        <f t="shared" ca="1" si="6"/>
        <v>22</v>
      </c>
      <c r="AF118" s="2" t="e">
        <f t="shared" ca="1" si="7"/>
        <v>#VALUE!</v>
      </c>
    </row>
    <row r="119" spans="1:37" ht="32.4" customHeight="1">
      <c r="A119" s="31">
        <v>116</v>
      </c>
      <c r="B119" s="438">
        <v>35576</v>
      </c>
      <c r="C119" s="717" t="s">
        <v>1175</v>
      </c>
      <c r="D119" s="440">
        <v>150659225</v>
      </c>
      <c r="E119" s="441" t="s">
        <v>1939</v>
      </c>
      <c r="F119" s="443" t="s">
        <v>1940</v>
      </c>
      <c r="G119" s="32">
        <v>5</v>
      </c>
      <c r="H119" s="32" t="s">
        <v>66</v>
      </c>
      <c r="I119" s="31">
        <v>205</v>
      </c>
      <c r="W119" s="2" t="s">
        <v>478</v>
      </c>
      <c r="X119" s="34">
        <v>37335</v>
      </c>
      <c r="Y119" s="34"/>
      <c r="Z119" s="46">
        <v>150936772</v>
      </c>
      <c r="AA119" s="47" t="s">
        <v>1286</v>
      </c>
      <c r="AB119" s="31" t="s">
        <v>1287</v>
      </c>
      <c r="AC119" s="2">
        <f t="shared" ca="1" si="4"/>
        <v>29</v>
      </c>
      <c r="AD119" s="2" t="e">
        <f t="shared" ca="1" si="5"/>
        <v>#VALUE!</v>
      </c>
      <c r="AE119" s="2">
        <f t="shared" ca="1" si="6"/>
        <v>29</v>
      </c>
      <c r="AF119" s="2" t="e">
        <f t="shared" ca="1" si="7"/>
        <v>#VALUE!</v>
      </c>
    </row>
    <row r="120" spans="1:37" ht="32.4" customHeight="1">
      <c r="A120" s="31">
        <v>117</v>
      </c>
      <c r="B120" s="438">
        <v>36919</v>
      </c>
      <c r="C120" s="718" t="s">
        <v>2041</v>
      </c>
      <c r="D120" s="440">
        <v>150827505</v>
      </c>
      <c r="E120" s="441" t="s">
        <v>630</v>
      </c>
      <c r="F120" s="443" t="s">
        <v>631</v>
      </c>
      <c r="G120" s="32">
        <v>5</v>
      </c>
      <c r="H120" s="32" t="s">
        <v>66</v>
      </c>
      <c r="I120" s="425">
        <v>206</v>
      </c>
      <c r="W120" s="2" t="s">
        <v>442</v>
      </c>
      <c r="AC120" s="2">
        <f t="shared" ca="1" si="4"/>
        <v>25</v>
      </c>
      <c r="AD120" s="2" t="e">
        <f t="shared" ca="1" si="5"/>
        <v>#VALUE!</v>
      </c>
      <c r="AE120" s="2">
        <f t="shared" ca="1" si="6"/>
        <v>25</v>
      </c>
      <c r="AF120" s="2" t="e">
        <f t="shared" ca="1" si="7"/>
        <v>#VALUE!</v>
      </c>
    </row>
    <row r="121" spans="1:37" ht="32.4" customHeight="1">
      <c r="A121" s="31">
        <v>118</v>
      </c>
      <c r="B121" s="438">
        <v>35522</v>
      </c>
      <c r="C121" s="718" t="s">
        <v>2041</v>
      </c>
      <c r="D121" s="440">
        <v>150701493</v>
      </c>
      <c r="E121" s="441" t="s">
        <v>632</v>
      </c>
      <c r="F121" s="443" t="s">
        <v>633</v>
      </c>
      <c r="G121" s="32">
        <v>5</v>
      </c>
      <c r="H121" s="32" t="s">
        <v>66</v>
      </c>
      <c r="I121" s="425">
        <v>207</v>
      </c>
      <c r="W121" s="2" t="s">
        <v>474</v>
      </c>
      <c r="AC121" s="2">
        <f t="shared" ca="1" si="4"/>
        <v>29</v>
      </c>
      <c r="AD121" s="2" t="e">
        <f t="shared" ca="1" si="5"/>
        <v>#VALUE!</v>
      </c>
      <c r="AE121" s="2">
        <f t="shared" ca="1" si="6"/>
        <v>29</v>
      </c>
      <c r="AF121" s="2" t="e">
        <f t="shared" ca="1" si="7"/>
        <v>#VALUE!</v>
      </c>
    </row>
    <row r="122" spans="1:37" ht="32.4" customHeight="1">
      <c r="A122" s="31">
        <v>119</v>
      </c>
      <c r="B122" s="438">
        <v>37897</v>
      </c>
      <c r="C122" s="717" t="s">
        <v>1175</v>
      </c>
      <c r="D122" s="440">
        <v>150952564</v>
      </c>
      <c r="E122" s="441" t="s">
        <v>634</v>
      </c>
      <c r="F122" s="443" t="s">
        <v>635</v>
      </c>
      <c r="G122" s="32">
        <v>5</v>
      </c>
      <c r="H122" s="32" t="s">
        <v>66</v>
      </c>
      <c r="I122" s="425">
        <v>208</v>
      </c>
      <c r="W122" s="2" t="s">
        <v>271</v>
      </c>
      <c r="AC122" s="2">
        <f t="shared" ca="1" si="4"/>
        <v>23</v>
      </c>
      <c r="AD122" s="2" t="e">
        <f t="shared" ca="1" si="5"/>
        <v>#VALUE!</v>
      </c>
      <c r="AE122" s="2">
        <f t="shared" ca="1" si="6"/>
        <v>23</v>
      </c>
      <c r="AF122" s="2" t="e">
        <f t="shared" ca="1" si="7"/>
        <v>#VALUE!</v>
      </c>
    </row>
    <row r="123" spans="1:37" ht="32.4" customHeight="1">
      <c r="A123" s="31">
        <v>120</v>
      </c>
      <c r="B123" s="438">
        <v>29374</v>
      </c>
      <c r="C123" s="718" t="s">
        <v>2041</v>
      </c>
      <c r="D123" s="440">
        <v>150113853</v>
      </c>
      <c r="E123" s="441" t="s">
        <v>628</v>
      </c>
      <c r="F123" s="443" t="s">
        <v>629</v>
      </c>
      <c r="G123" s="32">
        <v>5</v>
      </c>
      <c r="H123" s="32" t="s">
        <v>66</v>
      </c>
      <c r="I123" s="425">
        <v>209</v>
      </c>
      <c r="W123" s="2" t="s">
        <v>1290</v>
      </c>
      <c r="AC123" s="2">
        <f t="shared" ca="1" si="4"/>
        <v>46</v>
      </c>
      <c r="AD123" s="2" t="e">
        <f t="shared" ca="1" si="5"/>
        <v>#VALUE!</v>
      </c>
      <c r="AE123" s="2">
        <f t="shared" ca="1" si="6"/>
        <v>46</v>
      </c>
      <c r="AF123" s="2" t="e">
        <f t="shared" ca="1" si="7"/>
        <v>#VALUE!</v>
      </c>
    </row>
    <row r="124" spans="1:37" ht="32.4" customHeight="1">
      <c r="A124" s="31">
        <v>121</v>
      </c>
      <c r="B124" s="438">
        <v>33604</v>
      </c>
      <c r="C124" s="718" t="s">
        <v>2041</v>
      </c>
      <c r="D124" s="440">
        <v>150651781</v>
      </c>
      <c r="E124" s="441" t="s">
        <v>2002</v>
      </c>
      <c r="F124" s="443" t="s">
        <v>2003</v>
      </c>
      <c r="G124" s="32">
        <v>5</v>
      </c>
      <c r="H124" s="32" t="s">
        <v>66</v>
      </c>
      <c r="I124" s="425">
        <v>210</v>
      </c>
      <c r="W124" s="2" t="s">
        <v>454</v>
      </c>
      <c r="AC124" s="2">
        <f t="shared" ca="1" si="4"/>
        <v>34</v>
      </c>
      <c r="AD124" s="2" t="e">
        <f t="shared" ca="1" si="5"/>
        <v>#VALUE!</v>
      </c>
      <c r="AE124" s="2">
        <f t="shared" ca="1" si="6"/>
        <v>34</v>
      </c>
      <c r="AF124" s="2" t="e">
        <f t="shared" ca="1" si="7"/>
        <v>#VALUE!</v>
      </c>
    </row>
    <row r="125" spans="1:37" ht="32.4" customHeight="1">
      <c r="A125" s="31">
        <v>122</v>
      </c>
      <c r="B125" s="438">
        <v>31077</v>
      </c>
      <c r="C125" s="718" t="s">
        <v>2041</v>
      </c>
      <c r="D125" s="440">
        <v>150360191</v>
      </c>
      <c r="E125" s="441" t="s">
        <v>640</v>
      </c>
      <c r="F125" s="443" t="s">
        <v>641</v>
      </c>
      <c r="G125" s="32">
        <v>5</v>
      </c>
      <c r="H125" s="32" t="s">
        <v>66</v>
      </c>
      <c r="I125" s="425">
        <v>211</v>
      </c>
      <c r="W125" s="2" t="s">
        <v>1292</v>
      </c>
      <c r="X125" s="34">
        <v>35928</v>
      </c>
      <c r="Y125" s="34"/>
      <c r="Z125" s="46">
        <v>220233988</v>
      </c>
      <c r="AA125" s="47" t="s">
        <v>1293</v>
      </c>
      <c r="AB125" s="31" t="s">
        <v>1294</v>
      </c>
      <c r="AC125" s="2">
        <f t="shared" ca="1" si="4"/>
        <v>41</v>
      </c>
      <c r="AD125" s="2" t="e">
        <f t="shared" ca="1" si="5"/>
        <v>#VALUE!</v>
      </c>
      <c r="AE125" s="2">
        <f t="shared" ca="1" si="6"/>
        <v>41</v>
      </c>
      <c r="AF125" s="2" t="e">
        <f t="shared" ca="1" si="7"/>
        <v>#VALUE!</v>
      </c>
      <c r="AG125" s="34">
        <v>36982</v>
      </c>
      <c r="AH125" s="34"/>
      <c r="AI125" s="46">
        <v>150946050</v>
      </c>
      <c r="AJ125" s="41" t="s">
        <v>1295</v>
      </c>
      <c r="AK125" s="37" t="s">
        <v>1296</v>
      </c>
    </row>
    <row r="126" spans="1:37" ht="32.4" customHeight="1">
      <c r="A126" s="31">
        <v>123</v>
      </c>
      <c r="B126" s="438">
        <v>32874</v>
      </c>
      <c r="C126" s="717" t="s">
        <v>1175</v>
      </c>
      <c r="D126" s="440">
        <v>151013375</v>
      </c>
      <c r="E126" s="441" t="s">
        <v>642</v>
      </c>
      <c r="F126" s="443" t="s">
        <v>643</v>
      </c>
      <c r="G126" s="32">
        <v>5</v>
      </c>
      <c r="H126" s="32" t="s">
        <v>66</v>
      </c>
      <c r="I126" s="425">
        <v>212</v>
      </c>
      <c r="W126" s="2" t="s">
        <v>1297</v>
      </c>
      <c r="X126" s="34"/>
      <c r="Y126" s="34">
        <v>37615</v>
      </c>
      <c r="Z126" s="46">
        <v>220233985</v>
      </c>
      <c r="AA126" s="47" t="s">
        <v>1298</v>
      </c>
      <c r="AB126" s="31" t="s">
        <v>1299</v>
      </c>
      <c r="AC126" s="2">
        <f t="shared" ca="1" si="4"/>
        <v>36</v>
      </c>
      <c r="AD126" s="2" t="e">
        <f t="shared" ca="1" si="5"/>
        <v>#VALUE!</v>
      </c>
      <c r="AE126" s="2">
        <f t="shared" ca="1" si="6"/>
        <v>36</v>
      </c>
      <c r="AF126" s="2" t="e">
        <f t="shared" ca="1" si="7"/>
        <v>#VALUE!</v>
      </c>
    </row>
    <row r="127" spans="1:37" ht="32.4" customHeight="1">
      <c r="A127" s="31">
        <v>124</v>
      </c>
      <c r="B127" s="438">
        <v>38695</v>
      </c>
      <c r="C127" s="718" t="s">
        <v>2041</v>
      </c>
      <c r="D127" s="440">
        <v>151003589</v>
      </c>
      <c r="E127" s="441" t="s">
        <v>644</v>
      </c>
      <c r="F127" s="443" t="s">
        <v>645</v>
      </c>
      <c r="G127" s="32">
        <v>5</v>
      </c>
      <c r="H127" s="32" t="s">
        <v>66</v>
      </c>
      <c r="I127" s="425">
        <v>213</v>
      </c>
      <c r="W127" s="2" t="s">
        <v>1300</v>
      </c>
      <c r="AC127" s="2">
        <f t="shared" ca="1" si="4"/>
        <v>21</v>
      </c>
      <c r="AD127" s="2" t="e">
        <f t="shared" ca="1" si="5"/>
        <v>#VALUE!</v>
      </c>
      <c r="AE127" s="2">
        <f t="shared" ca="1" si="6"/>
        <v>21</v>
      </c>
      <c r="AF127" s="2" t="e">
        <f t="shared" ca="1" si="7"/>
        <v>#VALUE!</v>
      </c>
      <c r="AG127" s="34">
        <v>29465</v>
      </c>
      <c r="AH127" s="34"/>
      <c r="AI127" s="46">
        <v>220044805</v>
      </c>
      <c r="AJ127" s="41" t="s">
        <v>1301</v>
      </c>
      <c r="AK127" s="37" t="s">
        <v>1302</v>
      </c>
    </row>
    <row r="128" spans="1:37" ht="32.4" customHeight="1">
      <c r="A128" s="31">
        <v>125</v>
      </c>
      <c r="B128" s="438">
        <v>35803</v>
      </c>
      <c r="C128" s="718" t="s">
        <v>2041</v>
      </c>
      <c r="D128" s="440">
        <v>150662006</v>
      </c>
      <c r="E128" s="441" t="s">
        <v>646</v>
      </c>
      <c r="F128" s="443" t="s">
        <v>647</v>
      </c>
      <c r="G128" s="32">
        <v>5</v>
      </c>
      <c r="H128" s="32" t="s">
        <v>66</v>
      </c>
      <c r="I128" s="425">
        <v>214</v>
      </c>
      <c r="W128" s="2" t="s">
        <v>351</v>
      </c>
      <c r="X128" s="34"/>
      <c r="Y128" s="34">
        <v>34125</v>
      </c>
      <c r="Z128" s="46">
        <v>150522862</v>
      </c>
      <c r="AA128" s="47" t="s">
        <v>350</v>
      </c>
      <c r="AB128" s="31" t="s">
        <v>351</v>
      </c>
      <c r="AC128" s="2">
        <f t="shared" ca="1" si="4"/>
        <v>28</v>
      </c>
      <c r="AD128" s="2" t="e">
        <f t="shared" ca="1" si="5"/>
        <v>#VALUE!</v>
      </c>
      <c r="AE128" s="2">
        <f t="shared" ca="1" si="6"/>
        <v>28</v>
      </c>
      <c r="AF128" s="2" t="e">
        <f t="shared" ca="1" si="7"/>
        <v>#VALUE!</v>
      </c>
    </row>
    <row r="129" spans="1:37" ht="32.4" customHeight="1">
      <c r="A129" s="31">
        <v>126</v>
      </c>
      <c r="B129" s="438">
        <v>29470</v>
      </c>
      <c r="C129" s="718" t="s">
        <v>2041</v>
      </c>
      <c r="D129" s="440">
        <v>60581573</v>
      </c>
      <c r="E129" s="441" t="s">
        <v>734</v>
      </c>
      <c r="F129" s="429" t="s">
        <v>735</v>
      </c>
      <c r="G129" s="32">
        <v>7</v>
      </c>
      <c r="H129" s="32" t="s">
        <v>66</v>
      </c>
      <c r="I129" s="33">
        <v>251</v>
      </c>
      <c r="W129" s="2" t="s">
        <v>1303</v>
      </c>
      <c r="X129" s="34"/>
      <c r="Y129" s="34">
        <v>34713</v>
      </c>
      <c r="Z129" s="46" t="s">
        <v>1304</v>
      </c>
      <c r="AA129" s="47" t="s">
        <v>1305</v>
      </c>
      <c r="AB129" s="31" t="s">
        <v>1306</v>
      </c>
      <c r="AC129" s="2">
        <f t="shared" ca="1" si="4"/>
        <v>46</v>
      </c>
      <c r="AD129" s="2" t="e">
        <f t="shared" ca="1" si="5"/>
        <v>#VALUE!</v>
      </c>
      <c r="AE129" s="2">
        <f t="shared" ca="1" si="6"/>
        <v>46</v>
      </c>
      <c r="AF129" s="2" t="e">
        <f t="shared" ca="1" si="7"/>
        <v>#VALUE!</v>
      </c>
    </row>
    <row r="130" spans="1:37" ht="32.4" customHeight="1">
      <c r="A130" s="31">
        <v>127</v>
      </c>
      <c r="B130" s="470">
        <v>27855</v>
      </c>
      <c r="C130" s="717" t="s">
        <v>1175</v>
      </c>
      <c r="D130" s="444">
        <v>60959899</v>
      </c>
      <c r="E130" s="441" t="s">
        <v>736</v>
      </c>
      <c r="F130" s="429" t="s">
        <v>737</v>
      </c>
      <c r="G130" s="32">
        <v>7</v>
      </c>
      <c r="H130" s="32" t="s">
        <v>66</v>
      </c>
      <c r="I130" s="425">
        <v>252</v>
      </c>
      <c r="W130" s="2" t="s">
        <v>1307</v>
      </c>
      <c r="X130" s="34">
        <v>32884</v>
      </c>
      <c r="Y130" s="34"/>
      <c r="Z130" s="46">
        <v>150427586</v>
      </c>
      <c r="AA130" s="47" t="s">
        <v>389</v>
      </c>
      <c r="AB130" s="31" t="s">
        <v>390</v>
      </c>
      <c r="AC130" s="2">
        <f t="shared" ca="1" si="4"/>
        <v>50</v>
      </c>
      <c r="AD130" s="2" t="e">
        <f t="shared" ca="1" si="5"/>
        <v>#VALUE!</v>
      </c>
      <c r="AE130" s="2">
        <f t="shared" ca="1" si="6"/>
        <v>50</v>
      </c>
      <c r="AF130" s="2" t="e">
        <f t="shared" ca="1" si="7"/>
        <v>#VALUE!</v>
      </c>
    </row>
    <row r="131" spans="1:37" ht="32.4" customHeight="1">
      <c r="A131" s="31">
        <v>128</v>
      </c>
      <c r="B131" s="471">
        <v>38465</v>
      </c>
      <c r="C131" s="718" t="s">
        <v>2041</v>
      </c>
      <c r="D131" s="447">
        <v>2504114202</v>
      </c>
      <c r="E131" s="441" t="s">
        <v>738</v>
      </c>
      <c r="F131" s="443" t="s">
        <v>739</v>
      </c>
      <c r="G131" s="32">
        <v>7</v>
      </c>
      <c r="H131" s="32" t="s">
        <v>66</v>
      </c>
      <c r="I131" s="425">
        <v>253</v>
      </c>
      <c r="W131" s="2" t="s">
        <v>487</v>
      </c>
      <c r="AC131" s="2">
        <f t="shared" ca="1" si="4"/>
        <v>21</v>
      </c>
      <c r="AD131" s="2" t="e">
        <f t="shared" ca="1" si="5"/>
        <v>#VALUE!</v>
      </c>
      <c r="AE131" s="2">
        <f t="shared" ca="1" si="6"/>
        <v>21</v>
      </c>
      <c r="AF131" s="2" t="e">
        <f t="shared" ca="1" si="7"/>
        <v>#VALUE!</v>
      </c>
    </row>
    <row r="132" spans="1:37" ht="32.4" customHeight="1">
      <c r="A132" s="31">
        <v>129</v>
      </c>
      <c r="B132" s="438">
        <v>34433</v>
      </c>
      <c r="C132" s="718" t="s">
        <v>2041</v>
      </c>
      <c r="D132" s="440">
        <v>200145177</v>
      </c>
      <c r="E132" s="441" t="s">
        <v>740</v>
      </c>
      <c r="F132" s="443" t="s">
        <v>741</v>
      </c>
      <c r="G132" s="32">
        <v>7</v>
      </c>
      <c r="H132" s="32" t="s">
        <v>66</v>
      </c>
      <c r="I132" s="425">
        <v>254</v>
      </c>
      <c r="W132" s="2" t="s">
        <v>330</v>
      </c>
      <c r="AC132" s="2">
        <f t="shared" ref="AC132:AC195" ca="1" si="8">YEAR(NOW())-YEAR(B132)</f>
        <v>32</v>
      </c>
      <c r="AD132" s="2" t="e">
        <f t="shared" ref="AD132:AD195" ca="1" si="9">YEAR(NOW())-YEAR(C132)</f>
        <v>#VALUE!</v>
      </c>
      <c r="AE132" s="2">
        <f t="shared" ca="1" si="6"/>
        <v>32</v>
      </c>
      <c r="AF132" s="2" t="e">
        <f t="shared" ca="1" si="7"/>
        <v>#VALUE!</v>
      </c>
    </row>
    <row r="133" spans="1:37" ht="32.4" customHeight="1">
      <c r="A133" s="31">
        <v>130</v>
      </c>
      <c r="B133" s="438">
        <v>33430</v>
      </c>
      <c r="C133" s="717" t="s">
        <v>1175</v>
      </c>
      <c r="D133" s="440">
        <v>150650892</v>
      </c>
      <c r="E133" s="441" t="s">
        <v>1859</v>
      </c>
      <c r="F133" s="443" t="s">
        <v>743</v>
      </c>
      <c r="G133" s="67">
        <v>7</v>
      </c>
      <c r="H133" s="32" t="s">
        <v>66</v>
      </c>
      <c r="I133" s="425">
        <v>255</v>
      </c>
      <c r="W133" s="2" t="s">
        <v>1308</v>
      </c>
      <c r="AC133" s="2">
        <f t="shared" ca="1" si="8"/>
        <v>35</v>
      </c>
      <c r="AD133" s="2" t="e">
        <f t="shared" ca="1" si="9"/>
        <v>#VALUE!</v>
      </c>
      <c r="AE133" s="2">
        <f t="shared" ref="AE133:AE196" ca="1" si="10">IF(AC133&lt;=69,AC133,IF(AC133=70,1))</f>
        <v>35</v>
      </c>
      <c r="AF133" s="2" t="e">
        <f t="shared" ref="AF133:AF196" ca="1" si="11">IF(AD133&lt;=69,AD133,IF(AD133=70,1))</f>
        <v>#VALUE!</v>
      </c>
    </row>
    <row r="134" spans="1:37" s="24" customFormat="1" ht="32.4" customHeight="1">
      <c r="A134" s="31">
        <v>131</v>
      </c>
      <c r="B134" s="438">
        <v>35465</v>
      </c>
      <c r="C134" s="718" t="s">
        <v>2041</v>
      </c>
      <c r="D134" s="440">
        <v>160389647</v>
      </c>
      <c r="E134" s="441" t="s">
        <v>1941</v>
      </c>
      <c r="F134" s="443" t="s">
        <v>1942</v>
      </c>
      <c r="G134" s="32">
        <v>7</v>
      </c>
      <c r="H134" s="32" t="s">
        <v>66</v>
      </c>
      <c r="I134" s="425">
        <v>256</v>
      </c>
      <c r="W134" s="24" t="s">
        <v>1309</v>
      </c>
      <c r="AC134" s="2">
        <f t="shared" ca="1" si="8"/>
        <v>29</v>
      </c>
      <c r="AD134" s="2" t="e">
        <f t="shared" ca="1" si="9"/>
        <v>#VALUE!</v>
      </c>
      <c r="AE134" s="2">
        <f t="shared" ca="1" si="10"/>
        <v>29</v>
      </c>
      <c r="AF134" s="2" t="e">
        <f t="shared" ca="1" si="11"/>
        <v>#VALUE!</v>
      </c>
      <c r="AG134" s="2"/>
    </row>
    <row r="135" spans="1:37" ht="32.4" customHeight="1">
      <c r="A135" s="31">
        <v>132</v>
      </c>
      <c r="B135" s="438">
        <v>30022</v>
      </c>
      <c r="C135" s="717" t="s">
        <v>1175</v>
      </c>
      <c r="D135" s="440">
        <v>150111119</v>
      </c>
      <c r="E135" s="441" t="s">
        <v>746</v>
      </c>
      <c r="F135" s="443" t="s">
        <v>747</v>
      </c>
      <c r="G135" s="32">
        <v>7</v>
      </c>
      <c r="H135" s="32" t="s">
        <v>66</v>
      </c>
      <c r="I135" s="425">
        <v>257</v>
      </c>
      <c r="W135" s="2" t="s">
        <v>493</v>
      </c>
      <c r="AC135" s="2">
        <f t="shared" ca="1" si="8"/>
        <v>44</v>
      </c>
      <c r="AD135" s="2" t="e">
        <f t="shared" ca="1" si="9"/>
        <v>#VALUE!</v>
      </c>
      <c r="AE135" s="2">
        <f t="shared" ca="1" si="10"/>
        <v>44</v>
      </c>
      <c r="AF135" s="2" t="e">
        <f t="shared" ca="1" si="11"/>
        <v>#VALUE!</v>
      </c>
    </row>
    <row r="136" spans="1:37" ht="32.4" customHeight="1">
      <c r="A136" s="31">
        <v>133</v>
      </c>
      <c r="B136" s="438">
        <v>26946</v>
      </c>
      <c r="C136" s="718" t="s">
        <v>2041</v>
      </c>
      <c r="D136" s="440">
        <v>150111229</v>
      </c>
      <c r="E136" s="441" t="s">
        <v>1860</v>
      </c>
      <c r="F136" t="s">
        <v>749</v>
      </c>
      <c r="G136" s="32">
        <v>7</v>
      </c>
      <c r="H136" s="32" t="s">
        <v>66</v>
      </c>
      <c r="I136" s="425">
        <v>258</v>
      </c>
      <c r="W136" s="2" t="s">
        <v>1311</v>
      </c>
      <c r="AC136" s="2">
        <f t="shared" ca="1" si="8"/>
        <v>53</v>
      </c>
      <c r="AD136" s="2" t="e">
        <f t="shared" ca="1" si="9"/>
        <v>#VALUE!</v>
      </c>
      <c r="AE136" s="2">
        <f t="shared" ca="1" si="10"/>
        <v>53</v>
      </c>
      <c r="AF136" s="2" t="e">
        <f t="shared" ca="1" si="11"/>
        <v>#VALUE!</v>
      </c>
    </row>
    <row r="137" spans="1:37" ht="32.4" customHeight="1">
      <c r="A137" s="31">
        <v>134</v>
      </c>
      <c r="B137" s="438">
        <v>32306</v>
      </c>
      <c r="C137" s="718" t="s">
        <v>2041</v>
      </c>
      <c r="D137" s="440">
        <v>150360188</v>
      </c>
      <c r="E137" s="441" t="s">
        <v>750</v>
      </c>
      <c r="F137" s="443" t="s">
        <v>751</v>
      </c>
      <c r="G137" s="32">
        <v>7</v>
      </c>
      <c r="H137" s="32" t="s">
        <v>66</v>
      </c>
      <c r="I137" s="425">
        <v>259</v>
      </c>
      <c r="W137" s="2" t="s">
        <v>1276</v>
      </c>
      <c r="AC137" s="2">
        <f t="shared" ca="1" si="8"/>
        <v>38</v>
      </c>
      <c r="AD137" s="2" t="e">
        <f t="shared" ca="1" si="9"/>
        <v>#VALUE!</v>
      </c>
      <c r="AE137" s="2">
        <f t="shared" ca="1" si="10"/>
        <v>38</v>
      </c>
      <c r="AF137" s="2" t="e">
        <f t="shared" ca="1" si="11"/>
        <v>#VALUE!</v>
      </c>
      <c r="AI137" s="46"/>
    </row>
    <row r="138" spans="1:37" ht="32.4" customHeight="1">
      <c r="A138" s="31">
        <v>135</v>
      </c>
      <c r="B138" s="438">
        <v>31868</v>
      </c>
      <c r="C138" s="717" t="s">
        <v>1175</v>
      </c>
      <c r="D138" s="440">
        <v>150429558</v>
      </c>
      <c r="E138" s="441" t="s">
        <v>752</v>
      </c>
      <c r="F138" t="s">
        <v>753</v>
      </c>
      <c r="G138" s="32">
        <v>7</v>
      </c>
      <c r="H138" s="32" t="s">
        <v>66</v>
      </c>
      <c r="I138" s="425">
        <v>260</v>
      </c>
      <c r="W138" s="2" t="s">
        <v>1312</v>
      </c>
      <c r="AC138" s="2">
        <f t="shared" ca="1" si="8"/>
        <v>39</v>
      </c>
      <c r="AD138" s="2" t="e">
        <f t="shared" ca="1" si="9"/>
        <v>#VALUE!</v>
      </c>
      <c r="AE138" s="2">
        <f t="shared" ca="1" si="10"/>
        <v>39</v>
      </c>
      <c r="AF138" s="2" t="e">
        <f t="shared" ca="1" si="11"/>
        <v>#VALUE!</v>
      </c>
      <c r="AG138" s="34"/>
      <c r="AH138" s="34">
        <v>26213</v>
      </c>
      <c r="AI138" s="46">
        <v>220175308</v>
      </c>
      <c r="AJ138" s="41" t="s">
        <v>1313</v>
      </c>
      <c r="AK138" s="37" t="s">
        <v>1314</v>
      </c>
    </row>
    <row r="139" spans="1:37" ht="32.4" customHeight="1">
      <c r="A139" s="31">
        <v>136</v>
      </c>
      <c r="B139" s="438">
        <v>30812</v>
      </c>
      <c r="C139" s="718" t="s">
        <v>2041</v>
      </c>
      <c r="D139" s="440" t="s">
        <v>1558</v>
      </c>
      <c r="E139" s="441" t="s">
        <v>754</v>
      </c>
      <c r="F139" s="443" t="s">
        <v>755</v>
      </c>
      <c r="G139" s="32">
        <v>7</v>
      </c>
      <c r="H139" s="32" t="s">
        <v>66</v>
      </c>
      <c r="I139" s="425">
        <v>261</v>
      </c>
      <c r="J139" s="26"/>
      <c r="W139" s="2" t="s">
        <v>501</v>
      </c>
      <c r="AC139" s="2">
        <f t="shared" ca="1" si="8"/>
        <v>42</v>
      </c>
      <c r="AD139" s="2" t="e">
        <f t="shared" ca="1" si="9"/>
        <v>#VALUE!</v>
      </c>
      <c r="AE139" s="2">
        <f t="shared" ca="1" si="10"/>
        <v>42</v>
      </c>
      <c r="AF139" s="2" t="e">
        <f t="shared" ca="1" si="11"/>
        <v>#VALUE!</v>
      </c>
    </row>
    <row r="140" spans="1:37" ht="32.4" customHeight="1">
      <c r="A140" s="31">
        <v>137</v>
      </c>
      <c r="B140" s="438">
        <v>30812</v>
      </c>
      <c r="C140" s="717" t="s">
        <v>1175</v>
      </c>
      <c r="D140" s="440" t="s">
        <v>1559</v>
      </c>
      <c r="E140" s="441" t="s">
        <v>1861</v>
      </c>
      <c r="F140" s="443" t="s">
        <v>757</v>
      </c>
      <c r="G140" s="32">
        <v>7</v>
      </c>
      <c r="H140" s="32" t="s">
        <v>66</v>
      </c>
      <c r="I140" s="425">
        <v>262</v>
      </c>
      <c r="V140" s="2">
        <v>4</v>
      </c>
      <c r="W140" s="2" t="s">
        <v>692</v>
      </c>
      <c r="AC140" s="2">
        <f t="shared" ca="1" si="8"/>
        <v>42</v>
      </c>
      <c r="AD140" s="2" t="e">
        <f t="shared" ca="1" si="9"/>
        <v>#VALUE!</v>
      </c>
      <c r="AE140" s="2">
        <f t="shared" ca="1" si="10"/>
        <v>42</v>
      </c>
      <c r="AF140" s="2" t="e">
        <f t="shared" ca="1" si="11"/>
        <v>#VALUE!</v>
      </c>
      <c r="AG140" s="34"/>
      <c r="AH140" s="34">
        <v>34551</v>
      </c>
      <c r="AI140" s="46">
        <v>220175226</v>
      </c>
      <c r="AJ140" s="41" t="s">
        <v>1316</v>
      </c>
      <c r="AK140" s="31" t="s">
        <v>1317</v>
      </c>
    </row>
    <row r="141" spans="1:37" ht="32.4" customHeight="1">
      <c r="A141" s="31">
        <v>138</v>
      </c>
      <c r="B141" s="438">
        <v>35834</v>
      </c>
      <c r="C141" s="717" t="s">
        <v>1175</v>
      </c>
      <c r="D141" s="440">
        <v>150842439</v>
      </c>
      <c r="E141" s="441" t="s">
        <v>758</v>
      </c>
      <c r="F141" s="443" t="s">
        <v>759</v>
      </c>
      <c r="G141" s="32">
        <v>7</v>
      </c>
      <c r="H141" s="32" t="s">
        <v>66</v>
      </c>
      <c r="I141" s="425">
        <v>263</v>
      </c>
      <c r="W141" s="2" t="s">
        <v>1318</v>
      </c>
      <c r="X141" s="34"/>
      <c r="Y141" s="34">
        <v>36869</v>
      </c>
      <c r="Z141" s="46">
        <v>150887083</v>
      </c>
      <c r="AA141" s="47" t="s">
        <v>1319</v>
      </c>
      <c r="AB141" s="31" t="s">
        <v>1320</v>
      </c>
      <c r="AC141" s="2">
        <f t="shared" ca="1" si="8"/>
        <v>28</v>
      </c>
      <c r="AD141" s="2" t="e">
        <f t="shared" ca="1" si="9"/>
        <v>#VALUE!</v>
      </c>
      <c r="AE141" s="2">
        <f t="shared" ca="1" si="10"/>
        <v>28</v>
      </c>
      <c r="AF141" s="2" t="e">
        <f t="shared" ca="1" si="11"/>
        <v>#VALUE!</v>
      </c>
      <c r="AG141" s="34">
        <v>32934</v>
      </c>
      <c r="AH141" s="34"/>
      <c r="AI141" s="46">
        <v>150883054</v>
      </c>
      <c r="AJ141" s="41" t="s">
        <v>1321</v>
      </c>
      <c r="AK141" s="31" t="s">
        <v>1322</v>
      </c>
    </row>
    <row r="142" spans="1:37" ht="32.4" customHeight="1">
      <c r="A142" s="31">
        <v>139</v>
      </c>
      <c r="B142" s="438">
        <v>34134</v>
      </c>
      <c r="C142" s="718" t="s">
        <v>2041</v>
      </c>
      <c r="D142" s="440">
        <v>150925337</v>
      </c>
      <c r="E142" s="441" t="s">
        <v>1862</v>
      </c>
      <c r="F142" s="443" t="s">
        <v>761</v>
      </c>
      <c r="G142" s="32">
        <v>7</v>
      </c>
      <c r="H142" s="32" t="s">
        <v>66</v>
      </c>
      <c r="I142" s="425">
        <v>264</v>
      </c>
      <c r="W142" s="2" t="s">
        <v>1323</v>
      </c>
      <c r="AC142" s="2">
        <f t="shared" ca="1" si="8"/>
        <v>33</v>
      </c>
      <c r="AD142" s="2" t="e">
        <f t="shared" ca="1" si="9"/>
        <v>#VALUE!</v>
      </c>
      <c r="AE142" s="2">
        <f t="shared" ca="1" si="10"/>
        <v>33</v>
      </c>
      <c r="AF142" s="2" t="e">
        <f t="shared" ca="1" si="11"/>
        <v>#VALUE!</v>
      </c>
      <c r="AG142" s="34">
        <v>37445</v>
      </c>
      <c r="AH142" s="34"/>
      <c r="AI142" s="46">
        <v>150952426</v>
      </c>
      <c r="AJ142" s="41" t="s">
        <v>1324</v>
      </c>
      <c r="AK142" s="31" t="s">
        <v>1325</v>
      </c>
    </row>
    <row r="143" spans="1:37" ht="32.4" customHeight="1">
      <c r="A143" s="31">
        <v>140</v>
      </c>
      <c r="B143" s="438">
        <v>34678</v>
      </c>
      <c r="C143" s="718" t="s">
        <v>2041</v>
      </c>
      <c r="D143" s="440">
        <v>150469699</v>
      </c>
      <c r="E143" s="441" t="s">
        <v>762</v>
      </c>
      <c r="F143" s="443" t="s">
        <v>763</v>
      </c>
      <c r="G143" s="32">
        <v>7</v>
      </c>
      <c r="H143" s="32" t="s">
        <v>66</v>
      </c>
      <c r="I143" s="425">
        <v>265</v>
      </c>
      <c r="W143" s="2" t="s">
        <v>1326</v>
      </c>
      <c r="AC143" s="2">
        <f t="shared" ca="1" si="8"/>
        <v>32</v>
      </c>
      <c r="AD143" s="2" t="e">
        <f t="shared" ca="1" si="9"/>
        <v>#VALUE!</v>
      </c>
      <c r="AE143" s="2">
        <f t="shared" ca="1" si="10"/>
        <v>32</v>
      </c>
      <c r="AF143" s="2" t="e">
        <f t="shared" ca="1" si="11"/>
        <v>#VALUE!</v>
      </c>
      <c r="AG143" s="34"/>
      <c r="AH143" s="34">
        <v>27766</v>
      </c>
      <c r="AI143" s="397" t="s">
        <v>1327</v>
      </c>
      <c r="AJ143" s="41" t="s">
        <v>1328</v>
      </c>
      <c r="AK143" s="31" t="s">
        <v>1329</v>
      </c>
    </row>
    <row r="144" spans="1:37" ht="32.4" customHeight="1">
      <c r="A144" s="31">
        <v>141</v>
      </c>
      <c r="B144" s="438">
        <v>34099</v>
      </c>
      <c r="C144" s="717" t="s">
        <v>1175</v>
      </c>
      <c r="D144" s="440">
        <v>150484003</v>
      </c>
      <c r="E144" s="441" t="s">
        <v>764</v>
      </c>
      <c r="F144" s="443" t="s">
        <v>765</v>
      </c>
      <c r="G144" s="32">
        <v>7</v>
      </c>
      <c r="H144" s="32" t="s">
        <v>66</v>
      </c>
      <c r="I144" s="425">
        <v>266</v>
      </c>
      <c r="W144" s="2" t="s">
        <v>1330</v>
      </c>
      <c r="AC144" s="2">
        <f t="shared" ca="1" si="8"/>
        <v>33</v>
      </c>
      <c r="AD144" s="2" t="e">
        <f t="shared" ca="1" si="9"/>
        <v>#VALUE!</v>
      </c>
      <c r="AE144" s="2">
        <f t="shared" ca="1" si="10"/>
        <v>33</v>
      </c>
      <c r="AF144" s="2" t="e">
        <f t="shared" ca="1" si="11"/>
        <v>#VALUE!</v>
      </c>
      <c r="AG144" s="52">
        <v>28533</v>
      </c>
      <c r="AH144" s="52"/>
      <c r="AI144" s="398" t="s">
        <v>1331</v>
      </c>
      <c r="AJ144" s="41" t="s">
        <v>1332</v>
      </c>
      <c r="AK144" s="35" t="s">
        <v>1333</v>
      </c>
    </row>
    <row r="145" spans="1:37" s="16" customFormat="1" ht="32.4" customHeight="1">
      <c r="A145" s="31">
        <v>142</v>
      </c>
      <c r="B145" s="469" t="s">
        <v>1566</v>
      </c>
      <c r="C145" s="717" t="s">
        <v>1175</v>
      </c>
      <c r="D145" s="440">
        <v>150522984</v>
      </c>
      <c r="E145" s="441" t="s">
        <v>766</v>
      </c>
      <c r="F145" s="443" t="s">
        <v>767</v>
      </c>
      <c r="G145" s="32">
        <v>7</v>
      </c>
      <c r="H145" s="32" t="s">
        <v>66</v>
      </c>
      <c r="I145" s="425">
        <v>267</v>
      </c>
      <c r="W145" s="16" t="s">
        <v>1334</v>
      </c>
      <c r="X145" s="49"/>
      <c r="Y145" s="49"/>
      <c r="Z145" s="35"/>
      <c r="AA145" s="47"/>
      <c r="AB145" s="35"/>
      <c r="AC145" s="2">
        <f t="shared" ca="1" si="8"/>
        <v>33</v>
      </c>
      <c r="AD145" s="2" t="e">
        <f t="shared" ca="1" si="9"/>
        <v>#VALUE!</v>
      </c>
      <c r="AE145" s="2">
        <f t="shared" ca="1" si="10"/>
        <v>33</v>
      </c>
      <c r="AF145" s="2" t="e">
        <f t="shared" ca="1" si="11"/>
        <v>#VALUE!</v>
      </c>
      <c r="AG145" s="34"/>
      <c r="AH145" s="34">
        <v>31899</v>
      </c>
      <c r="AI145" s="46">
        <v>150307673</v>
      </c>
      <c r="AJ145" s="41" t="s">
        <v>1335</v>
      </c>
      <c r="AK145" s="31" t="s">
        <v>1336</v>
      </c>
    </row>
    <row r="146" spans="1:37" ht="32.4" customHeight="1">
      <c r="A146" s="31">
        <v>143</v>
      </c>
      <c r="B146" s="438">
        <v>35986</v>
      </c>
      <c r="C146" s="717" t="s">
        <v>1175</v>
      </c>
      <c r="D146" s="440">
        <v>150849956</v>
      </c>
      <c r="E146" s="441" t="s">
        <v>1863</v>
      </c>
      <c r="F146" s="443" t="s">
        <v>769</v>
      </c>
      <c r="G146" s="32">
        <v>7</v>
      </c>
      <c r="H146" s="32" t="s">
        <v>66</v>
      </c>
      <c r="I146" s="425">
        <v>268</v>
      </c>
      <c r="J146" s="34" t="s">
        <v>1205</v>
      </c>
      <c r="K146" s="34">
        <v>34018</v>
      </c>
      <c r="L146" s="48" t="s">
        <v>1337</v>
      </c>
      <c r="M146" s="36" t="s">
        <v>1338</v>
      </c>
      <c r="N146" s="31" t="s">
        <v>1339</v>
      </c>
      <c r="W146" s="2" t="s">
        <v>1339</v>
      </c>
      <c r="AC146" s="2">
        <f t="shared" ca="1" si="8"/>
        <v>28</v>
      </c>
      <c r="AD146" s="2" t="e">
        <f t="shared" ca="1" si="9"/>
        <v>#VALUE!</v>
      </c>
      <c r="AE146" s="2">
        <f t="shared" ca="1" si="10"/>
        <v>28</v>
      </c>
      <c r="AF146" s="2" t="e">
        <f t="shared" ca="1" si="11"/>
        <v>#VALUE!</v>
      </c>
      <c r="AG146" s="34">
        <v>36259</v>
      </c>
      <c r="AH146" s="34"/>
      <c r="AI146" s="46">
        <v>250260553</v>
      </c>
      <c r="AJ146" s="41" t="s">
        <v>1340</v>
      </c>
      <c r="AK146" s="31" t="s">
        <v>1341</v>
      </c>
    </row>
    <row r="147" spans="1:37" ht="32.4" customHeight="1">
      <c r="A147" s="31">
        <v>144</v>
      </c>
      <c r="B147" s="438">
        <v>30081</v>
      </c>
      <c r="C147" s="718" t="s">
        <v>2041</v>
      </c>
      <c r="D147" s="440">
        <v>150699250</v>
      </c>
      <c r="E147" s="441" t="s">
        <v>770</v>
      </c>
      <c r="F147" s="443" t="s">
        <v>771</v>
      </c>
      <c r="G147">
        <v>7</v>
      </c>
      <c r="H147" s="32" t="s">
        <v>66</v>
      </c>
      <c r="I147" s="425">
        <v>269</v>
      </c>
      <c r="W147" s="2" t="s">
        <v>1342</v>
      </c>
      <c r="AC147" s="2">
        <f t="shared" ca="1" si="8"/>
        <v>44</v>
      </c>
      <c r="AD147" s="2" t="e">
        <f t="shared" ca="1" si="9"/>
        <v>#VALUE!</v>
      </c>
      <c r="AE147" s="2">
        <f t="shared" ca="1" si="10"/>
        <v>44</v>
      </c>
      <c r="AF147" s="2" t="e">
        <f t="shared" ca="1" si="11"/>
        <v>#VALUE!</v>
      </c>
      <c r="AG147" s="34">
        <v>36111</v>
      </c>
      <c r="AH147" s="34"/>
      <c r="AI147" s="46">
        <v>250261243</v>
      </c>
      <c r="AJ147" s="41" t="s">
        <v>1343</v>
      </c>
      <c r="AK147" s="31" t="s">
        <v>1344</v>
      </c>
    </row>
    <row r="148" spans="1:37" ht="32.4" customHeight="1">
      <c r="A148" s="31">
        <v>145</v>
      </c>
      <c r="B148" s="438">
        <v>30555</v>
      </c>
      <c r="C148" s="717" t="s">
        <v>1175</v>
      </c>
      <c r="D148" s="452" t="s">
        <v>1575</v>
      </c>
      <c r="E148" s="441" t="s">
        <v>772</v>
      </c>
      <c r="F148" s="443" t="s">
        <v>773</v>
      </c>
      <c r="G148" s="32">
        <v>7</v>
      </c>
      <c r="H148" s="32" t="s">
        <v>66</v>
      </c>
      <c r="I148" s="425">
        <v>270</v>
      </c>
      <c r="W148" s="2" t="s">
        <v>709</v>
      </c>
      <c r="AC148" s="2">
        <f t="shared" ca="1" si="8"/>
        <v>43</v>
      </c>
      <c r="AD148" s="2" t="e">
        <f t="shared" ca="1" si="9"/>
        <v>#VALUE!</v>
      </c>
      <c r="AE148" s="2">
        <f t="shared" ca="1" si="10"/>
        <v>43</v>
      </c>
      <c r="AF148" s="2" t="e">
        <f t="shared" ca="1" si="11"/>
        <v>#VALUE!</v>
      </c>
      <c r="AG148" s="34">
        <v>33888</v>
      </c>
      <c r="AH148" s="34"/>
      <c r="AI148" s="46">
        <v>220169395</v>
      </c>
      <c r="AJ148" s="41" t="s">
        <v>1345</v>
      </c>
      <c r="AK148" s="31" t="s">
        <v>1346</v>
      </c>
    </row>
    <row r="149" spans="1:37" ht="32.4" customHeight="1">
      <c r="A149" s="31">
        <v>146</v>
      </c>
      <c r="B149" s="438">
        <v>30817</v>
      </c>
      <c r="C149" s="718" t="s">
        <v>2041</v>
      </c>
      <c r="D149" s="440">
        <v>160541149</v>
      </c>
      <c r="E149" s="441" t="s">
        <v>1703</v>
      </c>
      <c r="F149" s="443" t="s">
        <v>1704</v>
      </c>
      <c r="G149" s="32">
        <v>7</v>
      </c>
      <c r="H149" s="32" t="s">
        <v>66</v>
      </c>
      <c r="I149" s="425">
        <v>271</v>
      </c>
      <c r="W149" s="2" t="s">
        <v>1347</v>
      </c>
      <c r="X149" s="50"/>
      <c r="Y149" s="50">
        <v>29706</v>
      </c>
      <c r="Z149" s="32">
        <v>150612403</v>
      </c>
      <c r="AA149" s="53" t="s">
        <v>1348</v>
      </c>
      <c r="AB149" s="32" t="s">
        <v>1349</v>
      </c>
      <c r="AC149" s="2">
        <f t="shared" ca="1" si="8"/>
        <v>42</v>
      </c>
      <c r="AD149" s="2" t="e">
        <f t="shared" ca="1" si="9"/>
        <v>#VALUE!</v>
      </c>
      <c r="AE149" s="2">
        <f t="shared" ca="1" si="10"/>
        <v>42</v>
      </c>
      <c r="AF149" s="2" t="e">
        <f t="shared" ca="1" si="11"/>
        <v>#VALUE!</v>
      </c>
      <c r="AG149" s="34">
        <v>33029</v>
      </c>
      <c r="AH149" s="34"/>
      <c r="AI149" s="46">
        <v>220071793</v>
      </c>
      <c r="AJ149" s="41" t="s">
        <v>1350</v>
      </c>
      <c r="AK149" s="31" t="s">
        <v>1351</v>
      </c>
    </row>
    <row r="150" spans="1:37" ht="32.4" customHeight="1">
      <c r="A150" s="31">
        <v>147</v>
      </c>
      <c r="B150" s="438">
        <v>30695</v>
      </c>
      <c r="C150" s="718" t="s">
        <v>2041</v>
      </c>
      <c r="D150" s="440">
        <v>150306097</v>
      </c>
      <c r="E150" s="441" t="s">
        <v>774</v>
      </c>
      <c r="F150" s="443" t="s">
        <v>775</v>
      </c>
      <c r="G150" s="32">
        <v>7</v>
      </c>
      <c r="H150" s="32" t="s">
        <v>66</v>
      </c>
      <c r="I150" s="425">
        <v>272</v>
      </c>
      <c r="W150" s="2" t="s">
        <v>1353</v>
      </c>
      <c r="X150" s="34"/>
      <c r="Y150" s="34"/>
      <c r="Z150" s="46"/>
      <c r="AA150" s="47"/>
      <c r="AB150" s="31"/>
      <c r="AC150" s="2">
        <f t="shared" ca="1" si="8"/>
        <v>42</v>
      </c>
      <c r="AD150" s="2" t="e">
        <f t="shared" ca="1" si="9"/>
        <v>#VALUE!</v>
      </c>
      <c r="AE150" s="2">
        <f t="shared" ca="1" si="10"/>
        <v>42</v>
      </c>
      <c r="AF150" s="2" t="e">
        <f t="shared" ca="1" si="11"/>
        <v>#VALUE!</v>
      </c>
      <c r="AG150" s="34">
        <v>33971</v>
      </c>
      <c r="AH150" s="34"/>
      <c r="AI150" s="46">
        <v>150468299</v>
      </c>
      <c r="AJ150" s="41" t="s">
        <v>810</v>
      </c>
      <c r="AK150" s="31" t="s">
        <v>811</v>
      </c>
    </row>
    <row r="151" spans="1:37" ht="32.4" customHeight="1">
      <c r="A151" s="31">
        <v>148</v>
      </c>
      <c r="B151" s="438">
        <v>38240</v>
      </c>
      <c r="C151" s="718" t="s">
        <v>2041</v>
      </c>
      <c r="D151" s="440">
        <v>150983081</v>
      </c>
      <c r="E151" s="441" t="s">
        <v>1736</v>
      </c>
      <c r="F151" s="443" t="s">
        <v>1705</v>
      </c>
      <c r="G151" s="32">
        <v>7</v>
      </c>
      <c r="H151" s="32" t="s">
        <v>66</v>
      </c>
      <c r="I151" s="425">
        <v>273</v>
      </c>
      <c r="W151" s="2" t="s">
        <v>1354</v>
      </c>
      <c r="AC151" s="2">
        <f t="shared" ca="1" si="8"/>
        <v>22</v>
      </c>
      <c r="AD151" s="2" t="e">
        <f t="shared" ca="1" si="9"/>
        <v>#VALUE!</v>
      </c>
      <c r="AE151" s="2">
        <f t="shared" ca="1" si="10"/>
        <v>22</v>
      </c>
      <c r="AF151" s="2" t="e">
        <f t="shared" ca="1" si="11"/>
        <v>#VALUE!</v>
      </c>
      <c r="AG151" s="34"/>
      <c r="AH151" s="34">
        <v>33817</v>
      </c>
      <c r="AI151" s="46">
        <v>150986862</v>
      </c>
      <c r="AJ151" s="41" t="s">
        <v>1355</v>
      </c>
      <c r="AK151" s="31" t="s">
        <v>1356</v>
      </c>
    </row>
    <row r="152" spans="1:37" s="5" customFormat="1" ht="32.4" customHeight="1">
      <c r="A152" s="31">
        <v>149</v>
      </c>
      <c r="B152" s="438">
        <v>37895</v>
      </c>
      <c r="C152" s="717" t="s">
        <v>1175</v>
      </c>
      <c r="D152" s="440">
        <v>200269631</v>
      </c>
      <c r="E152" s="441" t="s">
        <v>1864</v>
      </c>
      <c r="F152" s="443" t="s">
        <v>777</v>
      </c>
      <c r="G152" s="32">
        <v>7</v>
      </c>
      <c r="H152" s="32" t="s">
        <v>66</v>
      </c>
      <c r="I152" s="425">
        <v>274</v>
      </c>
      <c r="W152" s="5" t="s">
        <v>1357</v>
      </c>
      <c r="X152" s="51"/>
      <c r="Y152" s="51"/>
      <c r="Z152" s="54"/>
      <c r="AA152" s="55"/>
      <c r="AB152" s="54"/>
      <c r="AC152" s="2">
        <f t="shared" ca="1" si="8"/>
        <v>23</v>
      </c>
      <c r="AD152" s="2" t="e">
        <f t="shared" ca="1" si="9"/>
        <v>#VALUE!</v>
      </c>
      <c r="AE152" s="2">
        <f t="shared" ca="1" si="10"/>
        <v>23</v>
      </c>
      <c r="AF152" s="2" t="e">
        <f t="shared" ca="1" si="11"/>
        <v>#VALUE!</v>
      </c>
      <c r="AG152" s="34">
        <v>31780</v>
      </c>
      <c r="AH152" s="34"/>
      <c r="AI152" s="46">
        <v>220140705</v>
      </c>
      <c r="AJ152" s="41" t="s">
        <v>1358</v>
      </c>
      <c r="AK152" s="31" t="s">
        <v>510</v>
      </c>
    </row>
    <row r="153" spans="1:37" ht="32.4" customHeight="1">
      <c r="A153" s="31">
        <v>150</v>
      </c>
      <c r="B153" s="438">
        <v>35804</v>
      </c>
      <c r="C153" s="718" t="s">
        <v>2041</v>
      </c>
      <c r="D153" s="440">
        <v>150778859</v>
      </c>
      <c r="E153" s="441" t="s">
        <v>1865</v>
      </c>
      <c r="F153" s="443" t="s">
        <v>779</v>
      </c>
      <c r="G153" s="32">
        <v>7</v>
      </c>
      <c r="H153" s="32" t="s">
        <v>66</v>
      </c>
      <c r="I153" s="425">
        <v>275</v>
      </c>
      <c r="J153" s="34">
        <v>37484</v>
      </c>
      <c r="K153" s="34"/>
      <c r="L153" s="48">
        <v>150933333</v>
      </c>
      <c r="M153" s="36" t="s">
        <v>1359</v>
      </c>
      <c r="N153" s="37" t="s">
        <v>1360</v>
      </c>
      <c r="W153" s="2" t="s">
        <v>1360</v>
      </c>
      <c r="AC153" s="2">
        <f t="shared" ca="1" si="8"/>
        <v>28</v>
      </c>
      <c r="AD153" s="2" t="e">
        <f t="shared" ca="1" si="9"/>
        <v>#VALUE!</v>
      </c>
      <c r="AE153" s="2">
        <f t="shared" ca="1" si="10"/>
        <v>28</v>
      </c>
      <c r="AF153" s="2" t="e">
        <f t="shared" ca="1" si="11"/>
        <v>#VALUE!</v>
      </c>
      <c r="AG153" s="34">
        <v>28351</v>
      </c>
      <c r="AH153" s="34"/>
      <c r="AI153" s="46">
        <v>150123919</v>
      </c>
      <c r="AJ153" s="41" t="s">
        <v>1361</v>
      </c>
      <c r="AK153" s="31" t="s">
        <v>1362</v>
      </c>
    </row>
    <row r="154" spans="1:37" ht="32.4" customHeight="1">
      <c r="A154" s="31">
        <v>151</v>
      </c>
      <c r="B154" s="438">
        <v>34805</v>
      </c>
      <c r="C154" s="717" t="s">
        <v>1175</v>
      </c>
      <c r="D154" s="440">
        <v>150522917</v>
      </c>
      <c r="E154" s="441" t="s">
        <v>1866</v>
      </c>
      <c r="F154" s="443" t="s">
        <v>781</v>
      </c>
      <c r="G154" s="32">
        <v>7</v>
      </c>
      <c r="H154" s="32" t="s">
        <v>66</v>
      </c>
      <c r="I154" s="425">
        <v>276</v>
      </c>
      <c r="W154" s="2" t="s">
        <v>1363</v>
      </c>
      <c r="AC154" s="2">
        <f t="shared" ca="1" si="8"/>
        <v>31</v>
      </c>
      <c r="AD154" s="2" t="e">
        <f t="shared" ca="1" si="9"/>
        <v>#VALUE!</v>
      </c>
      <c r="AE154" s="2">
        <f t="shared" ca="1" si="10"/>
        <v>31</v>
      </c>
      <c r="AF154" s="2" t="e">
        <f t="shared" ca="1" si="11"/>
        <v>#VALUE!</v>
      </c>
      <c r="AG154" s="34"/>
      <c r="AH154" s="34">
        <v>37683</v>
      </c>
      <c r="AI154" s="46">
        <v>150931589</v>
      </c>
      <c r="AJ154" s="41" t="s">
        <v>1364</v>
      </c>
      <c r="AK154" s="31" t="s">
        <v>876</v>
      </c>
    </row>
    <row r="155" spans="1:37" ht="32.4" customHeight="1">
      <c r="A155" s="31">
        <v>152</v>
      </c>
      <c r="B155" s="438">
        <v>30362</v>
      </c>
      <c r="C155" s="718" t="s">
        <v>2041</v>
      </c>
      <c r="D155" s="440">
        <v>150468275</v>
      </c>
      <c r="E155" s="441" t="s">
        <v>782</v>
      </c>
      <c r="F155" s="443" t="s">
        <v>783</v>
      </c>
      <c r="G155" s="32">
        <v>7</v>
      </c>
      <c r="H155" s="32" t="s">
        <v>66</v>
      </c>
      <c r="I155" s="425">
        <v>277</v>
      </c>
      <c r="W155" s="2" t="s">
        <v>1365</v>
      </c>
      <c r="AC155" s="2">
        <f t="shared" ca="1" si="8"/>
        <v>43</v>
      </c>
      <c r="AD155" s="2" t="e">
        <f t="shared" ca="1" si="9"/>
        <v>#VALUE!</v>
      </c>
      <c r="AE155" s="2">
        <f t="shared" ca="1" si="10"/>
        <v>43</v>
      </c>
      <c r="AF155" s="2" t="e">
        <f t="shared" ca="1" si="11"/>
        <v>#VALUE!</v>
      </c>
      <c r="AG155" s="34"/>
      <c r="AH155" s="34">
        <v>34231</v>
      </c>
      <c r="AI155" s="46">
        <v>150523250</v>
      </c>
      <c r="AJ155" s="41" t="s">
        <v>553</v>
      </c>
      <c r="AK155" s="31" t="s">
        <v>554</v>
      </c>
    </row>
    <row r="156" spans="1:37" ht="32.4" customHeight="1">
      <c r="A156" s="31">
        <v>153</v>
      </c>
      <c r="B156" s="438">
        <v>31294</v>
      </c>
      <c r="C156" s="717" t="s">
        <v>1175</v>
      </c>
      <c r="D156" s="440">
        <v>150360124</v>
      </c>
      <c r="E156" s="441" t="s">
        <v>784</v>
      </c>
      <c r="F156" s="443" t="s">
        <v>785</v>
      </c>
      <c r="G156" s="32">
        <v>7</v>
      </c>
      <c r="H156" s="32" t="s">
        <v>66</v>
      </c>
      <c r="I156" s="425">
        <v>278</v>
      </c>
      <c r="W156" s="2" t="s">
        <v>1366</v>
      </c>
      <c r="X156" s="34"/>
      <c r="Y156" s="34">
        <v>32203</v>
      </c>
      <c r="Z156" s="46">
        <v>220203334</v>
      </c>
      <c r="AA156" s="47" t="s">
        <v>1367</v>
      </c>
      <c r="AB156" s="31" t="s">
        <v>1368</v>
      </c>
      <c r="AC156" s="2">
        <f t="shared" ca="1" si="8"/>
        <v>41</v>
      </c>
      <c r="AD156" s="2" t="e">
        <f t="shared" ca="1" si="9"/>
        <v>#VALUE!</v>
      </c>
      <c r="AE156" s="2">
        <f t="shared" ca="1" si="10"/>
        <v>41</v>
      </c>
      <c r="AF156" s="2" t="e">
        <f t="shared" ca="1" si="11"/>
        <v>#VALUE!</v>
      </c>
      <c r="AG156" s="34"/>
      <c r="AH156" s="34">
        <v>35378</v>
      </c>
      <c r="AI156" s="46">
        <v>150523524</v>
      </c>
      <c r="AJ156" s="41" t="s">
        <v>1369</v>
      </c>
      <c r="AK156" s="31" t="s">
        <v>1370</v>
      </c>
    </row>
    <row r="157" spans="1:37" ht="32.4" customHeight="1">
      <c r="A157" s="31">
        <v>154</v>
      </c>
      <c r="B157" s="438">
        <v>27931</v>
      </c>
      <c r="C157" s="717" t="s">
        <v>1175</v>
      </c>
      <c r="D157" s="452" t="s">
        <v>1780</v>
      </c>
      <c r="E157" s="441" t="s">
        <v>1781</v>
      </c>
      <c r="F157" s="443" t="s">
        <v>1782</v>
      </c>
      <c r="G157" s="32">
        <v>7</v>
      </c>
      <c r="H157" s="32" t="s">
        <v>66</v>
      </c>
      <c r="I157" s="425">
        <v>279</v>
      </c>
      <c r="W157" s="2" t="s">
        <v>938</v>
      </c>
      <c r="AC157" s="2">
        <f t="shared" ca="1" si="8"/>
        <v>50</v>
      </c>
      <c r="AD157" s="2" t="e">
        <f t="shared" ca="1" si="9"/>
        <v>#VALUE!</v>
      </c>
      <c r="AE157" s="2">
        <f t="shared" ca="1" si="10"/>
        <v>50</v>
      </c>
      <c r="AF157" s="2" t="e">
        <f t="shared" ca="1" si="11"/>
        <v>#VALUE!</v>
      </c>
      <c r="AG157" s="34">
        <v>33362</v>
      </c>
      <c r="AH157" s="34"/>
      <c r="AI157" s="46">
        <v>150946031</v>
      </c>
      <c r="AJ157" s="41" t="s">
        <v>573</v>
      </c>
      <c r="AK157" s="31" t="s">
        <v>574</v>
      </c>
    </row>
    <row r="158" spans="1:37" ht="32.4" customHeight="1">
      <c r="A158" s="31">
        <v>155</v>
      </c>
      <c r="B158" s="438">
        <v>33624</v>
      </c>
      <c r="C158" s="717" t="s">
        <v>1175</v>
      </c>
      <c r="D158" s="440">
        <v>150427585</v>
      </c>
      <c r="E158" s="441" t="s">
        <v>786</v>
      </c>
      <c r="F158" s="443" t="s">
        <v>787</v>
      </c>
      <c r="G158" s="32">
        <v>7</v>
      </c>
      <c r="H158" s="32" t="s">
        <v>66</v>
      </c>
      <c r="I158" s="425">
        <v>280</v>
      </c>
      <c r="W158" s="2" t="s">
        <v>534</v>
      </c>
      <c r="AC158" s="2">
        <f t="shared" ca="1" si="8"/>
        <v>34</v>
      </c>
      <c r="AD158" s="2" t="e">
        <f t="shared" ca="1" si="9"/>
        <v>#VALUE!</v>
      </c>
      <c r="AE158" s="2">
        <f t="shared" ca="1" si="10"/>
        <v>34</v>
      </c>
      <c r="AF158" s="2" t="e">
        <f t="shared" ca="1" si="11"/>
        <v>#VALUE!</v>
      </c>
      <c r="AG158" s="34">
        <v>33136</v>
      </c>
      <c r="AH158" s="34"/>
      <c r="AI158" s="46">
        <v>150468401</v>
      </c>
      <c r="AJ158" s="41" t="s">
        <v>506</v>
      </c>
      <c r="AK158" s="31" t="s">
        <v>507</v>
      </c>
    </row>
    <row r="159" spans="1:37" ht="32.4" customHeight="1">
      <c r="A159" s="31">
        <v>156</v>
      </c>
      <c r="B159" s="438">
        <v>34145</v>
      </c>
      <c r="C159" s="718" t="s">
        <v>2041</v>
      </c>
      <c r="D159" s="440">
        <v>220157977</v>
      </c>
      <c r="E159" s="441" t="s">
        <v>788</v>
      </c>
      <c r="F159" s="443" t="s">
        <v>789</v>
      </c>
      <c r="G159" s="32">
        <v>7</v>
      </c>
      <c r="H159" s="32" t="s">
        <v>66</v>
      </c>
      <c r="I159" s="425">
        <v>281</v>
      </c>
      <c r="W159" s="2" t="s">
        <v>763</v>
      </c>
      <c r="AC159" s="2">
        <f t="shared" ca="1" si="8"/>
        <v>33</v>
      </c>
      <c r="AD159" s="2" t="e">
        <f t="shared" ca="1" si="9"/>
        <v>#VALUE!</v>
      </c>
      <c r="AE159" s="2">
        <f t="shared" ca="1" si="10"/>
        <v>33</v>
      </c>
      <c r="AF159" s="2" t="e">
        <f t="shared" ca="1" si="11"/>
        <v>#VALUE!</v>
      </c>
      <c r="AG159" s="34">
        <v>37258</v>
      </c>
      <c r="AH159" s="34"/>
      <c r="AI159" s="46">
        <v>110654438</v>
      </c>
      <c r="AJ159" s="41" t="s">
        <v>1371</v>
      </c>
      <c r="AK159" s="31" t="s">
        <v>1372</v>
      </c>
    </row>
    <row r="160" spans="1:37" ht="32.4" customHeight="1">
      <c r="A160" s="31">
        <v>157</v>
      </c>
      <c r="B160" s="438">
        <v>34711</v>
      </c>
      <c r="C160" s="717" t="s">
        <v>1175</v>
      </c>
      <c r="D160" s="440" t="s">
        <v>1600</v>
      </c>
      <c r="E160" s="441" t="s">
        <v>1867</v>
      </c>
      <c r="F160" s="443" t="s">
        <v>791</v>
      </c>
      <c r="G160" s="32">
        <v>7</v>
      </c>
      <c r="H160" s="32" t="s">
        <v>66</v>
      </c>
      <c r="I160" s="425">
        <v>282</v>
      </c>
      <c r="W160" s="2" t="s">
        <v>765</v>
      </c>
      <c r="AC160" s="2">
        <f t="shared" ca="1" si="8"/>
        <v>31</v>
      </c>
      <c r="AD160" s="2" t="e">
        <f t="shared" ca="1" si="9"/>
        <v>#VALUE!</v>
      </c>
      <c r="AE160" s="2">
        <f t="shared" ca="1" si="10"/>
        <v>31</v>
      </c>
      <c r="AF160" s="2" t="e">
        <f t="shared" ca="1" si="11"/>
        <v>#VALUE!</v>
      </c>
      <c r="AG160" s="34"/>
      <c r="AH160" s="34">
        <v>29742</v>
      </c>
      <c r="AI160" s="46">
        <v>150840268</v>
      </c>
      <c r="AJ160" s="41" t="s">
        <v>1373</v>
      </c>
      <c r="AK160" s="31" t="s">
        <v>1374</v>
      </c>
    </row>
    <row r="161" spans="1:37" ht="32.4" customHeight="1">
      <c r="A161" s="31">
        <v>158</v>
      </c>
      <c r="B161" s="438">
        <v>34473</v>
      </c>
      <c r="C161" s="718" t="s">
        <v>2041</v>
      </c>
      <c r="D161" s="440">
        <v>220194831</v>
      </c>
      <c r="E161" s="441" t="s">
        <v>792</v>
      </c>
      <c r="F161" s="443" t="s">
        <v>793</v>
      </c>
      <c r="G161" s="32">
        <v>7</v>
      </c>
      <c r="H161" s="32" t="s">
        <v>66</v>
      </c>
      <c r="I161" s="425">
        <v>283</v>
      </c>
      <c r="W161" s="2" t="s">
        <v>1375</v>
      </c>
      <c r="AC161" s="2">
        <f t="shared" ca="1" si="8"/>
        <v>32</v>
      </c>
      <c r="AD161" s="2" t="e">
        <f t="shared" ca="1" si="9"/>
        <v>#VALUE!</v>
      </c>
      <c r="AE161" s="2">
        <f t="shared" ca="1" si="10"/>
        <v>32</v>
      </c>
      <c r="AF161" s="2" t="e">
        <f t="shared" ca="1" si="11"/>
        <v>#VALUE!</v>
      </c>
      <c r="AG161" s="34"/>
      <c r="AH161" s="34">
        <v>37970</v>
      </c>
      <c r="AI161" s="46">
        <v>150945988</v>
      </c>
      <c r="AJ161" s="41" t="s">
        <v>1376</v>
      </c>
      <c r="AK161" s="31" t="s">
        <v>1377</v>
      </c>
    </row>
    <row r="162" spans="1:37" ht="32.4" customHeight="1">
      <c r="A162" s="31">
        <v>159</v>
      </c>
      <c r="B162" s="438">
        <v>37165</v>
      </c>
      <c r="C162" s="718" t="s">
        <v>2041</v>
      </c>
      <c r="D162" s="440">
        <v>220209055</v>
      </c>
      <c r="E162" s="441" t="s">
        <v>794</v>
      </c>
      <c r="F162" s="443" t="s">
        <v>795</v>
      </c>
      <c r="G162" s="32">
        <v>7</v>
      </c>
      <c r="H162" s="32" t="s">
        <v>66</v>
      </c>
      <c r="I162" s="425">
        <v>284</v>
      </c>
      <c r="W162" s="2" t="s">
        <v>1378</v>
      </c>
      <c r="AC162" s="2">
        <f t="shared" ca="1" si="8"/>
        <v>25</v>
      </c>
      <c r="AD162" s="2" t="e">
        <f t="shared" ca="1" si="9"/>
        <v>#VALUE!</v>
      </c>
      <c r="AE162" s="2">
        <f t="shared" ca="1" si="10"/>
        <v>25</v>
      </c>
      <c r="AF162" s="2" t="e">
        <f t="shared" ca="1" si="11"/>
        <v>#VALUE!</v>
      </c>
      <c r="AG162" s="34">
        <v>34931</v>
      </c>
      <c r="AH162" s="34"/>
      <c r="AI162" s="46">
        <v>150850100</v>
      </c>
      <c r="AJ162" s="41" t="s">
        <v>1379</v>
      </c>
      <c r="AK162" s="31" t="s">
        <v>1380</v>
      </c>
    </row>
    <row r="163" spans="1:37" ht="32.4" customHeight="1">
      <c r="A163" s="31">
        <v>160</v>
      </c>
      <c r="B163" s="438">
        <v>38446</v>
      </c>
      <c r="C163" s="718" t="s">
        <v>2041</v>
      </c>
      <c r="D163" s="440">
        <v>151024368</v>
      </c>
      <c r="E163" s="441" t="s">
        <v>1783</v>
      </c>
      <c r="F163" s="443" t="s">
        <v>1784</v>
      </c>
      <c r="G163" s="32">
        <v>7</v>
      </c>
      <c r="H163" s="32" t="s">
        <v>66</v>
      </c>
      <c r="I163" s="425">
        <v>285</v>
      </c>
      <c r="W163" s="2" t="s">
        <v>1381</v>
      </c>
      <c r="X163" s="34">
        <v>38127</v>
      </c>
      <c r="Y163" s="34"/>
      <c r="Z163" s="46">
        <v>250389956</v>
      </c>
      <c r="AA163" s="47" t="s">
        <v>1382</v>
      </c>
      <c r="AB163" s="31" t="s">
        <v>1383</v>
      </c>
      <c r="AC163" s="2">
        <f t="shared" ca="1" si="8"/>
        <v>21</v>
      </c>
      <c r="AD163" s="2" t="e">
        <f t="shared" ca="1" si="9"/>
        <v>#VALUE!</v>
      </c>
      <c r="AE163" s="2">
        <f t="shared" ca="1" si="10"/>
        <v>21</v>
      </c>
      <c r="AF163" s="2" t="e">
        <f t="shared" ca="1" si="11"/>
        <v>#VALUE!</v>
      </c>
      <c r="AG163" s="34">
        <v>36996</v>
      </c>
      <c r="AH163" s="34"/>
      <c r="AI163" s="46">
        <v>150935104</v>
      </c>
      <c r="AJ163" s="41" t="s">
        <v>1384</v>
      </c>
      <c r="AK163" s="31" t="s">
        <v>1385</v>
      </c>
    </row>
    <row r="164" spans="1:37" ht="32.4" customHeight="1">
      <c r="A164" s="31">
        <v>161</v>
      </c>
      <c r="B164" s="438">
        <v>36402</v>
      </c>
      <c r="C164" s="717" t="s">
        <v>1175</v>
      </c>
      <c r="D164" s="440">
        <v>170847271</v>
      </c>
      <c r="E164" s="441" t="s">
        <v>1943</v>
      </c>
      <c r="F164" s="443" t="s">
        <v>1944</v>
      </c>
      <c r="G164" s="32">
        <v>7</v>
      </c>
      <c r="H164" s="32" t="s">
        <v>66</v>
      </c>
      <c r="I164" s="425">
        <v>286</v>
      </c>
      <c r="W164" s="2" t="s">
        <v>392</v>
      </c>
      <c r="X164" s="34"/>
      <c r="Y164" s="34">
        <v>38580</v>
      </c>
      <c r="Z164" s="46">
        <v>181063738</v>
      </c>
      <c r="AA164" s="47" t="s">
        <v>1386</v>
      </c>
      <c r="AB164" s="31" t="s">
        <v>1387</v>
      </c>
      <c r="AC164" s="2">
        <f t="shared" ca="1" si="8"/>
        <v>27</v>
      </c>
      <c r="AD164" s="2" t="e">
        <f t="shared" ca="1" si="9"/>
        <v>#VALUE!</v>
      </c>
      <c r="AE164" s="2">
        <f t="shared" ca="1" si="10"/>
        <v>27</v>
      </c>
      <c r="AF164" s="2" t="e">
        <f t="shared" ca="1" si="11"/>
        <v>#VALUE!</v>
      </c>
      <c r="AG164" s="34">
        <v>35930</v>
      </c>
      <c r="AH164" s="34"/>
      <c r="AI164" s="46">
        <v>150755457</v>
      </c>
      <c r="AJ164" s="41" t="s">
        <v>1388</v>
      </c>
      <c r="AK164" s="31" t="s">
        <v>1389</v>
      </c>
    </row>
    <row r="165" spans="1:37" ht="32.4" customHeight="1">
      <c r="A165" s="31">
        <v>162</v>
      </c>
      <c r="B165" s="438">
        <v>31792</v>
      </c>
      <c r="C165" s="717" t="s">
        <v>1175</v>
      </c>
      <c r="D165" s="440">
        <v>180838374</v>
      </c>
      <c r="E165" s="441" t="s">
        <v>1737</v>
      </c>
      <c r="F165" s="443" t="s">
        <v>1708</v>
      </c>
      <c r="G165" s="32">
        <v>7</v>
      </c>
      <c r="H165" s="32" t="s">
        <v>66</v>
      </c>
      <c r="I165" s="425">
        <v>287</v>
      </c>
      <c r="W165" s="2" t="s">
        <v>394</v>
      </c>
      <c r="X165" s="34">
        <v>38574</v>
      </c>
      <c r="Y165" s="34"/>
      <c r="Z165" s="46">
        <v>150978923</v>
      </c>
      <c r="AA165" s="47" t="s">
        <v>1390</v>
      </c>
      <c r="AB165" s="31" t="s">
        <v>1079</v>
      </c>
      <c r="AC165" s="2">
        <f t="shared" ca="1" si="8"/>
        <v>39</v>
      </c>
      <c r="AD165" s="2" t="e">
        <f t="shared" ca="1" si="9"/>
        <v>#VALUE!</v>
      </c>
      <c r="AE165" s="2">
        <f t="shared" ca="1" si="10"/>
        <v>39</v>
      </c>
      <c r="AF165" s="2" t="e">
        <f t="shared" ca="1" si="11"/>
        <v>#VALUE!</v>
      </c>
    </row>
    <row r="166" spans="1:37" ht="32.4" customHeight="1">
      <c r="A166" s="31">
        <v>163</v>
      </c>
      <c r="B166" s="438">
        <v>34895</v>
      </c>
      <c r="C166" s="718" t="s">
        <v>2041</v>
      </c>
      <c r="D166" s="440">
        <v>150522943</v>
      </c>
      <c r="E166" s="441" t="s">
        <v>800</v>
      </c>
      <c r="F166" s="443" t="s">
        <v>801</v>
      </c>
      <c r="G166" s="32">
        <v>7</v>
      </c>
      <c r="H166" s="32" t="s">
        <v>66</v>
      </c>
      <c r="I166" s="425">
        <v>288</v>
      </c>
      <c r="W166" s="2" t="s">
        <v>1322</v>
      </c>
      <c r="X166" s="34">
        <v>32788</v>
      </c>
      <c r="Y166" s="34"/>
      <c r="Z166" s="46" t="s">
        <v>1391</v>
      </c>
      <c r="AA166" s="47" t="s">
        <v>1392</v>
      </c>
      <c r="AB166" s="31" t="s">
        <v>1393</v>
      </c>
      <c r="AC166" s="2">
        <f t="shared" ca="1" si="8"/>
        <v>31</v>
      </c>
      <c r="AD166" s="2" t="e">
        <f t="shared" ca="1" si="9"/>
        <v>#VALUE!</v>
      </c>
      <c r="AE166" s="2">
        <f t="shared" ca="1" si="10"/>
        <v>31</v>
      </c>
      <c r="AF166" s="2" t="e">
        <f t="shared" ca="1" si="11"/>
        <v>#VALUE!</v>
      </c>
    </row>
    <row r="167" spans="1:37" ht="32.4" customHeight="1">
      <c r="A167" s="31">
        <v>164</v>
      </c>
      <c r="B167" s="438">
        <v>35958</v>
      </c>
      <c r="C167" s="717" t="s">
        <v>1175</v>
      </c>
      <c r="D167" s="440">
        <v>150756456</v>
      </c>
      <c r="E167" s="441" t="s">
        <v>802</v>
      </c>
      <c r="F167" s="443" t="s">
        <v>803</v>
      </c>
      <c r="G167" s="32">
        <v>7</v>
      </c>
      <c r="H167" s="32" t="s">
        <v>66</v>
      </c>
      <c r="I167" s="425">
        <v>289</v>
      </c>
      <c r="W167" s="2" t="s">
        <v>1394</v>
      </c>
      <c r="X167" s="34">
        <v>33367</v>
      </c>
      <c r="Y167" s="34"/>
      <c r="Z167" s="46">
        <v>150936100</v>
      </c>
      <c r="AA167" s="47" t="s">
        <v>1395</v>
      </c>
      <c r="AB167" s="33" t="s">
        <v>1396</v>
      </c>
      <c r="AC167" s="2">
        <f t="shared" ca="1" si="8"/>
        <v>28</v>
      </c>
      <c r="AD167" s="2" t="e">
        <f t="shared" ca="1" si="9"/>
        <v>#VALUE!</v>
      </c>
      <c r="AE167" s="2">
        <f t="shared" ca="1" si="10"/>
        <v>28</v>
      </c>
      <c r="AF167" s="2" t="e">
        <f t="shared" ca="1" si="11"/>
        <v>#VALUE!</v>
      </c>
    </row>
    <row r="168" spans="1:37" ht="32.4" customHeight="1">
      <c r="A168" s="31">
        <v>165</v>
      </c>
      <c r="B168" s="438">
        <v>39786</v>
      </c>
      <c r="C168" s="718" t="s">
        <v>2041</v>
      </c>
      <c r="D168" s="440">
        <v>151060416</v>
      </c>
      <c r="E168" s="441" t="s">
        <v>804</v>
      </c>
      <c r="F168" s="443" t="s">
        <v>805</v>
      </c>
      <c r="G168" s="32">
        <v>7</v>
      </c>
      <c r="H168" s="32" t="s">
        <v>66</v>
      </c>
      <c r="I168" s="425">
        <v>290</v>
      </c>
      <c r="W168" s="2" t="s">
        <v>1397</v>
      </c>
      <c r="AC168" s="2">
        <f t="shared" ca="1" si="8"/>
        <v>18</v>
      </c>
      <c r="AD168" s="2" t="e">
        <f t="shared" ca="1" si="9"/>
        <v>#VALUE!</v>
      </c>
      <c r="AE168" s="2">
        <f t="shared" ca="1" si="10"/>
        <v>18</v>
      </c>
      <c r="AF168" s="2" t="e">
        <f t="shared" ca="1" si="11"/>
        <v>#VALUE!</v>
      </c>
    </row>
    <row r="169" spans="1:37" ht="32.4" customHeight="1">
      <c r="A169" s="31">
        <v>166</v>
      </c>
      <c r="B169" s="438">
        <v>31787</v>
      </c>
      <c r="C169" s="717" t="s">
        <v>1175</v>
      </c>
      <c r="D169" s="440">
        <v>160541150</v>
      </c>
      <c r="E169" s="441" t="s">
        <v>1709</v>
      </c>
      <c r="F169" s="443" t="s">
        <v>1710</v>
      </c>
      <c r="G169" s="32">
        <v>7</v>
      </c>
      <c r="H169" s="32" t="s">
        <v>66</v>
      </c>
      <c r="I169" s="425">
        <v>291</v>
      </c>
      <c r="W169" s="2" t="s">
        <v>1399</v>
      </c>
      <c r="AC169" s="2">
        <f t="shared" ca="1" si="8"/>
        <v>39</v>
      </c>
      <c r="AD169" s="2" t="e">
        <f t="shared" ca="1" si="9"/>
        <v>#VALUE!</v>
      </c>
      <c r="AE169" s="2">
        <f t="shared" ca="1" si="10"/>
        <v>39</v>
      </c>
      <c r="AF169" s="2" t="e">
        <f t="shared" ca="1" si="11"/>
        <v>#VALUE!</v>
      </c>
    </row>
    <row r="170" spans="1:37" ht="32.4" customHeight="1">
      <c r="A170" s="31">
        <v>167</v>
      </c>
      <c r="B170" s="438">
        <v>35280</v>
      </c>
      <c r="C170" s="717" t="s">
        <v>1175</v>
      </c>
      <c r="D170" s="440">
        <v>220102070</v>
      </c>
      <c r="E170" s="441" t="s">
        <v>1868</v>
      </c>
      <c r="F170" s="443" t="s">
        <v>807</v>
      </c>
      <c r="G170" s="32">
        <v>7</v>
      </c>
      <c r="H170" s="32" t="s">
        <v>66</v>
      </c>
      <c r="I170" s="425">
        <v>292</v>
      </c>
      <c r="W170" s="2" t="s">
        <v>365</v>
      </c>
      <c r="X170" s="34"/>
      <c r="Y170" s="34">
        <v>37640</v>
      </c>
      <c r="Z170" s="46">
        <v>150938986</v>
      </c>
      <c r="AA170" s="47" t="s">
        <v>529</v>
      </c>
      <c r="AB170" s="31" t="s">
        <v>530</v>
      </c>
      <c r="AC170" s="2">
        <f t="shared" ca="1" si="8"/>
        <v>30</v>
      </c>
      <c r="AD170" s="2" t="e">
        <f t="shared" ca="1" si="9"/>
        <v>#VALUE!</v>
      </c>
      <c r="AE170" s="2">
        <f t="shared" ca="1" si="10"/>
        <v>30</v>
      </c>
      <c r="AF170" s="2" t="e">
        <f t="shared" ca="1" si="11"/>
        <v>#VALUE!</v>
      </c>
    </row>
    <row r="171" spans="1:37" ht="32.4" customHeight="1">
      <c r="A171" s="31">
        <v>168</v>
      </c>
      <c r="B171" s="438">
        <v>33868</v>
      </c>
      <c r="C171" s="717" t="s">
        <v>1175</v>
      </c>
      <c r="D171" s="440">
        <v>150468418</v>
      </c>
      <c r="E171" s="441" t="s">
        <v>342</v>
      </c>
      <c r="F171" s="443" t="s">
        <v>343</v>
      </c>
      <c r="G171" s="32">
        <v>2</v>
      </c>
      <c r="H171" s="32" t="s">
        <v>69</v>
      </c>
      <c r="I171" s="33">
        <v>48</v>
      </c>
      <c r="W171" s="2" t="s">
        <v>1400</v>
      </c>
      <c r="X171" s="34"/>
      <c r="Y171" s="34"/>
      <c r="Z171" s="46"/>
      <c r="AA171" s="47"/>
      <c r="AB171" s="31"/>
      <c r="AC171" s="2">
        <f t="shared" ca="1" si="8"/>
        <v>34</v>
      </c>
      <c r="AD171" s="2" t="e">
        <f t="shared" ca="1" si="9"/>
        <v>#VALUE!</v>
      </c>
      <c r="AE171" s="2">
        <f t="shared" ca="1" si="10"/>
        <v>34</v>
      </c>
      <c r="AF171" s="2" t="e">
        <f t="shared" ca="1" si="11"/>
        <v>#VALUE!</v>
      </c>
    </row>
    <row r="172" spans="1:37" ht="32.4" customHeight="1">
      <c r="A172" s="31">
        <v>169</v>
      </c>
      <c r="B172" s="438">
        <v>32060</v>
      </c>
      <c r="C172" s="718" t="s">
        <v>2041</v>
      </c>
      <c r="D172" s="440">
        <v>150523352</v>
      </c>
      <c r="E172" s="441" t="s">
        <v>344</v>
      </c>
      <c r="F172" s="472" t="s">
        <v>345</v>
      </c>
      <c r="G172" s="32">
        <v>2</v>
      </c>
      <c r="H172" s="32" t="s">
        <v>69</v>
      </c>
      <c r="I172" s="31">
        <v>49</v>
      </c>
      <c r="W172" s="2" t="s">
        <v>548</v>
      </c>
      <c r="AC172" s="2">
        <f t="shared" ca="1" si="8"/>
        <v>39</v>
      </c>
      <c r="AD172" s="2" t="e">
        <f t="shared" ca="1" si="9"/>
        <v>#VALUE!</v>
      </c>
      <c r="AE172" s="2">
        <f t="shared" ca="1" si="10"/>
        <v>39</v>
      </c>
      <c r="AF172" s="2" t="e">
        <f t="shared" ca="1" si="11"/>
        <v>#VALUE!</v>
      </c>
    </row>
    <row r="173" spans="1:37" ht="32.4" customHeight="1">
      <c r="A173" s="31">
        <v>170</v>
      </c>
      <c r="B173" s="438">
        <v>34156</v>
      </c>
      <c r="C173" s="718" t="s">
        <v>2041</v>
      </c>
      <c r="D173" s="440">
        <v>220234410</v>
      </c>
      <c r="E173" s="441" t="s">
        <v>346</v>
      </c>
      <c r="F173" s="443" t="s">
        <v>347</v>
      </c>
      <c r="G173" s="32">
        <v>2</v>
      </c>
      <c r="H173" s="32" t="s">
        <v>69</v>
      </c>
      <c r="I173" s="31">
        <v>50</v>
      </c>
      <c r="W173" s="2" t="s">
        <v>1401</v>
      </c>
      <c r="AC173" s="2">
        <f t="shared" ca="1" si="8"/>
        <v>33</v>
      </c>
      <c r="AD173" s="2" t="e">
        <f t="shared" ca="1" si="9"/>
        <v>#VALUE!</v>
      </c>
      <c r="AE173" s="2">
        <f t="shared" ca="1" si="10"/>
        <v>33</v>
      </c>
      <c r="AF173" s="2" t="e">
        <f t="shared" ca="1" si="11"/>
        <v>#VALUE!</v>
      </c>
      <c r="AG173" s="34"/>
      <c r="AH173" s="34">
        <v>31178</v>
      </c>
      <c r="AI173" s="46">
        <v>190869157</v>
      </c>
      <c r="AJ173" s="41" t="s">
        <v>1402</v>
      </c>
      <c r="AK173" s="31" t="s">
        <v>1403</v>
      </c>
    </row>
    <row r="174" spans="1:37" ht="32.4" customHeight="1">
      <c r="A174" s="31">
        <v>171</v>
      </c>
      <c r="B174" s="439">
        <v>33284</v>
      </c>
      <c r="C174" s="717" t="s">
        <v>1175</v>
      </c>
      <c r="D174" s="440">
        <v>220123636</v>
      </c>
      <c r="E174" s="441" t="s">
        <v>348</v>
      </c>
      <c r="F174" s="442" t="s">
        <v>349</v>
      </c>
      <c r="G174" s="32">
        <v>2</v>
      </c>
      <c r="H174" s="32" t="s">
        <v>69</v>
      </c>
      <c r="I174" s="31">
        <v>51</v>
      </c>
      <c r="W174" s="2" t="s">
        <v>1404</v>
      </c>
      <c r="AC174" s="2">
        <f t="shared" ca="1" si="8"/>
        <v>35</v>
      </c>
      <c r="AD174" s="2" t="e">
        <f t="shared" ca="1" si="9"/>
        <v>#VALUE!</v>
      </c>
      <c r="AE174" s="2">
        <f t="shared" ca="1" si="10"/>
        <v>35</v>
      </c>
      <c r="AF174" s="2" t="e">
        <f t="shared" ca="1" si="11"/>
        <v>#VALUE!</v>
      </c>
      <c r="AG174" s="34"/>
      <c r="AH174" s="34">
        <v>36718</v>
      </c>
      <c r="AI174" s="46">
        <v>150757609</v>
      </c>
      <c r="AJ174" s="41" t="s">
        <v>1405</v>
      </c>
      <c r="AK174" s="31" t="s">
        <v>1406</v>
      </c>
    </row>
    <row r="175" spans="1:37" ht="32.4" customHeight="1">
      <c r="A175" s="31">
        <v>172</v>
      </c>
      <c r="B175" s="438">
        <v>37809</v>
      </c>
      <c r="C175" s="717" t="s">
        <v>1175</v>
      </c>
      <c r="D175" s="440">
        <v>220217185</v>
      </c>
      <c r="E175" s="719" t="s">
        <v>2042</v>
      </c>
      <c r="F175" s="720" t="s">
        <v>2043</v>
      </c>
      <c r="G175" s="32">
        <v>2</v>
      </c>
      <c r="H175" s="32" t="s">
        <v>69</v>
      </c>
      <c r="I175" s="31">
        <v>52</v>
      </c>
      <c r="W175" s="2" t="s">
        <v>361</v>
      </c>
      <c r="AC175" s="2">
        <f t="shared" ca="1" si="8"/>
        <v>23</v>
      </c>
      <c r="AD175" s="2" t="e">
        <f t="shared" ca="1" si="9"/>
        <v>#VALUE!</v>
      </c>
      <c r="AE175" s="2">
        <f t="shared" ca="1" si="10"/>
        <v>23</v>
      </c>
      <c r="AF175" s="2" t="e">
        <f t="shared" ca="1" si="11"/>
        <v>#VALUE!</v>
      </c>
      <c r="AG175" s="34"/>
      <c r="AH175" s="34">
        <v>30629</v>
      </c>
      <c r="AI175" s="46">
        <v>190867640</v>
      </c>
      <c r="AJ175" s="41" t="s">
        <v>1407</v>
      </c>
      <c r="AK175" s="31" t="s">
        <v>1408</v>
      </c>
    </row>
    <row r="176" spans="1:37" ht="32.4" customHeight="1">
      <c r="A176" s="31">
        <v>173</v>
      </c>
      <c r="B176" s="438">
        <v>34787</v>
      </c>
      <c r="C176" s="718" t="s">
        <v>2041</v>
      </c>
      <c r="D176" s="440">
        <v>220097689</v>
      </c>
      <c r="E176" s="441" t="s">
        <v>1785</v>
      </c>
      <c r="F176" s="443" t="s">
        <v>1241</v>
      </c>
      <c r="G176" s="32">
        <v>2</v>
      </c>
      <c r="H176" s="32" t="s">
        <v>69</v>
      </c>
      <c r="I176" s="31">
        <v>53</v>
      </c>
      <c r="W176" s="2" t="s">
        <v>1409</v>
      </c>
      <c r="AC176" s="2">
        <f t="shared" ca="1" si="8"/>
        <v>31</v>
      </c>
      <c r="AD176" s="2" t="e">
        <f t="shared" ca="1" si="9"/>
        <v>#VALUE!</v>
      </c>
      <c r="AE176" s="2">
        <f t="shared" ca="1" si="10"/>
        <v>31</v>
      </c>
      <c r="AF176" s="2" t="e">
        <f t="shared" ca="1" si="11"/>
        <v>#VALUE!</v>
      </c>
      <c r="AG176" s="34">
        <v>36784</v>
      </c>
      <c r="AH176" s="34"/>
      <c r="AI176" s="46">
        <v>150769394</v>
      </c>
      <c r="AJ176" s="41" t="s">
        <v>1410</v>
      </c>
      <c r="AK176" s="31" t="s">
        <v>1411</v>
      </c>
    </row>
    <row r="177" spans="1:37" ht="32.4" customHeight="1">
      <c r="A177" s="31">
        <v>174</v>
      </c>
      <c r="B177" s="438">
        <v>33776</v>
      </c>
      <c r="C177" s="717" t="s">
        <v>1175</v>
      </c>
      <c r="D177" s="440">
        <v>150483966</v>
      </c>
      <c r="E177" s="441" t="s">
        <v>352</v>
      </c>
      <c r="F177" s="443" t="s">
        <v>353</v>
      </c>
      <c r="G177" s="32">
        <v>2</v>
      </c>
      <c r="H177" s="32" t="s">
        <v>69</v>
      </c>
      <c r="I177" s="31">
        <v>54</v>
      </c>
      <c r="W177" s="2" t="s">
        <v>1317</v>
      </c>
      <c r="AC177" s="2">
        <f t="shared" ca="1" si="8"/>
        <v>34</v>
      </c>
      <c r="AD177" s="2" t="e">
        <f t="shared" ca="1" si="9"/>
        <v>#VALUE!</v>
      </c>
      <c r="AE177" s="2">
        <f t="shared" ca="1" si="10"/>
        <v>34</v>
      </c>
      <c r="AF177" s="2" t="e">
        <f t="shared" ca="1" si="11"/>
        <v>#VALUE!</v>
      </c>
      <c r="AG177" s="34">
        <v>33710</v>
      </c>
      <c r="AH177" s="34"/>
      <c r="AI177" s="46">
        <v>220243810</v>
      </c>
      <c r="AJ177" s="41" t="s">
        <v>571</v>
      </c>
      <c r="AK177" t="s">
        <v>572</v>
      </c>
    </row>
    <row r="178" spans="1:37" ht="32.4" customHeight="1">
      <c r="A178" s="31">
        <v>175</v>
      </c>
      <c r="B178" s="473">
        <v>31550</v>
      </c>
      <c r="C178" s="718" t="s">
        <v>2041</v>
      </c>
      <c r="D178" s="440">
        <v>220071768</v>
      </c>
      <c r="E178" s="441" t="s">
        <v>1869</v>
      </c>
      <c r="F178" s="475" t="s">
        <v>355</v>
      </c>
      <c r="G178" s="32">
        <v>2</v>
      </c>
      <c r="H178" s="32" t="s">
        <v>69</v>
      </c>
      <c r="I178" s="31">
        <v>55</v>
      </c>
      <c r="K178" s="26"/>
      <c r="W178" s="2" t="s">
        <v>1412</v>
      </c>
      <c r="AC178" s="2">
        <f t="shared" ca="1" si="8"/>
        <v>40</v>
      </c>
      <c r="AD178" s="2" t="e">
        <f t="shared" ca="1" si="9"/>
        <v>#VALUE!</v>
      </c>
      <c r="AE178" s="2">
        <f t="shared" ca="1" si="10"/>
        <v>40</v>
      </c>
      <c r="AF178" s="2" t="e">
        <f t="shared" ca="1" si="11"/>
        <v>#VALUE!</v>
      </c>
      <c r="AG178" s="34"/>
      <c r="AH178" s="34">
        <v>32543</v>
      </c>
      <c r="AI178" s="46">
        <v>220175229</v>
      </c>
      <c r="AJ178" s="41" t="s">
        <v>1413</v>
      </c>
      <c r="AK178" s="31" t="s">
        <v>1414</v>
      </c>
    </row>
    <row r="179" spans="1:37" ht="32.4" customHeight="1">
      <c r="A179" s="31">
        <v>176</v>
      </c>
      <c r="B179" s="476">
        <v>36411</v>
      </c>
      <c r="C179" s="718" t="s">
        <v>2041</v>
      </c>
      <c r="D179" s="478">
        <v>220137755</v>
      </c>
      <c r="E179" s="479" t="s">
        <v>356</v>
      </c>
      <c r="F179" s="480" t="s">
        <v>357</v>
      </c>
      <c r="G179" s="32">
        <v>2</v>
      </c>
      <c r="H179" s="32" t="s">
        <v>69</v>
      </c>
      <c r="I179" s="31">
        <v>56</v>
      </c>
      <c r="K179" s="26"/>
      <c r="W179" s="2" t="s">
        <v>1412</v>
      </c>
      <c r="AC179" s="2">
        <f t="shared" ca="1" si="8"/>
        <v>27</v>
      </c>
      <c r="AD179" s="2" t="e">
        <f t="shared" ca="1" si="9"/>
        <v>#VALUE!</v>
      </c>
      <c r="AE179" s="2">
        <f t="shared" ref="AE179:AE194" ca="1" si="12">IF(AC179&lt;=69,AC179,IF(AC179=70,1))</f>
        <v>27</v>
      </c>
      <c r="AF179" s="2" t="e">
        <f t="shared" ref="AF179:AF194" ca="1" si="13">IF(AD179&lt;=69,AD179,IF(AD179=70,1))</f>
        <v>#VALUE!</v>
      </c>
      <c r="AG179" s="27"/>
      <c r="AH179" s="27"/>
      <c r="AI179" s="56"/>
      <c r="AJ179" s="57"/>
    </row>
    <row r="180" spans="1:37" ht="32.4" customHeight="1">
      <c r="A180" s="31">
        <v>177</v>
      </c>
      <c r="B180" s="438">
        <v>36012</v>
      </c>
      <c r="C180" s="718" t="s">
        <v>2041</v>
      </c>
      <c r="D180" s="440">
        <v>150889479</v>
      </c>
      <c r="E180" s="441" t="s">
        <v>358</v>
      </c>
      <c r="F180" s="443" t="s">
        <v>359</v>
      </c>
      <c r="G180" s="32">
        <v>2</v>
      </c>
      <c r="H180" s="32" t="s">
        <v>69</v>
      </c>
      <c r="I180" s="31">
        <v>57</v>
      </c>
      <c r="K180" s="26"/>
      <c r="W180" s="2" t="s">
        <v>1412</v>
      </c>
      <c r="AC180" s="2">
        <f t="shared" ca="1" si="8"/>
        <v>28</v>
      </c>
      <c r="AD180" s="2" t="e">
        <f t="shared" ca="1" si="9"/>
        <v>#VALUE!</v>
      </c>
      <c r="AE180" s="2">
        <f t="shared" ca="1" si="12"/>
        <v>28</v>
      </c>
      <c r="AF180" s="2" t="e">
        <f t="shared" ca="1" si="13"/>
        <v>#VALUE!</v>
      </c>
      <c r="AG180" s="27"/>
      <c r="AH180" s="27"/>
      <c r="AI180" s="56"/>
      <c r="AJ180" s="57"/>
    </row>
    <row r="181" spans="1:37" ht="32.4" customHeight="1">
      <c r="A181" s="31">
        <v>178</v>
      </c>
      <c r="B181" s="438">
        <v>34202</v>
      </c>
      <c r="C181" s="717" t="s">
        <v>1175</v>
      </c>
      <c r="D181" s="440">
        <v>150468220</v>
      </c>
      <c r="E181" s="441" t="s">
        <v>360</v>
      </c>
      <c r="F181" s="443" t="s">
        <v>361</v>
      </c>
      <c r="G181" s="32">
        <v>2</v>
      </c>
      <c r="H181" s="32" t="s">
        <v>69</v>
      </c>
      <c r="I181" s="31">
        <v>58</v>
      </c>
      <c r="K181" s="26"/>
      <c r="W181" s="2" t="s">
        <v>1412</v>
      </c>
      <c r="AC181" s="2">
        <f t="shared" ca="1" si="8"/>
        <v>33</v>
      </c>
      <c r="AD181" s="2" t="e">
        <f t="shared" ca="1" si="9"/>
        <v>#VALUE!</v>
      </c>
      <c r="AE181" s="2">
        <f t="shared" ca="1" si="12"/>
        <v>33</v>
      </c>
      <c r="AF181" s="2" t="e">
        <f t="shared" ca="1" si="13"/>
        <v>#VALUE!</v>
      </c>
      <c r="AG181" s="27"/>
      <c r="AH181" s="27"/>
      <c r="AI181" s="56"/>
      <c r="AJ181" s="57"/>
    </row>
    <row r="182" spans="1:37" ht="32.4" customHeight="1">
      <c r="A182" s="31">
        <v>179</v>
      </c>
      <c r="B182" s="438">
        <v>35586</v>
      </c>
      <c r="C182" s="717" t="s">
        <v>1175</v>
      </c>
      <c r="D182" s="440">
        <v>220102078</v>
      </c>
      <c r="E182" s="441" t="s">
        <v>362</v>
      </c>
      <c r="F182" s="443" t="s">
        <v>363</v>
      </c>
      <c r="G182" s="32">
        <v>2</v>
      </c>
      <c r="H182" s="32" t="s">
        <v>69</v>
      </c>
      <c r="I182" s="31">
        <v>59</v>
      </c>
      <c r="K182" s="26"/>
      <c r="W182" s="2" t="s">
        <v>1412</v>
      </c>
      <c r="AC182" s="2">
        <f t="shared" ca="1" si="8"/>
        <v>29</v>
      </c>
      <c r="AD182" s="2" t="e">
        <f t="shared" ca="1" si="9"/>
        <v>#VALUE!</v>
      </c>
      <c r="AE182" s="2">
        <f t="shared" ca="1" si="12"/>
        <v>29</v>
      </c>
      <c r="AF182" s="2" t="e">
        <f t="shared" ca="1" si="13"/>
        <v>#VALUE!</v>
      </c>
      <c r="AG182" s="27"/>
      <c r="AH182" s="27"/>
      <c r="AI182" s="56"/>
      <c r="AJ182" s="57"/>
    </row>
    <row r="183" spans="1:37" ht="32.4" customHeight="1">
      <c r="A183" s="31">
        <v>180</v>
      </c>
      <c r="B183" s="438">
        <v>36992</v>
      </c>
      <c r="C183" s="718" t="s">
        <v>2041</v>
      </c>
      <c r="D183" s="440">
        <v>220208779</v>
      </c>
      <c r="E183" s="441" t="s">
        <v>364</v>
      </c>
      <c r="F183" s="443" t="s">
        <v>365</v>
      </c>
      <c r="G183" s="32">
        <v>2</v>
      </c>
      <c r="H183" s="32" t="s">
        <v>69</v>
      </c>
      <c r="I183" s="31">
        <v>60</v>
      </c>
      <c r="K183" s="26"/>
      <c r="W183" s="2" t="s">
        <v>1412</v>
      </c>
      <c r="AC183" s="2">
        <f t="shared" ca="1" si="8"/>
        <v>25</v>
      </c>
      <c r="AD183" s="2" t="e">
        <f t="shared" ca="1" si="9"/>
        <v>#VALUE!</v>
      </c>
      <c r="AE183" s="2">
        <f t="shared" ca="1" si="12"/>
        <v>25</v>
      </c>
      <c r="AF183" s="2" t="e">
        <f t="shared" ca="1" si="13"/>
        <v>#VALUE!</v>
      </c>
      <c r="AG183" s="27"/>
      <c r="AH183" s="27"/>
      <c r="AI183" s="56"/>
      <c r="AJ183" s="57"/>
    </row>
    <row r="184" spans="1:37" ht="32.4" customHeight="1">
      <c r="A184" s="31">
        <v>181</v>
      </c>
      <c r="B184" s="438">
        <v>36595</v>
      </c>
      <c r="C184" s="718" t="s">
        <v>2041</v>
      </c>
      <c r="D184" s="440" t="s">
        <v>1239</v>
      </c>
      <c r="E184" s="441" t="s">
        <v>366</v>
      </c>
      <c r="F184" s="443" t="s">
        <v>367</v>
      </c>
      <c r="G184" s="32">
        <v>2</v>
      </c>
      <c r="H184" s="32" t="s">
        <v>69</v>
      </c>
      <c r="I184" s="31">
        <v>61</v>
      </c>
      <c r="K184" s="26"/>
      <c r="W184" s="2" t="s">
        <v>1412</v>
      </c>
      <c r="AC184" s="2">
        <f t="shared" ca="1" si="8"/>
        <v>26</v>
      </c>
      <c r="AD184" s="2" t="e">
        <f t="shared" ca="1" si="9"/>
        <v>#VALUE!</v>
      </c>
      <c r="AE184" s="2">
        <f t="shared" ca="1" si="12"/>
        <v>26</v>
      </c>
      <c r="AF184" s="2" t="e">
        <f t="shared" ca="1" si="13"/>
        <v>#VALUE!</v>
      </c>
      <c r="AG184" s="27"/>
      <c r="AH184" s="27"/>
      <c r="AI184" s="56"/>
      <c r="AJ184" s="57"/>
    </row>
    <row r="185" spans="1:37" ht="32.4" customHeight="1">
      <c r="A185" s="31">
        <v>182</v>
      </c>
      <c r="B185" s="438">
        <v>31234</v>
      </c>
      <c r="C185" s="718" t="s">
        <v>2041</v>
      </c>
      <c r="D185" s="440">
        <v>220175460</v>
      </c>
      <c r="E185" s="441" t="s">
        <v>368</v>
      </c>
      <c r="F185" s="443" t="s">
        <v>369</v>
      </c>
      <c r="G185" s="32">
        <v>2</v>
      </c>
      <c r="H185" s="32" t="s">
        <v>69</v>
      </c>
      <c r="I185" s="31">
        <v>62</v>
      </c>
      <c r="K185" s="26"/>
      <c r="W185" s="2" t="s">
        <v>1412</v>
      </c>
      <c r="AC185" s="2">
        <f t="shared" ca="1" si="8"/>
        <v>41</v>
      </c>
      <c r="AD185" s="2" t="e">
        <f t="shared" ca="1" si="9"/>
        <v>#VALUE!</v>
      </c>
      <c r="AE185" s="2">
        <f t="shared" ca="1" si="12"/>
        <v>41</v>
      </c>
      <c r="AF185" s="2" t="e">
        <f t="shared" ca="1" si="13"/>
        <v>#VALUE!</v>
      </c>
      <c r="AG185" s="27"/>
      <c r="AH185" s="27"/>
      <c r="AI185" s="56"/>
      <c r="AJ185" s="57"/>
    </row>
    <row r="186" spans="1:37" ht="32.4" customHeight="1">
      <c r="A186" s="31">
        <v>183</v>
      </c>
      <c r="B186" s="438">
        <v>35345</v>
      </c>
      <c r="C186" s="717" t="s">
        <v>1175</v>
      </c>
      <c r="D186" s="440" t="s">
        <v>1240</v>
      </c>
      <c r="E186" s="441" t="s">
        <v>370</v>
      </c>
      <c r="F186" s="443" t="s">
        <v>371</v>
      </c>
      <c r="G186" s="32">
        <v>2</v>
      </c>
      <c r="H186" s="32" t="s">
        <v>69</v>
      </c>
      <c r="I186" s="31">
        <v>63</v>
      </c>
      <c r="K186" s="26"/>
      <c r="W186" s="2" t="s">
        <v>1412</v>
      </c>
      <c r="AC186" s="2">
        <f t="shared" ca="1" si="8"/>
        <v>30</v>
      </c>
      <c r="AD186" s="2" t="e">
        <f t="shared" ca="1" si="9"/>
        <v>#VALUE!</v>
      </c>
      <c r="AE186" s="2">
        <f t="shared" ca="1" si="12"/>
        <v>30</v>
      </c>
      <c r="AF186" s="2" t="e">
        <f t="shared" ca="1" si="13"/>
        <v>#VALUE!</v>
      </c>
      <c r="AG186" s="27"/>
      <c r="AH186" s="27"/>
      <c r="AI186" s="56"/>
      <c r="AJ186" s="57"/>
    </row>
    <row r="187" spans="1:37" ht="32.4" customHeight="1">
      <c r="A187" s="31">
        <v>184</v>
      </c>
      <c r="B187" s="438">
        <v>33154</v>
      </c>
      <c r="C187" s="717" t="s">
        <v>1175</v>
      </c>
      <c r="D187" s="440">
        <v>150468201</v>
      </c>
      <c r="E187" s="441" t="s">
        <v>372</v>
      </c>
      <c r="F187" s="443" t="s">
        <v>373</v>
      </c>
      <c r="G187" s="32">
        <v>2</v>
      </c>
      <c r="H187" s="32" t="s">
        <v>69</v>
      </c>
      <c r="I187" s="31">
        <v>64</v>
      </c>
      <c r="K187" s="26"/>
      <c r="W187" s="2" t="s">
        <v>1412</v>
      </c>
      <c r="AC187" s="2">
        <f t="shared" ca="1" si="8"/>
        <v>36</v>
      </c>
      <c r="AD187" s="2" t="e">
        <f t="shared" ca="1" si="9"/>
        <v>#VALUE!</v>
      </c>
      <c r="AE187" s="2">
        <f t="shared" ca="1" si="12"/>
        <v>36</v>
      </c>
      <c r="AF187" s="2" t="e">
        <f t="shared" ca="1" si="13"/>
        <v>#VALUE!</v>
      </c>
      <c r="AG187" s="27"/>
      <c r="AH187" s="27"/>
      <c r="AI187" s="56"/>
      <c r="AJ187" s="57"/>
    </row>
    <row r="188" spans="1:37" ht="32.4" customHeight="1">
      <c r="A188" s="31">
        <v>185</v>
      </c>
      <c r="B188" s="450">
        <v>32637</v>
      </c>
      <c r="C188" s="718" t="s">
        <v>2041</v>
      </c>
      <c r="D188" s="447">
        <v>150811807</v>
      </c>
      <c r="E188" s="448" t="s">
        <v>374</v>
      </c>
      <c r="F188" s="449" t="s">
        <v>375</v>
      </c>
      <c r="G188" s="32">
        <v>2</v>
      </c>
      <c r="H188" s="32" t="s">
        <v>69</v>
      </c>
      <c r="I188" s="31">
        <v>65</v>
      </c>
      <c r="K188" s="26"/>
      <c r="W188" s="2" t="s">
        <v>1412</v>
      </c>
      <c r="AC188" s="2">
        <f t="shared" ca="1" si="8"/>
        <v>37</v>
      </c>
      <c r="AD188" s="2" t="e">
        <f t="shared" ca="1" si="9"/>
        <v>#VALUE!</v>
      </c>
      <c r="AE188" s="2">
        <f t="shared" ca="1" si="12"/>
        <v>37</v>
      </c>
      <c r="AF188" s="2" t="e">
        <f t="shared" ca="1" si="13"/>
        <v>#VALUE!</v>
      </c>
      <c r="AG188" s="27"/>
      <c r="AH188" s="27"/>
      <c r="AI188" s="56"/>
      <c r="AJ188" s="57"/>
    </row>
    <row r="189" spans="1:37" ht="32.4" customHeight="1">
      <c r="A189" s="31">
        <v>186</v>
      </c>
      <c r="B189" s="438">
        <v>34976</v>
      </c>
      <c r="C189" s="717" t="s">
        <v>1175</v>
      </c>
      <c r="D189" s="440">
        <v>150648038</v>
      </c>
      <c r="E189" s="441" t="s">
        <v>297</v>
      </c>
      <c r="F189" s="443" t="s">
        <v>298</v>
      </c>
      <c r="G189" s="32">
        <v>2</v>
      </c>
      <c r="H189" s="32" t="s">
        <v>69</v>
      </c>
      <c r="I189" s="31">
        <v>66</v>
      </c>
      <c r="K189" s="26"/>
      <c r="W189" s="2" t="s">
        <v>1412</v>
      </c>
      <c r="AC189" s="2">
        <f t="shared" ca="1" si="8"/>
        <v>31</v>
      </c>
      <c r="AD189" s="2" t="e">
        <f t="shared" ca="1" si="9"/>
        <v>#VALUE!</v>
      </c>
      <c r="AE189" s="2">
        <f t="shared" ca="1" si="12"/>
        <v>31</v>
      </c>
      <c r="AF189" s="2" t="e">
        <f t="shared" ca="1" si="13"/>
        <v>#VALUE!</v>
      </c>
      <c r="AG189" s="27"/>
      <c r="AH189" s="27"/>
      <c r="AI189" s="56"/>
      <c r="AJ189" s="57"/>
    </row>
    <row r="190" spans="1:37" ht="32.4" customHeight="1">
      <c r="A190" s="31">
        <v>187</v>
      </c>
      <c r="B190" s="438">
        <v>31103</v>
      </c>
      <c r="C190" s="718" t="s">
        <v>2041</v>
      </c>
      <c r="D190" s="440">
        <v>150306508</v>
      </c>
      <c r="E190" s="441" t="s">
        <v>378</v>
      </c>
      <c r="F190" s="443" t="s">
        <v>379</v>
      </c>
      <c r="G190" s="32">
        <v>2</v>
      </c>
      <c r="H190" s="32" t="s">
        <v>69</v>
      </c>
      <c r="I190" s="31">
        <v>67</v>
      </c>
      <c r="K190" s="26"/>
      <c r="W190" s="2" t="s">
        <v>1412</v>
      </c>
      <c r="AC190" s="2">
        <f t="shared" ca="1" si="8"/>
        <v>41</v>
      </c>
      <c r="AD190" s="2" t="e">
        <f t="shared" ca="1" si="9"/>
        <v>#VALUE!</v>
      </c>
      <c r="AE190" s="2">
        <f t="shared" ca="1" si="12"/>
        <v>41</v>
      </c>
      <c r="AF190" s="2" t="e">
        <f t="shared" ca="1" si="13"/>
        <v>#VALUE!</v>
      </c>
      <c r="AG190" s="27"/>
      <c r="AH190" s="27"/>
      <c r="AI190" s="56"/>
      <c r="AJ190" s="57"/>
    </row>
    <row r="191" spans="1:37" ht="32.4" customHeight="1">
      <c r="A191" s="31">
        <v>188</v>
      </c>
      <c r="B191" s="438">
        <v>37309</v>
      </c>
      <c r="C191" s="718" t="s">
        <v>2041</v>
      </c>
      <c r="D191" s="440">
        <v>150935164</v>
      </c>
      <c r="E191" s="441" t="s">
        <v>1206</v>
      </c>
      <c r="F191" s="443" t="s">
        <v>381</v>
      </c>
      <c r="G191" s="32">
        <v>2</v>
      </c>
      <c r="H191" s="32" t="s">
        <v>69</v>
      </c>
      <c r="I191" s="31">
        <v>68</v>
      </c>
      <c r="K191" s="26"/>
      <c r="W191" s="2" t="s">
        <v>1412</v>
      </c>
      <c r="AC191" s="2">
        <f t="shared" ca="1" si="8"/>
        <v>24</v>
      </c>
      <c r="AD191" s="2" t="e">
        <f t="shared" ca="1" si="9"/>
        <v>#VALUE!</v>
      </c>
      <c r="AE191" s="2">
        <f t="shared" ca="1" si="12"/>
        <v>24</v>
      </c>
      <c r="AF191" s="2" t="e">
        <f t="shared" ca="1" si="13"/>
        <v>#VALUE!</v>
      </c>
      <c r="AG191" s="27"/>
      <c r="AH191" s="27"/>
      <c r="AI191" s="56"/>
      <c r="AJ191" s="57"/>
    </row>
    <row r="192" spans="1:37" ht="32.4" customHeight="1">
      <c r="A192" s="31">
        <v>189</v>
      </c>
      <c r="B192" s="438">
        <v>34155</v>
      </c>
      <c r="C192" s="717" t="s">
        <v>1175</v>
      </c>
      <c r="D192" s="440">
        <v>220234390</v>
      </c>
      <c r="E192" s="441" t="s">
        <v>1738</v>
      </c>
      <c r="F192" s="443" t="s">
        <v>382</v>
      </c>
      <c r="G192" s="32">
        <v>2</v>
      </c>
      <c r="H192" s="32" t="s">
        <v>69</v>
      </c>
      <c r="I192" s="31">
        <v>69</v>
      </c>
      <c r="V192" s="2">
        <v>5</v>
      </c>
      <c r="W192" s="2" t="s">
        <v>359</v>
      </c>
      <c r="X192" s="34"/>
      <c r="Y192" s="34"/>
      <c r="Z192" s="32"/>
      <c r="AA192" s="47"/>
      <c r="AB192" s="31"/>
      <c r="AC192" s="2">
        <f t="shared" ca="1" si="8"/>
        <v>33</v>
      </c>
      <c r="AD192" s="2" t="e">
        <f t="shared" ca="1" si="9"/>
        <v>#VALUE!</v>
      </c>
      <c r="AE192" s="2">
        <f t="shared" ca="1" si="12"/>
        <v>33</v>
      </c>
      <c r="AF192" s="2" t="e">
        <f t="shared" ca="1" si="13"/>
        <v>#VALUE!</v>
      </c>
    </row>
    <row r="193" spans="1:37" ht="32.4" customHeight="1">
      <c r="A193" s="31">
        <v>190</v>
      </c>
      <c r="B193" s="438">
        <v>35130</v>
      </c>
      <c r="C193" s="718" t="s">
        <v>2041</v>
      </c>
      <c r="D193" s="440">
        <v>150523488</v>
      </c>
      <c r="E193" s="441" t="s">
        <v>383</v>
      </c>
      <c r="F193" s="443" t="s">
        <v>384</v>
      </c>
      <c r="G193" s="32">
        <v>2</v>
      </c>
      <c r="H193" s="32" t="s">
        <v>69</v>
      </c>
      <c r="I193" s="31">
        <v>70</v>
      </c>
      <c r="W193" s="2" t="s">
        <v>582</v>
      </c>
      <c r="AC193" s="2">
        <f t="shared" ca="1" si="8"/>
        <v>30</v>
      </c>
      <c r="AD193" s="2" t="e">
        <f t="shared" ca="1" si="9"/>
        <v>#VALUE!</v>
      </c>
      <c r="AE193" s="2">
        <f t="shared" ca="1" si="12"/>
        <v>30</v>
      </c>
      <c r="AF193" s="2" t="e">
        <f t="shared" ca="1" si="13"/>
        <v>#VALUE!</v>
      </c>
    </row>
    <row r="194" spans="1:37" ht="32.4" customHeight="1">
      <c r="A194" s="31">
        <v>191</v>
      </c>
      <c r="B194" s="438">
        <v>35470</v>
      </c>
      <c r="C194" s="717" t="s">
        <v>1175</v>
      </c>
      <c r="D194" s="440">
        <v>150522955</v>
      </c>
      <c r="E194" s="441" t="s">
        <v>385</v>
      </c>
      <c r="F194" s="443" t="s">
        <v>386</v>
      </c>
      <c r="G194" s="32">
        <v>2</v>
      </c>
      <c r="H194" s="32" t="s">
        <v>69</v>
      </c>
      <c r="I194" s="31">
        <v>71</v>
      </c>
      <c r="J194" s="34" t="s">
        <v>1205</v>
      </c>
      <c r="K194" s="34">
        <v>32361</v>
      </c>
      <c r="L194" s="48" t="s">
        <v>1416</v>
      </c>
      <c r="M194" s="36" t="s">
        <v>1417</v>
      </c>
      <c r="N194" s="31" t="s">
        <v>1418</v>
      </c>
      <c r="W194" s="2" t="s">
        <v>631</v>
      </c>
      <c r="AC194" s="2">
        <f t="shared" ca="1" si="8"/>
        <v>29</v>
      </c>
      <c r="AD194" s="2" t="e">
        <f t="shared" ca="1" si="9"/>
        <v>#VALUE!</v>
      </c>
      <c r="AE194" s="2">
        <f t="shared" ca="1" si="12"/>
        <v>29</v>
      </c>
      <c r="AF194" s="2" t="e">
        <f t="shared" ca="1" si="13"/>
        <v>#VALUE!</v>
      </c>
    </row>
    <row r="195" spans="1:37" ht="32.4" customHeight="1">
      <c r="A195" s="31">
        <v>192</v>
      </c>
      <c r="B195" s="438">
        <v>35079</v>
      </c>
      <c r="C195" s="718" t="s">
        <v>2041</v>
      </c>
      <c r="D195" s="440">
        <v>150574688</v>
      </c>
      <c r="E195" s="441" t="s">
        <v>387</v>
      </c>
      <c r="F195" s="442" t="s">
        <v>388</v>
      </c>
      <c r="G195" s="32">
        <v>2</v>
      </c>
      <c r="H195" s="32" t="s">
        <v>69</v>
      </c>
      <c r="I195" s="31">
        <v>72</v>
      </c>
      <c r="W195" s="2" t="s">
        <v>1419</v>
      </c>
      <c r="AC195" s="2">
        <f t="shared" ca="1" si="8"/>
        <v>30</v>
      </c>
      <c r="AD195" s="2" t="e">
        <f t="shared" ca="1" si="9"/>
        <v>#VALUE!</v>
      </c>
      <c r="AE195" s="2">
        <f t="shared" ca="1" si="10"/>
        <v>30</v>
      </c>
      <c r="AF195" s="2" t="e">
        <f t="shared" ca="1" si="11"/>
        <v>#VALUE!</v>
      </c>
    </row>
    <row r="196" spans="1:37" ht="32.4" customHeight="1">
      <c r="A196" s="31">
        <v>193</v>
      </c>
      <c r="B196" s="438">
        <v>36109</v>
      </c>
      <c r="C196" s="717" t="s">
        <v>1175</v>
      </c>
      <c r="D196" s="440">
        <v>150648411</v>
      </c>
      <c r="E196" s="719" t="s">
        <v>2044</v>
      </c>
      <c r="F196" s="720" t="s">
        <v>2045</v>
      </c>
      <c r="G196" s="32">
        <v>2</v>
      </c>
      <c r="H196" s="32" t="s">
        <v>69</v>
      </c>
      <c r="I196" s="31">
        <v>73</v>
      </c>
      <c r="W196" s="2" t="s">
        <v>584</v>
      </c>
      <c r="AC196" s="2">
        <f t="shared" ref="AC196:AC259" ca="1" si="14">YEAR(NOW())-YEAR(B196)</f>
        <v>28</v>
      </c>
      <c r="AD196" s="2" t="e">
        <f t="shared" ref="AD196:AD259" ca="1" si="15">YEAR(NOW())-YEAR(C196)</f>
        <v>#VALUE!</v>
      </c>
      <c r="AE196" s="2">
        <f t="shared" ca="1" si="10"/>
        <v>28</v>
      </c>
      <c r="AF196" s="2" t="e">
        <f t="shared" ca="1" si="11"/>
        <v>#VALUE!</v>
      </c>
    </row>
    <row r="197" spans="1:37" ht="32.4" customHeight="1">
      <c r="A197" s="31">
        <v>194</v>
      </c>
      <c r="B197" s="438">
        <v>33612</v>
      </c>
      <c r="C197" s="718" t="s">
        <v>2041</v>
      </c>
      <c r="D197" s="440">
        <v>150470017</v>
      </c>
      <c r="E197" s="441" t="s">
        <v>391</v>
      </c>
      <c r="F197" s="443" t="s">
        <v>392</v>
      </c>
      <c r="G197" s="32">
        <v>2</v>
      </c>
      <c r="H197" s="32" t="s">
        <v>69</v>
      </c>
      <c r="I197" s="31">
        <v>74</v>
      </c>
      <c r="W197" s="2" t="s">
        <v>586</v>
      </c>
      <c r="AC197" s="2">
        <f t="shared" ca="1" si="14"/>
        <v>34</v>
      </c>
      <c r="AD197" s="2" t="e">
        <f t="shared" ca="1" si="15"/>
        <v>#VALUE!</v>
      </c>
      <c r="AE197" s="2">
        <f t="shared" ref="AE197:AE247" ca="1" si="16">IF(AC197&lt;=69,AC197,IF(AC197=70,1))</f>
        <v>34</v>
      </c>
      <c r="AF197" s="2" t="e">
        <f t="shared" ref="AF197:AF247" ca="1" si="17">IF(AD197&lt;=69,AD197,IF(AD197=70,1))</f>
        <v>#VALUE!</v>
      </c>
      <c r="AG197" s="34"/>
      <c r="AH197" s="34"/>
      <c r="AI197" s="46"/>
      <c r="AJ197" s="41"/>
      <c r="AK197" s="31"/>
    </row>
    <row r="198" spans="1:37" ht="32.4" customHeight="1">
      <c r="A198" s="31">
        <v>195</v>
      </c>
      <c r="B198" s="438">
        <v>34141</v>
      </c>
      <c r="C198" s="717" t="s">
        <v>1175</v>
      </c>
      <c r="D198" s="440">
        <v>150468211</v>
      </c>
      <c r="E198" s="441" t="s">
        <v>393</v>
      </c>
      <c r="F198" s="443" t="s">
        <v>394</v>
      </c>
      <c r="G198" s="32">
        <v>2</v>
      </c>
      <c r="H198" s="32" t="s">
        <v>69</v>
      </c>
      <c r="I198" s="31">
        <v>75</v>
      </c>
      <c r="W198" s="2" t="s">
        <v>1420</v>
      </c>
      <c r="AC198" s="2">
        <f t="shared" ca="1" si="14"/>
        <v>33</v>
      </c>
      <c r="AD198" s="2" t="e">
        <f t="shared" ca="1" si="15"/>
        <v>#VALUE!</v>
      </c>
      <c r="AE198" s="2">
        <f t="shared" ca="1" si="16"/>
        <v>33</v>
      </c>
      <c r="AF198" s="2" t="e">
        <f t="shared" ca="1" si="17"/>
        <v>#VALUE!</v>
      </c>
      <c r="AG198" s="34"/>
      <c r="AH198" s="34">
        <v>35524</v>
      </c>
      <c r="AI198" s="46">
        <v>150648596</v>
      </c>
      <c r="AJ198" s="41" t="s">
        <v>1421</v>
      </c>
      <c r="AK198" s="31" t="s">
        <v>1422</v>
      </c>
    </row>
    <row r="199" spans="1:37" ht="32.4" customHeight="1">
      <c r="A199" s="31">
        <v>196</v>
      </c>
      <c r="B199" s="438">
        <v>36262</v>
      </c>
      <c r="C199" s="718" t="s">
        <v>2041</v>
      </c>
      <c r="D199" s="440">
        <v>150981378</v>
      </c>
      <c r="E199" s="441" t="s">
        <v>2046</v>
      </c>
      <c r="F199" s="443" t="s">
        <v>2047</v>
      </c>
      <c r="G199" s="32">
        <v>2</v>
      </c>
      <c r="H199" s="32" t="s">
        <v>69</v>
      </c>
      <c r="I199" s="31">
        <v>76</v>
      </c>
      <c r="W199" s="2" t="s">
        <v>1423</v>
      </c>
      <c r="AC199" s="2">
        <f t="shared" ca="1" si="14"/>
        <v>27</v>
      </c>
      <c r="AD199" s="2" t="e">
        <f t="shared" ca="1" si="15"/>
        <v>#VALUE!</v>
      </c>
      <c r="AE199" s="2">
        <f t="shared" ca="1" si="16"/>
        <v>27</v>
      </c>
      <c r="AF199" s="2" t="e">
        <f t="shared" ca="1" si="17"/>
        <v>#VALUE!</v>
      </c>
      <c r="AG199" s="34"/>
      <c r="AH199" s="34">
        <v>32674</v>
      </c>
      <c r="AI199" s="46">
        <v>150574732</v>
      </c>
      <c r="AJ199" s="41" t="s">
        <v>1424</v>
      </c>
      <c r="AK199" s="31" t="s">
        <v>1425</v>
      </c>
    </row>
    <row r="200" spans="1:37" ht="32.4" customHeight="1">
      <c r="A200" s="31">
        <v>197</v>
      </c>
      <c r="B200" s="438">
        <v>30932</v>
      </c>
      <c r="C200" s="717" t="s">
        <v>1175</v>
      </c>
      <c r="D200" s="440">
        <v>220175459</v>
      </c>
      <c r="E200" s="441" t="s">
        <v>1871</v>
      </c>
      <c r="F200" s="443" t="s">
        <v>398</v>
      </c>
      <c r="G200" s="32">
        <v>2</v>
      </c>
      <c r="H200" s="32" t="s">
        <v>69</v>
      </c>
      <c r="I200" s="31">
        <v>77</v>
      </c>
      <c r="W200" s="2" t="s">
        <v>594</v>
      </c>
      <c r="AC200" s="2">
        <f t="shared" ca="1" si="14"/>
        <v>42</v>
      </c>
      <c r="AD200" s="2" t="e">
        <f t="shared" ca="1" si="15"/>
        <v>#VALUE!</v>
      </c>
      <c r="AE200" s="2">
        <f t="shared" ca="1" si="16"/>
        <v>42</v>
      </c>
      <c r="AF200" s="2" t="e">
        <f t="shared" ca="1" si="17"/>
        <v>#VALUE!</v>
      </c>
      <c r="AG200" s="59">
        <v>37075</v>
      </c>
      <c r="AH200" s="34"/>
      <c r="AI200" s="43">
        <v>150891650</v>
      </c>
      <c r="AJ200" s="63" t="s">
        <v>1426</v>
      </c>
      <c r="AK200" s="64" t="s">
        <v>1427</v>
      </c>
    </row>
    <row r="201" spans="1:37" ht="32.4" customHeight="1">
      <c r="A201" s="31">
        <v>198</v>
      </c>
      <c r="B201" s="439">
        <v>36574</v>
      </c>
      <c r="C201" s="717" t="s">
        <v>1175</v>
      </c>
      <c r="D201" s="440">
        <v>220140665</v>
      </c>
      <c r="E201" s="441" t="s">
        <v>399</v>
      </c>
      <c r="F201" s="481" t="s">
        <v>400</v>
      </c>
      <c r="G201" s="32">
        <v>2</v>
      </c>
      <c r="H201" s="32" t="s">
        <v>69</v>
      </c>
      <c r="I201" s="31">
        <v>78</v>
      </c>
      <c r="W201" s="2" t="s">
        <v>592</v>
      </c>
      <c r="AC201" s="2">
        <f t="shared" ca="1" si="14"/>
        <v>26</v>
      </c>
      <c r="AD201" s="2" t="e">
        <f t="shared" ca="1" si="15"/>
        <v>#VALUE!</v>
      </c>
      <c r="AE201" s="2">
        <f t="shared" ca="1" si="16"/>
        <v>26</v>
      </c>
      <c r="AF201" s="2" t="e">
        <f t="shared" ca="1" si="17"/>
        <v>#VALUE!</v>
      </c>
      <c r="AG201" s="34">
        <v>35076</v>
      </c>
      <c r="AH201" s="34"/>
      <c r="AI201" s="46">
        <v>150522834</v>
      </c>
      <c r="AJ201" s="41" t="s">
        <v>1428</v>
      </c>
      <c r="AK201" s="31" t="s">
        <v>1429</v>
      </c>
    </row>
    <row r="202" spans="1:37" ht="32.4" customHeight="1">
      <c r="A202" s="31">
        <v>199</v>
      </c>
      <c r="B202" s="438">
        <v>30786</v>
      </c>
      <c r="C202" s="717" t="s">
        <v>1175</v>
      </c>
      <c r="D202" s="440">
        <v>220175435</v>
      </c>
      <c r="E202" s="441" t="s">
        <v>401</v>
      </c>
      <c r="F202" s="443" t="s">
        <v>402</v>
      </c>
      <c r="G202" s="32">
        <v>2</v>
      </c>
      <c r="H202" s="32" t="s">
        <v>69</v>
      </c>
      <c r="I202" s="31">
        <v>79</v>
      </c>
      <c r="W202" s="2" t="s">
        <v>1430</v>
      </c>
      <c r="AC202" s="2">
        <f t="shared" ca="1" si="14"/>
        <v>42</v>
      </c>
      <c r="AD202" s="2" t="e">
        <f t="shared" ca="1" si="15"/>
        <v>#VALUE!</v>
      </c>
      <c r="AE202" s="2">
        <f t="shared" ca="1" si="16"/>
        <v>42</v>
      </c>
      <c r="AF202" s="2" t="e">
        <f t="shared" ca="1" si="17"/>
        <v>#VALUE!</v>
      </c>
      <c r="AG202" s="34"/>
      <c r="AH202" s="34"/>
      <c r="AI202" s="46"/>
      <c r="AJ202" s="41"/>
      <c r="AK202" s="31"/>
    </row>
    <row r="203" spans="1:37" ht="32.4" customHeight="1">
      <c r="A203" s="31">
        <v>200</v>
      </c>
      <c r="B203" s="438">
        <v>34073</v>
      </c>
      <c r="C203" s="718" t="s">
        <v>2041</v>
      </c>
      <c r="D203" s="440">
        <v>220234391</v>
      </c>
      <c r="E203" s="441" t="s">
        <v>403</v>
      </c>
      <c r="F203" s="443" t="s">
        <v>404</v>
      </c>
      <c r="G203" s="32">
        <v>2</v>
      </c>
      <c r="H203" s="32" t="s">
        <v>69</v>
      </c>
      <c r="I203" s="31">
        <v>80</v>
      </c>
      <c r="W203" s="2" t="s">
        <v>1431</v>
      </c>
      <c r="AC203" s="2">
        <f t="shared" ca="1" si="14"/>
        <v>33</v>
      </c>
      <c r="AD203" s="2" t="e">
        <f t="shared" ca="1" si="15"/>
        <v>#VALUE!</v>
      </c>
      <c r="AE203" s="2">
        <f t="shared" ca="1" si="16"/>
        <v>33</v>
      </c>
      <c r="AF203" s="2" t="e">
        <f t="shared" ca="1" si="17"/>
        <v>#VALUE!</v>
      </c>
      <c r="AG203" s="34"/>
      <c r="AH203" s="34">
        <v>29420</v>
      </c>
      <c r="AI203" s="46">
        <v>150678387</v>
      </c>
      <c r="AJ203" s="41" t="s">
        <v>1432</v>
      </c>
      <c r="AK203" s="31" t="s">
        <v>1433</v>
      </c>
    </row>
    <row r="204" spans="1:37" ht="32.4" customHeight="1">
      <c r="A204" s="31">
        <v>201</v>
      </c>
      <c r="B204" s="438">
        <v>35051</v>
      </c>
      <c r="C204" s="717" t="s">
        <v>1175</v>
      </c>
      <c r="D204" s="440" t="s">
        <v>1248</v>
      </c>
      <c r="E204" s="441" t="s">
        <v>405</v>
      </c>
      <c r="F204" s="443" t="s">
        <v>1249</v>
      </c>
      <c r="G204" s="32">
        <v>2</v>
      </c>
      <c r="H204" s="32" t="s">
        <v>69</v>
      </c>
      <c r="I204" s="31">
        <v>81</v>
      </c>
      <c r="W204" s="2" t="s">
        <v>1434</v>
      </c>
      <c r="X204" s="34"/>
      <c r="Y204" s="34"/>
      <c r="Z204" s="46"/>
      <c r="AA204" s="47"/>
      <c r="AB204" s="31"/>
      <c r="AC204" s="2">
        <f t="shared" ca="1" si="14"/>
        <v>31</v>
      </c>
      <c r="AD204" s="2" t="e">
        <f t="shared" ca="1" si="15"/>
        <v>#VALUE!</v>
      </c>
      <c r="AE204" s="2">
        <f t="shared" ca="1" si="16"/>
        <v>31</v>
      </c>
      <c r="AF204" s="2" t="e">
        <f t="shared" ca="1" si="17"/>
        <v>#VALUE!</v>
      </c>
      <c r="AG204" s="34">
        <v>34362</v>
      </c>
      <c r="AH204" s="34"/>
      <c r="AI204" s="46">
        <v>150523363</v>
      </c>
      <c r="AJ204" s="41" t="s">
        <v>1435</v>
      </c>
      <c r="AK204" s="31" t="s">
        <v>1436</v>
      </c>
    </row>
    <row r="205" spans="1:37" ht="32.4" customHeight="1">
      <c r="A205" s="31">
        <v>202</v>
      </c>
      <c r="B205" s="453">
        <v>37652</v>
      </c>
      <c r="C205" s="717" t="s">
        <v>1175</v>
      </c>
      <c r="D205" s="447" t="s">
        <v>1250</v>
      </c>
      <c r="E205" s="448" t="s">
        <v>407</v>
      </c>
      <c r="F205" s="482" t="s">
        <v>408</v>
      </c>
      <c r="G205" s="32">
        <v>2</v>
      </c>
      <c r="H205" s="32" t="s">
        <v>69</v>
      </c>
      <c r="I205" s="31">
        <v>82</v>
      </c>
      <c r="W205" s="2" t="s">
        <v>1427</v>
      </c>
      <c r="AC205" s="2">
        <f t="shared" ca="1" si="14"/>
        <v>23</v>
      </c>
      <c r="AD205" s="2" t="e">
        <f t="shared" ca="1" si="15"/>
        <v>#VALUE!</v>
      </c>
      <c r="AE205" s="2">
        <f t="shared" ca="1" si="16"/>
        <v>23</v>
      </c>
      <c r="AF205" s="2" t="e">
        <f t="shared" ca="1" si="17"/>
        <v>#VALUE!</v>
      </c>
      <c r="AG205" s="34"/>
      <c r="AH205" s="34">
        <v>30326</v>
      </c>
      <c r="AI205" s="46">
        <v>150326783</v>
      </c>
      <c r="AJ205" s="41" t="s">
        <v>1437</v>
      </c>
      <c r="AK205" s="31" t="s">
        <v>1438</v>
      </c>
    </row>
    <row r="206" spans="1:37" ht="32.4" customHeight="1">
      <c r="A206" s="31">
        <v>203</v>
      </c>
      <c r="B206" s="438">
        <v>35158</v>
      </c>
      <c r="C206" s="717" t="s">
        <v>1175</v>
      </c>
      <c r="D206" s="440">
        <v>180544724</v>
      </c>
      <c r="E206" s="441" t="s">
        <v>409</v>
      </c>
      <c r="F206" s="443" t="s">
        <v>410</v>
      </c>
      <c r="G206" s="32">
        <v>2</v>
      </c>
      <c r="H206" s="32" t="s">
        <v>69</v>
      </c>
      <c r="I206" s="31">
        <v>83</v>
      </c>
      <c r="W206" s="2" t="s">
        <v>604</v>
      </c>
      <c r="AC206" s="2">
        <f t="shared" ca="1" si="14"/>
        <v>30</v>
      </c>
      <c r="AD206" s="2" t="e">
        <f t="shared" ca="1" si="15"/>
        <v>#VALUE!</v>
      </c>
      <c r="AE206" s="2">
        <f t="shared" ca="1" si="16"/>
        <v>30</v>
      </c>
      <c r="AF206" s="2" t="e">
        <f t="shared" ca="1" si="17"/>
        <v>#VALUE!</v>
      </c>
      <c r="AG206" s="34">
        <v>35803</v>
      </c>
      <c r="AH206" s="34"/>
      <c r="AI206" s="46">
        <v>150662006</v>
      </c>
      <c r="AJ206" s="41" t="s">
        <v>646</v>
      </c>
      <c r="AK206" s="31" t="s">
        <v>647</v>
      </c>
    </row>
    <row r="207" spans="1:37" ht="32.4" customHeight="1">
      <c r="A207" s="31">
        <v>204</v>
      </c>
      <c r="B207" s="438">
        <v>35071</v>
      </c>
      <c r="C207" s="717" t="s">
        <v>1175</v>
      </c>
      <c r="D207" s="440">
        <v>220208916</v>
      </c>
      <c r="E207" s="441" t="s">
        <v>1870</v>
      </c>
      <c r="F207" s="443" t="s">
        <v>396</v>
      </c>
      <c r="G207" s="32">
        <v>2</v>
      </c>
      <c r="H207" s="32" t="s">
        <v>69</v>
      </c>
      <c r="I207" s="31">
        <v>84</v>
      </c>
      <c r="W207" s="2" t="s">
        <v>606</v>
      </c>
      <c r="AC207" s="2">
        <f t="shared" ca="1" si="14"/>
        <v>30</v>
      </c>
      <c r="AD207" s="2" t="e">
        <f t="shared" ca="1" si="15"/>
        <v>#VALUE!</v>
      </c>
      <c r="AE207" s="2">
        <f t="shared" ca="1" si="16"/>
        <v>30</v>
      </c>
      <c r="AF207" s="2" t="e">
        <f t="shared" ca="1" si="17"/>
        <v>#VALUE!</v>
      </c>
      <c r="AG207" s="34">
        <v>34029</v>
      </c>
      <c r="AH207" s="34"/>
      <c r="AI207" s="46">
        <v>150901289</v>
      </c>
      <c r="AJ207" s="41" t="s">
        <v>1439</v>
      </c>
      <c r="AK207" s="31" t="s">
        <v>1440</v>
      </c>
    </row>
    <row r="208" spans="1:37" ht="32.4" customHeight="1">
      <c r="A208" s="31">
        <v>205</v>
      </c>
      <c r="B208" s="438">
        <v>33063</v>
      </c>
      <c r="C208" s="718" t="s">
        <v>2041</v>
      </c>
      <c r="D208" s="440" t="s">
        <v>1253</v>
      </c>
      <c r="E208" s="441" t="s">
        <v>413</v>
      </c>
      <c r="F208" s="443" t="s">
        <v>414</v>
      </c>
      <c r="G208" s="32">
        <v>2</v>
      </c>
      <c r="H208" s="32" t="s">
        <v>69</v>
      </c>
      <c r="I208" s="31">
        <v>85</v>
      </c>
      <c r="J208" s="34" t="s">
        <v>1205</v>
      </c>
      <c r="K208" s="34">
        <v>31907</v>
      </c>
      <c r="L208" s="48" t="s">
        <v>1441</v>
      </c>
      <c r="M208" s="36" t="s">
        <v>1442</v>
      </c>
      <c r="N208" s="31" t="s">
        <v>1443</v>
      </c>
      <c r="W208" s="2" t="s">
        <v>637</v>
      </c>
      <c r="AC208" s="2">
        <f t="shared" ca="1" si="14"/>
        <v>36</v>
      </c>
      <c r="AD208" s="2" t="e">
        <f t="shared" ca="1" si="15"/>
        <v>#VALUE!</v>
      </c>
      <c r="AE208" s="2">
        <f t="shared" ca="1" si="16"/>
        <v>36</v>
      </c>
      <c r="AF208" s="2" t="e">
        <f t="shared" ca="1" si="17"/>
        <v>#VALUE!</v>
      </c>
      <c r="AG208" s="34"/>
      <c r="AH208" s="34">
        <v>35455</v>
      </c>
      <c r="AI208" s="46">
        <v>150522892</v>
      </c>
      <c r="AJ208" s="41" t="s">
        <v>1444</v>
      </c>
      <c r="AK208" s="31" t="s">
        <v>1445</v>
      </c>
    </row>
    <row r="209" spans="1:37" ht="32.4" customHeight="1">
      <c r="A209" s="31">
        <v>206</v>
      </c>
      <c r="B209" s="438">
        <v>35967</v>
      </c>
      <c r="C209" s="717" t="s">
        <v>1175</v>
      </c>
      <c r="D209" s="440">
        <v>150648385</v>
      </c>
      <c r="E209" s="441" t="s">
        <v>1872</v>
      </c>
      <c r="F209" s="443" t="s">
        <v>415</v>
      </c>
      <c r="G209" s="32">
        <v>2</v>
      </c>
      <c r="H209" s="32" t="s">
        <v>69</v>
      </c>
      <c r="I209" s="31">
        <v>86</v>
      </c>
      <c r="W209" s="2" t="s">
        <v>1446</v>
      </c>
      <c r="AC209" s="2">
        <f t="shared" ca="1" si="14"/>
        <v>28</v>
      </c>
      <c r="AD209" s="2" t="e">
        <f t="shared" ca="1" si="15"/>
        <v>#VALUE!</v>
      </c>
      <c r="AE209" s="2">
        <f t="shared" ca="1" si="16"/>
        <v>28</v>
      </c>
      <c r="AF209" s="2" t="e">
        <f t="shared" ca="1" si="17"/>
        <v>#VALUE!</v>
      </c>
      <c r="AG209" s="34"/>
      <c r="AH209" s="34">
        <v>36467</v>
      </c>
      <c r="AI209" s="46">
        <v>150886953</v>
      </c>
      <c r="AJ209" s="41" t="s">
        <v>1447</v>
      </c>
      <c r="AK209" s="31" t="s">
        <v>1448</v>
      </c>
    </row>
    <row r="210" spans="1:37" ht="32.4" customHeight="1">
      <c r="A210" s="31">
        <v>207</v>
      </c>
      <c r="B210" s="438">
        <v>34132</v>
      </c>
      <c r="C210" s="718" t="s">
        <v>2041</v>
      </c>
      <c r="D210" s="440">
        <v>150759229</v>
      </c>
      <c r="E210" s="441" t="s">
        <v>416</v>
      </c>
      <c r="F210" s="443" t="s">
        <v>417</v>
      </c>
      <c r="G210" s="32">
        <v>2</v>
      </c>
      <c r="H210" s="32" t="s">
        <v>69</v>
      </c>
      <c r="I210" s="31">
        <v>87</v>
      </c>
      <c r="W210" s="2" t="s">
        <v>1449</v>
      </c>
      <c r="AC210" s="2">
        <f t="shared" ca="1" si="14"/>
        <v>33</v>
      </c>
      <c r="AD210" s="2" t="e">
        <f t="shared" ca="1" si="15"/>
        <v>#VALUE!</v>
      </c>
      <c r="AE210" s="2">
        <f t="shared" ca="1" si="16"/>
        <v>33</v>
      </c>
      <c r="AF210" s="2" t="e">
        <f t="shared" ca="1" si="17"/>
        <v>#VALUE!</v>
      </c>
      <c r="AG210" s="34">
        <v>36998</v>
      </c>
      <c r="AH210" s="34"/>
      <c r="AI210" s="46">
        <v>150936612</v>
      </c>
      <c r="AJ210" s="41" t="s">
        <v>1450</v>
      </c>
      <c r="AK210" s="31" t="s">
        <v>1451</v>
      </c>
    </row>
    <row r="211" spans="1:37" ht="32.4" customHeight="1">
      <c r="A211" s="31">
        <v>208</v>
      </c>
      <c r="B211" s="438">
        <v>36202</v>
      </c>
      <c r="C211" s="717" t="s">
        <v>1175</v>
      </c>
      <c r="D211" s="440">
        <v>150836140</v>
      </c>
      <c r="E211" s="441" t="s">
        <v>1740</v>
      </c>
      <c r="F211" s="443" t="s">
        <v>418</v>
      </c>
      <c r="G211" s="32">
        <v>2</v>
      </c>
      <c r="H211" s="32" t="s">
        <v>69</v>
      </c>
      <c r="I211" s="31">
        <v>88</v>
      </c>
      <c r="W211" s="2" t="s">
        <v>1452</v>
      </c>
      <c r="AC211" s="2">
        <f t="shared" ca="1" si="14"/>
        <v>27</v>
      </c>
      <c r="AD211" s="2" t="e">
        <f t="shared" ca="1" si="15"/>
        <v>#VALUE!</v>
      </c>
      <c r="AE211" s="2">
        <f t="shared" ca="1" si="16"/>
        <v>27</v>
      </c>
      <c r="AF211" s="2" t="e">
        <f t="shared" ca="1" si="17"/>
        <v>#VALUE!</v>
      </c>
      <c r="AG211" s="60">
        <v>33615</v>
      </c>
      <c r="AH211" s="60"/>
      <c r="AI211" s="65">
        <v>150483976</v>
      </c>
      <c r="AJ211" s="66" t="s">
        <v>1453</v>
      </c>
      <c r="AK211" s="31" t="s">
        <v>1454</v>
      </c>
    </row>
    <row r="212" spans="1:37" ht="32.4" customHeight="1">
      <c r="A212" s="31">
        <v>209</v>
      </c>
      <c r="B212" s="438">
        <v>37357</v>
      </c>
      <c r="C212" s="718" t="s">
        <v>2041</v>
      </c>
      <c r="D212" s="440">
        <v>220208792</v>
      </c>
      <c r="E212" s="441" t="s">
        <v>2004</v>
      </c>
      <c r="F212" s="443" t="s">
        <v>2005</v>
      </c>
      <c r="G212" s="32">
        <v>2</v>
      </c>
      <c r="H212" s="32" t="s">
        <v>69</v>
      </c>
      <c r="I212" s="31">
        <v>89</v>
      </c>
      <c r="W212" s="2" t="s">
        <v>1455</v>
      </c>
      <c r="AC212" s="2">
        <f t="shared" ca="1" si="14"/>
        <v>24</v>
      </c>
      <c r="AD212" s="2" t="e">
        <f t="shared" ca="1" si="15"/>
        <v>#VALUE!</v>
      </c>
      <c r="AE212" s="2">
        <f t="shared" ca="1" si="16"/>
        <v>24</v>
      </c>
      <c r="AF212" s="2" t="e">
        <f t="shared" ca="1" si="17"/>
        <v>#VALUE!</v>
      </c>
      <c r="AG212" s="34">
        <v>38908</v>
      </c>
      <c r="AH212" s="34"/>
      <c r="AI212" s="46">
        <v>151013389</v>
      </c>
      <c r="AJ212" s="41" t="s">
        <v>1456</v>
      </c>
      <c r="AK212" s="31" t="s">
        <v>1457</v>
      </c>
    </row>
    <row r="213" spans="1:37" ht="32.4" customHeight="1">
      <c r="A213" s="31">
        <v>210</v>
      </c>
      <c r="B213" s="451">
        <v>31119</v>
      </c>
      <c r="C213" s="717" t="s">
        <v>1175</v>
      </c>
      <c r="D213" s="447">
        <v>150836155</v>
      </c>
      <c r="E213" s="448" t="s">
        <v>421</v>
      </c>
      <c r="F213" s="449" t="s">
        <v>422</v>
      </c>
      <c r="G213" s="32">
        <v>2</v>
      </c>
      <c r="H213" s="32" t="s">
        <v>69</v>
      </c>
      <c r="I213" s="31">
        <v>90</v>
      </c>
      <c r="W213" s="2" t="s">
        <v>1458</v>
      </c>
      <c r="AC213" s="2">
        <f t="shared" ca="1" si="14"/>
        <v>41</v>
      </c>
      <c r="AD213" s="2" t="e">
        <f t="shared" ca="1" si="15"/>
        <v>#VALUE!</v>
      </c>
      <c r="AE213" s="2">
        <f t="shared" ca="1" si="16"/>
        <v>41</v>
      </c>
      <c r="AF213" s="2" t="e">
        <f t="shared" ca="1" si="17"/>
        <v>#VALUE!</v>
      </c>
      <c r="AG213" s="34"/>
      <c r="AH213" s="34"/>
      <c r="AI213" s="46"/>
      <c r="AJ213" s="41"/>
      <c r="AK213" s="31"/>
    </row>
    <row r="214" spans="1:37" ht="32.4" customHeight="1">
      <c r="A214" s="31">
        <v>211</v>
      </c>
      <c r="B214" s="438">
        <v>30865</v>
      </c>
      <c r="C214" s="718" t="s">
        <v>2041</v>
      </c>
      <c r="D214" s="440" t="s">
        <v>1258</v>
      </c>
      <c r="E214" s="441" t="s">
        <v>423</v>
      </c>
      <c r="F214" s="443" t="s">
        <v>424</v>
      </c>
      <c r="G214" s="32">
        <v>2</v>
      </c>
      <c r="H214" s="32" t="s">
        <v>69</v>
      </c>
      <c r="I214" s="31">
        <v>91</v>
      </c>
      <c r="W214" s="2" t="s">
        <v>1459</v>
      </c>
      <c r="AC214" s="2">
        <f t="shared" ca="1" si="14"/>
        <v>42</v>
      </c>
      <c r="AD214" s="2" t="e">
        <f t="shared" ca="1" si="15"/>
        <v>#VALUE!</v>
      </c>
      <c r="AE214" s="2">
        <f t="shared" ca="1" si="16"/>
        <v>42</v>
      </c>
      <c r="AF214" s="2" t="e">
        <f t="shared" ca="1" si="17"/>
        <v>#VALUE!</v>
      </c>
      <c r="AG214" s="34">
        <v>35623</v>
      </c>
      <c r="AH214" s="34"/>
      <c r="AI214" s="46">
        <v>150574689</v>
      </c>
      <c r="AJ214" s="41" t="s">
        <v>1460</v>
      </c>
      <c r="AK214" s="31" t="s">
        <v>1461</v>
      </c>
    </row>
    <row r="215" spans="1:37" ht="32.4" customHeight="1">
      <c r="A215" s="31">
        <v>212</v>
      </c>
      <c r="B215" s="438">
        <v>30239</v>
      </c>
      <c r="C215" s="718" t="s">
        <v>2041</v>
      </c>
      <c r="D215" s="440">
        <v>150427619</v>
      </c>
      <c r="E215" s="441" t="s">
        <v>710</v>
      </c>
      <c r="F215" s="443" t="s">
        <v>711</v>
      </c>
      <c r="G215" s="32">
        <v>2</v>
      </c>
      <c r="H215" s="32" t="s">
        <v>69</v>
      </c>
      <c r="I215" s="31">
        <v>92</v>
      </c>
      <c r="W215" s="2" t="s">
        <v>835</v>
      </c>
      <c r="AC215" s="2">
        <f t="shared" ca="1" si="14"/>
        <v>44</v>
      </c>
      <c r="AD215" s="2" t="e">
        <f t="shared" ca="1" si="15"/>
        <v>#VALUE!</v>
      </c>
      <c r="AE215" s="2">
        <f t="shared" ca="1" si="16"/>
        <v>44</v>
      </c>
      <c r="AF215" s="2" t="e">
        <f t="shared" ca="1" si="17"/>
        <v>#VALUE!</v>
      </c>
      <c r="AG215" s="34"/>
      <c r="AH215" s="34">
        <v>36444</v>
      </c>
      <c r="AI215" s="46">
        <v>150779737</v>
      </c>
      <c r="AJ215" s="41" t="s">
        <v>1462</v>
      </c>
      <c r="AK215" s="31" t="s">
        <v>1463</v>
      </c>
    </row>
    <row r="216" spans="1:37" ht="32.4" customHeight="1">
      <c r="A216" s="31">
        <v>213</v>
      </c>
      <c r="B216" s="438">
        <v>31093</v>
      </c>
      <c r="C216" s="718" t="s">
        <v>2041</v>
      </c>
      <c r="D216" s="440">
        <v>220175370</v>
      </c>
      <c r="E216" s="441" t="s">
        <v>427</v>
      </c>
      <c r="F216" s="443" t="s">
        <v>428</v>
      </c>
      <c r="G216" s="32">
        <v>3</v>
      </c>
      <c r="H216" s="32" t="s">
        <v>69</v>
      </c>
      <c r="I216" s="33">
        <v>93</v>
      </c>
      <c r="W216" s="2" t="s">
        <v>1464</v>
      </c>
      <c r="AC216" s="2">
        <f t="shared" ca="1" si="14"/>
        <v>41</v>
      </c>
      <c r="AD216" s="2" t="e">
        <f t="shared" ca="1" si="15"/>
        <v>#VALUE!</v>
      </c>
      <c r="AE216" s="2">
        <f t="shared" ca="1" si="16"/>
        <v>41</v>
      </c>
      <c r="AF216" s="2" t="e">
        <f t="shared" ca="1" si="17"/>
        <v>#VALUE!</v>
      </c>
      <c r="AG216" s="34"/>
      <c r="AH216" s="34">
        <v>32298</v>
      </c>
      <c r="AI216" s="46">
        <v>150865251</v>
      </c>
      <c r="AJ216" s="41" t="s">
        <v>1465</v>
      </c>
      <c r="AK216" s="31" t="s">
        <v>1466</v>
      </c>
    </row>
    <row r="217" spans="1:37" ht="32.4" customHeight="1">
      <c r="A217" s="31">
        <v>214</v>
      </c>
      <c r="B217" s="438">
        <v>30419</v>
      </c>
      <c r="C217" s="718" t="s">
        <v>2041</v>
      </c>
      <c r="D217" s="440">
        <v>150354766</v>
      </c>
      <c r="E217" s="441" t="s">
        <v>429</v>
      </c>
      <c r="F217" s="443" t="s">
        <v>430</v>
      </c>
      <c r="G217" s="32">
        <v>3</v>
      </c>
      <c r="H217" s="32" t="s">
        <v>69</v>
      </c>
      <c r="I217" s="31">
        <v>94</v>
      </c>
      <c r="W217" s="2" t="s">
        <v>1467</v>
      </c>
      <c r="X217" s="34">
        <v>31093</v>
      </c>
      <c r="Y217" s="34"/>
      <c r="Z217" s="46" t="s">
        <v>1468</v>
      </c>
      <c r="AA217" s="47" t="s">
        <v>1469</v>
      </c>
      <c r="AB217" s="31" t="s">
        <v>1467</v>
      </c>
      <c r="AC217" s="2">
        <f t="shared" ca="1" si="14"/>
        <v>43</v>
      </c>
      <c r="AD217" s="2" t="e">
        <f t="shared" ca="1" si="15"/>
        <v>#VALUE!</v>
      </c>
      <c r="AE217" s="2">
        <f t="shared" ca="1" si="16"/>
        <v>43</v>
      </c>
      <c r="AF217" s="2" t="e">
        <f t="shared" ca="1" si="17"/>
        <v>#VALUE!</v>
      </c>
      <c r="AG217" s="34">
        <v>39063</v>
      </c>
      <c r="AH217" s="34"/>
      <c r="AI217" s="46">
        <v>151041993</v>
      </c>
      <c r="AJ217" s="41" t="s">
        <v>1470</v>
      </c>
      <c r="AK217" s="31" t="s">
        <v>1471</v>
      </c>
    </row>
    <row r="218" spans="1:37" ht="32.4" customHeight="1">
      <c r="A218" s="31">
        <v>215</v>
      </c>
      <c r="B218" s="438">
        <v>30073</v>
      </c>
      <c r="C218" s="718" t="s">
        <v>2041</v>
      </c>
      <c r="D218" s="440">
        <v>150853546</v>
      </c>
      <c r="E218" s="441" t="s">
        <v>431</v>
      </c>
      <c r="F218" s="443" t="s">
        <v>432</v>
      </c>
      <c r="G218" s="32">
        <v>3</v>
      </c>
      <c r="H218" s="32" t="s">
        <v>69</v>
      </c>
      <c r="I218" s="31">
        <v>95</v>
      </c>
      <c r="W218" s="2" t="s">
        <v>1472</v>
      </c>
      <c r="AC218" s="2">
        <f t="shared" ca="1" si="14"/>
        <v>44</v>
      </c>
      <c r="AD218" s="2" t="e">
        <f t="shared" ca="1" si="15"/>
        <v>#VALUE!</v>
      </c>
      <c r="AE218" s="2">
        <f t="shared" ca="1" si="16"/>
        <v>44</v>
      </c>
      <c r="AF218" s="2" t="e">
        <f t="shared" ca="1" si="17"/>
        <v>#VALUE!</v>
      </c>
    </row>
    <row r="219" spans="1:37" ht="32.4" customHeight="1">
      <c r="A219" s="31">
        <v>216</v>
      </c>
      <c r="B219" s="438">
        <v>32334</v>
      </c>
      <c r="C219" s="717" t="s">
        <v>1175</v>
      </c>
      <c r="D219" s="440">
        <v>220175369</v>
      </c>
      <c r="E219" s="441" t="s">
        <v>433</v>
      </c>
      <c r="F219" s="443" t="s">
        <v>434</v>
      </c>
      <c r="G219" s="32">
        <v>3</v>
      </c>
      <c r="H219" s="32" t="s">
        <v>69</v>
      </c>
      <c r="I219" s="31">
        <v>96</v>
      </c>
      <c r="W219" s="2" t="s">
        <v>1473</v>
      </c>
      <c r="AC219" s="2">
        <f t="shared" ca="1" si="14"/>
        <v>38</v>
      </c>
      <c r="AD219" s="2" t="e">
        <f t="shared" ca="1" si="15"/>
        <v>#VALUE!</v>
      </c>
      <c r="AE219" s="2">
        <f t="shared" ca="1" si="16"/>
        <v>38</v>
      </c>
      <c r="AF219" s="2" t="e">
        <f t="shared" ca="1" si="17"/>
        <v>#VALUE!</v>
      </c>
    </row>
    <row r="220" spans="1:37" ht="32.4" customHeight="1">
      <c r="A220" s="31">
        <v>217</v>
      </c>
      <c r="B220" s="438">
        <v>30051</v>
      </c>
      <c r="C220" s="717" t="s">
        <v>1175</v>
      </c>
      <c r="D220" s="440">
        <v>150114404</v>
      </c>
      <c r="E220" s="441" t="s">
        <v>435</v>
      </c>
      <c r="F220" s="443" t="s">
        <v>436</v>
      </c>
      <c r="G220" s="32">
        <v>3</v>
      </c>
      <c r="H220" s="32" t="s">
        <v>69</v>
      </c>
      <c r="I220" s="31">
        <v>97</v>
      </c>
      <c r="W220" s="2" t="s">
        <v>1474</v>
      </c>
      <c r="AC220" s="2">
        <f t="shared" ca="1" si="14"/>
        <v>44</v>
      </c>
      <c r="AD220" s="2" t="e">
        <f t="shared" ca="1" si="15"/>
        <v>#VALUE!</v>
      </c>
      <c r="AE220" s="2">
        <f t="shared" ca="1" si="16"/>
        <v>44</v>
      </c>
      <c r="AF220" s="2" t="e">
        <f t="shared" ca="1" si="17"/>
        <v>#VALUE!</v>
      </c>
    </row>
    <row r="221" spans="1:37" ht="32.4" customHeight="1">
      <c r="A221" s="31">
        <v>218</v>
      </c>
      <c r="B221" s="438">
        <v>33640</v>
      </c>
      <c r="C221" s="717" t="s">
        <v>1175</v>
      </c>
      <c r="D221" s="440">
        <v>150523523</v>
      </c>
      <c r="E221" s="441" t="s">
        <v>437</v>
      </c>
      <c r="F221" s="443" t="s">
        <v>438</v>
      </c>
      <c r="G221" s="32">
        <v>3</v>
      </c>
      <c r="H221" s="32" t="s">
        <v>69</v>
      </c>
      <c r="I221" s="31">
        <v>98</v>
      </c>
      <c r="J221" s="34">
        <v>36318</v>
      </c>
      <c r="K221" s="34" t="s">
        <v>1205</v>
      </c>
      <c r="L221" s="48" t="s">
        <v>1475</v>
      </c>
      <c r="M221" s="36" t="s">
        <v>1476</v>
      </c>
      <c r="N221" s="31" t="s">
        <v>1477</v>
      </c>
      <c r="W221" s="2" t="s">
        <v>1478</v>
      </c>
      <c r="X221" s="34">
        <v>37624</v>
      </c>
      <c r="Y221" s="34"/>
      <c r="Z221" s="46">
        <v>150935157</v>
      </c>
      <c r="AA221" s="47" t="s">
        <v>1479</v>
      </c>
      <c r="AB221" s="31" t="s">
        <v>1480</v>
      </c>
      <c r="AC221" s="2">
        <f t="shared" ca="1" si="14"/>
        <v>34</v>
      </c>
      <c r="AD221" s="2" t="e">
        <f t="shared" ca="1" si="15"/>
        <v>#VALUE!</v>
      </c>
      <c r="AE221" s="2">
        <f t="shared" ca="1" si="16"/>
        <v>34</v>
      </c>
      <c r="AF221" s="2" t="e">
        <f t="shared" ca="1" si="17"/>
        <v>#VALUE!</v>
      </c>
      <c r="AI221" s="25"/>
    </row>
    <row r="222" spans="1:37" ht="32.4" customHeight="1">
      <c r="A222" s="31">
        <v>219</v>
      </c>
      <c r="B222" s="438">
        <v>30137</v>
      </c>
      <c r="C222" s="717" t="s">
        <v>1175</v>
      </c>
      <c r="D222" s="440">
        <v>220175282</v>
      </c>
      <c r="E222" s="441" t="s">
        <v>439</v>
      </c>
      <c r="F222" s="443" t="s">
        <v>440</v>
      </c>
      <c r="G222" s="32">
        <v>3</v>
      </c>
      <c r="H222" s="32" t="s">
        <v>69</v>
      </c>
      <c r="I222" s="31">
        <v>99</v>
      </c>
      <c r="W222" s="2" t="s">
        <v>629</v>
      </c>
      <c r="AC222" s="2">
        <f t="shared" ca="1" si="14"/>
        <v>44</v>
      </c>
      <c r="AD222" s="2" t="e">
        <f t="shared" ca="1" si="15"/>
        <v>#VALUE!</v>
      </c>
      <c r="AE222" s="2">
        <f t="shared" ca="1" si="16"/>
        <v>44</v>
      </c>
      <c r="AF222" s="2" t="e">
        <f t="shared" ca="1" si="17"/>
        <v>#VALUE!</v>
      </c>
    </row>
    <row r="223" spans="1:37" ht="32.4" customHeight="1">
      <c r="A223" s="31">
        <v>220</v>
      </c>
      <c r="B223" s="438">
        <v>33796</v>
      </c>
      <c r="C223" s="718" t="s">
        <v>2041</v>
      </c>
      <c r="D223" s="440">
        <v>150462882</v>
      </c>
      <c r="E223" s="441" t="s">
        <v>441</v>
      </c>
      <c r="F223" s="443" t="s">
        <v>442</v>
      </c>
      <c r="G223" s="32">
        <v>3</v>
      </c>
      <c r="H223" s="32" t="s">
        <v>69</v>
      </c>
      <c r="I223" s="31">
        <v>100</v>
      </c>
      <c r="W223" s="2" t="s">
        <v>1481</v>
      </c>
      <c r="AC223" s="2">
        <f t="shared" ca="1" si="14"/>
        <v>34</v>
      </c>
      <c r="AD223" s="2" t="e">
        <f t="shared" ca="1" si="15"/>
        <v>#VALUE!</v>
      </c>
      <c r="AE223" s="2">
        <f t="shared" ca="1" si="16"/>
        <v>34</v>
      </c>
      <c r="AF223" s="2" t="e">
        <f t="shared" ca="1" si="17"/>
        <v>#VALUE!</v>
      </c>
    </row>
    <row r="224" spans="1:37" ht="32.4" customHeight="1">
      <c r="A224" s="31">
        <v>221</v>
      </c>
      <c r="B224" s="438">
        <v>29118</v>
      </c>
      <c r="C224" s="717" t="s">
        <v>1175</v>
      </c>
      <c r="D224" s="440">
        <v>150306224</v>
      </c>
      <c r="E224" s="441" t="s">
        <v>1873</v>
      </c>
      <c r="F224" s="443" t="s">
        <v>444</v>
      </c>
      <c r="G224" s="32">
        <v>3</v>
      </c>
      <c r="H224" s="32" t="s">
        <v>69</v>
      </c>
      <c r="I224" s="31">
        <v>101</v>
      </c>
      <c r="W224" s="2" t="s">
        <v>821</v>
      </c>
      <c r="AC224" s="2">
        <f t="shared" ca="1" si="14"/>
        <v>47</v>
      </c>
      <c r="AD224" s="2" t="e">
        <f t="shared" ca="1" si="15"/>
        <v>#VALUE!</v>
      </c>
      <c r="AE224" s="2">
        <f t="shared" ca="1" si="16"/>
        <v>47</v>
      </c>
      <c r="AF224" s="2" t="e">
        <f t="shared" ca="1" si="17"/>
        <v>#VALUE!</v>
      </c>
    </row>
    <row r="225" spans="1:37" ht="32.4" customHeight="1">
      <c r="A225" s="31">
        <v>222</v>
      </c>
      <c r="B225" s="469" t="s">
        <v>1269</v>
      </c>
      <c r="C225" s="717" t="s">
        <v>1175</v>
      </c>
      <c r="D225" s="440">
        <v>220234400</v>
      </c>
      <c r="E225" s="441" t="s">
        <v>1874</v>
      </c>
      <c r="F225" s="443" t="s">
        <v>446</v>
      </c>
      <c r="G225" s="32">
        <v>3</v>
      </c>
      <c r="H225" s="32" t="s">
        <v>69</v>
      </c>
      <c r="I225" s="31">
        <v>102</v>
      </c>
      <c r="W225" s="2" t="s">
        <v>1482</v>
      </c>
      <c r="X225" s="34">
        <v>34460</v>
      </c>
      <c r="Y225" s="34"/>
      <c r="Z225" s="46" t="s">
        <v>1483</v>
      </c>
      <c r="AA225" s="47" t="s">
        <v>1484</v>
      </c>
      <c r="AB225" s="31" t="s">
        <v>1482</v>
      </c>
      <c r="AC225" s="2">
        <f t="shared" ca="1" si="14"/>
        <v>36</v>
      </c>
      <c r="AD225" s="2" t="e">
        <f t="shared" ca="1" si="15"/>
        <v>#VALUE!</v>
      </c>
      <c r="AE225" s="2">
        <f t="shared" ca="1" si="16"/>
        <v>36</v>
      </c>
      <c r="AF225" s="2" t="e">
        <f t="shared" ca="1" si="17"/>
        <v>#VALUE!</v>
      </c>
    </row>
    <row r="226" spans="1:37" ht="32.4" customHeight="1">
      <c r="A226" s="31">
        <v>223</v>
      </c>
      <c r="B226" s="438">
        <v>29636</v>
      </c>
      <c r="C226" s="718" t="s">
        <v>2041</v>
      </c>
      <c r="D226" s="440" t="s">
        <v>1270</v>
      </c>
      <c r="E226" s="441" t="s">
        <v>447</v>
      </c>
      <c r="F226" s="443" t="s">
        <v>448</v>
      </c>
      <c r="G226" s="32">
        <v>3</v>
      </c>
      <c r="H226" s="32" t="s">
        <v>69</v>
      </c>
      <c r="I226" s="31">
        <v>103</v>
      </c>
      <c r="W226" s="2" t="s">
        <v>578</v>
      </c>
      <c r="AC226" s="2">
        <f t="shared" ca="1" si="14"/>
        <v>45</v>
      </c>
      <c r="AD226" s="2" t="e">
        <f t="shared" ca="1" si="15"/>
        <v>#VALUE!</v>
      </c>
      <c r="AE226" s="2">
        <f t="shared" ca="1" si="16"/>
        <v>45</v>
      </c>
      <c r="AF226" s="2" t="e">
        <f t="shared" ca="1" si="17"/>
        <v>#VALUE!</v>
      </c>
    </row>
    <row r="227" spans="1:37" ht="32.4" customHeight="1">
      <c r="A227" s="31">
        <v>224</v>
      </c>
      <c r="B227" s="438">
        <v>35695</v>
      </c>
      <c r="C227" s="717" t="s">
        <v>1175</v>
      </c>
      <c r="D227" s="440">
        <v>150588184</v>
      </c>
      <c r="E227" s="441" t="s">
        <v>449</v>
      </c>
      <c r="F227" s="443" t="s">
        <v>450</v>
      </c>
      <c r="G227" s="32">
        <v>3</v>
      </c>
      <c r="H227" s="32" t="s">
        <v>69</v>
      </c>
      <c r="I227" s="31">
        <v>104</v>
      </c>
      <c r="W227" s="2" t="s">
        <v>576</v>
      </c>
      <c r="AC227" s="2">
        <f t="shared" ca="1" si="14"/>
        <v>29</v>
      </c>
      <c r="AD227" s="2" t="e">
        <f t="shared" ca="1" si="15"/>
        <v>#VALUE!</v>
      </c>
      <c r="AE227" s="2">
        <f t="shared" ca="1" si="16"/>
        <v>29</v>
      </c>
      <c r="AF227" s="2" t="e">
        <f t="shared" ca="1" si="17"/>
        <v>#VALUE!</v>
      </c>
    </row>
    <row r="228" spans="1:37" ht="32.4" customHeight="1">
      <c r="A228" s="31">
        <v>225</v>
      </c>
      <c r="B228" s="438">
        <v>33121</v>
      </c>
      <c r="C228" s="718" t="s">
        <v>2041</v>
      </c>
      <c r="D228" s="440">
        <v>150421333</v>
      </c>
      <c r="E228" s="441" t="s">
        <v>451</v>
      </c>
      <c r="F228" s="443" t="s">
        <v>452</v>
      </c>
      <c r="G228" s="32">
        <v>3</v>
      </c>
      <c r="H228" s="32" t="s">
        <v>69</v>
      </c>
      <c r="I228" s="31">
        <v>105</v>
      </c>
      <c r="W228" s="2" t="s">
        <v>641</v>
      </c>
      <c r="AC228" s="2">
        <f t="shared" ca="1" si="14"/>
        <v>36</v>
      </c>
      <c r="AD228" s="2" t="e">
        <f t="shared" ca="1" si="15"/>
        <v>#VALUE!</v>
      </c>
      <c r="AE228" s="2">
        <f t="shared" ca="1" si="16"/>
        <v>36</v>
      </c>
      <c r="AF228" s="2" t="e">
        <f t="shared" ca="1" si="17"/>
        <v>#VALUE!</v>
      </c>
    </row>
    <row r="229" spans="1:37" ht="32.4" customHeight="1">
      <c r="A229" s="31">
        <v>226</v>
      </c>
      <c r="B229" s="438">
        <v>36559</v>
      </c>
      <c r="C229" s="717" t="s">
        <v>1175</v>
      </c>
      <c r="D229" s="440">
        <v>220140704</v>
      </c>
      <c r="E229" s="441" t="s">
        <v>1786</v>
      </c>
      <c r="F229" s="443" t="s">
        <v>1214</v>
      </c>
      <c r="G229" s="32">
        <v>3</v>
      </c>
      <c r="H229" s="32" t="s">
        <v>69</v>
      </c>
      <c r="I229" s="31">
        <v>106</v>
      </c>
      <c r="W229" s="2" t="s">
        <v>655</v>
      </c>
      <c r="AC229" s="2">
        <f t="shared" ca="1" si="14"/>
        <v>26</v>
      </c>
      <c r="AD229" s="2" t="e">
        <f t="shared" ca="1" si="15"/>
        <v>#VALUE!</v>
      </c>
      <c r="AE229" s="2">
        <f t="shared" ca="1" si="16"/>
        <v>26</v>
      </c>
      <c r="AF229" s="2" t="e">
        <f t="shared" ca="1" si="17"/>
        <v>#VALUE!</v>
      </c>
    </row>
    <row r="230" spans="1:37" ht="32.4" customHeight="1">
      <c r="A230" s="31">
        <v>227</v>
      </c>
      <c r="B230" s="438">
        <v>34794</v>
      </c>
      <c r="C230" s="717" t="s">
        <v>1175</v>
      </c>
      <c r="D230" s="440">
        <v>220137727</v>
      </c>
      <c r="E230" s="441" t="s">
        <v>453</v>
      </c>
      <c r="F230" s="443" t="s">
        <v>454</v>
      </c>
      <c r="G230" s="32">
        <v>3</v>
      </c>
      <c r="H230" s="32" t="s">
        <v>69</v>
      </c>
      <c r="I230" s="31">
        <v>107</v>
      </c>
      <c r="J230" s="26"/>
      <c r="W230" s="2" t="s">
        <v>663</v>
      </c>
      <c r="AC230" s="2">
        <f t="shared" ca="1" si="14"/>
        <v>31</v>
      </c>
      <c r="AD230" s="2" t="e">
        <f t="shared" ca="1" si="15"/>
        <v>#VALUE!</v>
      </c>
      <c r="AE230" s="2">
        <f t="shared" ca="1" si="16"/>
        <v>31</v>
      </c>
      <c r="AF230" s="2" t="e">
        <f t="shared" ca="1" si="17"/>
        <v>#VALUE!</v>
      </c>
    </row>
    <row r="231" spans="1:37" ht="32.4" customHeight="1">
      <c r="A231" s="31">
        <v>228</v>
      </c>
      <c r="B231" s="438">
        <v>30919</v>
      </c>
      <c r="C231" s="717" t="s">
        <v>1175</v>
      </c>
      <c r="D231" s="440">
        <v>150868625</v>
      </c>
      <c r="E231" s="441" t="s">
        <v>455</v>
      </c>
      <c r="F231" s="443" t="s">
        <v>456</v>
      </c>
      <c r="G231" s="32">
        <v>3</v>
      </c>
      <c r="H231" s="32" t="s">
        <v>69</v>
      </c>
      <c r="I231" s="31">
        <v>108</v>
      </c>
      <c r="V231" s="2">
        <v>6</v>
      </c>
      <c r="W231" s="2" t="s">
        <v>1486</v>
      </c>
      <c r="X231" s="34"/>
      <c r="Y231" s="34"/>
      <c r="Z231" s="46"/>
      <c r="AA231" s="61"/>
      <c r="AB231" s="31"/>
      <c r="AC231" s="2">
        <f t="shared" ca="1" si="14"/>
        <v>42</v>
      </c>
      <c r="AD231" s="2" t="e">
        <f t="shared" ca="1" si="15"/>
        <v>#VALUE!</v>
      </c>
      <c r="AE231" s="2">
        <f t="shared" ca="1" si="16"/>
        <v>42</v>
      </c>
      <c r="AF231" s="2" t="e">
        <f t="shared" ca="1" si="17"/>
        <v>#VALUE!</v>
      </c>
    </row>
    <row r="232" spans="1:37" ht="32.4" customHeight="1">
      <c r="A232" s="31">
        <v>229</v>
      </c>
      <c r="B232" s="438">
        <v>30191</v>
      </c>
      <c r="C232" s="718" t="s">
        <v>2041</v>
      </c>
      <c r="D232" s="440" t="s">
        <v>1281</v>
      </c>
      <c r="E232" s="441" t="s">
        <v>457</v>
      </c>
      <c r="F232" s="443" t="s">
        <v>458</v>
      </c>
      <c r="G232" s="32">
        <v>3</v>
      </c>
      <c r="H232" s="32" t="s">
        <v>69</v>
      </c>
      <c r="I232" s="31">
        <v>109</v>
      </c>
      <c r="W232" s="2" t="s">
        <v>1487</v>
      </c>
      <c r="X232" s="34">
        <v>35951</v>
      </c>
      <c r="Y232" s="34"/>
      <c r="Z232" s="46">
        <v>150962794</v>
      </c>
      <c r="AA232" s="61" t="s">
        <v>1488</v>
      </c>
      <c r="AB232" s="31" t="s">
        <v>702</v>
      </c>
      <c r="AC232" s="2">
        <f t="shared" ca="1" si="14"/>
        <v>44</v>
      </c>
      <c r="AD232" s="2" t="e">
        <f t="shared" ca="1" si="15"/>
        <v>#VALUE!</v>
      </c>
      <c r="AE232" s="2">
        <f t="shared" ca="1" si="16"/>
        <v>44</v>
      </c>
      <c r="AF232" s="2" t="e">
        <f t="shared" ca="1" si="17"/>
        <v>#VALUE!</v>
      </c>
    </row>
    <row r="233" spans="1:37" ht="32.4" customHeight="1">
      <c r="A233" s="31">
        <v>230</v>
      </c>
      <c r="B233" s="438">
        <v>30106</v>
      </c>
      <c r="C233" s="717" t="s">
        <v>1175</v>
      </c>
      <c r="D233" s="440" t="s">
        <v>1282</v>
      </c>
      <c r="E233" s="441" t="s">
        <v>459</v>
      </c>
      <c r="F233" s="443" t="s">
        <v>460</v>
      </c>
      <c r="G233" s="32">
        <v>3</v>
      </c>
      <c r="H233" s="32" t="s">
        <v>69</v>
      </c>
      <c r="I233" s="31">
        <v>110</v>
      </c>
      <c r="W233" s="2" t="s">
        <v>797</v>
      </c>
      <c r="X233" s="34">
        <v>36535</v>
      </c>
      <c r="Y233" s="34"/>
      <c r="Z233" s="46" t="s">
        <v>1489</v>
      </c>
      <c r="AA233" s="61" t="s">
        <v>1490</v>
      </c>
      <c r="AB233" s="31" t="s">
        <v>1491</v>
      </c>
      <c r="AC233" s="2">
        <f t="shared" ca="1" si="14"/>
        <v>44</v>
      </c>
      <c r="AD233" s="2" t="e">
        <f t="shared" ca="1" si="15"/>
        <v>#VALUE!</v>
      </c>
      <c r="AE233" s="2">
        <f t="shared" ca="1" si="16"/>
        <v>44</v>
      </c>
      <c r="AF233" s="2" t="e">
        <f t="shared" ca="1" si="17"/>
        <v>#VALUE!</v>
      </c>
    </row>
    <row r="234" spans="1:37" ht="32.4" customHeight="1">
      <c r="A234" s="31">
        <v>231</v>
      </c>
      <c r="B234" s="438">
        <v>32664</v>
      </c>
      <c r="C234" s="718" t="s">
        <v>2041</v>
      </c>
      <c r="D234" s="440">
        <v>220175275</v>
      </c>
      <c r="E234" s="441" t="s">
        <v>461</v>
      </c>
      <c r="F234" s="443" t="s">
        <v>462</v>
      </c>
      <c r="G234" s="32">
        <v>3</v>
      </c>
      <c r="H234" s="32" t="s">
        <v>69</v>
      </c>
      <c r="I234" s="31">
        <v>111</v>
      </c>
      <c r="W234" s="2" t="s">
        <v>798</v>
      </c>
      <c r="X234" s="34"/>
      <c r="Y234" s="34">
        <v>36717</v>
      </c>
      <c r="Z234" s="46">
        <v>220175280</v>
      </c>
      <c r="AA234" s="61" t="s">
        <v>1492</v>
      </c>
      <c r="AB234" s="31" t="s">
        <v>1493</v>
      </c>
      <c r="AC234" s="2">
        <f t="shared" ca="1" si="14"/>
        <v>37</v>
      </c>
      <c r="AD234" s="2" t="e">
        <f t="shared" ca="1" si="15"/>
        <v>#VALUE!</v>
      </c>
      <c r="AE234" s="2">
        <f t="shared" ca="1" si="16"/>
        <v>37</v>
      </c>
      <c r="AF234" s="2" t="e">
        <f t="shared" ca="1" si="17"/>
        <v>#VALUE!</v>
      </c>
    </row>
    <row r="235" spans="1:37" ht="32.4" customHeight="1">
      <c r="A235" s="31">
        <v>232</v>
      </c>
      <c r="B235" s="438">
        <v>35444</v>
      </c>
      <c r="C235" s="717" t="s">
        <v>1175</v>
      </c>
      <c r="D235" s="440">
        <v>150739908</v>
      </c>
      <c r="E235" s="441" t="s">
        <v>463</v>
      </c>
      <c r="F235" s="443" t="s">
        <v>464</v>
      </c>
      <c r="G235" s="32">
        <v>3</v>
      </c>
      <c r="H235" s="32" t="s">
        <v>69</v>
      </c>
      <c r="I235" s="31">
        <v>112</v>
      </c>
      <c r="W235" s="2" t="s">
        <v>1495</v>
      </c>
      <c r="X235" s="34">
        <v>35805</v>
      </c>
      <c r="Y235" s="34" t="s">
        <v>1205</v>
      </c>
      <c r="Z235" s="46" t="s">
        <v>1496</v>
      </c>
      <c r="AA235" s="61" t="s">
        <v>1497</v>
      </c>
      <c r="AB235" s="31" t="s">
        <v>1498</v>
      </c>
      <c r="AC235" s="2">
        <f t="shared" ca="1" si="14"/>
        <v>29</v>
      </c>
      <c r="AD235" s="2" t="e">
        <f t="shared" ca="1" si="15"/>
        <v>#VALUE!</v>
      </c>
      <c r="AE235" s="2">
        <f t="shared" ca="1" si="16"/>
        <v>29</v>
      </c>
      <c r="AF235" s="2" t="e">
        <f t="shared" ca="1" si="17"/>
        <v>#VALUE!</v>
      </c>
    </row>
    <row r="236" spans="1:37" ht="32.4" customHeight="1">
      <c r="A236" s="31">
        <v>233</v>
      </c>
      <c r="B236" s="438">
        <v>38402</v>
      </c>
      <c r="C236" s="718" t="s">
        <v>2041</v>
      </c>
      <c r="D236" s="440">
        <v>220239985</v>
      </c>
      <c r="E236" s="441" t="s">
        <v>1875</v>
      </c>
      <c r="F236" s="443" t="s">
        <v>466</v>
      </c>
      <c r="G236" s="32">
        <v>3</v>
      </c>
      <c r="H236" s="32" t="s">
        <v>69</v>
      </c>
      <c r="I236" s="31">
        <v>113</v>
      </c>
      <c r="W236" s="2" t="s">
        <v>1499</v>
      </c>
      <c r="X236" s="34">
        <v>37812</v>
      </c>
      <c r="Y236" s="34" t="s">
        <v>1205</v>
      </c>
      <c r="Z236" s="46" t="s">
        <v>1500</v>
      </c>
      <c r="AA236" s="61" t="s">
        <v>1501</v>
      </c>
      <c r="AB236" s="31" t="s">
        <v>1502</v>
      </c>
      <c r="AC236" s="2">
        <f t="shared" ca="1" si="14"/>
        <v>21</v>
      </c>
      <c r="AD236" s="2" t="e">
        <f t="shared" ca="1" si="15"/>
        <v>#VALUE!</v>
      </c>
      <c r="AE236" s="2">
        <f t="shared" ca="1" si="16"/>
        <v>21</v>
      </c>
      <c r="AF236" s="2" t="e">
        <f t="shared" ca="1" si="17"/>
        <v>#VALUE!</v>
      </c>
    </row>
    <row r="237" spans="1:37" ht="32.4" customHeight="1">
      <c r="A237" s="31">
        <v>234</v>
      </c>
      <c r="B237" s="469" t="s">
        <v>1284</v>
      </c>
      <c r="C237" s="718" t="s">
        <v>2041</v>
      </c>
      <c r="D237" s="440">
        <v>150127067</v>
      </c>
      <c r="E237" s="441" t="s">
        <v>467</v>
      </c>
      <c r="F237" s="443" t="s">
        <v>468</v>
      </c>
      <c r="G237" s="32">
        <v>3</v>
      </c>
      <c r="H237" s="32" t="s">
        <v>69</v>
      </c>
      <c r="I237" s="31">
        <v>114</v>
      </c>
      <c r="W237" s="2" t="s">
        <v>1503</v>
      </c>
      <c r="X237" s="34">
        <v>29952</v>
      </c>
      <c r="Y237" s="34" t="s">
        <v>1205</v>
      </c>
      <c r="Z237" s="46" t="s">
        <v>1504</v>
      </c>
      <c r="AA237" s="61" t="s">
        <v>1505</v>
      </c>
      <c r="AB237" s="31" t="s">
        <v>1228</v>
      </c>
      <c r="AC237" s="2">
        <f t="shared" ca="1" si="14"/>
        <v>45</v>
      </c>
      <c r="AD237" s="2" t="e">
        <f t="shared" ca="1" si="15"/>
        <v>#VALUE!</v>
      </c>
      <c r="AE237" s="2">
        <f t="shared" ca="1" si="16"/>
        <v>45</v>
      </c>
      <c r="AF237" s="2" t="e">
        <f t="shared" ca="1" si="17"/>
        <v>#VALUE!</v>
      </c>
    </row>
    <row r="238" spans="1:37" ht="32.4" customHeight="1">
      <c r="A238" s="31">
        <v>235</v>
      </c>
      <c r="B238" s="438">
        <v>32373</v>
      </c>
      <c r="C238" s="717" t="s">
        <v>1175</v>
      </c>
      <c r="D238" s="440">
        <v>150763411</v>
      </c>
      <c r="E238" s="441" t="s">
        <v>469</v>
      </c>
      <c r="F238" s="443" t="s">
        <v>470</v>
      </c>
      <c r="G238" s="32">
        <v>3</v>
      </c>
      <c r="H238" s="32" t="s">
        <v>69</v>
      </c>
      <c r="I238" s="31">
        <v>115</v>
      </c>
      <c r="W238" s="2" t="s">
        <v>1507</v>
      </c>
      <c r="X238" s="34"/>
      <c r="Y238" s="34">
        <v>38363</v>
      </c>
      <c r="Z238" s="46">
        <v>220220033</v>
      </c>
      <c r="AA238" s="61" t="s">
        <v>327</v>
      </c>
      <c r="AB238" s="31" t="s">
        <v>328</v>
      </c>
      <c r="AC238" s="2">
        <f t="shared" ca="1" si="14"/>
        <v>38</v>
      </c>
      <c r="AD238" s="2" t="e">
        <f t="shared" ca="1" si="15"/>
        <v>#VALUE!</v>
      </c>
      <c r="AE238" s="2">
        <f t="shared" ca="1" si="16"/>
        <v>38</v>
      </c>
      <c r="AF238" s="2" t="e">
        <f t="shared" ca="1" si="17"/>
        <v>#VALUE!</v>
      </c>
      <c r="AG238" s="34">
        <v>28692</v>
      </c>
      <c r="AH238" s="34"/>
      <c r="AI238" s="46">
        <v>150113315</v>
      </c>
      <c r="AJ238" s="41" t="s">
        <v>1508</v>
      </c>
      <c r="AK238" s="31" t="s">
        <v>1509</v>
      </c>
    </row>
    <row r="239" spans="1:37" ht="32.4" customHeight="1">
      <c r="A239" s="31">
        <v>236</v>
      </c>
      <c r="B239" s="438">
        <v>32035</v>
      </c>
      <c r="C239" s="718" t="s">
        <v>2041</v>
      </c>
      <c r="D239" s="440">
        <v>150763902</v>
      </c>
      <c r="E239" s="441" t="s">
        <v>471</v>
      </c>
      <c r="F239" s="443" t="s">
        <v>472</v>
      </c>
      <c r="G239" s="32">
        <v>3</v>
      </c>
      <c r="H239" s="32" t="s">
        <v>69</v>
      </c>
      <c r="I239" s="31">
        <v>116</v>
      </c>
      <c r="W239" s="2" t="s">
        <v>1510</v>
      </c>
      <c r="X239" s="34" t="s">
        <v>1205</v>
      </c>
      <c r="Y239" s="34">
        <v>32570</v>
      </c>
      <c r="Z239" s="46" t="s">
        <v>1511</v>
      </c>
      <c r="AA239" s="61" t="s">
        <v>1512</v>
      </c>
      <c r="AB239" s="31" t="s">
        <v>1513</v>
      </c>
      <c r="AC239" s="2">
        <f t="shared" ca="1" si="14"/>
        <v>39</v>
      </c>
      <c r="AD239" s="2" t="e">
        <f t="shared" ca="1" si="15"/>
        <v>#VALUE!</v>
      </c>
      <c r="AE239" s="2">
        <f t="shared" ca="1" si="16"/>
        <v>39</v>
      </c>
      <c r="AF239" s="2" t="e">
        <f t="shared" ca="1" si="17"/>
        <v>#VALUE!</v>
      </c>
      <c r="AG239" s="34">
        <v>35981</v>
      </c>
      <c r="AH239" s="34"/>
      <c r="AI239" s="46">
        <v>150740087</v>
      </c>
      <c r="AJ239" s="41" t="s">
        <v>722</v>
      </c>
      <c r="AK239" s="31" t="s">
        <v>723</v>
      </c>
    </row>
    <row r="240" spans="1:37" ht="32.4" customHeight="1">
      <c r="A240" s="31">
        <v>237</v>
      </c>
      <c r="B240" s="438">
        <v>30106</v>
      </c>
      <c r="C240" s="718" t="s">
        <v>2041</v>
      </c>
      <c r="D240" s="440" t="s">
        <v>1288</v>
      </c>
      <c r="E240" s="441" t="s">
        <v>473</v>
      </c>
      <c r="F240" s="443" t="s">
        <v>474</v>
      </c>
      <c r="G240" s="32">
        <v>3</v>
      </c>
      <c r="H240" s="32" t="s">
        <v>69</v>
      </c>
      <c r="I240" s="31">
        <v>117</v>
      </c>
      <c r="W240" s="2" t="s">
        <v>1515</v>
      </c>
      <c r="X240" s="34">
        <v>34461</v>
      </c>
      <c r="Y240" s="34"/>
      <c r="Z240" s="46">
        <v>150522980</v>
      </c>
      <c r="AA240" s="61" t="s">
        <v>1516</v>
      </c>
      <c r="AB240" s="31" t="s">
        <v>1517</v>
      </c>
      <c r="AC240" s="2">
        <f t="shared" ca="1" si="14"/>
        <v>44</v>
      </c>
      <c r="AD240" s="2" t="e">
        <f t="shared" ca="1" si="15"/>
        <v>#VALUE!</v>
      </c>
      <c r="AE240" s="2">
        <f t="shared" ca="1" si="16"/>
        <v>44</v>
      </c>
      <c r="AF240" s="2" t="e">
        <f t="shared" ca="1" si="17"/>
        <v>#VALUE!</v>
      </c>
      <c r="AG240" s="34"/>
      <c r="AH240" s="34">
        <v>32910</v>
      </c>
      <c r="AI240" s="46">
        <v>150429649</v>
      </c>
      <c r="AJ240" s="41" t="s">
        <v>1518</v>
      </c>
      <c r="AK240" s="31" t="s">
        <v>1519</v>
      </c>
    </row>
    <row r="241" spans="1:37" ht="32.4" customHeight="1">
      <c r="A241" s="31">
        <v>238</v>
      </c>
      <c r="B241" s="438">
        <v>39832</v>
      </c>
      <c r="C241" s="718" t="s">
        <v>2041</v>
      </c>
      <c r="D241" s="440">
        <v>151075284</v>
      </c>
      <c r="E241" s="441" t="s">
        <v>1876</v>
      </c>
      <c r="F241" s="443" t="s">
        <v>1711</v>
      </c>
      <c r="G241" s="32">
        <v>3</v>
      </c>
      <c r="H241" s="32" t="s">
        <v>69</v>
      </c>
      <c r="I241" s="31">
        <v>118</v>
      </c>
      <c r="W241" s="2" t="s">
        <v>1520</v>
      </c>
      <c r="X241" s="34">
        <v>33621</v>
      </c>
      <c r="Y241" s="34"/>
      <c r="Z241" s="46">
        <v>150577897</v>
      </c>
      <c r="AA241" s="61" t="s">
        <v>1521</v>
      </c>
      <c r="AB241" s="31" t="s">
        <v>1522</v>
      </c>
      <c r="AC241" s="2">
        <f t="shared" ca="1" si="14"/>
        <v>17</v>
      </c>
      <c r="AD241" s="2" t="e">
        <f t="shared" ca="1" si="15"/>
        <v>#VALUE!</v>
      </c>
      <c r="AE241" s="2">
        <f t="shared" ca="1" si="16"/>
        <v>17</v>
      </c>
      <c r="AF241" s="2" t="e">
        <f t="shared" ca="1" si="17"/>
        <v>#VALUE!</v>
      </c>
      <c r="AG241" s="34"/>
      <c r="AH241" s="34">
        <v>37696</v>
      </c>
      <c r="AI241" s="46">
        <v>150952485</v>
      </c>
      <c r="AJ241" s="41" t="s">
        <v>1523</v>
      </c>
      <c r="AK241" s="31" t="s">
        <v>1524</v>
      </c>
    </row>
    <row r="242" spans="1:37" ht="32.4" customHeight="1">
      <c r="A242" s="31">
        <v>239</v>
      </c>
      <c r="B242" s="438">
        <v>36600</v>
      </c>
      <c r="C242" s="718" t="s">
        <v>2041</v>
      </c>
      <c r="D242" s="440">
        <v>220263827</v>
      </c>
      <c r="E242" s="441" t="s">
        <v>1712</v>
      </c>
      <c r="F242" s="443" t="s">
        <v>1713</v>
      </c>
      <c r="G242" s="32">
        <v>3</v>
      </c>
      <c r="H242" s="32" t="s">
        <v>69</v>
      </c>
      <c r="I242" s="31">
        <v>119</v>
      </c>
      <c r="W242" s="2" t="s">
        <v>735</v>
      </c>
      <c r="X242" s="34"/>
      <c r="Y242" s="34">
        <v>35828</v>
      </c>
      <c r="Z242" s="46">
        <v>150927972</v>
      </c>
      <c r="AA242" s="61" t="s">
        <v>1525</v>
      </c>
      <c r="AB242" s="31" t="s">
        <v>1526</v>
      </c>
      <c r="AC242" s="2">
        <f t="shared" ca="1" si="14"/>
        <v>26</v>
      </c>
      <c r="AD242" s="2" t="e">
        <f t="shared" ca="1" si="15"/>
        <v>#VALUE!</v>
      </c>
      <c r="AE242" s="2">
        <f t="shared" ca="1" si="16"/>
        <v>26</v>
      </c>
      <c r="AF242" s="2" t="e">
        <f t="shared" ca="1" si="17"/>
        <v>#VALUE!</v>
      </c>
      <c r="AG242" s="34"/>
      <c r="AH242" s="34">
        <v>29286</v>
      </c>
      <c r="AI242" s="46">
        <v>150113456</v>
      </c>
      <c r="AJ242" s="41" t="s">
        <v>1527</v>
      </c>
      <c r="AK242" s="31" t="s">
        <v>1528</v>
      </c>
    </row>
    <row r="243" spans="1:37" ht="32.4" customHeight="1">
      <c r="A243" s="31">
        <v>240</v>
      </c>
      <c r="B243" s="438">
        <v>28869</v>
      </c>
      <c r="C243" s="718" t="s">
        <v>2041</v>
      </c>
      <c r="D243" s="440" t="s">
        <v>1289</v>
      </c>
      <c r="E243" s="441" t="s">
        <v>475</v>
      </c>
      <c r="F243" s="443" t="s">
        <v>476</v>
      </c>
      <c r="G243" s="32">
        <v>3</v>
      </c>
      <c r="H243" s="32" t="s">
        <v>69</v>
      </c>
      <c r="I243" s="31">
        <v>120</v>
      </c>
      <c r="W243" s="2" t="s">
        <v>737</v>
      </c>
      <c r="X243" s="34"/>
      <c r="Y243" s="34">
        <v>36898</v>
      </c>
      <c r="Z243" s="46">
        <v>220175419</v>
      </c>
      <c r="AA243" s="61" t="s">
        <v>1529</v>
      </c>
      <c r="AB243" s="31" t="s">
        <v>1530</v>
      </c>
      <c r="AC243" s="2">
        <f t="shared" ca="1" si="14"/>
        <v>47</v>
      </c>
      <c r="AD243" s="2" t="e">
        <f t="shared" ca="1" si="15"/>
        <v>#VALUE!</v>
      </c>
      <c r="AE243" s="2">
        <f t="shared" ca="1" si="16"/>
        <v>47</v>
      </c>
      <c r="AF243" s="2" t="e">
        <f t="shared" ca="1" si="17"/>
        <v>#VALUE!</v>
      </c>
      <c r="AG243" s="34">
        <v>29133</v>
      </c>
      <c r="AH243" s="34"/>
      <c r="AI243" s="46">
        <v>220230615</v>
      </c>
      <c r="AJ243" s="41" t="s">
        <v>1531</v>
      </c>
      <c r="AK243" s="31" t="s">
        <v>1532</v>
      </c>
    </row>
    <row r="244" spans="1:37" ht="32.4" customHeight="1">
      <c r="A244" s="31">
        <v>241</v>
      </c>
      <c r="B244" s="438">
        <v>36382</v>
      </c>
      <c r="C244" s="717" t="s">
        <v>1175</v>
      </c>
      <c r="D244" s="440" t="s">
        <v>1291</v>
      </c>
      <c r="E244" s="441" t="s">
        <v>477</v>
      </c>
      <c r="F244" s="443" t="s">
        <v>478</v>
      </c>
      <c r="G244" s="32">
        <v>3</v>
      </c>
      <c r="H244" s="32" t="s">
        <v>69</v>
      </c>
      <c r="I244" s="31">
        <v>121</v>
      </c>
      <c r="W244" s="2" t="s">
        <v>767</v>
      </c>
      <c r="X244" s="34"/>
      <c r="Y244" s="34"/>
      <c r="Z244" s="46"/>
      <c r="AA244" s="61"/>
      <c r="AB244" s="31"/>
      <c r="AC244" s="2">
        <f t="shared" ca="1" si="14"/>
        <v>27</v>
      </c>
      <c r="AD244" s="2" t="e">
        <f t="shared" ca="1" si="15"/>
        <v>#VALUE!</v>
      </c>
      <c r="AE244" s="2">
        <f t="shared" ca="1" si="16"/>
        <v>27</v>
      </c>
      <c r="AF244" s="2" t="e">
        <f t="shared" ca="1" si="17"/>
        <v>#VALUE!</v>
      </c>
      <c r="AG244" s="34"/>
      <c r="AH244" s="34">
        <v>31265</v>
      </c>
      <c r="AI244" s="46">
        <v>150772887</v>
      </c>
      <c r="AJ244" s="41" t="s">
        <v>1533</v>
      </c>
      <c r="AK244" s="31" t="s">
        <v>1534</v>
      </c>
    </row>
    <row r="245" spans="1:37" ht="32.4" customHeight="1">
      <c r="A245" s="31">
        <v>242</v>
      </c>
      <c r="B245" s="438">
        <v>34061</v>
      </c>
      <c r="C245" s="718" t="s">
        <v>2041</v>
      </c>
      <c r="D245" s="440">
        <v>150468334</v>
      </c>
      <c r="E245" s="441" t="s">
        <v>2048</v>
      </c>
      <c r="F245" s="443" t="s">
        <v>2049</v>
      </c>
      <c r="G245" s="32">
        <v>3</v>
      </c>
      <c r="H245" s="32" t="s">
        <v>69</v>
      </c>
      <c r="I245" s="31">
        <v>122</v>
      </c>
      <c r="W245" s="2" t="s">
        <v>1535</v>
      </c>
      <c r="X245" s="34"/>
      <c r="Y245" s="34"/>
      <c r="Z245" s="46"/>
      <c r="AA245" s="61"/>
      <c r="AB245" s="31"/>
      <c r="AC245" s="2">
        <f t="shared" ca="1" si="14"/>
        <v>33</v>
      </c>
      <c r="AD245" s="2" t="e">
        <f t="shared" ca="1" si="15"/>
        <v>#VALUE!</v>
      </c>
      <c r="AE245" s="2">
        <f t="shared" ca="1" si="16"/>
        <v>33</v>
      </c>
      <c r="AF245" s="2" t="e">
        <f t="shared" ca="1" si="17"/>
        <v>#VALUE!</v>
      </c>
      <c r="AG245" s="34">
        <v>37854</v>
      </c>
      <c r="AH245" s="34"/>
      <c r="AI245" s="46">
        <v>150952508</v>
      </c>
      <c r="AJ245" s="41" t="s">
        <v>1536</v>
      </c>
      <c r="AK245" s="31" t="s">
        <v>1537</v>
      </c>
    </row>
    <row r="246" spans="1:37" s="25" customFormat="1" ht="32.4" customHeight="1">
      <c r="A246" s="31">
        <v>243</v>
      </c>
      <c r="B246" s="438">
        <v>38475</v>
      </c>
      <c r="C246" s="718" t="s">
        <v>2041</v>
      </c>
      <c r="D246" s="440">
        <v>151052651</v>
      </c>
      <c r="E246" s="441" t="s">
        <v>1789</v>
      </c>
      <c r="F246" s="443" t="s">
        <v>1790</v>
      </c>
      <c r="G246" s="32">
        <v>3</v>
      </c>
      <c r="H246" s="32" t="s">
        <v>69</v>
      </c>
      <c r="I246" s="31">
        <v>123</v>
      </c>
      <c r="W246" s="25" t="s">
        <v>1538</v>
      </c>
      <c r="X246" s="34"/>
      <c r="Y246" s="34"/>
      <c r="Z246" s="46"/>
      <c r="AA246" s="61"/>
      <c r="AB246" s="31"/>
      <c r="AC246" s="2">
        <f t="shared" ca="1" si="14"/>
        <v>21</v>
      </c>
      <c r="AD246" s="2" t="e">
        <f t="shared" ca="1" si="15"/>
        <v>#VALUE!</v>
      </c>
      <c r="AE246" s="2">
        <f t="shared" ca="1" si="16"/>
        <v>21</v>
      </c>
      <c r="AF246" s="2" t="e">
        <f t="shared" ca="1" si="17"/>
        <v>#VALUE!</v>
      </c>
      <c r="AG246" s="34">
        <v>35381</v>
      </c>
      <c r="AH246" s="34"/>
      <c r="AI246" s="46">
        <v>150811668</v>
      </c>
      <c r="AJ246" s="41" t="s">
        <v>1539</v>
      </c>
      <c r="AK246" s="31" t="s">
        <v>1540</v>
      </c>
    </row>
    <row r="247" spans="1:37" ht="32.4" customHeight="1">
      <c r="A247" s="31">
        <v>244</v>
      </c>
      <c r="B247" s="438">
        <v>38563</v>
      </c>
      <c r="C247" s="717" t="s">
        <v>1175</v>
      </c>
      <c r="D247" s="440">
        <v>150983108</v>
      </c>
      <c r="E247" s="441" t="s">
        <v>2050</v>
      </c>
      <c r="F247" s="443" t="s">
        <v>2051</v>
      </c>
      <c r="G247" s="32">
        <v>3</v>
      </c>
      <c r="H247" s="32" t="s">
        <v>69</v>
      </c>
      <c r="I247" s="31">
        <v>124</v>
      </c>
      <c r="W247" s="2" t="s">
        <v>1541</v>
      </c>
      <c r="X247" s="34"/>
      <c r="Y247" s="34"/>
      <c r="Z247" s="46"/>
      <c r="AA247" s="61"/>
      <c r="AB247" s="31"/>
      <c r="AC247" s="2">
        <f t="shared" ca="1" si="14"/>
        <v>21</v>
      </c>
      <c r="AD247" s="2" t="e">
        <f t="shared" ca="1" si="15"/>
        <v>#VALUE!</v>
      </c>
      <c r="AE247" s="2">
        <f t="shared" ca="1" si="16"/>
        <v>21</v>
      </c>
      <c r="AF247" s="2" t="e">
        <f t="shared" ca="1" si="17"/>
        <v>#VALUE!</v>
      </c>
      <c r="AG247" s="34">
        <v>30362</v>
      </c>
      <c r="AH247" s="34"/>
      <c r="AI247" s="46">
        <v>150111007</v>
      </c>
      <c r="AJ247" s="41" t="s">
        <v>691</v>
      </c>
      <c r="AK247" s="31" t="s">
        <v>692</v>
      </c>
    </row>
    <row r="248" spans="1:37" ht="32.4" customHeight="1">
      <c r="A248" s="31">
        <v>245</v>
      </c>
      <c r="B248" s="438">
        <v>36630</v>
      </c>
      <c r="C248" s="718" t="s">
        <v>2041</v>
      </c>
      <c r="D248" s="440">
        <v>220140663</v>
      </c>
      <c r="E248" s="441" t="s">
        <v>481</v>
      </c>
      <c r="F248" s="443" t="s">
        <v>482</v>
      </c>
      <c r="G248" s="32">
        <v>3</v>
      </c>
      <c r="H248" s="32" t="s">
        <v>69</v>
      </c>
      <c r="I248" s="31">
        <v>125</v>
      </c>
      <c r="W248" s="2" t="s">
        <v>1491</v>
      </c>
      <c r="X248" s="34"/>
      <c r="Y248" s="34"/>
      <c r="Z248" s="46"/>
      <c r="AA248" s="61"/>
      <c r="AB248" s="31"/>
      <c r="AC248" s="2">
        <f t="shared" ca="1" si="14"/>
        <v>26</v>
      </c>
      <c r="AD248" s="2" t="e">
        <f t="shared" ca="1" si="15"/>
        <v>#VALUE!</v>
      </c>
      <c r="AE248" s="2">
        <f t="shared" ref="AE248:AE311" ca="1" si="18">IF(AC248&lt;=69,AC248,IF(AC248=70,1))</f>
        <v>26</v>
      </c>
      <c r="AF248" s="2" t="e">
        <f t="shared" ref="AF248:AF311" ca="1" si="19">IF(AD248&lt;=69,AD248,IF(AD248=70,1))</f>
        <v>#VALUE!</v>
      </c>
      <c r="AG248" s="34">
        <v>37820</v>
      </c>
      <c r="AH248" s="34"/>
      <c r="AI248" s="46">
        <v>150974087</v>
      </c>
      <c r="AJ248" s="41" t="s">
        <v>1542</v>
      </c>
      <c r="AK248" s="31" t="s">
        <v>649</v>
      </c>
    </row>
    <row r="249" spans="1:37" ht="32.4" customHeight="1">
      <c r="A249" s="31">
        <v>246</v>
      </c>
      <c r="B249" s="438">
        <v>32664</v>
      </c>
      <c r="C249" s="717" t="s">
        <v>1175</v>
      </c>
      <c r="D249" s="452" t="s">
        <v>1791</v>
      </c>
      <c r="E249" s="441" t="s">
        <v>1792</v>
      </c>
      <c r="F249" s="443" t="s">
        <v>1793</v>
      </c>
      <c r="G249" s="32">
        <v>3</v>
      </c>
      <c r="H249" s="32" t="s">
        <v>69</v>
      </c>
      <c r="I249" s="31">
        <v>126</v>
      </c>
      <c r="W249" s="2" t="s">
        <v>757</v>
      </c>
      <c r="X249" s="34"/>
      <c r="Y249" s="58"/>
      <c r="Z249" s="46"/>
      <c r="AA249" s="61"/>
      <c r="AB249" s="62"/>
      <c r="AC249" s="2">
        <f t="shared" ca="1" si="14"/>
        <v>37</v>
      </c>
      <c r="AD249" s="2" t="e">
        <f t="shared" ca="1" si="15"/>
        <v>#VALUE!</v>
      </c>
      <c r="AE249" s="2">
        <f t="shared" ca="1" si="18"/>
        <v>37</v>
      </c>
      <c r="AF249" s="2" t="e">
        <f t="shared" ca="1" si="19"/>
        <v>#VALUE!</v>
      </c>
      <c r="AG249" s="34">
        <v>37626</v>
      </c>
      <c r="AH249" s="34"/>
      <c r="AI249" s="46">
        <v>151041981</v>
      </c>
      <c r="AJ249" s="41" t="s">
        <v>1112</v>
      </c>
      <c r="AK249" s="31" t="s">
        <v>1113</v>
      </c>
    </row>
    <row r="250" spans="1:37" ht="32.4" customHeight="1">
      <c r="A250" s="31">
        <v>247</v>
      </c>
      <c r="B250" s="438">
        <v>34262</v>
      </c>
      <c r="C250" s="717" t="s">
        <v>1175</v>
      </c>
      <c r="D250" s="440">
        <v>150739945</v>
      </c>
      <c r="E250" s="441" t="s">
        <v>1877</v>
      </c>
      <c r="F250" s="443" t="s">
        <v>485</v>
      </c>
      <c r="G250" s="32">
        <v>3</v>
      </c>
      <c r="H250" s="32" t="s">
        <v>69</v>
      </c>
      <c r="I250" s="31">
        <v>127</v>
      </c>
      <c r="W250" s="2" t="s">
        <v>1543</v>
      </c>
      <c r="X250" s="34"/>
      <c r="Y250" s="34"/>
      <c r="Z250" s="46"/>
      <c r="AA250" s="61"/>
      <c r="AB250" s="31"/>
      <c r="AC250" s="2">
        <f t="shared" ca="1" si="14"/>
        <v>33</v>
      </c>
      <c r="AD250" s="2" t="e">
        <f t="shared" ca="1" si="15"/>
        <v>#VALUE!</v>
      </c>
      <c r="AE250" s="2">
        <f t="shared" ca="1" si="18"/>
        <v>33</v>
      </c>
      <c r="AF250" s="2" t="e">
        <f t="shared" ca="1" si="19"/>
        <v>#VALUE!</v>
      </c>
      <c r="AG250" s="34"/>
      <c r="AH250" s="58">
        <v>31458</v>
      </c>
      <c r="AI250" s="46" t="s">
        <v>1544</v>
      </c>
      <c r="AJ250" s="41" t="s">
        <v>683</v>
      </c>
      <c r="AK250" s="62" t="s">
        <v>684</v>
      </c>
    </row>
    <row r="251" spans="1:37" ht="32.4" customHeight="1">
      <c r="A251" s="31">
        <v>248</v>
      </c>
      <c r="B251" s="438">
        <v>34588</v>
      </c>
      <c r="C251" s="717" t="s">
        <v>1175</v>
      </c>
      <c r="D251" s="440">
        <v>150483985</v>
      </c>
      <c r="E251" s="441" t="s">
        <v>486</v>
      </c>
      <c r="F251" s="443" t="s">
        <v>487</v>
      </c>
      <c r="G251" s="32">
        <v>3</v>
      </c>
      <c r="H251" s="32" t="s">
        <v>69</v>
      </c>
      <c r="I251" s="31">
        <v>128</v>
      </c>
      <c r="W251" s="2" t="s">
        <v>745</v>
      </c>
      <c r="X251" s="34"/>
      <c r="Y251" s="34"/>
      <c r="Z251" s="46"/>
      <c r="AA251" s="61"/>
      <c r="AB251" s="31"/>
      <c r="AC251" s="2">
        <f t="shared" ca="1" si="14"/>
        <v>32</v>
      </c>
      <c r="AD251" s="2" t="e">
        <f t="shared" ca="1" si="15"/>
        <v>#VALUE!</v>
      </c>
      <c r="AE251" s="2">
        <f t="shared" ca="1" si="18"/>
        <v>32</v>
      </c>
      <c r="AF251" s="2" t="e">
        <f t="shared" ca="1" si="19"/>
        <v>#VALUE!</v>
      </c>
      <c r="AG251" s="34"/>
      <c r="AH251" s="34">
        <v>37135</v>
      </c>
      <c r="AI251" s="46">
        <v>150911062</v>
      </c>
      <c r="AJ251" s="41" t="s">
        <v>1106</v>
      </c>
      <c r="AK251" s="31" t="s">
        <v>1107</v>
      </c>
    </row>
    <row r="252" spans="1:37" ht="32.4" customHeight="1">
      <c r="A252" s="31">
        <v>249</v>
      </c>
      <c r="B252" s="438">
        <v>32143</v>
      </c>
      <c r="C252" s="718" t="s">
        <v>2041</v>
      </c>
      <c r="D252" s="452" t="s">
        <v>1794</v>
      </c>
      <c r="E252" s="441" t="s">
        <v>1795</v>
      </c>
      <c r="F252" s="443" t="s">
        <v>1796</v>
      </c>
      <c r="G252" s="32">
        <v>3</v>
      </c>
      <c r="H252" s="32" t="s">
        <v>69</v>
      </c>
      <c r="I252" s="31">
        <v>129</v>
      </c>
      <c r="W252" s="2" t="s">
        <v>1545</v>
      </c>
      <c r="X252" s="34"/>
      <c r="Y252" s="34"/>
      <c r="Z252" s="46"/>
      <c r="AA252" s="61"/>
      <c r="AB252" s="31"/>
      <c r="AC252" s="2">
        <f t="shared" ca="1" si="14"/>
        <v>38</v>
      </c>
      <c r="AD252" s="2" t="e">
        <f t="shared" ca="1" si="15"/>
        <v>#VALUE!</v>
      </c>
      <c r="AE252" s="2">
        <f t="shared" ca="1" si="18"/>
        <v>38</v>
      </c>
      <c r="AF252" s="2" t="e">
        <f t="shared" ca="1" si="19"/>
        <v>#VALUE!</v>
      </c>
      <c r="AG252" s="34">
        <v>34127</v>
      </c>
      <c r="AH252" s="34"/>
      <c r="AI252" s="46">
        <v>150468345</v>
      </c>
      <c r="AJ252" s="41" t="s">
        <v>1546</v>
      </c>
      <c r="AK252" s="31" t="s">
        <v>283</v>
      </c>
    </row>
    <row r="253" spans="1:37" ht="32.4" customHeight="1">
      <c r="A253" s="31">
        <v>250</v>
      </c>
      <c r="B253" s="438">
        <v>37817</v>
      </c>
      <c r="C253" s="718" t="s">
        <v>2041</v>
      </c>
      <c r="D253" s="440">
        <v>150952574</v>
      </c>
      <c r="E253" s="719" t="s">
        <v>479</v>
      </c>
      <c r="F253" s="720" t="s">
        <v>480</v>
      </c>
      <c r="G253" s="32">
        <v>3</v>
      </c>
      <c r="H253" s="32" t="s">
        <v>69</v>
      </c>
      <c r="I253" s="31">
        <v>130</v>
      </c>
      <c r="W253" s="2" t="s">
        <v>1498</v>
      </c>
      <c r="X253" s="34"/>
      <c r="Y253" s="34"/>
      <c r="Z253" s="46"/>
      <c r="AA253" s="61"/>
      <c r="AB253" s="31"/>
      <c r="AC253" s="2">
        <f t="shared" ca="1" si="14"/>
        <v>23</v>
      </c>
      <c r="AD253" s="2" t="e">
        <f t="shared" ca="1" si="15"/>
        <v>#VALUE!</v>
      </c>
      <c r="AE253" s="2">
        <f t="shared" ca="1" si="18"/>
        <v>23</v>
      </c>
      <c r="AF253" s="2" t="e">
        <f t="shared" ca="1" si="19"/>
        <v>#VALUE!</v>
      </c>
      <c r="AG253" s="34">
        <v>30870</v>
      </c>
      <c r="AH253" s="34"/>
      <c r="AI253" s="46">
        <v>150306965</v>
      </c>
      <c r="AJ253" s="41" t="s">
        <v>1547</v>
      </c>
      <c r="AK253" s="31" t="s">
        <v>1548</v>
      </c>
    </row>
    <row r="254" spans="1:37" ht="32.4" customHeight="1">
      <c r="A254" s="31">
        <v>251</v>
      </c>
      <c r="B254" s="438">
        <v>31837</v>
      </c>
      <c r="C254" s="718" t="s">
        <v>2041</v>
      </c>
      <c r="D254" s="440">
        <v>150347358</v>
      </c>
      <c r="E254" s="441" t="s">
        <v>490</v>
      </c>
      <c r="F254" s="443" t="s">
        <v>491</v>
      </c>
      <c r="G254" s="32">
        <v>3</v>
      </c>
      <c r="H254" s="32" t="s">
        <v>69</v>
      </c>
      <c r="I254" s="31">
        <v>131</v>
      </c>
      <c r="W254" s="2" t="s">
        <v>1502</v>
      </c>
      <c r="X254" s="34"/>
      <c r="Y254" s="34"/>
      <c r="Z254" s="46"/>
      <c r="AA254" s="61"/>
      <c r="AB254" s="31"/>
      <c r="AC254" s="2">
        <f t="shared" ca="1" si="14"/>
        <v>39</v>
      </c>
      <c r="AD254" s="2" t="e">
        <f t="shared" ca="1" si="15"/>
        <v>#VALUE!</v>
      </c>
      <c r="AE254" s="2">
        <f t="shared" ca="1" si="18"/>
        <v>39</v>
      </c>
      <c r="AF254" s="2" t="e">
        <f t="shared" ca="1" si="19"/>
        <v>#VALUE!</v>
      </c>
    </row>
    <row r="255" spans="1:37" ht="32.4" customHeight="1">
      <c r="A255" s="31">
        <v>252</v>
      </c>
      <c r="B255" s="438">
        <v>34093</v>
      </c>
      <c r="C255" s="718" t="s">
        <v>2041</v>
      </c>
      <c r="D255" s="440" t="s">
        <v>1310</v>
      </c>
      <c r="E255" s="441" t="s">
        <v>492</v>
      </c>
      <c r="F255" s="443" t="s">
        <v>493</v>
      </c>
      <c r="G255" s="32">
        <v>3</v>
      </c>
      <c r="H255" s="32" t="s">
        <v>69</v>
      </c>
      <c r="I255" s="31">
        <v>132</v>
      </c>
      <c r="W255" s="2" t="s">
        <v>1549</v>
      </c>
      <c r="X255" s="34"/>
      <c r="Y255" s="34"/>
      <c r="Z255" s="46"/>
      <c r="AA255" s="47"/>
      <c r="AB255" s="31"/>
      <c r="AC255" s="2">
        <f t="shared" ca="1" si="14"/>
        <v>33</v>
      </c>
      <c r="AD255" s="2" t="e">
        <f t="shared" ca="1" si="15"/>
        <v>#VALUE!</v>
      </c>
      <c r="AE255" s="2">
        <f t="shared" ca="1" si="18"/>
        <v>33</v>
      </c>
      <c r="AF255" s="2" t="e">
        <f t="shared" ca="1" si="19"/>
        <v>#VALUE!</v>
      </c>
    </row>
    <row r="256" spans="1:37" ht="32.4" customHeight="1">
      <c r="A256" s="31">
        <v>253</v>
      </c>
      <c r="B256" s="438">
        <v>31705</v>
      </c>
      <c r="C256" s="717" t="s">
        <v>1175</v>
      </c>
      <c r="D256" s="440">
        <v>150811767</v>
      </c>
      <c r="E256" s="441" t="s">
        <v>494</v>
      </c>
      <c r="F256" s="443" t="s">
        <v>495</v>
      </c>
      <c r="G256" s="32">
        <v>3</v>
      </c>
      <c r="H256" s="32" t="s">
        <v>69</v>
      </c>
      <c r="I256" s="31">
        <v>133</v>
      </c>
      <c r="W256" s="2" t="s">
        <v>1344</v>
      </c>
      <c r="X256" s="34"/>
      <c r="Y256" s="34"/>
      <c r="Z256" s="46"/>
      <c r="AA256" s="61"/>
      <c r="AB256" s="31"/>
      <c r="AC256" s="2">
        <f t="shared" ca="1" si="14"/>
        <v>40</v>
      </c>
      <c r="AD256" s="2" t="e">
        <f t="shared" ca="1" si="15"/>
        <v>#VALUE!</v>
      </c>
      <c r="AE256" s="2">
        <f t="shared" ca="1" si="18"/>
        <v>40</v>
      </c>
      <c r="AF256" s="2" t="e">
        <f t="shared" ca="1" si="19"/>
        <v>#VALUE!</v>
      </c>
    </row>
    <row r="257" spans="1:33" ht="32.4" customHeight="1">
      <c r="A257" s="31">
        <v>254</v>
      </c>
      <c r="B257" s="438">
        <v>35614</v>
      </c>
      <c r="C257" s="717" t="s">
        <v>1175</v>
      </c>
      <c r="D257" s="440">
        <v>150657945</v>
      </c>
      <c r="E257" s="441" t="s">
        <v>2006</v>
      </c>
      <c r="F257" s="443" t="s">
        <v>2007</v>
      </c>
      <c r="G257" s="32">
        <v>3</v>
      </c>
      <c r="H257" s="32" t="s">
        <v>69</v>
      </c>
      <c r="I257" s="31">
        <v>134</v>
      </c>
      <c r="J257" s="34" t="s">
        <v>1205</v>
      </c>
      <c r="K257" s="34">
        <v>29618</v>
      </c>
      <c r="L257" s="48" t="s">
        <v>1550</v>
      </c>
      <c r="M257" s="36" t="s">
        <v>1551</v>
      </c>
      <c r="N257" s="37" t="s">
        <v>1552</v>
      </c>
      <c r="W257" s="2" t="s">
        <v>747</v>
      </c>
      <c r="X257" s="34"/>
      <c r="Y257" s="34"/>
      <c r="Z257" s="46"/>
      <c r="AA257" s="61"/>
      <c r="AB257" s="31"/>
      <c r="AC257" s="2">
        <f t="shared" ca="1" si="14"/>
        <v>29</v>
      </c>
      <c r="AD257" s="2" t="e">
        <f t="shared" ca="1" si="15"/>
        <v>#VALUE!</v>
      </c>
      <c r="AE257" s="2">
        <f t="shared" ca="1" si="18"/>
        <v>29</v>
      </c>
      <c r="AF257" s="2" t="e">
        <f t="shared" ca="1" si="19"/>
        <v>#VALUE!</v>
      </c>
    </row>
    <row r="258" spans="1:33" ht="32.4" customHeight="1">
      <c r="A258" s="31">
        <v>255</v>
      </c>
      <c r="B258" s="438">
        <v>30854</v>
      </c>
      <c r="C258" s="717" t="s">
        <v>1175</v>
      </c>
      <c r="D258" s="440">
        <v>220175379</v>
      </c>
      <c r="E258" s="441" t="s">
        <v>498</v>
      </c>
      <c r="F258" s="443" t="s">
        <v>499</v>
      </c>
      <c r="G258" s="32">
        <v>3</v>
      </c>
      <c r="H258" s="32" t="s">
        <v>69</v>
      </c>
      <c r="I258" s="31">
        <v>135</v>
      </c>
      <c r="W258" s="2" t="s">
        <v>1553</v>
      </c>
      <c r="X258" s="34"/>
      <c r="Y258" s="34"/>
      <c r="Z258" s="46"/>
      <c r="AA258" s="61"/>
      <c r="AB258" s="31"/>
      <c r="AC258" s="2">
        <f t="shared" ca="1" si="14"/>
        <v>42</v>
      </c>
      <c r="AD258" s="2" t="e">
        <f t="shared" ca="1" si="15"/>
        <v>#VALUE!</v>
      </c>
      <c r="AE258" s="2">
        <f t="shared" ca="1" si="18"/>
        <v>42</v>
      </c>
      <c r="AF258" s="2" t="e">
        <f t="shared" ca="1" si="19"/>
        <v>#VALUE!</v>
      </c>
    </row>
    <row r="259" spans="1:33" ht="32.4" customHeight="1">
      <c r="A259" s="31">
        <v>256</v>
      </c>
      <c r="B259" s="469" t="s">
        <v>1315</v>
      </c>
      <c r="C259" s="717" t="s">
        <v>1175</v>
      </c>
      <c r="D259" s="440">
        <v>220175396</v>
      </c>
      <c r="E259" s="441" t="s">
        <v>500</v>
      </c>
      <c r="F259" s="443" t="s">
        <v>501</v>
      </c>
      <c r="G259" s="32">
        <v>3</v>
      </c>
      <c r="H259" s="32" t="s">
        <v>69</v>
      </c>
      <c r="I259" s="31">
        <v>136</v>
      </c>
      <c r="W259" s="2" t="s">
        <v>990</v>
      </c>
      <c r="X259" s="34"/>
      <c r="Y259" s="34"/>
      <c r="Z259" s="46"/>
      <c r="AA259" s="61"/>
      <c r="AB259" s="31"/>
      <c r="AC259" s="2">
        <f t="shared" ca="1" si="14"/>
        <v>45</v>
      </c>
      <c r="AD259" s="2" t="e">
        <f t="shared" ca="1" si="15"/>
        <v>#VALUE!</v>
      </c>
      <c r="AE259" s="2">
        <f t="shared" ca="1" si="18"/>
        <v>45</v>
      </c>
      <c r="AF259" s="2" t="e">
        <f t="shared" ca="1" si="19"/>
        <v>#VALUE!</v>
      </c>
    </row>
    <row r="260" spans="1:33" ht="32.4" customHeight="1">
      <c r="A260" s="31">
        <v>257</v>
      </c>
      <c r="B260" s="438">
        <v>37820</v>
      </c>
      <c r="C260" s="718" t="s">
        <v>2041</v>
      </c>
      <c r="D260" s="440">
        <v>150974087</v>
      </c>
      <c r="E260" s="441" t="s">
        <v>648</v>
      </c>
      <c r="F260" s="443" t="s">
        <v>649</v>
      </c>
      <c r="G260" s="32">
        <v>6</v>
      </c>
      <c r="H260" s="32" t="s">
        <v>69</v>
      </c>
      <c r="I260" s="33">
        <v>215</v>
      </c>
      <c r="W260" s="2" t="s">
        <v>1554</v>
      </c>
      <c r="X260" s="34"/>
      <c r="Y260" s="34"/>
      <c r="Z260" s="46"/>
      <c r="AA260" s="61"/>
      <c r="AB260" s="31"/>
      <c r="AC260" s="2">
        <f t="shared" ref="AC260:AC323" ca="1" si="20">YEAR(NOW())-YEAR(B260)</f>
        <v>23</v>
      </c>
      <c r="AD260" s="2" t="e">
        <f t="shared" ref="AD260:AD323" ca="1" si="21">YEAR(NOW())-YEAR(C260)</f>
        <v>#VALUE!</v>
      </c>
      <c r="AE260" s="2">
        <f t="shared" ca="1" si="18"/>
        <v>23</v>
      </c>
      <c r="AF260" s="2" t="e">
        <f t="shared" ca="1" si="19"/>
        <v>#VALUE!</v>
      </c>
    </row>
    <row r="261" spans="1:33" ht="32.4" customHeight="1">
      <c r="A261" s="31">
        <v>258</v>
      </c>
      <c r="B261" s="438">
        <v>35230</v>
      </c>
      <c r="C261" s="717" t="s">
        <v>1175</v>
      </c>
      <c r="D261" s="440">
        <v>150588170</v>
      </c>
      <c r="E261" s="441" t="s">
        <v>650</v>
      </c>
      <c r="F261" s="443" t="s">
        <v>651</v>
      </c>
      <c r="G261" s="32">
        <v>6</v>
      </c>
      <c r="H261" s="32" t="s">
        <v>69</v>
      </c>
      <c r="I261" s="425">
        <v>216</v>
      </c>
      <c r="W261" s="2" t="s">
        <v>755</v>
      </c>
      <c r="X261" s="34"/>
      <c r="Y261" s="34"/>
      <c r="Z261" s="46"/>
      <c r="AA261" s="61"/>
      <c r="AB261" s="31"/>
      <c r="AC261" s="2">
        <f t="shared" ca="1" si="20"/>
        <v>30</v>
      </c>
      <c r="AD261" s="2" t="e">
        <f t="shared" ca="1" si="21"/>
        <v>#VALUE!</v>
      </c>
      <c r="AE261" s="2">
        <f t="shared" ca="1" si="18"/>
        <v>30</v>
      </c>
      <c r="AF261" s="2" t="e">
        <f t="shared" ca="1" si="19"/>
        <v>#VALUE!</v>
      </c>
    </row>
    <row r="262" spans="1:33" ht="32.4" customHeight="1">
      <c r="A262" s="31">
        <v>259</v>
      </c>
      <c r="B262" s="438">
        <v>34028</v>
      </c>
      <c r="C262" s="718" t="s">
        <v>2041</v>
      </c>
      <c r="D262" s="440">
        <v>150522981</v>
      </c>
      <c r="E262" s="441" t="s">
        <v>652</v>
      </c>
      <c r="F262" s="443" t="s">
        <v>653</v>
      </c>
      <c r="G262" s="32">
        <v>6</v>
      </c>
      <c r="H262" s="32" t="s">
        <v>69</v>
      </c>
      <c r="I262" s="425">
        <v>217</v>
      </c>
      <c r="W262" s="2" t="s">
        <v>1555</v>
      </c>
      <c r="X262" s="34"/>
      <c r="Y262" s="34"/>
      <c r="Z262" s="46"/>
      <c r="AA262" s="61"/>
      <c r="AB262" s="31"/>
      <c r="AC262" s="2">
        <f t="shared" ca="1" si="20"/>
        <v>33</v>
      </c>
      <c r="AD262" s="2" t="e">
        <f t="shared" ca="1" si="21"/>
        <v>#VALUE!</v>
      </c>
      <c r="AE262" s="2">
        <f t="shared" ca="1" si="18"/>
        <v>33</v>
      </c>
      <c r="AF262" s="2" t="e">
        <f t="shared" ca="1" si="19"/>
        <v>#VALUE!</v>
      </c>
    </row>
    <row r="263" spans="1:33" ht="32.4" customHeight="1">
      <c r="A263" s="31">
        <v>260</v>
      </c>
      <c r="B263" s="438">
        <v>33996</v>
      </c>
      <c r="C263" s="718" t="s">
        <v>2041</v>
      </c>
      <c r="D263" s="440">
        <v>150468280</v>
      </c>
      <c r="E263" s="441" t="s">
        <v>654</v>
      </c>
      <c r="F263" s="443" t="s">
        <v>655</v>
      </c>
      <c r="G263" s="32">
        <v>6</v>
      </c>
      <c r="H263" s="32" t="s">
        <v>69</v>
      </c>
      <c r="I263" s="425">
        <v>218</v>
      </c>
      <c r="W263" s="2" t="s">
        <v>1556</v>
      </c>
      <c r="X263" s="34"/>
      <c r="Y263" s="34"/>
      <c r="Z263" s="46"/>
      <c r="AA263" s="61"/>
      <c r="AB263" s="31"/>
      <c r="AC263" s="2">
        <f t="shared" ca="1" si="20"/>
        <v>33</v>
      </c>
      <c r="AD263" s="2" t="e">
        <f t="shared" ca="1" si="21"/>
        <v>#VALUE!</v>
      </c>
      <c r="AE263" s="2">
        <f t="shared" ca="1" si="18"/>
        <v>33</v>
      </c>
      <c r="AF263" s="2" t="e">
        <f t="shared" ca="1" si="19"/>
        <v>#VALUE!</v>
      </c>
    </row>
    <row r="264" spans="1:33" ht="32.4" customHeight="1">
      <c r="A264" s="31">
        <v>261</v>
      </c>
      <c r="B264" s="438">
        <v>35802</v>
      </c>
      <c r="C264" s="718" t="s">
        <v>2041</v>
      </c>
      <c r="D264" s="440">
        <v>220176115</v>
      </c>
      <c r="E264" s="441" t="s">
        <v>656</v>
      </c>
      <c r="F264" s="443" t="s">
        <v>657</v>
      </c>
      <c r="G264" s="32">
        <v>6</v>
      </c>
      <c r="H264" s="32" t="s">
        <v>69</v>
      </c>
      <c r="I264" s="425">
        <v>219</v>
      </c>
      <c r="W264" s="2" t="s">
        <v>791</v>
      </c>
      <c r="X264" s="34"/>
      <c r="Y264" s="34"/>
      <c r="Z264" s="46"/>
      <c r="AA264" s="61"/>
      <c r="AB264" s="31"/>
      <c r="AC264" s="2">
        <f t="shared" ca="1" si="20"/>
        <v>28</v>
      </c>
      <c r="AD264" s="2" t="e">
        <f t="shared" ca="1" si="21"/>
        <v>#VALUE!</v>
      </c>
      <c r="AE264" s="2">
        <f t="shared" ca="1" si="18"/>
        <v>28</v>
      </c>
      <c r="AF264" s="2" t="e">
        <f t="shared" ca="1" si="19"/>
        <v>#VALUE!</v>
      </c>
    </row>
    <row r="265" spans="1:33" s="25" customFormat="1" ht="32.4" customHeight="1">
      <c r="A265" s="31">
        <v>262</v>
      </c>
      <c r="B265" s="438">
        <v>34736</v>
      </c>
      <c r="C265" s="717" t="s">
        <v>1175</v>
      </c>
      <c r="D265" s="440">
        <v>150522844</v>
      </c>
      <c r="E265" s="441" t="s">
        <v>1878</v>
      </c>
      <c r="F265" s="443" t="s">
        <v>659</v>
      </c>
      <c r="G265" s="32">
        <v>6</v>
      </c>
      <c r="H265" s="32" t="s">
        <v>69</v>
      </c>
      <c r="I265" s="425">
        <v>220</v>
      </c>
      <c r="W265" s="25" t="s">
        <v>789</v>
      </c>
      <c r="X265" s="34"/>
      <c r="Y265" s="34"/>
      <c r="Z265" s="46"/>
      <c r="AA265" s="61"/>
      <c r="AB265" s="31"/>
      <c r="AC265" s="2">
        <f t="shared" ca="1" si="20"/>
        <v>31</v>
      </c>
      <c r="AD265" s="2" t="e">
        <f t="shared" ca="1" si="21"/>
        <v>#VALUE!</v>
      </c>
      <c r="AE265" s="2">
        <f t="shared" ca="1" si="18"/>
        <v>31</v>
      </c>
      <c r="AF265" s="2" t="e">
        <f t="shared" ca="1" si="19"/>
        <v>#VALUE!</v>
      </c>
      <c r="AG265" s="2"/>
    </row>
    <row r="266" spans="1:33" ht="32.4" customHeight="1">
      <c r="A266" s="31">
        <v>263</v>
      </c>
      <c r="B266" s="438">
        <v>35807</v>
      </c>
      <c r="C266" s="718" t="s">
        <v>2041</v>
      </c>
      <c r="D266" s="440">
        <v>150648462</v>
      </c>
      <c r="E266" s="441" t="s">
        <v>660</v>
      </c>
      <c r="F266" s="443" t="s">
        <v>661</v>
      </c>
      <c r="G266" s="32">
        <v>6</v>
      </c>
      <c r="H266" s="32" t="s">
        <v>69</v>
      </c>
      <c r="I266" s="425">
        <v>221</v>
      </c>
      <c r="J266" s="26"/>
      <c r="W266" s="2" t="s">
        <v>1557</v>
      </c>
      <c r="X266" s="34"/>
      <c r="Y266" s="34"/>
      <c r="Z266" s="46"/>
      <c r="AA266" s="61"/>
      <c r="AB266" s="31"/>
      <c r="AC266" s="2">
        <f t="shared" ca="1" si="20"/>
        <v>28</v>
      </c>
      <c r="AD266" s="2" t="e">
        <f t="shared" ca="1" si="21"/>
        <v>#VALUE!</v>
      </c>
      <c r="AE266" s="2">
        <f t="shared" ca="1" si="18"/>
        <v>28</v>
      </c>
      <c r="AF266" s="2" t="e">
        <f t="shared" ca="1" si="19"/>
        <v>#VALUE!</v>
      </c>
    </row>
    <row r="267" spans="1:33" ht="32.4" customHeight="1">
      <c r="A267" s="31">
        <v>264</v>
      </c>
      <c r="B267" s="438">
        <v>34367</v>
      </c>
      <c r="C267" s="717" t="s">
        <v>1175</v>
      </c>
      <c r="D267" s="440">
        <v>150468203</v>
      </c>
      <c r="E267" s="441" t="s">
        <v>662</v>
      </c>
      <c r="F267" s="443" t="s">
        <v>663</v>
      </c>
      <c r="G267" s="32">
        <v>6</v>
      </c>
      <c r="H267" s="32" t="s">
        <v>69</v>
      </c>
      <c r="I267" s="425">
        <v>222</v>
      </c>
      <c r="J267" s="26"/>
      <c r="AC267" s="2">
        <f t="shared" ca="1" si="20"/>
        <v>32</v>
      </c>
      <c r="AD267" s="2" t="e">
        <f t="shared" ca="1" si="21"/>
        <v>#VALUE!</v>
      </c>
      <c r="AE267" s="2">
        <f t="shared" ca="1" si="18"/>
        <v>32</v>
      </c>
      <c r="AF267" s="2" t="e">
        <f t="shared" ca="1" si="19"/>
        <v>#VALUE!</v>
      </c>
    </row>
    <row r="268" spans="1:33" ht="32.4" customHeight="1">
      <c r="A268" s="31">
        <v>265</v>
      </c>
      <c r="B268" s="438">
        <v>28886</v>
      </c>
      <c r="C268" s="717" t="s">
        <v>1175</v>
      </c>
      <c r="D268" s="440" t="s">
        <v>1485</v>
      </c>
      <c r="E268" s="503" t="s">
        <v>1879</v>
      </c>
      <c r="F268" s="443" t="s">
        <v>665</v>
      </c>
      <c r="G268" s="32">
        <v>6</v>
      </c>
      <c r="H268" s="32" t="s">
        <v>69</v>
      </c>
      <c r="I268" s="425">
        <v>223</v>
      </c>
      <c r="J268" s="26"/>
      <c r="AC268" s="2">
        <f t="shared" ca="1" si="20"/>
        <v>47</v>
      </c>
      <c r="AD268" s="2" t="e">
        <f t="shared" ca="1" si="21"/>
        <v>#VALUE!</v>
      </c>
      <c r="AE268" s="2">
        <f t="shared" ca="1" si="18"/>
        <v>47</v>
      </c>
      <c r="AF268" s="2" t="e">
        <f t="shared" ca="1" si="19"/>
        <v>#VALUE!</v>
      </c>
    </row>
    <row r="269" spans="1:33" ht="32.4" customHeight="1">
      <c r="A269" s="31">
        <v>266</v>
      </c>
      <c r="B269" s="438">
        <v>28889</v>
      </c>
      <c r="C269" s="718" t="s">
        <v>2041</v>
      </c>
      <c r="D269" s="440">
        <v>150113509</v>
      </c>
      <c r="E269" s="441" t="s">
        <v>666</v>
      </c>
      <c r="F269" s="443" t="s">
        <v>667</v>
      </c>
      <c r="G269" s="32">
        <v>6</v>
      </c>
      <c r="H269" s="32" t="s">
        <v>69</v>
      </c>
      <c r="I269" s="425">
        <v>224</v>
      </c>
      <c r="J269" s="26"/>
      <c r="AC269" s="2">
        <f t="shared" ca="1" si="20"/>
        <v>47</v>
      </c>
      <c r="AD269" s="2" t="e">
        <f t="shared" ca="1" si="21"/>
        <v>#VALUE!</v>
      </c>
      <c r="AE269" s="2">
        <f t="shared" ca="1" si="18"/>
        <v>47</v>
      </c>
      <c r="AF269" s="2" t="e">
        <f t="shared" ca="1" si="19"/>
        <v>#VALUE!</v>
      </c>
    </row>
    <row r="270" spans="1:33" ht="32.4" customHeight="1">
      <c r="A270" s="31">
        <v>267</v>
      </c>
      <c r="B270" s="438">
        <v>38449</v>
      </c>
      <c r="C270" s="717" t="s">
        <v>1175</v>
      </c>
      <c r="D270" s="440">
        <v>150969641</v>
      </c>
      <c r="E270" s="441" t="s">
        <v>1945</v>
      </c>
      <c r="F270" s="443" t="s">
        <v>1946</v>
      </c>
      <c r="G270" s="32">
        <v>6</v>
      </c>
      <c r="H270" s="32" t="s">
        <v>69</v>
      </c>
      <c r="I270" s="425">
        <v>225</v>
      </c>
      <c r="J270" s="26"/>
      <c r="AC270" s="2">
        <f t="shared" ca="1" si="20"/>
        <v>21</v>
      </c>
      <c r="AD270" s="2" t="e">
        <f t="shared" ca="1" si="21"/>
        <v>#VALUE!</v>
      </c>
      <c r="AE270" s="2">
        <f t="shared" ca="1" si="18"/>
        <v>21</v>
      </c>
      <c r="AF270" s="2" t="e">
        <f t="shared" ca="1" si="19"/>
        <v>#VALUE!</v>
      </c>
    </row>
    <row r="271" spans="1:33" ht="32.4" customHeight="1">
      <c r="A271" s="31">
        <v>268</v>
      </c>
      <c r="B271" s="438">
        <v>37848</v>
      </c>
      <c r="C271" s="718" t="s">
        <v>2041</v>
      </c>
      <c r="D271" s="440">
        <v>150952552</v>
      </c>
      <c r="E271" s="441" t="s">
        <v>670</v>
      </c>
      <c r="F271" s="443" t="s">
        <v>671</v>
      </c>
      <c r="G271" s="32">
        <v>6</v>
      </c>
      <c r="H271" s="32" t="s">
        <v>69</v>
      </c>
      <c r="I271" s="425">
        <v>226</v>
      </c>
      <c r="J271" s="26"/>
      <c r="AC271" s="2">
        <f t="shared" ca="1" si="20"/>
        <v>23</v>
      </c>
      <c r="AD271" s="2" t="e">
        <f t="shared" ca="1" si="21"/>
        <v>#VALUE!</v>
      </c>
      <c r="AE271" s="2">
        <f t="shared" ca="1" si="18"/>
        <v>23</v>
      </c>
      <c r="AF271" s="2" t="e">
        <f t="shared" ca="1" si="19"/>
        <v>#VALUE!</v>
      </c>
    </row>
    <row r="272" spans="1:33" ht="32.4" customHeight="1">
      <c r="A272" s="31">
        <v>269</v>
      </c>
      <c r="B272" s="438">
        <v>34519</v>
      </c>
      <c r="C272" s="718" t="s">
        <v>2041</v>
      </c>
      <c r="D272" s="440">
        <v>150523233</v>
      </c>
      <c r="E272" s="441" t="s">
        <v>1880</v>
      </c>
      <c r="F272" s="443" t="s">
        <v>673</v>
      </c>
      <c r="G272" s="32">
        <v>6</v>
      </c>
      <c r="H272" s="32" t="s">
        <v>69</v>
      </c>
      <c r="I272" s="425">
        <v>227</v>
      </c>
      <c r="J272" s="26"/>
      <c r="AC272" s="2">
        <f t="shared" ca="1" si="20"/>
        <v>32</v>
      </c>
      <c r="AD272" s="2" t="e">
        <f t="shared" ca="1" si="21"/>
        <v>#VALUE!</v>
      </c>
      <c r="AE272" s="2">
        <f t="shared" ca="1" si="18"/>
        <v>32</v>
      </c>
      <c r="AF272" s="2" t="e">
        <f t="shared" ca="1" si="19"/>
        <v>#VALUE!</v>
      </c>
    </row>
    <row r="273" spans="1:37" ht="32.4" customHeight="1">
      <c r="A273" s="31">
        <v>270</v>
      </c>
      <c r="B273" s="438">
        <v>33312</v>
      </c>
      <c r="C273" s="718" t="s">
        <v>2041</v>
      </c>
      <c r="D273" s="440">
        <v>150523279</v>
      </c>
      <c r="E273" s="441" t="s">
        <v>674</v>
      </c>
      <c r="F273" s="443" t="s">
        <v>675</v>
      </c>
      <c r="G273" s="32">
        <v>6</v>
      </c>
      <c r="H273" s="32" t="s">
        <v>69</v>
      </c>
      <c r="I273" s="425">
        <v>228</v>
      </c>
      <c r="J273" s="26"/>
      <c r="AC273" s="2">
        <f t="shared" ca="1" si="20"/>
        <v>35</v>
      </c>
      <c r="AD273" s="2" t="e">
        <f t="shared" ca="1" si="21"/>
        <v>#VALUE!</v>
      </c>
      <c r="AE273" s="2">
        <f t="shared" ca="1" si="18"/>
        <v>35</v>
      </c>
      <c r="AF273" s="2" t="e">
        <f t="shared" ca="1" si="19"/>
        <v>#VALUE!</v>
      </c>
    </row>
    <row r="274" spans="1:37" ht="32.4" customHeight="1">
      <c r="A274" s="31">
        <v>271</v>
      </c>
      <c r="B274" s="438">
        <v>36418</v>
      </c>
      <c r="C274" s="718" t="s">
        <v>2041</v>
      </c>
      <c r="D274" s="440">
        <v>220234517</v>
      </c>
      <c r="E274" s="441" t="s">
        <v>676</v>
      </c>
      <c r="F274" s="443" t="s">
        <v>677</v>
      </c>
      <c r="G274" s="32">
        <v>6</v>
      </c>
      <c r="H274" s="32" t="s">
        <v>69</v>
      </c>
      <c r="I274" s="425">
        <v>229</v>
      </c>
      <c r="J274" s="26"/>
      <c r="AC274" s="2">
        <f t="shared" ca="1" si="20"/>
        <v>27</v>
      </c>
      <c r="AD274" s="2" t="e">
        <f t="shared" ca="1" si="21"/>
        <v>#VALUE!</v>
      </c>
      <c r="AE274" s="2">
        <f t="shared" ca="1" si="18"/>
        <v>27</v>
      </c>
      <c r="AF274" s="2" t="e">
        <f t="shared" ca="1" si="19"/>
        <v>#VALUE!</v>
      </c>
    </row>
    <row r="275" spans="1:37" ht="32.4" customHeight="1">
      <c r="A275" s="31">
        <v>272</v>
      </c>
      <c r="B275" s="438">
        <v>30123</v>
      </c>
      <c r="C275" s="717" t="s">
        <v>1175</v>
      </c>
      <c r="D275" s="440">
        <v>150611400</v>
      </c>
      <c r="E275" s="441" t="s">
        <v>1742</v>
      </c>
      <c r="F275" s="443" t="s">
        <v>678</v>
      </c>
      <c r="G275" s="32">
        <v>6</v>
      </c>
      <c r="H275" s="32" t="s">
        <v>69</v>
      </c>
      <c r="I275" s="425">
        <v>230</v>
      </c>
      <c r="J275" s="26"/>
      <c r="AC275" s="2">
        <f t="shared" ca="1" si="20"/>
        <v>44</v>
      </c>
      <c r="AD275" s="2" t="e">
        <f t="shared" ca="1" si="21"/>
        <v>#VALUE!</v>
      </c>
      <c r="AE275" s="2">
        <f t="shared" ca="1" si="18"/>
        <v>44</v>
      </c>
      <c r="AF275" s="2" t="e">
        <f t="shared" ca="1" si="19"/>
        <v>#VALUE!</v>
      </c>
      <c r="AG275" s="34"/>
      <c r="AH275" s="34"/>
      <c r="AI275" s="46"/>
      <c r="AJ275" s="72"/>
      <c r="AK275" s="73"/>
    </row>
    <row r="276" spans="1:37" ht="32.4" customHeight="1">
      <c r="A276" s="31">
        <v>273</v>
      </c>
      <c r="B276" s="438">
        <v>32181</v>
      </c>
      <c r="C276" s="717" t="s">
        <v>1175</v>
      </c>
      <c r="D276" s="440">
        <v>220140657</v>
      </c>
      <c r="E276" s="441" t="s">
        <v>679</v>
      </c>
      <c r="F276" s="443" t="s">
        <v>680</v>
      </c>
      <c r="G276" s="32">
        <v>6</v>
      </c>
      <c r="H276" s="32" t="s">
        <v>69</v>
      </c>
      <c r="I276" s="425">
        <v>231</v>
      </c>
      <c r="J276" s="26"/>
      <c r="AC276" s="2">
        <f t="shared" ca="1" si="20"/>
        <v>38</v>
      </c>
      <c r="AD276" s="2" t="e">
        <f t="shared" ca="1" si="21"/>
        <v>#VALUE!</v>
      </c>
      <c r="AE276" s="2">
        <f t="shared" ca="1" si="18"/>
        <v>38</v>
      </c>
      <c r="AF276" s="2" t="e">
        <f t="shared" ca="1" si="19"/>
        <v>#VALUE!</v>
      </c>
      <c r="AG276" s="34"/>
      <c r="AH276" s="34"/>
      <c r="AI276" s="46"/>
      <c r="AJ276" s="72"/>
      <c r="AK276" s="73"/>
    </row>
    <row r="277" spans="1:37" ht="32.4" customHeight="1">
      <c r="A277" s="31">
        <v>274</v>
      </c>
      <c r="B277" s="438">
        <v>31072</v>
      </c>
      <c r="C277" s="718" t="s">
        <v>2041</v>
      </c>
      <c r="D277" s="440" t="s">
        <v>1494</v>
      </c>
      <c r="E277" s="441" t="s">
        <v>681</v>
      </c>
      <c r="F277" s="443" t="s">
        <v>682</v>
      </c>
      <c r="G277" s="32">
        <v>6</v>
      </c>
      <c r="H277" s="32" t="s">
        <v>69</v>
      </c>
      <c r="I277" s="425">
        <v>232</v>
      </c>
      <c r="J277" s="26"/>
      <c r="AC277" s="2">
        <f t="shared" ca="1" si="20"/>
        <v>41</v>
      </c>
      <c r="AD277" s="2" t="e">
        <f t="shared" ca="1" si="21"/>
        <v>#VALUE!</v>
      </c>
      <c r="AE277" s="2">
        <f t="shared" ca="1" si="18"/>
        <v>41</v>
      </c>
      <c r="AF277" s="2" t="e">
        <f t="shared" ca="1" si="19"/>
        <v>#VALUE!</v>
      </c>
    </row>
    <row r="278" spans="1:37" ht="32.4" customHeight="1">
      <c r="A278" s="31">
        <v>275</v>
      </c>
      <c r="B278" s="439">
        <v>31458</v>
      </c>
      <c r="C278" s="717" t="s">
        <v>1175</v>
      </c>
      <c r="D278" s="440">
        <v>150306110</v>
      </c>
      <c r="E278" s="441" t="s">
        <v>683</v>
      </c>
      <c r="F278" s="442" t="s">
        <v>684</v>
      </c>
      <c r="G278" s="32">
        <v>6</v>
      </c>
      <c r="H278" s="32" t="s">
        <v>69</v>
      </c>
      <c r="I278" s="425">
        <v>233</v>
      </c>
      <c r="J278" s="26"/>
      <c r="AC278" s="2">
        <f t="shared" ca="1" si="20"/>
        <v>40</v>
      </c>
      <c r="AD278" s="2" t="e">
        <f t="shared" ca="1" si="21"/>
        <v>#VALUE!</v>
      </c>
      <c r="AE278" s="2">
        <f t="shared" ca="1" si="18"/>
        <v>40</v>
      </c>
      <c r="AF278" s="2" t="e">
        <f t="shared" ca="1" si="19"/>
        <v>#VALUE!</v>
      </c>
    </row>
    <row r="279" spans="1:37" ht="32.4" customHeight="1">
      <c r="A279" s="31">
        <v>276</v>
      </c>
      <c r="B279" s="438">
        <v>35144</v>
      </c>
      <c r="C279" s="717" t="s">
        <v>1175</v>
      </c>
      <c r="D279" s="440">
        <v>150769398</v>
      </c>
      <c r="E279" s="441" t="s">
        <v>1797</v>
      </c>
      <c r="F279" s="443" t="s">
        <v>1798</v>
      </c>
      <c r="G279" s="32">
        <v>6</v>
      </c>
      <c r="H279" s="32" t="s">
        <v>69</v>
      </c>
      <c r="I279" s="425">
        <v>234</v>
      </c>
      <c r="V279" s="2">
        <v>7</v>
      </c>
      <c r="W279" s="2" t="s">
        <v>1560</v>
      </c>
      <c r="X279" s="34"/>
      <c r="Y279" s="34"/>
      <c r="Z279" s="46"/>
      <c r="AA279" s="61"/>
      <c r="AB279" s="31"/>
      <c r="AC279" s="2">
        <f t="shared" ca="1" si="20"/>
        <v>30</v>
      </c>
      <c r="AD279" s="2" t="e">
        <f t="shared" ca="1" si="21"/>
        <v>#VALUE!</v>
      </c>
      <c r="AE279" s="2">
        <f t="shared" ca="1" si="18"/>
        <v>30</v>
      </c>
      <c r="AF279" s="2" t="e">
        <f t="shared" ca="1" si="19"/>
        <v>#VALUE!</v>
      </c>
    </row>
    <row r="280" spans="1:37" ht="32.4" customHeight="1">
      <c r="A280" s="31">
        <v>277</v>
      </c>
      <c r="B280" s="438">
        <v>30233</v>
      </c>
      <c r="C280" s="717" t="s">
        <v>1175</v>
      </c>
      <c r="D280" s="440" t="s">
        <v>1506</v>
      </c>
      <c r="E280" s="441" t="s">
        <v>685</v>
      </c>
      <c r="F280" s="443" t="s">
        <v>686</v>
      </c>
      <c r="G280" s="32">
        <v>6</v>
      </c>
      <c r="H280" s="32" t="s">
        <v>69</v>
      </c>
      <c r="I280" s="425">
        <v>235</v>
      </c>
      <c r="J280" s="34"/>
      <c r="K280" s="34">
        <v>33978</v>
      </c>
      <c r="L280" s="48">
        <v>150468426</v>
      </c>
      <c r="M280" s="36" t="s">
        <v>1561</v>
      </c>
      <c r="N280" s="37" t="s">
        <v>1562</v>
      </c>
      <c r="W280" s="2" t="s">
        <v>1090</v>
      </c>
      <c r="X280" s="70"/>
      <c r="Y280" s="49"/>
      <c r="Z280" s="32"/>
      <c r="AA280" s="61"/>
      <c r="AB280" s="35"/>
      <c r="AC280" s="2">
        <f t="shared" ca="1" si="20"/>
        <v>44</v>
      </c>
      <c r="AD280" s="2" t="e">
        <f t="shared" ca="1" si="21"/>
        <v>#VALUE!</v>
      </c>
      <c r="AE280" s="2">
        <f t="shared" ca="1" si="18"/>
        <v>44</v>
      </c>
      <c r="AF280" s="2" t="e">
        <f t="shared" ca="1" si="19"/>
        <v>#VALUE!</v>
      </c>
    </row>
    <row r="281" spans="1:37" ht="32.4" customHeight="1">
      <c r="A281" s="31">
        <v>278</v>
      </c>
      <c r="B281" s="438">
        <v>29281</v>
      </c>
      <c r="C281" s="718" t="s">
        <v>2041</v>
      </c>
      <c r="D281" s="440">
        <v>150806561</v>
      </c>
      <c r="E281" s="441" t="s">
        <v>687</v>
      </c>
      <c r="F281" s="443" t="s">
        <v>688</v>
      </c>
      <c r="G281" s="32">
        <v>6</v>
      </c>
      <c r="H281" s="32" t="s">
        <v>69</v>
      </c>
      <c r="I281" s="425">
        <v>236</v>
      </c>
      <c r="W281" s="2" t="s">
        <v>1563</v>
      </c>
      <c r="X281" s="71"/>
      <c r="Y281" s="42"/>
      <c r="Z281" s="43"/>
      <c r="AA281" s="61"/>
      <c r="AB281" s="31"/>
      <c r="AC281" s="2">
        <f t="shared" ca="1" si="20"/>
        <v>46</v>
      </c>
      <c r="AD281" s="2" t="e">
        <f t="shared" ca="1" si="21"/>
        <v>#VALUE!</v>
      </c>
      <c r="AE281" s="2">
        <f t="shared" ca="1" si="18"/>
        <v>46</v>
      </c>
      <c r="AF281" s="2" t="e">
        <f t="shared" ca="1" si="19"/>
        <v>#VALUE!</v>
      </c>
      <c r="AG281" s="71">
        <v>33215</v>
      </c>
      <c r="AH281" s="42"/>
      <c r="AI281" s="43">
        <v>150876936</v>
      </c>
      <c r="AJ281" s="41" t="s">
        <v>1564</v>
      </c>
      <c r="AK281" s="31" t="s">
        <v>1565</v>
      </c>
    </row>
    <row r="282" spans="1:37" ht="32.4" customHeight="1">
      <c r="A282" s="31">
        <v>279</v>
      </c>
      <c r="B282" s="438">
        <v>34648</v>
      </c>
      <c r="C282" s="718" t="s">
        <v>2041</v>
      </c>
      <c r="D282" s="483" t="s">
        <v>1514</v>
      </c>
      <c r="E282" s="441" t="s">
        <v>689</v>
      </c>
      <c r="F282" s="443" t="s">
        <v>690</v>
      </c>
      <c r="G282" s="32">
        <v>6</v>
      </c>
      <c r="H282" s="32" t="s">
        <v>69</v>
      </c>
      <c r="I282" s="425">
        <v>237</v>
      </c>
      <c r="W282" s="2" t="s">
        <v>1567</v>
      </c>
      <c r="X282" s="34"/>
      <c r="Y282" s="34"/>
      <c r="Z282" s="46"/>
      <c r="AA282" s="61"/>
      <c r="AB282" s="31"/>
      <c r="AC282" s="2">
        <f t="shared" ca="1" si="20"/>
        <v>32</v>
      </c>
      <c r="AD282" s="2" t="e">
        <f t="shared" ca="1" si="21"/>
        <v>#VALUE!</v>
      </c>
      <c r="AE282" s="2">
        <f t="shared" ca="1" si="18"/>
        <v>32</v>
      </c>
      <c r="AF282" s="2" t="e">
        <f t="shared" ca="1" si="19"/>
        <v>#VALUE!</v>
      </c>
      <c r="AG282" s="34">
        <v>29392</v>
      </c>
      <c r="AH282" s="34"/>
      <c r="AI282" s="46">
        <v>150306153</v>
      </c>
      <c r="AJ282" s="41" t="s">
        <v>1568</v>
      </c>
      <c r="AK282" s="31" t="s">
        <v>1569</v>
      </c>
    </row>
    <row r="283" spans="1:37" ht="32.4" customHeight="1">
      <c r="A283" s="31">
        <v>280</v>
      </c>
      <c r="B283" s="438">
        <v>29257</v>
      </c>
      <c r="C283" s="718" t="s">
        <v>2041</v>
      </c>
      <c r="D283" s="440">
        <v>150583177</v>
      </c>
      <c r="E283" s="441" t="s">
        <v>1799</v>
      </c>
      <c r="F283" s="443" t="s">
        <v>1800</v>
      </c>
      <c r="G283" s="32">
        <v>6</v>
      </c>
      <c r="H283" s="32" t="s">
        <v>69</v>
      </c>
      <c r="I283" s="425">
        <v>238</v>
      </c>
      <c r="W283" s="2" t="s">
        <v>1570</v>
      </c>
      <c r="X283" s="34"/>
      <c r="Y283" s="34"/>
      <c r="Z283" s="46"/>
      <c r="AA283" s="61"/>
      <c r="AB283" s="31"/>
      <c r="AC283" s="2">
        <f t="shared" ca="1" si="20"/>
        <v>46</v>
      </c>
      <c r="AD283" s="2" t="e">
        <f t="shared" ca="1" si="21"/>
        <v>#VALUE!</v>
      </c>
      <c r="AE283" s="2">
        <f t="shared" ca="1" si="18"/>
        <v>46</v>
      </c>
      <c r="AF283" s="2" t="e">
        <f t="shared" ca="1" si="19"/>
        <v>#VALUE!</v>
      </c>
      <c r="AG283" s="34">
        <v>38808</v>
      </c>
      <c r="AH283" s="34"/>
      <c r="AI283" s="46">
        <v>151013384</v>
      </c>
      <c r="AJ283" s="41" t="s">
        <v>1571</v>
      </c>
      <c r="AK283" s="31" t="s">
        <v>1572</v>
      </c>
    </row>
    <row r="284" spans="1:37" ht="32.4" customHeight="1">
      <c r="A284" s="31">
        <v>281</v>
      </c>
      <c r="B284" s="438">
        <v>30362</v>
      </c>
      <c r="C284" s="718" t="s">
        <v>2041</v>
      </c>
      <c r="D284" s="440">
        <v>150111007</v>
      </c>
      <c r="E284" s="441" t="s">
        <v>691</v>
      </c>
      <c r="F284" s="443" t="s">
        <v>692</v>
      </c>
      <c r="G284" s="32">
        <v>6</v>
      </c>
      <c r="H284" s="32" t="s">
        <v>69</v>
      </c>
      <c r="I284" s="425">
        <v>239</v>
      </c>
      <c r="W284" s="2" t="s">
        <v>1540</v>
      </c>
      <c r="X284" s="34"/>
      <c r="Y284" s="34"/>
      <c r="Z284" s="46"/>
      <c r="AA284" s="61"/>
      <c r="AB284" s="31"/>
      <c r="AC284" s="2">
        <f t="shared" ca="1" si="20"/>
        <v>43</v>
      </c>
      <c r="AD284" s="2" t="e">
        <f t="shared" ca="1" si="21"/>
        <v>#VALUE!</v>
      </c>
      <c r="AE284" s="2">
        <f t="shared" ca="1" si="18"/>
        <v>43</v>
      </c>
      <c r="AF284" s="2" t="e">
        <f t="shared" ca="1" si="19"/>
        <v>#VALUE!</v>
      </c>
      <c r="AG284" s="34">
        <v>31870</v>
      </c>
      <c r="AH284" s="34"/>
      <c r="AI284" s="46">
        <v>200220415</v>
      </c>
      <c r="AJ284" s="41" t="s">
        <v>1573</v>
      </c>
      <c r="AK284" t="s">
        <v>1574</v>
      </c>
    </row>
    <row r="285" spans="1:37" ht="32.4" customHeight="1">
      <c r="A285" s="31">
        <v>282</v>
      </c>
      <c r="B285" s="438">
        <v>30771</v>
      </c>
      <c r="C285" s="717" t="s">
        <v>1175</v>
      </c>
      <c r="D285" s="440">
        <v>150293157</v>
      </c>
      <c r="E285" s="441" t="s">
        <v>693</v>
      </c>
      <c r="F285" s="443" t="s">
        <v>694</v>
      </c>
      <c r="G285" s="32">
        <v>6</v>
      </c>
      <c r="H285" s="32" t="s">
        <v>69</v>
      </c>
      <c r="I285" s="425">
        <v>240</v>
      </c>
      <c r="W285" s="2" t="s">
        <v>1576</v>
      </c>
      <c r="X285" s="34"/>
      <c r="Y285" s="34"/>
      <c r="Z285" s="46"/>
      <c r="AA285" s="61"/>
      <c r="AB285" s="31"/>
      <c r="AC285" s="2">
        <f t="shared" ca="1" si="20"/>
        <v>42</v>
      </c>
      <c r="AD285" s="2" t="e">
        <f t="shared" ca="1" si="21"/>
        <v>#VALUE!</v>
      </c>
      <c r="AE285" s="2">
        <f t="shared" ca="1" si="18"/>
        <v>42</v>
      </c>
      <c r="AF285" s="2" t="e">
        <f t="shared" ca="1" si="19"/>
        <v>#VALUE!</v>
      </c>
      <c r="AG285" s="34"/>
      <c r="AH285" s="34">
        <v>34717</v>
      </c>
      <c r="AI285" s="46">
        <v>220234416</v>
      </c>
      <c r="AJ285" s="41" t="s">
        <v>1577</v>
      </c>
      <c r="AK285" s="31" t="s">
        <v>1246</v>
      </c>
    </row>
    <row r="286" spans="1:37" ht="32.4" customHeight="1">
      <c r="A286" s="31">
        <v>283</v>
      </c>
      <c r="B286" s="438">
        <v>36382</v>
      </c>
      <c r="C286" s="717" t="s">
        <v>1175</v>
      </c>
      <c r="D286" s="440">
        <v>150769393</v>
      </c>
      <c r="E286" s="441" t="s">
        <v>695</v>
      </c>
      <c r="F286" s="443" t="s">
        <v>696</v>
      </c>
      <c r="G286" s="32">
        <v>6</v>
      </c>
      <c r="H286" s="32" t="s">
        <v>69</v>
      </c>
      <c r="I286" s="425">
        <v>241</v>
      </c>
      <c r="W286" s="2" t="s">
        <v>1578</v>
      </c>
      <c r="X286" s="34"/>
      <c r="Y286" s="34"/>
      <c r="Z286" s="46"/>
      <c r="AA286" s="47"/>
      <c r="AB286" s="31"/>
      <c r="AC286" s="2">
        <f t="shared" ca="1" si="20"/>
        <v>27</v>
      </c>
      <c r="AD286" s="2" t="e">
        <f t="shared" ca="1" si="21"/>
        <v>#VALUE!</v>
      </c>
      <c r="AE286" s="2">
        <f t="shared" ca="1" si="18"/>
        <v>27</v>
      </c>
      <c r="AF286" s="2" t="e">
        <f t="shared" ca="1" si="19"/>
        <v>#VALUE!</v>
      </c>
      <c r="AG286" s="34"/>
      <c r="AH286" s="34">
        <v>34862</v>
      </c>
      <c r="AI286" s="46">
        <v>150522849</v>
      </c>
      <c r="AJ286" s="41" t="s">
        <v>1579</v>
      </c>
      <c r="AK286" s="31" t="s">
        <v>1580</v>
      </c>
    </row>
    <row r="287" spans="1:37" ht="32.4" customHeight="1">
      <c r="A287" s="31">
        <v>284</v>
      </c>
      <c r="B287" s="438">
        <v>36526</v>
      </c>
      <c r="C287" s="718" t="s">
        <v>2041</v>
      </c>
      <c r="D287" s="440">
        <v>150871914</v>
      </c>
      <c r="E287" s="484" t="s">
        <v>697</v>
      </c>
      <c r="F287" s="443" t="s">
        <v>698</v>
      </c>
      <c r="G287" s="32">
        <v>6</v>
      </c>
      <c r="H287" s="32" t="s">
        <v>69</v>
      </c>
      <c r="I287" s="425">
        <v>242</v>
      </c>
      <c r="W287" s="2" t="s">
        <v>856</v>
      </c>
      <c r="X287" s="34"/>
      <c r="Y287" s="34"/>
      <c r="Z287" s="46"/>
      <c r="AA287" s="47"/>
      <c r="AB287" s="31"/>
      <c r="AC287" s="2">
        <f t="shared" ca="1" si="20"/>
        <v>26</v>
      </c>
      <c r="AD287" s="2" t="e">
        <f t="shared" ca="1" si="21"/>
        <v>#VALUE!</v>
      </c>
      <c r="AE287" s="2">
        <f t="shared" ca="1" si="18"/>
        <v>26</v>
      </c>
      <c r="AF287" s="2" t="e">
        <f t="shared" ca="1" si="19"/>
        <v>#VALUE!</v>
      </c>
      <c r="AG287" s="34">
        <v>30114</v>
      </c>
      <c r="AH287" s="34"/>
      <c r="AI287" s="46">
        <v>150306154</v>
      </c>
      <c r="AJ287" s="41" t="s">
        <v>1581</v>
      </c>
      <c r="AK287" s="31" t="s">
        <v>1582</v>
      </c>
    </row>
    <row r="288" spans="1:37" ht="32.4" customHeight="1">
      <c r="A288" s="31">
        <v>285</v>
      </c>
      <c r="B288" s="438">
        <v>37968</v>
      </c>
      <c r="C288" s="718" t="s">
        <v>2041</v>
      </c>
      <c r="D288" s="440">
        <v>150971181</v>
      </c>
      <c r="E288" s="441" t="s">
        <v>699</v>
      </c>
      <c r="F288" s="443" t="s">
        <v>700</v>
      </c>
      <c r="G288" s="32">
        <v>6</v>
      </c>
      <c r="H288" s="32" t="s">
        <v>69</v>
      </c>
      <c r="I288" s="425">
        <v>243</v>
      </c>
      <c r="W288" s="2" t="s">
        <v>1583</v>
      </c>
      <c r="X288" s="34"/>
      <c r="Y288" s="34"/>
      <c r="Z288" s="46"/>
      <c r="AA288" s="47"/>
      <c r="AB288" s="31"/>
      <c r="AC288" s="2">
        <f t="shared" ca="1" si="20"/>
        <v>23</v>
      </c>
      <c r="AD288" s="2" t="e">
        <f t="shared" ca="1" si="21"/>
        <v>#VALUE!</v>
      </c>
      <c r="AE288" s="2">
        <f t="shared" ca="1" si="18"/>
        <v>23</v>
      </c>
      <c r="AF288" s="2" t="e">
        <f t="shared" ca="1" si="19"/>
        <v>#VALUE!</v>
      </c>
      <c r="AG288" s="34"/>
      <c r="AH288" s="34">
        <v>32387</v>
      </c>
      <c r="AI288" s="46">
        <v>220175214</v>
      </c>
      <c r="AJ288" s="41" t="s">
        <v>1584</v>
      </c>
      <c r="AK288" s="31" t="s">
        <v>1375</v>
      </c>
    </row>
    <row r="289" spans="1:37" ht="32.4" customHeight="1">
      <c r="A289" s="31">
        <v>286</v>
      </c>
      <c r="B289" s="438">
        <v>35951</v>
      </c>
      <c r="C289" s="718" t="s">
        <v>2041</v>
      </c>
      <c r="D289" s="440">
        <v>150962794</v>
      </c>
      <c r="E289" s="441" t="s">
        <v>701</v>
      </c>
      <c r="F289" s="443" t="s">
        <v>702</v>
      </c>
      <c r="G289" s="32">
        <v>6</v>
      </c>
      <c r="H289" s="32" t="s">
        <v>69</v>
      </c>
      <c r="I289" s="425">
        <v>244</v>
      </c>
      <c r="W289" s="2" t="s">
        <v>1585</v>
      </c>
      <c r="X289" s="34"/>
      <c r="Y289" s="34"/>
      <c r="Z289" s="46"/>
      <c r="AA289" s="61"/>
      <c r="AB289" s="31"/>
      <c r="AC289" s="2">
        <f t="shared" ca="1" si="20"/>
        <v>28</v>
      </c>
      <c r="AD289" s="2" t="e">
        <f t="shared" ca="1" si="21"/>
        <v>#VALUE!</v>
      </c>
      <c r="AE289" s="2">
        <f t="shared" ca="1" si="18"/>
        <v>28</v>
      </c>
      <c r="AF289" s="2" t="e">
        <f t="shared" ca="1" si="19"/>
        <v>#VALUE!</v>
      </c>
      <c r="AG289" s="34">
        <v>32674</v>
      </c>
      <c r="AH289" s="34"/>
      <c r="AI289" s="46">
        <v>150360081</v>
      </c>
      <c r="AJ289" s="41" t="s">
        <v>1586</v>
      </c>
      <c r="AK289" s="31" t="s">
        <v>1587</v>
      </c>
    </row>
    <row r="290" spans="1:37" ht="32.4" customHeight="1">
      <c r="A290" s="31">
        <v>287</v>
      </c>
      <c r="B290" s="438">
        <v>34002</v>
      </c>
      <c r="C290" s="718" t="s">
        <v>2041</v>
      </c>
      <c r="D290" s="440">
        <v>150522918</v>
      </c>
      <c r="E290" s="441" t="s">
        <v>1966</v>
      </c>
      <c r="F290" s="443" t="s">
        <v>1078</v>
      </c>
      <c r="G290" s="32">
        <v>6</v>
      </c>
      <c r="H290" s="32" t="s">
        <v>69</v>
      </c>
      <c r="I290" s="425">
        <v>245</v>
      </c>
      <c r="W290" s="2" t="s">
        <v>1588</v>
      </c>
      <c r="X290" s="34"/>
      <c r="Y290" s="34"/>
      <c r="Z290" s="46"/>
      <c r="AA290" s="61"/>
      <c r="AB290" s="31"/>
      <c r="AC290" s="2">
        <f t="shared" ca="1" si="20"/>
        <v>33</v>
      </c>
      <c r="AD290" s="2" t="e">
        <f t="shared" ca="1" si="21"/>
        <v>#VALUE!</v>
      </c>
      <c r="AE290" s="2">
        <f t="shared" ca="1" si="18"/>
        <v>33</v>
      </c>
      <c r="AF290" s="2" t="e">
        <f t="shared" ca="1" si="19"/>
        <v>#VALUE!</v>
      </c>
      <c r="AG290" s="34">
        <v>32509</v>
      </c>
      <c r="AH290" s="34"/>
      <c r="AI290" s="46">
        <v>150983109</v>
      </c>
      <c r="AJ290" s="41" t="s">
        <v>1589</v>
      </c>
      <c r="AK290" s="31" t="s">
        <v>1590</v>
      </c>
    </row>
    <row r="291" spans="1:37" ht="32.4" customHeight="1">
      <c r="A291" s="31">
        <v>288</v>
      </c>
      <c r="B291" s="438">
        <v>32583</v>
      </c>
      <c r="C291" s="717" t="s">
        <v>1175</v>
      </c>
      <c r="D291" s="440">
        <v>150848341</v>
      </c>
      <c r="E291" s="441" t="s">
        <v>1967</v>
      </c>
      <c r="F291" s="443" t="s">
        <v>1968</v>
      </c>
      <c r="G291" s="32">
        <v>6</v>
      </c>
      <c r="H291" s="32" t="s">
        <v>69</v>
      </c>
      <c r="I291" s="425">
        <v>246</v>
      </c>
      <c r="W291" s="2" t="s">
        <v>661</v>
      </c>
      <c r="X291" s="34"/>
      <c r="Y291" s="34"/>
      <c r="Z291" s="46"/>
      <c r="AA291" s="61"/>
      <c r="AB291" s="31"/>
      <c r="AC291" s="2">
        <f t="shared" ca="1" si="20"/>
        <v>37</v>
      </c>
      <c r="AD291" s="2" t="e">
        <f t="shared" ca="1" si="21"/>
        <v>#VALUE!</v>
      </c>
      <c r="AE291" s="2">
        <f t="shared" ca="1" si="18"/>
        <v>37</v>
      </c>
      <c r="AF291" s="2" t="e">
        <f t="shared" ca="1" si="19"/>
        <v>#VALUE!</v>
      </c>
      <c r="AG291" s="34"/>
      <c r="AH291" s="34"/>
      <c r="AI291" s="46"/>
      <c r="AJ291" s="41"/>
      <c r="AK291" s="31"/>
    </row>
    <row r="292" spans="1:37" ht="32.4" customHeight="1">
      <c r="A292" s="31">
        <v>289</v>
      </c>
      <c r="B292" s="438">
        <v>38442</v>
      </c>
      <c r="C292" s="718" t="s">
        <v>2041</v>
      </c>
      <c r="D292" s="440">
        <v>150962779</v>
      </c>
      <c r="E292" s="441" t="s">
        <v>1803</v>
      </c>
      <c r="F292" s="504" t="s">
        <v>1804</v>
      </c>
      <c r="G292" s="32">
        <v>6</v>
      </c>
      <c r="H292" s="32" t="s">
        <v>69</v>
      </c>
      <c r="I292" s="425">
        <v>247</v>
      </c>
      <c r="W292" s="2" t="s">
        <v>1591</v>
      </c>
      <c r="X292" s="34"/>
      <c r="Y292" s="34"/>
      <c r="Z292" s="46"/>
      <c r="AA292" s="61"/>
      <c r="AB292" s="31"/>
      <c r="AC292" s="2">
        <f t="shared" ca="1" si="20"/>
        <v>21</v>
      </c>
      <c r="AD292" s="2" t="e">
        <f t="shared" ca="1" si="21"/>
        <v>#VALUE!</v>
      </c>
      <c r="AE292" s="2">
        <f t="shared" ca="1" si="18"/>
        <v>21</v>
      </c>
      <c r="AF292" s="2" t="e">
        <f t="shared" ca="1" si="19"/>
        <v>#VALUE!</v>
      </c>
      <c r="AG292" s="34">
        <v>36687</v>
      </c>
      <c r="AH292" s="34"/>
      <c r="AI292" s="46">
        <v>150891270</v>
      </c>
      <c r="AJ292" s="41" t="s">
        <v>1592</v>
      </c>
      <c r="AK292" s="31" t="s">
        <v>1560</v>
      </c>
    </row>
    <row r="293" spans="1:37" ht="32.4" customHeight="1">
      <c r="A293" s="31">
        <v>290</v>
      </c>
      <c r="B293" s="438">
        <v>32604</v>
      </c>
      <c r="C293" s="718" t="s">
        <v>2041</v>
      </c>
      <c r="D293" s="440">
        <v>150360491</v>
      </c>
      <c r="E293" s="441" t="s">
        <v>707</v>
      </c>
      <c r="F293" s="443" t="s">
        <v>708</v>
      </c>
      <c r="G293" s="32">
        <v>6</v>
      </c>
      <c r="H293" s="32" t="s">
        <v>69</v>
      </c>
      <c r="I293" s="425">
        <v>248</v>
      </c>
      <c r="W293" s="2" t="s">
        <v>1137</v>
      </c>
      <c r="X293" s="34"/>
      <c r="Y293" s="34"/>
      <c r="Z293" s="46"/>
      <c r="AA293" s="61"/>
      <c r="AB293" s="31"/>
      <c r="AC293" s="2">
        <f t="shared" ca="1" si="20"/>
        <v>37</v>
      </c>
      <c r="AD293" s="2" t="e">
        <f t="shared" ca="1" si="21"/>
        <v>#VALUE!</v>
      </c>
      <c r="AE293" s="2">
        <f t="shared" ca="1" si="18"/>
        <v>37</v>
      </c>
      <c r="AF293" s="2" t="e">
        <f t="shared" ca="1" si="19"/>
        <v>#VALUE!</v>
      </c>
      <c r="AG293" s="34"/>
      <c r="AH293" s="34"/>
      <c r="AI293" s="46"/>
      <c r="AJ293" s="41"/>
      <c r="AK293" s="31"/>
    </row>
    <row r="294" spans="1:37" ht="32.4" customHeight="1">
      <c r="A294" s="31">
        <v>291</v>
      </c>
      <c r="B294" s="438">
        <v>34048</v>
      </c>
      <c r="C294" s="718" t="s">
        <v>2041</v>
      </c>
      <c r="D294" s="440">
        <v>150574719</v>
      </c>
      <c r="E294" s="441" t="s">
        <v>1805</v>
      </c>
      <c r="F294" s="443" t="s">
        <v>1365</v>
      </c>
      <c r="G294" s="32">
        <v>6</v>
      </c>
      <c r="H294" s="32" t="s">
        <v>69</v>
      </c>
      <c r="I294" s="425">
        <v>249</v>
      </c>
      <c r="W294" s="2" t="s">
        <v>997</v>
      </c>
      <c r="X294" s="34"/>
      <c r="Y294" s="34"/>
      <c r="Z294" s="46"/>
      <c r="AA294" s="61"/>
      <c r="AB294" s="31"/>
      <c r="AC294" s="2">
        <f t="shared" ca="1" si="20"/>
        <v>33</v>
      </c>
      <c r="AD294" s="2" t="e">
        <f t="shared" ca="1" si="21"/>
        <v>#VALUE!</v>
      </c>
      <c r="AE294" s="2">
        <f t="shared" ca="1" si="18"/>
        <v>33</v>
      </c>
      <c r="AF294" s="2" t="e">
        <f t="shared" ca="1" si="19"/>
        <v>#VALUE!</v>
      </c>
      <c r="AG294" s="34">
        <v>27159</v>
      </c>
      <c r="AH294" s="34"/>
      <c r="AI294" s="46">
        <v>150776537</v>
      </c>
      <c r="AJ294" s="41" t="s">
        <v>1593</v>
      </c>
      <c r="AK294" s="31" t="s">
        <v>1594</v>
      </c>
    </row>
    <row r="295" spans="1:37" ht="32.4" customHeight="1">
      <c r="A295" s="31">
        <v>292</v>
      </c>
      <c r="B295" s="438">
        <v>32863</v>
      </c>
      <c r="C295" s="717" t="s">
        <v>1175</v>
      </c>
      <c r="D295" s="440">
        <v>150918234</v>
      </c>
      <c r="E295" s="486" t="s">
        <v>1806</v>
      </c>
      <c r="F295" s="443" t="s">
        <v>1807</v>
      </c>
      <c r="G295" s="32">
        <v>6</v>
      </c>
      <c r="H295" s="32" t="s">
        <v>69</v>
      </c>
      <c r="I295" s="425">
        <v>250</v>
      </c>
      <c r="W295" s="2" t="s">
        <v>337</v>
      </c>
      <c r="X295" s="34"/>
      <c r="Y295" s="34"/>
      <c r="Z295" s="46"/>
      <c r="AA295" s="61"/>
      <c r="AB295" s="31"/>
      <c r="AC295" s="2">
        <f t="shared" ca="1" si="20"/>
        <v>37</v>
      </c>
      <c r="AD295" s="2" t="e">
        <f t="shared" ca="1" si="21"/>
        <v>#VALUE!</v>
      </c>
      <c r="AE295" s="2">
        <f t="shared" ca="1" si="18"/>
        <v>37</v>
      </c>
      <c r="AF295" s="2" t="e">
        <f t="shared" ca="1" si="19"/>
        <v>#VALUE!</v>
      </c>
      <c r="AG295" s="34"/>
      <c r="AH295" s="34">
        <v>28915</v>
      </c>
      <c r="AI295" s="46">
        <v>151047423</v>
      </c>
      <c r="AJ295" s="41" t="s">
        <v>1595</v>
      </c>
      <c r="AK295" s="31" t="s">
        <v>1596</v>
      </c>
    </row>
    <row r="296" spans="1:37" ht="32.4" customHeight="1">
      <c r="A296" s="31">
        <v>293</v>
      </c>
      <c r="B296" s="439">
        <v>33990</v>
      </c>
      <c r="C296" s="718" t="s">
        <v>2041</v>
      </c>
      <c r="D296" s="444" t="s">
        <v>1881</v>
      </c>
      <c r="E296" s="441" t="s">
        <v>1882</v>
      </c>
      <c r="F296" s="666" t="s">
        <v>1133</v>
      </c>
      <c r="G296" s="32">
        <v>6</v>
      </c>
      <c r="H296" s="32" t="s">
        <v>69</v>
      </c>
      <c r="I296" s="425">
        <v>499</v>
      </c>
      <c r="J296" s="27"/>
      <c r="K296" s="27"/>
      <c r="L296" s="68"/>
      <c r="M296" s="69"/>
      <c r="W296" s="2" t="s">
        <v>1597</v>
      </c>
      <c r="X296" s="34"/>
      <c r="Y296" s="34"/>
      <c r="Z296" s="46"/>
      <c r="AA296" s="61"/>
      <c r="AB296" s="31"/>
      <c r="AC296" s="2">
        <f t="shared" ca="1" si="20"/>
        <v>33</v>
      </c>
      <c r="AD296" s="2" t="e">
        <f t="shared" ca="1" si="21"/>
        <v>#VALUE!</v>
      </c>
      <c r="AE296" s="2">
        <f t="shared" ca="1" si="18"/>
        <v>33</v>
      </c>
      <c r="AF296" s="2" t="e">
        <f t="shared" ca="1" si="19"/>
        <v>#VALUE!</v>
      </c>
      <c r="AG296" s="34">
        <v>29376</v>
      </c>
      <c r="AH296" s="34"/>
      <c r="AI296" s="46">
        <v>60539449</v>
      </c>
      <c r="AJ296" s="41" t="s">
        <v>1598</v>
      </c>
      <c r="AK296" s="31" t="s">
        <v>1599</v>
      </c>
    </row>
    <row r="297" spans="1:37" ht="32.4" customHeight="1">
      <c r="A297" s="31">
        <v>294</v>
      </c>
      <c r="B297" s="438">
        <v>35075</v>
      </c>
      <c r="C297" s="717" t="s">
        <v>1175</v>
      </c>
      <c r="D297" s="440">
        <v>150522824</v>
      </c>
      <c r="E297" s="441" t="s">
        <v>712</v>
      </c>
      <c r="F297" s="443" t="s">
        <v>713</v>
      </c>
      <c r="G297" s="32">
        <v>6</v>
      </c>
      <c r="H297" s="32" t="s">
        <v>69</v>
      </c>
      <c r="I297" s="425">
        <v>500</v>
      </c>
      <c r="W297" s="2" t="s">
        <v>872</v>
      </c>
      <c r="X297" s="34"/>
      <c r="Y297" s="34"/>
      <c r="Z297" s="46"/>
      <c r="AA297" s="61"/>
      <c r="AB297" s="31"/>
      <c r="AC297" s="2">
        <f t="shared" ca="1" si="20"/>
        <v>30</v>
      </c>
      <c r="AD297" s="2" t="e">
        <f t="shared" ca="1" si="21"/>
        <v>#VALUE!</v>
      </c>
      <c r="AE297" s="2">
        <f t="shared" ca="1" si="18"/>
        <v>30</v>
      </c>
      <c r="AF297" s="2" t="e">
        <f t="shared" ca="1" si="19"/>
        <v>#VALUE!</v>
      </c>
      <c r="AG297" s="34"/>
      <c r="AH297" s="34">
        <v>30456</v>
      </c>
      <c r="AI297" s="46">
        <v>250176975</v>
      </c>
      <c r="AJ297" s="41" t="s">
        <v>1601</v>
      </c>
      <c r="AK297" t="s">
        <v>1602</v>
      </c>
    </row>
    <row r="298" spans="1:37" ht="32.4" customHeight="1">
      <c r="A298" s="31">
        <v>295</v>
      </c>
      <c r="B298" s="438">
        <v>28534</v>
      </c>
      <c r="C298" s="718" t="s">
        <v>2041</v>
      </c>
      <c r="D298" s="440">
        <v>150848342</v>
      </c>
      <c r="E298" s="441" t="s">
        <v>1969</v>
      </c>
      <c r="F298" s="443" t="s">
        <v>1970</v>
      </c>
      <c r="G298" s="32">
        <v>6</v>
      </c>
      <c r="H298" s="32" t="s">
        <v>69</v>
      </c>
      <c r="I298" s="425">
        <v>501</v>
      </c>
      <c r="W298" s="2" t="s">
        <v>1603</v>
      </c>
      <c r="X298" s="34"/>
      <c r="Y298" s="34"/>
      <c r="Z298" s="46"/>
      <c r="AA298" s="61"/>
      <c r="AB298" s="31"/>
      <c r="AC298" s="2">
        <f t="shared" ca="1" si="20"/>
        <v>48</v>
      </c>
      <c r="AD298" s="2" t="e">
        <f t="shared" ca="1" si="21"/>
        <v>#VALUE!</v>
      </c>
      <c r="AE298" s="2">
        <f t="shared" ca="1" si="18"/>
        <v>48</v>
      </c>
      <c r="AF298" s="2" t="e">
        <f t="shared" ca="1" si="19"/>
        <v>#VALUE!</v>
      </c>
      <c r="AG298" s="34"/>
      <c r="AH298" s="34"/>
      <c r="AI298" s="46"/>
      <c r="AJ298" s="41"/>
      <c r="AK298" s="31"/>
    </row>
    <row r="299" spans="1:37" ht="32.4" customHeight="1">
      <c r="A299" s="31">
        <v>296</v>
      </c>
      <c r="B299" s="438">
        <v>37633</v>
      </c>
      <c r="C299" s="717" t="s">
        <v>1175</v>
      </c>
      <c r="D299" s="440">
        <v>150952484</v>
      </c>
      <c r="E299" s="441" t="s">
        <v>716</v>
      </c>
      <c r="F299" s="443" t="s">
        <v>717</v>
      </c>
      <c r="G299" s="32">
        <v>6</v>
      </c>
      <c r="H299" s="32" t="s">
        <v>69</v>
      </c>
      <c r="I299" s="425">
        <v>502</v>
      </c>
      <c r="W299" s="2" t="s">
        <v>881</v>
      </c>
      <c r="X299" s="34"/>
      <c r="Y299" s="34"/>
      <c r="Z299" s="46"/>
      <c r="AA299" s="61"/>
      <c r="AB299" s="31"/>
      <c r="AC299" s="2">
        <f t="shared" ca="1" si="20"/>
        <v>23</v>
      </c>
      <c r="AD299" s="2" t="e">
        <f t="shared" ca="1" si="21"/>
        <v>#VALUE!</v>
      </c>
      <c r="AE299" s="2">
        <f t="shared" ca="1" si="18"/>
        <v>23</v>
      </c>
      <c r="AF299" s="2" t="e">
        <f t="shared" ca="1" si="19"/>
        <v>#VALUE!</v>
      </c>
      <c r="AG299" s="34"/>
      <c r="AH299" s="34"/>
      <c r="AI299" s="46"/>
      <c r="AJ299" s="41"/>
      <c r="AK299" s="31"/>
    </row>
    <row r="300" spans="1:37" ht="32.4" customHeight="1">
      <c r="A300" s="31">
        <v>297</v>
      </c>
      <c r="B300" s="438">
        <v>38496</v>
      </c>
      <c r="C300" s="717" t="s">
        <v>1175</v>
      </c>
      <c r="D300" s="440">
        <v>151034023</v>
      </c>
      <c r="E300" s="441" t="s">
        <v>1127</v>
      </c>
      <c r="F300" s="443" t="s">
        <v>719</v>
      </c>
      <c r="G300" s="32">
        <v>6</v>
      </c>
      <c r="H300" s="32" t="s">
        <v>69</v>
      </c>
      <c r="I300" s="425">
        <v>503</v>
      </c>
      <c r="W300" s="2" t="s">
        <v>898</v>
      </c>
      <c r="X300" s="34"/>
      <c r="Y300" s="34"/>
      <c r="Z300" s="46"/>
      <c r="AA300" s="61"/>
      <c r="AB300" s="31"/>
      <c r="AC300" s="2">
        <f t="shared" ca="1" si="20"/>
        <v>21</v>
      </c>
      <c r="AD300" s="2" t="e">
        <f t="shared" ca="1" si="21"/>
        <v>#VALUE!</v>
      </c>
      <c r="AE300" s="2">
        <f t="shared" ca="1" si="18"/>
        <v>21</v>
      </c>
      <c r="AF300" s="2" t="e">
        <f t="shared" ca="1" si="19"/>
        <v>#VALUE!</v>
      </c>
    </row>
    <row r="301" spans="1:37" ht="32.4" customHeight="1">
      <c r="A301" s="31">
        <v>298</v>
      </c>
      <c r="B301" s="438">
        <v>36753</v>
      </c>
      <c r="C301" s="717" t="s">
        <v>1175</v>
      </c>
      <c r="D301" s="440">
        <v>150785454</v>
      </c>
      <c r="E301" s="441" t="s">
        <v>720</v>
      </c>
      <c r="F301" s="443" t="s">
        <v>721</v>
      </c>
      <c r="G301" s="32">
        <v>6</v>
      </c>
      <c r="H301" s="32" t="s">
        <v>69</v>
      </c>
      <c r="I301" s="425">
        <v>504</v>
      </c>
      <c r="W301" s="2" t="s">
        <v>1370</v>
      </c>
      <c r="X301" s="34"/>
      <c r="Y301" s="34"/>
      <c r="Z301" s="46"/>
      <c r="AA301" s="61"/>
      <c r="AB301" s="31"/>
      <c r="AC301" s="2">
        <f t="shared" ca="1" si="20"/>
        <v>26</v>
      </c>
      <c r="AD301" s="2" t="e">
        <f t="shared" ca="1" si="21"/>
        <v>#VALUE!</v>
      </c>
      <c r="AE301" s="2">
        <f t="shared" ca="1" si="18"/>
        <v>26</v>
      </c>
      <c r="AF301" s="2" t="e">
        <f t="shared" ca="1" si="19"/>
        <v>#VALUE!</v>
      </c>
    </row>
    <row r="302" spans="1:37" ht="32.4" customHeight="1">
      <c r="A302" s="31">
        <v>299</v>
      </c>
      <c r="B302" s="438">
        <v>35981</v>
      </c>
      <c r="C302" s="718" t="s">
        <v>2041</v>
      </c>
      <c r="D302" s="440">
        <v>150740087</v>
      </c>
      <c r="E302" s="441" t="s">
        <v>722</v>
      </c>
      <c r="F302" s="443" t="s">
        <v>723</v>
      </c>
      <c r="G302" s="32">
        <v>6</v>
      </c>
      <c r="H302" s="32" t="s">
        <v>69</v>
      </c>
      <c r="I302" s="425">
        <v>505</v>
      </c>
      <c r="W302" s="2" t="s">
        <v>1604</v>
      </c>
      <c r="X302" s="34"/>
      <c r="Y302" s="34"/>
      <c r="Z302" s="46"/>
      <c r="AA302" s="61"/>
      <c r="AB302" s="31"/>
      <c r="AC302" s="2">
        <f t="shared" ca="1" si="20"/>
        <v>28</v>
      </c>
      <c r="AD302" s="2" t="e">
        <f t="shared" ca="1" si="21"/>
        <v>#VALUE!</v>
      </c>
      <c r="AE302" s="2">
        <f t="shared" ca="1" si="18"/>
        <v>28</v>
      </c>
      <c r="AF302" s="2" t="e">
        <f t="shared" ca="1" si="19"/>
        <v>#VALUE!</v>
      </c>
    </row>
    <row r="303" spans="1:37" ht="32.4" customHeight="1">
      <c r="A303" s="31">
        <v>300</v>
      </c>
      <c r="B303" s="438">
        <v>35226</v>
      </c>
      <c r="C303" s="717" t="s">
        <v>1175</v>
      </c>
      <c r="D303" s="440">
        <v>150523529</v>
      </c>
      <c r="E303" s="441" t="s">
        <v>724</v>
      </c>
      <c r="F303" s="443" t="s">
        <v>725</v>
      </c>
      <c r="G303" s="32">
        <v>6</v>
      </c>
      <c r="H303" s="32" t="s">
        <v>69</v>
      </c>
      <c r="I303" s="425">
        <v>506</v>
      </c>
      <c r="W303" s="2" t="s">
        <v>886</v>
      </c>
      <c r="X303" s="34"/>
      <c r="Y303" s="34"/>
      <c r="Z303" s="46"/>
      <c r="AA303" s="61"/>
      <c r="AB303" s="31"/>
      <c r="AC303" s="2">
        <f t="shared" ca="1" si="20"/>
        <v>30</v>
      </c>
      <c r="AD303" s="2" t="e">
        <f t="shared" ca="1" si="21"/>
        <v>#VALUE!</v>
      </c>
      <c r="AE303" s="2">
        <f t="shared" ca="1" si="18"/>
        <v>30</v>
      </c>
      <c r="AF303" s="2" t="e">
        <f t="shared" ca="1" si="19"/>
        <v>#VALUE!</v>
      </c>
    </row>
    <row r="304" spans="1:37" ht="32.4" customHeight="1">
      <c r="A304" s="31">
        <v>301</v>
      </c>
      <c r="B304" s="438">
        <v>34834</v>
      </c>
      <c r="C304" s="718" t="s">
        <v>2041</v>
      </c>
      <c r="D304" s="440">
        <v>150548612</v>
      </c>
      <c r="E304" s="441" t="s">
        <v>726</v>
      </c>
      <c r="F304" s="443" t="s">
        <v>727</v>
      </c>
      <c r="G304" s="32">
        <v>6</v>
      </c>
      <c r="H304" s="32" t="s">
        <v>69</v>
      </c>
      <c r="I304" s="425">
        <v>507</v>
      </c>
      <c r="W304" s="2" t="s">
        <v>1605</v>
      </c>
      <c r="X304" s="34"/>
      <c r="Y304" s="34"/>
      <c r="Z304" s="46"/>
      <c r="AA304" s="61"/>
      <c r="AB304" s="31"/>
      <c r="AC304" s="2">
        <f t="shared" ca="1" si="20"/>
        <v>31</v>
      </c>
      <c r="AD304" s="2" t="e">
        <f t="shared" ca="1" si="21"/>
        <v>#VALUE!</v>
      </c>
      <c r="AE304" s="2">
        <f t="shared" ca="1" si="18"/>
        <v>31</v>
      </c>
      <c r="AF304" s="2" t="e">
        <f t="shared" ca="1" si="19"/>
        <v>#VALUE!</v>
      </c>
    </row>
    <row r="305" spans="1:32" ht="32.4" customHeight="1">
      <c r="A305" s="31">
        <v>302</v>
      </c>
      <c r="B305" s="438">
        <v>33292</v>
      </c>
      <c r="C305" s="717" t="s">
        <v>1175</v>
      </c>
      <c r="D305" s="440">
        <v>150740996</v>
      </c>
      <c r="E305" s="441" t="s">
        <v>728</v>
      </c>
      <c r="F305" s="443" t="s">
        <v>729</v>
      </c>
      <c r="G305" s="32">
        <v>6</v>
      </c>
      <c r="H305" s="32" t="s">
        <v>69</v>
      </c>
      <c r="I305" s="425">
        <v>508</v>
      </c>
      <c r="W305" s="2" t="s">
        <v>844</v>
      </c>
      <c r="X305" s="34"/>
      <c r="Y305" s="34"/>
      <c r="Z305" s="46"/>
      <c r="AA305" s="47"/>
      <c r="AB305" s="31"/>
      <c r="AC305" s="2">
        <f t="shared" ca="1" si="20"/>
        <v>35</v>
      </c>
      <c r="AD305" s="2" t="e">
        <f t="shared" ca="1" si="21"/>
        <v>#VALUE!</v>
      </c>
      <c r="AE305" s="2">
        <f t="shared" ca="1" si="18"/>
        <v>35</v>
      </c>
      <c r="AF305" s="2" t="e">
        <f t="shared" ca="1" si="19"/>
        <v>#VALUE!</v>
      </c>
    </row>
    <row r="306" spans="1:32" ht="32.4" customHeight="1">
      <c r="A306" s="31">
        <v>303</v>
      </c>
      <c r="B306" s="438">
        <v>31385</v>
      </c>
      <c r="C306" s="717" t="s">
        <v>1175</v>
      </c>
      <c r="D306" s="440">
        <v>150940860</v>
      </c>
      <c r="E306" s="441" t="s">
        <v>730</v>
      </c>
      <c r="F306" s="443" t="s">
        <v>731</v>
      </c>
      <c r="G306" s="32">
        <v>6</v>
      </c>
      <c r="H306" s="32" t="s">
        <v>69</v>
      </c>
      <c r="I306" s="425">
        <v>509</v>
      </c>
      <c r="W306" s="2" t="s">
        <v>850</v>
      </c>
      <c r="X306" s="34"/>
      <c r="Y306" s="34"/>
      <c r="Z306" s="46"/>
      <c r="AA306" s="47"/>
      <c r="AB306" s="31"/>
      <c r="AC306" s="2">
        <f t="shared" ca="1" si="20"/>
        <v>41</v>
      </c>
      <c r="AD306" s="2" t="e">
        <f t="shared" ca="1" si="21"/>
        <v>#VALUE!</v>
      </c>
      <c r="AE306" s="2">
        <f t="shared" ca="1" si="18"/>
        <v>41</v>
      </c>
      <c r="AF306" s="2" t="e">
        <f t="shared" ca="1" si="19"/>
        <v>#VALUE!</v>
      </c>
    </row>
    <row r="307" spans="1:32" ht="32.4" customHeight="1">
      <c r="A307" s="31">
        <v>304</v>
      </c>
      <c r="B307" s="438">
        <v>31052</v>
      </c>
      <c r="C307" s="718" t="s">
        <v>2041</v>
      </c>
      <c r="D307" s="440">
        <v>150940791</v>
      </c>
      <c r="E307" s="441" t="s">
        <v>732</v>
      </c>
      <c r="F307" s="443" t="s">
        <v>733</v>
      </c>
      <c r="G307" s="32">
        <v>6</v>
      </c>
      <c r="H307" s="32" t="s">
        <v>69</v>
      </c>
      <c r="I307" s="425">
        <v>510</v>
      </c>
      <c r="W307" s="2" t="s">
        <v>1606</v>
      </c>
      <c r="X307" s="34"/>
      <c r="Y307" s="34"/>
      <c r="Z307" s="46"/>
      <c r="AA307" s="61"/>
      <c r="AB307" s="31"/>
      <c r="AC307" s="2">
        <f t="shared" ca="1" si="20"/>
        <v>41</v>
      </c>
      <c r="AD307" s="2" t="e">
        <f t="shared" ca="1" si="21"/>
        <v>#VALUE!</v>
      </c>
      <c r="AE307" s="2">
        <f t="shared" ca="1" si="18"/>
        <v>41</v>
      </c>
      <c r="AF307" s="2" t="e">
        <f t="shared" ca="1" si="19"/>
        <v>#VALUE!</v>
      </c>
    </row>
    <row r="308" spans="1:32" ht="32.4" customHeight="1">
      <c r="A308" s="31">
        <v>305</v>
      </c>
      <c r="B308" s="438">
        <v>37717</v>
      </c>
      <c r="C308" s="718" t="s">
        <v>2041</v>
      </c>
      <c r="D308" s="440">
        <v>220217962</v>
      </c>
      <c r="E308" s="441" t="s">
        <v>1947</v>
      </c>
      <c r="F308" s="443" t="s">
        <v>1948</v>
      </c>
      <c r="G308" s="32">
        <v>9</v>
      </c>
      <c r="H308" s="32" t="s">
        <v>1743</v>
      </c>
      <c r="I308" s="33">
        <v>344</v>
      </c>
      <c r="W308" s="2" t="s">
        <v>831</v>
      </c>
      <c r="X308" s="34"/>
      <c r="Y308" s="34"/>
      <c r="Z308" s="46"/>
      <c r="AA308" s="61"/>
      <c r="AB308" s="31"/>
      <c r="AC308" s="2">
        <f t="shared" ca="1" si="20"/>
        <v>23</v>
      </c>
      <c r="AD308" s="2" t="e">
        <f t="shared" ca="1" si="21"/>
        <v>#VALUE!</v>
      </c>
      <c r="AE308" s="2">
        <f t="shared" ca="1" si="18"/>
        <v>23</v>
      </c>
      <c r="AF308" s="2" t="e">
        <f t="shared" ca="1" si="19"/>
        <v>#VALUE!</v>
      </c>
    </row>
    <row r="309" spans="1:32" ht="32.4" customHeight="1">
      <c r="A309" s="31">
        <v>306</v>
      </c>
      <c r="B309" s="438">
        <v>34031</v>
      </c>
      <c r="C309" s="717" t="s">
        <v>1175</v>
      </c>
      <c r="D309" s="440">
        <v>150468357</v>
      </c>
      <c r="E309" s="441" t="s">
        <v>905</v>
      </c>
      <c r="F309" s="443" t="s">
        <v>906</v>
      </c>
      <c r="G309" s="32">
        <v>9</v>
      </c>
      <c r="H309" s="32" t="s">
        <v>1743</v>
      </c>
      <c r="I309" s="425">
        <v>345</v>
      </c>
      <c r="W309" s="2" t="s">
        <v>1607</v>
      </c>
      <c r="X309" s="34"/>
      <c r="Y309" s="34"/>
      <c r="Z309" s="46"/>
      <c r="AA309" s="61"/>
      <c r="AB309" s="31"/>
      <c r="AC309" s="2">
        <f t="shared" ca="1" si="20"/>
        <v>33</v>
      </c>
      <c r="AD309" s="2" t="e">
        <f t="shared" ca="1" si="21"/>
        <v>#VALUE!</v>
      </c>
      <c r="AE309" s="2">
        <f t="shared" ca="1" si="18"/>
        <v>33</v>
      </c>
      <c r="AF309" s="2" t="e">
        <f t="shared" ca="1" si="19"/>
        <v>#VALUE!</v>
      </c>
    </row>
    <row r="310" spans="1:32" ht="32.4" customHeight="1">
      <c r="A310" s="31">
        <v>307</v>
      </c>
      <c r="B310" s="438">
        <v>33348</v>
      </c>
      <c r="C310" s="718" t="s">
        <v>2041</v>
      </c>
      <c r="D310" s="440">
        <v>150522964</v>
      </c>
      <c r="E310" s="441" t="s">
        <v>907</v>
      </c>
      <c r="F310" s="443" t="s">
        <v>908</v>
      </c>
      <c r="G310" s="32">
        <v>9</v>
      </c>
      <c r="H310" s="32" t="s">
        <v>1743</v>
      </c>
      <c r="I310" s="425">
        <v>346</v>
      </c>
      <c r="W310" s="2" t="s">
        <v>892</v>
      </c>
      <c r="X310" s="34"/>
      <c r="Y310" s="34"/>
      <c r="Z310" s="46"/>
      <c r="AA310" s="61"/>
      <c r="AB310" s="31"/>
      <c r="AC310" s="2">
        <f t="shared" ca="1" si="20"/>
        <v>35</v>
      </c>
      <c r="AD310" s="2" t="e">
        <f t="shared" ca="1" si="21"/>
        <v>#VALUE!</v>
      </c>
      <c r="AE310" s="2">
        <f t="shared" ca="1" si="18"/>
        <v>35</v>
      </c>
      <c r="AF310" s="2" t="e">
        <f t="shared" ca="1" si="19"/>
        <v>#VALUE!</v>
      </c>
    </row>
    <row r="311" spans="1:32" ht="32.4" customHeight="1">
      <c r="A311" s="31">
        <v>308</v>
      </c>
      <c r="B311" s="438">
        <v>35076</v>
      </c>
      <c r="C311" s="717" t="s">
        <v>1175</v>
      </c>
      <c r="D311" s="440">
        <v>150522846</v>
      </c>
      <c r="E311" s="441" t="s">
        <v>909</v>
      </c>
      <c r="F311" s="443" t="s">
        <v>910</v>
      </c>
      <c r="G311" s="32">
        <v>9</v>
      </c>
      <c r="H311" s="32" t="s">
        <v>1743</v>
      </c>
      <c r="I311" s="425">
        <v>347</v>
      </c>
      <c r="W311" s="2" t="s">
        <v>1608</v>
      </c>
      <c r="X311" s="34"/>
      <c r="Y311" s="34"/>
      <c r="Z311" s="46"/>
      <c r="AA311" s="61"/>
      <c r="AB311" s="31"/>
      <c r="AC311" s="2">
        <f t="shared" ca="1" si="20"/>
        <v>30</v>
      </c>
      <c r="AD311" s="2" t="e">
        <f t="shared" ca="1" si="21"/>
        <v>#VALUE!</v>
      </c>
      <c r="AE311" s="2">
        <f t="shared" ca="1" si="18"/>
        <v>30</v>
      </c>
      <c r="AF311" s="2" t="e">
        <f t="shared" ca="1" si="19"/>
        <v>#VALUE!</v>
      </c>
    </row>
    <row r="312" spans="1:32" ht="32.4" customHeight="1">
      <c r="A312" s="31">
        <v>309</v>
      </c>
      <c r="B312" s="438">
        <v>31578</v>
      </c>
      <c r="C312" s="718" t="s">
        <v>2041</v>
      </c>
      <c r="D312" s="440">
        <v>150306687</v>
      </c>
      <c r="E312" s="441" t="s">
        <v>911</v>
      </c>
      <c r="F312" s="443" t="s">
        <v>912</v>
      </c>
      <c r="G312" s="32">
        <v>9</v>
      </c>
      <c r="H312" s="32" t="s">
        <v>1743</v>
      </c>
      <c r="I312" s="425">
        <v>348</v>
      </c>
      <c r="W312" s="2" t="s">
        <v>817</v>
      </c>
      <c r="X312" s="34"/>
      <c r="Y312" s="34"/>
      <c r="Z312" s="46"/>
      <c r="AA312" s="61"/>
      <c r="AB312" s="31"/>
      <c r="AC312" s="2">
        <f t="shared" ca="1" si="20"/>
        <v>40</v>
      </c>
      <c r="AD312" s="2" t="e">
        <f t="shared" ca="1" si="21"/>
        <v>#VALUE!</v>
      </c>
      <c r="AE312" s="2">
        <f t="shared" ref="AE312:AE361" ca="1" si="22">IF(AC312&lt;=69,AC312,IF(AC312=70,1))</f>
        <v>40</v>
      </c>
      <c r="AF312" s="2" t="e">
        <f t="shared" ref="AF312:AF361" ca="1" si="23">IF(AD312&lt;=69,AD312,IF(AD312=70,1))</f>
        <v>#VALUE!</v>
      </c>
    </row>
    <row r="313" spans="1:32" ht="32.4" customHeight="1">
      <c r="A313" s="31">
        <v>310</v>
      </c>
      <c r="B313" s="438">
        <v>30873</v>
      </c>
      <c r="C313" s="717" t="s">
        <v>1175</v>
      </c>
      <c r="D313" s="440">
        <v>150334789</v>
      </c>
      <c r="E313" s="441" t="s">
        <v>913</v>
      </c>
      <c r="F313" s="443" t="s">
        <v>914</v>
      </c>
      <c r="G313" s="32">
        <v>9</v>
      </c>
      <c r="H313" s="32" t="s">
        <v>1743</v>
      </c>
      <c r="I313" s="425">
        <v>349</v>
      </c>
      <c r="W313" s="2" t="s">
        <v>1609</v>
      </c>
      <c r="X313" s="34"/>
      <c r="Y313" s="34"/>
      <c r="Z313" s="46"/>
      <c r="AA313" s="61"/>
      <c r="AB313" s="31"/>
      <c r="AC313" s="2">
        <f t="shared" ca="1" si="20"/>
        <v>42</v>
      </c>
      <c r="AD313" s="2" t="e">
        <f t="shared" ca="1" si="21"/>
        <v>#VALUE!</v>
      </c>
      <c r="AE313" s="2">
        <f t="shared" ca="1" si="22"/>
        <v>42</v>
      </c>
      <c r="AF313" s="2" t="e">
        <f t="shared" ca="1" si="23"/>
        <v>#VALUE!</v>
      </c>
    </row>
    <row r="314" spans="1:32" ht="32.4" customHeight="1">
      <c r="A314" s="31">
        <v>311</v>
      </c>
      <c r="B314" s="438">
        <v>29587</v>
      </c>
      <c r="C314" s="717" t="s">
        <v>1175</v>
      </c>
      <c r="D314" s="440">
        <v>150307779</v>
      </c>
      <c r="E314" s="441" t="s">
        <v>1808</v>
      </c>
      <c r="F314" s="443" t="s">
        <v>1809</v>
      </c>
      <c r="G314" s="32">
        <v>9</v>
      </c>
      <c r="H314" s="32" t="s">
        <v>1743</v>
      </c>
      <c r="I314" s="425">
        <v>350</v>
      </c>
      <c r="W314" s="2" t="s">
        <v>900</v>
      </c>
      <c r="X314" s="34"/>
      <c r="Y314" s="34"/>
      <c r="Z314" s="46"/>
      <c r="AA314" s="61"/>
      <c r="AB314" s="31"/>
      <c r="AC314" s="2">
        <f t="shared" ca="1" si="20"/>
        <v>45</v>
      </c>
      <c r="AD314" s="2" t="e">
        <f t="shared" ca="1" si="21"/>
        <v>#VALUE!</v>
      </c>
      <c r="AE314" s="2">
        <f t="shared" ca="1" si="22"/>
        <v>45</v>
      </c>
      <c r="AF314" s="2" t="e">
        <f t="shared" ca="1" si="23"/>
        <v>#VALUE!</v>
      </c>
    </row>
    <row r="315" spans="1:32" ht="32.4" customHeight="1">
      <c r="A315" s="31">
        <v>312</v>
      </c>
      <c r="B315" s="438">
        <v>29421</v>
      </c>
      <c r="C315" s="718" t="s">
        <v>2041</v>
      </c>
      <c r="D315" s="440">
        <v>150741224</v>
      </c>
      <c r="E315" s="441" t="s">
        <v>915</v>
      </c>
      <c r="F315" s="443" t="s">
        <v>916</v>
      </c>
      <c r="G315" s="32">
        <v>9</v>
      </c>
      <c r="H315" s="32" t="s">
        <v>1743</v>
      </c>
      <c r="I315" s="425">
        <v>351</v>
      </c>
      <c r="W315" s="2" t="s">
        <v>902</v>
      </c>
      <c r="X315" s="34"/>
      <c r="Y315" s="34"/>
      <c r="Z315" s="46"/>
      <c r="AA315" s="61"/>
      <c r="AB315" s="31"/>
      <c r="AC315" s="2">
        <f t="shared" ca="1" si="20"/>
        <v>46</v>
      </c>
      <c r="AD315" s="2" t="e">
        <f t="shared" ca="1" si="21"/>
        <v>#VALUE!</v>
      </c>
      <c r="AE315" s="2">
        <f t="shared" ca="1" si="22"/>
        <v>46</v>
      </c>
      <c r="AF315" s="2" t="e">
        <f t="shared" ca="1" si="23"/>
        <v>#VALUE!</v>
      </c>
    </row>
    <row r="316" spans="1:32" ht="32.4" customHeight="1">
      <c r="A316" s="31">
        <v>313</v>
      </c>
      <c r="B316" s="438">
        <v>34412</v>
      </c>
      <c r="C316" s="718" t="s">
        <v>2041</v>
      </c>
      <c r="D316" s="440">
        <v>150658008</v>
      </c>
      <c r="E316" s="441" t="s">
        <v>1883</v>
      </c>
      <c r="F316" s="443" t="s">
        <v>918</v>
      </c>
      <c r="G316" s="32">
        <v>9</v>
      </c>
      <c r="H316" s="32" t="s">
        <v>1743</v>
      </c>
      <c r="I316" s="425">
        <v>352</v>
      </c>
      <c r="W316" s="2" t="s">
        <v>1611</v>
      </c>
      <c r="X316" s="34"/>
      <c r="Y316" s="34"/>
      <c r="Z316" s="46"/>
      <c r="AA316" s="47"/>
      <c r="AB316" s="31"/>
      <c r="AC316" s="2">
        <f t="shared" ca="1" si="20"/>
        <v>32</v>
      </c>
      <c r="AD316" s="2" t="e">
        <f t="shared" ca="1" si="21"/>
        <v>#VALUE!</v>
      </c>
      <c r="AE316" s="2">
        <f t="shared" ca="1" si="22"/>
        <v>32</v>
      </c>
      <c r="AF316" s="2" t="e">
        <f t="shared" ca="1" si="23"/>
        <v>#VALUE!</v>
      </c>
    </row>
    <row r="317" spans="1:32" ht="32.4" customHeight="1">
      <c r="A317" s="31">
        <v>314</v>
      </c>
      <c r="B317" s="438">
        <v>36539</v>
      </c>
      <c r="C317" s="718" t="s">
        <v>2041</v>
      </c>
      <c r="D317" s="440">
        <v>150791135</v>
      </c>
      <c r="E317" s="441" t="s">
        <v>1949</v>
      </c>
      <c r="F317" s="443" t="s">
        <v>1950</v>
      </c>
      <c r="G317" s="32">
        <v>9</v>
      </c>
      <c r="H317" s="32" t="s">
        <v>1743</v>
      </c>
      <c r="I317" s="425">
        <v>353</v>
      </c>
      <c r="W317" s="2" t="s">
        <v>1612</v>
      </c>
      <c r="X317" s="34"/>
      <c r="Y317" s="34"/>
      <c r="Z317" s="46"/>
      <c r="AA317" s="61"/>
      <c r="AB317" s="31"/>
      <c r="AC317" s="2">
        <f t="shared" ca="1" si="20"/>
        <v>26</v>
      </c>
      <c r="AD317" s="2" t="e">
        <f t="shared" ca="1" si="21"/>
        <v>#VALUE!</v>
      </c>
      <c r="AE317" s="2">
        <f t="shared" ca="1" si="22"/>
        <v>26</v>
      </c>
      <c r="AF317" s="2" t="e">
        <f t="shared" ca="1" si="23"/>
        <v>#VALUE!</v>
      </c>
    </row>
    <row r="318" spans="1:32" ht="32.4" customHeight="1">
      <c r="A318" s="31">
        <v>315</v>
      </c>
      <c r="B318" s="438">
        <v>31790</v>
      </c>
      <c r="C318" s="718" t="s">
        <v>2041</v>
      </c>
      <c r="D318" s="440">
        <v>150306396</v>
      </c>
      <c r="E318" s="441" t="s">
        <v>1626</v>
      </c>
      <c r="F318" s="443" t="s">
        <v>1201</v>
      </c>
      <c r="G318" s="32">
        <v>9</v>
      </c>
      <c r="H318" s="32" t="s">
        <v>1743</v>
      </c>
      <c r="I318" s="425">
        <v>354</v>
      </c>
      <c r="W318" s="2" t="s">
        <v>1613</v>
      </c>
      <c r="X318" s="34"/>
      <c r="Y318" s="34"/>
      <c r="Z318" s="46"/>
      <c r="AA318" s="61"/>
      <c r="AB318" s="31"/>
      <c r="AC318" s="2">
        <f t="shared" ca="1" si="20"/>
        <v>39</v>
      </c>
      <c r="AD318" s="2" t="e">
        <f t="shared" ca="1" si="21"/>
        <v>#VALUE!</v>
      </c>
      <c r="AE318" s="2">
        <f t="shared" ca="1" si="22"/>
        <v>39</v>
      </c>
      <c r="AF318" s="2" t="e">
        <f t="shared" ca="1" si="23"/>
        <v>#VALUE!</v>
      </c>
    </row>
    <row r="319" spans="1:32" ht="32.4" customHeight="1">
      <c r="A319" s="31">
        <v>316</v>
      </c>
      <c r="B319" s="438">
        <v>31584</v>
      </c>
      <c r="C319" s="717" t="s">
        <v>1175</v>
      </c>
      <c r="D319" s="440">
        <v>150306282</v>
      </c>
      <c r="E319" s="441" t="s">
        <v>2009</v>
      </c>
      <c r="F319" s="443" t="s">
        <v>2010</v>
      </c>
      <c r="G319" s="32">
        <v>9</v>
      </c>
      <c r="H319" s="32" t="s">
        <v>1743</v>
      </c>
      <c r="I319" s="425">
        <v>355</v>
      </c>
      <c r="W319" s="2" t="s">
        <v>1614</v>
      </c>
      <c r="X319" s="34"/>
      <c r="Y319" s="34"/>
      <c r="Z319" s="46"/>
      <c r="AA319" s="61"/>
      <c r="AB319" s="31"/>
      <c r="AC319" s="2">
        <f t="shared" ca="1" si="20"/>
        <v>40</v>
      </c>
      <c r="AD319" s="2" t="e">
        <f t="shared" ca="1" si="21"/>
        <v>#VALUE!</v>
      </c>
      <c r="AE319" s="2">
        <f t="shared" ca="1" si="22"/>
        <v>40</v>
      </c>
      <c r="AF319" s="2" t="e">
        <f t="shared" ca="1" si="23"/>
        <v>#VALUE!</v>
      </c>
    </row>
    <row r="320" spans="1:32" ht="32.4" customHeight="1">
      <c r="A320" s="31">
        <v>317</v>
      </c>
      <c r="B320" s="438">
        <v>31868</v>
      </c>
      <c r="C320" s="717" t="s">
        <v>1175</v>
      </c>
      <c r="D320" s="440">
        <v>150306067</v>
      </c>
      <c r="E320" s="441" t="s">
        <v>1985</v>
      </c>
      <c r="F320" s="443" t="s">
        <v>1811</v>
      </c>
      <c r="G320" s="32">
        <v>9</v>
      </c>
      <c r="H320" s="32" t="s">
        <v>1743</v>
      </c>
      <c r="I320" s="425">
        <v>356</v>
      </c>
      <c r="W320" s="2" t="s">
        <v>880</v>
      </c>
      <c r="X320" s="34"/>
      <c r="Y320" s="34"/>
      <c r="Z320" s="46"/>
      <c r="AA320" s="61"/>
      <c r="AB320" s="31"/>
      <c r="AC320" s="2">
        <f t="shared" ca="1" si="20"/>
        <v>39</v>
      </c>
      <c r="AD320" s="2" t="e">
        <f t="shared" ca="1" si="21"/>
        <v>#VALUE!</v>
      </c>
      <c r="AE320" s="2">
        <f t="shared" ca="1" si="22"/>
        <v>39</v>
      </c>
      <c r="AF320" s="2" t="e">
        <f t="shared" ca="1" si="23"/>
        <v>#VALUE!</v>
      </c>
    </row>
    <row r="321" spans="1:32" ht="32.4" customHeight="1">
      <c r="A321" s="31">
        <v>318</v>
      </c>
      <c r="B321" s="438">
        <v>29650</v>
      </c>
      <c r="C321" s="717" t="s">
        <v>1175</v>
      </c>
      <c r="D321" s="440">
        <v>150113426</v>
      </c>
      <c r="E321" s="441" t="s">
        <v>925</v>
      </c>
      <c r="F321" s="443" t="s">
        <v>926</v>
      </c>
      <c r="G321" s="32">
        <v>9</v>
      </c>
      <c r="H321" s="32" t="s">
        <v>1743</v>
      </c>
      <c r="I321" s="425">
        <v>357</v>
      </c>
      <c r="X321" s="34"/>
      <c r="Y321" s="34"/>
      <c r="Z321" s="46"/>
      <c r="AA321" s="61"/>
      <c r="AB321" s="31"/>
      <c r="AC321" s="2">
        <f t="shared" ca="1" si="20"/>
        <v>45</v>
      </c>
      <c r="AD321" s="2" t="e">
        <f t="shared" ca="1" si="21"/>
        <v>#VALUE!</v>
      </c>
      <c r="AE321" s="2">
        <f t="shared" ca="1" si="22"/>
        <v>45</v>
      </c>
      <c r="AF321" s="2" t="e">
        <f t="shared" ca="1" si="23"/>
        <v>#VALUE!</v>
      </c>
    </row>
    <row r="322" spans="1:32" ht="32.4" customHeight="1">
      <c r="A322" s="31">
        <v>319</v>
      </c>
      <c r="B322" s="438">
        <v>28978</v>
      </c>
      <c r="C322" s="718" t="s">
        <v>2041</v>
      </c>
      <c r="D322" s="440">
        <v>150113483</v>
      </c>
      <c r="E322" s="441" t="s">
        <v>927</v>
      </c>
      <c r="F322" s="443" t="s">
        <v>928</v>
      </c>
      <c r="G322" s="32">
        <v>9</v>
      </c>
      <c r="H322" s="32" t="s">
        <v>1743</v>
      </c>
      <c r="I322" s="425">
        <v>358</v>
      </c>
      <c r="X322" s="34"/>
      <c r="Y322" s="34"/>
      <c r="Z322" s="46"/>
      <c r="AA322" s="61"/>
      <c r="AB322" s="31"/>
      <c r="AC322" s="2">
        <f t="shared" ca="1" si="20"/>
        <v>47</v>
      </c>
      <c r="AD322" s="2" t="e">
        <f t="shared" ca="1" si="21"/>
        <v>#VALUE!</v>
      </c>
      <c r="AE322" s="2">
        <f t="shared" ca="1" si="22"/>
        <v>47</v>
      </c>
      <c r="AF322" s="2" t="e">
        <f t="shared" ca="1" si="23"/>
        <v>#VALUE!</v>
      </c>
    </row>
    <row r="323" spans="1:32" ht="32.4" customHeight="1">
      <c r="A323" s="31">
        <v>320</v>
      </c>
      <c r="B323" s="438">
        <v>35966</v>
      </c>
      <c r="C323" s="717" t="s">
        <v>1175</v>
      </c>
      <c r="D323" s="440">
        <v>150657912</v>
      </c>
      <c r="E323" s="441" t="s">
        <v>1951</v>
      </c>
      <c r="F323" s="443" t="s">
        <v>1952</v>
      </c>
      <c r="G323" s="32">
        <v>9</v>
      </c>
      <c r="H323" s="32" t="s">
        <v>1743</v>
      </c>
      <c r="I323" s="425">
        <v>359</v>
      </c>
      <c r="AC323" s="2">
        <f t="shared" ca="1" si="20"/>
        <v>28</v>
      </c>
      <c r="AD323" s="2" t="e">
        <f t="shared" ca="1" si="21"/>
        <v>#VALUE!</v>
      </c>
      <c r="AE323" s="2">
        <f t="shared" ca="1" si="22"/>
        <v>28</v>
      </c>
      <c r="AF323" s="2" t="e">
        <f t="shared" ca="1" si="23"/>
        <v>#VALUE!</v>
      </c>
    </row>
    <row r="324" spans="1:32" ht="32.4" customHeight="1">
      <c r="A324" s="31">
        <v>321</v>
      </c>
      <c r="B324" s="438">
        <v>36288</v>
      </c>
      <c r="C324" s="717" t="s">
        <v>1175</v>
      </c>
      <c r="D324" s="440">
        <v>150837360</v>
      </c>
      <c r="E324" s="441" t="s">
        <v>1953</v>
      </c>
      <c r="F324" s="443" t="s">
        <v>1954</v>
      </c>
      <c r="G324" s="32">
        <v>9</v>
      </c>
      <c r="H324" s="32" t="s">
        <v>1743</v>
      </c>
      <c r="I324" s="425">
        <v>360</v>
      </c>
      <c r="AC324" s="2">
        <f t="shared" ref="AC324:AC387" ca="1" si="24">YEAR(NOW())-YEAR(B324)</f>
        <v>27</v>
      </c>
      <c r="AD324" s="2" t="e">
        <f t="shared" ref="AD324:AD387" ca="1" si="25">YEAR(NOW())-YEAR(C324)</f>
        <v>#VALUE!</v>
      </c>
      <c r="AE324" s="2">
        <f t="shared" ca="1" si="22"/>
        <v>27</v>
      </c>
      <c r="AF324" s="2" t="e">
        <f t="shared" ca="1" si="23"/>
        <v>#VALUE!</v>
      </c>
    </row>
    <row r="325" spans="1:32" ht="32.4" customHeight="1">
      <c r="A325" s="31">
        <v>322</v>
      </c>
      <c r="B325" s="438">
        <v>29155</v>
      </c>
      <c r="C325" s="717" t="s">
        <v>1175</v>
      </c>
      <c r="D325" s="440">
        <v>150117884</v>
      </c>
      <c r="E325" s="441" t="s">
        <v>933</v>
      </c>
      <c r="F325" s="443" t="s">
        <v>934</v>
      </c>
      <c r="G325" s="32">
        <v>9</v>
      </c>
      <c r="H325" s="32" t="s">
        <v>1743</v>
      </c>
      <c r="I325" s="425">
        <v>361</v>
      </c>
      <c r="AC325" s="2">
        <f t="shared" ca="1" si="24"/>
        <v>47</v>
      </c>
      <c r="AD325" s="2" t="e">
        <f t="shared" ca="1" si="25"/>
        <v>#VALUE!</v>
      </c>
      <c r="AE325" s="2">
        <f t="shared" ca="1" si="22"/>
        <v>47</v>
      </c>
      <c r="AF325" s="2" t="e">
        <f t="shared" ca="1" si="23"/>
        <v>#VALUE!</v>
      </c>
    </row>
    <row r="326" spans="1:32" ht="32.4" customHeight="1">
      <c r="A326" s="31">
        <v>323</v>
      </c>
      <c r="B326" s="438">
        <v>29473</v>
      </c>
      <c r="C326" s="718" t="s">
        <v>2041</v>
      </c>
      <c r="D326" s="440">
        <v>150117755</v>
      </c>
      <c r="E326" s="441" t="s">
        <v>1884</v>
      </c>
      <c r="F326" s="438" t="s">
        <v>936</v>
      </c>
      <c r="G326" s="32">
        <v>9</v>
      </c>
      <c r="H326" s="32" t="s">
        <v>1743</v>
      </c>
      <c r="I326" s="425">
        <v>362</v>
      </c>
      <c r="AC326" s="2">
        <f t="shared" ca="1" si="24"/>
        <v>46</v>
      </c>
      <c r="AD326" s="2" t="e">
        <f t="shared" ca="1" si="25"/>
        <v>#VALUE!</v>
      </c>
      <c r="AE326" s="2">
        <f t="shared" ca="1" si="22"/>
        <v>46</v>
      </c>
      <c r="AF326" s="2" t="e">
        <f t="shared" ca="1" si="23"/>
        <v>#VALUE!</v>
      </c>
    </row>
    <row r="327" spans="1:32" ht="32.4" customHeight="1">
      <c r="A327" s="31">
        <v>324</v>
      </c>
      <c r="B327" s="438">
        <v>32654</v>
      </c>
      <c r="C327" s="718" t="s">
        <v>2041</v>
      </c>
      <c r="D327" s="440">
        <v>150836170</v>
      </c>
      <c r="E327" s="441" t="s">
        <v>1885</v>
      </c>
      <c r="F327" s="443" t="s">
        <v>938</v>
      </c>
      <c r="G327" s="32">
        <v>9</v>
      </c>
      <c r="H327" s="32" t="s">
        <v>1743</v>
      </c>
      <c r="I327" s="425">
        <v>363</v>
      </c>
      <c r="AC327" s="2">
        <f t="shared" ca="1" si="24"/>
        <v>37</v>
      </c>
      <c r="AD327" s="2" t="e">
        <f t="shared" ca="1" si="25"/>
        <v>#VALUE!</v>
      </c>
      <c r="AE327" s="2">
        <f t="shared" ca="1" si="22"/>
        <v>37</v>
      </c>
      <c r="AF327" s="2" t="e">
        <f t="shared" ca="1" si="23"/>
        <v>#VALUE!</v>
      </c>
    </row>
    <row r="328" spans="1:32" ht="32.4" customHeight="1">
      <c r="A328" s="31">
        <v>325</v>
      </c>
      <c r="B328" s="438">
        <v>33155</v>
      </c>
      <c r="C328" s="717" t="s">
        <v>1175</v>
      </c>
      <c r="D328" s="440">
        <v>150469847</v>
      </c>
      <c r="E328" s="441" t="s">
        <v>1955</v>
      </c>
      <c r="F328" s="443" t="s">
        <v>1326</v>
      </c>
      <c r="G328" s="32">
        <v>9</v>
      </c>
      <c r="H328" s="32" t="s">
        <v>1743</v>
      </c>
      <c r="I328" s="425">
        <v>364</v>
      </c>
      <c r="AC328" s="2">
        <f t="shared" ca="1" si="24"/>
        <v>36</v>
      </c>
      <c r="AD328" s="2" t="e">
        <f t="shared" ca="1" si="25"/>
        <v>#VALUE!</v>
      </c>
      <c r="AE328" s="2">
        <f t="shared" ca="1" si="22"/>
        <v>36</v>
      </c>
      <c r="AF328" s="2" t="e">
        <f t="shared" ca="1" si="23"/>
        <v>#VALUE!</v>
      </c>
    </row>
    <row r="329" spans="1:32" ht="32.4" customHeight="1">
      <c r="A329" s="31">
        <v>326</v>
      </c>
      <c r="B329" s="438">
        <v>33434</v>
      </c>
      <c r="C329" s="717" t="s">
        <v>1175</v>
      </c>
      <c r="D329" s="440">
        <v>15052285</v>
      </c>
      <c r="E329" s="441" t="s">
        <v>941</v>
      </c>
      <c r="F329" s="443" t="s">
        <v>942</v>
      </c>
      <c r="G329" s="32">
        <v>9</v>
      </c>
      <c r="H329" s="32" t="s">
        <v>1743</v>
      </c>
      <c r="I329" s="425">
        <v>365</v>
      </c>
      <c r="AC329" s="2">
        <f t="shared" ca="1" si="24"/>
        <v>35</v>
      </c>
      <c r="AD329" s="2" t="e">
        <f t="shared" ca="1" si="25"/>
        <v>#VALUE!</v>
      </c>
      <c r="AE329" s="2">
        <f t="shared" ca="1" si="22"/>
        <v>35</v>
      </c>
      <c r="AF329" s="2" t="e">
        <f t="shared" ca="1" si="23"/>
        <v>#VALUE!</v>
      </c>
    </row>
    <row r="330" spans="1:32" ht="32.4" customHeight="1">
      <c r="A330" s="31">
        <v>327</v>
      </c>
      <c r="B330" s="438">
        <v>33734</v>
      </c>
      <c r="C330" s="718" t="s">
        <v>2041</v>
      </c>
      <c r="D330" s="440">
        <v>220106377</v>
      </c>
      <c r="E330" s="441" t="s">
        <v>943</v>
      </c>
      <c r="F330" s="443" t="s">
        <v>944</v>
      </c>
      <c r="G330" s="32">
        <v>9</v>
      </c>
      <c r="H330" s="32" t="s">
        <v>1743</v>
      </c>
      <c r="I330" s="425">
        <v>366</v>
      </c>
      <c r="AC330" s="2">
        <f t="shared" ca="1" si="24"/>
        <v>34</v>
      </c>
      <c r="AD330" s="2" t="e">
        <f t="shared" ca="1" si="25"/>
        <v>#VALUE!</v>
      </c>
      <c r="AE330" s="2">
        <f t="shared" ca="1" si="22"/>
        <v>34</v>
      </c>
      <c r="AF330" s="2" t="e">
        <f t="shared" ca="1" si="23"/>
        <v>#VALUE!</v>
      </c>
    </row>
    <row r="331" spans="1:32" ht="32.4" customHeight="1">
      <c r="A331" s="31">
        <v>328</v>
      </c>
      <c r="B331" s="438">
        <v>33720</v>
      </c>
      <c r="C331" s="717" t="s">
        <v>1175</v>
      </c>
      <c r="D331" s="440">
        <v>150469786</v>
      </c>
      <c r="E331" s="441" t="s">
        <v>1986</v>
      </c>
      <c r="F331" s="443" t="s">
        <v>945</v>
      </c>
      <c r="G331" s="32">
        <v>9</v>
      </c>
      <c r="H331" s="32" t="s">
        <v>1743</v>
      </c>
      <c r="I331" s="425">
        <v>367</v>
      </c>
      <c r="AC331" s="2">
        <f t="shared" ca="1" si="24"/>
        <v>34</v>
      </c>
      <c r="AD331" s="2" t="e">
        <f t="shared" ca="1" si="25"/>
        <v>#VALUE!</v>
      </c>
      <c r="AE331" s="2">
        <f t="shared" ca="1" si="22"/>
        <v>34</v>
      </c>
      <c r="AF331" s="2" t="e">
        <f t="shared" ca="1" si="23"/>
        <v>#VALUE!</v>
      </c>
    </row>
    <row r="332" spans="1:32" ht="32.4" customHeight="1">
      <c r="A332" s="31">
        <v>329</v>
      </c>
      <c r="B332" s="438">
        <v>30711</v>
      </c>
      <c r="C332" s="718" t="s">
        <v>2041</v>
      </c>
      <c r="D332" s="440">
        <v>150306060</v>
      </c>
      <c r="E332" s="441" t="s">
        <v>946</v>
      </c>
      <c r="F332" s="443" t="s">
        <v>947</v>
      </c>
      <c r="G332" s="32">
        <v>9</v>
      </c>
      <c r="H332" s="32" t="s">
        <v>1743</v>
      </c>
      <c r="I332" s="425">
        <v>368</v>
      </c>
      <c r="AC332" s="2">
        <f t="shared" ca="1" si="24"/>
        <v>42</v>
      </c>
      <c r="AD332" s="2" t="e">
        <f t="shared" ca="1" si="25"/>
        <v>#VALUE!</v>
      </c>
      <c r="AE332" s="2">
        <f t="shared" ca="1" si="22"/>
        <v>42</v>
      </c>
      <c r="AF332" s="2" t="e">
        <f t="shared" ca="1" si="23"/>
        <v>#VALUE!</v>
      </c>
    </row>
    <row r="333" spans="1:32" ht="32.4" customHeight="1">
      <c r="A333" s="31">
        <v>330</v>
      </c>
      <c r="B333" s="438">
        <v>29441</v>
      </c>
      <c r="C333" s="717" t="s">
        <v>1175</v>
      </c>
      <c r="D333" s="440">
        <v>220175427</v>
      </c>
      <c r="E333" s="441" t="s">
        <v>948</v>
      </c>
      <c r="F333" s="443" t="s">
        <v>949</v>
      </c>
      <c r="G333" s="32">
        <v>9</v>
      </c>
      <c r="H333" s="32" t="s">
        <v>1743</v>
      </c>
      <c r="I333" s="425">
        <v>369</v>
      </c>
      <c r="AC333" s="2">
        <f t="shared" ca="1" si="24"/>
        <v>46</v>
      </c>
      <c r="AD333" s="2" t="e">
        <f t="shared" ca="1" si="25"/>
        <v>#VALUE!</v>
      </c>
      <c r="AE333" s="2">
        <f t="shared" ca="1" si="22"/>
        <v>46</v>
      </c>
      <c r="AF333" s="2" t="e">
        <f t="shared" ca="1" si="23"/>
        <v>#VALUE!</v>
      </c>
    </row>
    <row r="334" spans="1:32" ht="32.4" customHeight="1">
      <c r="A334" s="31">
        <v>331</v>
      </c>
      <c r="B334" s="438">
        <v>36898</v>
      </c>
      <c r="C334" s="717" t="s">
        <v>1175</v>
      </c>
      <c r="D334" s="440">
        <v>220175398</v>
      </c>
      <c r="E334" s="441" t="s">
        <v>950</v>
      </c>
      <c r="F334" s="443" t="s">
        <v>951</v>
      </c>
      <c r="G334" s="32">
        <v>9</v>
      </c>
      <c r="H334" s="32" t="s">
        <v>1743</v>
      </c>
      <c r="I334" s="425">
        <v>370</v>
      </c>
      <c r="AC334" s="2">
        <f t="shared" ca="1" si="24"/>
        <v>25</v>
      </c>
      <c r="AD334" s="2" t="e">
        <f t="shared" ca="1" si="25"/>
        <v>#VALUE!</v>
      </c>
      <c r="AE334" s="2">
        <f t="shared" ca="1" si="22"/>
        <v>25</v>
      </c>
      <c r="AF334" s="2" t="e">
        <f t="shared" ca="1" si="23"/>
        <v>#VALUE!</v>
      </c>
    </row>
    <row r="335" spans="1:32" ht="32.4" customHeight="1">
      <c r="A335" s="31">
        <v>332</v>
      </c>
      <c r="B335" s="438">
        <v>35381</v>
      </c>
      <c r="C335" s="718" t="s">
        <v>2041</v>
      </c>
      <c r="D335" s="440">
        <v>150811668</v>
      </c>
      <c r="E335" s="441" t="s">
        <v>1539</v>
      </c>
      <c r="F335" s="443" t="s">
        <v>1540</v>
      </c>
      <c r="G335" s="32">
        <v>9</v>
      </c>
      <c r="H335" s="32" t="s">
        <v>1743</v>
      </c>
      <c r="I335" s="425">
        <v>371</v>
      </c>
      <c r="AC335" s="2">
        <f t="shared" ca="1" si="24"/>
        <v>30</v>
      </c>
      <c r="AD335" s="2" t="e">
        <f t="shared" ca="1" si="25"/>
        <v>#VALUE!</v>
      </c>
      <c r="AE335" s="2">
        <f t="shared" ca="1" si="22"/>
        <v>30</v>
      </c>
      <c r="AF335" s="2" t="e">
        <f t="shared" ca="1" si="23"/>
        <v>#VALUE!</v>
      </c>
    </row>
    <row r="336" spans="1:32" ht="32.4" customHeight="1">
      <c r="A336" s="31">
        <v>333</v>
      </c>
      <c r="B336" s="438">
        <v>32894</v>
      </c>
      <c r="C336" s="718" t="s">
        <v>2041</v>
      </c>
      <c r="D336" s="440">
        <v>171032353</v>
      </c>
      <c r="E336" s="441" t="s">
        <v>2011</v>
      </c>
      <c r="F336" s="443" t="s">
        <v>2012</v>
      </c>
      <c r="G336" s="32">
        <v>9</v>
      </c>
      <c r="H336" s="32" t="s">
        <v>1743</v>
      </c>
      <c r="I336" s="425">
        <v>372</v>
      </c>
      <c r="AC336" s="2">
        <f t="shared" ca="1" si="24"/>
        <v>36</v>
      </c>
      <c r="AD336" s="2" t="e">
        <f t="shared" ca="1" si="25"/>
        <v>#VALUE!</v>
      </c>
      <c r="AE336" s="2">
        <f t="shared" ca="1" si="22"/>
        <v>36</v>
      </c>
      <c r="AF336" s="2" t="e">
        <f t="shared" ca="1" si="23"/>
        <v>#VALUE!</v>
      </c>
    </row>
    <row r="337" spans="1:32" ht="32.4" customHeight="1">
      <c r="A337" s="31">
        <v>334</v>
      </c>
      <c r="B337" s="438">
        <v>34132</v>
      </c>
      <c r="C337" s="718" t="s">
        <v>2041</v>
      </c>
      <c r="D337" s="440">
        <v>150469696</v>
      </c>
      <c r="E337" s="441" t="s">
        <v>956</v>
      </c>
      <c r="F337" s="443" t="s">
        <v>957</v>
      </c>
      <c r="G337" s="32">
        <v>9</v>
      </c>
      <c r="H337" s="32" t="s">
        <v>1743</v>
      </c>
      <c r="I337" s="425">
        <v>373</v>
      </c>
      <c r="AC337" s="2">
        <f t="shared" ca="1" si="24"/>
        <v>33</v>
      </c>
      <c r="AD337" s="2" t="e">
        <f t="shared" ca="1" si="25"/>
        <v>#VALUE!</v>
      </c>
      <c r="AE337" s="2">
        <f t="shared" ca="1" si="22"/>
        <v>33</v>
      </c>
      <c r="AF337" s="2" t="e">
        <f t="shared" ca="1" si="23"/>
        <v>#VALUE!</v>
      </c>
    </row>
    <row r="338" spans="1:32" ht="32.4" customHeight="1">
      <c r="A338" s="31">
        <v>335</v>
      </c>
      <c r="B338" s="438">
        <v>31544</v>
      </c>
      <c r="C338" s="718" t="s">
        <v>2041</v>
      </c>
      <c r="D338" s="440">
        <v>150293629</v>
      </c>
      <c r="E338" s="441" t="s">
        <v>1956</v>
      </c>
      <c r="F338" s="443" t="s">
        <v>1957</v>
      </c>
      <c r="G338" s="32">
        <v>9</v>
      </c>
      <c r="H338" s="32" t="s">
        <v>1743</v>
      </c>
      <c r="I338" s="425">
        <v>374</v>
      </c>
      <c r="AC338" s="2">
        <f t="shared" ca="1" si="24"/>
        <v>40</v>
      </c>
      <c r="AD338" s="2" t="e">
        <f t="shared" ca="1" si="25"/>
        <v>#VALUE!</v>
      </c>
      <c r="AE338" s="2">
        <f t="shared" ca="1" si="22"/>
        <v>40</v>
      </c>
      <c r="AF338" s="2" t="e">
        <f t="shared" ca="1" si="23"/>
        <v>#VALUE!</v>
      </c>
    </row>
    <row r="339" spans="1:32" ht="32.4" customHeight="1">
      <c r="A339" s="31">
        <v>336</v>
      </c>
      <c r="B339" s="438">
        <v>34376</v>
      </c>
      <c r="C339" s="717" t="s">
        <v>1175</v>
      </c>
      <c r="D339" s="440">
        <v>150468652</v>
      </c>
      <c r="E339" s="441" t="s">
        <v>1958</v>
      </c>
      <c r="F339" s="443" t="s">
        <v>1959</v>
      </c>
      <c r="G339" s="32">
        <v>9</v>
      </c>
      <c r="H339" s="32" t="s">
        <v>1743</v>
      </c>
      <c r="I339" s="425">
        <v>375</v>
      </c>
      <c r="AC339" s="2">
        <f t="shared" ca="1" si="24"/>
        <v>32</v>
      </c>
      <c r="AD339" s="2" t="e">
        <f t="shared" ca="1" si="25"/>
        <v>#VALUE!</v>
      </c>
      <c r="AE339" s="2">
        <f t="shared" ca="1" si="22"/>
        <v>32</v>
      </c>
      <c r="AF339" s="2" t="e">
        <f t="shared" ca="1" si="23"/>
        <v>#VALUE!</v>
      </c>
    </row>
    <row r="340" spans="1:32" ht="32.4" customHeight="1">
      <c r="A340" s="31">
        <v>337</v>
      </c>
      <c r="B340" s="438">
        <v>35159</v>
      </c>
      <c r="C340" s="718" t="s">
        <v>2041</v>
      </c>
      <c r="D340" s="440">
        <v>200189880</v>
      </c>
      <c r="E340" s="441" t="s">
        <v>929</v>
      </c>
      <c r="F340" s="443" t="s">
        <v>930</v>
      </c>
      <c r="G340" s="32">
        <v>9</v>
      </c>
      <c r="H340" s="32" t="s">
        <v>1743</v>
      </c>
      <c r="I340" s="425">
        <v>376</v>
      </c>
      <c r="AC340" s="2">
        <f t="shared" ca="1" si="24"/>
        <v>30</v>
      </c>
      <c r="AD340" s="2" t="e">
        <f t="shared" ca="1" si="25"/>
        <v>#VALUE!</v>
      </c>
      <c r="AE340" s="2">
        <f t="shared" ca="1" si="22"/>
        <v>30</v>
      </c>
      <c r="AF340" s="2" t="e">
        <f t="shared" ca="1" si="23"/>
        <v>#VALUE!</v>
      </c>
    </row>
    <row r="341" spans="1:32" ht="32.4" customHeight="1">
      <c r="A341" s="31">
        <v>338</v>
      </c>
      <c r="B341" s="438">
        <v>38372</v>
      </c>
      <c r="C341" s="717" t="s">
        <v>1175</v>
      </c>
      <c r="D341" s="440">
        <v>220222918</v>
      </c>
      <c r="E341" s="441" t="s">
        <v>964</v>
      </c>
      <c r="F341" s="443" t="s">
        <v>965</v>
      </c>
      <c r="G341" s="32">
        <v>9</v>
      </c>
      <c r="H341" s="32" t="s">
        <v>1743</v>
      </c>
      <c r="I341" s="425">
        <v>377</v>
      </c>
      <c r="AC341" s="2">
        <f t="shared" ca="1" si="24"/>
        <v>21</v>
      </c>
      <c r="AD341" s="2" t="e">
        <f t="shared" ca="1" si="25"/>
        <v>#VALUE!</v>
      </c>
      <c r="AE341" s="2">
        <f t="shared" ca="1" si="22"/>
        <v>21</v>
      </c>
      <c r="AF341" s="2" t="e">
        <f t="shared" ca="1" si="23"/>
        <v>#VALUE!</v>
      </c>
    </row>
    <row r="342" spans="1:32" ht="32.4" customHeight="1">
      <c r="A342" s="31">
        <v>339</v>
      </c>
      <c r="B342" s="438">
        <v>31534</v>
      </c>
      <c r="C342" s="718" t="s">
        <v>2041</v>
      </c>
      <c r="D342" s="440">
        <v>150741226</v>
      </c>
      <c r="E342" s="441" t="s">
        <v>966</v>
      </c>
      <c r="F342" s="443" t="s">
        <v>967</v>
      </c>
      <c r="G342" s="32">
        <v>9</v>
      </c>
      <c r="H342" s="32" t="s">
        <v>1743</v>
      </c>
      <c r="I342" s="425">
        <v>378</v>
      </c>
      <c r="AC342" s="2">
        <f t="shared" ca="1" si="24"/>
        <v>40</v>
      </c>
      <c r="AD342" s="2" t="e">
        <f t="shared" ca="1" si="25"/>
        <v>#VALUE!</v>
      </c>
      <c r="AE342" s="2">
        <f t="shared" ca="1" si="22"/>
        <v>40</v>
      </c>
      <c r="AF342" s="2" t="e">
        <f t="shared" ca="1" si="23"/>
        <v>#VALUE!</v>
      </c>
    </row>
    <row r="343" spans="1:32" ht="32.4" customHeight="1">
      <c r="A343" s="31">
        <v>340</v>
      </c>
      <c r="B343" s="438">
        <v>30812</v>
      </c>
      <c r="C343" s="718" t="s">
        <v>2041</v>
      </c>
      <c r="D343" s="440">
        <v>150306668</v>
      </c>
      <c r="E343" s="441" t="s">
        <v>968</v>
      </c>
      <c r="F343" s="443" t="s">
        <v>969</v>
      </c>
      <c r="G343" s="32">
        <v>9</v>
      </c>
      <c r="H343" s="32" t="s">
        <v>1743</v>
      </c>
      <c r="I343" s="425">
        <v>379</v>
      </c>
      <c r="AC343" s="2">
        <f t="shared" ca="1" si="24"/>
        <v>42</v>
      </c>
      <c r="AD343" s="2" t="e">
        <f t="shared" ca="1" si="25"/>
        <v>#VALUE!</v>
      </c>
      <c r="AE343" s="2">
        <f t="shared" ca="1" si="22"/>
        <v>42</v>
      </c>
      <c r="AF343" s="2" t="e">
        <f t="shared" ca="1" si="23"/>
        <v>#VALUE!</v>
      </c>
    </row>
    <row r="344" spans="1:32" ht="32.4" customHeight="1">
      <c r="A344" s="31">
        <v>341</v>
      </c>
      <c r="B344" s="438">
        <v>33644</v>
      </c>
      <c r="C344" s="717" t="s">
        <v>1175</v>
      </c>
      <c r="D344" s="440">
        <v>150657911</v>
      </c>
      <c r="E344" s="441" t="s">
        <v>970</v>
      </c>
      <c r="F344" s="443" t="s">
        <v>971</v>
      </c>
      <c r="G344" s="32">
        <v>9</v>
      </c>
      <c r="H344" s="32" t="s">
        <v>1743</v>
      </c>
      <c r="I344" s="425">
        <v>380</v>
      </c>
      <c r="AC344" s="2">
        <f t="shared" ca="1" si="24"/>
        <v>34</v>
      </c>
      <c r="AD344" s="2" t="e">
        <f t="shared" ca="1" si="25"/>
        <v>#VALUE!</v>
      </c>
      <c r="AE344" s="2">
        <f t="shared" ca="1" si="22"/>
        <v>34</v>
      </c>
      <c r="AF344" s="2" t="e">
        <f t="shared" ca="1" si="23"/>
        <v>#VALUE!</v>
      </c>
    </row>
    <row r="345" spans="1:32" ht="32.4" customHeight="1">
      <c r="A345" s="31">
        <v>342</v>
      </c>
      <c r="B345" s="438">
        <v>30411</v>
      </c>
      <c r="C345" s="717" t="s">
        <v>1175</v>
      </c>
      <c r="D345" s="440">
        <v>150612307</v>
      </c>
      <c r="E345" s="441" t="s">
        <v>972</v>
      </c>
      <c r="F345" s="443" t="s">
        <v>973</v>
      </c>
      <c r="G345" s="32">
        <v>9</v>
      </c>
      <c r="H345" s="32" t="s">
        <v>1743</v>
      </c>
      <c r="I345" s="425">
        <v>381</v>
      </c>
      <c r="AC345" s="2">
        <f t="shared" ca="1" si="24"/>
        <v>43</v>
      </c>
      <c r="AD345" s="2" t="e">
        <f t="shared" ca="1" si="25"/>
        <v>#VALUE!</v>
      </c>
      <c r="AE345" s="2">
        <f t="shared" ca="1" si="22"/>
        <v>43</v>
      </c>
      <c r="AF345" s="2" t="e">
        <f t="shared" ca="1" si="23"/>
        <v>#VALUE!</v>
      </c>
    </row>
    <row r="346" spans="1:32" ht="32.4" customHeight="1">
      <c r="A346" s="31">
        <v>343</v>
      </c>
      <c r="B346" s="438">
        <v>26007</v>
      </c>
      <c r="C346" s="718" t="s">
        <v>2041</v>
      </c>
      <c r="D346" s="440">
        <v>150306210</v>
      </c>
      <c r="E346" s="441" t="s">
        <v>1886</v>
      </c>
      <c r="F346" s="443" t="s">
        <v>975</v>
      </c>
      <c r="G346" s="32">
        <v>9</v>
      </c>
      <c r="H346" s="32" t="s">
        <v>1743</v>
      </c>
      <c r="I346" s="425">
        <v>382</v>
      </c>
      <c r="AC346" s="2">
        <f t="shared" ca="1" si="24"/>
        <v>55</v>
      </c>
      <c r="AD346" s="2" t="e">
        <f t="shared" ca="1" si="25"/>
        <v>#VALUE!</v>
      </c>
      <c r="AE346" s="2">
        <f t="shared" ca="1" si="22"/>
        <v>55</v>
      </c>
      <c r="AF346" s="2" t="e">
        <f t="shared" ca="1" si="23"/>
        <v>#VALUE!</v>
      </c>
    </row>
    <row r="347" spans="1:32" ht="32.4" customHeight="1">
      <c r="A347" s="31">
        <v>344</v>
      </c>
      <c r="B347" s="438">
        <v>38128</v>
      </c>
      <c r="C347" s="718" t="s">
        <v>2041</v>
      </c>
      <c r="D347" s="440">
        <v>150959815</v>
      </c>
      <c r="E347" s="441" t="s">
        <v>976</v>
      </c>
      <c r="F347" s="443" t="s">
        <v>977</v>
      </c>
      <c r="G347" s="32">
        <v>9</v>
      </c>
      <c r="H347" s="32" t="s">
        <v>1743</v>
      </c>
      <c r="I347" s="425">
        <v>383</v>
      </c>
      <c r="AC347" s="2">
        <f t="shared" ca="1" si="24"/>
        <v>22</v>
      </c>
      <c r="AD347" s="2" t="e">
        <f t="shared" ca="1" si="25"/>
        <v>#VALUE!</v>
      </c>
      <c r="AE347" s="2">
        <f t="shared" ca="1" si="22"/>
        <v>22</v>
      </c>
      <c r="AF347" s="2" t="e">
        <f t="shared" ca="1" si="23"/>
        <v>#VALUE!</v>
      </c>
    </row>
    <row r="348" spans="1:32" ht="32.4" customHeight="1">
      <c r="A348" s="31">
        <v>345</v>
      </c>
      <c r="B348" s="438">
        <v>32964</v>
      </c>
      <c r="C348" s="717" t="s">
        <v>1175</v>
      </c>
      <c r="D348" s="440">
        <v>150427594</v>
      </c>
      <c r="E348" s="441" t="s">
        <v>978</v>
      </c>
      <c r="F348" s="443" t="s">
        <v>979</v>
      </c>
      <c r="G348" s="32">
        <v>9</v>
      </c>
      <c r="H348" s="32" t="s">
        <v>1743</v>
      </c>
      <c r="I348" s="425">
        <v>384</v>
      </c>
      <c r="AC348" s="2">
        <f t="shared" ca="1" si="24"/>
        <v>36</v>
      </c>
      <c r="AD348" s="2" t="e">
        <f t="shared" ca="1" si="25"/>
        <v>#VALUE!</v>
      </c>
      <c r="AE348" s="2">
        <f t="shared" ca="1" si="22"/>
        <v>36</v>
      </c>
      <c r="AF348" s="2" t="e">
        <f t="shared" ca="1" si="23"/>
        <v>#VALUE!</v>
      </c>
    </row>
    <row r="349" spans="1:32" ht="32.4" customHeight="1">
      <c r="A349" s="31">
        <v>346</v>
      </c>
      <c r="B349" s="438">
        <v>38502</v>
      </c>
      <c r="C349" s="717" t="s">
        <v>1175</v>
      </c>
      <c r="D349" s="440">
        <v>151046475</v>
      </c>
      <c r="E349" s="441" t="s">
        <v>1987</v>
      </c>
      <c r="F349" s="443" t="s">
        <v>1813</v>
      </c>
      <c r="G349" s="32">
        <v>9</v>
      </c>
      <c r="H349" s="32" t="s">
        <v>1743</v>
      </c>
      <c r="I349" s="425">
        <v>385</v>
      </c>
      <c r="AC349" s="2">
        <f t="shared" ca="1" si="24"/>
        <v>21</v>
      </c>
      <c r="AD349" s="2" t="e">
        <f t="shared" ca="1" si="25"/>
        <v>#VALUE!</v>
      </c>
      <c r="AE349" s="2">
        <f t="shared" ca="1" si="22"/>
        <v>21</v>
      </c>
      <c r="AF349" s="2" t="e">
        <f t="shared" ca="1" si="23"/>
        <v>#VALUE!</v>
      </c>
    </row>
    <row r="350" spans="1:32" ht="32.4" customHeight="1">
      <c r="A350" s="31">
        <v>347</v>
      </c>
      <c r="B350" s="438">
        <v>35339</v>
      </c>
      <c r="C350" s="718" t="s">
        <v>2041</v>
      </c>
      <c r="D350" s="440">
        <v>150523486</v>
      </c>
      <c r="E350" s="441" t="s">
        <v>980</v>
      </c>
      <c r="F350" s="443" t="s">
        <v>981</v>
      </c>
      <c r="G350" s="32">
        <v>10</v>
      </c>
      <c r="H350" s="32" t="s">
        <v>1743</v>
      </c>
      <c r="I350" s="33">
        <v>386</v>
      </c>
      <c r="AC350" s="2">
        <f t="shared" ca="1" si="24"/>
        <v>30</v>
      </c>
      <c r="AD350" s="2" t="e">
        <f t="shared" ca="1" si="25"/>
        <v>#VALUE!</v>
      </c>
      <c r="AE350" s="2">
        <f t="shared" ca="1" si="22"/>
        <v>30</v>
      </c>
      <c r="AF350" s="2" t="e">
        <f t="shared" ca="1" si="23"/>
        <v>#VALUE!</v>
      </c>
    </row>
    <row r="351" spans="1:32" ht="32.4" customHeight="1">
      <c r="A351" s="31">
        <v>348</v>
      </c>
      <c r="B351" s="438">
        <v>36779</v>
      </c>
      <c r="C351" s="717" t="s">
        <v>1175</v>
      </c>
      <c r="D351" s="440">
        <v>150836175</v>
      </c>
      <c r="E351" s="441" t="s">
        <v>1887</v>
      </c>
      <c r="F351" s="443" t="s">
        <v>983</v>
      </c>
      <c r="G351" s="32">
        <v>10</v>
      </c>
      <c r="H351" s="32" t="s">
        <v>1743</v>
      </c>
      <c r="I351" s="425">
        <v>387</v>
      </c>
      <c r="AC351" s="2">
        <f t="shared" ca="1" si="24"/>
        <v>26</v>
      </c>
      <c r="AD351" s="2" t="e">
        <f t="shared" ca="1" si="25"/>
        <v>#VALUE!</v>
      </c>
      <c r="AE351" s="2">
        <f t="shared" ca="1" si="22"/>
        <v>26</v>
      </c>
      <c r="AF351" s="2" t="e">
        <f t="shared" ca="1" si="23"/>
        <v>#VALUE!</v>
      </c>
    </row>
    <row r="352" spans="1:32" ht="32.4" customHeight="1">
      <c r="A352" s="31">
        <v>349</v>
      </c>
      <c r="B352" s="438">
        <v>34157</v>
      </c>
      <c r="C352" s="718" t="s">
        <v>2041</v>
      </c>
      <c r="D352" s="440">
        <v>150934789</v>
      </c>
      <c r="E352" s="441" t="s">
        <v>1888</v>
      </c>
      <c r="F352" s="443" t="s">
        <v>985</v>
      </c>
      <c r="G352" s="32">
        <v>10</v>
      </c>
      <c r="H352" s="32" t="s">
        <v>1743</v>
      </c>
      <c r="I352" s="425">
        <v>388</v>
      </c>
      <c r="AC352" s="2">
        <f t="shared" ca="1" si="24"/>
        <v>33</v>
      </c>
      <c r="AD352" s="2" t="e">
        <f t="shared" ca="1" si="25"/>
        <v>#VALUE!</v>
      </c>
      <c r="AE352" s="2">
        <f t="shared" ca="1" si="22"/>
        <v>33</v>
      </c>
      <c r="AF352" s="2" t="e">
        <f t="shared" ca="1" si="23"/>
        <v>#VALUE!</v>
      </c>
    </row>
    <row r="353" spans="1:32" ht="32.4" customHeight="1">
      <c r="A353" s="31">
        <v>350</v>
      </c>
      <c r="B353" s="438">
        <v>27404</v>
      </c>
      <c r="C353" s="717" t="s">
        <v>1175</v>
      </c>
      <c r="D353" s="440">
        <v>150840499</v>
      </c>
      <c r="E353" s="441" t="s">
        <v>986</v>
      </c>
      <c r="F353" s="443" t="s">
        <v>987</v>
      </c>
      <c r="G353" s="32">
        <v>10</v>
      </c>
      <c r="H353" s="32" t="s">
        <v>1743</v>
      </c>
      <c r="I353" s="425">
        <v>389</v>
      </c>
      <c r="AC353" s="2">
        <f t="shared" ca="1" si="24"/>
        <v>51</v>
      </c>
      <c r="AD353" s="2" t="e">
        <f t="shared" ca="1" si="25"/>
        <v>#VALUE!</v>
      </c>
      <c r="AE353" s="2">
        <f t="shared" ca="1" si="22"/>
        <v>51</v>
      </c>
      <c r="AF353" s="2" t="e">
        <f t="shared" ca="1" si="23"/>
        <v>#VALUE!</v>
      </c>
    </row>
    <row r="354" spans="1:32" ht="32.4" customHeight="1">
      <c r="A354" s="31">
        <v>351</v>
      </c>
      <c r="B354" s="438">
        <v>28646</v>
      </c>
      <c r="C354" s="718" t="s">
        <v>2041</v>
      </c>
      <c r="D354" s="440">
        <v>150639086</v>
      </c>
      <c r="E354" s="441" t="s">
        <v>1889</v>
      </c>
      <c r="F354" s="443" t="s">
        <v>989</v>
      </c>
      <c r="G354" s="32">
        <v>10</v>
      </c>
      <c r="H354" s="32" t="s">
        <v>1743</v>
      </c>
      <c r="I354" s="425">
        <v>390</v>
      </c>
      <c r="AC354" s="2">
        <f t="shared" ca="1" si="24"/>
        <v>48</v>
      </c>
      <c r="AD354" s="2" t="e">
        <f t="shared" ca="1" si="25"/>
        <v>#VALUE!</v>
      </c>
      <c r="AE354" s="2">
        <f t="shared" ca="1" si="22"/>
        <v>48</v>
      </c>
      <c r="AF354" s="2" t="e">
        <f t="shared" ca="1" si="23"/>
        <v>#VALUE!</v>
      </c>
    </row>
    <row r="355" spans="1:32" ht="32.4" customHeight="1">
      <c r="A355" s="31">
        <v>352</v>
      </c>
      <c r="B355" s="438">
        <v>29468</v>
      </c>
      <c r="C355" s="718" t="s">
        <v>2041</v>
      </c>
      <c r="D355" s="440">
        <v>150306268</v>
      </c>
      <c r="E355" s="441" t="s">
        <v>1046</v>
      </c>
      <c r="F355" s="443" t="s">
        <v>1047</v>
      </c>
      <c r="G355" s="32">
        <v>10</v>
      </c>
      <c r="H355" s="32" t="s">
        <v>1743</v>
      </c>
      <c r="I355" s="425">
        <v>391</v>
      </c>
      <c r="AC355" s="2">
        <f t="shared" ca="1" si="24"/>
        <v>46</v>
      </c>
      <c r="AD355" s="2" t="e">
        <f t="shared" ca="1" si="25"/>
        <v>#VALUE!</v>
      </c>
      <c r="AE355" s="2">
        <f t="shared" ca="1" si="22"/>
        <v>46</v>
      </c>
      <c r="AF355" s="2" t="e">
        <f t="shared" ca="1" si="23"/>
        <v>#VALUE!</v>
      </c>
    </row>
    <row r="356" spans="1:32" ht="32.4" customHeight="1">
      <c r="A356" s="31">
        <v>353</v>
      </c>
      <c r="B356" s="438">
        <v>35189</v>
      </c>
      <c r="C356" s="717" t="s">
        <v>1175</v>
      </c>
      <c r="D356" s="440">
        <v>150756151</v>
      </c>
      <c r="E356" s="441" t="s">
        <v>1020</v>
      </c>
      <c r="F356" s="443" t="s">
        <v>1021</v>
      </c>
      <c r="G356" s="32">
        <v>10</v>
      </c>
      <c r="H356" s="32" t="s">
        <v>1743</v>
      </c>
      <c r="I356" s="425">
        <v>392</v>
      </c>
      <c r="AC356" s="2">
        <f t="shared" ca="1" si="24"/>
        <v>30</v>
      </c>
      <c r="AD356" s="2" t="e">
        <f t="shared" ca="1" si="25"/>
        <v>#VALUE!</v>
      </c>
      <c r="AE356" s="2">
        <f t="shared" ca="1" si="22"/>
        <v>30</v>
      </c>
      <c r="AF356" s="2" t="e">
        <f t="shared" ca="1" si="23"/>
        <v>#VALUE!</v>
      </c>
    </row>
    <row r="357" spans="1:32" ht="32.4" customHeight="1">
      <c r="A357" s="31">
        <v>354</v>
      </c>
      <c r="B357" s="438">
        <v>34719</v>
      </c>
      <c r="C357" s="718" t="s">
        <v>2041</v>
      </c>
      <c r="D357" s="440">
        <v>150588224</v>
      </c>
      <c r="E357" s="441" t="s">
        <v>1018</v>
      </c>
      <c r="F357" s="443" t="s">
        <v>1019</v>
      </c>
      <c r="G357" s="32">
        <v>10</v>
      </c>
      <c r="H357" s="32" t="s">
        <v>1743</v>
      </c>
      <c r="I357" s="425">
        <v>393</v>
      </c>
      <c r="AC357" s="2">
        <f t="shared" ca="1" si="24"/>
        <v>31</v>
      </c>
      <c r="AD357" s="2" t="e">
        <f t="shared" ca="1" si="25"/>
        <v>#VALUE!</v>
      </c>
      <c r="AE357" s="2">
        <f t="shared" ca="1" si="22"/>
        <v>31</v>
      </c>
      <c r="AF357" s="2" t="e">
        <f t="shared" ca="1" si="23"/>
        <v>#VALUE!</v>
      </c>
    </row>
    <row r="358" spans="1:32" ht="32.4" customHeight="1">
      <c r="A358" s="31">
        <v>355</v>
      </c>
      <c r="B358" s="438">
        <v>33608</v>
      </c>
      <c r="C358" s="718" t="s">
        <v>2041</v>
      </c>
      <c r="D358" s="440">
        <v>150326634</v>
      </c>
      <c r="E358" s="441" t="s">
        <v>2013</v>
      </c>
      <c r="F358" s="443" t="s">
        <v>990</v>
      </c>
      <c r="G358" s="32">
        <v>10</v>
      </c>
      <c r="H358" s="32" t="s">
        <v>1743</v>
      </c>
      <c r="I358" s="425">
        <v>394</v>
      </c>
      <c r="AC358" s="2">
        <f t="shared" ca="1" si="24"/>
        <v>34</v>
      </c>
      <c r="AD358" s="2" t="e">
        <f t="shared" ca="1" si="25"/>
        <v>#VALUE!</v>
      </c>
      <c r="AE358" s="2">
        <f t="shared" ca="1" si="22"/>
        <v>34</v>
      </c>
      <c r="AF358" s="2" t="e">
        <f t="shared" ca="1" si="23"/>
        <v>#VALUE!</v>
      </c>
    </row>
    <row r="359" spans="1:32" ht="32.4" customHeight="1">
      <c r="A359" s="31">
        <v>356</v>
      </c>
      <c r="B359" s="438">
        <v>31875</v>
      </c>
      <c r="C359" s="717" t="s">
        <v>1175</v>
      </c>
      <c r="D359" s="452">
        <v>151008701</v>
      </c>
      <c r="E359" s="719" t="s">
        <v>2052</v>
      </c>
      <c r="F359" s="720" t="s">
        <v>2053</v>
      </c>
      <c r="G359" s="32">
        <v>10</v>
      </c>
      <c r="H359" s="32" t="s">
        <v>1743</v>
      </c>
      <c r="I359" s="426">
        <v>395</v>
      </c>
      <c r="AC359" s="2">
        <f t="shared" ca="1" si="24"/>
        <v>39</v>
      </c>
      <c r="AD359" s="2" t="e">
        <f t="shared" ca="1" si="25"/>
        <v>#VALUE!</v>
      </c>
      <c r="AE359" s="2">
        <f t="shared" ca="1" si="22"/>
        <v>39</v>
      </c>
      <c r="AF359" s="2" t="e">
        <f t="shared" ca="1" si="23"/>
        <v>#VALUE!</v>
      </c>
    </row>
    <row r="360" spans="1:32" ht="32.4" customHeight="1">
      <c r="A360" s="31">
        <v>357</v>
      </c>
      <c r="B360" s="438">
        <v>33121</v>
      </c>
      <c r="C360" s="718" t="s">
        <v>2041</v>
      </c>
      <c r="D360" s="440">
        <v>190571356</v>
      </c>
      <c r="E360" s="441" t="s">
        <v>1749</v>
      </c>
      <c r="F360" s="443" t="s">
        <v>1750</v>
      </c>
      <c r="G360" s="32">
        <v>10</v>
      </c>
      <c r="H360" s="32" t="s">
        <v>1743</v>
      </c>
      <c r="I360" s="425">
        <v>396</v>
      </c>
      <c r="AC360" s="2">
        <f t="shared" ca="1" si="24"/>
        <v>36</v>
      </c>
      <c r="AD360" s="2" t="e">
        <f t="shared" ca="1" si="25"/>
        <v>#VALUE!</v>
      </c>
      <c r="AE360" s="2">
        <f t="shared" ca="1" si="22"/>
        <v>36</v>
      </c>
      <c r="AF360" s="2" t="e">
        <f t="shared" ca="1" si="23"/>
        <v>#VALUE!</v>
      </c>
    </row>
    <row r="361" spans="1:32" ht="32.4" customHeight="1">
      <c r="A361" s="31">
        <v>358</v>
      </c>
      <c r="B361" s="438">
        <v>33334</v>
      </c>
      <c r="C361" s="717" t="s">
        <v>1175</v>
      </c>
      <c r="D361" s="440">
        <v>150523663</v>
      </c>
      <c r="E361" s="441" t="s">
        <v>1988</v>
      </c>
      <c r="F361" s="443" t="s">
        <v>1752</v>
      </c>
      <c r="G361" s="32">
        <v>10</v>
      </c>
      <c r="H361" s="32" t="s">
        <v>1743</v>
      </c>
      <c r="I361" s="425">
        <v>397</v>
      </c>
      <c r="X361" s="34"/>
      <c r="Y361" s="34"/>
      <c r="Z361" s="46"/>
      <c r="AA361" s="47"/>
      <c r="AB361" s="31"/>
      <c r="AC361" s="2">
        <f t="shared" ca="1" si="24"/>
        <v>35</v>
      </c>
      <c r="AD361" s="2" t="e">
        <f t="shared" ca="1" si="25"/>
        <v>#VALUE!</v>
      </c>
      <c r="AE361" s="2">
        <f t="shared" ca="1" si="22"/>
        <v>35</v>
      </c>
      <c r="AF361" s="2" t="e">
        <f t="shared" ca="1" si="23"/>
        <v>#VALUE!</v>
      </c>
    </row>
    <row r="362" spans="1:32" ht="32.4" customHeight="1">
      <c r="A362" s="31">
        <v>359</v>
      </c>
      <c r="B362" s="438">
        <v>32721</v>
      </c>
      <c r="C362" s="717" t="s">
        <v>1175</v>
      </c>
      <c r="D362" s="440">
        <v>150976582</v>
      </c>
      <c r="E362" s="441" t="s">
        <v>998</v>
      </c>
      <c r="F362" s="443" t="s">
        <v>999</v>
      </c>
      <c r="G362" s="32">
        <v>10</v>
      </c>
      <c r="H362" s="32" t="s">
        <v>1743</v>
      </c>
      <c r="I362" s="425">
        <v>398</v>
      </c>
      <c r="AC362" s="2">
        <f t="shared" ca="1" si="24"/>
        <v>37</v>
      </c>
      <c r="AD362" s="2" t="e">
        <f t="shared" ca="1" si="25"/>
        <v>#VALUE!</v>
      </c>
      <c r="AE362" s="2">
        <f t="shared" ref="AE362:AE425" ca="1" si="26">IF(AC362&lt;=69,AC362,IF(AC362=70,1))</f>
        <v>37</v>
      </c>
      <c r="AF362" s="2" t="e">
        <f t="shared" ref="AF362:AF425" ca="1" si="27">IF(AD362&lt;=69,AD362,IF(AD362=70,1))</f>
        <v>#VALUE!</v>
      </c>
    </row>
    <row r="363" spans="1:32" ht="32.4" customHeight="1">
      <c r="A363" s="31">
        <v>360</v>
      </c>
      <c r="B363" s="438">
        <v>26706</v>
      </c>
      <c r="C363" s="717" t="s">
        <v>1175</v>
      </c>
      <c r="D363" s="440">
        <v>150238983</v>
      </c>
      <c r="E363" s="441" t="s">
        <v>1000</v>
      </c>
      <c r="F363" s="443" t="s">
        <v>1001</v>
      </c>
      <c r="G363" s="32">
        <v>10</v>
      </c>
      <c r="H363" s="32" t="s">
        <v>1743</v>
      </c>
      <c r="I363" s="425">
        <v>399</v>
      </c>
      <c r="AC363" s="2">
        <f t="shared" ca="1" si="24"/>
        <v>53</v>
      </c>
      <c r="AD363" s="2" t="e">
        <f t="shared" ca="1" si="25"/>
        <v>#VALUE!</v>
      </c>
      <c r="AE363" s="2">
        <f t="shared" ca="1" si="26"/>
        <v>53</v>
      </c>
      <c r="AF363" s="2" t="e">
        <f t="shared" ca="1" si="27"/>
        <v>#VALUE!</v>
      </c>
    </row>
    <row r="364" spans="1:32" ht="32.4" customHeight="1">
      <c r="A364" s="31">
        <v>361</v>
      </c>
      <c r="B364" s="438">
        <v>31188</v>
      </c>
      <c r="C364" s="718" t="s">
        <v>2041</v>
      </c>
      <c r="D364" s="440">
        <v>150326584</v>
      </c>
      <c r="E364" s="441" t="s">
        <v>1890</v>
      </c>
      <c r="F364" s="443" t="s">
        <v>1003</v>
      </c>
      <c r="G364" s="32">
        <v>10</v>
      </c>
      <c r="H364" s="32" t="s">
        <v>1743</v>
      </c>
      <c r="I364" s="425">
        <v>400</v>
      </c>
      <c r="AC364" s="2">
        <f t="shared" ca="1" si="24"/>
        <v>41</v>
      </c>
      <c r="AD364" s="2" t="e">
        <f t="shared" ca="1" si="25"/>
        <v>#VALUE!</v>
      </c>
      <c r="AE364" s="2">
        <f t="shared" ca="1" si="26"/>
        <v>41</v>
      </c>
      <c r="AF364" s="2" t="e">
        <f t="shared" ca="1" si="27"/>
        <v>#VALUE!</v>
      </c>
    </row>
    <row r="365" spans="1:32" ht="32.4" customHeight="1">
      <c r="A365" s="31">
        <v>362</v>
      </c>
      <c r="B365" s="438">
        <v>26369</v>
      </c>
      <c r="C365" s="718" t="s">
        <v>2041</v>
      </c>
      <c r="D365" s="440">
        <v>150360044</v>
      </c>
      <c r="E365" s="441" t="s">
        <v>1004</v>
      </c>
      <c r="F365" s="443" t="s">
        <v>1005</v>
      </c>
      <c r="G365" s="32">
        <v>10</v>
      </c>
      <c r="H365" s="32" t="s">
        <v>1743</v>
      </c>
      <c r="I365" s="425">
        <v>401</v>
      </c>
      <c r="AC365" s="2">
        <f t="shared" ca="1" si="24"/>
        <v>54</v>
      </c>
      <c r="AD365" s="2" t="e">
        <f t="shared" ca="1" si="25"/>
        <v>#VALUE!</v>
      </c>
      <c r="AE365" s="2">
        <f t="shared" ca="1" si="26"/>
        <v>54</v>
      </c>
      <c r="AF365" s="2" t="e">
        <f t="shared" ca="1" si="27"/>
        <v>#VALUE!</v>
      </c>
    </row>
    <row r="366" spans="1:32" ht="32.4" customHeight="1">
      <c r="A366" s="31">
        <v>363</v>
      </c>
      <c r="B366" s="438">
        <v>30317</v>
      </c>
      <c r="C366" s="717" t="s">
        <v>1175</v>
      </c>
      <c r="D366" s="440">
        <v>150574803</v>
      </c>
      <c r="E366" s="441" t="s">
        <v>2014</v>
      </c>
      <c r="F366" s="443" t="s">
        <v>2015</v>
      </c>
      <c r="G366" s="32">
        <v>10</v>
      </c>
      <c r="H366" s="32" t="s">
        <v>1743</v>
      </c>
      <c r="I366" s="425">
        <v>402</v>
      </c>
      <c r="AC366" s="2">
        <f t="shared" ca="1" si="24"/>
        <v>43</v>
      </c>
      <c r="AD366" s="2" t="e">
        <f t="shared" ca="1" si="25"/>
        <v>#VALUE!</v>
      </c>
      <c r="AE366" s="2">
        <f t="shared" ca="1" si="26"/>
        <v>43</v>
      </c>
      <c r="AF366" s="2" t="e">
        <f t="shared" ca="1" si="27"/>
        <v>#VALUE!</v>
      </c>
    </row>
    <row r="367" spans="1:32" ht="32.4" customHeight="1">
      <c r="A367" s="31">
        <v>364</v>
      </c>
      <c r="B367" s="438">
        <v>28995</v>
      </c>
      <c r="C367" s="717" t="s">
        <v>1175</v>
      </c>
      <c r="D367" s="440">
        <v>150612281</v>
      </c>
      <c r="E367" s="441" t="s">
        <v>1008</v>
      </c>
      <c r="F367" s="443" t="s">
        <v>1009</v>
      </c>
      <c r="G367" s="32">
        <v>10</v>
      </c>
      <c r="H367" s="32" t="s">
        <v>1743</v>
      </c>
      <c r="I367" s="425">
        <v>403</v>
      </c>
      <c r="AC367" s="2">
        <f t="shared" ca="1" si="24"/>
        <v>47</v>
      </c>
      <c r="AD367" s="2" t="e">
        <f t="shared" ca="1" si="25"/>
        <v>#VALUE!</v>
      </c>
      <c r="AE367" s="2">
        <f t="shared" ca="1" si="26"/>
        <v>47</v>
      </c>
      <c r="AF367" s="2" t="e">
        <f t="shared" ca="1" si="27"/>
        <v>#VALUE!</v>
      </c>
    </row>
    <row r="368" spans="1:32" ht="32.4" customHeight="1">
      <c r="A368" s="31">
        <v>365</v>
      </c>
      <c r="B368" s="438">
        <v>27857</v>
      </c>
      <c r="C368" s="718" t="s">
        <v>2041</v>
      </c>
      <c r="D368" s="440">
        <v>150612359</v>
      </c>
      <c r="E368" s="441" t="s">
        <v>1891</v>
      </c>
      <c r="F368" s="443" t="s">
        <v>1011</v>
      </c>
      <c r="G368" s="32">
        <v>10</v>
      </c>
      <c r="H368" s="32" t="s">
        <v>1743</v>
      </c>
      <c r="I368" s="425">
        <v>404</v>
      </c>
      <c r="AC368" s="2">
        <f t="shared" ca="1" si="24"/>
        <v>50</v>
      </c>
      <c r="AD368" s="2" t="e">
        <f t="shared" ca="1" si="25"/>
        <v>#VALUE!</v>
      </c>
      <c r="AE368" s="2">
        <f t="shared" ca="1" si="26"/>
        <v>50</v>
      </c>
      <c r="AF368" s="2" t="e">
        <f t="shared" ca="1" si="27"/>
        <v>#VALUE!</v>
      </c>
    </row>
    <row r="369" spans="1:37" ht="32.4" customHeight="1">
      <c r="A369" s="31">
        <v>366</v>
      </c>
      <c r="B369" s="438">
        <v>29230</v>
      </c>
      <c r="C369" s="717" t="s">
        <v>1175</v>
      </c>
      <c r="D369" s="440">
        <v>151024428</v>
      </c>
      <c r="E369" s="441" t="s">
        <v>1012</v>
      </c>
      <c r="F369" s="443" t="s">
        <v>1013</v>
      </c>
      <c r="G369" s="32">
        <v>10</v>
      </c>
      <c r="H369" s="32" t="s">
        <v>1743</v>
      </c>
      <c r="I369" s="425">
        <v>405</v>
      </c>
      <c r="AC369" s="2">
        <f t="shared" ca="1" si="24"/>
        <v>46</v>
      </c>
      <c r="AD369" s="2" t="e">
        <f t="shared" ca="1" si="25"/>
        <v>#VALUE!</v>
      </c>
      <c r="AE369" s="2">
        <f t="shared" ca="1" si="26"/>
        <v>46</v>
      </c>
      <c r="AF369" s="2" t="e">
        <f t="shared" ca="1" si="27"/>
        <v>#VALUE!</v>
      </c>
    </row>
    <row r="370" spans="1:37" ht="32.4" customHeight="1">
      <c r="A370" s="31">
        <v>367</v>
      </c>
      <c r="B370" s="438">
        <v>36474</v>
      </c>
      <c r="C370" s="717" t="s">
        <v>1175</v>
      </c>
      <c r="D370" s="440">
        <v>150932586</v>
      </c>
      <c r="E370" s="441" t="s">
        <v>1816</v>
      </c>
      <c r="F370" s="443" t="s">
        <v>1817</v>
      </c>
      <c r="G370" s="32">
        <v>10</v>
      </c>
      <c r="H370" s="32" t="s">
        <v>1743</v>
      </c>
      <c r="I370" s="425">
        <v>406</v>
      </c>
      <c r="AC370" s="2">
        <f t="shared" ca="1" si="24"/>
        <v>27</v>
      </c>
      <c r="AD370" s="2" t="e">
        <f t="shared" ca="1" si="25"/>
        <v>#VALUE!</v>
      </c>
      <c r="AE370" s="2">
        <f t="shared" ca="1" si="26"/>
        <v>27</v>
      </c>
      <c r="AF370" s="2" t="e">
        <f t="shared" ca="1" si="27"/>
        <v>#VALUE!</v>
      </c>
    </row>
    <row r="371" spans="1:37" ht="32.4" customHeight="1">
      <c r="A371" s="31">
        <v>368</v>
      </c>
      <c r="B371" s="438">
        <v>36198</v>
      </c>
      <c r="C371" s="717" t="s">
        <v>1175</v>
      </c>
      <c r="D371" s="440">
        <v>150648468</v>
      </c>
      <c r="E371" s="441" t="s">
        <v>1014</v>
      </c>
      <c r="F371" s="443" t="s">
        <v>1015</v>
      </c>
      <c r="G371" s="32">
        <v>10</v>
      </c>
      <c r="H371" s="32" t="s">
        <v>1743</v>
      </c>
      <c r="I371" s="425">
        <v>407</v>
      </c>
      <c r="AC371" s="2">
        <f t="shared" ca="1" si="24"/>
        <v>27</v>
      </c>
      <c r="AD371" s="2" t="e">
        <f t="shared" ca="1" si="25"/>
        <v>#VALUE!</v>
      </c>
      <c r="AE371" s="2">
        <f t="shared" ca="1" si="26"/>
        <v>27</v>
      </c>
      <c r="AF371" s="2" t="e">
        <f t="shared" ca="1" si="27"/>
        <v>#VALUE!</v>
      </c>
    </row>
    <row r="372" spans="1:37" ht="32.4" customHeight="1">
      <c r="A372" s="31">
        <v>369</v>
      </c>
      <c r="B372" s="438">
        <v>36906</v>
      </c>
      <c r="C372" s="718" t="s">
        <v>2041</v>
      </c>
      <c r="D372" s="440">
        <v>150811813</v>
      </c>
      <c r="E372" s="441" t="s">
        <v>1892</v>
      </c>
      <c r="F372" s="443" t="s">
        <v>1017</v>
      </c>
      <c r="G372" s="32">
        <v>10</v>
      </c>
      <c r="H372" s="32" t="s">
        <v>1743</v>
      </c>
      <c r="I372" s="425">
        <v>408</v>
      </c>
      <c r="X372" s="34"/>
      <c r="Y372" s="34"/>
      <c r="Z372" s="46"/>
      <c r="AA372" s="47"/>
      <c r="AB372" s="31"/>
      <c r="AC372" s="2">
        <f t="shared" ca="1" si="24"/>
        <v>25</v>
      </c>
      <c r="AD372" s="2" t="e">
        <f t="shared" ca="1" si="25"/>
        <v>#VALUE!</v>
      </c>
      <c r="AE372" s="2">
        <f t="shared" ca="1" si="26"/>
        <v>25</v>
      </c>
      <c r="AF372" s="2" t="e">
        <f t="shared" ca="1" si="27"/>
        <v>#VALUE!</v>
      </c>
      <c r="AG372" s="34"/>
      <c r="AH372" s="34">
        <v>34074</v>
      </c>
      <c r="AI372" s="46">
        <v>150887065</v>
      </c>
      <c r="AJ372" s="41" t="s">
        <v>1618</v>
      </c>
      <c r="AK372" s="31" t="s">
        <v>1619</v>
      </c>
    </row>
    <row r="373" spans="1:37" ht="32.4" customHeight="1">
      <c r="A373" s="31">
        <v>370</v>
      </c>
      <c r="B373" s="438">
        <v>35358</v>
      </c>
      <c r="C373" s="717" t="s">
        <v>1175</v>
      </c>
      <c r="D373" s="440">
        <v>150574859</v>
      </c>
      <c r="E373" s="441" t="s">
        <v>1745</v>
      </c>
      <c r="F373" s="443" t="s">
        <v>1746</v>
      </c>
      <c r="G373" s="32">
        <v>10</v>
      </c>
      <c r="H373" s="32" t="s">
        <v>1743</v>
      </c>
      <c r="I373" s="425">
        <v>409</v>
      </c>
      <c r="X373" s="34"/>
      <c r="Y373" s="34"/>
      <c r="Z373" s="46"/>
      <c r="AA373" s="47"/>
      <c r="AB373" s="31"/>
      <c r="AC373" s="2">
        <f t="shared" ca="1" si="24"/>
        <v>30</v>
      </c>
      <c r="AD373" s="2" t="e">
        <f t="shared" ca="1" si="25"/>
        <v>#VALUE!</v>
      </c>
      <c r="AE373" s="2">
        <f t="shared" ca="1" si="26"/>
        <v>30</v>
      </c>
      <c r="AF373" s="2" t="e">
        <f t="shared" ca="1" si="27"/>
        <v>#VALUE!</v>
      </c>
      <c r="AG373" s="34">
        <v>34104</v>
      </c>
      <c r="AH373" s="34"/>
      <c r="AI373" s="46">
        <v>150522907</v>
      </c>
      <c r="AJ373" s="41" t="s">
        <v>865</v>
      </c>
      <c r="AK373" s="31" t="s">
        <v>866</v>
      </c>
    </row>
    <row r="374" spans="1:37" ht="32.4" customHeight="1">
      <c r="A374" s="31">
        <v>371</v>
      </c>
      <c r="B374" s="438">
        <v>39693</v>
      </c>
      <c r="C374" s="717" t="s">
        <v>1175</v>
      </c>
      <c r="D374" s="440">
        <v>151060863</v>
      </c>
      <c r="E374" s="441" t="s">
        <v>1747</v>
      </c>
      <c r="F374" s="443" t="s">
        <v>1748</v>
      </c>
      <c r="G374" s="32">
        <v>10</v>
      </c>
      <c r="H374" s="32" t="s">
        <v>1743</v>
      </c>
      <c r="I374" s="425">
        <v>410</v>
      </c>
      <c r="X374" s="34"/>
      <c r="Y374" s="34"/>
      <c r="Z374" s="46"/>
      <c r="AA374" s="47"/>
      <c r="AB374" s="31"/>
      <c r="AC374" s="2">
        <f t="shared" ca="1" si="24"/>
        <v>18</v>
      </c>
      <c r="AD374" s="2" t="e">
        <f t="shared" ca="1" si="25"/>
        <v>#VALUE!</v>
      </c>
      <c r="AE374" s="2">
        <f t="shared" ca="1" si="26"/>
        <v>18</v>
      </c>
      <c r="AF374" s="2" t="e">
        <f t="shared" ca="1" si="27"/>
        <v>#VALUE!</v>
      </c>
    </row>
    <row r="375" spans="1:37" ht="32.4" customHeight="1">
      <c r="A375" s="31">
        <v>372</v>
      </c>
      <c r="B375" s="438">
        <v>34060</v>
      </c>
      <c r="C375" s="718" t="s">
        <v>2041</v>
      </c>
      <c r="D375" s="440">
        <v>150522905</v>
      </c>
      <c r="E375" s="441" t="s">
        <v>1022</v>
      </c>
      <c r="F375" s="443" t="s">
        <v>1023</v>
      </c>
      <c r="G375" s="32">
        <v>10</v>
      </c>
      <c r="H375" s="32" t="s">
        <v>1743</v>
      </c>
      <c r="I375" s="425">
        <v>411</v>
      </c>
      <c r="X375" s="34"/>
      <c r="Y375" s="34"/>
      <c r="Z375" s="46"/>
      <c r="AA375" s="47"/>
      <c r="AB375" s="31"/>
      <c r="AC375" s="2">
        <f t="shared" ca="1" si="24"/>
        <v>33</v>
      </c>
      <c r="AD375" s="2" t="e">
        <f t="shared" ca="1" si="25"/>
        <v>#VALUE!</v>
      </c>
      <c r="AE375" s="2">
        <f t="shared" ca="1" si="26"/>
        <v>33</v>
      </c>
      <c r="AF375" s="2" t="e">
        <f t="shared" ca="1" si="27"/>
        <v>#VALUE!</v>
      </c>
    </row>
    <row r="376" spans="1:37" ht="32.4" customHeight="1">
      <c r="A376" s="31">
        <v>373</v>
      </c>
      <c r="B376" s="438">
        <v>34368</v>
      </c>
      <c r="C376" s="717" t="s">
        <v>1175</v>
      </c>
      <c r="D376" s="440">
        <v>150469863</v>
      </c>
      <c r="E376" s="441" t="s">
        <v>1024</v>
      </c>
      <c r="F376" s="443" t="s">
        <v>1025</v>
      </c>
      <c r="G376" s="32">
        <v>10</v>
      </c>
      <c r="H376" s="32" t="s">
        <v>1743</v>
      </c>
      <c r="I376" s="425">
        <v>412</v>
      </c>
      <c r="X376" s="34"/>
      <c r="Y376" s="34"/>
      <c r="Z376" s="46"/>
      <c r="AA376" s="47"/>
      <c r="AB376" s="31"/>
      <c r="AC376" s="2">
        <f t="shared" ca="1" si="24"/>
        <v>32</v>
      </c>
      <c r="AD376" s="2" t="e">
        <f t="shared" ca="1" si="25"/>
        <v>#VALUE!</v>
      </c>
      <c r="AE376" s="2">
        <f t="shared" ca="1" si="26"/>
        <v>32</v>
      </c>
      <c r="AF376" s="2" t="e">
        <f t="shared" ca="1" si="27"/>
        <v>#VALUE!</v>
      </c>
    </row>
    <row r="377" spans="1:37" ht="32.4" customHeight="1">
      <c r="A377" s="31">
        <v>374</v>
      </c>
      <c r="B377" s="438">
        <v>33125</v>
      </c>
      <c r="C377" s="717" t="s">
        <v>1175</v>
      </c>
      <c r="D377" s="440">
        <v>150829557</v>
      </c>
      <c r="E377" s="441" t="s">
        <v>1026</v>
      </c>
      <c r="F377" s="443" t="s">
        <v>1027</v>
      </c>
      <c r="G377" s="32">
        <v>10</v>
      </c>
      <c r="H377" s="32" t="s">
        <v>1743</v>
      </c>
      <c r="I377" s="425">
        <v>413</v>
      </c>
      <c r="X377" s="34"/>
      <c r="Y377" s="34"/>
      <c r="Z377" s="46"/>
      <c r="AA377" s="47"/>
      <c r="AB377" s="31"/>
      <c r="AC377" s="2">
        <f t="shared" ca="1" si="24"/>
        <v>36</v>
      </c>
      <c r="AD377" s="2" t="e">
        <f t="shared" ca="1" si="25"/>
        <v>#VALUE!</v>
      </c>
      <c r="AE377" s="2">
        <f t="shared" ca="1" si="26"/>
        <v>36</v>
      </c>
      <c r="AF377" s="2" t="e">
        <f t="shared" ca="1" si="27"/>
        <v>#VALUE!</v>
      </c>
    </row>
    <row r="378" spans="1:37" ht="32.4" customHeight="1">
      <c r="A378" s="31">
        <v>375</v>
      </c>
      <c r="B378" s="438">
        <v>30682</v>
      </c>
      <c r="C378" s="718" t="s">
        <v>2041</v>
      </c>
      <c r="D378" s="440">
        <v>150805836</v>
      </c>
      <c r="E378" s="441" t="s">
        <v>1028</v>
      </c>
      <c r="F378" s="443" t="s">
        <v>1029</v>
      </c>
      <c r="G378" s="32">
        <v>10</v>
      </c>
      <c r="H378" s="32" t="s">
        <v>1743</v>
      </c>
      <c r="I378" s="425">
        <v>414</v>
      </c>
      <c r="X378" s="34"/>
      <c r="Y378" s="34"/>
      <c r="Z378" s="46"/>
      <c r="AA378" s="47"/>
      <c r="AB378" s="31"/>
      <c r="AC378" s="2">
        <f t="shared" ca="1" si="24"/>
        <v>42</v>
      </c>
      <c r="AD378" s="2" t="e">
        <f t="shared" ca="1" si="25"/>
        <v>#VALUE!</v>
      </c>
      <c r="AE378" s="2">
        <f t="shared" ca="1" si="26"/>
        <v>42</v>
      </c>
      <c r="AF378" s="2" t="e">
        <f t="shared" ca="1" si="27"/>
        <v>#VALUE!</v>
      </c>
    </row>
    <row r="379" spans="1:37" ht="32.4" customHeight="1">
      <c r="A379" s="31">
        <v>376</v>
      </c>
      <c r="B379" s="438">
        <v>36651</v>
      </c>
      <c r="C379" s="717" t="s">
        <v>1175</v>
      </c>
      <c r="D379" s="440">
        <v>150811857</v>
      </c>
      <c r="E379" s="441" t="s">
        <v>1030</v>
      </c>
      <c r="F379" t="s">
        <v>1031</v>
      </c>
      <c r="G379" s="32">
        <v>10</v>
      </c>
      <c r="H379" s="32" t="s">
        <v>1743</v>
      </c>
      <c r="I379" s="425">
        <v>415</v>
      </c>
      <c r="X379" s="34"/>
      <c r="Y379" s="34"/>
      <c r="Z379" s="46"/>
      <c r="AA379" s="47"/>
      <c r="AB379" s="31"/>
      <c r="AC379" s="2">
        <f t="shared" ca="1" si="24"/>
        <v>26</v>
      </c>
      <c r="AD379" s="2" t="e">
        <f t="shared" ca="1" si="25"/>
        <v>#VALUE!</v>
      </c>
      <c r="AE379" s="2">
        <f t="shared" ca="1" si="26"/>
        <v>26</v>
      </c>
      <c r="AF379" s="2" t="e">
        <f t="shared" ca="1" si="27"/>
        <v>#VALUE!</v>
      </c>
    </row>
    <row r="380" spans="1:37" ht="32.4" customHeight="1">
      <c r="A380" s="31">
        <v>377</v>
      </c>
      <c r="B380" s="438">
        <v>35279</v>
      </c>
      <c r="C380" s="717" t="s">
        <v>1175</v>
      </c>
      <c r="D380" s="440">
        <v>150522879</v>
      </c>
      <c r="E380" s="441" t="s">
        <v>1818</v>
      </c>
      <c r="F380" s="443" t="s">
        <v>1819</v>
      </c>
      <c r="G380" s="32">
        <v>10</v>
      </c>
      <c r="H380" s="32" t="s">
        <v>1743</v>
      </c>
      <c r="I380" s="425">
        <v>416</v>
      </c>
      <c r="AC380" s="2">
        <f t="shared" ca="1" si="24"/>
        <v>30</v>
      </c>
      <c r="AD380" s="2" t="e">
        <f t="shared" ca="1" si="25"/>
        <v>#VALUE!</v>
      </c>
      <c r="AE380" s="2">
        <f t="shared" ca="1" si="26"/>
        <v>30</v>
      </c>
      <c r="AF380" s="2" t="e">
        <f t="shared" ca="1" si="27"/>
        <v>#VALUE!</v>
      </c>
    </row>
    <row r="381" spans="1:37" ht="32.4" customHeight="1">
      <c r="A381" s="31">
        <v>378</v>
      </c>
      <c r="B381" s="438">
        <v>29983</v>
      </c>
      <c r="C381" s="717" t="s">
        <v>1175</v>
      </c>
      <c r="D381" s="440">
        <v>150611497</v>
      </c>
      <c r="E381" s="441" t="s">
        <v>1032</v>
      </c>
      <c r="F381" s="443" t="s">
        <v>1033</v>
      </c>
      <c r="G381" s="32">
        <v>10</v>
      </c>
      <c r="H381" s="32" t="s">
        <v>1743</v>
      </c>
      <c r="I381" s="425">
        <v>417</v>
      </c>
      <c r="AC381" s="2">
        <f t="shared" ca="1" si="24"/>
        <v>44</v>
      </c>
      <c r="AD381" s="2" t="e">
        <f t="shared" ca="1" si="25"/>
        <v>#VALUE!</v>
      </c>
      <c r="AE381" s="2">
        <f t="shared" ca="1" si="26"/>
        <v>44</v>
      </c>
      <c r="AF381" s="2" t="e">
        <f t="shared" ca="1" si="27"/>
        <v>#VALUE!</v>
      </c>
    </row>
    <row r="382" spans="1:37" ht="32.4" customHeight="1">
      <c r="A382" s="31">
        <v>379</v>
      </c>
      <c r="B382" s="438">
        <v>30998</v>
      </c>
      <c r="C382" s="717" t="s">
        <v>1175</v>
      </c>
      <c r="D382" s="440" t="s">
        <v>1641</v>
      </c>
      <c r="E382" s="441" t="s">
        <v>1893</v>
      </c>
      <c r="F382" s="443" t="s">
        <v>1035</v>
      </c>
      <c r="G382" s="32">
        <v>10</v>
      </c>
      <c r="H382" s="32" t="s">
        <v>1743</v>
      </c>
      <c r="I382" s="425">
        <v>418</v>
      </c>
      <c r="AC382" s="2">
        <f t="shared" ca="1" si="24"/>
        <v>42</v>
      </c>
      <c r="AD382" s="2" t="e">
        <f t="shared" ca="1" si="25"/>
        <v>#VALUE!</v>
      </c>
      <c r="AE382" s="2">
        <f t="shared" ca="1" si="26"/>
        <v>42</v>
      </c>
      <c r="AF382" s="2" t="e">
        <f t="shared" ca="1" si="27"/>
        <v>#VALUE!</v>
      </c>
    </row>
    <row r="383" spans="1:37" ht="32.4" customHeight="1">
      <c r="A383" s="31">
        <v>380</v>
      </c>
      <c r="B383" s="438">
        <v>37297</v>
      </c>
      <c r="C383" s="717" t="s">
        <v>1175</v>
      </c>
      <c r="D383" s="440">
        <v>150901603</v>
      </c>
      <c r="E383" s="441" t="s">
        <v>1989</v>
      </c>
      <c r="F383" s="443" t="s">
        <v>1821</v>
      </c>
      <c r="G383" s="32">
        <v>10</v>
      </c>
      <c r="H383" s="32" t="s">
        <v>1743</v>
      </c>
      <c r="I383" s="425">
        <v>419</v>
      </c>
      <c r="AC383" s="2">
        <f t="shared" ca="1" si="24"/>
        <v>24</v>
      </c>
      <c r="AD383" s="2" t="e">
        <f t="shared" ca="1" si="25"/>
        <v>#VALUE!</v>
      </c>
      <c r="AE383" s="2">
        <f t="shared" ca="1" si="26"/>
        <v>24</v>
      </c>
      <c r="AF383" s="2" t="e">
        <f t="shared" ca="1" si="27"/>
        <v>#VALUE!</v>
      </c>
    </row>
    <row r="384" spans="1:37" ht="32.4" customHeight="1">
      <c r="A384" s="31">
        <v>381</v>
      </c>
      <c r="B384" s="438">
        <v>33069</v>
      </c>
      <c r="C384" s="718" t="s">
        <v>2041</v>
      </c>
      <c r="D384" s="440">
        <v>170698193</v>
      </c>
      <c r="E384" s="441" t="s">
        <v>1036</v>
      </c>
      <c r="F384" s="443" t="s">
        <v>1037</v>
      </c>
      <c r="G384" s="32">
        <v>10</v>
      </c>
      <c r="H384" s="32" t="s">
        <v>1743</v>
      </c>
      <c r="I384" s="425">
        <v>420</v>
      </c>
      <c r="AC384" s="2">
        <f t="shared" ca="1" si="24"/>
        <v>36</v>
      </c>
      <c r="AD384" s="2" t="e">
        <f t="shared" ca="1" si="25"/>
        <v>#VALUE!</v>
      </c>
      <c r="AE384" s="2">
        <f t="shared" ca="1" si="26"/>
        <v>36</v>
      </c>
      <c r="AF384" s="2" t="e">
        <f t="shared" ca="1" si="27"/>
        <v>#VALUE!</v>
      </c>
    </row>
    <row r="385" spans="1:37" ht="32.4" customHeight="1">
      <c r="A385" s="31">
        <v>382</v>
      </c>
      <c r="B385" s="438">
        <v>32242</v>
      </c>
      <c r="C385" s="717" t="s">
        <v>1175</v>
      </c>
      <c r="D385" s="440">
        <v>151030685</v>
      </c>
      <c r="E385" s="441" t="s">
        <v>1038</v>
      </c>
      <c r="F385" s="443" t="s">
        <v>1039</v>
      </c>
      <c r="G385" s="32">
        <v>10</v>
      </c>
      <c r="H385" s="32" t="s">
        <v>1743</v>
      </c>
      <c r="I385" s="425">
        <v>421</v>
      </c>
      <c r="AC385" s="2">
        <f t="shared" ca="1" si="24"/>
        <v>38</v>
      </c>
      <c r="AD385" s="2" t="e">
        <f t="shared" ca="1" si="25"/>
        <v>#VALUE!</v>
      </c>
      <c r="AE385" s="2">
        <f t="shared" ca="1" si="26"/>
        <v>38</v>
      </c>
      <c r="AF385" s="2" t="e">
        <f t="shared" ca="1" si="27"/>
        <v>#VALUE!</v>
      </c>
      <c r="AG385" s="34">
        <v>33485</v>
      </c>
      <c r="AH385" s="34"/>
      <c r="AI385" s="46">
        <v>150744849</v>
      </c>
      <c r="AJ385" s="41" t="s">
        <v>1620</v>
      </c>
      <c r="AK385" s="31" t="s">
        <v>1621</v>
      </c>
    </row>
    <row r="386" spans="1:37" ht="32.4" customHeight="1">
      <c r="A386" s="31">
        <v>383</v>
      </c>
      <c r="B386" s="438">
        <v>31088</v>
      </c>
      <c r="C386" s="718" t="s">
        <v>2041</v>
      </c>
      <c r="D386" s="440">
        <v>150844478</v>
      </c>
      <c r="E386" s="441" t="s">
        <v>1040</v>
      </c>
      <c r="F386" s="443" t="s">
        <v>1041</v>
      </c>
      <c r="G386" s="32">
        <v>10</v>
      </c>
      <c r="H386" s="32" t="s">
        <v>1743</v>
      </c>
      <c r="I386" s="425">
        <v>422</v>
      </c>
      <c r="AC386" s="2">
        <f t="shared" ca="1" si="24"/>
        <v>41</v>
      </c>
      <c r="AD386" s="2" t="e">
        <f t="shared" ca="1" si="25"/>
        <v>#VALUE!</v>
      </c>
      <c r="AE386" s="2">
        <f t="shared" ca="1" si="26"/>
        <v>41</v>
      </c>
      <c r="AF386" s="2" t="e">
        <f t="shared" ca="1" si="27"/>
        <v>#VALUE!</v>
      </c>
      <c r="AG386" s="34"/>
      <c r="AH386" s="34"/>
      <c r="AI386" s="46"/>
      <c r="AJ386" s="41"/>
      <c r="AK386" s="31"/>
    </row>
    <row r="387" spans="1:37" ht="32.4" customHeight="1">
      <c r="A387" s="31">
        <v>384</v>
      </c>
      <c r="B387" s="438">
        <v>31740</v>
      </c>
      <c r="C387" s="717" t="s">
        <v>1175</v>
      </c>
      <c r="D387" s="440">
        <v>150844477</v>
      </c>
      <c r="E387" s="441" t="s">
        <v>1042</v>
      </c>
      <c r="F387" s="443" t="s">
        <v>1043</v>
      </c>
      <c r="G387" s="32">
        <v>10</v>
      </c>
      <c r="H387" s="32" t="s">
        <v>1743</v>
      </c>
      <c r="I387" s="425">
        <v>423</v>
      </c>
      <c r="AC387" s="2">
        <f t="shared" ca="1" si="24"/>
        <v>40</v>
      </c>
      <c r="AD387" s="2" t="e">
        <f t="shared" ca="1" si="25"/>
        <v>#VALUE!</v>
      </c>
      <c r="AE387" s="2">
        <f t="shared" ca="1" si="26"/>
        <v>40</v>
      </c>
      <c r="AF387" s="2" t="e">
        <f t="shared" ca="1" si="27"/>
        <v>#VALUE!</v>
      </c>
    </row>
    <row r="388" spans="1:37" ht="32.4" customHeight="1">
      <c r="A388" s="31">
        <v>385</v>
      </c>
      <c r="B388" s="438">
        <v>26886</v>
      </c>
      <c r="C388" s="718" t="s">
        <v>2041</v>
      </c>
      <c r="D388" s="440">
        <v>150306660</v>
      </c>
      <c r="E388" s="441" t="s">
        <v>1044</v>
      </c>
      <c r="F388" s="443" t="s">
        <v>1045</v>
      </c>
      <c r="G388" s="32">
        <v>10</v>
      </c>
      <c r="H388" s="32" t="s">
        <v>1743</v>
      </c>
      <c r="I388" s="425">
        <v>424</v>
      </c>
      <c r="AC388" s="2">
        <f t="shared" ref="AC388:AC451" ca="1" si="28">YEAR(NOW())-YEAR(B388)</f>
        <v>53</v>
      </c>
      <c r="AD388" s="2" t="e">
        <f t="shared" ref="AD388:AD451" ca="1" si="29">YEAR(NOW())-YEAR(C388)</f>
        <v>#VALUE!</v>
      </c>
      <c r="AE388" s="2">
        <f t="shared" ca="1" si="26"/>
        <v>53</v>
      </c>
      <c r="AF388" s="2" t="e">
        <f t="shared" ca="1" si="27"/>
        <v>#VALUE!</v>
      </c>
    </row>
    <row r="389" spans="1:37" ht="32.4" customHeight="1">
      <c r="A389" s="31">
        <v>386</v>
      </c>
      <c r="B389" s="438">
        <v>35221</v>
      </c>
      <c r="C389" s="718" t="s">
        <v>2041</v>
      </c>
      <c r="D389" s="440">
        <v>200271936</v>
      </c>
      <c r="E389" s="441" t="s">
        <v>1822</v>
      </c>
      <c r="F389" s="443" t="s">
        <v>1823</v>
      </c>
      <c r="G389" s="32">
        <v>10</v>
      </c>
      <c r="H389" s="32" t="s">
        <v>1743</v>
      </c>
      <c r="I389" s="425">
        <v>425</v>
      </c>
      <c r="AC389" s="2">
        <f t="shared" ca="1" si="28"/>
        <v>30</v>
      </c>
      <c r="AD389" s="2" t="e">
        <f t="shared" ca="1" si="29"/>
        <v>#VALUE!</v>
      </c>
      <c r="AE389" s="2">
        <f t="shared" ca="1" si="26"/>
        <v>30</v>
      </c>
      <c r="AF389" s="2" t="e">
        <f t="shared" ca="1" si="27"/>
        <v>#VALUE!</v>
      </c>
    </row>
    <row r="390" spans="1:37" ht="32.4" customHeight="1">
      <c r="A390" s="31">
        <v>387</v>
      </c>
      <c r="B390" s="438">
        <v>25572</v>
      </c>
      <c r="C390" s="718" t="s">
        <v>2041</v>
      </c>
      <c r="D390" s="440">
        <v>150840527</v>
      </c>
      <c r="E390" s="441" t="s">
        <v>991</v>
      </c>
      <c r="F390" s="443" t="s">
        <v>992</v>
      </c>
      <c r="G390" s="32">
        <v>10</v>
      </c>
      <c r="H390" s="32" t="s">
        <v>1743</v>
      </c>
      <c r="I390" s="425">
        <v>426</v>
      </c>
      <c r="AC390" s="2">
        <f t="shared" ca="1" si="28"/>
        <v>56</v>
      </c>
      <c r="AD390" s="2" t="e">
        <f t="shared" ca="1" si="29"/>
        <v>#VALUE!</v>
      </c>
      <c r="AE390" s="2">
        <f t="shared" ca="1" si="26"/>
        <v>56</v>
      </c>
      <c r="AF390" s="2" t="e">
        <f t="shared" ca="1" si="27"/>
        <v>#VALUE!</v>
      </c>
    </row>
    <row r="391" spans="1:37" ht="32.4" customHeight="1">
      <c r="A391" s="31">
        <v>388</v>
      </c>
      <c r="B391" s="438">
        <v>33862</v>
      </c>
      <c r="C391" s="717" t="s">
        <v>1175</v>
      </c>
      <c r="D391" s="440">
        <v>200196116</v>
      </c>
      <c r="E391" s="441" t="s">
        <v>1824</v>
      </c>
      <c r="F391" s="443" t="s">
        <v>1825</v>
      </c>
      <c r="G391" s="32">
        <v>10</v>
      </c>
      <c r="H391" s="32" t="s">
        <v>1743</v>
      </c>
      <c r="I391" s="425">
        <v>427</v>
      </c>
      <c r="AC391" s="2">
        <f t="shared" ca="1" si="28"/>
        <v>34</v>
      </c>
      <c r="AD391" s="2" t="e">
        <f t="shared" ca="1" si="29"/>
        <v>#VALUE!</v>
      </c>
      <c r="AE391" s="2">
        <f t="shared" ca="1" si="26"/>
        <v>34</v>
      </c>
      <c r="AF391" s="2" t="e">
        <f t="shared" ca="1" si="27"/>
        <v>#VALUE!</v>
      </c>
      <c r="AG391" s="34"/>
      <c r="AH391" s="34">
        <v>33070</v>
      </c>
      <c r="AI391" s="46">
        <v>150658006</v>
      </c>
      <c r="AJ391" s="41" t="s">
        <v>1622</v>
      </c>
      <c r="AK391" s="31" t="s">
        <v>1623</v>
      </c>
    </row>
    <row r="392" spans="1:37" ht="32.4" customHeight="1">
      <c r="A392" s="31">
        <v>389</v>
      </c>
      <c r="B392" s="438">
        <v>34713</v>
      </c>
      <c r="C392" s="717" t="s">
        <v>1175</v>
      </c>
      <c r="D392" s="440">
        <v>220140654</v>
      </c>
      <c r="E392" s="441" t="s">
        <v>1305</v>
      </c>
      <c r="F392" s="443" t="s">
        <v>1306</v>
      </c>
      <c r="G392" s="32">
        <v>8</v>
      </c>
      <c r="H392" s="32" t="s">
        <v>1753</v>
      </c>
      <c r="I392" s="33">
        <v>293</v>
      </c>
      <c r="AC392" s="2">
        <f t="shared" ca="1" si="28"/>
        <v>31</v>
      </c>
      <c r="AD392" s="2" t="e">
        <f t="shared" ca="1" si="29"/>
        <v>#VALUE!</v>
      </c>
      <c r="AE392" s="2">
        <f t="shared" ca="1" si="26"/>
        <v>31</v>
      </c>
      <c r="AF392" s="2" t="e">
        <f t="shared" ca="1" si="27"/>
        <v>#VALUE!</v>
      </c>
    </row>
    <row r="393" spans="1:37" ht="32.4" customHeight="1">
      <c r="A393" s="31">
        <v>390</v>
      </c>
      <c r="B393" s="438">
        <v>33583</v>
      </c>
      <c r="C393" s="718" t="s">
        <v>2041</v>
      </c>
      <c r="D393" s="440">
        <v>150427634</v>
      </c>
      <c r="E393" s="441" t="s">
        <v>1828</v>
      </c>
      <c r="F393" s="443" t="s">
        <v>840</v>
      </c>
      <c r="G393" s="32">
        <v>8</v>
      </c>
      <c r="H393" s="32" t="s">
        <v>1753</v>
      </c>
      <c r="I393" s="425">
        <v>294</v>
      </c>
      <c r="AC393" s="2">
        <f t="shared" ca="1" si="28"/>
        <v>35</v>
      </c>
      <c r="AD393" s="2" t="e">
        <f t="shared" ca="1" si="29"/>
        <v>#VALUE!</v>
      </c>
      <c r="AE393" s="2">
        <f t="shared" ca="1" si="26"/>
        <v>35</v>
      </c>
      <c r="AF393" s="2" t="e">
        <f t="shared" ca="1" si="27"/>
        <v>#VALUE!</v>
      </c>
      <c r="AG393" s="34">
        <v>37830</v>
      </c>
      <c r="AH393" s="34"/>
      <c r="AI393" s="46">
        <v>150938990</v>
      </c>
      <c r="AJ393" s="41" t="s">
        <v>1624</v>
      </c>
      <c r="AK393" s="31" t="s">
        <v>1625</v>
      </c>
    </row>
    <row r="394" spans="1:37" ht="32.4" customHeight="1">
      <c r="A394" s="31">
        <v>391</v>
      </c>
      <c r="B394" s="474">
        <v>34135</v>
      </c>
      <c r="C394" s="717" t="s">
        <v>1175</v>
      </c>
      <c r="D394" s="440">
        <v>150468202</v>
      </c>
      <c r="E394" s="441" t="s">
        <v>808</v>
      </c>
      <c r="F394" s="443" t="s">
        <v>809</v>
      </c>
      <c r="G394" s="32">
        <v>8</v>
      </c>
      <c r="H394" s="32" t="s">
        <v>1753</v>
      </c>
      <c r="I394" s="425">
        <v>295</v>
      </c>
      <c r="AC394" s="2">
        <f t="shared" ca="1" si="28"/>
        <v>33</v>
      </c>
      <c r="AD394" s="2" t="e">
        <f t="shared" ca="1" si="29"/>
        <v>#VALUE!</v>
      </c>
      <c r="AE394" s="2">
        <f t="shared" ca="1" si="26"/>
        <v>33</v>
      </c>
      <c r="AF394" s="2" t="e">
        <f t="shared" ca="1" si="27"/>
        <v>#VALUE!</v>
      </c>
    </row>
    <row r="395" spans="1:37" ht="32.4" customHeight="1">
      <c r="A395" s="31">
        <v>392</v>
      </c>
      <c r="B395" s="477">
        <v>33736</v>
      </c>
      <c r="C395" s="717" t="s">
        <v>1175</v>
      </c>
      <c r="D395" s="478">
        <v>150469700</v>
      </c>
      <c r="E395" s="721" t="s">
        <v>2016</v>
      </c>
      <c r="F395" s="722" t="s">
        <v>2017</v>
      </c>
      <c r="G395" s="32">
        <v>8</v>
      </c>
      <c r="H395" s="32" t="s">
        <v>1753</v>
      </c>
      <c r="I395" s="425">
        <v>296</v>
      </c>
      <c r="AC395" s="2">
        <f t="shared" ca="1" si="28"/>
        <v>34</v>
      </c>
      <c r="AD395" s="2" t="e">
        <f t="shared" ca="1" si="29"/>
        <v>#VALUE!</v>
      </c>
      <c r="AE395" s="2">
        <f t="shared" ca="1" si="26"/>
        <v>34</v>
      </c>
      <c r="AF395" s="2" t="e">
        <f t="shared" ca="1" si="27"/>
        <v>#VALUE!</v>
      </c>
    </row>
    <row r="396" spans="1:37" ht="32.4" customHeight="1">
      <c r="A396" s="31">
        <v>393</v>
      </c>
      <c r="B396" s="438">
        <v>38327</v>
      </c>
      <c r="C396" s="718" t="s">
        <v>2041</v>
      </c>
      <c r="D396" s="440">
        <v>151003825</v>
      </c>
      <c r="E396" s="441" t="s">
        <v>812</v>
      </c>
      <c r="F396" s="443" t="s">
        <v>813</v>
      </c>
      <c r="G396" s="32">
        <v>8</v>
      </c>
      <c r="H396" s="32" t="s">
        <v>1753</v>
      </c>
      <c r="I396" s="425">
        <v>297</v>
      </c>
      <c r="AC396" s="2">
        <f t="shared" ca="1" si="28"/>
        <v>22</v>
      </c>
      <c r="AD396" s="2" t="e">
        <f t="shared" ca="1" si="29"/>
        <v>#VALUE!</v>
      </c>
      <c r="AE396" s="2">
        <f t="shared" ca="1" si="26"/>
        <v>22</v>
      </c>
      <c r="AF396" s="2" t="e">
        <f t="shared" ca="1" si="27"/>
        <v>#VALUE!</v>
      </c>
      <c r="AG396" s="34">
        <v>31790</v>
      </c>
      <c r="AH396" s="34"/>
      <c r="AI396" s="46">
        <v>150306396</v>
      </c>
      <c r="AJ396" s="41" t="s">
        <v>1626</v>
      </c>
      <c r="AK396" s="31" t="s">
        <v>1201</v>
      </c>
    </row>
    <row r="397" spans="1:37" ht="32.4" customHeight="1">
      <c r="A397" s="31">
        <v>394</v>
      </c>
      <c r="B397" s="438">
        <v>38585</v>
      </c>
      <c r="C397" s="717" t="s">
        <v>1175</v>
      </c>
      <c r="D397" s="440">
        <v>150994490</v>
      </c>
      <c r="E397" s="441" t="s">
        <v>814</v>
      </c>
      <c r="F397" s="443" t="s">
        <v>815</v>
      </c>
      <c r="G397" s="32">
        <v>8</v>
      </c>
      <c r="H397" s="32" t="s">
        <v>1753</v>
      </c>
      <c r="I397" s="425">
        <v>298</v>
      </c>
      <c r="AC397" s="2">
        <f t="shared" ca="1" si="28"/>
        <v>21</v>
      </c>
      <c r="AD397" s="2" t="e">
        <f t="shared" ca="1" si="29"/>
        <v>#VALUE!</v>
      </c>
      <c r="AE397" s="2">
        <f t="shared" ca="1" si="26"/>
        <v>21</v>
      </c>
      <c r="AF397" s="2" t="e">
        <f t="shared" ca="1" si="27"/>
        <v>#VALUE!</v>
      </c>
    </row>
    <row r="398" spans="1:37" ht="32.4" customHeight="1">
      <c r="A398" s="31">
        <v>395</v>
      </c>
      <c r="B398" s="438">
        <v>35432</v>
      </c>
      <c r="C398" s="718" t="s">
        <v>2041</v>
      </c>
      <c r="D398" s="440" t="s">
        <v>1610</v>
      </c>
      <c r="E398" s="441" t="s">
        <v>816</v>
      </c>
      <c r="F398" s="443" t="s">
        <v>817</v>
      </c>
      <c r="G398" s="32">
        <v>8</v>
      </c>
      <c r="H398" s="32" t="s">
        <v>1753</v>
      </c>
      <c r="I398" s="425">
        <v>299</v>
      </c>
      <c r="AC398" s="2">
        <f t="shared" ca="1" si="28"/>
        <v>29</v>
      </c>
      <c r="AD398" s="2" t="e">
        <f t="shared" ca="1" si="29"/>
        <v>#VALUE!</v>
      </c>
      <c r="AE398" s="2">
        <f t="shared" ca="1" si="26"/>
        <v>29</v>
      </c>
      <c r="AF398" s="2" t="e">
        <f t="shared" ca="1" si="27"/>
        <v>#VALUE!</v>
      </c>
    </row>
    <row r="399" spans="1:37" ht="32.4" customHeight="1">
      <c r="A399" s="31">
        <v>396</v>
      </c>
      <c r="B399" s="438">
        <v>31068</v>
      </c>
      <c r="C399" s="717" t="s">
        <v>1175</v>
      </c>
      <c r="D399" s="440">
        <v>150306200</v>
      </c>
      <c r="E399" s="441" t="s">
        <v>1894</v>
      </c>
      <c r="F399" s="443" t="s">
        <v>1895</v>
      </c>
      <c r="G399" s="32">
        <v>8</v>
      </c>
      <c r="H399" s="32" t="s">
        <v>1753</v>
      </c>
      <c r="I399" s="425">
        <v>300</v>
      </c>
      <c r="AC399" s="2">
        <f t="shared" ca="1" si="28"/>
        <v>41</v>
      </c>
      <c r="AD399" s="2" t="e">
        <f t="shared" ca="1" si="29"/>
        <v>#VALUE!</v>
      </c>
      <c r="AE399" s="2">
        <f t="shared" ca="1" si="26"/>
        <v>41</v>
      </c>
      <c r="AF399" s="2" t="e">
        <f t="shared" ca="1" si="27"/>
        <v>#VALUE!</v>
      </c>
    </row>
    <row r="400" spans="1:37" ht="32.4" customHeight="1">
      <c r="A400" s="31">
        <v>397</v>
      </c>
      <c r="B400" s="438">
        <v>36901</v>
      </c>
      <c r="C400" s="718" t="s">
        <v>2041</v>
      </c>
      <c r="D400" s="440">
        <v>150865247</v>
      </c>
      <c r="E400" s="441" t="s">
        <v>820</v>
      </c>
      <c r="F400" s="443" t="s">
        <v>821</v>
      </c>
      <c r="G400" s="32">
        <v>8</v>
      </c>
      <c r="H400" s="32" t="s">
        <v>1753</v>
      </c>
      <c r="I400" s="425">
        <v>301</v>
      </c>
      <c r="AC400" s="2">
        <f t="shared" ca="1" si="28"/>
        <v>25</v>
      </c>
      <c r="AD400" s="2" t="e">
        <f t="shared" ca="1" si="29"/>
        <v>#VALUE!</v>
      </c>
      <c r="AE400" s="2">
        <f t="shared" ca="1" si="26"/>
        <v>25</v>
      </c>
      <c r="AF400" s="2" t="e">
        <f t="shared" ca="1" si="27"/>
        <v>#VALUE!</v>
      </c>
    </row>
    <row r="401" spans="1:37" ht="32.4" customHeight="1">
      <c r="A401" s="31">
        <v>398</v>
      </c>
      <c r="B401" s="469">
        <v>32557</v>
      </c>
      <c r="C401" s="718" t="s">
        <v>2041</v>
      </c>
      <c r="D401" s="444">
        <v>150360082</v>
      </c>
      <c r="E401" s="441" t="s">
        <v>2018</v>
      </c>
      <c r="F401" s="429" t="s">
        <v>2019</v>
      </c>
      <c r="G401" s="32">
        <v>8</v>
      </c>
      <c r="H401" s="32" t="s">
        <v>1753</v>
      </c>
      <c r="I401" s="425">
        <v>302</v>
      </c>
      <c r="AC401" s="2">
        <f t="shared" ca="1" si="28"/>
        <v>37</v>
      </c>
      <c r="AD401" s="2" t="e">
        <f t="shared" ca="1" si="29"/>
        <v>#VALUE!</v>
      </c>
      <c r="AE401" s="2">
        <f t="shared" ca="1" si="26"/>
        <v>37</v>
      </c>
      <c r="AF401" s="2" t="e">
        <f t="shared" ca="1" si="27"/>
        <v>#VALUE!</v>
      </c>
    </row>
    <row r="402" spans="1:37" ht="32.4" customHeight="1">
      <c r="A402" s="31">
        <v>399</v>
      </c>
      <c r="B402" s="438">
        <v>35188</v>
      </c>
      <c r="C402" s="718" t="s">
        <v>2041</v>
      </c>
      <c r="D402" s="440">
        <v>220102057</v>
      </c>
      <c r="E402" s="441" t="s">
        <v>1897</v>
      </c>
      <c r="F402" s="443" t="s">
        <v>825</v>
      </c>
      <c r="G402" s="32">
        <v>8</v>
      </c>
      <c r="H402" s="32" t="s">
        <v>1753</v>
      </c>
      <c r="I402" s="425">
        <v>303</v>
      </c>
      <c r="AC402" s="2">
        <f t="shared" ca="1" si="28"/>
        <v>30</v>
      </c>
      <c r="AD402" s="2" t="e">
        <f t="shared" ca="1" si="29"/>
        <v>#VALUE!</v>
      </c>
      <c r="AE402" s="2">
        <f t="shared" ca="1" si="26"/>
        <v>30</v>
      </c>
      <c r="AF402" s="2" t="e">
        <f t="shared" ca="1" si="27"/>
        <v>#VALUE!</v>
      </c>
    </row>
    <row r="403" spans="1:37" ht="32.4" customHeight="1">
      <c r="A403" s="31">
        <v>400</v>
      </c>
      <c r="B403" s="438">
        <v>31553</v>
      </c>
      <c r="C403" s="717" t="s">
        <v>1175</v>
      </c>
      <c r="D403" s="440">
        <v>150306061</v>
      </c>
      <c r="E403" s="441" t="s">
        <v>826</v>
      </c>
      <c r="F403" s="443" t="s">
        <v>827</v>
      </c>
      <c r="G403" s="32">
        <v>8</v>
      </c>
      <c r="H403" s="32" t="s">
        <v>1753</v>
      </c>
      <c r="I403" s="425">
        <v>304</v>
      </c>
      <c r="AC403" s="2">
        <f t="shared" ca="1" si="28"/>
        <v>40</v>
      </c>
      <c r="AD403" s="2" t="e">
        <f t="shared" ca="1" si="29"/>
        <v>#VALUE!</v>
      </c>
      <c r="AE403" s="2">
        <f t="shared" ca="1" si="26"/>
        <v>40</v>
      </c>
      <c r="AF403" s="2" t="e">
        <f t="shared" ca="1" si="27"/>
        <v>#VALUE!</v>
      </c>
    </row>
    <row r="404" spans="1:37" ht="32.4" customHeight="1">
      <c r="A404" s="31">
        <v>401</v>
      </c>
      <c r="B404" s="438">
        <v>35221</v>
      </c>
      <c r="C404" s="718" t="s">
        <v>2041</v>
      </c>
      <c r="D404" s="440">
        <v>170967584</v>
      </c>
      <c r="E404" s="441" t="s">
        <v>828</v>
      </c>
      <c r="F404" s="443" t="s">
        <v>829</v>
      </c>
      <c r="G404" s="32">
        <v>8</v>
      </c>
      <c r="H404" s="32" t="s">
        <v>1753</v>
      </c>
      <c r="I404" s="425">
        <v>305</v>
      </c>
      <c r="AC404" s="2">
        <f t="shared" ca="1" si="28"/>
        <v>30</v>
      </c>
      <c r="AD404" s="2" t="e">
        <f t="shared" ca="1" si="29"/>
        <v>#VALUE!</v>
      </c>
      <c r="AE404" s="2">
        <f t="shared" ca="1" si="26"/>
        <v>30</v>
      </c>
      <c r="AF404" s="2" t="e">
        <f t="shared" ca="1" si="27"/>
        <v>#VALUE!</v>
      </c>
    </row>
    <row r="405" spans="1:37" ht="32.4" customHeight="1">
      <c r="A405" s="31">
        <v>402</v>
      </c>
      <c r="B405" s="438">
        <v>33036</v>
      </c>
      <c r="C405" s="717" t="s">
        <v>1175</v>
      </c>
      <c r="D405" s="440">
        <v>150938989</v>
      </c>
      <c r="E405" s="441" t="s">
        <v>830</v>
      </c>
      <c r="F405" s="443" t="s">
        <v>831</v>
      </c>
      <c r="G405" s="32">
        <v>8</v>
      </c>
      <c r="H405" s="32" t="s">
        <v>1753</v>
      </c>
      <c r="I405" s="425">
        <v>306</v>
      </c>
      <c r="AC405" s="2">
        <f t="shared" ca="1" si="28"/>
        <v>36</v>
      </c>
      <c r="AD405" s="2" t="e">
        <f t="shared" ca="1" si="29"/>
        <v>#VALUE!</v>
      </c>
      <c r="AE405" s="2">
        <f t="shared" ca="1" si="26"/>
        <v>36</v>
      </c>
      <c r="AF405" s="2" t="e">
        <f t="shared" ca="1" si="27"/>
        <v>#VALUE!</v>
      </c>
      <c r="AG405" s="34">
        <v>32893</v>
      </c>
      <c r="AH405" s="34"/>
      <c r="AI405" s="46">
        <v>150427626</v>
      </c>
      <c r="AJ405" s="41" t="s">
        <v>1627</v>
      </c>
      <c r="AK405" s="31" t="s">
        <v>1628</v>
      </c>
    </row>
    <row r="406" spans="1:37" ht="32.4" customHeight="1">
      <c r="A406" s="31">
        <v>403</v>
      </c>
      <c r="B406" s="438">
        <v>30869</v>
      </c>
      <c r="C406" s="718" t="s">
        <v>2041</v>
      </c>
      <c r="D406" s="440">
        <v>170928946</v>
      </c>
      <c r="E406" s="441" t="s">
        <v>832</v>
      </c>
      <c r="F406" s="443" t="s">
        <v>833</v>
      </c>
      <c r="G406" s="32">
        <v>8</v>
      </c>
      <c r="H406" s="32" t="s">
        <v>1753</v>
      </c>
      <c r="I406" s="425">
        <v>307</v>
      </c>
      <c r="AC406" s="2">
        <f t="shared" ca="1" si="28"/>
        <v>42</v>
      </c>
      <c r="AD406" s="2" t="e">
        <f t="shared" ca="1" si="29"/>
        <v>#VALUE!</v>
      </c>
      <c r="AE406" s="2">
        <f t="shared" ca="1" si="26"/>
        <v>42</v>
      </c>
      <c r="AF406" s="2" t="e">
        <f t="shared" ca="1" si="27"/>
        <v>#VALUE!</v>
      </c>
      <c r="AG406" s="34"/>
      <c r="AH406" s="34">
        <v>35476</v>
      </c>
      <c r="AI406" s="46">
        <v>150522864</v>
      </c>
      <c r="AJ406" s="41" t="s">
        <v>1629</v>
      </c>
      <c r="AK406" s="31" t="s">
        <v>1630</v>
      </c>
    </row>
    <row r="407" spans="1:37" ht="32.4" customHeight="1">
      <c r="A407" s="31">
        <v>404</v>
      </c>
      <c r="B407" s="438">
        <v>36776</v>
      </c>
      <c r="C407" s="717" t="s">
        <v>1175</v>
      </c>
      <c r="D407" s="440">
        <v>220175278</v>
      </c>
      <c r="E407" s="441" t="s">
        <v>834</v>
      </c>
      <c r="F407" s="443" t="s">
        <v>835</v>
      </c>
      <c r="G407" s="32">
        <v>8</v>
      </c>
      <c r="H407" s="32" t="s">
        <v>1753</v>
      </c>
      <c r="I407" s="425">
        <v>308</v>
      </c>
      <c r="AC407" s="2">
        <f t="shared" ca="1" si="28"/>
        <v>26</v>
      </c>
      <c r="AD407" s="2" t="e">
        <f t="shared" ca="1" si="29"/>
        <v>#VALUE!</v>
      </c>
      <c r="AE407" s="2">
        <f t="shared" ca="1" si="26"/>
        <v>26</v>
      </c>
      <c r="AF407" s="2" t="e">
        <f t="shared" ca="1" si="27"/>
        <v>#VALUE!</v>
      </c>
      <c r="AG407" s="34"/>
      <c r="AH407" s="34">
        <v>33918</v>
      </c>
      <c r="AI407" s="46">
        <v>150474716</v>
      </c>
      <c r="AJ407" s="41" t="s">
        <v>1631</v>
      </c>
      <c r="AK407" s="31" t="s">
        <v>1632</v>
      </c>
    </row>
    <row r="408" spans="1:37" ht="32.4" customHeight="1">
      <c r="A408" s="31">
        <v>405</v>
      </c>
      <c r="B408" s="438">
        <v>29996</v>
      </c>
      <c r="C408" s="718" t="s">
        <v>2041</v>
      </c>
      <c r="D408" s="440" t="s">
        <v>2020</v>
      </c>
      <c r="E408" s="441" t="s">
        <v>2021</v>
      </c>
      <c r="F408" s="443" t="s">
        <v>2022</v>
      </c>
      <c r="G408" s="32">
        <v>8</v>
      </c>
      <c r="H408" s="32" t="s">
        <v>1753</v>
      </c>
      <c r="I408" s="425">
        <v>309</v>
      </c>
      <c r="AC408" s="2">
        <f t="shared" ca="1" si="28"/>
        <v>44</v>
      </c>
      <c r="AD408" s="2" t="e">
        <f t="shared" ca="1" si="29"/>
        <v>#VALUE!</v>
      </c>
      <c r="AE408" s="2">
        <f t="shared" ca="1" si="26"/>
        <v>44</v>
      </c>
      <c r="AF408" s="2" t="e">
        <f t="shared" ca="1" si="27"/>
        <v>#VALUE!</v>
      </c>
    </row>
    <row r="409" spans="1:37" ht="32.4" customHeight="1">
      <c r="A409" s="31">
        <v>406</v>
      </c>
      <c r="B409" s="438">
        <v>35014</v>
      </c>
      <c r="C409" s="717" t="s">
        <v>1175</v>
      </c>
      <c r="D409" s="440">
        <v>150522553</v>
      </c>
      <c r="E409" s="441" t="s">
        <v>818</v>
      </c>
      <c r="F409" s="443" t="s">
        <v>819</v>
      </c>
      <c r="G409" s="32">
        <v>8</v>
      </c>
      <c r="H409" s="32" t="s">
        <v>1753</v>
      </c>
      <c r="I409" s="425">
        <v>310</v>
      </c>
      <c r="AC409" s="2">
        <f t="shared" ca="1" si="28"/>
        <v>31</v>
      </c>
      <c r="AD409" s="2" t="e">
        <f t="shared" ca="1" si="29"/>
        <v>#VALUE!</v>
      </c>
      <c r="AE409" s="2">
        <f t="shared" ca="1" si="26"/>
        <v>31</v>
      </c>
      <c r="AF409" s="2" t="e">
        <f t="shared" ca="1" si="27"/>
        <v>#VALUE!</v>
      </c>
    </row>
    <row r="410" spans="1:37" ht="32.4" customHeight="1">
      <c r="A410" s="31">
        <v>407</v>
      </c>
      <c r="B410" s="438">
        <v>38808</v>
      </c>
      <c r="C410" s="718" t="s">
        <v>2041</v>
      </c>
      <c r="D410" s="440">
        <v>151013384</v>
      </c>
      <c r="E410" s="441" t="s">
        <v>1714</v>
      </c>
      <c r="F410" s="443" t="s">
        <v>1572</v>
      </c>
      <c r="G410" s="32">
        <v>8</v>
      </c>
      <c r="H410" s="32" t="s">
        <v>1753</v>
      </c>
      <c r="I410" s="425">
        <v>311</v>
      </c>
      <c r="AC410" s="2">
        <f t="shared" ca="1" si="28"/>
        <v>20</v>
      </c>
      <c r="AD410" s="2" t="e">
        <f t="shared" ca="1" si="29"/>
        <v>#VALUE!</v>
      </c>
      <c r="AE410" s="2">
        <f t="shared" ca="1" si="26"/>
        <v>20</v>
      </c>
      <c r="AF410" s="2" t="e">
        <f t="shared" ca="1" si="27"/>
        <v>#VALUE!</v>
      </c>
    </row>
    <row r="411" spans="1:37" ht="32.4" customHeight="1">
      <c r="A411" s="31">
        <v>408</v>
      </c>
      <c r="B411" s="438">
        <v>35767</v>
      </c>
      <c r="C411" s="718" t="s">
        <v>2041</v>
      </c>
      <c r="D411" s="440" t="s">
        <v>1615</v>
      </c>
      <c r="E411" s="441" t="s">
        <v>841</v>
      </c>
      <c r="F411" s="443" t="s">
        <v>842</v>
      </c>
      <c r="G411" s="32">
        <v>8</v>
      </c>
      <c r="H411" s="32" t="s">
        <v>1753</v>
      </c>
      <c r="I411" s="425">
        <v>312</v>
      </c>
      <c r="X411" s="34"/>
      <c r="Y411" s="34"/>
      <c r="Z411" s="46"/>
      <c r="AA411" s="47"/>
      <c r="AB411" s="31"/>
      <c r="AC411" s="2">
        <f t="shared" ca="1" si="28"/>
        <v>29</v>
      </c>
      <c r="AD411" s="2" t="e">
        <f t="shared" ca="1" si="29"/>
        <v>#VALUE!</v>
      </c>
      <c r="AE411" s="2">
        <f t="shared" ca="1" si="26"/>
        <v>29</v>
      </c>
      <c r="AF411" s="2" t="e">
        <f t="shared" ca="1" si="27"/>
        <v>#VALUE!</v>
      </c>
      <c r="AG411" s="34">
        <v>37923</v>
      </c>
      <c r="AH411" s="34"/>
      <c r="AI411" s="46">
        <v>150952434</v>
      </c>
      <c r="AJ411" s="41" t="s">
        <v>1633</v>
      </c>
      <c r="AK411" s="31" t="s">
        <v>1634</v>
      </c>
    </row>
    <row r="412" spans="1:37" ht="32.4" customHeight="1">
      <c r="A412" s="31">
        <v>409</v>
      </c>
      <c r="B412" s="438">
        <v>34261</v>
      </c>
      <c r="C412" s="717" t="s">
        <v>1175</v>
      </c>
      <c r="D412" s="440" t="s">
        <v>1616</v>
      </c>
      <c r="E412" s="441" t="s">
        <v>1898</v>
      </c>
      <c r="F412" s="443" t="s">
        <v>844</v>
      </c>
      <c r="G412" s="32">
        <v>8</v>
      </c>
      <c r="H412" s="32" t="s">
        <v>1753</v>
      </c>
      <c r="I412" s="425">
        <v>313</v>
      </c>
      <c r="X412" s="34"/>
      <c r="Y412" s="34"/>
      <c r="Z412" s="46"/>
      <c r="AA412" s="47"/>
      <c r="AB412" s="31"/>
      <c r="AC412" s="2">
        <f t="shared" ca="1" si="28"/>
        <v>33</v>
      </c>
      <c r="AD412" s="2" t="e">
        <f t="shared" ca="1" si="29"/>
        <v>#VALUE!</v>
      </c>
      <c r="AE412" s="2">
        <f t="shared" ca="1" si="26"/>
        <v>33</v>
      </c>
      <c r="AF412" s="2" t="e">
        <f t="shared" ca="1" si="27"/>
        <v>#VALUE!</v>
      </c>
    </row>
    <row r="413" spans="1:37" ht="32.4" customHeight="1">
      <c r="A413" s="31">
        <v>410</v>
      </c>
      <c r="B413" s="438">
        <v>30104</v>
      </c>
      <c r="C413" s="718" t="s">
        <v>2041</v>
      </c>
      <c r="D413" s="440">
        <v>150306382</v>
      </c>
      <c r="E413" s="441" t="s">
        <v>845</v>
      </c>
      <c r="F413" s="443" t="s">
        <v>846</v>
      </c>
      <c r="G413" s="32">
        <v>8</v>
      </c>
      <c r="H413" s="32" t="s">
        <v>1753</v>
      </c>
      <c r="I413" s="425">
        <v>314</v>
      </c>
      <c r="AC413" s="2">
        <f t="shared" ca="1" si="28"/>
        <v>44</v>
      </c>
      <c r="AD413" s="2" t="e">
        <f t="shared" ca="1" si="29"/>
        <v>#VALUE!</v>
      </c>
      <c r="AE413" s="2">
        <f t="shared" ca="1" si="26"/>
        <v>44</v>
      </c>
      <c r="AF413" s="2" t="e">
        <f t="shared" ca="1" si="27"/>
        <v>#VALUE!</v>
      </c>
      <c r="AG413" s="34"/>
      <c r="AH413" s="34"/>
      <c r="AI413" s="46"/>
      <c r="AJ413" s="41"/>
      <c r="AK413" s="31"/>
    </row>
    <row r="414" spans="1:37" s="25" customFormat="1" ht="32.4" customHeight="1">
      <c r="A414" s="31">
        <v>411</v>
      </c>
      <c r="B414" s="438">
        <v>29797</v>
      </c>
      <c r="C414" s="717" t="s">
        <v>1175</v>
      </c>
      <c r="D414" s="440">
        <v>150117925</v>
      </c>
      <c r="E414" s="441" t="s">
        <v>847</v>
      </c>
      <c r="F414" s="443" t="s">
        <v>848</v>
      </c>
      <c r="G414" s="32">
        <v>8</v>
      </c>
      <c r="H414" s="32" t="s">
        <v>1753</v>
      </c>
      <c r="I414" s="425">
        <v>315</v>
      </c>
      <c r="X414" s="34"/>
      <c r="Y414" s="34"/>
      <c r="Z414" s="46"/>
      <c r="AA414" s="47"/>
      <c r="AB414" s="31"/>
      <c r="AC414" s="2">
        <f t="shared" ca="1" si="28"/>
        <v>45</v>
      </c>
      <c r="AD414" s="2" t="e">
        <f t="shared" ca="1" si="29"/>
        <v>#VALUE!</v>
      </c>
      <c r="AE414" s="2">
        <f t="shared" ca="1" si="26"/>
        <v>45</v>
      </c>
      <c r="AF414" s="2" t="e">
        <f t="shared" ca="1" si="27"/>
        <v>#VALUE!</v>
      </c>
      <c r="AG414" s="2"/>
    </row>
    <row r="415" spans="1:37" s="25" customFormat="1" ht="32.4" customHeight="1">
      <c r="A415" s="31">
        <v>412</v>
      </c>
      <c r="B415" s="438">
        <v>30381</v>
      </c>
      <c r="C415" s="718" t="s">
        <v>2041</v>
      </c>
      <c r="D415" s="440" t="s">
        <v>1617</v>
      </c>
      <c r="E415" s="441" t="s">
        <v>849</v>
      </c>
      <c r="F415" s="443" t="s">
        <v>850</v>
      </c>
      <c r="G415" s="32">
        <v>8</v>
      </c>
      <c r="H415" s="32" t="s">
        <v>1753</v>
      </c>
      <c r="I415" s="425">
        <v>316</v>
      </c>
      <c r="X415" s="34"/>
      <c r="Y415" s="34"/>
      <c r="Z415" s="46"/>
      <c r="AA415" s="47"/>
      <c r="AB415" s="31"/>
      <c r="AC415" s="2">
        <f t="shared" ca="1" si="28"/>
        <v>43</v>
      </c>
      <c r="AD415" s="2" t="e">
        <f t="shared" ca="1" si="29"/>
        <v>#VALUE!</v>
      </c>
      <c r="AE415" s="2">
        <f t="shared" ca="1" si="26"/>
        <v>43</v>
      </c>
      <c r="AF415" s="2" t="e">
        <f t="shared" ca="1" si="27"/>
        <v>#VALUE!</v>
      </c>
      <c r="AG415" s="2"/>
    </row>
    <row r="416" spans="1:37" s="25" customFormat="1" ht="32.4" customHeight="1">
      <c r="A416" s="31">
        <v>413</v>
      </c>
      <c r="B416" s="438">
        <v>38674</v>
      </c>
      <c r="C416" s="717" t="s">
        <v>1175</v>
      </c>
      <c r="D416" s="440">
        <v>220234402</v>
      </c>
      <c r="E416" s="441" t="s">
        <v>1899</v>
      </c>
      <c r="F416" s="443" t="s">
        <v>852</v>
      </c>
      <c r="G416" s="32">
        <v>8</v>
      </c>
      <c r="H416" s="32" t="s">
        <v>1753</v>
      </c>
      <c r="I416" s="425">
        <v>317</v>
      </c>
      <c r="AC416" s="2">
        <f t="shared" ca="1" si="28"/>
        <v>21</v>
      </c>
      <c r="AD416" s="2" t="e">
        <f t="shared" ca="1" si="29"/>
        <v>#VALUE!</v>
      </c>
      <c r="AE416" s="2">
        <f t="shared" ca="1" si="26"/>
        <v>21</v>
      </c>
      <c r="AF416" s="2" t="e">
        <f t="shared" ca="1" si="27"/>
        <v>#VALUE!</v>
      </c>
      <c r="AG416" s="2"/>
    </row>
    <row r="417" spans="1:37" s="25" customFormat="1" ht="32.4" customHeight="1">
      <c r="A417" s="31">
        <v>414</v>
      </c>
      <c r="B417" s="438">
        <v>35127</v>
      </c>
      <c r="C417" s="717" t="s">
        <v>1175</v>
      </c>
      <c r="D417" s="440">
        <v>220102060</v>
      </c>
      <c r="E417" s="441" t="s">
        <v>853</v>
      </c>
      <c r="F417" s="443" t="s">
        <v>854</v>
      </c>
      <c r="G417" s="32">
        <v>8</v>
      </c>
      <c r="H417" s="32" t="s">
        <v>1753</v>
      </c>
      <c r="I417" s="425">
        <v>318</v>
      </c>
      <c r="AC417" s="2">
        <f t="shared" ca="1" si="28"/>
        <v>30</v>
      </c>
      <c r="AD417" s="2" t="e">
        <f t="shared" ca="1" si="29"/>
        <v>#VALUE!</v>
      </c>
      <c r="AE417" s="2">
        <f t="shared" ca="1" si="26"/>
        <v>30</v>
      </c>
      <c r="AF417" s="2" t="e">
        <f t="shared" ca="1" si="27"/>
        <v>#VALUE!</v>
      </c>
      <c r="AG417" s="34"/>
      <c r="AH417" s="34">
        <v>36373</v>
      </c>
      <c r="AI417" s="46">
        <v>150840534</v>
      </c>
      <c r="AJ417" s="41" t="s">
        <v>1635</v>
      </c>
      <c r="AK417" s="31" t="s">
        <v>1636</v>
      </c>
    </row>
    <row r="418" spans="1:37" s="25" customFormat="1" ht="32.4" customHeight="1">
      <c r="A418" s="31">
        <v>415</v>
      </c>
      <c r="B418" s="438">
        <v>29769</v>
      </c>
      <c r="C418" s="717" t="s">
        <v>1175</v>
      </c>
      <c r="D418" s="440">
        <v>150113377</v>
      </c>
      <c r="E418" s="441" t="s">
        <v>855</v>
      </c>
      <c r="F418" s="443" t="s">
        <v>856</v>
      </c>
      <c r="G418" s="32">
        <v>8</v>
      </c>
      <c r="H418" s="32" t="s">
        <v>1753</v>
      </c>
      <c r="I418" s="425">
        <v>319</v>
      </c>
      <c r="AC418" s="2">
        <f t="shared" ca="1" si="28"/>
        <v>45</v>
      </c>
      <c r="AD418" s="2" t="e">
        <f t="shared" ca="1" si="29"/>
        <v>#VALUE!</v>
      </c>
      <c r="AE418" s="2">
        <f t="shared" ca="1" si="26"/>
        <v>45</v>
      </c>
      <c r="AF418" s="2" t="e">
        <f t="shared" ca="1" si="27"/>
        <v>#VALUE!</v>
      </c>
      <c r="AG418" s="34"/>
      <c r="AH418" s="34"/>
      <c r="AI418" s="46"/>
      <c r="AJ418" s="41"/>
      <c r="AK418" s="31"/>
    </row>
    <row r="419" spans="1:37" s="25" customFormat="1" ht="32.4" customHeight="1">
      <c r="A419" s="31">
        <v>416</v>
      </c>
      <c r="B419" s="438">
        <v>34232</v>
      </c>
      <c r="C419" s="717" t="s">
        <v>1175</v>
      </c>
      <c r="D419" s="440">
        <v>220139885</v>
      </c>
      <c r="E419" s="441" t="s">
        <v>857</v>
      </c>
      <c r="F419" s="443" t="s">
        <v>858</v>
      </c>
      <c r="G419" s="32">
        <v>8</v>
      </c>
      <c r="H419" s="32" t="s">
        <v>1753</v>
      </c>
      <c r="I419" s="425">
        <v>320</v>
      </c>
      <c r="AC419" s="2">
        <f t="shared" ca="1" si="28"/>
        <v>33</v>
      </c>
      <c r="AD419" s="2" t="e">
        <f t="shared" ca="1" si="29"/>
        <v>#VALUE!</v>
      </c>
      <c r="AE419" s="2">
        <f t="shared" ca="1" si="26"/>
        <v>33</v>
      </c>
      <c r="AF419" s="2" t="e">
        <f t="shared" ca="1" si="27"/>
        <v>#VALUE!</v>
      </c>
      <c r="AG419" s="2"/>
      <c r="AK419" s="2"/>
    </row>
    <row r="420" spans="1:37" s="25" customFormat="1" ht="32.4" customHeight="1">
      <c r="A420" s="31">
        <v>417</v>
      </c>
      <c r="B420" s="438">
        <v>35614</v>
      </c>
      <c r="C420" s="718" t="s">
        <v>2041</v>
      </c>
      <c r="D420" s="440">
        <v>220208824</v>
      </c>
      <c r="E420" s="441" t="s">
        <v>859</v>
      </c>
      <c r="F420" s="443" t="s">
        <v>860</v>
      </c>
      <c r="G420" s="32">
        <v>8</v>
      </c>
      <c r="H420" s="32" t="s">
        <v>1753</v>
      </c>
      <c r="I420" s="425">
        <v>321</v>
      </c>
      <c r="AC420" s="2">
        <f t="shared" ca="1" si="28"/>
        <v>29</v>
      </c>
      <c r="AD420" s="2" t="e">
        <f t="shared" ca="1" si="29"/>
        <v>#VALUE!</v>
      </c>
      <c r="AE420" s="2">
        <f t="shared" ca="1" si="26"/>
        <v>29</v>
      </c>
      <c r="AF420" s="2" t="e">
        <f t="shared" ca="1" si="27"/>
        <v>#VALUE!</v>
      </c>
      <c r="AG420" s="2"/>
    </row>
    <row r="421" spans="1:37" s="25" customFormat="1" ht="32.4" customHeight="1">
      <c r="A421" s="31">
        <v>418</v>
      </c>
      <c r="B421" s="438">
        <v>31547</v>
      </c>
      <c r="C421" s="717" t="s">
        <v>1175</v>
      </c>
      <c r="D421" s="440">
        <v>150354751</v>
      </c>
      <c r="E421" s="441" t="s">
        <v>861</v>
      </c>
      <c r="F421" s="443" t="s">
        <v>862</v>
      </c>
      <c r="G421" s="32">
        <v>8</v>
      </c>
      <c r="H421" s="32" t="s">
        <v>1753</v>
      </c>
      <c r="I421" s="425">
        <v>322</v>
      </c>
      <c r="AC421" s="2">
        <f t="shared" ca="1" si="28"/>
        <v>40</v>
      </c>
      <c r="AD421" s="2" t="e">
        <f t="shared" ca="1" si="29"/>
        <v>#VALUE!</v>
      </c>
      <c r="AE421" s="2">
        <f t="shared" ca="1" si="26"/>
        <v>40</v>
      </c>
      <c r="AF421" s="2" t="e">
        <f t="shared" ca="1" si="27"/>
        <v>#VALUE!</v>
      </c>
      <c r="AG421" s="2"/>
    </row>
    <row r="422" spans="1:37" s="25" customFormat="1" ht="32.4" customHeight="1">
      <c r="A422" s="31">
        <v>419</v>
      </c>
      <c r="B422" s="438">
        <v>29939</v>
      </c>
      <c r="C422" s="718" t="s">
        <v>2041</v>
      </c>
      <c r="D422" s="440">
        <v>150791146</v>
      </c>
      <c r="E422" s="441" t="s">
        <v>863</v>
      </c>
      <c r="F422" s="443" t="s">
        <v>864</v>
      </c>
      <c r="G422" s="32">
        <v>8</v>
      </c>
      <c r="H422" s="32" t="s">
        <v>1753</v>
      </c>
      <c r="I422" s="425">
        <v>323</v>
      </c>
      <c r="AC422" s="2">
        <f t="shared" ca="1" si="28"/>
        <v>45</v>
      </c>
      <c r="AD422" s="2" t="e">
        <f t="shared" ca="1" si="29"/>
        <v>#VALUE!</v>
      </c>
      <c r="AE422" s="2">
        <f t="shared" ca="1" si="26"/>
        <v>45</v>
      </c>
      <c r="AF422" s="2" t="e">
        <f t="shared" ca="1" si="27"/>
        <v>#VALUE!</v>
      </c>
      <c r="AG422" s="2"/>
    </row>
    <row r="423" spans="1:37" s="25" customFormat="1" ht="32.4" customHeight="1">
      <c r="A423" s="31">
        <v>420</v>
      </c>
      <c r="B423" s="438">
        <v>37759</v>
      </c>
      <c r="C423" s="717" t="s">
        <v>1175</v>
      </c>
      <c r="D423" s="440">
        <v>150952648</v>
      </c>
      <c r="E423" s="441" t="s">
        <v>2023</v>
      </c>
      <c r="F423" s="443" t="s">
        <v>2024</v>
      </c>
      <c r="G423" s="32">
        <v>8</v>
      </c>
      <c r="H423" s="32" t="s">
        <v>1753</v>
      </c>
      <c r="I423" s="425">
        <v>324</v>
      </c>
      <c r="AC423" s="2">
        <f t="shared" ca="1" si="28"/>
        <v>23</v>
      </c>
      <c r="AD423" s="2" t="e">
        <f t="shared" ca="1" si="29"/>
        <v>#VALUE!</v>
      </c>
      <c r="AE423" s="2">
        <f t="shared" ca="1" si="26"/>
        <v>23</v>
      </c>
      <c r="AF423" s="2" t="e">
        <f t="shared" ca="1" si="27"/>
        <v>#VALUE!</v>
      </c>
      <c r="AG423" s="34"/>
      <c r="AH423" s="34"/>
      <c r="AI423" s="46"/>
      <c r="AJ423" s="41"/>
      <c r="AK423" s="31"/>
    </row>
    <row r="424" spans="1:37" s="25" customFormat="1" ht="32.4" customHeight="1">
      <c r="A424" s="31">
        <v>421</v>
      </c>
      <c r="B424" s="438">
        <v>31107</v>
      </c>
      <c r="C424" s="717" t="s">
        <v>1175</v>
      </c>
      <c r="D424" s="440">
        <v>150784830</v>
      </c>
      <c r="E424" s="441" t="s">
        <v>1900</v>
      </c>
      <c r="F424" s="443" t="s">
        <v>868</v>
      </c>
      <c r="G424" s="32">
        <v>8</v>
      </c>
      <c r="H424" s="32" t="s">
        <v>1753</v>
      </c>
      <c r="I424" s="425">
        <v>325</v>
      </c>
      <c r="AC424" s="2">
        <f t="shared" ca="1" si="28"/>
        <v>41</v>
      </c>
      <c r="AD424" s="2" t="e">
        <f t="shared" ca="1" si="29"/>
        <v>#VALUE!</v>
      </c>
      <c r="AE424" s="2">
        <f t="shared" ca="1" si="26"/>
        <v>41</v>
      </c>
      <c r="AF424" s="2" t="e">
        <f t="shared" ca="1" si="27"/>
        <v>#VALUE!</v>
      </c>
      <c r="AG424" s="34"/>
      <c r="AH424" s="34"/>
      <c r="AI424" s="46"/>
      <c r="AJ424" s="41"/>
      <c r="AK424" s="31"/>
    </row>
    <row r="425" spans="1:37" s="25" customFormat="1" ht="32.4" customHeight="1">
      <c r="A425" s="31">
        <v>422</v>
      </c>
      <c r="B425" s="438">
        <v>32691</v>
      </c>
      <c r="C425" s="718" t="s">
        <v>2041</v>
      </c>
      <c r="D425" s="440">
        <v>150588235</v>
      </c>
      <c r="E425" s="441" t="s">
        <v>2054</v>
      </c>
      <c r="F425" s="443" t="s">
        <v>2055</v>
      </c>
      <c r="G425" s="32">
        <v>8</v>
      </c>
      <c r="H425" s="32" t="s">
        <v>1753</v>
      </c>
      <c r="I425" s="425">
        <v>326</v>
      </c>
      <c r="AC425" s="2">
        <f t="shared" ca="1" si="28"/>
        <v>37</v>
      </c>
      <c r="AD425" s="2" t="e">
        <f t="shared" ca="1" si="29"/>
        <v>#VALUE!</v>
      </c>
      <c r="AE425" s="2">
        <f t="shared" ca="1" si="26"/>
        <v>37</v>
      </c>
      <c r="AF425" s="2" t="e">
        <f t="shared" ca="1" si="27"/>
        <v>#VALUE!</v>
      </c>
      <c r="AG425" s="2"/>
    </row>
    <row r="426" spans="1:37" s="25" customFormat="1" ht="32.4" customHeight="1">
      <c r="A426" s="31">
        <v>423</v>
      </c>
      <c r="B426" s="438">
        <v>29961</v>
      </c>
      <c r="C426" s="717" t="s">
        <v>1175</v>
      </c>
      <c r="D426" s="440">
        <v>150238487</v>
      </c>
      <c r="E426" s="441" t="s">
        <v>871</v>
      </c>
      <c r="F426" s="443" t="s">
        <v>872</v>
      </c>
      <c r="G426" s="32">
        <v>8</v>
      </c>
      <c r="H426" s="32" t="s">
        <v>1753</v>
      </c>
      <c r="I426" s="425">
        <v>327</v>
      </c>
      <c r="AC426" s="2">
        <f t="shared" ca="1" si="28"/>
        <v>44</v>
      </c>
      <c r="AD426" s="2" t="e">
        <f t="shared" ca="1" si="29"/>
        <v>#VALUE!</v>
      </c>
      <c r="AE426" s="2">
        <f t="shared" ref="AE426:AE489" ca="1" si="30">IF(AC426&lt;=69,AC426,IF(AC426=70,1))</f>
        <v>44</v>
      </c>
      <c r="AF426" s="2" t="e">
        <f t="shared" ref="AF426:AF489" ca="1" si="31">IF(AD426&lt;=69,AD426,IF(AD426=70,1))</f>
        <v>#VALUE!</v>
      </c>
      <c r="AG426" s="2"/>
    </row>
    <row r="427" spans="1:37" s="25" customFormat="1" ht="32.4" customHeight="1">
      <c r="A427" s="31">
        <v>424</v>
      </c>
      <c r="B427" s="438">
        <v>30058</v>
      </c>
      <c r="C427" s="718" t="s">
        <v>2041</v>
      </c>
      <c r="D427" s="440">
        <v>150306706</v>
      </c>
      <c r="E427" s="441" t="s">
        <v>873</v>
      </c>
      <c r="F427" s="443" t="s">
        <v>874</v>
      </c>
      <c r="G427" s="32">
        <v>8</v>
      </c>
      <c r="H427" s="32" t="s">
        <v>1753</v>
      </c>
      <c r="I427" s="425">
        <v>328</v>
      </c>
      <c r="X427" s="34"/>
      <c r="Y427" s="34"/>
      <c r="Z427" s="46"/>
      <c r="AA427" s="47"/>
      <c r="AB427" s="31"/>
      <c r="AC427" s="2">
        <f t="shared" ca="1" si="28"/>
        <v>44</v>
      </c>
      <c r="AD427" s="2" t="e">
        <f t="shared" ca="1" si="29"/>
        <v>#VALUE!</v>
      </c>
      <c r="AE427" s="2">
        <f t="shared" ca="1" si="30"/>
        <v>44</v>
      </c>
      <c r="AF427" s="2" t="e">
        <f t="shared" ca="1" si="31"/>
        <v>#VALUE!</v>
      </c>
      <c r="AG427" s="2"/>
    </row>
    <row r="428" spans="1:37" s="25" customFormat="1" ht="32.4" customHeight="1">
      <c r="A428" s="31">
        <v>425</v>
      </c>
      <c r="B428" s="438">
        <v>30348</v>
      </c>
      <c r="C428" s="717" t="s">
        <v>1175</v>
      </c>
      <c r="D428" s="440">
        <v>150611414</v>
      </c>
      <c r="E428" s="441" t="s">
        <v>2025</v>
      </c>
      <c r="F428" s="475" t="s">
        <v>2026</v>
      </c>
      <c r="G428" s="32">
        <v>8</v>
      </c>
      <c r="H428" s="32" t="s">
        <v>1753</v>
      </c>
      <c r="I428" s="425">
        <v>329</v>
      </c>
      <c r="AC428" s="2">
        <f t="shared" ca="1" si="28"/>
        <v>43</v>
      </c>
      <c r="AD428" s="2" t="e">
        <f t="shared" ca="1" si="29"/>
        <v>#VALUE!</v>
      </c>
      <c r="AE428" s="2">
        <f t="shared" ca="1" si="30"/>
        <v>43</v>
      </c>
      <c r="AF428" s="2" t="e">
        <f t="shared" ca="1" si="31"/>
        <v>#VALUE!</v>
      </c>
      <c r="AG428" s="34"/>
      <c r="AH428" s="34">
        <v>30109</v>
      </c>
      <c r="AI428" s="46">
        <v>150940870</v>
      </c>
      <c r="AJ428" s="41" t="s">
        <v>1637</v>
      </c>
      <c r="AK428" s="31" t="s">
        <v>1638</v>
      </c>
    </row>
    <row r="429" spans="1:37" s="25" customFormat="1" ht="32.4" customHeight="1">
      <c r="A429" s="31">
        <v>426</v>
      </c>
      <c r="B429" s="438">
        <v>30569</v>
      </c>
      <c r="C429" s="717" t="s">
        <v>1175</v>
      </c>
      <c r="D429" s="440">
        <v>150811842</v>
      </c>
      <c r="E429" s="441" t="s">
        <v>877</v>
      </c>
      <c r="F429" s="443" t="s">
        <v>878</v>
      </c>
      <c r="G429" s="32">
        <v>8</v>
      </c>
      <c r="H429" s="32" t="s">
        <v>1753</v>
      </c>
      <c r="I429" s="425">
        <v>330</v>
      </c>
      <c r="AC429" s="2">
        <f t="shared" ca="1" si="28"/>
        <v>43</v>
      </c>
      <c r="AD429" s="2" t="e">
        <f t="shared" ca="1" si="29"/>
        <v>#VALUE!</v>
      </c>
      <c r="AE429" s="2">
        <f t="shared" ca="1" si="30"/>
        <v>43</v>
      </c>
      <c r="AF429" s="2" t="e">
        <f t="shared" ca="1" si="31"/>
        <v>#VALUE!</v>
      </c>
      <c r="AG429" s="34">
        <v>29106</v>
      </c>
      <c r="AH429" s="34"/>
      <c r="AI429" s="46">
        <v>150756315</v>
      </c>
      <c r="AJ429" s="41" t="s">
        <v>1639</v>
      </c>
      <c r="AK429" s="31" t="s">
        <v>1640</v>
      </c>
    </row>
    <row r="430" spans="1:37" s="25" customFormat="1" ht="32.4" customHeight="1">
      <c r="A430" s="31">
        <v>427</v>
      </c>
      <c r="B430" s="438">
        <v>29953</v>
      </c>
      <c r="C430" s="718" t="s">
        <v>2041</v>
      </c>
      <c r="D430" s="440">
        <v>150113772</v>
      </c>
      <c r="E430" s="441" t="s">
        <v>1971</v>
      </c>
      <c r="F430" s="443" t="s">
        <v>1603</v>
      </c>
      <c r="G430" s="32">
        <v>8</v>
      </c>
      <c r="H430" s="32" t="s">
        <v>1753</v>
      </c>
      <c r="I430" s="425">
        <v>331</v>
      </c>
      <c r="AC430" s="2">
        <f t="shared" ca="1" si="28"/>
        <v>44</v>
      </c>
      <c r="AD430" s="2" t="e">
        <f t="shared" ca="1" si="29"/>
        <v>#VALUE!</v>
      </c>
      <c r="AE430" s="2">
        <f t="shared" ca="1" si="30"/>
        <v>44</v>
      </c>
      <c r="AF430" s="2" t="e">
        <f t="shared" ca="1" si="31"/>
        <v>#VALUE!</v>
      </c>
      <c r="AG430" s="2"/>
    </row>
    <row r="431" spans="1:37" s="25" customFormat="1" ht="32.4" customHeight="1">
      <c r="A431" s="31">
        <v>428</v>
      </c>
      <c r="B431" s="438">
        <v>37987</v>
      </c>
      <c r="C431" s="717" t="s">
        <v>1175</v>
      </c>
      <c r="D431" s="440">
        <v>150952651</v>
      </c>
      <c r="E431" s="441" t="s">
        <v>1972</v>
      </c>
      <c r="F431" s="443" t="s">
        <v>1973</v>
      </c>
      <c r="G431" s="32">
        <v>8</v>
      </c>
      <c r="H431" s="32" t="s">
        <v>1753</v>
      </c>
      <c r="I431" s="425">
        <v>332</v>
      </c>
      <c r="AC431" s="2">
        <f t="shared" ca="1" si="28"/>
        <v>22</v>
      </c>
      <c r="AD431" s="2" t="e">
        <f t="shared" ca="1" si="29"/>
        <v>#VALUE!</v>
      </c>
      <c r="AE431" s="2">
        <f t="shared" ca="1" si="30"/>
        <v>22</v>
      </c>
      <c r="AF431" s="2" t="e">
        <f t="shared" ca="1" si="31"/>
        <v>#VALUE!</v>
      </c>
      <c r="AG431" s="2"/>
    </row>
    <row r="432" spans="1:37" s="25" customFormat="1" ht="32.4" customHeight="1">
      <c r="A432" s="31">
        <v>429</v>
      </c>
      <c r="B432" s="438">
        <v>27519</v>
      </c>
      <c r="C432" s="718" t="s">
        <v>2041</v>
      </c>
      <c r="D432" s="440">
        <v>150113904</v>
      </c>
      <c r="E432" s="441" t="s">
        <v>882</v>
      </c>
      <c r="F432" s="443" t="s">
        <v>883</v>
      </c>
      <c r="G432" s="32">
        <v>8</v>
      </c>
      <c r="H432" s="32" t="s">
        <v>1753</v>
      </c>
      <c r="I432" s="425">
        <v>333</v>
      </c>
      <c r="AC432" s="2">
        <f t="shared" ca="1" si="28"/>
        <v>51</v>
      </c>
      <c r="AD432" s="2" t="e">
        <f t="shared" ca="1" si="29"/>
        <v>#VALUE!</v>
      </c>
      <c r="AE432" s="2">
        <f t="shared" ca="1" si="30"/>
        <v>51</v>
      </c>
      <c r="AF432" s="2" t="e">
        <f t="shared" ca="1" si="31"/>
        <v>#VALUE!</v>
      </c>
      <c r="AG432" s="2"/>
    </row>
    <row r="433" spans="1:37" s="25" customFormat="1" ht="32.4" customHeight="1">
      <c r="A433" s="31">
        <v>430</v>
      </c>
      <c r="B433" s="438">
        <v>30114</v>
      </c>
      <c r="C433" s="717" t="s">
        <v>1175</v>
      </c>
      <c r="D433" s="440">
        <v>150113709</v>
      </c>
      <c r="E433" s="441" t="s">
        <v>1901</v>
      </c>
      <c r="F433" s="443" t="s">
        <v>885</v>
      </c>
      <c r="G433" s="32">
        <v>8</v>
      </c>
      <c r="H433" s="32" t="s">
        <v>1753</v>
      </c>
      <c r="I433" s="425">
        <v>334</v>
      </c>
      <c r="AC433" s="2">
        <f t="shared" ca="1" si="28"/>
        <v>44</v>
      </c>
      <c r="AD433" s="2" t="e">
        <f t="shared" ca="1" si="29"/>
        <v>#VALUE!</v>
      </c>
      <c r="AE433" s="2">
        <f t="shared" ca="1" si="30"/>
        <v>44</v>
      </c>
      <c r="AF433" s="2" t="e">
        <f t="shared" ca="1" si="31"/>
        <v>#VALUE!</v>
      </c>
      <c r="AG433" s="2"/>
    </row>
    <row r="434" spans="1:37" s="25" customFormat="1" ht="32.4" customHeight="1">
      <c r="A434" s="31">
        <v>431</v>
      </c>
      <c r="B434" s="438">
        <v>28984</v>
      </c>
      <c r="C434" s="718" t="s">
        <v>2041</v>
      </c>
      <c r="D434" s="440">
        <v>150354731</v>
      </c>
      <c r="E434" s="441" t="s">
        <v>1755</v>
      </c>
      <c r="F434" s="443" t="s">
        <v>886</v>
      </c>
      <c r="G434" s="32">
        <v>8</v>
      </c>
      <c r="H434" s="32" t="s">
        <v>1753</v>
      </c>
      <c r="I434" s="425">
        <v>335</v>
      </c>
      <c r="AC434" s="2">
        <f t="shared" ca="1" si="28"/>
        <v>47</v>
      </c>
      <c r="AD434" s="2" t="e">
        <f t="shared" ca="1" si="29"/>
        <v>#VALUE!</v>
      </c>
      <c r="AE434" s="2">
        <f t="shared" ca="1" si="30"/>
        <v>47</v>
      </c>
      <c r="AF434" s="2" t="e">
        <f t="shared" ca="1" si="31"/>
        <v>#VALUE!</v>
      </c>
      <c r="AG434" s="34"/>
      <c r="AH434" s="34"/>
      <c r="AI434" s="46"/>
      <c r="AJ434" s="41"/>
      <c r="AK434" s="31"/>
    </row>
    <row r="435" spans="1:37" s="25" customFormat="1" ht="32.4" customHeight="1">
      <c r="A435" s="31">
        <v>432</v>
      </c>
      <c r="B435" s="438">
        <v>30244</v>
      </c>
      <c r="C435" s="717" t="s">
        <v>1175</v>
      </c>
      <c r="D435" s="440">
        <v>150354738</v>
      </c>
      <c r="E435" s="441" t="s">
        <v>887</v>
      </c>
      <c r="F435" s="443" t="s">
        <v>888</v>
      </c>
      <c r="G435" s="32">
        <v>8</v>
      </c>
      <c r="H435" s="32" t="s">
        <v>1753</v>
      </c>
      <c r="I435" s="425">
        <v>336</v>
      </c>
      <c r="AC435" s="2">
        <f t="shared" ca="1" si="28"/>
        <v>44</v>
      </c>
      <c r="AD435" s="2" t="e">
        <f t="shared" ca="1" si="29"/>
        <v>#VALUE!</v>
      </c>
      <c r="AE435" s="2">
        <f t="shared" ca="1" si="30"/>
        <v>44</v>
      </c>
      <c r="AF435" s="2" t="e">
        <f t="shared" ca="1" si="31"/>
        <v>#VALUE!</v>
      </c>
      <c r="AG435" s="2"/>
    </row>
    <row r="436" spans="1:37" s="25" customFormat="1" ht="32.4" customHeight="1">
      <c r="A436" s="31">
        <v>433</v>
      </c>
      <c r="B436" s="438">
        <v>29646</v>
      </c>
      <c r="C436" s="718" t="s">
        <v>2041</v>
      </c>
      <c r="D436" s="310">
        <v>150315361</v>
      </c>
      <c r="E436" s="441" t="s">
        <v>889</v>
      </c>
      <c r="F436" s="429" t="s">
        <v>890</v>
      </c>
      <c r="G436" s="32">
        <v>8</v>
      </c>
      <c r="H436" s="32" t="s">
        <v>1753</v>
      </c>
      <c r="I436" s="31">
        <v>337</v>
      </c>
      <c r="AC436" s="2">
        <f t="shared" ca="1" si="28"/>
        <v>45</v>
      </c>
      <c r="AD436" s="2" t="e">
        <f t="shared" ca="1" si="29"/>
        <v>#VALUE!</v>
      </c>
      <c r="AE436" s="2">
        <f t="shared" ca="1" si="30"/>
        <v>45</v>
      </c>
      <c r="AF436" s="2" t="e">
        <f t="shared" ca="1" si="31"/>
        <v>#VALUE!</v>
      </c>
      <c r="AG436" s="2"/>
    </row>
    <row r="437" spans="1:37" s="25" customFormat="1" ht="32.4" customHeight="1">
      <c r="A437" s="31">
        <v>434</v>
      </c>
      <c r="B437" s="438">
        <v>34031</v>
      </c>
      <c r="C437" s="718" t="s">
        <v>2041</v>
      </c>
      <c r="D437" s="440">
        <v>150468467</v>
      </c>
      <c r="E437" s="441" t="s">
        <v>891</v>
      </c>
      <c r="F437" s="443" t="s">
        <v>892</v>
      </c>
      <c r="G437" s="32">
        <v>8</v>
      </c>
      <c r="H437" s="32" t="s">
        <v>1753</v>
      </c>
      <c r="I437" s="425">
        <v>338</v>
      </c>
      <c r="AC437" s="2">
        <f t="shared" ca="1" si="28"/>
        <v>33</v>
      </c>
      <c r="AD437" s="2" t="e">
        <f t="shared" ca="1" si="29"/>
        <v>#VALUE!</v>
      </c>
      <c r="AE437" s="2">
        <f t="shared" ca="1" si="30"/>
        <v>33</v>
      </c>
      <c r="AF437" s="2" t="e">
        <f t="shared" ca="1" si="31"/>
        <v>#VALUE!</v>
      </c>
      <c r="AG437" s="2"/>
    </row>
    <row r="438" spans="1:37" s="25" customFormat="1" ht="32.4" customHeight="1">
      <c r="A438" s="31">
        <v>435</v>
      </c>
      <c r="B438" s="438">
        <v>34860</v>
      </c>
      <c r="C438" s="717" t="s">
        <v>1175</v>
      </c>
      <c r="D438" s="440">
        <v>150648449</v>
      </c>
      <c r="E438" s="441" t="s">
        <v>893</v>
      </c>
      <c r="F438" s="443" t="s">
        <v>894</v>
      </c>
      <c r="G438" s="32">
        <v>8</v>
      </c>
      <c r="H438" s="32" t="s">
        <v>1753</v>
      </c>
      <c r="I438" s="425">
        <v>339</v>
      </c>
      <c r="AC438" s="2">
        <f t="shared" ca="1" si="28"/>
        <v>31</v>
      </c>
      <c r="AD438" s="2" t="e">
        <f t="shared" ca="1" si="29"/>
        <v>#VALUE!</v>
      </c>
      <c r="AE438" s="2">
        <f t="shared" ca="1" si="30"/>
        <v>31</v>
      </c>
      <c r="AF438" s="2" t="e">
        <f t="shared" ca="1" si="31"/>
        <v>#VALUE!</v>
      </c>
      <c r="AG438" s="2"/>
    </row>
    <row r="439" spans="1:37" s="25" customFormat="1" ht="32.4" customHeight="1">
      <c r="A439" s="31">
        <v>436</v>
      </c>
      <c r="B439" s="438">
        <v>38810</v>
      </c>
      <c r="C439" s="718" t="s">
        <v>2041</v>
      </c>
      <c r="D439" s="440">
        <v>220234306</v>
      </c>
      <c r="E439" s="441" t="s">
        <v>1902</v>
      </c>
      <c r="F439" s="443" t="s">
        <v>896</v>
      </c>
      <c r="G439" s="32">
        <v>8</v>
      </c>
      <c r="H439" s="32" t="s">
        <v>1753</v>
      </c>
      <c r="I439" s="425">
        <v>340</v>
      </c>
      <c r="X439" s="34"/>
      <c r="Y439" s="34"/>
      <c r="Z439" s="46"/>
      <c r="AA439" s="47"/>
      <c r="AB439" s="31"/>
      <c r="AC439" s="2">
        <f t="shared" ca="1" si="28"/>
        <v>20</v>
      </c>
      <c r="AD439" s="2" t="e">
        <f t="shared" ca="1" si="29"/>
        <v>#VALUE!</v>
      </c>
      <c r="AE439" s="2">
        <f t="shared" ca="1" si="30"/>
        <v>20</v>
      </c>
      <c r="AF439" s="2" t="e">
        <f t="shared" ca="1" si="31"/>
        <v>#VALUE!</v>
      </c>
      <c r="AG439" s="2"/>
    </row>
    <row r="440" spans="1:37" s="25" customFormat="1" ht="32.4" customHeight="1">
      <c r="A440" s="31">
        <v>437</v>
      </c>
      <c r="B440" s="438">
        <v>36263</v>
      </c>
      <c r="C440" s="718" t="s">
        <v>2041</v>
      </c>
      <c r="D440" s="452" t="s">
        <v>1903</v>
      </c>
      <c r="E440" s="441" t="s">
        <v>1904</v>
      </c>
      <c r="F440" s="443" t="s">
        <v>1905</v>
      </c>
      <c r="G440" s="32">
        <v>8</v>
      </c>
      <c r="H440" s="32" t="s">
        <v>1753</v>
      </c>
      <c r="I440" s="425">
        <v>341</v>
      </c>
      <c r="AC440" s="2">
        <f t="shared" ca="1" si="28"/>
        <v>27</v>
      </c>
      <c r="AD440" s="2" t="e">
        <f t="shared" ca="1" si="29"/>
        <v>#VALUE!</v>
      </c>
      <c r="AE440" s="2">
        <f t="shared" ca="1" si="30"/>
        <v>27</v>
      </c>
      <c r="AF440" s="2" t="e">
        <f t="shared" ca="1" si="31"/>
        <v>#VALUE!</v>
      </c>
      <c r="AG440" s="2"/>
    </row>
    <row r="441" spans="1:37" s="25" customFormat="1" ht="32.4" customHeight="1">
      <c r="A441" s="31">
        <v>438</v>
      </c>
      <c r="B441" s="438">
        <v>34158</v>
      </c>
      <c r="C441" s="717" t="s">
        <v>1175</v>
      </c>
      <c r="D441" s="440">
        <v>150865150</v>
      </c>
      <c r="E441" s="441" t="s">
        <v>899</v>
      </c>
      <c r="F441" s="443" t="s">
        <v>900</v>
      </c>
      <c r="G441" s="32">
        <v>8</v>
      </c>
      <c r="H441" s="32" t="s">
        <v>1753</v>
      </c>
      <c r="I441" s="425">
        <v>342</v>
      </c>
      <c r="AC441" s="2">
        <f t="shared" ca="1" si="28"/>
        <v>33</v>
      </c>
      <c r="AD441" s="2" t="e">
        <f t="shared" ca="1" si="29"/>
        <v>#VALUE!</v>
      </c>
      <c r="AE441" s="2">
        <f t="shared" ca="1" si="30"/>
        <v>33</v>
      </c>
      <c r="AF441" s="2" t="e">
        <f t="shared" ca="1" si="31"/>
        <v>#VALUE!</v>
      </c>
      <c r="AG441" s="2"/>
    </row>
    <row r="442" spans="1:37" s="25" customFormat="1" ht="32.4" customHeight="1">
      <c r="A442" s="31">
        <v>439</v>
      </c>
      <c r="B442" s="438">
        <v>36982</v>
      </c>
      <c r="C442" s="718" t="s">
        <v>2041</v>
      </c>
      <c r="D442" s="440">
        <v>150946050</v>
      </c>
      <c r="E442" s="441" t="s">
        <v>1295</v>
      </c>
      <c r="F442" s="443" t="s">
        <v>1296</v>
      </c>
      <c r="G442" s="32">
        <v>8</v>
      </c>
      <c r="H442" s="32" t="s">
        <v>1753</v>
      </c>
      <c r="I442" s="425">
        <v>343</v>
      </c>
      <c r="AC442" s="2">
        <f t="shared" ca="1" si="28"/>
        <v>25</v>
      </c>
      <c r="AD442" s="2" t="e">
        <f t="shared" ca="1" si="29"/>
        <v>#VALUE!</v>
      </c>
      <c r="AE442" s="2">
        <f t="shared" ca="1" si="30"/>
        <v>25</v>
      </c>
      <c r="AF442" s="2" t="e">
        <f t="shared" ca="1" si="31"/>
        <v>#VALUE!</v>
      </c>
      <c r="AG442" s="2"/>
    </row>
    <row r="443" spans="1:37" s="25" customFormat="1" ht="32.4" customHeight="1">
      <c r="A443" s="31">
        <v>440</v>
      </c>
      <c r="B443" s="455">
        <v>32958</v>
      </c>
      <c r="C443" s="718" t="s">
        <v>2041</v>
      </c>
      <c r="D443" s="444">
        <v>150360172</v>
      </c>
      <c r="E443" s="456" t="s">
        <v>1006</v>
      </c>
      <c r="F443" s="457" t="s">
        <v>1007</v>
      </c>
      <c r="G443" s="427">
        <v>11</v>
      </c>
      <c r="H443" s="32" t="s">
        <v>1753</v>
      </c>
      <c r="I443" s="428">
        <v>428</v>
      </c>
      <c r="AC443" s="2">
        <f t="shared" ca="1" si="28"/>
        <v>36</v>
      </c>
      <c r="AD443" s="2" t="e">
        <f t="shared" ca="1" si="29"/>
        <v>#VALUE!</v>
      </c>
      <c r="AE443" s="2">
        <f t="shared" ca="1" si="30"/>
        <v>36</v>
      </c>
      <c r="AF443" s="2" t="e">
        <f t="shared" ca="1" si="31"/>
        <v>#VALUE!</v>
      </c>
      <c r="AG443" s="2"/>
    </row>
    <row r="444" spans="1:37" s="25" customFormat="1" ht="32.4" customHeight="1">
      <c r="A444" s="31">
        <v>441</v>
      </c>
      <c r="B444" s="438">
        <v>34504</v>
      </c>
      <c r="C444" s="717" t="s">
        <v>1175</v>
      </c>
      <c r="D444" s="444">
        <v>150468371</v>
      </c>
      <c r="E444" s="441" t="s">
        <v>1048</v>
      </c>
      <c r="F444" s="429" t="s">
        <v>1049</v>
      </c>
      <c r="G444" s="32">
        <v>11</v>
      </c>
      <c r="H444" s="32" t="s">
        <v>1753</v>
      </c>
      <c r="I444" s="74">
        <v>429</v>
      </c>
      <c r="AC444" s="2">
        <f t="shared" ca="1" si="28"/>
        <v>32</v>
      </c>
      <c r="AD444" s="2" t="e">
        <f t="shared" ca="1" si="29"/>
        <v>#VALUE!</v>
      </c>
      <c r="AE444" s="2">
        <f t="shared" ca="1" si="30"/>
        <v>32</v>
      </c>
      <c r="AF444" s="2" t="e">
        <f t="shared" ca="1" si="31"/>
        <v>#VALUE!</v>
      </c>
      <c r="AG444" s="2"/>
    </row>
    <row r="445" spans="1:37" s="25" customFormat="1" ht="32.4" customHeight="1">
      <c r="A445" s="31">
        <v>442</v>
      </c>
      <c r="B445" s="438">
        <v>32418</v>
      </c>
      <c r="C445" s="718" t="s">
        <v>2041</v>
      </c>
      <c r="D445" s="444">
        <v>150360099</v>
      </c>
      <c r="E445" s="441" t="s">
        <v>1906</v>
      </c>
      <c r="F445" s="429" t="s">
        <v>1051</v>
      </c>
      <c r="G445" s="32">
        <v>11</v>
      </c>
      <c r="H445" s="32" t="s">
        <v>1753</v>
      </c>
      <c r="I445" s="74">
        <v>430</v>
      </c>
      <c r="AC445" s="2">
        <f t="shared" ca="1" si="28"/>
        <v>38</v>
      </c>
      <c r="AD445" s="2" t="e">
        <f t="shared" ca="1" si="29"/>
        <v>#VALUE!</v>
      </c>
      <c r="AE445" s="2">
        <f t="shared" ca="1" si="30"/>
        <v>38</v>
      </c>
      <c r="AF445" s="2" t="e">
        <f t="shared" ca="1" si="31"/>
        <v>#VALUE!</v>
      </c>
      <c r="AG445" s="2"/>
    </row>
    <row r="446" spans="1:37" s="25" customFormat="1" ht="32.4" customHeight="1">
      <c r="A446" s="31">
        <v>443</v>
      </c>
      <c r="B446" s="438">
        <v>31798</v>
      </c>
      <c r="C446" s="717" t="s">
        <v>1175</v>
      </c>
      <c r="D446" s="444">
        <v>150427628</v>
      </c>
      <c r="E446" s="441" t="s">
        <v>1052</v>
      </c>
      <c r="F446" s="429" t="s">
        <v>1053</v>
      </c>
      <c r="G446" s="32">
        <v>11</v>
      </c>
      <c r="H446" s="32" t="s">
        <v>1753</v>
      </c>
      <c r="I446" s="74">
        <v>431</v>
      </c>
      <c r="AC446" s="2">
        <f t="shared" ca="1" si="28"/>
        <v>39</v>
      </c>
      <c r="AD446" s="2" t="e">
        <f t="shared" ca="1" si="29"/>
        <v>#VALUE!</v>
      </c>
      <c r="AE446" s="2">
        <f t="shared" ca="1" si="30"/>
        <v>39</v>
      </c>
      <c r="AF446" s="2" t="e">
        <f t="shared" ca="1" si="31"/>
        <v>#VALUE!</v>
      </c>
      <c r="AG446" s="2"/>
    </row>
    <row r="447" spans="1:37" s="25" customFormat="1" ht="32.4" customHeight="1">
      <c r="A447" s="31">
        <v>444</v>
      </c>
      <c r="B447" s="438">
        <v>32246</v>
      </c>
      <c r="C447" s="718" t="s">
        <v>2041</v>
      </c>
      <c r="D447" s="444">
        <v>150306062</v>
      </c>
      <c r="E447" s="441" t="s">
        <v>1056</v>
      </c>
      <c r="F447" s="429" t="s">
        <v>1057</v>
      </c>
      <c r="G447" s="32">
        <v>11</v>
      </c>
      <c r="H447" s="32" t="s">
        <v>1753</v>
      </c>
      <c r="I447" s="74">
        <v>432</v>
      </c>
      <c r="AC447" s="2">
        <f t="shared" ca="1" si="28"/>
        <v>38</v>
      </c>
      <c r="AD447" s="2" t="e">
        <f t="shared" ca="1" si="29"/>
        <v>#VALUE!</v>
      </c>
      <c r="AE447" s="2">
        <f t="shared" ca="1" si="30"/>
        <v>38</v>
      </c>
      <c r="AF447" s="2" t="e">
        <f t="shared" ca="1" si="31"/>
        <v>#VALUE!</v>
      </c>
      <c r="AG447" s="2"/>
    </row>
    <row r="448" spans="1:37" s="25" customFormat="1" ht="32.4" customHeight="1">
      <c r="A448" s="31">
        <v>445</v>
      </c>
      <c r="B448" s="438">
        <v>35023</v>
      </c>
      <c r="C448" s="717" t="s">
        <v>1175</v>
      </c>
      <c r="D448" s="444">
        <v>150523277</v>
      </c>
      <c r="E448" s="441" t="s">
        <v>1054</v>
      </c>
      <c r="F448" s="429" t="s">
        <v>1055</v>
      </c>
      <c r="G448" s="32">
        <v>11</v>
      </c>
      <c r="H448" s="32" t="s">
        <v>1753</v>
      </c>
      <c r="I448" s="74">
        <v>433</v>
      </c>
      <c r="AC448" s="2">
        <f t="shared" ca="1" si="28"/>
        <v>31</v>
      </c>
      <c r="AD448" s="2" t="e">
        <f t="shared" ca="1" si="29"/>
        <v>#VALUE!</v>
      </c>
      <c r="AE448" s="2">
        <f t="shared" ca="1" si="30"/>
        <v>31</v>
      </c>
      <c r="AF448" s="2" t="e">
        <f t="shared" ca="1" si="31"/>
        <v>#VALUE!</v>
      </c>
      <c r="AG448" s="2"/>
    </row>
    <row r="449" spans="1:37" s="25" customFormat="1" ht="32.4" customHeight="1">
      <c r="A449" s="31">
        <v>446</v>
      </c>
      <c r="B449" s="438">
        <v>38639</v>
      </c>
      <c r="C449" s="718" t="s">
        <v>2041</v>
      </c>
      <c r="D449" s="444">
        <v>150983074</v>
      </c>
      <c r="E449" s="441" t="s">
        <v>2027</v>
      </c>
      <c r="F449" s="429" t="s">
        <v>2028</v>
      </c>
      <c r="G449" s="32">
        <v>11</v>
      </c>
      <c r="H449" s="32" t="s">
        <v>1753</v>
      </c>
      <c r="I449" s="74">
        <v>434</v>
      </c>
      <c r="AC449" s="2">
        <f t="shared" ca="1" si="28"/>
        <v>21</v>
      </c>
      <c r="AD449" s="2" t="e">
        <f t="shared" ca="1" si="29"/>
        <v>#VALUE!</v>
      </c>
      <c r="AE449" s="2">
        <f t="shared" ca="1" si="30"/>
        <v>21</v>
      </c>
      <c r="AF449" s="2" t="e">
        <f t="shared" ca="1" si="31"/>
        <v>#VALUE!</v>
      </c>
      <c r="AG449" s="2"/>
    </row>
    <row r="450" spans="1:37" s="25" customFormat="1" ht="32.4" customHeight="1">
      <c r="A450" s="31">
        <v>447</v>
      </c>
      <c r="B450" s="438">
        <v>39235</v>
      </c>
      <c r="C450" s="718" t="s">
        <v>2041</v>
      </c>
      <c r="D450" s="444">
        <v>151027346</v>
      </c>
      <c r="E450" s="441" t="s">
        <v>2029</v>
      </c>
      <c r="F450" s="429" t="s">
        <v>2030</v>
      </c>
      <c r="G450" s="32">
        <v>11</v>
      </c>
      <c r="H450" s="32" t="s">
        <v>1753</v>
      </c>
      <c r="I450" s="74">
        <v>435</v>
      </c>
      <c r="X450" s="34"/>
      <c r="Y450" s="34"/>
      <c r="Z450" s="46"/>
      <c r="AA450" s="47"/>
      <c r="AB450" s="31"/>
      <c r="AC450" s="2">
        <f t="shared" ca="1" si="28"/>
        <v>19</v>
      </c>
      <c r="AD450" s="2" t="e">
        <f t="shared" ca="1" si="29"/>
        <v>#VALUE!</v>
      </c>
      <c r="AE450" s="2">
        <f t="shared" ca="1" si="30"/>
        <v>19</v>
      </c>
      <c r="AF450" s="2" t="e">
        <f t="shared" ca="1" si="31"/>
        <v>#VALUE!</v>
      </c>
      <c r="AG450" s="2"/>
    </row>
    <row r="451" spans="1:37" s="25" customFormat="1" ht="32.4" customHeight="1">
      <c r="A451" s="31">
        <v>448</v>
      </c>
      <c r="B451" s="438">
        <v>31713</v>
      </c>
      <c r="C451" s="718" t="s">
        <v>2041</v>
      </c>
      <c r="D451" s="444">
        <v>150354742</v>
      </c>
      <c r="E451" s="441" t="s">
        <v>1062</v>
      </c>
      <c r="F451" s="429" t="s">
        <v>1063</v>
      </c>
      <c r="G451" s="32">
        <v>11</v>
      </c>
      <c r="H451" s="32" t="s">
        <v>1753</v>
      </c>
      <c r="I451" s="74">
        <v>436</v>
      </c>
      <c r="AC451" s="2">
        <f t="shared" ca="1" si="28"/>
        <v>40</v>
      </c>
      <c r="AD451" s="2" t="e">
        <f t="shared" ca="1" si="29"/>
        <v>#VALUE!</v>
      </c>
      <c r="AE451" s="2">
        <f t="shared" ca="1" si="30"/>
        <v>40</v>
      </c>
      <c r="AF451" s="2" t="e">
        <f t="shared" ca="1" si="31"/>
        <v>#VALUE!</v>
      </c>
      <c r="AG451" s="2"/>
    </row>
    <row r="452" spans="1:37" s="25" customFormat="1" ht="32.4" customHeight="1">
      <c r="A452" s="31">
        <v>449</v>
      </c>
      <c r="B452" s="438">
        <v>32640</v>
      </c>
      <c r="C452" s="717" t="s">
        <v>1175</v>
      </c>
      <c r="D452" s="444">
        <v>150326752</v>
      </c>
      <c r="E452" s="441" t="s">
        <v>1907</v>
      </c>
      <c r="F452" s="429" t="s">
        <v>1065</v>
      </c>
      <c r="G452" s="32">
        <v>11</v>
      </c>
      <c r="H452" s="32" t="s">
        <v>1753</v>
      </c>
      <c r="I452" s="74">
        <v>437</v>
      </c>
      <c r="AC452" s="2">
        <f t="shared" ref="AC452:AC519" ca="1" si="32">YEAR(NOW())-YEAR(B452)</f>
        <v>37</v>
      </c>
      <c r="AD452" s="2" t="e">
        <f t="shared" ref="AD452:AD519" ca="1" si="33">YEAR(NOW())-YEAR(C452)</f>
        <v>#VALUE!</v>
      </c>
      <c r="AE452" s="2">
        <f t="shared" ca="1" si="30"/>
        <v>37</v>
      </c>
      <c r="AF452" s="2" t="e">
        <f t="shared" ca="1" si="31"/>
        <v>#VALUE!</v>
      </c>
      <c r="AG452" s="2"/>
    </row>
    <row r="453" spans="1:37" s="25" customFormat="1" ht="32.4" customHeight="1">
      <c r="A453" s="31">
        <v>450</v>
      </c>
      <c r="B453" s="438">
        <v>31584</v>
      </c>
      <c r="C453" s="718" t="s">
        <v>2041</v>
      </c>
      <c r="D453" s="444">
        <v>150326807</v>
      </c>
      <c r="E453" s="441" t="s">
        <v>1974</v>
      </c>
      <c r="F453" s="706" t="s">
        <v>1975</v>
      </c>
      <c r="G453" s="32">
        <v>11</v>
      </c>
      <c r="H453" s="32" t="s">
        <v>1753</v>
      </c>
      <c r="I453" s="74">
        <v>438</v>
      </c>
      <c r="AC453" s="2">
        <f t="shared" ca="1" si="32"/>
        <v>40</v>
      </c>
      <c r="AD453" s="2" t="e">
        <f t="shared" ca="1" si="33"/>
        <v>#VALUE!</v>
      </c>
      <c r="AE453" s="2">
        <f t="shared" ca="1" si="30"/>
        <v>40</v>
      </c>
      <c r="AF453" s="2" t="e">
        <f t="shared" ca="1" si="31"/>
        <v>#VALUE!</v>
      </c>
      <c r="AG453" s="34">
        <v>37818</v>
      </c>
      <c r="AH453" s="34"/>
      <c r="AI453" s="46">
        <v>150952578</v>
      </c>
      <c r="AJ453" s="41" t="s">
        <v>1642</v>
      </c>
      <c r="AK453" s="31" t="s">
        <v>1643</v>
      </c>
    </row>
    <row r="454" spans="1:37" s="25" customFormat="1" ht="32.4" customHeight="1">
      <c r="A454" s="31">
        <v>451</v>
      </c>
      <c r="B454" s="438">
        <v>37696</v>
      </c>
      <c r="C454" s="717" t="s">
        <v>1175</v>
      </c>
      <c r="D454" s="444">
        <v>150952485</v>
      </c>
      <c r="E454" s="441" t="s">
        <v>1523</v>
      </c>
      <c r="F454" s="429" t="s">
        <v>1524</v>
      </c>
      <c r="G454" s="32">
        <v>11</v>
      </c>
      <c r="H454" s="32" t="s">
        <v>1753</v>
      </c>
      <c r="I454" s="74">
        <v>439</v>
      </c>
      <c r="X454" s="34"/>
      <c r="Y454" s="34"/>
      <c r="Z454" s="46"/>
      <c r="AA454" s="61"/>
      <c r="AB454" s="31"/>
      <c r="AC454" s="2">
        <f t="shared" ca="1" si="32"/>
        <v>23</v>
      </c>
      <c r="AD454" s="2" t="e">
        <f t="shared" ca="1" si="33"/>
        <v>#VALUE!</v>
      </c>
      <c r="AE454" s="2">
        <f t="shared" ca="1" si="30"/>
        <v>23</v>
      </c>
      <c r="AF454" s="2" t="e">
        <f t="shared" ca="1" si="31"/>
        <v>#VALUE!</v>
      </c>
      <c r="AG454" s="2"/>
    </row>
    <row r="455" spans="1:37" s="25" customFormat="1" ht="32.4" customHeight="1">
      <c r="A455" s="31">
        <v>452</v>
      </c>
      <c r="B455" s="438">
        <v>34522</v>
      </c>
      <c r="C455" s="717" t="s">
        <v>1175</v>
      </c>
      <c r="D455" s="444">
        <v>150611460</v>
      </c>
      <c r="E455" s="441" t="s">
        <v>1908</v>
      </c>
      <c r="F455" s="429" t="s">
        <v>1716</v>
      </c>
      <c r="G455" s="32">
        <v>11</v>
      </c>
      <c r="H455" s="32" t="s">
        <v>1753</v>
      </c>
      <c r="I455" s="74">
        <v>440</v>
      </c>
      <c r="X455" s="34"/>
      <c r="Y455" s="34"/>
      <c r="Z455" s="46"/>
      <c r="AA455" s="61"/>
      <c r="AB455" s="31"/>
      <c r="AC455" s="2">
        <f t="shared" ca="1" si="32"/>
        <v>32</v>
      </c>
      <c r="AD455" s="2" t="e">
        <f t="shared" ca="1" si="33"/>
        <v>#VALUE!</v>
      </c>
      <c r="AE455" s="2">
        <f t="shared" ca="1" si="30"/>
        <v>32</v>
      </c>
      <c r="AF455" s="2" t="e">
        <f t="shared" ca="1" si="31"/>
        <v>#VALUE!</v>
      </c>
      <c r="AG455" s="2"/>
    </row>
    <row r="456" spans="1:37" ht="32.4" customHeight="1">
      <c r="A456" s="31">
        <v>453</v>
      </c>
      <c r="B456" s="438">
        <v>35924</v>
      </c>
      <c r="C456" s="717" t="s">
        <v>1175</v>
      </c>
      <c r="D456" s="444">
        <v>150648598</v>
      </c>
      <c r="E456" s="441" t="s">
        <v>1070</v>
      </c>
      <c r="F456" s="429" t="s">
        <v>1071</v>
      </c>
      <c r="G456" s="32">
        <v>11</v>
      </c>
      <c r="H456" s="32" t="s">
        <v>1753</v>
      </c>
      <c r="I456" s="74">
        <v>441</v>
      </c>
      <c r="AC456" s="2">
        <f t="shared" ca="1" si="32"/>
        <v>28</v>
      </c>
      <c r="AD456" s="2" t="e">
        <f t="shared" ca="1" si="33"/>
        <v>#VALUE!</v>
      </c>
      <c r="AE456" s="2">
        <f t="shared" ca="1" si="30"/>
        <v>28</v>
      </c>
      <c r="AF456" s="2" t="e">
        <f t="shared" ca="1" si="31"/>
        <v>#VALUE!</v>
      </c>
    </row>
    <row r="457" spans="1:37" ht="32.4" customHeight="1">
      <c r="A457" s="31">
        <v>454</v>
      </c>
      <c r="B457" s="438">
        <v>33253</v>
      </c>
      <c r="C457" s="718" t="s">
        <v>2041</v>
      </c>
      <c r="D457" s="444">
        <v>150469695</v>
      </c>
      <c r="E457" s="441" t="s">
        <v>1068</v>
      </c>
      <c r="F457" s="429" t="s">
        <v>1069</v>
      </c>
      <c r="G457" s="32">
        <v>11</v>
      </c>
      <c r="H457" s="32" t="s">
        <v>1753</v>
      </c>
      <c r="I457" s="74">
        <v>442</v>
      </c>
      <c r="AC457" s="2">
        <f t="shared" ca="1" si="32"/>
        <v>35</v>
      </c>
      <c r="AD457" s="2" t="e">
        <f t="shared" ca="1" si="33"/>
        <v>#VALUE!</v>
      </c>
      <c r="AE457" s="2">
        <f t="shared" ca="1" si="30"/>
        <v>35</v>
      </c>
      <c r="AF457" s="2" t="e">
        <f t="shared" ca="1" si="31"/>
        <v>#VALUE!</v>
      </c>
    </row>
    <row r="458" spans="1:37" ht="32.4" customHeight="1">
      <c r="A458" s="31">
        <v>455</v>
      </c>
      <c r="B458" s="438">
        <v>30482</v>
      </c>
      <c r="C458" s="717" t="s">
        <v>1175</v>
      </c>
      <c r="D458" s="444">
        <v>150169571</v>
      </c>
      <c r="E458" s="441" t="s">
        <v>960</v>
      </c>
      <c r="F458" s="429" t="s">
        <v>961</v>
      </c>
      <c r="G458" s="32">
        <v>11</v>
      </c>
      <c r="H458" s="32" t="s">
        <v>1753</v>
      </c>
      <c r="I458" s="74">
        <v>443</v>
      </c>
      <c r="AC458" s="2">
        <f t="shared" ca="1" si="32"/>
        <v>43</v>
      </c>
      <c r="AD458" s="2" t="e">
        <f t="shared" ca="1" si="33"/>
        <v>#VALUE!</v>
      </c>
      <c r="AE458" s="2">
        <f t="shared" ca="1" si="30"/>
        <v>43</v>
      </c>
      <c r="AF458" s="2" t="e">
        <f t="shared" ca="1" si="31"/>
        <v>#VALUE!</v>
      </c>
    </row>
    <row r="459" spans="1:37" ht="32.4" customHeight="1">
      <c r="A459" s="31">
        <v>456</v>
      </c>
      <c r="B459" s="438">
        <v>30845</v>
      </c>
      <c r="C459" s="718" t="s">
        <v>2041</v>
      </c>
      <c r="D459" s="444">
        <v>150238605</v>
      </c>
      <c r="E459" s="441" t="s">
        <v>1909</v>
      </c>
      <c r="F459" s="429" t="s">
        <v>1075</v>
      </c>
      <c r="G459" s="32">
        <v>11</v>
      </c>
      <c r="H459" s="32" t="s">
        <v>1753</v>
      </c>
      <c r="I459" s="74">
        <v>444</v>
      </c>
      <c r="AC459" s="2">
        <f t="shared" ca="1" si="32"/>
        <v>42</v>
      </c>
      <c r="AD459" s="2" t="e">
        <f t="shared" ca="1" si="33"/>
        <v>#VALUE!</v>
      </c>
      <c r="AE459" s="2">
        <f t="shared" ca="1" si="30"/>
        <v>42</v>
      </c>
      <c r="AF459" s="2" t="e">
        <f t="shared" ca="1" si="31"/>
        <v>#VALUE!</v>
      </c>
    </row>
    <row r="460" spans="1:37" ht="32.4" customHeight="1">
      <c r="A460" s="31">
        <v>457</v>
      </c>
      <c r="B460" s="438">
        <v>32612</v>
      </c>
      <c r="C460" s="717" t="s">
        <v>1175</v>
      </c>
      <c r="D460" s="444">
        <v>150522837</v>
      </c>
      <c r="E460" s="441" t="s">
        <v>1990</v>
      </c>
      <c r="F460" s="429" t="s">
        <v>1976</v>
      </c>
      <c r="G460" s="32">
        <v>11</v>
      </c>
      <c r="H460" s="32" t="s">
        <v>1753</v>
      </c>
      <c r="I460" s="74">
        <v>445</v>
      </c>
      <c r="X460" s="34"/>
      <c r="Y460" s="34"/>
      <c r="Z460" s="32"/>
      <c r="AA460" s="80"/>
      <c r="AB460" s="31"/>
      <c r="AC460" s="2">
        <f t="shared" ca="1" si="32"/>
        <v>37</v>
      </c>
      <c r="AD460" s="2" t="e">
        <f t="shared" ca="1" si="33"/>
        <v>#VALUE!</v>
      </c>
      <c r="AE460" s="2">
        <f t="shared" ca="1" si="30"/>
        <v>37</v>
      </c>
      <c r="AF460" s="2" t="e">
        <f t="shared" ca="1" si="31"/>
        <v>#VALUE!</v>
      </c>
    </row>
    <row r="461" spans="1:37" ht="32.4" customHeight="1">
      <c r="A461" s="31">
        <v>458</v>
      </c>
      <c r="B461" s="438">
        <v>35198</v>
      </c>
      <c r="C461" s="718" t="s">
        <v>2041</v>
      </c>
      <c r="D461" s="444">
        <v>150538290</v>
      </c>
      <c r="E461" s="441" t="s">
        <v>1910</v>
      </c>
      <c r="F461" s="429" t="s">
        <v>1717</v>
      </c>
      <c r="G461" s="32">
        <v>11</v>
      </c>
      <c r="H461" s="32" t="s">
        <v>1753</v>
      </c>
      <c r="I461" s="74">
        <v>446</v>
      </c>
      <c r="X461" s="34"/>
      <c r="Y461" s="34">
        <v>38266</v>
      </c>
      <c r="Z461" s="32">
        <v>151014853</v>
      </c>
      <c r="AA461" s="80" t="s">
        <v>1644</v>
      </c>
      <c r="AB461" s="31" t="s">
        <v>1645</v>
      </c>
      <c r="AC461" s="2">
        <f t="shared" ca="1" si="32"/>
        <v>30</v>
      </c>
      <c r="AD461" s="2" t="e">
        <f t="shared" ca="1" si="33"/>
        <v>#VALUE!</v>
      </c>
      <c r="AE461" s="2">
        <f t="shared" ca="1" si="30"/>
        <v>30</v>
      </c>
      <c r="AF461" s="2" t="e">
        <f t="shared" ca="1" si="31"/>
        <v>#VALUE!</v>
      </c>
    </row>
    <row r="462" spans="1:37" ht="32.4" customHeight="1">
      <c r="A462" s="31">
        <v>459</v>
      </c>
      <c r="B462" s="438">
        <v>39637</v>
      </c>
      <c r="C462" s="717" t="s">
        <v>1175</v>
      </c>
      <c r="D462" s="444">
        <v>151072874</v>
      </c>
      <c r="E462" s="441" t="s">
        <v>1758</v>
      </c>
      <c r="F462" s="429" t="s">
        <v>1759</v>
      </c>
      <c r="G462" s="32">
        <v>11</v>
      </c>
      <c r="H462" s="32" t="s">
        <v>1753</v>
      </c>
      <c r="I462" s="74">
        <v>447</v>
      </c>
      <c r="X462" s="34">
        <v>37829</v>
      </c>
      <c r="Y462" s="34"/>
      <c r="Z462" s="32">
        <v>150986972</v>
      </c>
      <c r="AA462" s="80" t="s">
        <v>1646</v>
      </c>
      <c r="AB462" s="31" t="s">
        <v>1647</v>
      </c>
      <c r="AC462" s="2">
        <f t="shared" ca="1" si="32"/>
        <v>18</v>
      </c>
      <c r="AD462" s="2" t="e">
        <f t="shared" ca="1" si="33"/>
        <v>#VALUE!</v>
      </c>
      <c r="AE462" s="2">
        <f t="shared" ca="1" si="30"/>
        <v>18</v>
      </c>
      <c r="AF462" s="2" t="e">
        <f t="shared" ca="1" si="31"/>
        <v>#VALUE!</v>
      </c>
    </row>
    <row r="463" spans="1:37" ht="32.4" customHeight="1">
      <c r="A463" s="31">
        <v>460</v>
      </c>
      <c r="B463" s="438">
        <v>26122</v>
      </c>
      <c r="C463" s="717" t="s">
        <v>1175</v>
      </c>
      <c r="D463" s="444">
        <v>150675126</v>
      </c>
      <c r="E463" s="441" t="s">
        <v>1080</v>
      </c>
      <c r="F463" s="429" t="s">
        <v>1081</v>
      </c>
      <c r="G463" s="32">
        <v>11</v>
      </c>
      <c r="H463" s="32" t="s">
        <v>1753</v>
      </c>
      <c r="I463" s="74">
        <v>448</v>
      </c>
      <c r="X463" s="34"/>
      <c r="Y463" s="34">
        <v>35871</v>
      </c>
      <c r="Z463" s="32">
        <v>220122516</v>
      </c>
      <c r="AA463" s="80" t="s">
        <v>1648</v>
      </c>
      <c r="AB463" s="31" t="s">
        <v>1649</v>
      </c>
      <c r="AC463" s="2">
        <f t="shared" ca="1" si="32"/>
        <v>55</v>
      </c>
      <c r="AD463" s="2" t="e">
        <f t="shared" ca="1" si="33"/>
        <v>#VALUE!</v>
      </c>
      <c r="AE463" s="2">
        <f t="shared" ca="1" si="30"/>
        <v>55</v>
      </c>
      <c r="AF463" s="2" t="e">
        <f t="shared" ca="1" si="31"/>
        <v>#VALUE!</v>
      </c>
    </row>
    <row r="464" spans="1:37" ht="32.4" customHeight="1">
      <c r="A464" s="31">
        <v>461</v>
      </c>
      <c r="B464" s="438">
        <v>32540</v>
      </c>
      <c r="C464" s="718" t="s">
        <v>2041</v>
      </c>
      <c r="D464" s="444">
        <v>150352382</v>
      </c>
      <c r="E464" s="441" t="s">
        <v>1082</v>
      </c>
      <c r="F464" s="429" t="s">
        <v>1083</v>
      </c>
      <c r="G464" s="32">
        <v>11</v>
      </c>
      <c r="H464" s="32" t="s">
        <v>1753</v>
      </c>
      <c r="I464" s="74">
        <v>449</v>
      </c>
      <c r="X464" s="34">
        <v>34441</v>
      </c>
      <c r="Y464" s="34"/>
      <c r="Z464" s="32">
        <v>150538306</v>
      </c>
      <c r="AA464" s="80" t="s">
        <v>1650</v>
      </c>
      <c r="AB464" s="31" t="s">
        <v>1651</v>
      </c>
      <c r="AC464" s="2">
        <f t="shared" ca="1" si="32"/>
        <v>37</v>
      </c>
      <c r="AD464" s="2" t="e">
        <f t="shared" ca="1" si="33"/>
        <v>#VALUE!</v>
      </c>
      <c r="AE464" s="2">
        <f t="shared" ca="1" si="30"/>
        <v>37</v>
      </c>
      <c r="AF464" s="2" t="e">
        <f t="shared" ca="1" si="31"/>
        <v>#VALUE!</v>
      </c>
    </row>
    <row r="465" spans="1:32" ht="32.4" customHeight="1">
      <c r="A465" s="31">
        <v>462</v>
      </c>
      <c r="B465" s="438">
        <v>30838</v>
      </c>
      <c r="C465" s="717" t="s">
        <v>1175</v>
      </c>
      <c r="D465" s="444">
        <v>150238279</v>
      </c>
      <c r="E465" s="441" t="s">
        <v>1084</v>
      </c>
      <c r="F465" s="429" t="s">
        <v>1085</v>
      </c>
      <c r="G465" s="32">
        <v>11</v>
      </c>
      <c r="H465" s="32" t="s">
        <v>1753</v>
      </c>
      <c r="I465" s="74">
        <v>450</v>
      </c>
      <c r="AC465" s="2">
        <f t="shared" ca="1" si="32"/>
        <v>42</v>
      </c>
      <c r="AD465" s="2" t="e">
        <f t="shared" ca="1" si="33"/>
        <v>#VALUE!</v>
      </c>
      <c r="AE465" s="2">
        <f t="shared" ca="1" si="30"/>
        <v>42</v>
      </c>
      <c r="AF465" s="2" t="e">
        <f t="shared" ca="1" si="31"/>
        <v>#VALUE!</v>
      </c>
    </row>
    <row r="466" spans="1:32" ht="32.4" customHeight="1">
      <c r="A466" s="31">
        <v>463</v>
      </c>
      <c r="B466" s="438">
        <v>37829</v>
      </c>
      <c r="C466" s="718" t="s">
        <v>2041</v>
      </c>
      <c r="D466" s="444">
        <v>150986972</v>
      </c>
      <c r="E466" s="441" t="s">
        <v>1646</v>
      </c>
      <c r="F466" s="429" t="s">
        <v>1647</v>
      </c>
      <c r="G466" s="32">
        <v>11</v>
      </c>
      <c r="H466" s="32" t="s">
        <v>1753</v>
      </c>
      <c r="I466" s="74">
        <v>451</v>
      </c>
      <c r="AC466" s="2">
        <f t="shared" ca="1" si="32"/>
        <v>23</v>
      </c>
      <c r="AD466" s="2" t="e">
        <f t="shared" ca="1" si="33"/>
        <v>#VALUE!</v>
      </c>
      <c r="AE466" s="2">
        <f t="shared" ca="1" si="30"/>
        <v>23</v>
      </c>
      <c r="AF466" s="2" t="e">
        <f t="shared" ca="1" si="31"/>
        <v>#VALUE!</v>
      </c>
    </row>
    <row r="467" spans="1:32" ht="32.4" customHeight="1">
      <c r="A467" s="31">
        <v>464</v>
      </c>
      <c r="B467" s="438">
        <v>33825</v>
      </c>
      <c r="C467" s="718" t="s">
        <v>2041</v>
      </c>
      <c r="D467" s="444">
        <v>150939281</v>
      </c>
      <c r="E467" s="441" t="s">
        <v>1086</v>
      </c>
      <c r="F467" s="429" t="s">
        <v>1087</v>
      </c>
      <c r="G467" s="32">
        <v>11</v>
      </c>
      <c r="H467" s="32" t="s">
        <v>1753</v>
      </c>
      <c r="I467" s="74">
        <v>452</v>
      </c>
      <c r="X467" s="34">
        <v>30362</v>
      </c>
      <c r="Y467" s="34"/>
      <c r="Z467" s="32">
        <v>150111007</v>
      </c>
      <c r="AA467" s="81" t="s">
        <v>691</v>
      </c>
      <c r="AB467" s="31" t="s">
        <v>692</v>
      </c>
      <c r="AC467" s="2">
        <f t="shared" ca="1" si="32"/>
        <v>34</v>
      </c>
      <c r="AD467" s="2" t="e">
        <f t="shared" ca="1" si="33"/>
        <v>#VALUE!</v>
      </c>
      <c r="AE467" s="2">
        <f t="shared" ca="1" si="30"/>
        <v>34</v>
      </c>
      <c r="AF467" s="2" t="e">
        <f t="shared" ca="1" si="31"/>
        <v>#VALUE!</v>
      </c>
    </row>
    <row r="468" spans="1:32" ht="32.4" customHeight="1">
      <c r="A468" s="31">
        <v>465</v>
      </c>
      <c r="B468" s="438">
        <v>34469</v>
      </c>
      <c r="C468" s="717" t="s">
        <v>1175</v>
      </c>
      <c r="D468" s="444">
        <v>150522920</v>
      </c>
      <c r="E468" s="441" t="s">
        <v>1088</v>
      </c>
      <c r="F468" s="429" t="s">
        <v>1089</v>
      </c>
      <c r="G468" s="32">
        <v>11</v>
      </c>
      <c r="H468" s="32" t="s">
        <v>1753</v>
      </c>
      <c r="I468" s="74">
        <v>453</v>
      </c>
      <c r="Z468" s="32"/>
      <c r="AC468" s="2">
        <f t="shared" ca="1" si="32"/>
        <v>32</v>
      </c>
      <c r="AD468" s="2" t="e">
        <f t="shared" ca="1" si="33"/>
        <v>#VALUE!</v>
      </c>
      <c r="AE468" s="2">
        <f t="shared" ca="1" si="30"/>
        <v>32</v>
      </c>
      <c r="AF468" s="2" t="e">
        <f t="shared" ca="1" si="31"/>
        <v>#VALUE!</v>
      </c>
    </row>
    <row r="469" spans="1:32" ht="32.4" customHeight="1">
      <c r="A469" s="31">
        <v>466</v>
      </c>
      <c r="B469" s="438">
        <v>38782</v>
      </c>
      <c r="C469" s="717" t="s">
        <v>1175</v>
      </c>
      <c r="D469" s="444">
        <v>150994495</v>
      </c>
      <c r="E469" s="441" t="s">
        <v>1719</v>
      </c>
      <c r="F469" s="429" t="s">
        <v>1720</v>
      </c>
      <c r="G469" s="32">
        <v>11</v>
      </c>
      <c r="H469" s="32" t="s">
        <v>1753</v>
      </c>
      <c r="I469" s="74">
        <v>454</v>
      </c>
      <c r="AC469" s="2">
        <f t="shared" ca="1" si="32"/>
        <v>20</v>
      </c>
      <c r="AD469" s="2" t="e">
        <f t="shared" ca="1" si="33"/>
        <v>#VALUE!</v>
      </c>
      <c r="AE469" s="2">
        <f t="shared" ca="1" si="30"/>
        <v>20</v>
      </c>
      <c r="AF469" s="2" t="e">
        <f t="shared" ca="1" si="31"/>
        <v>#VALUE!</v>
      </c>
    </row>
    <row r="470" spans="1:32" ht="32.4" customHeight="1">
      <c r="A470" s="31">
        <v>467</v>
      </c>
      <c r="B470" s="438">
        <v>25430</v>
      </c>
      <c r="C470" s="717" t="s">
        <v>1175</v>
      </c>
      <c r="D470" s="444">
        <v>150840533</v>
      </c>
      <c r="E470" s="441" t="s">
        <v>1091</v>
      </c>
      <c r="F470" s="429" t="s">
        <v>1092</v>
      </c>
      <c r="G470" s="32">
        <v>11</v>
      </c>
      <c r="H470" s="32" t="s">
        <v>1753</v>
      </c>
      <c r="I470" s="74">
        <v>455</v>
      </c>
      <c r="AC470" s="2">
        <f t="shared" ca="1" si="32"/>
        <v>57</v>
      </c>
      <c r="AD470" s="2" t="e">
        <f t="shared" ca="1" si="33"/>
        <v>#VALUE!</v>
      </c>
      <c r="AE470" s="2">
        <f t="shared" ca="1" si="30"/>
        <v>57</v>
      </c>
      <c r="AF470" s="2" t="e">
        <f t="shared" ca="1" si="31"/>
        <v>#VALUE!</v>
      </c>
    </row>
    <row r="471" spans="1:32" ht="32.4" customHeight="1">
      <c r="A471" s="31">
        <v>468</v>
      </c>
      <c r="B471" s="438">
        <v>32518</v>
      </c>
      <c r="C471" s="718" t="s">
        <v>2041</v>
      </c>
      <c r="D471" s="444">
        <v>150983075</v>
      </c>
      <c r="E471" s="441" t="s">
        <v>1093</v>
      </c>
      <c r="F471" s="429" t="s">
        <v>1094</v>
      </c>
      <c r="G471" s="32">
        <v>11</v>
      </c>
      <c r="H471" s="32" t="s">
        <v>1753</v>
      </c>
      <c r="I471" s="74">
        <v>456</v>
      </c>
      <c r="AC471" s="2">
        <f t="shared" ca="1" si="32"/>
        <v>37</v>
      </c>
      <c r="AD471" s="2" t="e">
        <f t="shared" ca="1" si="33"/>
        <v>#VALUE!</v>
      </c>
      <c r="AE471" s="2">
        <f t="shared" ca="1" si="30"/>
        <v>37</v>
      </c>
      <c r="AF471" s="2" t="e">
        <f t="shared" ca="1" si="31"/>
        <v>#VALUE!</v>
      </c>
    </row>
    <row r="472" spans="1:32" ht="32.4" customHeight="1">
      <c r="A472" s="31">
        <v>469</v>
      </c>
      <c r="B472" s="438">
        <v>30723</v>
      </c>
      <c r="C472" s="718" t="s">
        <v>2041</v>
      </c>
      <c r="D472" s="444">
        <v>150779727</v>
      </c>
      <c r="E472" s="441" t="s">
        <v>1095</v>
      </c>
      <c r="F472" s="429" t="s">
        <v>1096</v>
      </c>
      <c r="G472" s="32">
        <v>11</v>
      </c>
      <c r="H472" s="32" t="s">
        <v>1753</v>
      </c>
      <c r="I472" s="74">
        <v>457</v>
      </c>
      <c r="AC472" s="2">
        <f t="shared" ca="1" si="32"/>
        <v>42</v>
      </c>
      <c r="AD472" s="2" t="e">
        <f t="shared" ca="1" si="33"/>
        <v>#VALUE!</v>
      </c>
      <c r="AE472" s="2">
        <f t="shared" ca="1" si="30"/>
        <v>42</v>
      </c>
      <c r="AF472" s="2" t="e">
        <f t="shared" ca="1" si="31"/>
        <v>#VALUE!</v>
      </c>
    </row>
    <row r="473" spans="1:32" ht="32.4" customHeight="1">
      <c r="A473" s="31">
        <v>470</v>
      </c>
      <c r="B473" s="438">
        <v>32706</v>
      </c>
      <c r="C473" s="717" t="s">
        <v>1175</v>
      </c>
      <c r="D473" s="444">
        <v>150326856</v>
      </c>
      <c r="E473" s="441" t="s">
        <v>1097</v>
      </c>
      <c r="F473" s="429" t="s">
        <v>1098</v>
      </c>
      <c r="G473" s="32">
        <v>11</v>
      </c>
      <c r="H473" s="32" t="s">
        <v>1753</v>
      </c>
      <c r="I473" s="74">
        <v>458</v>
      </c>
      <c r="AC473" s="2">
        <f t="shared" ca="1" si="32"/>
        <v>37</v>
      </c>
      <c r="AD473" s="2" t="e">
        <f t="shared" ca="1" si="33"/>
        <v>#VALUE!</v>
      </c>
      <c r="AE473" s="2">
        <f t="shared" ca="1" si="30"/>
        <v>37</v>
      </c>
      <c r="AF473" s="2" t="e">
        <f t="shared" ca="1" si="31"/>
        <v>#VALUE!</v>
      </c>
    </row>
    <row r="474" spans="1:32" ht="32.4" customHeight="1">
      <c r="A474" s="31">
        <v>471</v>
      </c>
      <c r="B474" s="438">
        <v>32743</v>
      </c>
      <c r="C474" s="718" t="s">
        <v>2041</v>
      </c>
      <c r="D474" s="444">
        <v>150360126</v>
      </c>
      <c r="E474" s="441" t="s">
        <v>1099</v>
      </c>
      <c r="F474" s="429" t="s">
        <v>1100</v>
      </c>
      <c r="G474" s="32">
        <v>11</v>
      </c>
      <c r="H474" s="32" t="s">
        <v>1753</v>
      </c>
      <c r="I474" s="74">
        <v>459</v>
      </c>
      <c r="AC474" s="2">
        <f t="shared" ca="1" si="32"/>
        <v>37</v>
      </c>
      <c r="AD474" s="2" t="e">
        <f t="shared" ca="1" si="33"/>
        <v>#VALUE!</v>
      </c>
      <c r="AE474" s="2">
        <f t="shared" ca="1" si="30"/>
        <v>37</v>
      </c>
      <c r="AF474" s="2" t="e">
        <f t="shared" ca="1" si="31"/>
        <v>#VALUE!</v>
      </c>
    </row>
    <row r="475" spans="1:32" ht="32.4" customHeight="1">
      <c r="A475" s="31">
        <v>472</v>
      </c>
      <c r="B475" s="438">
        <v>26461</v>
      </c>
      <c r="C475" s="718" t="s">
        <v>2041</v>
      </c>
      <c r="D475" s="444">
        <v>150846084</v>
      </c>
      <c r="E475" s="441" t="s">
        <v>1101</v>
      </c>
      <c r="F475" s="429" t="s">
        <v>1102</v>
      </c>
      <c r="G475" s="32">
        <v>11</v>
      </c>
      <c r="H475" s="32" t="s">
        <v>1753</v>
      </c>
      <c r="I475" s="74">
        <v>460</v>
      </c>
      <c r="AC475" s="2">
        <f t="shared" ca="1" si="32"/>
        <v>54</v>
      </c>
      <c r="AD475" s="2" t="e">
        <f t="shared" ca="1" si="33"/>
        <v>#VALUE!</v>
      </c>
      <c r="AE475" s="2">
        <f t="shared" ca="1" si="30"/>
        <v>54</v>
      </c>
      <c r="AF475" s="2" t="e">
        <f t="shared" ca="1" si="31"/>
        <v>#VALUE!</v>
      </c>
    </row>
    <row r="476" spans="1:32" ht="32.4" customHeight="1">
      <c r="A476" s="31">
        <v>473</v>
      </c>
      <c r="B476" s="438">
        <v>38969</v>
      </c>
      <c r="C476" s="718" t="s">
        <v>2041</v>
      </c>
      <c r="D476" s="444">
        <v>151019094</v>
      </c>
      <c r="E476" s="441" t="s">
        <v>1911</v>
      </c>
      <c r="F476" s="706" t="s">
        <v>1104</v>
      </c>
      <c r="G476" s="32">
        <v>11</v>
      </c>
      <c r="H476" s="32" t="s">
        <v>1753</v>
      </c>
      <c r="I476" s="74">
        <v>461</v>
      </c>
      <c r="X476" s="34">
        <v>34526</v>
      </c>
      <c r="Y476" s="34"/>
      <c r="Z476" s="32">
        <v>150988246</v>
      </c>
      <c r="AA476" s="81" t="s">
        <v>1652</v>
      </c>
      <c r="AB476" s="31" t="s">
        <v>1653</v>
      </c>
      <c r="AC476" s="2">
        <f t="shared" ca="1" si="32"/>
        <v>20</v>
      </c>
      <c r="AD476" s="2" t="e">
        <f t="shared" ca="1" si="33"/>
        <v>#VALUE!</v>
      </c>
      <c r="AE476" s="2">
        <f t="shared" ca="1" si="30"/>
        <v>20</v>
      </c>
      <c r="AF476" s="2" t="e">
        <f t="shared" ca="1" si="31"/>
        <v>#VALUE!</v>
      </c>
    </row>
    <row r="477" spans="1:32" ht="32.4" customHeight="1">
      <c r="A477" s="31">
        <v>474</v>
      </c>
      <c r="B477" s="438">
        <v>37332</v>
      </c>
      <c r="C477" s="717" t="s">
        <v>1175</v>
      </c>
      <c r="D477" s="444">
        <v>151037608</v>
      </c>
      <c r="E477" s="441" t="s">
        <v>1761</v>
      </c>
      <c r="F477" s="429" t="s">
        <v>1105</v>
      </c>
      <c r="G477" s="32">
        <v>11</v>
      </c>
      <c r="H477" s="32" t="s">
        <v>1753</v>
      </c>
      <c r="I477" s="74">
        <v>462</v>
      </c>
      <c r="AC477" s="2">
        <f t="shared" ca="1" si="32"/>
        <v>24</v>
      </c>
      <c r="AD477" s="2" t="e">
        <f t="shared" ca="1" si="33"/>
        <v>#VALUE!</v>
      </c>
      <c r="AE477" s="2">
        <f t="shared" ca="1" si="30"/>
        <v>24</v>
      </c>
      <c r="AF477" s="2" t="e">
        <f t="shared" ca="1" si="31"/>
        <v>#VALUE!</v>
      </c>
    </row>
    <row r="478" spans="1:32" ht="32.4" customHeight="1">
      <c r="A478" s="31">
        <v>475</v>
      </c>
      <c r="B478" s="438">
        <v>37135</v>
      </c>
      <c r="C478" s="717" t="s">
        <v>1175</v>
      </c>
      <c r="D478" s="444">
        <v>150911062</v>
      </c>
      <c r="E478" s="441" t="s">
        <v>1106</v>
      </c>
      <c r="F478" s="429" t="s">
        <v>1107</v>
      </c>
      <c r="G478" s="32">
        <v>11</v>
      </c>
      <c r="H478" s="32" t="s">
        <v>1753</v>
      </c>
      <c r="I478" s="74">
        <v>463</v>
      </c>
      <c r="AC478" s="2">
        <f t="shared" ca="1" si="32"/>
        <v>25</v>
      </c>
      <c r="AD478" s="2" t="e">
        <f t="shared" ca="1" si="33"/>
        <v>#VALUE!</v>
      </c>
      <c r="AE478" s="2">
        <f t="shared" ca="1" si="30"/>
        <v>25</v>
      </c>
      <c r="AF478" s="2" t="e">
        <f t="shared" ca="1" si="31"/>
        <v>#VALUE!</v>
      </c>
    </row>
    <row r="479" spans="1:32" ht="32.4" customHeight="1">
      <c r="A479" s="31">
        <v>476</v>
      </c>
      <c r="B479" s="438">
        <v>34495</v>
      </c>
      <c r="C479" s="717" t="s">
        <v>1175</v>
      </c>
      <c r="D479" s="444">
        <v>150811653</v>
      </c>
      <c r="E479" s="441" t="s">
        <v>1108</v>
      </c>
      <c r="F479" t="s">
        <v>1109</v>
      </c>
      <c r="G479" s="32">
        <v>11</v>
      </c>
      <c r="H479" s="32" t="s">
        <v>1753</v>
      </c>
      <c r="I479" s="74">
        <v>464</v>
      </c>
      <c r="AC479" s="2">
        <f t="shared" ca="1" si="32"/>
        <v>32</v>
      </c>
      <c r="AD479" s="2" t="e">
        <f t="shared" ca="1" si="33"/>
        <v>#VALUE!</v>
      </c>
      <c r="AE479" s="2">
        <f t="shared" ca="1" si="30"/>
        <v>32</v>
      </c>
      <c r="AF479" s="2" t="e">
        <f t="shared" ca="1" si="31"/>
        <v>#VALUE!</v>
      </c>
    </row>
    <row r="480" spans="1:32" ht="32.4" customHeight="1">
      <c r="A480" s="31">
        <v>477</v>
      </c>
      <c r="B480" s="438">
        <v>38029</v>
      </c>
      <c r="C480" s="718" t="s">
        <v>2041</v>
      </c>
      <c r="D480" s="444">
        <v>150982920</v>
      </c>
      <c r="E480" s="441" t="s">
        <v>1110</v>
      </c>
      <c r="F480" s="429" t="s">
        <v>1111</v>
      </c>
      <c r="G480" s="32">
        <v>11</v>
      </c>
      <c r="H480" s="32" t="s">
        <v>1753</v>
      </c>
      <c r="I480" s="74">
        <v>465</v>
      </c>
      <c r="AC480" s="2">
        <f t="shared" ca="1" si="32"/>
        <v>22</v>
      </c>
      <c r="AD480" s="2" t="e">
        <f t="shared" ca="1" si="33"/>
        <v>#VALUE!</v>
      </c>
      <c r="AE480" s="2">
        <f t="shared" ca="1" si="30"/>
        <v>22</v>
      </c>
      <c r="AF480" s="2" t="e">
        <f t="shared" ca="1" si="31"/>
        <v>#VALUE!</v>
      </c>
    </row>
    <row r="481" spans="1:40" ht="32.4" customHeight="1">
      <c r="A481" s="31">
        <v>478</v>
      </c>
      <c r="B481" s="438">
        <v>37626</v>
      </c>
      <c r="C481" s="718" t="s">
        <v>2041</v>
      </c>
      <c r="D481" s="444">
        <v>151041981</v>
      </c>
      <c r="E481" s="441" t="s">
        <v>1112</v>
      </c>
      <c r="F481" s="429" t="s">
        <v>1113</v>
      </c>
      <c r="G481" s="32">
        <v>11</v>
      </c>
      <c r="H481" s="32" t="s">
        <v>1753</v>
      </c>
      <c r="I481" s="74">
        <v>466</v>
      </c>
      <c r="AC481" s="2">
        <f t="shared" ca="1" si="32"/>
        <v>23</v>
      </c>
      <c r="AD481" s="2" t="e">
        <f t="shared" ca="1" si="33"/>
        <v>#VALUE!</v>
      </c>
      <c r="AE481" s="2">
        <f t="shared" ca="1" si="30"/>
        <v>23</v>
      </c>
      <c r="AF481" s="2" t="e">
        <f t="shared" ca="1" si="31"/>
        <v>#VALUE!</v>
      </c>
    </row>
    <row r="482" spans="1:40" ht="32.4" customHeight="1">
      <c r="A482" s="31">
        <v>479</v>
      </c>
      <c r="B482" s="438">
        <v>33101</v>
      </c>
      <c r="C482" s="718" t="s">
        <v>2041</v>
      </c>
      <c r="D482" s="444">
        <v>150543334</v>
      </c>
      <c r="E482" s="441" t="s">
        <v>1114</v>
      </c>
      <c r="F482" s="429" t="s">
        <v>1115</v>
      </c>
      <c r="G482" s="32">
        <v>11</v>
      </c>
      <c r="H482" s="32" t="s">
        <v>1753</v>
      </c>
      <c r="I482" s="74">
        <v>467</v>
      </c>
      <c r="AC482" s="2">
        <f t="shared" ca="1" si="32"/>
        <v>36</v>
      </c>
      <c r="AD482" s="2" t="e">
        <f t="shared" ca="1" si="33"/>
        <v>#VALUE!</v>
      </c>
      <c r="AE482" s="2">
        <f t="shared" ca="1" si="30"/>
        <v>36</v>
      </c>
      <c r="AF482" s="2" t="e">
        <f t="shared" ca="1" si="31"/>
        <v>#VALUE!</v>
      </c>
    </row>
    <row r="483" spans="1:40" ht="32.4" customHeight="1">
      <c r="A483" s="31">
        <v>480</v>
      </c>
      <c r="B483" s="438">
        <v>33091</v>
      </c>
      <c r="C483" s="717" t="s">
        <v>1175</v>
      </c>
      <c r="D483" s="444">
        <v>150468292</v>
      </c>
      <c r="E483" s="441" t="s">
        <v>1116</v>
      </c>
      <c r="F483" s="429" t="s">
        <v>1117</v>
      </c>
      <c r="G483" s="32">
        <v>11</v>
      </c>
      <c r="H483" s="32" t="s">
        <v>1753</v>
      </c>
      <c r="I483" s="74">
        <v>468</v>
      </c>
      <c r="AC483" s="2">
        <f t="shared" ca="1" si="32"/>
        <v>36</v>
      </c>
      <c r="AD483" s="2" t="e">
        <f t="shared" ca="1" si="33"/>
        <v>#VALUE!</v>
      </c>
      <c r="AE483" s="2">
        <f t="shared" ca="1" si="30"/>
        <v>36</v>
      </c>
      <c r="AF483" s="2" t="e">
        <f t="shared" ca="1" si="31"/>
        <v>#VALUE!</v>
      </c>
    </row>
    <row r="484" spans="1:40" ht="32.4" customHeight="1">
      <c r="A484" s="31">
        <v>481</v>
      </c>
      <c r="B484" s="438">
        <v>36559</v>
      </c>
      <c r="C484" s="717" t="s">
        <v>1175</v>
      </c>
      <c r="D484" s="445" t="s">
        <v>1721</v>
      </c>
      <c r="E484" s="441" t="s">
        <v>1722</v>
      </c>
      <c r="F484" s="429" t="s">
        <v>1723</v>
      </c>
      <c r="G484" s="32">
        <v>11</v>
      </c>
      <c r="H484" s="32" t="s">
        <v>1753</v>
      </c>
      <c r="I484" s="74">
        <v>469</v>
      </c>
      <c r="AC484" s="2">
        <f t="shared" ca="1" si="32"/>
        <v>26</v>
      </c>
      <c r="AD484" s="2" t="e">
        <f t="shared" ca="1" si="33"/>
        <v>#VALUE!</v>
      </c>
      <c r="AE484" s="2">
        <f t="shared" ca="1" si="30"/>
        <v>26</v>
      </c>
      <c r="AF484" s="2" t="e">
        <f t="shared" ca="1" si="31"/>
        <v>#VALUE!</v>
      </c>
    </row>
    <row r="485" spans="1:40" ht="32.4" customHeight="1">
      <c r="A485" s="31">
        <v>482</v>
      </c>
      <c r="B485" s="438">
        <v>32178</v>
      </c>
      <c r="C485" s="718" t="s">
        <v>2041</v>
      </c>
      <c r="D485" s="440">
        <v>180893241</v>
      </c>
      <c r="E485" s="441" t="s">
        <v>1912</v>
      </c>
      <c r="F485" s="443" t="s">
        <v>1913</v>
      </c>
      <c r="G485" s="32">
        <v>11</v>
      </c>
      <c r="H485" s="32" t="s">
        <v>1753</v>
      </c>
      <c r="I485" s="74">
        <v>470</v>
      </c>
      <c r="AC485" s="2">
        <f t="shared" ca="1" si="32"/>
        <v>38</v>
      </c>
      <c r="AD485" s="2" t="e">
        <f t="shared" ca="1" si="33"/>
        <v>#VALUE!</v>
      </c>
      <c r="AE485" s="2">
        <f t="shared" ca="1" si="30"/>
        <v>38</v>
      </c>
      <c r="AF485" s="2" t="e">
        <f t="shared" ca="1" si="31"/>
        <v>#VALUE!</v>
      </c>
    </row>
    <row r="486" spans="1:40" ht="32.4" customHeight="1">
      <c r="A486" s="31">
        <v>483</v>
      </c>
      <c r="B486" s="438">
        <v>36560</v>
      </c>
      <c r="C486" s="717" t="s">
        <v>1175</v>
      </c>
      <c r="D486" s="444">
        <v>150836147</v>
      </c>
      <c r="E486" s="441" t="s">
        <v>1121</v>
      </c>
      <c r="F486" s="429" t="s">
        <v>1122</v>
      </c>
      <c r="G486" s="32">
        <v>11</v>
      </c>
      <c r="H486" s="32" t="s">
        <v>1753</v>
      </c>
      <c r="I486" s="74">
        <v>471</v>
      </c>
      <c r="X486" s="34"/>
      <c r="Y486" s="34">
        <v>31798</v>
      </c>
      <c r="Z486" s="32">
        <v>150427628</v>
      </c>
      <c r="AA486" s="81" t="s">
        <v>1052</v>
      </c>
      <c r="AB486" s="31" t="s">
        <v>1053</v>
      </c>
      <c r="AC486" s="2">
        <f t="shared" ca="1" si="32"/>
        <v>26</v>
      </c>
      <c r="AD486" s="2" t="e">
        <f t="shared" ca="1" si="33"/>
        <v>#VALUE!</v>
      </c>
      <c r="AE486" s="2">
        <f t="shared" ca="1" si="30"/>
        <v>26</v>
      </c>
      <c r="AF486" s="2" t="e">
        <f t="shared" ca="1" si="31"/>
        <v>#VALUE!</v>
      </c>
    </row>
    <row r="487" spans="1:40" ht="32.4" customHeight="1">
      <c r="A487" s="31">
        <v>484</v>
      </c>
      <c r="B487" s="438">
        <v>36497</v>
      </c>
      <c r="C487" s="718" t="s">
        <v>2041</v>
      </c>
      <c r="D487" s="444">
        <v>150871929</v>
      </c>
      <c r="E487" s="441" t="s">
        <v>1914</v>
      </c>
      <c r="F487" s="429" t="s">
        <v>1124</v>
      </c>
      <c r="G487" s="32">
        <v>11</v>
      </c>
      <c r="H487" s="32" t="s">
        <v>1753</v>
      </c>
      <c r="I487" s="74">
        <v>472</v>
      </c>
      <c r="X487" s="34">
        <v>34187</v>
      </c>
      <c r="Y487" s="34"/>
      <c r="Z487" s="32">
        <v>151013249</v>
      </c>
      <c r="AA487" s="81" t="s">
        <v>1654</v>
      </c>
      <c r="AB487" s="31" t="s">
        <v>1655</v>
      </c>
      <c r="AC487" s="2">
        <f t="shared" ca="1" si="32"/>
        <v>27</v>
      </c>
      <c r="AD487" s="2" t="e">
        <f t="shared" ca="1" si="33"/>
        <v>#VALUE!</v>
      </c>
      <c r="AE487" s="2">
        <f t="shared" ca="1" si="30"/>
        <v>27</v>
      </c>
      <c r="AF487" s="2" t="e">
        <f t="shared" ca="1" si="31"/>
        <v>#VALUE!</v>
      </c>
    </row>
    <row r="488" spans="1:40" ht="32.4" customHeight="1">
      <c r="A488" s="31">
        <v>485</v>
      </c>
      <c r="B488" s="439">
        <v>31444</v>
      </c>
      <c r="C488" s="718" t="s">
        <v>2041</v>
      </c>
      <c r="D488" s="444">
        <v>200216977</v>
      </c>
      <c r="E488" s="441" t="s">
        <v>796</v>
      </c>
      <c r="F488" s="666" t="s">
        <v>797</v>
      </c>
      <c r="G488" s="77" t="s">
        <v>1657</v>
      </c>
      <c r="H488" s="77"/>
      <c r="I488" s="74">
        <v>1</v>
      </c>
      <c r="AC488" s="2">
        <f t="shared" ca="1" si="32"/>
        <v>40</v>
      </c>
      <c r="AD488" s="2" t="e">
        <f t="shared" ca="1" si="33"/>
        <v>#VALUE!</v>
      </c>
      <c r="AE488" s="2">
        <f t="shared" ca="1" si="30"/>
        <v>40</v>
      </c>
      <c r="AF488" s="2" t="e">
        <f t="shared" ca="1" si="31"/>
        <v>#VALUE!</v>
      </c>
      <c r="AM488" s="439">
        <v>31444</v>
      </c>
      <c r="AN488" s="2" t="s">
        <v>1180</v>
      </c>
    </row>
    <row r="489" spans="1:40" ht="32.4" customHeight="1">
      <c r="A489" s="31">
        <v>486</v>
      </c>
      <c r="B489" s="439">
        <v>30019</v>
      </c>
      <c r="C489" s="718" t="s">
        <v>2041</v>
      </c>
      <c r="D489" s="444" t="s">
        <v>1658</v>
      </c>
      <c r="E489" s="441" t="s">
        <v>1127</v>
      </c>
      <c r="F489" s="429" t="s">
        <v>1128</v>
      </c>
      <c r="G489" s="77" t="s">
        <v>1657</v>
      </c>
      <c r="H489" s="77"/>
      <c r="I489" s="74">
        <v>2</v>
      </c>
      <c r="AC489" s="2">
        <f t="shared" ca="1" si="32"/>
        <v>44</v>
      </c>
      <c r="AD489" s="2" t="e">
        <f t="shared" ca="1" si="33"/>
        <v>#VALUE!</v>
      </c>
      <c r="AE489" s="2">
        <f t="shared" ca="1" si="30"/>
        <v>44</v>
      </c>
      <c r="AF489" s="2" t="e">
        <f t="shared" ca="1" si="31"/>
        <v>#VALUE!</v>
      </c>
      <c r="AM489" s="439">
        <v>30019</v>
      </c>
      <c r="AN489" s="2" t="s">
        <v>1180</v>
      </c>
    </row>
    <row r="490" spans="1:40" ht="32.4" customHeight="1">
      <c r="A490" s="31">
        <v>487</v>
      </c>
      <c r="B490" s="439">
        <v>31418</v>
      </c>
      <c r="C490" s="718" t="s">
        <v>2041</v>
      </c>
      <c r="D490" s="444" t="s">
        <v>1659</v>
      </c>
      <c r="E490" s="441" t="s">
        <v>1129</v>
      </c>
      <c r="F490" s="429" t="s">
        <v>1130</v>
      </c>
      <c r="G490" s="77" t="s">
        <v>1657</v>
      </c>
      <c r="H490" s="77"/>
      <c r="I490" s="74">
        <v>3</v>
      </c>
      <c r="AC490" s="2">
        <f t="shared" ca="1" si="32"/>
        <v>40</v>
      </c>
      <c r="AD490" s="2" t="e">
        <f t="shared" ca="1" si="33"/>
        <v>#VALUE!</v>
      </c>
      <c r="AE490" s="2">
        <f t="shared" ref="AE490:AE519" ca="1" si="34">IF(AC490&lt;=69,AC490,IF(AC490=70,1))</f>
        <v>40</v>
      </c>
      <c r="AF490" s="2" t="e">
        <f t="shared" ref="AF490:AF519" ca="1" si="35">IF(AD490&lt;=69,AD490,IF(AD490=70,1))</f>
        <v>#VALUE!</v>
      </c>
      <c r="AM490" s="439">
        <v>31418</v>
      </c>
      <c r="AN490" s="2" t="s">
        <v>1180</v>
      </c>
    </row>
    <row r="491" spans="1:40" ht="32.4" customHeight="1">
      <c r="A491" s="31">
        <v>488</v>
      </c>
      <c r="B491" s="439">
        <v>30869</v>
      </c>
      <c r="C491" s="718" t="s">
        <v>2041</v>
      </c>
      <c r="D491" s="444" t="s">
        <v>1660</v>
      </c>
      <c r="E491" s="441" t="s">
        <v>1131</v>
      </c>
      <c r="F491" s="429" t="s">
        <v>1132</v>
      </c>
      <c r="G491" s="77" t="s">
        <v>1657</v>
      </c>
      <c r="H491" s="77"/>
      <c r="I491" s="74">
        <v>4</v>
      </c>
      <c r="AC491" s="2">
        <f t="shared" ca="1" si="32"/>
        <v>42</v>
      </c>
      <c r="AD491" s="2" t="e">
        <f t="shared" ca="1" si="33"/>
        <v>#VALUE!</v>
      </c>
      <c r="AE491" s="2">
        <f t="shared" ca="1" si="34"/>
        <v>42</v>
      </c>
      <c r="AF491" s="2" t="e">
        <f t="shared" ca="1" si="35"/>
        <v>#VALUE!</v>
      </c>
      <c r="AG491" s="34"/>
      <c r="AH491" s="34">
        <v>32925</v>
      </c>
      <c r="AI491" s="32">
        <v>150522836</v>
      </c>
      <c r="AJ491" s="41" t="s">
        <v>1661</v>
      </c>
      <c r="AK491" s="35" t="s">
        <v>1662</v>
      </c>
      <c r="AM491" s="439">
        <v>30869</v>
      </c>
      <c r="AN491" s="2" t="s">
        <v>1180</v>
      </c>
    </row>
    <row r="492" spans="1:40" ht="32.4" customHeight="1">
      <c r="A492" s="31">
        <v>489</v>
      </c>
      <c r="B492" s="439">
        <v>34883</v>
      </c>
      <c r="C492" s="718" t="s">
        <v>2041</v>
      </c>
      <c r="D492" s="444">
        <v>150976595</v>
      </c>
      <c r="E492" s="441" t="s">
        <v>705</v>
      </c>
      <c r="F492" s="429" t="s">
        <v>706</v>
      </c>
      <c r="G492" s="77" t="s">
        <v>1657</v>
      </c>
      <c r="H492" s="77"/>
      <c r="I492" s="74">
        <v>5</v>
      </c>
      <c r="AC492" s="2">
        <f t="shared" ca="1" si="32"/>
        <v>31</v>
      </c>
      <c r="AD492" s="2" t="e">
        <f t="shared" ca="1" si="33"/>
        <v>#VALUE!</v>
      </c>
      <c r="AE492" s="2">
        <f t="shared" ca="1" si="34"/>
        <v>31</v>
      </c>
      <c r="AF492" s="2" t="e">
        <f t="shared" ca="1" si="35"/>
        <v>#VALUE!</v>
      </c>
      <c r="AM492" s="439">
        <v>34883</v>
      </c>
      <c r="AN492" s="2" t="s">
        <v>1180</v>
      </c>
    </row>
    <row r="493" spans="1:40" ht="32.4" customHeight="1">
      <c r="A493" s="31">
        <v>490</v>
      </c>
      <c r="B493" s="469">
        <v>32874</v>
      </c>
      <c r="C493" s="718" t="s">
        <v>2041</v>
      </c>
      <c r="D493" s="444" t="s">
        <v>1663</v>
      </c>
      <c r="E493" s="441" t="s">
        <v>1134</v>
      </c>
      <c r="F493" t="s">
        <v>1135</v>
      </c>
      <c r="G493" s="77" t="s">
        <v>1657</v>
      </c>
      <c r="H493" s="77"/>
      <c r="I493" s="74">
        <v>7</v>
      </c>
      <c r="AC493" s="2">
        <f t="shared" ca="1" si="32"/>
        <v>36</v>
      </c>
      <c r="AD493" s="2" t="e">
        <f t="shared" ca="1" si="33"/>
        <v>#VALUE!</v>
      </c>
      <c r="AE493" s="2">
        <f t="shared" ca="1" si="34"/>
        <v>36</v>
      </c>
      <c r="AF493" s="2" t="e">
        <f t="shared" ca="1" si="35"/>
        <v>#VALUE!</v>
      </c>
      <c r="AM493" s="469">
        <v>32874</v>
      </c>
      <c r="AN493" s="2" t="s">
        <v>1180</v>
      </c>
    </row>
    <row r="494" spans="1:40" ht="32.4" customHeight="1">
      <c r="A494" s="31">
        <v>491</v>
      </c>
      <c r="B494" s="439">
        <v>32218</v>
      </c>
      <c r="C494" s="717" t="s">
        <v>1175</v>
      </c>
      <c r="D494" s="444" t="s">
        <v>1960</v>
      </c>
      <c r="E494" s="441" t="s">
        <v>1961</v>
      </c>
      <c r="F494" s="429" t="s">
        <v>1962</v>
      </c>
      <c r="G494" s="77" t="s">
        <v>1657</v>
      </c>
      <c r="H494" s="77"/>
      <c r="I494" s="74">
        <v>8</v>
      </c>
      <c r="AC494" s="2">
        <f t="shared" ca="1" si="32"/>
        <v>38</v>
      </c>
      <c r="AD494" s="2" t="e">
        <f t="shared" ca="1" si="33"/>
        <v>#VALUE!</v>
      </c>
      <c r="AE494" s="2">
        <f t="shared" ca="1" si="34"/>
        <v>38</v>
      </c>
      <c r="AF494" s="2" t="e">
        <f t="shared" ca="1" si="35"/>
        <v>#VALUE!</v>
      </c>
      <c r="AM494" s="439">
        <v>32218</v>
      </c>
      <c r="AN494" s="2" t="s">
        <v>1181</v>
      </c>
    </row>
    <row r="495" spans="1:40" ht="32.4" customHeight="1">
      <c r="A495" s="31">
        <v>492</v>
      </c>
      <c r="B495" s="439">
        <v>36235</v>
      </c>
      <c r="C495" s="717" t="s">
        <v>1175</v>
      </c>
      <c r="D495" s="444">
        <v>150648036</v>
      </c>
      <c r="E495" s="441" t="s">
        <v>1138</v>
      </c>
      <c r="F495" s="429" t="s">
        <v>1139</v>
      </c>
      <c r="G495" s="77" t="s">
        <v>1657</v>
      </c>
      <c r="H495" s="77"/>
      <c r="I495" s="74">
        <v>9</v>
      </c>
      <c r="AC495" s="2">
        <f t="shared" ca="1" si="32"/>
        <v>27</v>
      </c>
      <c r="AD495" s="2" t="e">
        <f t="shared" ca="1" si="33"/>
        <v>#VALUE!</v>
      </c>
      <c r="AE495" s="2">
        <f t="shared" ca="1" si="34"/>
        <v>27</v>
      </c>
      <c r="AF495" s="2" t="e">
        <f t="shared" ca="1" si="35"/>
        <v>#VALUE!</v>
      </c>
      <c r="AM495" s="439">
        <v>36235</v>
      </c>
      <c r="AN495" s="2" t="s">
        <v>1181</v>
      </c>
    </row>
    <row r="496" spans="1:40" ht="32.4" customHeight="1">
      <c r="A496" s="31">
        <v>493</v>
      </c>
      <c r="B496" s="439">
        <v>29992</v>
      </c>
      <c r="C496" s="718" t="s">
        <v>2041</v>
      </c>
      <c r="D496" s="444" t="s">
        <v>1664</v>
      </c>
      <c r="E496" s="441" t="s">
        <v>1140</v>
      </c>
      <c r="F496" s="429" t="s">
        <v>252</v>
      </c>
      <c r="G496" s="77" t="s">
        <v>1657</v>
      </c>
      <c r="H496" s="77"/>
      <c r="I496" s="74">
        <v>10</v>
      </c>
      <c r="AC496" s="2">
        <f t="shared" ca="1" si="32"/>
        <v>44</v>
      </c>
      <c r="AD496" s="2" t="e">
        <f t="shared" ca="1" si="33"/>
        <v>#VALUE!</v>
      </c>
      <c r="AE496" s="2">
        <f t="shared" ca="1" si="34"/>
        <v>44</v>
      </c>
      <c r="AF496" s="2" t="e">
        <f t="shared" ca="1" si="35"/>
        <v>#VALUE!</v>
      </c>
      <c r="AM496" s="439">
        <v>29992</v>
      </c>
      <c r="AN496" s="2" t="s">
        <v>1180</v>
      </c>
    </row>
    <row r="497" spans="1:40" ht="32.4" customHeight="1">
      <c r="A497" s="31">
        <v>494</v>
      </c>
      <c r="B497" s="439">
        <v>29720</v>
      </c>
      <c r="C497" s="718" t="s">
        <v>2041</v>
      </c>
      <c r="D497" s="444" t="s">
        <v>1656</v>
      </c>
      <c r="E497" s="441" t="s">
        <v>1125</v>
      </c>
      <c r="F497" s="481" t="s">
        <v>1126</v>
      </c>
      <c r="G497" s="77" t="s">
        <v>1666</v>
      </c>
      <c r="H497" s="77"/>
      <c r="I497" s="74">
        <v>1</v>
      </c>
      <c r="AC497" s="2">
        <f t="shared" ca="1" si="32"/>
        <v>45</v>
      </c>
      <c r="AD497" s="2" t="e">
        <f t="shared" ca="1" si="33"/>
        <v>#VALUE!</v>
      </c>
      <c r="AE497" s="2">
        <f t="shared" ca="1" si="34"/>
        <v>45</v>
      </c>
      <c r="AF497" s="2" t="e">
        <f t="shared" ca="1" si="35"/>
        <v>#VALUE!</v>
      </c>
      <c r="AM497" s="439">
        <v>29720</v>
      </c>
      <c r="AN497" s="2" t="s">
        <v>1180</v>
      </c>
    </row>
    <row r="498" spans="1:40" ht="32.4" customHeight="1">
      <c r="A498" s="31">
        <v>495</v>
      </c>
      <c r="B498" s="439">
        <v>29589</v>
      </c>
      <c r="C498" s="718" t="s">
        <v>2041</v>
      </c>
      <c r="D498" s="444" t="s">
        <v>1665</v>
      </c>
      <c r="E498" s="441" t="s">
        <v>2036</v>
      </c>
      <c r="F498" s="429" t="s">
        <v>1142</v>
      </c>
      <c r="G498" s="77" t="s">
        <v>1666</v>
      </c>
      <c r="H498" s="77"/>
      <c r="I498" s="74">
        <v>2</v>
      </c>
      <c r="AC498" s="2">
        <f t="shared" ca="1" si="32"/>
        <v>45</v>
      </c>
      <c r="AD498" s="2" t="e">
        <f t="shared" ca="1" si="33"/>
        <v>#VALUE!</v>
      </c>
      <c r="AE498" s="2">
        <f t="shared" ca="1" si="34"/>
        <v>45</v>
      </c>
      <c r="AF498" s="2" t="e">
        <f t="shared" ca="1" si="35"/>
        <v>#VALUE!</v>
      </c>
      <c r="AM498" s="439">
        <v>29589</v>
      </c>
      <c r="AN498" s="2" t="s">
        <v>1180</v>
      </c>
    </row>
    <row r="499" spans="1:40" ht="32.4" customHeight="1">
      <c r="A499" s="31">
        <v>496</v>
      </c>
      <c r="B499" s="439">
        <v>26454</v>
      </c>
      <c r="C499" s="718" t="s">
        <v>2041</v>
      </c>
      <c r="D499" s="444">
        <v>150899104</v>
      </c>
      <c r="E499" s="441" t="s">
        <v>1159</v>
      </c>
      <c r="F499" s="429" t="s">
        <v>1160</v>
      </c>
      <c r="G499" s="77" t="s">
        <v>1666</v>
      </c>
      <c r="H499" s="77"/>
      <c r="I499" s="74">
        <v>3</v>
      </c>
      <c r="AC499" s="2">
        <f t="shared" ca="1" si="32"/>
        <v>54</v>
      </c>
      <c r="AD499" s="2" t="e">
        <f t="shared" ca="1" si="33"/>
        <v>#VALUE!</v>
      </c>
      <c r="AE499" s="2">
        <f t="shared" ca="1" si="34"/>
        <v>54</v>
      </c>
      <c r="AF499" s="2" t="e">
        <f t="shared" ca="1" si="35"/>
        <v>#VALUE!</v>
      </c>
      <c r="AM499" s="439">
        <v>25629</v>
      </c>
      <c r="AN499" s="2" t="s">
        <v>1180</v>
      </c>
    </row>
    <row r="500" spans="1:40" ht="32.4" customHeight="1">
      <c r="A500" s="31">
        <v>497</v>
      </c>
      <c r="B500" s="469">
        <v>26696</v>
      </c>
      <c r="C500" s="718" t="s">
        <v>2041</v>
      </c>
      <c r="D500" s="310">
        <v>150568698</v>
      </c>
      <c r="E500" s="441" t="s">
        <v>1145</v>
      </c>
      <c r="F500" s="429" t="s">
        <v>1146</v>
      </c>
      <c r="G500" s="77" t="s">
        <v>1666</v>
      </c>
      <c r="H500" s="77"/>
      <c r="I500" s="74">
        <v>4</v>
      </c>
      <c r="W500" s="2" t="s">
        <v>1128</v>
      </c>
      <c r="AC500" s="2">
        <f t="shared" ca="1" si="32"/>
        <v>53</v>
      </c>
      <c r="AD500" s="2" t="e">
        <f t="shared" ca="1" si="33"/>
        <v>#VALUE!</v>
      </c>
      <c r="AE500" s="2">
        <f t="shared" ca="1" si="34"/>
        <v>53</v>
      </c>
      <c r="AF500" s="2" t="e">
        <f t="shared" ca="1" si="35"/>
        <v>#VALUE!</v>
      </c>
      <c r="AM500" s="469">
        <v>26696</v>
      </c>
      <c r="AN500" s="2" t="s">
        <v>1180</v>
      </c>
    </row>
    <row r="501" spans="1:40" ht="32.4" customHeight="1">
      <c r="A501" s="31">
        <v>498</v>
      </c>
      <c r="B501" s="438">
        <v>25672</v>
      </c>
      <c r="C501" s="718" t="s">
        <v>2041</v>
      </c>
      <c r="D501" s="310" t="s">
        <v>1667</v>
      </c>
      <c r="E501" s="441" t="s">
        <v>1147</v>
      </c>
      <c r="F501" s="429" t="s">
        <v>1148</v>
      </c>
      <c r="G501" s="77" t="s">
        <v>1666</v>
      </c>
      <c r="H501" s="77"/>
      <c r="I501" s="74">
        <v>5</v>
      </c>
      <c r="W501" s="2" t="s">
        <v>1130</v>
      </c>
      <c r="AC501" s="2">
        <f t="shared" ca="1" si="32"/>
        <v>56</v>
      </c>
      <c r="AD501" s="2" t="e">
        <f t="shared" ca="1" si="33"/>
        <v>#VALUE!</v>
      </c>
      <c r="AE501" s="2">
        <f t="shared" ca="1" si="34"/>
        <v>56</v>
      </c>
      <c r="AF501" s="2" t="e">
        <f t="shared" ca="1" si="35"/>
        <v>#VALUE!</v>
      </c>
      <c r="AM501" s="438">
        <v>25672</v>
      </c>
      <c r="AN501" s="2" t="s">
        <v>1180</v>
      </c>
    </row>
    <row r="502" spans="1:40" ht="32.4" customHeight="1">
      <c r="A502" s="31">
        <v>499</v>
      </c>
      <c r="B502" s="438">
        <v>25669</v>
      </c>
      <c r="C502" s="718" t="s">
        <v>2041</v>
      </c>
      <c r="D502" s="310">
        <v>150111592</v>
      </c>
      <c r="E502" s="441" t="s">
        <v>1149</v>
      </c>
      <c r="F502" s="429" t="s">
        <v>1150</v>
      </c>
      <c r="G502" s="77" t="s">
        <v>1666</v>
      </c>
      <c r="H502" s="77"/>
      <c r="I502" s="74">
        <v>6</v>
      </c>
      <c r="W502" s="2" t="s">
        <v>1132</v>
      </c>
      <c r="AC502" s="2">
        <f t="shared" ca="1" si="32"/>
        <v>56</v>
      </c>
      <c r="AD502" s="2" t="e">
        <f t="shared" ca="1" si="33"/>
        <v>#VALUE!</v>
      </c>
      <c r="AE502" s="2">
        <f t="shared" ca="1" si="34"/>
        <v>56</v>
      </c>
      <c r="AF502" s="2" t="e">
        <f t="shared" ca="1" si="35"/>
        <v>#VALUE!</v>
      </c>
      <c r="AM502" s="438">
        <v>25669</v>
      </c>
      <c r="AN502" s="2" t="s">
        <v>1180</v>
      </c>
    </row>
    <row r="503" spans="1:40" ht="32.4" customHeight="1">
      <c r="A503" s="31">
        <v>500</v>
      </c>
      <c r="B503" s="438">
        <v>32396</v>
      </c>
      <c r="C503" s="718" t="s">
        <v>2041</v>
      </c>
      <c r="D503" s="713" t="s">
        <v>2031</v>
      </c>
      <c r="E503" s="441" t="s">
        <v>2032</v>
      </c>
      <c r="F503" s="429" t="s">
        <v>2033</v>
      </c>
      <c r="G503" s="77" t="s">
        <v>1666</v>
      </c>
      <c r="H503" s="77"/>
      <c r="I503" s="74">
        <v>7</v>
      </c>
      <c r="W503" s="2" t="s">
        <v>1133</v>
      </c>
      <c r="AC503" s="2">
        <f t="shared" ca="1" si="32"/>
        <v>38</v>
      </c>
      <c r="AD503" s="2" t="e">
        <f t="shared" ca="1" si="33"/>
        <v>#VALUE!</v>
      </c>
      <c r="AE503" s="2">
        <f t="shared" ca="1" si="34"/>
        <v>38</v>
      </c>
      <c r="AF503" s="2" t="e">
        <f t="shared" ca="1" si="35"/>
        <v>#VALUE!</v>
      </c>
      <c r="AM503" s="438">
        <v>32396</v>
      </c>
      <c r="AN503" s="2" t="s">
        <v>1180</v>
      </c>
    </row>
    <row r="504" spans="1:40" ht="32.4" customHeight="1">
      <c r="A504" s="31">
        <v>501</v>
      </c>
      <c r="B504" s="438">
        <v>29772</v>
      </c>
      <c r="C504" s="718" t="s">
        <v>2041</v>
      </c>
      <c r="D504" s="310">
        <v>180587941</v>
      </c>
      <c r="E504" s="441" t="s">
        <v>1979</v>
      </c>
      <c r="F504" s="429" t="s">
        <v>1980</v>
      </c>
      <c r="G504" s="77" t="s">
        <v>1666</v>
      </c>
      <c r="H504" s="77"/>
      <c r="I504" s="74">
        <v>8</v>
      </c>
      <c r="W504" s="2" t="s">
        <v>1135</v>
      </c>
      <c r="AC504" s="2">
        <f t="shared" ca="1" si="32"/>
        <v>45</v>
      </c>
      <c r="AD504" s="2" t="e">
        <f t="shared" ca="1" si="33"/>
        <v>#VALUE!</v>
      </c>
      <c r="AE504" s="2">
        <f t="shared" ca="1" si="34"/>
        <v>45</v>
      </c>
      <c r="AF504" s="2" t="e">
        <f t="shared" ca="1" si="35"/>
        <v>#VALUE!</v>
      </c>
      <c r="AM504" s="438">
        <v>29772</v>
      </c>
      <c r="AN504" s="2" t="s">
        <v>1180</v>
      </c>
    </row>
    <row r="505" spans="1:40" ht="32.4" customHeight="1">
      <c r="A505" s="31">
        <v>502</v>
      </c>
      <c r="B505" s="438">
        <v>38497</v>
      </c>
      <c r="C505" s="718" t="s">
        <v>2041</v>
      </c>
      <c r="D505" s="310">
        <v>150982058</v>
      </c>
      <c r="E505" s="441" t="s">
        <v>1155</v>
      </c>
      <c r="F505" s="429" t="s">
        <v>1156</v>
      </c>
      <c r="G505" s="77" t="s">
        <v>1666</v>
      </c>
      <c r="H505" s="77"/>
      <c r="I505" s="74">
        <v>9</v>
      </c>
      <c r="W505" s="2" t="s">
        <v>1668</v>
      </c>
      <c r="AC505" s="2">
        <f t="shared" ca="1" si="32"/>
        <v>21</v>
      </c>
      <c r="AD505" s="2" t="e">
        <f t="shared" ca="1" si="33"/>
        <v>#VALUE!</v>
      </c>
      <c r="AE505" s="2">
        <f t="shared" ca="1" si="34"/>
        <v>21</v>
      </c>
      <c r="AF505" s="2" t="e">
        <f t="shared" ca="1" si="35"/>
        <v>#VALUE!</v>
      </c>
      <c r="AM505" s="438">
        <v>38497</v>
      </c>
      <c r="AN505" s="2" t="s">
        <v>1180</v>
      </c>
    </row>
    <row r="506" spans="1:40" ht="32.4" customHeight="1">
      <c r="A506" s="31">
        <v>503</v>
      </c>
      <c r="B506" s="438">
        <v>26143</v>
      </c>
      <c r="C506" s="718" t="s">
        <v>2041</v>
      </c>
      <c r="D506" s="310">
        <v>171110240</v>
      </c>
      <c r="E506" s="441" t="s">
        <v>1981</v>
      </c>
      <c r="F506" s="429" t="s">
        <v>1982</v>
      </c>
      <c r="G506" s="77" t="s">
        <v>1666</v>
      </c>
      <c r="H506" s="77"/>
      <c r="I506" s="74">
        <v>10</v>
      </c>
      <c r="W506" s="2" t="s">
        <v>1669</v>
      </c>
      <c r="AC506" s="2">
        <f t="shared" ca="1" si="32"/>
        <v>55</v>
      </c>
      <c r="AD506" s="2" t="e">
        <f t="shared" ca="1" si="33"/>
        <v>#VALUE!</v>
      </c>
      <c r="AE506" s="2">
        <f t="shared" ca="1" si="34"/>
        <v>55</v>
      </c>
      <c r="AF506" s="2" t="e">
        <f t="shared" ca="1" si="35"/>
        <v>#VALUE!</v>
      </c>
      <c r="AM506" s="438">
        <v>26143</v>
      </c>
      <c r="AN506" s="2" t="s">
        <v>1180</v>
      </c>
    </row>
    <row r="507" spans="1:40" ht="32.4" customHeight="1">
      <c r="A507" s="31">
        <v>504</v>
      </c>
      <c r="B507" s="438">
        <v>25629</v>
      </c>
      <c r="C507" s="718" t="s">
        <v>2041</v>
      </c>
      <c r="D507" s="310">
        <v>150875885</v>
      </c>
      <c r="E507" s="441" t="s">
        <v>1977</v>
      </c>
      <c r="F507" s="429" t="s">
        <v>1978</v>
      </c>
      <c r="G507" s="77" t="s">
        <v>1666</v>
      </c>
      <c r="H507" s="77"/>
      <c r="I507" s="74">
        <v>11</v>
      </c>
      <c r="W507" s="2" t="s">
        <v>1139</v>
      </c>
      <c r="AC507" s="2">
        <f t="shared" ca="1" si="32"/>
        <v>56</v>
      </c>
      <c r="AD507" s="2" t="e">
        <f t="shared" ca="1" si="33"/>
        <v>#VALUE!</v>
      </c>
      <c r="AE507" s="2">
        <f t="shared" ca="1" si="34"/>
        <v>56</v>
      </c>
      <c r="AF507" s="2" t="e">
        <f t="shared" ca="1" si="35"/>
        <v>#VALUE!</v>
      </c>
      <c r="AM507" s="438">
        <v>26454</v>
      </c>
      <c r="AN507" s="2" t="s">
        <v>1180</v>
      </c>
    </row>
    <row r="508" spans="1:40" s="26" customFormat="1" ht="40.950000000000003" customHeight="1">
      <c r="A508" s="31">
        <v>505</v>
      </c>
      <c r="B508" s="455">
        <v>32574</v>
      </c>
      <c r="C508" s="718" t="s">
        <v>2041</v>
      </c>
      <c r="D508" s="310">
        <v>220102062</v>
      </c>
      <c r="E508" s="441" t="s">
        <v>2037</v>
      </c>
      <c r="F508" s="429" t="s">
        <v>1162</v>
      </c>
      <c r="G508" s="77" t="s">
        <v>1666</v>
      </c>
      <c r="H508" s="77"/>
      <c r="I508" s="74">
        <v>13</v>
      </c>
      <c r="W508" s="26" t="s">
        <v>1142</v>
      </c>
      <c r="AC508" s="2">
        <f t="shared" ca="1" si="32"/>
        <v>37</v>
      </c>
      <c r="AD508" s="2" t="e">
        <f t="shared" ca="1" si="33"/>
        <v>#VALUE!</v>
      </c>
      <c r="AE508" s="2">
        <f t="shared" ca="1" si="34"/>
        <v>37</v>
      </c>
      <c r="AF508" s="2" t="e">
        <f t="shared" ca="1" si="35"/>
        <v>#VALUE!</v>
      </c>
      <c r="AG508" s="2"/>
      <c r="AM508" s="455">
        <v>32574</v>
      </c>
      <c r="AN508" s="2" t="s">
        <v>1180</v>
      </c>
    </row>
    <row r="509" spans="1:40" ht="32.4" customHeight="1">
      <c r="A509" s="31">
        <v>506</v>
      </c>
      <c r="B509" s="485">
        <v>24220</v>
      </c>
      <c r="C509" s="717" t="s">
        <v>1175</v>
      </c>
      <c r="D509" s="444">
        <v>150854468</v>
      </c>
      <c r="E509" s="441" t="s">
        <v>2038</v>
      </c>
      <c r="F509" s="481" t="s">
        <v>1166</v>
      </c>
      <c r="G509" s="77" t="s">
        <v>1666</v>
      </c>
      <c r="H509" s="77"/>
      <c r="I509" s="74">
        <v>15</v>
      </c>
      <c r="W509" s="2" t="s">
        <v>1670</v>
      </c>
      <c r="AC509" s="2">
        <f t="shared" ca="1" si="32"/>
        <v>60</v>
      </c>
      <c r="AD509" s="2" t="e">
        <f t="shared" ca="1" si="33"/>
        <v>#VALUE!</v>
      </c>
      <c r="AE509" s="2">
        <f t="shared" ca="1" si="34"/>
        <v>60</v>
      </c>
      <c r="AF509" s="2" t="e">
        <f t="shared" ca="1" si="35"/>
        <v>#VALUE!</v>
      </c>
      <c r="AM509" s="485">
        <v>24220</v>
      </c>
      <c r="AN509" s="2" t="s">
        <v>1181</v>
      </c>
    </row>
    <row r="510" spans="1:40" ht="32.4" customHeight="1">
      <c r="A510" s="31">
        <v>507</v>
      </c>
      <c r="B510" s="485">
        <v>28310</v>
      </c>
      <c r="C510" s="717" t="s">
        <v>1175</v>
      </c>
      <c r="D510" s="444">
        <v>150934950</v>
      </c>
      <c r="E510" s="441" t="s">
        <v>2039</v>
      </c>
      <c r="F510" s="481" t="s">
        <v>1170</v>
      </c>
      <c r="G510" s="77" t="s">
        <v>1666</v>
      </c>
      <c r="H510" s="77"/>
      <c r="I510" s="74">
        <v>16</v>
      </c>
      <c r="W510" s="2" t="s">
        <v>1144</v>
      </c>
      <c r="X510" s="58"/>
      <c r="Y510" s="58"/>
      <c r="Z510" s="87"/>
      <c r="AA510" s="36"/>
      <c r="AB510" s="88"/>
      <c r="AC510" s="2">
        <f t="shared" ca="1" si="32"/>
        <v>49</v>
      </c>
      <c r="AD510" s="2" t="e">
        <f t="shared" ca="1" si="33"/>
        <v>#VALUE!</v>
      </c>
      <c r="AE510" s="2">
        <f t="shared" ca="1" si="34"/>
        <v>49</v>
      </c>
      <c r="AF510" s="2" t="e">
        <f t="shared" ca="1" si="35"/>
        <v>#VALUE!</v>
      </c>
      <c r="AM510" s="485">
        <v>28310</v>
      </c>
      <c r="AN510" s="2" t="s">
        <v>1181</v>
      </c>
    </row>
    <row r="511" spans="1:40" ht="32.4" customHeight="1">
      <c r="A511" s="31">
        <v>508</v>
      </c>
      <c r="B511" s="485">
        <v>29806</v>
      </c>
      <c r="C511" s="718" t="s">
        <v>2041</v>
      </c>
      <c r="D511" s="444">
        <v>151055969</v>
      </c>
      <c r="E511" s="441" t="s">
        <v>1171</v>
      </c>
      <c r="F511" s="481" t="s">
        <v>1172</v>
      </c>
      <c r="G511" s="77" t="s">
        <v>1666</v>
      </c>
      <c r="H511" s="77"/>
      <c r="I511" s="74">
        <v>17</v>
      </c>
      <c r="W511" s="2" t="s">
        <v>1144</v>
      </c>
      <c r="X511" s="58"/>
      <c r="Y511" s="58"/>
      <c r="Z511" s="87"/>
      <c r="AA511" s="36"/>
      <c r="AB511" s="88"/>
      <c r="AC511" s="2">
        <f t="shared" ref="AC511:AC516" ca="1" si="36">YEAR(NOW())-YEAR(B511)</f>
        <v>45</v>
      </c>
      <c r="AD511" s="2" t="e">
        <f t="shared" ref="AD511:AD516" ca="1" si="37">YEAR(NOW())-YEAR(C511)</f>
        <v>#VALUE!</v>
      </c>
      <c r="AE511" s="2">
        <f t="shared" ref="AE511:AE516" ca="1" si="38">IF(AC511&lt;=69,AC511,IF(AC511=70,1))</f>
        <v>45</v>
      </c>
      <c r="AF511" s="2" t="e">
        <f t="shared" ref="AF511:AF516" ca="1" si="39">IF(AD511&lt;=69,AD511,IF(AD511=70,1))</f>
        <v>#VALUE!</v>
      </c>
      <c r="AM511" s="485">
        <v>29806</v>
      </c>
      <c r="AN511" s="2" t="s">
        <v>1180</v>
      </c>
    </row>
    <row r="512" spans="1:40" ht="32.4" customHeight="1">
      <c r="A512" s="31">
        <v>509</v>
      </c>
      <c r="B512" s="485">
        <v>29101</v>
      </c>
      <c r="C512" s="718" t="s">
        <v>2041</v>
      </c>
      <c r="D512" s="444">
        <v>220175273</v>
      </c>
      <c r="E512" s="441" t="s">
        <v>952</v>
      </c>
      <c r="F512" s="481" t="s">
        <v>953</v>
      </c>
      <c r="G512" s="77" t="s">
        <v>1666</v>
      </c>
      <c r="H512" s="77"/>
      <c r="I512" s="74">
        <v>18</v>
      </c>
      <c r="W512" s="2" t="s">
        <v>1144</v>
      </c>
      <c r="X512" s="58"/>
      <c r="Y512" s="58"/>
      <c r="Z512" s="87"/>
      <c r="AA512" s="36"/>
      <c r="AB512" s="88"/>
      <c r="AC512" s="2">
        <f t="shared" ca="1" si="36"/>
        <v>47</v>
      </c>
      <c r="AD512" s="2" t="e">
        <f t="shared" ca="1" si="37"/>
        <v>#VALUE!</v>
      </c>
      <c r="AE512" s="2">
        <f t="shared" ca="1" si="38"/>
        <v>47</v>
      </c>
      <c r="AF512" s="2" t="e">
        <f t="shared" ca="1" si="39"/>
        <v>#VALUE!</v>
      </c>
      <c r="AM512" s="485">
        <v>29101</v>
      </c>
      <c r="AN512" s="2" t="s">
        <v>1180</v>
      </c>
    </row>
    <row r="513" spans="1:40" ht="32.4" customHeight="1">
      <c r="A513" s="31">
        <v>510</v>
      </c>
      <c r="B513" s="455">
        <v>33820</v>
      </c>
      <c r="C513" s="718" t="s">
        <v>2041</v>
      </c>
      <c r="D513" s="310">
        <v>150836169</v>
      </c>
      <c r="E513" s="486" t="s">
        <v>939</v>
      </c>
      <c r="F513" s="429" t="s">
        <v>940</v>
      </c>
      <c r="G513" s="77"/>
      <c r="H513" s="77"/>
      <c r="I513" s="74">
        <v>19</v>
      </c>
      <c r="W513" s="2" t="s">
        <v>1144</v>
      </c>
      <c r="X513" s="58"/>
      <c r="Y513" s="58"/>
      <c r="Z513" s="87"/>
      <c r="AA513" s="36"/>
      <c r="AB513" s="88"/>
      <c r="AC513" s="2">
        <f t="shared" ca="1" si="36"/>
        <v>34</v>
      </c>
      <c r="AD513" s="2" t="e">
        <f t="shared" ca="1" si="37"/>
        <v>#VALUE!</v>
      </c>
      <c r="AE513" s="2">
        <f t="shared" ca="1" si="38"/>
        <v>34</v>
      </c>
      <c r="AF513" s="675" t="e">
        <f t="shared" ca="1" si="39"/>
        <v>#VALUE!</v>
      </c>
      <c r="AM513" s="455">
        <v>33820</v>
      </c>
      <c r="AN513" s="2" t="s">
        <v>1180</v>
      </c>
    </row>
    <row r="514" spans="1:40" ht="32.4" customHeight="1">
      <c r="A514" s="31">
        <v>511</v>
      </c>
      <c r="B514" s="438">
        <v>33187</v>
      </c>
      <c r="C514" s="717" t="s">
        <v>1175</v>
      </c>
      <c r="D514" s="310">
        <v>220212300</v>
      </c>
      <c r="E514" s="441" t="s">
        <v>2034</v>
      </c>
      <c r="F514" s="429" t="s">
        <v>2035</v>
      </c>
      <c r="G514" s="77"/>
      <c r="H514" s="77"/>
      <c r="I514" s="74">
        <v>20</v>
      </c>
      <c r="W514" s="2" t="s">
        <v>1144</v>
      </c>
      <c r="X514" s="58"/>
      <c r="Y514" s="58"/>
      <c r="Z514" s="87"/>
      <c r="AA514" s="36"/>
      <c r="AB514" s="88"/>
      <c r="AC514" s="2">
        <f t="shared" ca="1" si="36"/>
        <v>36</v>
      </c>
      <c r="AD514" s="2" t="e">
        <f t="shared" ca="1" si="37"/>
        <v>#VALUE!</v>
      </c>
      <c r="AE514" s="2">
        <f t="shared" ca="1" si="38"/>
        <v>36</v>
      </c>
      <c r="AF514" s="2" t="e">
        <f t="shared" ca="1" si="39"/>
        <v>#VALUE!</v>
      </c>
      <c r="AM514" s="438">
        <v>33187</v>
      </c>
      <c r="AN514" s="2" t="s">
        <v>1181</v>
      </c>
    </row>
    <row r="515" spans="1:40" ht="32.4" customHeight="1">
      <c r="A515" s="31">
        <v>512</v>
      </c>
      <c r="B515" s="438">
        <v>33028</v>
      </c>
      <c r="C515" s="718" t="s">
        <v>2041</v>
      </c>
      <c r="D515" s="310">
        <v>220140696</v>
      </c>
      <c r="E515" s="487" t="s">
        <v>1764</v>
      </c>
      <c r="F515" s="443" t="s">
        <v>1765</v>
      </c>
      <c r="G515" s="77"/>
      <c r="H515" s="77"/>
      <c r="I515" s="74">
        <v>21</v>
      </c>
      <c r="W515" s="2" t="s">
        <v>1144</v>
      </c>
      <c r="X515" s="58"/>
      <c r="Y515" s="58"/>
      <c r="Z515" s="87"/>
      <c r="AA515" s="36"/>
      <c r="AB515" s="88"/>
      <c r="AC515" s="2">
        <f t="shared" ca="1" si="36"/>
        <v>36</v>
      </c>
      <c r="AD515" s="2" t="e">
        <f t="shared" ca="1" si="37"/>
        <v>#VALUE!</v>
      </c>
      <c r="AE515" s="2">
        <f t="shared" ca="1" si="38"/>
        <v>36</v>
      </c>
      <c r="AF515" s="2" t="e">
        <f t="shared" ca="1" si="39"/>
        <v>#VALUE!</v>
      </c>
      <c r="AM515" s="438">
        <v>33028</v>
      </c>
      <c r="AN515" s="2" t="s">
        <v>1180</v>
      </c>
    </row>
    <row r="516" spans="1:40" ht="32.4" customHeight="1">
      <c r="A516" s="31">
        <v>513</v>
      </c>
      <c r="B516" s="438">
        <v>34491</v>
      </c>
      <c r="C516" s="718" t="s">
        <v>2041</v>
      </c>
      <c r="D516" s="310">
        <v>220137734</v>
      </c>
      <c r="E516" s="488" t="s">
        <v>1767</v>
      </c>
      <c r="F516" s="429" t="s">
        <v>1766</v>
      </c>
      <c r="G516" s="77"/>
      <c r="H516" s="77"/>
      <c r="I516" s="74">
        <v>22</v>
      </c>
      <c r="W516" s="2" t="s">
        <v>1144</v>
      </c>
      <c r="X516" s="58"/>
      <c r="Y516" s="58"/>
      <c r="Z516" s="87"/>
      <c r="AA516" s="36"/>
      <c r="AB516" s="88"/>
      <c r="AC516" s="2">
        <f t="shared" ca="1" si="36"/>
        <v>32</v>
      </c>
      <c r="AD516" s="2" t="e">
        <f t="shared" ca="1" si="37"/>
        <v>#VALUE!</v>
      </c>
      <c r="AE516" s="2">
        <f t="shared" ca="1" si="38"/>
        <v>32</v>
      </c>
      <c r="AF516" s="2" t="e">
        <f t="shared" ca="1" si="39"/>
        <v>#VALUE!</v>
      </c>
      <c r="AL516" s="104"/>
      <c r="AM516" s="438">
        <v>34491</v>
      </c>
      <c r="AN516" s="2" t="s">
        <v>1180</v>
      </c>
    </row>
    <row r="517" spans="1:40" ht="32.4" customHeight="1">
      <c r="A517" s="31">
        <v>514</v>
      </c>
      <c r="B517" s="438"/>
      <c r="C517" s="438"/>
      <c r="D517" s="310"/>
      <c r="E517" s="707"/>
      <c r="F517" s="443"/>
      <c r="G517" s="78"/>
      <c r="H517" s="77"/>
      <c r="I517" s="74"/>
      <c r="J517" s="34">
        <v>31325</v>
      </c>
      <c r="K517" s="34" t="s">
        <v>1205</v>
      </c>
      <c r="L517" s="35" t="s">
        <v>1671</v>
      </c>
      <c r="M517" s="36" t="s">
        <v>1672</v>
      </c>
      <c r="N517" s="31" t="s">
        <v>1673</v>
      </c>
      <c r="W517" s="2" t="s">
        <v>1674</v>
      </c>
      <c r="X517" s="34">
        <v>22076</v>
      </c>
      <c r="Y517" s="34"/>
      <c r="Z517" s="35">
        <v>150663979</v>
      </c>
      <c r="AA517" s="36" t="s">
        <v>1675</v>
      </c>
      <c r="AB517" s="88" t="s">
        <v>1674</v>
      </c>
      <c r="AC517" s="2">
        <f t="shared" ca="1" si="32"/>
        <v>126</v>
      </c>
      <c r="AD517" s="2">
        <f t="shared" ca="1" si="33"/>
        <v>126</v>
      </c>
      <c r="AE517" s="2" t="b">
        <f t="shared" ca="1" si="34"/>
        <v>0</v>
      </c>
      <c r="AF517" s="2" t="b">
        <f t="shared" ca="1" si="35"/>
        <v>0</v>
      </c>
      <c r="AM517" s="438">
        <v>35358</v>
      </c>
      <c r="AN517" s="2" t="s">
        <v>1180</v>
      </c>
    </row>
    <row r="518" spans="1:40" ht="32.4" customHeight="1">
      <c r="A518" s="31"/>
      <c r="B518" s="82"/>
      <c r="C518" s="82"/>
      <c r="D518" s="75"/>
      <c r="E518" s="76"/>
      <c r="F518" s="78"/>
      <c r="G518" s="78"/>
      <c r="H518" s="77"/>
      <c r="I518" s="74"/>
      <c r="J518" s="34">
        <v>31325</v>
      </c>
      <c r="K518" s="34" t="s">
        <v>1205</v>
      </c>
      <c r="L518" s="35">
        <v>150904923</v>
      </c>
      <c r="M518" s="36" t="s">
        <v>1672</v>
      </c>
      <c r="N518" s="31" t="s">
        <v>1673</v>
      </c>
      <c r="W518" s="2" t="s">
        <v>1676</v>
      </c>
      <c r="AC518" s="2">
        <f t="shared" ca="1" si="32"/>
        <v>126</v>
      </c>
      <c r="AD518" s="2">
        <f t="shared" ca="1" si="33"/>
        <v>126</v>
      </c>
      <c r="AE518" s="2" t="b">
        <f t="shared" ca="1" si="34"/>
        <v>0</v>
      </c>
      <c r="AF518" s="2" t="b">
        <f t="shared" ca="1" si="35"/>
        <v>0</v>
      </c>
      <c r="AH518" s="34">
        <v>28979</v>
      </c>
      <c r="AI518" s="34"/>
      <c r="AJ518" s="32">
        <v>150306254</v>
      </c>
      <c r="AK518" s="89" t="s">
        <v>1677</v>
      </c>
    </row>
    <row r="519" spans="1:40" ht="36" customHeight="1">
      <c r="A519" s="31"/>
      <c r="B519" s="51"/>
      <c r="C519" s="51"/>
      <c r="D519" s="83"/>
      <c r="E519" s="84"/>
      <c r="F519" s="79"/>
      <c r="G519" s="79"/>
      <c r="H519" s="77"/>
      <c r="I519" s="8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2">
        <f t="shared" ca="1" si="32"/>
        <v>126</v>
      </c>
      <c r="AD519" s="2">
        <f t="shared" ca="1" si="33"/>
        <v>126</v>
      </c>
      <c r="AE519" s="2" t="b">
        <f t="shared" ca="1" si="34"/>
        <v>0</v>
      </c>
      <c r="AF519" s="2" t="b">
        <f t="shared" ca="1" si="35"/>
        <v>0</v>
      </c>
    </row>
    <row r="520" spans="1:40" ht="36" customHeight="1">
      <c r="A520" s="31"/>
      <c r="B520" s="51"/>
      <c r="C520" s="51"/>
      <c r="D520" s="32"/>
      <c r="E520" s="84"/>
      <c r="F520" s="79"/>
      <c r="G520" s="79"/>
      <c r="H520" s="77"/>
      <c r="I520" s="8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3" spans="1:40">
      <c r="H523" s="2" t="s">
        <v>1678</v>
      </c>
    </row>
    <row r="524" spans="1:40">
      <c r="H524" s="2" t="s">
        <v>1678</v>
      </c>
    </row>
    <row r="525" spans="1:40">
      <c r="F525" s="86"/>
      <c r="G525" s="423"/>
    </row>
    <row r="526" spans="1:40">
      <c r="F526" s="86"/>
      <c r="G526" s="423"/>
    </row>
    <row r="527" spans="1:40">
      <c r="F527" s="86"/>
      <c r="G527" s="423"/>
    </row>
    <row r="528" spans="1:40">
      <c r="F528" s="86"/>
      <c r="G528" s="423"/>
    </row>
    <row r="529" spans="6:7">
      <c r="F529" s="86"/>
      <c r="G529" s="423"/>
    </row>
    <row r="530" spans="6:7">
      <c r="F530" s="86"/>
      <c r="G530" s="423"/>
    </row>
    <row r="531" spans="6:7">
      <c r="F531" s="86"/>
      <c r="G531" s="423"/>
    </row>
    <row r="532" spans="6:7">
      <c r="F532" s="86"/>
      <c r="G532" s="423"/>
    </row>
    <row r="533" spans="6:7">
      <c r="F533" s="86"/>
      <c r="G533" s="423"/>
    </row>
  </sheetData>
  <mergeCells count="11">
    <mergeCell ref="A2:A3"/>
    <mergeCell ref="B2:B3"/>
    <mergeCell ref="C2:C3"/>
    <mergeCell ref="D2:D3"/>
    <mergeCell ref="H2:H3"/>
    <mergeCell ref="E2:F3"/>
    <mergeCell ref="G2:G3"/>
    <mergeCell ref="B1:I1"/>
    <mergeCell ref="AC1:AD1"/>
    <mergeCell ref="AE1:AF1"/>
    <mergeCell ref="I2:I3"/>
  </mergeCells>
  <phoneticPr fontId="85" type="noConversion"/>
  <conditionalFormatting sqref="B4">
    <cfRule type="expression" dxfId="3974" priority="539" stopIfTrue="1">
      <formula>AND(COUNTIF($C$4:$C$65536,B4)+COUNTIF($C$1:$C$2,B4)&gt;1,NOT(ISBLANK(B4)))</formula>
    </cfRule>
  </conditionalFormatting>
  <conditionalFormatting sqref="B7">
    <cfRule type="expression" dxfId="3973" priority="538" stopIfTrue="1">
      <formula>AND(COUNTIF($C$4:$C$65536,B7)+COUNTIF($C$1:$C$2,B7)&gt;1,NOT(ISBLANK(B7)))</formula>
    </cfRule>
  </conditionalFormatting>
  <conditionalFormatting sqref="B8:B51 B54:B100 B102:B168 B260:B422 B425:B452 B454:B486 B4:B6 B172:B199 B203 B208:B255">
    <cfRule type="expression" dxfId="3972" priority="1931" stopIfTrue="1">
      <formula>AND(COUNTIF($B$4:$B$65536,B4)+COUNTIF($B$1:$B$2,B4)&gt;1,NOT(ISBLANK(B4)))</formula>
    </cfRule>
  </conditionalFormatting>
  <conditionalFormatting sqref="B13:B15">
    <cfRule type="expression" dxfId="3971" priority="536" stopIfTrue="1">
      <formula>AND(COUNTIF($C$134:$F$142,B13)+COUNTIF($C$144:$F$65536,B13)+COUNTIF($C$8:$F$9,B13)+COUNTIF($C$11:$F$26,B13)+COUNTIF($C$28:$F$132,B13)+COUNTIF($C$4:$F$4,B13)+COUNTIF($C$1:$F$2,B13)&gt;1,NOT(ISBLANK(B13)))</formula>
    </cfRule>
    <cfRule type="expression" dxfId="3970" priority="537" stopIfTrue="1">
      <formula>AND(COUNTIF($C$4:$C$65536,B13)+COUNTIF($C$1:$C$2,B13)&gt;1,NOT(ISBLANK(B13)))</formula>
    </cfRule>
  </conditionalFormatting>
  <conditionalFormatting sqref="B18">
    <cfRule type="expression" dxfId="3969" priority="534" stopIfTrue="1">
      <formula>AND(COUNTIF($C$134:$F$142,B18)+COUNTIF($C$144:$F$65536,B18)+COUNTIF($C$8:$F$9,B18)+COUNTIF($C$11:$F$26,B18)+COUNTIF($C$28:$F$132,B18)+COUNTIF($C$4:$F$4,B18)+COUNTIF($C$1:$F$2,B18)&gt;1,NOT(ISBLANK(B18)))</formula>
    </cfRule>
    <cfRule type="expression" dxfId="3968" priority="535" stopIfTrue="1">
      <formula>AND(COUNTIF($C$4:$C$65536,B18)+COUNTIF($C$1:$C$2,B18)&gt;1,NOT(ISBLANK(B18)))</formula>
    </cfRule>
  </conditionalFormatting>
  <conditionalFormatting sqref="B20">
    <cfRule type="expression" dxfId="3967" priority="533" stopIfTrue="1">
      <formula>AND(COUNTIF($C$4:$C$65536,B20)+COUNTIF($C$1:$C$2,B20)&gt;1,NOT(ISBLANK(B20)))</formula>
    </cfRule>
    <cfRule type="expression" dxfId="3966" priority="532" stopIfTrue="1">
      <formula>AND(COUNTIF($C$134:$F$142,B20)+COUNTIF($C$144:$F$65536,B20)+COUNTIF($C$8:$F$9,B20)+COUNTIF($C$11:$F$26,B20)+COUNTIF($C$28:$F$132,B20)+COUNTIF($C$4:$F$4,B20)+COUNTIF($C$1:$F$2,B20)&gt;1,NOT(ISBLANK(B20)))</formula>
    </cfRule>
  </conditionalFormatting>
  <conditionalFormatting sqref="B28">
    <cfRule type="expression" dxfId="3965" priority="530" stopIfTrue="1">
      <formula>AND(COUNTIF($C$134:$F$142,B28)+COUNTIF($C$144:$F$65536,B28)+COUNTIF($C$8:$F$9,B28)+COUNTIF($C$11:$F$26,B28)+COUNTIF($C$28:$F$132,B28)+COUNTIF($C$4:$F$4,B28)+COUNTIF($C$1:$F$2,B28)&gt;1,NOT(ISBLANK(B28)))</formula>
    </cfRule>
    <cfRule type="expression" dxfId="3964" priority="531" stopIfTrue="1">
      <formula>AND(COUNTIF($C$4:$C$65536,B28)+COUNTIF($C$1:$C$2,B28)&gt;1,NOT(ISBLANK(B28)))</formula>
    </cfRule>
  </conditionalFormatting>
  <conditionalFormatting sqref="B32">
    <cfRule type="expression" dxfId="3963" priority="529" stopIfTrue="1">
      <formula>AND(COUNTIF($C$4:$C$65536,B32)+COUNTIF($C$1:$C$2,B32)&gt;1,NOT(ISBLANK(B32)))</formula>
    </cfRule>
    <cfRule type="expression" dxfId="3962" priority="528" stopIfTrue="1">
      <formula>AND(COUNTIF($C$134:$F$142,B32)+COUNTIF($C$144:$F$65536,B32)+COUNTIF($C$8:$F$9,B32)+COUNTIF($C$11:$F$26,B32)+COUNTIF($C$28:$F$132,B32)+COUNTIF($C$4:$F$4,B32)+COUNTIF($C$1:$F$2,B32)&gt;1,NOT(ISBLANK(B32)))</formula>
    </cfRule>
  </conditionalFormatting>
  <conditionalFormatting sqref="B34">
    <cfRule type="expression" dxfId="3961" priority="527" stopIfTrue="1">
      <formula>AND(COUNTIF($C$4:$C$65536,B34)+COUNTIF($C$1:$C$2,B34)&gt;1,NOT(ISBLANK(B34)))</formula>
    </cfRule>
    <cfRule type="expression" dxfId="3960" priority="526" stopIfTrue="1">
      <formula>AND(COUNTIF($C$134:$F$142,B34)+COUNTIF($C$144:$F$65536,B34)+COUNTIF($C$8:$F$9,B34)+COUNTIF($C$11:$F$26,B34)+COUNTIF($C$28:$F$132,B34)+COUNTIF($C$4:$F$4,B34)+COUNTIF($C$1:$F$2,B34)&gt;1,NOT(ISBLANK(B34)))</formula>
    </cfRule>
  </conditionalFormatting>
  <conditionalFormatting sqref="B38:B39">
    <cfRule type="expression" dxfId="3959" priority="523" stopIfTrue="1">
      <formula>AND(COUNTIF($C$4:$C$65536,B38)+COUNTIF($C$1:$C$2,B38)&gt;1,NOT(ISBLANK(B38)))</formula>
    </cfRule>
    <cfRule type="expression" dxfId="3958" priority="522" stopIfTrue="1">
      <formula>AND(COUNTIF($C$134:$F$142,B38)+COUNTIF($C$144:$F$65536,B38)+COUNTIF($C$8:$F$9,B38)+COUNTIF($C$11:$F$26,B38)+COUNTIF($C$28:$F$132,B38)+COUNTIF($C$4:$F$4,B38)+COUNTIF($C$1:$F$2,B38)&gt;1,NOT(ISBLANK(B38)))</formula>
    </cfRule>
  </conditionalFormatting>
  <conditionalFormatting sqref="B41">
    <cfRule type="expression" dxfId="3957" priority="520" stopIfTrue="1">
      <formula>AND(COUNTIF($C$134:$F$142,B41)+COUNTIF($C$144:$F$65536,B41)+COUNTIF($C$8:$F$9,B41)+COUNTIF($C$11:$F$26,B41)+COUNTIF($C$28:$F$132,B41)+COUNTIF($C$4:$F$4,B41)+COUNTIF($C$1:$F$2,B41)&gt;1,NOT(ISBLANK(B41)))</formula>
    </cfRule>
    <cfRule type="expression" dxfId="3956" priority="521" stopIfTrue="1">
      <formula>AND(COUNTIF($C$4:$C$65536,B41)+COUNTIF($C$1:$C$2,B41)&gt;1,NOT(ISBLANK(B41)))</formula>
    </cfRule>
  </conditionalFormatting>
  <conditionalFormatting sqref="B43">
    <cfRule type="expression" dxfId="3955" priority="519" stopIfTrue="1">
      <formula>AND(COUNTIF($C$4:$C$65536,B43)+COUNTIF($C$1:$C$2,B43)&gt;1,NOT(ISBLANK(B43)))</formula>
    </cfRule>
    <cfRule type="expression" dxfId="3954" priority="518" stopIfTrue="1">
      <formula>AND(COUNTIF($C$134:$F$142,B43)+COUNTIF($C$144:$F$65536,B43)+COUNTIF($C$8:$F$9,B43)+COUNTIF($C$11:$F$26,B43)+COUNTIF($C$28:$F$132,B43)+COUNTIF($C$4:$F$4,B43)+COUNTIF($C$1:$F$2,B43)&gt;1,NOT(ISBLANK(B43)))</formula>
    </cfRule>
  </conditionalFormatting>
  <conditionalFormatting sqref="B47">
    <cfRule type="expression" dxfId="3953" priority="517" stopIfTrue="1">
      <formula>AND(COUNTIF($C$4:$C$65536,B47)+COUNTIF($C$1:$C$2,B47)&gt;1,NOT(ISBLANK(B47)))</formula>
    </cfRule>
    <cfRule type="expression" dxfId="3952" priority="516" stopIfTrue="1">
      <formula>AND(COUNTIF($C$134:$F$142,B47)+COUNTIF($C$144:$F$65536,B47)+COUNTIF($C$8:$F$9,B47)+COUNTIF($C$11:$F$26,B47)+COUNTIF($C$28:$F$132,B47)+COUNTIF($C$4:$F$4,B47)+COUNTIF($C$1:$F$2,B47)&gt;1,NOT(ISBLANK(B47)))</formula>
    </cfRule>
  </conditionalFormatting>
  <conditionalFormatting sqref="B50">
    <cfRule type="expression" dxfId="3951" priority="515" stopIfTrue="1">
      <formula>AND(COUNTIF($C$4:$C$65536,B50)+COUNTIF($C$1:$C$2,B50)&gt;1,NOT(ISBLANK(B50)))</formula>
    </cfRule>
    <cfRule type="expression" dxfId="3950" priority="514" stopIfTrue="1">
      <formula>AND(COUNTIF($C$134:$F$142,B50)+COUNTIF($C$144:$F$65536,B50)+COUNTIF($C$8:$F$9,B50)+COUNTIF($C$11:$F$26,B50)+COUNTIF($C$28:$F$132,B50)+COUNTIF($C$4:$F$4,B50)+COUNTIF($C$1:$F$2,B50)&gt;1,NOT(ISBLANK(B50)))</formula>
    </cfRule>
  </conditionalFormatting>
  <conditionalFormatting sqref="B52:B53">
    <cfRule type="expression" dxfId="3949" priority="512" stopIfTrue="1">
      <formula>AND(COUNTIF($C$134:$F$142,B52)+COUNTIF($C$144:$F$65536,B52)+COUNTIF($C$8:$F$9,B52)+COUNTIF($C$11:$F$26,B52)+COUNTIF($C$28:$F$132,B52)+COUNTIF($C$4:$F$4,B52)+COUNTIF($C$1:$F$2,B52)&gt;1,NOT(ISBLANK(B52)))</formula>
    </cfRule>
    <cfRule type="expression" dxfId="3948" priority="513" stopIfTrue="1">
      <formula>AND(COUNTIF($C$4:$C$65536,B52)+COUNTIF($C$1:$C$2,B52)&gt;1,NOT(ISBLANK(B52)))</formula>
    </cfRule>
  </conditionalFormatting>
  <conditionalFormatting sqref="B57:B60">
    <cfRule type="expression" dxfId="3947" priority="511" stopIfTrue="1">
      <formula>AND(COUNTIF($C$4:$C$65536,B57)+COUNTIF($C$1:$C$2,B57)&gt;1,NOT(ISBLANK(B57)))</formula>
    </cfRule>
    <cfRule type="expression" dxfId="3946" priority="510" stopIfTrue="1">
      <formula>AND(COUNTIF($C$134:$F$142,B57)+COUNTIF($C$144:$F$65536,B57)+COUNTIF($C$8:$F$9,B57)+COUNTIF($C$11:$F$26,B57)+COUNTIF($C$28:$F$132,B57)+COUNTIF($C$4:$F$4,B57)+COUNTIF($C$1:$F$2,B57)&gt;1,NOT(ISBLANK(B57)))</formula>
    </cfRule>
  </conditionalFormatting>
  <conditionalFormatting sqref="B64">
    <cfRule type="expression" dxfId="3945" priority="508" stopIfTrue="1">
      <formula>AND(COUNTIF($C$134:$F$142,B64)+COUNTIF($C$144:$F$65536,B64)+COUNTIF($C$8:$F$9,B64)+COUNTIF($C$11:$F$26,B64)+COUNTIF($C$28:$F$132,B64)+COUNTIF($C$4:$F$4,B64)+COUNTIF($C$1:$F$2,B64)&gt;1,NOT(ISBLANK(B64)))</formula>
    </cfRule>
    <cfRule type="expression" dxfId="3944" priority="509" stopIfTrue="1">
      <formula>AND(COUNTIF($C$4:$C$65536,B64)+COUNTIF($C$1:$C$2,B64)&gt;1,NOT(ISBLANK(B64)))</formula>
    </cfRule>
  </conditionalFormatting>
  <conditionalFormatting sqref="B66:B67">
    <cfRule type="expression" dxfId="3943" priority="507" stopIfTrue="1">
      <formula>AND(COUNTIF($C$4:$C$65536,B66)+COUNTIF($C$1:$C$2,B66)&gt;1,NOT(ISBLANK(B66)))</formula>
    </cfRule>
    <cfRule type="expression" dxfId="3942" priority="506" stopIfTrue="1">
      <formula>AND(COUNTIF($C$134:$F$142,B66)+COUNTIF($C$144:$F$65536,B66)+COUNTIF($C$8:$F$9,B66)+COUNTIF($C$11:$F$26,B66)+COUNTIF($C$28:$F$132,B66)+COUNTIF($C$4:$F$4,B66)+COUNTIF($C$1:$F$2,B66)&gt;1,NOT(ISBLANK(B66)))</formula>
    </cfRule>
  </conditionalFormatting>
  <conditionalFormatting sqref="B69">
    <cfRule type="expression" dxfId="3941" priority="504" stopIfTrue="1">
      <formula>AND(COUNTIF($C$134:$F$142,B69)+COUNTIF($C$144:$F$65536,B69)+COUNTIF($C$8:$F$9,B69)+COUNTIF($C$11:$F$26,B69)+COUNTIF($C$28:$F$132,B69)+COUNTIF($C$4:$F$4,B69)+COUNTIF($C$1:$F$2,B69)&gt;1,NOT(ISBLANK(B69)))</formula>
    </cfRule>
    <cfRule type="expression" dxfId="3940" priority="505" stopIfTrue="1">
      <formula>AND(COUNTIF($C$4:$C$65536,B69)+COUNTIF($C$1:$C$2,B69)&gt;1,NOT(ISBLANK(B69)))</formula>
    </cfRule>
  </conditionalFormatting>
  <conditionalFormatting sqref="B71">
    <cfRule type="expression" dxfId="3939" priority="503" stopIfTrue="1">
      <formula>AND(COUNTIF($C$4:$C$65536,B71)+COUNTIF($C$1:$C$2,B71)&gt;1,NOT(ISBLANK(B71)))</formula>
    </cfRule>
    <cfRule type="expression" dxfId="3938" priority="502" stopIfTrue="1">
      <formula>AND(COUNTIF($C$134:$F$142,B71)+COUNTIF($C$144:$F$65536,B71)+COUNTIF($C$8:$F$9,B71)+COUNTIF($C$11:$F$26,B71)+COUNTIF($C$28:$F$132,B71)+COUNTIF($C$4:$F$4,B71)+COUNTIF($C$1:$F$2,B71)&gt;1,NOT(ISBLANK(B71)))</formula>
    </cfRule>
  </conditionalFormatting>
  <conditionalFormatting sqref="B74">
    <cfRule type="expression" dxfId="3937" priority="500" stopIfTrue="1">
      <formula>AND(COUNTIF($C$134:$F$142,B74)+COUNTIF($C$144:$F$65536,B74)+COUNTIF($C$8:$F$9,B74)+COUNTIF($C$11:$F$26,B74)+COUNTIF($C$28:$F$132,B74)+COUNTIF($C$4:$F$4,B74)+COUNTIF($C$1:$F$2,B74)&gt;1,NOT(ISBLANK(B74)))</formula>
    </cfRule>
    <cfRule type="expression" dxfId="3936" priority="501" stopIfTrue="1">
      <formula>AND(COUNTIF($C$4:$C$65536,B74)+COUNTIF($C$1:$C$2,B74)&gt;1,NOT(ISBLANK(B74)))</formula>
    </cfRule>
  </conditionalFormatting>
  <conditionalFormatting sqref="B77">
    <cfRule type="expression" dxfId="3935" priority="498" stopIfTrue="1">
      <formula>AND(COUNTIF($C$134:$F$142,B77)+COUNTIF($C$144:$F$65536,B77)+COUNTIF($C$8:$F$9,B77)+COUNTIF($C$11:$F$26,B77)+COUNTIF($C$28:$F$132,B77)+COUNTIF($C$4:$F$4,B77)+COUNTIF($C$1:$F$2,B77)&gt;1,NOT(ISBLANK(B77)))</formula>
    </cfRule>
    <cfRule type="expression" dxfId="3934" priority="499" stopIfTrue="1">
      <formula>AND(COUNTIF($C$4:$C$65536,B77)+COUNTIF($C$1:$C$2,B77)&gt;1,NOT(ISBLANK(B77)))</formula>
    </cfRule>
  </conditionalFormatting>
  <conditionalFormatting sqref="B79">
    <cfRule type="expression" dxfId="3933" priority="496" stopIfTrue="1">
      <formula>AND(COUNTIF($C$134:$F$142,B79)+COUNTIF($C$144:$F$65536,B79)+COUNTIF($C$8:$F$9,B79)+COUNTIF($C$11:$F$26,B79)+COUNTIF($C$28:$F$132,B79)+COUNTIF($C$4:$F$4,B79)+COUNTIF($C$1:$F$2,B79)&gt;1,NOT(ISBLANK(B79)))</formula>
    </cfRule>
    <cfRule type="expression" dxfId="3932" priority="497" stopIfTrue="1">
      <formula>AND(COUNTIF($C$4:$C$65536,B79)+COUNTIF($C$1:$C$2,B79)&gt;1,NOT(ISBLANK(B79)))</formula>
    </cfRule>
  </conditionalFormatting>
  <conditionalFormatting sqref="B81:B83">
    <cfRule type="expression" dxfId="3931" priority="493" stopIfTrue="1">
      <formula>AND(COUNTIF($C$4:$C$65536,B81)+COUNTIF($C$1:$C$2,B81)&gt;1,NOT(ISBLANK(B81)))</formula>
    </cfRule>
    <cfRule type="expression" dxfId="3930" priority="492" stopIfTrue="1">
      <formula>AND(COUNTIF($C$134:$F$142,B81)+COUNTIF($C$144:$F$65536,B81)+COUNTIF($C$8:$F$9,B81)+COUNTIF($C$11:$F$26,B81)+COUNTIF($C$28:$F$132,B81)+COUNTIF($C$4:$F$4,B81)+COUNTIF($C$1:$F$2,B81)&gt;1,NOT(ISBLANK(B81)))</formula>
    </cfRule>
  </conditionalFormatting>
  <conditionalFormatting sqref="B85">
    <cfRule type="expression" dxfId="3929" priority="491" stopIfTrue="1">
      <formula>AND(COUNTIF($C$4:$C$65536,B85)+COUNTIF($C$1:$C$2,B85)&gt;1,NOT(ISBLANK(B85)))</formula>
    </cfRule>
    <cfRule type="expression" dxfId="3928" priority="490" stopIfTrue="1">
      <formula>AND(COUNTIF($C$134:$F$142,B85)+COUNTIF($C$144:$F$65536,B85)+COUNTIF($C$8:$F$9,B85)+COUNTIF($C$11:$F$26,B85)+COUNTIF($C$28:$F$132,B85)+COUNTIF($C$4:$F$4,B85)+COUNTIF($C$1:$F$2,B85)&gt;1,NOT(ISBLANK(B85)))</formula>
    </cfRule>
  </conditionalFormatting>
  <conditionalFormatting sqref="B87">
    <cfRule type="expression" dxfId="3927" priority="489" stopIfTrue="1">
      <formula>AND(COUNTIF($C$4:$C$65536,B87)+COUNTIF($C$1:$C$2,B87)&gt;1,NOT(ISBLANK(B87)))</formula>
    </cfRule>
    <cfRule type="expression" dxfId="3926" priority="488" stopIfTrue="1">
      <formula>AND(COUNTIF($C$134:$F$142,B87)+COUNTIF($C$144:$F$65536,B87)+COUNTIF($C$8:$F$9,B87)+COUNTIF($C$11:$F$26,B87)+COUNTIF($C$28:$F$132,B87)+COUNTIF($C$4:$F$4,B87)+COUNTIF($C$1:$F$2,B87)&gt;1,NOT(ISBLANK(B87)))</formula>
    </cfRule>
  </conditionalFormatting>
  <conditionalFormatting sqref="B91:B92">
    <cfRule type="expression" dxfId="3925" priority="485" stopIfTrue="1">
      <formula>AND(COUNTIF($C$4:$C$65536,B91)+COUNTIF($C$1:$C$2,B91)&gt;1,NOT(ISBLANK(B91)))</formula>
    </cfRule>
    <cfRule type="expression" dxfId="3924" priority="484" stopIfTrue="1">
      <formula>AND(COUNTIF($C$134:$F$142,B91)+COUNTIF($C$144:$F$65536,B91)+COUNTIF($C$8:$F$9,B91)+COUNTIF($C$11:$F$26,B91)+COUNTIF($C$28:$F$132,B91)+COUNTIF($C$4:$F$4,B91)+COUNTIF($C$1:$F$2,B91)&gt;1,NOT(ISBLANK(B91)))</formula>
    </cfRule>
  </conditionalFormatting>
  <conditionalFormatting sqref="B95">
    <cfRule type="expression" dxfId="3923" priority="482" stopIfTrue="1">
      <formula>AND(COUNTIF($C$134:$F$142,B95)+COUNTIF($C$144:$F$65536,B95)+COUNTIF($C$8:$F$9,B95)+COUNTIF($C$11:$F$26,B95)+COUNTIF($C$28:$F$132,B95)+COUNTIF($C$4:$F$4,B95)+COUNTIF($C$1:$F$2,B95)&gt;1,NOT(ISBLANK(B95)))</formula>
    </cfRule>
    <cfRule type="expression" dxfId="3922" priority="483" stopIfTrue="1">
      <formula>AND(COUNTIF($C$4:$C$65536,B95)+COUNTIF($C$1:$C$2,B95)&gt;1,NOT(ISBLANK(B95)))</formula>
    </cfRule>
  </conditionalFormatting>
  <conditionalFormatting sqref="B97">
    <cfRule type="expression" dxfId="3921" priority="480" stopIfTrue="1">
      <formula>AND(COUNTIF($C$134:$F$142,B97)+COUNTIF($C$144:$F$65536,B97)+COUNTIF($C$8:$F$9,B97)+COUNTIF($C$11:$F$26,B97)+COUNTIF($C$28:$F$132,B97)+COUNTIF($C$4:$F$4,B97)+COUNTIF($C$1:$F$2,B97)&gt;1,NOT(ISBLANK(B97)))</formula>
    </cfRule>
    <cfRule type="expression" dxfId="3920" priority="481" stopIfTrue="1">
      <formula>AND(COUNTIF($C$4:$C$65536,B97)+COUNTIF($C$1:$C$2,B97)&gt;1,NOT(ISBLANK(B97)))</formula>
    </cfRule>
  </conditionalFormatting>
  <conditionalFormatting sqref="B99">
    <cfRule type="expression" dxfId="3919" priority="478" stopIfTrue="1">
      <formula>AND(COUNTIF($C$134:$F$142,B99)+COUNTIF($C$144:$F$65536,B99)+COUNTIF($C$8:$F$9,B99)+COUNTIF($C$11:$F$26,B99)+COUNTIF($C$28:$F$132,B99)+COUNTIF($C$4:$F$4,B99)+COUNTIF($C$1:$F$2,B99)&gt;1,NOT(ISBLANK(B99)))</formula>
    </cfRule>
    <cfRule type="expression" dxfId="3918" priority="479" stopIfTrue="1">
      <formula>AND(COUNTIF($C$4:$C$65536,B99)+COUNTIF($C$1:$C$2,B99)&gt;1,NOT(ISBLANK(B99)))</formula>
    </cfRule>
  </conditionalFormatting>
  <conditionalFormatting sqref="B105">
    <cfRule type="expression" dxfId="3917" priority="477" stopIfTrue="1">
      <formula>AND(COUNTIF($C$4:$C$65536,B105)+COUNTIF($C$1:$C$2,B105)&gt;1,NOT(ISBLANK(B105)))</formula>
    </cfRule>
    <cfRule type="expression" dxfId="3916" priority="476" stopIfTrue="1">
      <formula>AND(COUNTIF($C$134:$F$142,B105)+COUNTIF($C$144:$F$65536,B105)+COUNTIF($C$8:$F$9,B105)+COUNTIF($C$11:$F$26,B105)+COUNTIF($C$28:$F$132,B105)+COUNTIF($C$4:$F$4,B105)+COUNTIF($C$1:$F$2,B105)&gt;1,NOT(ISBLANK(B105)))</formula>
    </cfRule>
  </conditionalFormatting>
  <conditionalFormatting sqref="B107">
    <cfRule type="expression" dxfId="3915" priority="475" stopIfTrue="1">
      <formula>AND(COUNTIF($C$4:$C$65536,B107)+COUNTIF($C$1:$C$2,B107)&gt;1,NOT(ISBLANK(B107)))</formula>
    </cfRule>
    <cfRule type="expression" dxfId="3914" priority="474" stopIfTrue="1">
      <formula>AND(COUNTIF($C$134:$F$142,B107)+COUNTIF($C$144:$F$65536,B107)+COUNTIF($C$8:$F$9,B107)+COUNTIF($C$11:$F$26,B107)+COUNTIF($C$28:$F$132,B107)+COUNTIF($C$4:$F$4,B107)+COUNTIF($C$1:$F$2,B107)&gt;1,NOT(ISBLANK(B107)))</formula>
    </cfRule>
  </conditionalFormatting>
  <conditionalFormatting sqref="B109:B110">
    <cfRule type="expression" dxfId="3913" priority="472" stopIfTrue="1">
      <formula>AND(COUNTIF($C$134:$F$142,B109)+COUNTIF($C$144:$F$65536,B109)+COUNTIF($C$8:$F$9,B109)+COUNTIF($C$11:$F$26,B109)+COUNTIF($C$28:$F$132,B109)+COUNTIF($C$4:$F$4,B109)+COUNTIF($C$1:$F$2,B109)&gt;1,NOT(ISBLANK(B109)))</formula>
    </cfRule>
    <cfRule type="expression" dxfId="3912" priority="473" stopIfTrue="1">
      <formula>AND(COUNTIF($C$4:$C$65536,B109)+COUNTIF($C$1:$C$2,B109)&gt;1,NOT(ISBLANK(B109)))</formula>
    </cfRule>
  </conditionalFormatting>
  <conditionalFormatting sqref="B113">
    <cfRule type="expression" dxfId="3911" priority="471" stopIfTrue="1">
      <formula>AND(COUNTIF($C$4:$C$65536,B113)+COUNTIF($C$1:$C$2,B113)&gt;1,NOT(ISBLANK(B113)))</formula>
    </cfRule>
    <cfRule type="expression" dxfId="3910" priority="470" stopIfTrue="1">
      <formula>AND(COUNTIF($C$134:$F$142,B113)+COUNTIF($C$144:$F$65536,B113)+COUNTIF($C$8:$F$9,B113)+COUNTIF($C$11:$F$26,B113)+COUNTIF($C$28:$F$132,B113)+COUNTIF($C$4:$F$4,B113)+COUNTIF($C$1:$F$2,B113)&gt;1,NOT(ISBLANK(B113)))</formula>
    </cfRule>
  </conditionalFormatting>
  <conditionalFormatting sqref="B115:B116">
    <cfRule type="expression" dxfId="3909" priority="468" stopIfTrue="1">
      <formula>AND(COUNTIF($C$134:$F$142,B115)+COUNTIF($C$144:$F$65536,B115)+COUNTIF($C$8:$F$9,B115)+COUNTIF($C$11:$F$26,B115)+COUNTIF($C$28:$F$132,B115)+COUNTIF($C$4:$F$4,B115)+COUNTIF($C$1:$F$2,B115)&gt;1,NOT(ISBLANK(B115)))</formula>
    </cfRule>
    <cfRule type="expression" dxfId="3908" priority="469" stopIfTrue="1">
      <formula>AND(COUNTIF($C$4:$C$65536,B115)+COUNTIF($C$1:$C$2,B115)&gt;1,NOT(ISBLANK(B115)))</formula>
    </cfRule>
  </conditionalFormatting>
  <conditionalFormatting sqref="B119">
    <cfRule type="expression" dxfId="3907" priority="466" stopIfTrue="1">
      <formula>AND(COUNTIF($C$134:$F$142,B119)+COUNTIF($C$144:$F$65536,B119)+COUNTIF($C$8:$F$9,B119)+COUNTIF($C$11:$F$26,B119)+COUNTIF($C$28:$F$132,B119)+COUNTIF($C$4:$F$4,B119)+COUNTIF($C$1:$F$2,B119)&gt;1,NOT(ISBLANK(B119)))</formula>
    </cfRule>
    <cfRule type="expression" dxfId="3906" priority="467" stopIfTrue="1">
      <formula>AND(COUNTIF($C$4:$C$65536,B119)+COUNTIF($C$1:$C$2,B119)&gt;1,NOT(ISBLANK(B119)))</formula>
    </cfRule>
  </conditionalFormatting>
  <conditionalFormatting sqref="B122">
    <cfRule type="expression" dxfId="3905" priority="465" stopIfTrue="1">
      <formula>AND(COUNTIF($C$4:$C$65536,B122)+COUNTIF($C$1:$C$2,B122)&gt;1,NOT(ISBLANK(B122)))</formula>
    </cfRule>
    <cfRule type="expression" dxfId="3904" priority="464" stopIfTrue="1">
      <formula>AND(COUNTIF($C$134:$F$142,B122)+COUNTIF($C$144:$F$65536,B122)+COUNTIF($C$8:$F$9,B122)+COUNTIF($C$11:$F$26,B122)+COUNTIF($C$28:$F$132,B122)+COUNTIF($C$4:$F$4,B122)+COUNTIF($C$1:$F$2,B122)&gt;1,NOT(ISBLANK(B122)))</formula>
    </cfRule>
  </conditionalFormatting>
  <conditionalFormatting sqref="B126">
    <cfRule type="expression" dxfId="3903" priority="462" stopIfTrue="1">
      <formula>AND(COUNTIF($C$134:$F$142,B126)+COUNTIF($C$144:$F$65536,B126)+COUNTIF($C$8:$F$9,B126)+COUNTIF($C$11:$F$26,B126)+COUNTIF($C$28:$F$132,B126)+COUNTIF($C$4:$F$4,B126)+COUNTIF($C$1:$F$2,B126)&gt;1,NOT(ISBLANK(B126)))</formula>
    </cfRule>
    <cfRule type="expression" dxfId="3902" priority="463" stopIfTrue="1">
      <formula>AND(COUNTIF($C$4:$C$65536,B126)+COUNTIF($C$1:$C$2,B126)&gt;1,NOT(ISBLANK(B126)))</formula>
    </cfRule>
  </conditionalFormatting>
  <conditionalFormatting sqref="B130">
    <cfRule type="expression" dxfId="3901" priority="460" stopIfTrue="1">
      <formula>AND(COUNTIF($C$134:$F$142,B130)+COUNTIF($C$144:$F$65536,B130)+COUNTIF($C$8:$F$9,B130)+COUNTIF($C$11:$F$26,B130)+COUNTIF($C$28:$F$132,B130)+COUNTIF($C$4:$F$4,B130)+COUNTIF($C$1:$F$2,B130)&gt;1,NOT(ISBLANK(B130)))</formula>
    </cfRule>
    <cfRule type="expression" dxfId="3900" priority="461" stopIfTrue="1">
      <formula>AND(COUNTIF($C$4:$C$65536,B130)+COUNTIF($C$1:$C$2,B130)&gt;1,NOT(ISBLANK(B130)))</formula>
    </cfRule>
  </conditionalFormatting>
  <conditionalFormatting sqref="B133">
    <cfRule type="expression" dxfId="3899" priority="459" stopIfTrue="1">
      <formula>AND(COUNTIF($C$4:$C$65536,B133)+COUNTIF($C$1:$C$2,B133)&gt;1,NOT(ISBLANK(B133)))</formula>
    </cfRule>
    <cfRule type="expression" dxfId="3898" priority="458" stopIfTrue="1">
      <formula>AND(COUNTIF($C$134:$F$142,B133)+COUNTIF($C$144:$F$65536,B133)+COUNTIF($C$8:$F$9,B133)+COUNTIF($C$11:$F$26,B133)+COUNTIF($C$28:$F$132,B133)+COUNTIF($C$4:$F$4,B133)+COUNTIF($C$1:$F$2,B133)&gt;1,NOT(ISBLANK(B133)))</formula>
    </cfRule>
  </conditionalFormatting>
  <conditionalFormatting sqref="B135">
    <cfRule type="expression" dxfId="3897" priority="457" stopIfTrue="1">
      <formula>AND(COUNTIF($C$4:$C$65536,B135)+COUNTIF($C$1:$C$2,B135)&gt;1,NOT(ISBLANK(B135)))</formula>
    </cfRule>
    <cfRule type="expression" dxfId="3896" priority="456" stopIfTrue="1">
      <formula>AND(COUNTIF($C$134:$F$142,B135)+COUNTIF($C$144:$F$65536,B135)+COUNTIF($C$8:$F$9,B135)+COUNTIF($C$11:$F$26,B135)+COUNTIF($C$28:$F$132,B135)+COUNTIF($C$4:$F$4,B135)+COUNTIF($C$1:$F$2,B135)&gt;1,NOT(ISBLANK(B135)))</formula>
    </cfRule>
  </conditionalFormatting>
  <conditionalFormatting sqref="B138">
    <cfRule type="expression" dxfId="3895" priority="455" stopIfTrue="1">
      <formula>AND(COUNTIF($C$4:$C$65536,B138)+COUNTIF($C$1:$C$2,B138)&gt;1,NOT(ISBLANK(B138)))</formula>
    </cfRule>
    <cfRule type="expression" dxfId="3894" priority="454" stopIfTrue="1">
      <formula>AND(COUNTIF($C$134:$F$142,B138)+COUNTIF($C$144:$F$65536,B138)+COUNTIF($C$8:$F$9,B138)+COUNTIF($C$11:$F$26,B138)+COUNTIF($C$28:$F$132,B138)+COUNTIF($C$4:$F$4,B138)+COUNTIF($C$1:$F$2,B138)&gt;1,NOT(ISBLANK(B138)))</formula>
    </cfRule>
  </conditionalFormatting>
  <conditionalFormatting sqref="B140:B141">
    <cfRule type="expression" dxfId="3893" priority="453" stopIfTrue="1">
      <formula>AND(COUNTIF($C$4:$C$65536,B140)+COUNTIF($C$1:$C$2,B140)&gt;1,NOT(ISBLANK(B140)))</formula>
    </cfRule>
    <cfRule type="expression" dxfId="3892" priority="452" stopIfTrue="1">
      <formula>AND(COUNTIF($C$134:$F$142,B140)+COUNTIF($C$144:$F$65536,B140)+COUNTIF($C$8:$F$9,B140)+COUNTIF($C$11:$F$26,B140)+COUNTIF($C$28:$F$132,B140)+COUNTIF($C$4:$F$4,B140)+COUNTIF($C$1:$F$2,B140)&gt;1,NOT(ISBLANK(B140)))</formula>
    </cfRule>
  </conditionalFormatting>
  <conditionalFormatting sqref="B144:B145">
    <cfRule type="expression" dxfId="3891" priority="450" stopIfTrue="1">
      <formula>AND(COUNTIF($C$134:$F$142,B144)+COUNTIF($C$144:$F$65536,B144)+COUNTIF($C$8:$F$9,B144)+COUNTIF($C$11:$F$26,B144)+COUNTIF($C$28:$F$132,B144)+COUNTIF($C$4:$F$4,B144)+COUNTIF($C$1:$F$2,B144)&gt;1,NOT(ISBLANK(B144)))</formula>
    </cfRule>
  </conditionalFormatting>
  <conditionalFormatting sqref="B144:B146">
    <cfRule type="expression" dxfId="3890" priority="451" stopIfTrue="1">
      <formula>AND(COUNTIF($C$4:$C$65536,B144)+COUNTIF($C$1:$C$2,B144)&gt;1,NOT(ISBLANK(B144)))</formula>
    </cfRule>
  </conditionalFormatting>
  <conditionalFormatting sqref="B148">
    <cfRule type="expression" dxfId="3889" priority="448" stopIfTrue="1">
      <formula>AND(COUNTIF($C$134:$F$142,B148)+COUNTIF($C$144:$F$65536,B148)+COUNTIF($C$8:$F$9,B148)+COUNTIF($C$11:$F$26,B148)+COUNTIF($C$28:$F$132,B148)+COUNTIF($C$4:$F$4,B148)+COUNTIF($C$1:$F$2,B148)&gt;1,NOT(ISBLANK(B148)))</formula>
    </cfRule>
    <cfRule type="expression" dxfId="3888" priority="449" stopIfTrue="1">
      <formula>AND(COUNTIF($C$4:$C$65536,B148)+COUNTIF($C$1:$C$2,B148)&gt;1,NOT(ISBLANK(B148)))</formula>
    </cfRule>
  </conditionalFormatting>
  <conditionalFormatting sqref="B152">
    <cfRule type="expression" dxfId="3887" priority="447" stopIfTrue="1">
      <formula>AND(COUNTIF($C$4:$C$65536,B152)+COUNTIF($C$1:$C$2,B152)&gt;1,NOT(ISBLANK(B152)))</formula>
    </cfRule>
    <cfRule type="expression" dxfId="3886" priority="446" stopIfTrue="1">
      <formula>AND(COUNTIF($C$134:$F$142,B152)+COUNTIF($C$144:$F$65536,B152)+COUNTIF($C$8:$F$9,B152)+COUNTIF($C$11:$F$26,B152)+COUNTIF($C$28:$F$132,B152)+COUNTIF($C$4:$F$4,B152)+COUNTIF($C$1:$F$2,B152)&gt;1,NOT(ISBLANK(B152)))</formula>
    </cfRule>
  </conditionalFormatting>
  <conditionalFormatting sqref="B154">
    <cfRule type="expression" dxfId="3885" priority="444" stopIfTrue="1">
      <formula>AND(COUNTIF($C$134:$F$142,B154)+COUNTIF($C$144:$F$65536,B154)+COUNTIF($C$8:$F$9,B154)+COUNTIF($C$11:$F$26,B154)+COUNTIF($C$28:$F$132,B154)+COUNTIF($C$4:$F$4,B154)+COUNTIF($C$1:$F$2,B154)&gt;1,NOT(ISBLANK(B154)))</formula>
    </cfRule>
    <cfRule type="expression" dxfId="3884" priority="445" stopIfTrue="1">
      <formula>AND(COUNTIF($C$4:$C$65536,B154)+COUNTIF($C$1:$C$2,B154)&gt;1,NOT(ISBLANK(B154)))</formula>
    </cfRule>
  </conditionalFormatting>
  <conditionalFormatting sqref="B156:B158">
    <cfRule type="expression" dxfId="3883" priority="443" stopIfTrue="1">
      <formula>AND(COUNTIF($C$4:$C$65536,B156)+COUNTIF($C$1:$C$2,B156)&gt;1,NOT(ISBLANK(B156)))</formula>
    </cfRule>
  </conditionalFormatting>
  <conditionalFormatting sqref="B157:B158">
    <cfRule type="expression" dxfId="3882" priority="442" stopIfTrue="1">
      <formula>AND(COUNTIF($C$134:$F$142,B157)+COUNTIF($C$144:$F$65536,B157)+COUNTIF($C$8:$F$9,B157)+COUNTIF($C$11:$F$26,B157)+COUNTIF($C$28:$F$132,B157)+COUNTIF($C$4:$F$4,B157)+COUNTIF($C$1:$F$2,B157)&gt;1,NOT(ISBLANK(B157)))</formula>
    </cfRule>
  </conditionalFormatting>
  <conditionalFormatting sqref="B160">
    <cfRule type="expression" dxfId="3881" priority="441" stopIfTrue="1">
      <formula>AND(COUNTIF($C$4:$C$65536,B160)+COUNTIF($C$1:$C$2,B160)&gt;1,NOT(ISBLANK(B160)))</formula>
    </cfRule>
    <cfRule type="expression" dxfId="3880" priority="440" stopIfTrue="1">
      <formula>AND(COUNTIF($C$134:$F$142,B160)+COUNTIF($C$144:$F$65536,B160)+COUNTIF($C$8:$F$9,B160)+COUNTIF($C$11:$F$26,B160)+COUNTIF($C$28:$F$132,B160)+COUNTIF($C$4:$F$4,B160)+COUNTIF($C$1:$F$2,B160)&gt;1,NOT(ISBLANK(B160)))</formula>
    </cfRule>
  </conditionalFormatting>
  <conditionalFormatting sqref="B164:B165">
    <cfRule type="expression" dxfId="3879" priority="439" stopIfTrue="1">
      <formula>AND(COUNTIF($C$4:$C$65536,B164)+COUNTIF($C$1:$C$2,B164)&gt;1,NOT(ISBLANK(B164)))</formula>
    </cfRule>
    <cfRule type="expression" dxfId="3878" priority="438" stopIfTrue="1">
      <formula>AND(COUNTIF($C$134:$F$142,B164)+COUNTIF($C$144:$F$65536,B164)+COUNTIF($C$8:$F$9,B164)+COUNTIF($C$11:$F$26,B164)+COUNTIF($C$28:$F$132,B164)+COUNTIF($C$4:$F$4,B164)+COUNTIF($C$1:$F$2,B164)&gt;1,NOT(ISBLANK(B164)))</formula>
    </cfRule>
  </conditionalFormatting>
  <conditionalFormatting sqref="B167">
    <cfRule type="expression" dxfId="3877" priority="437" stopIfTrue="1">
      <formula>AND(COUNTIF($C$4:$C$65536,B167)+COUNTIF($C$1:$C$2,B167)&gt;1,NOT(ISBLANK(B167)))</formula>
    </cfRule>
    <cfRule type="expression" dxfId="3876" priority="436" stopIfTrue="1">
      <formula>AND(COUNTIF($C$134:$F$142,B167)+COUNTIF($C$144:$F$65536,B167)+COUNTIF($C$8:$F$9,B167)+COUNTIF($C$11:$F$26,B167)+COUNTIF($C$28:$F$132,B167)+COUNTIF($C$4:$F$4,B167)+COUNTIF($C$1:$F$2,B167)&gt;1,NOT(ISBLANK(B167)))</formula>
    </cfRule>
  </conditionalFormatting>
  <conditionalFormatting sqref="B169:B171">
    <cfRule type="expression" dxfId="3875" priority="435" stopIfTrue="1">
      <formula>AND(COUNTIF($C$4:$C$65536,B169)+COUNTIF($C$1:$C$2,B169)&gt;1,NOT(ISBLANK(B169)))</formula>
    </cfRule>
    <cfRule type="expression" dxfId="3874" priority="434" stopIfTrue="1">
      <formula>AND(COUNTIF($C$134:$F$142,B169)+COUNTIF($C$144:$F$65536,B169)+COUNTIF($C$8:$F$9,B169)+COUNTIF($C$11:$F$26,B169)+COUNTIF($C$28:$F$132,B169)+COUNTIF($C$4:$F$4,B169)+COUNTIF($C$1:$F$2,B169)&gt;1,NOT(ISBLANK(B169)))</formula>
    </cfRule>
  </conditionalFormatting>
  <conditionalFormatting sqref="B174:B175">
    <cfRule type="expression" dxfId="3873" priority="430" stopIfTrue="1">
      <formula>AND(COUNTIF($C$134:$F$142,B174)+COUNTIF($C$144:$F$65536,B174)+COUNTIF($C$8:$F$9,B174)+COUNTIF($C$11:$F$26,B174)+COUNTIF($C$28:$F$132,B174)+COUNTIF($C$4:$F$4,B174)+COUNTIF($C$1:$F$2,B174)&gt;1,NOT(ISBLANK(B174)))</formula>
    </cfRule>
    <cfRule type="expression" dxfId="3872" priority="431" stopIfTrue="1">
      <formula>AND(COUNTIF($C$4:$C$65536,B174)+COUNTIF($C$1:$C$2,B174)&gt;1,NOT(ISBLANK(B174)))</formula>
    </cfRule>
  </conditionalFormatting>
  <conditionalFormatting sqref="B177">
    <cfRule type="expression" dxfId="3871" priority="429" stopIfTrue="1">
      <formula>AND(COUNTIF($C$4:$C$65536,B177)+COUNTIF($C$1:$C$2,B177)&gt;1,NOT(ISBLANK(B177)))</formula>
    </cfRule>
    <cfRule type="expression" dxfId="3870" priority="428" stopIfTrue="1">
      <formula>AND(COUNTIF($C$134:$F$142,B177)+COUNTIF($C$144:$F$65536,B177)+COUNTIF($C$8:$F$9,B177)+COUNTIF($C$11:$F$26,B177)+COUNTIF($C$28:$F$132,B177)+COUNTIF($C$4:$F$4,B177)+COUNTIF($C$1:$F$2,B177)&gt;1,NOT(ISBLANK(B177)))</formula>
    </cfRule>
  </conditionalFormatting>
  <conditionalFormatting sqref="B181:B182">
    <cfRule type="expression" dxfId="3869" priority="426" stopIfTrue="1">
      <formula>AND(COUNTIF($C$134:$F$142,B181)+COUNTIF($C$144:$F$65536,B181)+COUNTIF($C$8:$F$9,B181)+COUNTIF($C$11:$F$26,B181)+COUNTIF($C$28:$F$132,B181)+COUNTIF($C$4:$F$4,B181)+COUNTIF($C$1:$F$2,B181)&gt;1,NOT(ISBLANK(B181)))</formula>
    </cfRule>
    <cfRule type="expression" dxfId="3868" priority="427" stopIfTrue="1">
      <formula>AND(COUNTIF($C$4:$C$65536,B181)+COUNTIF($C$1:$C$2,B181)&gt;1,NOT(ISBLANK(B181)))</formula>
    </cfRule>
  </conditionalFormatting>
  <conditionalFormatting sqref="B186:B187">
    <cfRule type="expression" dxfId="3867" priority="424" stopIfTrue="1">
      <formula>AND(COUNTIF($C$134:$F$142,B186)+COUNTIF($C$144:$F$65536,B186)+COUNTIF($C$8:$F$9,B186)+COUNTIF($C$11:$F$26,B186)+COUNTIF($C$28:$F$132,B186)+COUNTIF($C$4:$F$4,B186)+COUNTIF($C$1:$F$2,B186)&gt;1,NOT(ISBLANK(B186)))</formula>
    </cfRule>
    <cfRule type="expression" dxfId="3866" priority="425" stopIfTrue="1">
      <formula>AND(COUNTIF($C$4:$C$65536,B186)+COUNTIF($C$1:$C$2,B186)&gt;1,NOT(ISBLANK(B186)))</formula>
    </cfRule>
  </conditionalFormatting>
  <conditionalFormatting sqref="B189">
    <cfRule type="expression" dxfId="3865" priority="422" stopIfTrue="1">
      <formula>AND(COUNTIF($C$134:$F$142,B189)+COUNTIF($C$144:$F$65536,B189)+COUNTIF($C$8:$F$9,B189)+COUNTIF($C$11:$F$26,B189)+COUNTIF($C$28:$F$132,B189)+COUNTIF($C$4:$F$4,B189)+COUNTIF($C$1:$F$2,B189)&gt;1,NOT(ISBLANK(B189)))</formula>
    </cfRule>
    <cfRule type="expression" dxfId="3864" priority="423" stopIfTrue="1">
      <formula>AND(COUNTIF($C$4:$C$65536,B189)+COUNTIF($C$1:$C$2,B189)&gt;1,NOT(ISBLANK(B189)))</formula>
    </cfRule>
  </conditionalFormatting>
  <conditionalFormatting sqref="B192">
    <cfRule type="expression" dxfId="3863" priority="420" stopIfTrue="1">
      <formula>AND(COUNTIF($C$134:$F$142,B192)+COUNTIF($C$144:$F$65536,B192)+COUNTIF($C$8:$F$9,B192)+COUNTIF($C$11:$F$26,B192)+COUNTIF($C$28:$F$132,B192)+COUNTIF($C$4:$F$4,B192)+COUNTIF($C$1:$F$2,B192)&gt;1,NOT(ISBLANK(B192)))</formula>
    </cfRule>
    <cfRule type="expression" dxfId="3862" priority="421" stopIfTrue="1">
      <formula>AND(COUNTIF($C$4:$C$65536,B192)+COUNTIF($C$1:$C$2,B192)&gt;1,NOT(ISBLANK(B192)))</formula>
    </cfRule>
  </conditionalFormatting>
  <conditionalFormatting sqref="B194">
    <cfRule type="expression" dxfId="3861" priority="418" stopIfTrue="1">
      <formula>AND(COUNTIF($C$134:$F$142,B194)+COUNTIF($C$144:$F$65536,B194)+COUNTIF($C$8:$F$9,B194)+COUNTIF($C$11:$F$26,B194)+COUNTIF($C$28:$F$132,B194)+COUNTIF($C$4:$F$4,B194)+COUNTIF($C$1:$F$2,B194)&gt;1,NOT(ISBLANK(B194)))</formula>
    </cfRule>
    <cfRule type="expression" dxfId="3860" priority="419" stopIfTrue="1">
      <formula>AND(COUNTIF($C$4:$C$65536,B194)+COUNTIF($C$1:$C$2,B194)&gt;1,NOT(ISBLANK(B194)))</formula>
    </cfRule>
  </conditionalFormatting>
  <conditionalFormatting sqref="B198">
    <cfRule type="expression" dxfId="3859" priority="416" stopIfTrue="1">
      <formula>AND(COUNTIF($C$134:$F$142,B198)+COUNTIF($C$144:$F$65536,B198)+COUNTIF($C$8:$F$9,B198)+COUNTIF($C$11:$F$26,B198)+COUNTIF($C$28:$F$132,B198)+COUNTIF($C$4:$F$4,B198)+COUNTIF($C$1:$F$2,B198)&gt;1,NOT(ISBLANK(B198)))</formula>
    </cfRule>
    <cfRule type="expression" dxfId="3858" priority="417" stopIfTrue="1">
      <formula>AND(COUNTIF($C$4:$C$65536,B198)+COUNTIF($C$1:$C$2,B198)&gt;1,NOT(ISBLANK(B198)))</formula>
    </cfRule>
  </conditionalFormatting>
  <conditionalFormatting sqref="B200:B202">
    <cfRule type="expression" dxfId="3857" priority="415" stopIfTrue="1">
      <formula>AND(COUNTIF($C$4:$C$65536,B200)+COUNTIF($C$1:$C$2,B200)&gt;1,NOT(ISBLANK(B200)))</formula>
    </cfRule>
  </conditionalFormatting>
  <conditionalFormatting sqref="B201:B202">
    <cfRule type="expression" dxfId="3856" priority="414" stopIfTrue="1">
      <formula>AND(COUNTIF($C$134:$F$142,B201)+COUNTIF($C$144:$F$65536,B201)+COUNTIF($C$8:$F$9,B201)+COUNTIF($C$11:$F$26,B201)+COUNTIF($C$28:$F$132,B201)+COUNTIF($C$4:$F$4,B201)+COUNTIF($C$1:$F$2,B201)&gt;1,NOT(ISBLANK(B201)))</formula>
    </cfRule>
  </conditionalFormatting>
  <conditionalFormatting sqref="B204:B206">
    <cfRule type="expression" dxfId="3855" priority="413" stopIfTrue="1">
      <formula>AND(COUNTIF($C$4:$C$65536,B204)+COUNTIF($C$1:$C$2,B204)&gt;1,NOT(ISBLANK(B204)))</formula>
    </cfRule>
  </conditionalFormatting>
  <conditionalFormatting sqref="B204:B207">
    <cfRule type="expression" dxfId="3854" priority="412" stopIfTrue="1">
      <formula>AND(COUNTIF($C$134:$F$142,B204)+COUNTIF($C$144:$F$65536,B204)+COUNTIF($C$8:$F$9,B204)+COUNTIF($C$11:$F$26,B204)+COUNTIF($C$28:$F$132,B204)+COUNTIF($C$4:$F$4,B204)+COUNTIF($C$1:$F$2,B204)&gt;1,NOT(ISBLANK(B204)))</formula>
    </cfRule>
  </conditionalFormatting>
  <conditionalFormatting sqref="B207">
    <cfRule type="expression" dxfId="3853" priority="756" stopIfTrue="1">
      <formula>AND(COUNTIF($C$4:$C$65536,B207)+COUNTIF($C$1:$C$2,B207)&gt;1,NOT(ISBLANK(B207)))</formula>
    </cfRule>
  </conditionalFormatting>
  <conditionalFormatting sqref="B209">
    <cfRule type="expression" dxfId="3852" priority="411" stopIfTrue="1">
      <formula>AND(COUNTIF($C$4:$C$65536,B209)+COUNTIF($C$1:$C$2,B209)&gt;1,NOT(ISBLANK(B209)))</formula>
    </cfRule>
    <cfRule type="expression" dxfId="3851" priority="410" stopIfTrue="1">
      <formula>AND(COUNTIF($C$134:$F$142,B209)+COUNTIF($C$144:$F$65536,B209)+COUNTIF($C$8:$F$9,B209)+COUNTIF($C$11:$F$26,B209)+COUNTIF($C$28:$F$132,B209)+COUNTIF($C$4:$F$4,B209)+COUNTIF($C$1:$F$2,B209)&gt;1,NOT(ISBLANK(B209)))</formula>
    </cfRule>
  </conditionalFormatting>
  <conditionalFormatting sqref="B211">
    <cfRule type="expression" dxfId="3850" priority="409" stopIfTrue="1">
      <formula>AND(COUNTIF($C$4:$C$65536,B211)+COUNTIF($C$1:$C$2,B211)&gt;1,NOT(ISBLANK(B211)))</formula>
    </cfRule>
    <cfRule type="expression" dxfId="3849" priority="408" stopIfTrue="1">
      <formula>AND(COUNTIF($C$134:$F$142,B211)+COUNTIF($C$144:$F$65536,B211)+COUNTIF($C$8:$F$9,B211)+COUNTIF($C$11:$F$26,B211)+COUNTIF($C$28:$F$132,B211)+COUNTIF($C$4:$F$4,B211)+COUNTIF($C$1:$F$2,B211)&gt;1,NOT(ISBLANK(B211)))</formula>
    </cfRule>
  </conditionalFormatting>
  <conditionalFormatting sqref="B213">
    <cfRule type="expression" dxfId="3848" priority="406" stopIfTrue="1">
      <formula>AND(COUNTIF($C$134:$F$142,B213)+COUNTIF($C$144:$F$65536,B213)+COUNTIF($C$8:$F$9,B213)+COUNTIF($C$11:$F$26,B213)+COUNTIF($C$28:$F$132,B213)+COUNTIF($C$4:$F$4,B213)+COUNTIF($C$1:$F$2,B213)&gt;1,NOT(ISBLANK(B213)))</formula>
    </cfRule>
    <cfRule type="expression" dxfId="3847" priority="407" stopIfTrue="1">
      <formula>AND(COUNTIF($C$4:$C$65536,B213)+COUNTIF($C$1:$C$2,B213)&gt;1,NOT(ISBLANK(B213)))</formula>
    </cfRule>
  </conditionalFormatting>
  <conditionalFormatting sqref="B219:B222">
    <cfRule type="expression" dxfId="3846" priority="405" stopIfTrue="1">
      <formula>AND(COUNTIF($C$4:$C$65536,B219)+COUNTIF($C$1:$C$2,B219)&gt;1,NOT(ISBLANK(B219)))</formula>
    </cfRule>
    <cfRule type="expression" dxfId="3845" priority="404" stopIfTrue="1">
      <formula>AND(COUNTIF($C$134:$F$142,B219)+COUNTIF($C$144:$F$65536,B219)+COUNTIF($C$8:$F$9,B219)+COUNTIF($C$11:$F$26,B219)+COUNTIF($C$28:$F$132,B219)+COUNTIF($C$4:$F$4,B219)+COUNTIF($C$1:$F$2,B219)&gt;1,NOT(ISBLANK(B219)))</formula>
    </cfRule>
  </conditionalFormatting>
  <conditionalFormatting sqref="B224:B225">
    <cfRule type="expression" dxfId="3844" priority="403" stopIfTrue="1">
      <formula>AND(COUNTIF($C$4:$C$65536,B224)+COUNTIF($C$1:$C$2,B224)&gt;1,NOT(ISBLANK(B224)))</formula>
    </cfRule>
    <cfRule type="expression" dxfId="3843" priority="402" stopIfTrue="1">
      <formula>AND(COUNTIF($C$134:$F$142,B224)+COUNTIF($C$144:$F$65536,B224)+COUNTIF($C$8:$F$9,B224)+COUNTIF($C$11:$F$26,B224)+COUNTIF($C$28:$F$132,B224)+COUNTIF($C$4:$F$4,B224)+COUNTIF($C$1:$F$2,B224)&gt;1,NOT(ISBLANK(B224)))</formula>
    </cfRule>
  </conditionalFormatting>
  <conditionalFormatting sqref="B227">
    <cfRule type="expression" dxfId="3842" priority="401" stopIfTrue="1">
      <formula>AND(COUNTIF($C$4:$C$65536,B227)+COUNTIF($C$1:$C$2,B227)&gt;1,NOT(ISBLANK(B227)))</formula>
    </cfRule>
    <cfRule type="expression" dxfId="3841" priority="400" stopIfTrue="1">
      <formula>AND(COUNTIF($C$134:$F$142,B227)+COUNTIF($C$144:$F$65536,B227)+COUNTIF($C$8:$F$9,B227)+COUNTIF($C$11:$F$26,B227)+COUNTIF($C$28:$F$132,B227)+COUNTIF($C$4:$F$4,B227)+COUNTIF($C$1:$F$2,B227)&gt;1,NOT(ISBLANK(B227)))</formula>
    </cfRule>
  </conditionalFormatting>
  <conditionalFormatting sqref="B229:B231">
    <cfRule type="expression" dxfId="3840" priority="399" stopIfTrue="1">
      <formula>AND(COUNTIF($C$4:$C$65536,B229)+COUNTIF($C$1:$C$2,B229)&gt;1,NOT(ISBLANK(B229)))</formula>
    </cfRule>
    <cfRule type="expression" dxfId="3839" priority="398" stopIfTrue="1">
      <formula>AND(COUNTIF($C$134:$F$142,B229)+COUNTIF($C$144:$F$65536,B229)+COUNTIF($C$8:$F$9,B229)+COUNTIF($C$11:$F$26,B229)+COUNTIF($C$28:$F$132,B229)+COUNTIF($C$4:$F$4,B229)+COUNTIF($C$1:$F$2,B229)&gt;1,NOT(ISBLANK(B229)))</formula>
    </cfRule>
  </conditionalFormatting>
  <conditionalFormatting sqref="B233">
    <cfRule type="expression" dxfId="3838" priority="396" stopIfTrue="1">
      <formula>AND(COUNTIF($C$134:$F$142,B233)+COUNTIF($C$144:$F$65536,B233)+COUNTIF($C$8:$F$9,B233)+COUNTIF($C$11:$F$26,B233)+COUNTIF($C$28:$F$132,B233)+COUNTIF($C$4:$F$4,B233)+COUNTIF($C$1:$F$2,B233)&gt;1,NOT(ISBLANK(B233)))</formula>
    </cfRule>
    <cfRule type="expression" dxfId="3837" priority="397" stopIfTrue="1">
      <formula>AND(COUNTIF($C$4:$C$65536,B233)+COUNTIF($C$1:$C$2,B233)&gt;1,NOT(ISBLANK(B233)))</formula>
    </cfRule>
  </conditionalFormatting>
  <conditionalFormatting sqref="B235">
    <cfRule type="expression" dxfId="3836" priority="395" stopIfTrue="1">
      <formula>AND(COUNTIF($C$4:$C$65536,B235)+COUNTIF($C$1:$C$2,B235)&gt;1,NOT(ISBLANK(B235)))</formula>
    </cfRule>
    <cfRule type="expression" dxfId="3835" priority="394" stopIfTrue="1">
      <formula>AND(COUNTIF($C$134:$F$142,B235)+COUNTIF($C$144:$F$65536,B235)+COUNTIF($C$8:$F$9,B235)+COUNTIF($C$11:$F$26,B235)+COUNTIF($C$28:$F$132,B235)+COUNTIF($C$4:$F$4,B235)+COUNTIF($C$1:$F$2,B235)&gt;1,NOT(ISBLANK(B235)))</formula>
    </cfRule>
  </conditionalFormatting>
  <conditionalFormatting sqref="B238">
    <cfRule type="expression" dxfId="3834" priority="393" stopIfTrue="1">
      <formula>AND(COUNTIF($C$4:$C$65536,B238)+COUNTIF($C$1:$C$2,B238)&gt;1,NOT(ISBLANK(B238)))</formula>
    </cfRule>
    <cfRule type="expression" dxfId="3833" priority="392" stopIfTrue="1">
      <formula>AND(COUNTIF($C$134:$F$142,B238)+COUNTIF($C$144:$F$65536,B238)+COUNTIF($C$8:$F$9,B238)+COUNTIF($C$11:$F$26,B238)+COUNTIF($C$28:$F$132,B238)+COUNTIF($C$4:$F$4,B238)+COUNTIF($C$1:$F$2,B238)&gt;1,NOT(ISBLANK(B238)))</formula>
    </cfRule>
  </conditionalFormatting>
  <conditionalFormatting sqref="B244">
    <cfRule type="expression" dxfId="3832" priority="391" stopIfTrue="1">
      <formula>AND(COUNTIF($C$4:$C$65536,B244)+COUNTIF($C$1:$C$2,B244)&gt;1,NOT(ISBLANK(B244)))</formula>
    </cfRule>
    <cfRule type="expression" dxfId="3831" priority="390" stopIfTrue="1">
      <formula>AND(COUNTIF($C$134:$F$142,B244)+COUNTIF($C$144:$F$65536,B244)+COUNTIF($C$8:$F$9,B244)+COUNTIF($C$11:$F$26,B244)+COUNTIF($C$28:$F$132,B244)+COUNTIF($C$4:$F$4,B244)+COUNTIF($C$1:$F$2,B244)&gt;1,NOT(ISBLANK(B244)))</formula>
    </cfRule>
  </conditionalFormatting>
  <conditionalFormatting sqref="B247">
    <cfRule type="expression" dxfId="3830" priority="389" stopIfTrue="1">
      <formula>AND(COUNTIF($C$4:$C$65536,B247)+COUNTIF($C$1:$C$2,B247)&gt;1,NOT(ISBLANK(B247)))</formula>
    </cfRule>
    <cfRule type="expression" dxfId="3829" priority="388" stopIfTrue="1">
      <formula>AND(COUNTIF($C$134:$F$142,B247)+COUNTIF($C$144:$F$65536,B247)+COUNTIF($C$8:$F$9,B247)+COUNTIF($C$11:$F$26,B247)+COUNTIF($C$28:$F$132,B247)+COUNTIF($C$4:$F$4,B247)+COUNTIF($C$1:$F$2,B247)&gt;1,NOT(ISBLANK(B247)))</formula>
    </cfRule>
  </conditionalFormatting>
  <conditionalFormatting sqref="B249:B251">
    <cfRule type="expression" dxfId="3828" priority="386" stopIfTrue="1">
      <formula>AND(COUNTIF($C$134:$F$142,B249)+COUNTIF($C$144:$F$65536,B249)+COUNTIF($C$8:$F$9,B249)+COUNTIF($C$11:$F$26,B249)+COUNTIF($C$28:$F$132,B249)+COUNTIF($C$4:$F$4,B249)+COUNTIF($C$1:$F$2,B249)&gt;1,NOT(ISBLANK(B249)))</formula>
    </cfRule>
    <cfRule type="expression" dxfId="3827" priority="387" stopIfTrue="1">
      <formula>AND(COUNTIF($C$4:$C$65536,B249)+COUNTIF($C$1:$C$2,B249)&gt;1,NOT(ISBLANK(B249)))</formula>
    </cfRule>
  </conditionalFormatting>
  <conditionalFormatting sqref="B253">
    <cfRule type="expression" dxfId="3826" priority="384" stopIfTrue="1">
      <formula>AND(COUNTIF($C$134:$F$142,B253)+COUNTIF($C$144:$F$65536,B253)+COUNTIF($C$8:$F$9,B253)+COUNTIF($C$11:$F$26,B253)+COUNTIF($C$28:$F$132,B253)+COUNTIF($C$4:$F$4,B253)+COUNTIF($C$1:$F$2,B253)&gt;1,NOT(ISBLANK(B253)))</formula>
    </cfRule>
    <cfRule type="expression" dxfId="3825" priority="385" stopIfTrue="1">
      <formula>AND(COUNTIF($C$4:$C$65536,B253)+COUNTIF($C$1:$C$2,B253)&gt;1,NOT(ISBLANK(B253)))</formula>
    </cfRule>
  </conditionalFormatting>
  <conditionalFormatting sqref="B256">
    <cfRule type="expression" dxfId="3824" priority="826" stopIfTrue="1">
      <formula>AND(COUNTIF($C$4:$C$65536,B256)+COUNTIF($C$1:$C$2,B256)&gt;1,NOT(ISBLANK(B256)))</formula>
    </cfRule>
  </conditionalFormatting>
  <conditionalFormatting sqref="B257:B259">
    <cfRule type="expression" dxfId="3823" priority="382" stopIfTrue="1">
      <formula>AND(COUNTIF($C$134:$F$142,B257)+COUNTIF($C$144:$F$65536,B257)+COUNTIF($C$8:$F$9,B257)+COUNTIF($C$11:$F$26,B257)+COUNTIF($C$28:$F$132,B257)+COUNTIF($C$4:$F$4,B257)+COUNTIF($C$1:$F$2,B257)&gt;1,NOT(ISBLANK(B257)))</formula>
    </cfRule>
    <cfRule type="expression" dxfId="3822" priority="383" stopIfTrue="1">
      <formula>AND(COUNTIF($C$4:$C$65536,B257)+COUNTIF($C$1:$C$2,B257)&gt;1,NOT(ISBLANK(B257)))</formula>
    </cfRule>
  </conditionalFormatting>
  <conditionalFormatting sqref="B261">
    <cfRule type="expression" dxfId="3821" priority="380" stopIfTrue="1">
      <formula>AND(COUNTIF($C$134:$F$142,B261)+COUNTIF($C$144:$F$65536,B261)+COUNTIF($C$8:$F$9,B261)+COUNTIF($C$11:$F$26,B261)+COUNTIF($C$28:$F$132,B261)+COUNTIF($C$4:$F$4,B261)+COUNTIF($C$1:$F$2,B261)&gt;1,NOT(ISBLANK(B261)))</formula>
    </cfRule>
    <cfRule type="expression" dxfId="3820" priority="381" stopIfTrue="1">
      <formula>AND(COUNTIF($C$4:$C$65536,B261)+COUNTIF($C$1:$C$2,B261)&gt;1,NOT(ISBLANK(B261)))</formula>
    </cfRule>
  </conditionalFormatting>
  <conditionalFormatting sqref="B265">
    <cfRule type="expression" dxfId="3819" priority="378" stopIfTrue="1">
      <formula>AND(COUNTIF($C$134:$F$142,B265)+COUNTIF($C$144:$F$65536,B265)+COUNTIF($C$8:$F$9,B265)+COUNTIF($C$11:$F$26,B265)+COUNTIF($C$28:$F$132,B265)+COUNTIF($C$4:$F$4,B265)+COUNTIF($C$1:$F$2,B265)&gt;1,NOT(ISBLANK(B265)))</formula>
    </cfRule>
    <cfRule type="expression" dxfId="3818" priority="379" stopIfTrue="1">
      <formula>AND(COUNTIF($C$4:$C$65536,B265)+COUNTIF($C$1:$C$2,B265)&gt;1,NOT(ISBLANK(B265)))</formula>
    </cfRule>
  </conditionalFormatting>
  <conditionalFormatting sqref="B267:B268">
    <cfRule type="expression" dxfId="3817" priority="376" stopIfTrue="1">
      <formula>AND(COUNTIF($C$134:$F$142,B267)+COUNTIF($C$144:$F$65536,B267)+COUNTIF($C$8:$F$9,B267)+COUNTIF($C$11:$F$26,B267)+COUNTIF($C$28:$F$132,B267)+COUNTIF($C$4:$F$4,B267)+COUNTIF($C$1:$F$2,B267)&gt;1,NOT(ISBLANK(B267)))</formula>
    </cfRule>
    <cfRule type="expression" dxfId="3816" priority="377" stopIfTrue="1">
      <formula>AND(COUNTIF($C$4:$C$65536,B267)+COUNTIF($C$1:$C$2,B267)&gt;1,NOT(ISBLANK(B267)))</formula>
    </cfRule>
  </conditionalFormatting>
  <conditionalFormatting sqref="B270">
    <cfRule type="expression" dxfId="3815" priority="375" stopIfTrue="1">
      <formula>AND(COUNTIF($C$4:$C$65536,B270)+COUNTIF($C$1:$C$2,B270)&gt;1,NOT(ISBLANK(B270)))</formula>
    </cfRule>
    <cfRule type="expression" dxfId="3814" priority="374" stopIfTrue="1">
      <formula>AND(COUNTIF($C$134:$F$142,B270)+COUNTIF($C$144:$F$65536,B270)+COUNTIF($C$8:$F$9,B270)+COUNTIF($C$11:$F$26,B270)+COUNTIF($C$28:$F$132,B270)+COUNTIF($C$4:$F$4,B270)+COUNTIF($C$1:$F$2,B270)&gt;1,NOT(ISBLANK(B270)))</formula>
    </cfRule>
  </conditionalFormatting>
  <conditionalFormatting sqref="B275:B276">
    <cfRule type="expression" dxfId="3813" priority="373" stopIfTrue="1">
      <formula>AND(COUNTIF($C$4:$C$65536,B275)+COUNTIF($C$1:$C$2,B275)&gt;1,NOT(ISBLANK(B275)))</formula>
    </cfRule>
    <cfRule type="expression" dxfId="3812" priority="372" stopIfTrue="1">
      <formula>AND(COUNTIF($C$134:$F$142,B275)+COUNTIF($C$144:$F$65536,B275)+COUNTIF($C$8:$F$9,B275)+COUNTIF($C$11:$F$26,B275)+COUNTIF($C$28:$F$132,B275)+COUNTIF($C$4:$F$4,B275)+COUNTIF($C$1:$F$2,B275)&gt;1,NOT(ISBLANK(B275)))</formula>
    </cfRule>
  </conditionalFormatting>
  <conditionalFormatting sqref="B278:B280">
    <cfRule type="expression" dxfId="3811" priority="371" stopIfTrue="1">
      <formula>AND(COUNTIF($C$4:$C$65536,B278)+COUNTIF($C$1:$C$2,B278)&gt;1,NOT(ISBLANK(B278)))</formula>
    </cfRule>
    <cfRule type="expression" dxfId="3810" priority="370" stopIfTrue="1">
      <formula>AND(COUNTIF($C$134:$F$142,B278)+COUNTIF($C$144:$F$65536,B278)+COUNTIF($C$8:$F$9,B278)+COUNTIF($C$11:$F$26,B278)+COUNTIF($C$28:$F$132,B278)+COUNTIF($C$4:$F$4,B278)+COUNTIF($C$1:$F$2,B278)&gt;1,NOT(ISBLANK(B278)))</formula>
    </cfRule>
  </conditionalFormatting>
  <conditionalFormatting sqref="B285:B286">
    <cfRule type="expression" dxfId="3809" priority="369" stopIfTrue="1">
      <formula>AND(COUNTIF($C$4:$C$65536,B285)+COUNTIF($C$1:$C$2,B285)&gt;1,NOT(ISBLANK(B285)))</formula>
    </cfRule>
    <cfRule type="expression" dxfId="3808" priority="368" stopIfTrue="1">
      <formula>AND(COUNTIF($C$134:$F$142,B285)+COUNTIF($C$144:$F$65536,B285)+COUNTIF($C$8:$F$9,B285)+COUNTIF($C$11:$F$26,B285)+COUNTIF($C$28:$F$132,B285)+COUNTIF($C$4:$F$4,B285)+COUNTIF($C$1:$F$2,B285)&gt;1,NOT(ISBLANK(B285)))</formula>
    </cfRule>
  </conditionalFormatting>
  <conditionalFormatting sqref="B290:B291">
    <cfRule type="expression" dxfId="3807" priority="366" stopIfTrue="1">
      <formula>AND(COUNTIF($C$134:$F$142,B290)+COUNTIF($C$144:$F$65536,B290)+COUNTIF($C$8:$F$9,B290)+COUNTIF($C$11:$F$26,B290)+COUNTIF($C$28:$F$132,B290)+COUNTIF($C$4:$F$4,B290)+COUNTIF($C$1:$F$2,B290)&gt;1,NOT(ISBLANK(B290)))</formula>
    </cfRule>
    <cfRule type="expression" dxfId="3806" priority="367" stopIfTrue="1">
      <formula>AND(COUNTIF($C$4:$C$65536,B290)+COUNTIF($C$1:$C$2,B290)&gt;1,NOT(ISBLANK(B290)))</formula>
    </cfRule>
  </conditionalFormatting>
  <conditionalFormatting sqref="B295">
    <cfRule type="expression" dxfId="3805" priority="365" stopIfTrue="1">
      <formula>AND(COUNTIF($C$4:$C$65536,B295)+COUNTIF($C$1:$C$2,B295)&gt;1,NOT(ISBLANK(B295)))</formula>
    </cfRule>
    <cfRule type="expression" dxfId="3804" priority="364" stopIfTrue="1">
      <formula>AND(COUNTIF($C$134:$F$142,B295)+COUNTIF($C$144:$F$65536,B295)+COUNTIF($C$8:$F$9,B295)+COUNTIF($C$11:$F$26,B295)+COUNTIF($C$28:$F$132,B295)+COUNTIF($C$4:$F$4,B295)+COUNTIF($C$1:$F$2,B295)&gt;1,NOT(ISBLANK(B295)))</formula>
    </cfRule>
  </conditionalFormatting>
  <conditionalFormatting sqref="B297">
    <cfRule type="expression" dxfId="3803" priority="362" stopIfTrue="1">
      <formula>AND(COUNTIF($C$134:$F$142,B297)+COUNTIF($C$144:$F$65536,B297)+COUNTIF($C$8:$F$9,B297)+COUNTIF($C$11:$F$26,B297)+COUNTIF($C$28:$F$132,B297)+COUNTIF($C$4:$F$4,B297)+COUNTIF($C$1:$F$2,B297)&gt;1,NOT(ISBLANK(B297)))</formula>
    </cfRule>
    <cfRule type="expression" dxfId="3802" priority="363" stopIfTrue="1">
      <formula>AND(COUNTIF($C$4:$C$65536,B297)+COUNTIF($C$1:$C$2,B297)&gt;1,NOT(ISBLANK(B297)))</formula>
    </cfRule>
  </conditionalFormatting>
  <conditionalFormatting sqref="B299:B301">
    <cfRule type="expression" dxfId="3801" priority="360" stopIfTrue="1">
      <formula>AND(COUNTIF($C$134:$F$142,B299)+COUNTIF($C$144:$F$65536,B299)+COUNTIF($C$8:$F$9,B299)+COUNTIF($C$11:$F$26,B299)+COUNTIF($C$28:$F$132,B299)+COUNTIF($C$4:$F$4,B299)+COUNTIF($C$1:$F$2,B299)&gt;1,NOT(ISBLANK(B299)))</formula>
    </cfRule>
    <cfRule type="expression" dxfId="3800" priority="361" stopIfTrue="1">
      <formula>AND(COUNTIF($C$4:$C$65536,B299)+COUNTIF($C$1:$C$2,B299)&gt;1,NOT(ISBLANK(B299)))</formula>
    </cfRule>
  </conditionalFormatting>
  <conditionalFormatting sqref="B303">
    <cfRule type="expression" dxfId="3799" priority="358" stopIfTrue="1">
      <formula>AND(COUNTIF($C$134:$F$142,B303)+COUNTIF($C$144:$F$65536,B303)+COUNTIF($C$8:$F$9,B303)+COUNTIF($C$11:$F$26,B303)+COUNTIF($C$28:$F$132,B303)+COUNTIF($C$4:$F$4,B303)+COUNTIF($C$1:$F$2,B303)&gt;1,NOT(ISBLANK(B303)))</formula>
    </cfRule>
    <cfRule type="expression" dxfId="3798" priority="359" stopIfTrue="1">
      <formula>AND(COUNTIF($C$4:$C$65536,B303)+COUNTIF($C$1:$C$2,B303)&gt;1,NOT(ISBLANK(B303)))</formula>
    </cfRule>
  </conditionalFormatting>
  <conditionalFormatting sqref="B305:B306">
    <cfRule type="expression" dxfId="3797" priority="357" stopIfTrue="1">
      <formula>AND(COUNTIF($C$4:$C$65536,B305)+COUNTIF($C$1:$C$2,B305)&gt;1,NOT(ISBLANK(B305)))</formula>
    </cfRule>
    <cfRule type="expression" dxfId="3796" priority="356" stopIfTrue="1">
      <formula>AND(COUNTIF($C$134:$F$142,B305)+COUNTIF($C$144:$F$65536,B305)+COUNTIF($C$8:$F$9,B305)+COUNTIF($C$11:$F$26,B305)+COUNTIF($C$28:$F$132,B305)+COUNTIF($C$4:$F$4,B305)+COUNTIF($C$1:$F$2,B305)&gt;1,NOT(ISBLANK(B305)))</formula>
    </cfRule>
  </conditionalFormatting>
  <conditionalFormatting sqref="B309">
    <cfRule type="expression" dxfId="3795" priority="355" stopIfTrue="1">
      <formula>AND(COUNTIF($C$4:$C$65536,B309)+COUNTIF($C$1:$C$2,B309)&gt;1,NOT(ISBLANK(B309)))</formula>
    </cfRule>
    <cfRule type="expression" dxfId="3794" priority="354" stopIfTrue="1">
      <formula>AND(COUNTIF($C$134:$F$142,B309)+COUNTIF($C$144:$F$65536,B309)+COUNTIF($C$8:$F$9,B309)+COUNTIF($C$11:$F$26,B309)+COUNTIF($C$28:$F$132,B309)+COUNTIF($C$4:$F$4,B309)+COUNTIF($C$1:$F$2,B309)&gt;1,NOT(ISBLANK(B309)))</formula>
    </cfRule>
  </conditionalFormatting>
  <conditionalFormatting sqref="B311">
    <cfRule type="expression" dxfId="3793" priority="353" stopIfTrue="1">
      <formula>AND(COUNTIF($C$4:$C$65536,B311)+COUNTIF($C$1:$C$2,B311)&gt;1,NOT(ISBLANK(B311)))</formula>
    </cfRule>
    <cfRule type="expression" dxfId="3792" priority="352" stopIfTrue="1">
      <formula>AND(COUNTIF($C$134:$F$142,B311)+COUNTIF($C$144:$F$65536,B311)+COUNTIF($C$8:$F$9,B311)+COUNTIF($C$11:$F$26,B311)+COUNTIF($C$28:$F$132,B311)+COUNTIF($C$4:$F$4,B311)+COUNTIF($C$1:$F$2,B311)&gt;1,NOT(ISBLANK(B311)))</formula>
    </cfRule>
  </conditionalFormatting>
  <conditionalFormatting sqref="B313:B314">
    <cfRule type="expression" dxfId="3791" priority="351" stopIfTrue="1">
      <formula>AND(COUNTIF($C$4:$C$65536,B313)+COUNTIF($C$1:$C$2,B313)&gt;1,NOT(ISBLANK(B313)))</formula>
    </cfRule>
    <cfRule type="expression" dxfId="3790" priority="350" stopIfTrue="1">
      <formula>AND(COUNTIF($C$134:$F$142,B313)+COUNTIF($C$144:$F$65536,B313)+COUNTIF($C$8:$F$9,B313)+COUNTIF($C$11:$F$26,B313)+COUNTIF($C$28:$F$132,B313)+COUNTIF($C$4:$F$4,B313)+COUNTIF($C$1:$F$2,B313)&gt;1,NOT(ISBLANK(B313)))</formula>
    </cfRule>
  </conditionalFormatting>
  <conditionalFormatting sqref="B319:B321">
    <cfRule type="expression" dxfId="3789" priority="349" stopIfTrue="1">
      <formula>AND(COUNTIF($C$4:$C$65536,B319)+COUNTIF($C$1:$C$2,B319)&gt;1,NOT(ISBLANK(B319)))</formula>
    </cfRule>
    <cfRule type="expression" dxfId="3788" priority="348" stopIfTrue="1">
      <formula>AND(COUNTIF($C$134:$F$142,B319)+COUNTIF($C$144:$F$65536,B319)+COUNTIF($C$8:$F$9,B319)+COUNTIF($C$11:$F$26,B319)+COUNTIF($C$28:$F$132,B319)+COUNTIF($C$4:$F$4,B319)+COUNTIF($C$1:$F$2,B319)&gt;1,NOT(ISBLANK(B319)))</formula>
    </cfRule>
  </conditionalFormatting>
  <conditionalFormatting sqref="B323:B325">
    <cfRule type="expression" dxfId="3787" priority="347" stopIfTrue="1">
      <formula>AND(COUNTIF($C$4:$C$65536,B323)+COUNTIF($C$1:$C$2,B323)&gt;1,NOT(ISBLANK(B323)))</formula>
    </cfRule>
    <cfRule type="expression" dxfId="3786" priority="346" stopIfTrue="1">
      <formula>AND(COUNTIF($C$134:$F$142,B323)+COUNTIF($C$144:$F$65536,B323)+COUNTIF($C$8:$F$9,B323)+COUNTIF($C$11:$F$26,B323)+COUNTIF($C$28:$F$132,B323)+COUNTIF($C$4:$F$4,B323)+COUNTIF($C$1:$F$2,B323)&gt;1,NOT(ISBLANK(B323)))</formula>
    </cfRule>
  </conditionalFormatting>
  <conditionalFormatting sqref="B328:B329">
    <cfRule type="expression" dxfId="3785" priority="344" stopIfTrue="1">
      <formula>AND(COUNTIF($C$134:$F$142,B328)+COUNTIF($C$144:$F$65536,B328)+COUNTIF($C$8:$F$9,B328)+COUNTIF($C$11:$F$26,B328)+COUNTIF($C$28:$F$132,B328)+COUNTIF($C$4:$F$4,B328)+COUNTIF($C$1:$F$2,B328)&gt;1,NOT(ISBLANK(B328)))</formula>
    </cfRule>
    <cfRule type="expression" dxfId="3784" priority="345" stopIfTrue="1">
      <formula>AND(COUNTIF($C$4:$C$65536,B328)+COUNTIF($C$1:$C$2,B328)&gt;1,NOT(ISBLANK(B328)))</formula>
    </cfRule>
  </conditionalFormatting>
  <conditionalFormatting sqref="B331">
    <cfRule type="expression" dxfId="3783" priority="343" stopIfTrue="1">
      <formula>AND(COUNTIF($C$4:$C$65536,B331)+COUNTIF($C$1:$C$2,B331)&gt;1,NOT(ISBLANK(B331)))</formula>
    </cfRule>
    <cfRule type="expression" dxfId="3782" priority="342" stopIfTrue="1">
      <formula>AND(COUNTIF($C$134:$F$142,B331)+COUNTIF($C$144:$F$65536,B331)+COUNTIF($C$8:$F$9,B331)+COUNTIF($C$11:$F$26,B331)+COUNTIF($C$28:$F$132,B331)+COUNTIF($C$4:$F$4,B331)+COUNTIF($C$1:$F$2,B331)&gt;1,NOT(ISBLANK(B331)))</formula>
    </cfRule>
  </conditionalFormatting>
  <conditionalFormatting sqref="B333:B334">
    <cfRule type="expression" dxfId="3781" priority="341" stopIfTrue="1">
      <formula>AND(COUNTIF($C$4:$C$65536,B333)+COUNTIF($C$1:$C$2,B333)&gt;1,NOT(ISBLANK(B333)))</formula>
    </cfRule>
    <cfRule type="expression" dxfId="3780" priority="340" stopIfTrue="1">
      <formula>AND(COUNTIF($C$134:$F$142,B333)+COUNTIF($C$144:$F$65536,B333)+COUNTIF($C$8:$F$9,B333)+COUNTIF($C$11:$F$26,B333)+COUNTIF($C$28:$F$132,B333)+COUNTIF($C$4:$F$4,B333)+COUNTIF($C$1:$F$2,B333)&gt;1,NOT(ISBLANK(B333)))</formula>
    </cfRule>
  </conditionalFormatting>
  <conditionalFormatting sqref="B339">
    <cfRule type="expression" dxfId="3779" priority="339" stopIfTrue="1">
      <formula>AND(COUNTIF($C$4:$C$65536,B339)+COUNTIF($C$1:$C$2,B339)&gt;1,NOT(ISBLANK(B339)))</formula>
    </cfRule>
    <cfRule type="expression" dxfId="3778" priority="338" stopIfTrue="1">
      <formula>AND(COUNTIF($C$134:$F$142,B339)+COUNTIF($C$144:$F$65536,B339)+COUNTIF($C$8:$F$9,B339)+COUNTIF($C$11:$F$26,B339)+COUNTIF($C$28:$F$132,B339)+COUNTIF($C$4:$F$4,B339)+COUNTIF($C$1:$F$2,B339)&gt;1,NOT(ISBLANK(B339)))</formula>
    </cfRule>
  </conditionalFormatting>
  <conditionalFormatting sqref="B341">
    <cfRule type="expression" dxfId="3777" priority="337" stopIfTrue="1">
      <formula>AND(COUNTIF($C$4:$C$65536,B341)+COUNTIF($C$1:$C$2,B341)&gt;1,NOT(ISBLANK(B341)))</formula>
    </cfRule>
    <cfRule type="expression" dxfId="3776" priority="336" stopIfTrue="1">
      <formula>AND(COUNTIF($C$134:$F$142,B341)+COUNTIF($C$144:$F$65536,B341)+COUNTIF($C$8:$F$9,B341)+COUNTIF($C$11:$F$26,B341)+COUNTIF($C$28:$F$132,B341)+COUNTIF($C$4:$F$4,B341)+COUNTIF($C$1:$F$2,B341)&gt;1,NOT(ISBLANK(B341)))</formula>
    </cfRule>
  </conditionalFormatting>
  <conditionalFormatting sqref="B344:B345">
    <cfRule type="expression" dxfId="3775" priority="335" stopIfTrue="1">
      <formula>AND(COUNTIF($C$4:$C$65536,B344)+COUNTIF($C$1:$C$2,B344)&gt;1,NOT(ISBLANK(B344)))</formula>
    </cfRule>
    <cfRule type="expression" dxfId="3774" priority="334" stopIfTrue="1">
      <formula>AND(COUNTIF($C$134:$F$142,B344)+COUNTIF($C$144:$F$65536,B344)+COUNTIF($C$8:$F$9,B344)+COUNTIF($C$11:$F$26,B344)+COUNTIF($C$28:$F$132,B344)+COUNTIF($C$4:$F$4,B344)+COUNTIF($C$1:$F$2,B344)&gt;1,NOT(ISBLANK(B344)))</formula>
    </cfRule>
  </conditionalFormatting>
  <conditionalFormatting sqref="B348:B349">
    <cfRule type="expression" dxfId="3773" priority="333" stopIfTrue="1">
      <formula>AND(COUNTIF($C$4:$C$65536,B348)+COUNTIF($C$1:$C$2,B348)&gt;1,NOT(ISBLANK(B348)))</formula>
    </cfRule>
    <cfRule type="expression" dxfId="3772" priority="332" stopIfTrue="1">
      <formula>AND(COUNTIF($C$134:$F$142,B348)+COUNTIF($C$144:$F$65536,B348)+COUNTIF($C$8:$F$9,B348)+COUNTIF($C$11:$F$26,B348)+COUNTIF($C$28:$F$132,B348)+COUNTIF($C$4:$F$4,B348)+COUNTIF($C$1:$F$2,B348)&gt;1,NOT(ISBLANK(B348)))</formula>
    </cfRule>
  </conditionalFormatting>
  <conditionalFormatting sqref="B351">
    <cfRule type="expression" dxfId="3771" priority="331" stopIfTrue="1">
      <formula>AND(COUNTIF($C$4:$C$65536,B351)+COUNTIF($C$1:$C$2,B351)&gt;1,NOT(ISBLANK(B351)))</formula>
    </cfRule>
    <cfRule type="expression" dxfId="3770" priority="330" stopIfTrue="1">
      <formula>AND(COUNTIF($C$134:$F$142,B351)+COUNTIF($C$144:$F$65536,B351)+COUNTIF($C$8:$F$9,B351)+COUNTIF($C$11:$F$26,B351)+COUNTIF($C$28:$F$132,B351)+COUNTIF($C$4:$F$4,B351)+COUNTIF($C$1:$F$2,B351)&gt;1,NOT(ISBLANK(B351)))</formula>
    </cfRule>
  </conditionalFormatting>
  <conditionalFormatting sqref="B353">
    <cfRule type="expression" dxfId="3769" priority="328" stopIfTrue="1">
      <formula>AND(COUNTIF($C$134:$F$142,B353)+COUNTIF($C$144:$F$65536,B353)+COUNTIF($C$8:$F$9,B353)+COUNTIF($C$11:$F$26,B353)+COUNTIF($C$28:$F$132,B353)+COUNTIF($C$4:$F$4,B353)+COUNTIF($C$1:$F$2,B353)&gt;1,NOT(ISBLANK(B353)))</formula>
    </cfRule>
    <cfRule type="expression" dxfId="3768" priority="329" stopIfTrue="1">
      <formula>AND(COUNTIF($C$4:$C$65536,B353)+COUNTIF($C$1:$C$2,B353)&gt;1,NOT(ISBLANK(B353)))</formula>
    </cfRule>
  </conditionalFormatting>
  <conditionalFormatting sqref="B356">
    <cfRule type="expression" dxfId="3767" priority="326" stopIfTrue="1">
      <formula>AND(COUNTIF($C$134:$F$142,B356)+COUNTIF($C$144:$F$65536,B356)+COUNTIF($C$8:$F$9,B356)+COUNTIF($C$11:$F$26,B356)+COUNTIF($C$28:$F$132,B356)+COUNTIF($C$4:$F$4,B356)+COUNTIF($C$1:$F$2,B356)&gt;1,NOT(ISBLANK(B356)))</formula>
    </cfRule>
    <cfRule type="expression" dxfId="3766" priority="327" stopIfTrue="1">
      <formula>AND(COUNTIF($C$4:$C$65536,B356)+COUNTIF($C$1:$C$2,B356)&gt;1,NOT(ISBLANK(B356)))</formula>
    </cfRule>
  </conditionalFormatting>
  <conditionalFormatting sqref="B361:B363">
    <cfRule type="expression" dxfId="3765" priority="324" stopIfTrue="1">
      <formula>AND(COUNTIF($C$134:$F$142,B361)+COUNTIF($C$144:$F$65536,B361)+COUNTIF($C$8:$F$9,B361)+COUNTIF($C$11:$F$26,B361)+COUNTIF($C$28:$F$132,B361)+COUNTIF($C$4:$F$4,B361)+COUNTIF($C$1:$F$2,B361)&gt;1,NOT(ISBLANK(B361)))</formula>
    </cfRule>
    <cfRule type="expression" dxfId="3764" priority="325" stopIfTrue="1">
      <formula>AND(COUNTIF($C$4:$C$65536,B361)+COUNTIF($C$1:$C$2,B361)&gt;1,NOT(ISBLANK(B361)))</formula>
    </cfRule>
  </conditionalFormatting>
  <conditionalFormatting sqref="B366:B367">
    <cfRule type="expression" dxfId="3763" priority="322" stopIfTrue="1">
      <formula>AND(COUNTIF($C$134:$F$142,B366)+COUNTIF($C$144:$F$65536,B366)+COUNTIF($C$8:$F$9,B366)+COUNTIF($C$11:$F$26,B366)+COUNTIF($C$28:$F$132,B366)+COUNTIF($C$4:$F$4,B366)+COUNTIF($C$1:$F$2,B366)&gt;1,NOT(ISBLANK(B366)))</formula>
    </cfRule>
    <cfRule type="expression" dxfId="3762" priority="323" stopIfTrue="1">
      <formula>AND(COUNTIF($C$4:$C$65536,B366)+COUNTIF($C$1:$C$2,B366)&gt;1,NOT(ISBLANK(B366)))</formula>
    </cfRule>
  </conditionalFormatting>
  <conditionalFormatting sqref="B369:B371">
    <cfRule type="expression" dxfId="3761" priority="320" stopIfTrue="1">
      <formula>AND(COUNTIF($C$134:$F$142,B369)+COUNTIF($C$144:$F$65536,B369)+COUNTIF($C$8:$F$9,B369)+COUNTIF($C$11:$F$26,B369)+COUNTIF($C$28:$F$132,B369)+COUNTIF($C$4:$F$4,B369)+COUNTIF($C$1:$F$2,B369)&gt;1,NOT(ISBLANK(B369)))</formula>
    </cfRule>
    <cfRule type="expression" dxfId="3760" priority="321" stopIfTrue="1">
      <formula>AND(COUNTIF($C$4:$C$65536,B369)+COUNTIF($C$1:$C$2,B369)&gt;1,NOT(ISBLANK(B369)))</formula>
    </cfRule>
  </conditionalFormatting>
  <conditionalFormatting sqref="B373:B374">
    <cfRule type="expression" dxfId="3759" priority="318" stopIfTrue="1">
      <formula>AND(COUNTIF($C$134:$F$142,B373)+COUNTIF($C$144:$F$65536,B373)+COUNTIF($C$8:$F$9,B373)+COUNTIF($C$11:$F$26,B373)+COUNTIF($C$28:$F$132,B373)+COUNTIF($C$4:$F$4,B373)+COUNTIF($C$1:$F$2,B373)&gt;1,NOT(ISBLANK(B373)))</formula>
    </cfRule>
    <cfRule type="expression" dxfId="3758" priority="319" stopIfTrue="1">
      <formula>AND(COUNTIF($C$4:$C$65536,B373)+COUNTIF($C$1:$C$2,B373)&gt;1,NOT(ISBLANK(B373)))</formula>
    </cfRule>
  </conditionalFormatting>
  <conditionalFormatting sqref="B376:B377">
    <cfRule type="expression" dxfId="3757" priority="317" stopIfTrue="1">
      <formula>AND(COUNTIF($C$4:$C$65536,B376)+COUNTIF($C$1:$C$2,B376)&gt;1,NOT(ISBLANK(B376)))</formula>
    </cfRule>
    <cfRule type="expression" dxfId="3756" priority="316" stopIfTrue="1">
      <formula>AND(COUNTIF($C$134:$F$142,B376)+COUNTIF($C$144:$F$65536,B376)+COUNTIF($C$8:$F$9,B376)+COUNTIF($C$11:$F$26,B376)+COUNTIF($C$28:$F$132,B376)+COUNTIF($C$4:$F$4,B376)+COUNTIF($C$1:$F$2,B376)&gt;1,NOT(ISBLANK(B376)))</formula>
    </cfRule>
  </conditionalFormatting>
  <conditionalFormatting sqref="B379:B383">
    <cfRule type="expression" dxfId="3755" priority="315" stopIfTrue="1">
      <formula>AND(COUNTIF($C$4:$C$65536,B379)+COUNTIF($C$1:$C$2,B379)&gt;1,NOT(ISBLANK(B379)))</formula>
    </cfRule>
    <cfRule type="expression" dxfId="3754" priority="314" stopIfTrue="1">
      <formula>AND(COUNTIF($C$134:$F$142,B379)+COUNTIF($C$144:$F$65536,B379)+COUNTIF($C$8:$F$9,B379)+COUNTIF($C$11:$F$26,B379)+COUNTIF($C$28:$F$132,B379)+COUNTIF($C$4:$F$4,B379)+COUNTIF($C$1:$F$2,B379)&gt;1,NOT(ISBLANK(B379)))</formula>
    </cfRule>
  </conditionalFormatting>
  <conditionalFormatting sqref="B385">
    <cfRule type="expression" dxfId="3753" priority="313" stopIfTrue="1">
      <formula>AND(COUNTIF($C$4:$C$65536,B385)+COUNTIF($C$1:$C$2,B385)&gt;1,NOT(ISBLANK(B385)))</formula>
    </cfRule>
    <cfRule type="expression" dxfId="3752" priority="312" stopIfTrue="1">
      <formula>AND(COUNTIF($C$134:$F$142,B385)+COUNTIF($C$144:$F$65536,B385)+COUNTIF($C$8:$F$9,B385)+COUNTIF($C$11:$F$26,B385)+COUNTIF($C$28:$F$132,B385)+COUNTIF($C$4:$F$4,B385)+COUNTIF($C$1:$F$2,B385)&gt;1,NOT(ISBLANK(B385)))</formula>
    </cfRule>
  </conditionalFormatting>
  <conditionalFormatting sqref="B387">
    <cfRule type="expression" dxfId="3751" priority="310" stopIfTrue="1">
      <formula>AND(COUNTIF($C$134:$F$142,B387)+COUNTIF($C$144:$F$65536,B387)+COUNTIF($C$8:$F$9,B387)+COUNTIF($C$11:$F$26,B387)+COUNTIF($C$28:$F$132,B387)+COUNTIF($C$4:$F$4,B387)+COUNTIF($C$1:$F$2,B387)&gt;1,NOT(ISBLANK(B387)))</formula>
    </cfRule>
    <cfRule type="expression" dxfId="3750" priority="311" stopIfTrue="1">
      <formula>AND(COUNTIF($C$4:$C$65536,B387)+COUNTIF($C$1:$C$2,B387)&gt;1,NOT(ISBLANK(B387)))</formula>
    </cfRule>
  </conditionalFormatting>
  <conditionalFormatting sqref="B391:B392">
    <cfRule type="expression" dxfId="3749" priority="308" stopIfTrue="1">
      <formula>AND(COUNTIF($C$134:$F$142,B391)+COUNTIF($C$144:$F$65536,B391)+COUNTIF($C$8:$F$9,B391)+COUNTIF($C$11:$F$26,B391)+COUNTIF($C$28:$F$132,B391)+COUNTIF($C$4:$F$4,B391)+COUNTIF($C$1:$F$2,B391)&gt;1,NOT(ISBLANK(B391)))</formula>
    </cfRule>
    <cfRule type="expression" dxfId="3748" priority="309" stopIfTrue="1">
      <formula>AND(COUNTIF($C$4:$C$65536,B391)+COUNTIF($C$1:$C$2,B391)&gt;1,NOT(ISBLANK(B391)))</formula>
    </cfRule>
  </conditionalFormatting>
  <conditionalFormatting sqref="B394:B395">
    <cfRule type="expression" dxfId="3747" priority="307" stopIfTrue="1">
      <formula>AND(COUNTIF($C$4:$C$65536,B394)+COUNTIF($C$1:$C$2,B394)&gt;1,NOT(ISBLANK(B394)))</formula>
    </cfRule>
    <cfRule type="expression" dxfId="3746" priority="306" stopIfTrue="1">
      <formula>AND(COUNTIF($C$134:$F$142,B394)+COUNTIF($C$144:$F$65536,B394)+COUNTIF($C$8:$F$9,B394)+COUNTIF($C$11:$F$26,B394)+COUNTIF($C$28:$F$132,B394)+COUNTIF($C$4:$F$4,B394)+COUNTIF($C$1:$F$2,B394)&gt;1,NOT(ISBLANK(B394)))</formula>
    </cfRule>
  </conditionalFormatting>
  <conditionalFormatting sqref="B397">
    <cfRule type="expression" dxfId="3745" priority="304" stopIfTrue="1">
      <formula>AND(COUNTIF($C$134:$F$142,B397)+COUNTIF($C$144:$F$65536,B397)+COUNTIF($C$8:$F$9,B397)+COUNTIF($C$11:$F$26,B397)+COUNTIF($C$28:$F$132,B397)+COUNTIF($C$4:$F$4,B397)+COUNTIF($C$1:$F$2,B397)&gt;1,NOT(ISBLANK(B397)))</formula>
    </cfRule>
    <cfRule type="expression" dxfId="3744" priority="305" stopIfTrue="1">
      <formula>AND(COUNTIF($C$4:$C$65536,B397)+COUNTIF($C$1:$C$2,B397)&gt;1,NOT(ISBLANK(B397)))</formula>
    </cfRule>
  </conditionalFormatting>
  <conditionalFormatting sqref="B399">
    <cfRule type="expression" dxfId="3743" priority="302" stopIfTrue="1">
      <formula>AND(COUNTIF($C$134:$F$142,B399)+COUNTIF($C$144:$F$65536,B399)+COUNTIF($C$8:$F$9,B399)+COUNTIF($C$11:$F$26,B399)+COUNTIF($C$28:$F$132,B399)+COUNTIF($C$4:$F$4,B399)+COUNTIF($C$1:$F$2,B399)&gt;1,NOT(ISBLANK(B399)))</formula>
    </cfRule>
    <cfRule type="expression" dxfId="3742" priority="303" stopIfTrue="1">
      <formula>AND(COUNTIF($C$4:$C$65536,B399)+COUNTIF($C$1:$C$2,B399)&gt;1,NOT(ISBLANK(B399)))</formula>
    </cfRule>
  </conditionalFormatting>
  <conditionalFormatting sqref="B403">
    <cfRule type="expression" dxfId="3741" priority="300" stopIfTrue="1">
      <formula>AND(COUNTIF($C$134:$F$142,B403)+COUNTIF($C$144:$F$65536,B403)+COUNTIF($C$8:$F$9,B403)+COUNTIF($C$11:$F$26,B403)+COUNTIF($C$28:$F$132,B403)+COUNTIF($C$4:$F$4,B403)+COUNTIF($C$1:$F$2,B403)&gt;1,NOT(ISBLANK(B403)))</formula>
    </cfRule>
    <cfRule type="expression" dxfId="3740" priority="301" stopIfTrue="1">
      <formula>AND(COUNTIF($C$4:$C$65536,B403)+COUNTIF($C$1:$C$2,B403)&gt;1,NOT(ISBLANK(B403)))</formula>
    </cfRule>
  </conditionalFormatting>
  <conditionalFormatting sqref="B405">
    <cfRule type="expression" dxfId="3739" priority="299" stopIfTrue="1">
      <formula>AND(COUNTIF($C$4:$C$65536,B405)+COUNTIF($C$1:$C$2,B405)&gt;1,NOT(ISBLANK(B405)))</formula>
    </cfRule>
    <cfRule type="expression" dxfId="3738" priority="298" stopIfTrue="1">
      <formula>AND(COUNTIF($C$134:$F$142,B405)+COUNTIF($C$144:$F$65536,B405)+COUNTIF($C$8:$F$9,B405)+COUNTIF($C$11:$F$26,B405)+COUNTIF($C$28:$F$132,B405)+COUNTIF($C$4:$F$4,B405)+COUNTIF($C$1:$F$2,B405)&gt;1,NOT(ISBLANK(B405)))</formula>
    </cfRule>
  </conditionalFormatting>
  <conditionalFormatting sqref="B407">
    <cfRule type="expression" dxfId="3737" priority="297" stopIfTrue="1">
      <formula>AND(COUNTIF($C$4:$C$65536,B407)+COUNTIF($C$1:$C$2,B407)&gt;1,NOT(ISBLANK(B407)))</formula>
    </cfRule>
    <cfRule type="expression" dxfId="3736" priority="296" stopIfTrue="1">
      <formula>AND(COUNTIF($C$134:$F$142,B407)+COUNTIF($C$144:$F$65536,B407)+COUNTIF($C$8:$F$9,B407)+COUNTIF($C$11:$F$26,B407)+COUNTIF($C$28:$F$132,B407)+COUNTIF($C$4:$F$4,B407)+COUNTIF($C$1:$F$2,B407)&gt;1,NOT(ISBLANK(B407)))</formula>
    </cfRule>
  </conditionalFormatting>
  <conditionalFormatting sqref="B409">
    <cfRule type="expression" dxfId="3735" priority="295" stopIfTrue="1">
      <formula>AND(COUNTIF($C$4:$C$65536,B409)+COUNTIF($C$1:$C$2,B409)&gt;1,NOT(ISBLANK(B409)))</formula>
    </cfRule>
    <cfRule type="expression" dxfId="3734" priority="294" stopIfTrue="1">
      <formula>AND(COUNTIF($C$134:$F$142,B409)+COUNTIF($C$144:$F$65536,B409)+COUNTIF($C$8:$F$9,B409)+COUNTIF($C$11:$F$26,B409)+COUNTIF($C$28:$F$132,B409)+COUNTIF($C$4:$F$4,B409)+COUNTIF($C$1:$F$2,B409)&gt;1,NOT(ISBLANK(B409)))</formula>
    </cfRule>
  </conditionalFormatting>
  <conditionalFormatting sqref="B412">
    <cfRule type="expression" dxfId="3733" priority="293" stopIfTrue="1">
      <formula>AND(COUNTIF($C$4:$C$65536,B412)+COUNTIF($C$1:$C$2,B412)&gt;1,NOT(ISBLANK(B412)))</formula>
    </cfRule>
    <cfRule type="expression" dxfId="3732" priority="292" stopIfTrue="1">
      <formula>AND(COUNTIF($C$134:$F$142,B412)+COUNTIF($C$144:$F$65536,B412)+COUNTIF($C$8:$F$9,B412)+COUNTIF($C$11:$F$26,B412)+COUNTIF($C$28:$F$132,B412)+COUNTIF($C$4:$F$4,B412)+COUNTIF($C$1:$F$2,B412)&gt;1,NOT(ISBLANK(B412)))</formula>
    </cfRule>
  </conditionalFormatting>
  <conditionalFormatting sqref="B414">
    <cfRule type="expression" dxfId="3731" priority="290" stopIfTrue="1">
      <formula>AND(COUNTIF($C$134:$F$142,B414)+COUNTIF($C$144:$F$65536,B414)+COUNTIF($C$8:$F$9,B414)+COUNTIF($C$11:$F$26,B414)+COUNTIF($C$28:$F$132,B414)+COUNTIF($C$4:$F$4,B414)+COUNTIF($C$1:$F$2,B414)&gt;1,NOT(ISBLANK(B414)))</formula>
    </cfRule>
    <cfRule type="expression" dxfId="3730" priority="291" stopIfTrue="1">
      <formula>AND(COUNTIF($C$4:$C$65536,B414)+COUNTIF($C$1:$C$2,B414)&gt;1,NOT(ISBLANK(B414)))</formula>
    </cfRule>
  </conditionalFormatting>
  <conditionalFormatting sqref="B416:B419">
    <cfRule type="expression" dxfId="3729" priority="288" stopIfTrue="1">
      <formula>AND(COUNTIF($C$134:$F$142,B416)+COUNTIF($C$144:$F$65536,B416)+COUNTIF($C$8:$F$9,B416)+COUNTIF($C$11:$F$26,B416)+COUNTIF($C$28:$F$132,B416)+COUNTIF($C$4:$F$4,B416)+COUNTIF($C$1:$F$2,B416)&gt;1,NOT(ISBLANK(B416)))</formula>
    </cfRule>
    <cfRule type="expression" dxfId="3728" priority="289" stopIfTrue="1">
      <formula>AND(COUNTIF($C$4:$C$65536,B416)+COUNTIF($C$1:$C$2,B416)&gt;1,NOT(ISBLANK(B416)))</formula>
    </cfRule>
  </conditionalFormatting>
  <conditionalFormatting sqref="B421">
    <cfRule type="expression" dxfId="3727" priority="286" stopIfTrue="1">
      <formula>AND(COUNTIF($C$134:$F$142,B421)+COUNTIF($C$144:$F$65536,B421)+COUNTIF($C$8:$F$9,B421)+COUNTIF($C$11:$F$26,B421)+COUNTIF($C$28:$F$132,B421)+COUNTIF($C$4:$F$4,B421)+COUNTIF($C$1:$F$2,B421)&gt;1,NOT(ISBLANK(B421)))</formula>
    </cfRule>
    <cfRule type="expression" dxfId="3726" priority="287" stopIfTrue="1">
      <formula>AND(COUNTIF($C$4:$C$65536,B421)+COUNTIF($C$1:$C$2,B421)&gt;1,NOT(ISBLANK(B421)))</formula>
    </cfRule>
  </conditionalFormatting>
  <conditionalFormatting sqref="B423">
    <cfRule type="expression" dxfId="3725" priority="285" stopIfTrue="1">
      <formula>AND(COUNTIF($C$4:$C$65536,B423)+COUNTIF($C$1:$C$2,B423)&gt;1,NOT(ISBLANK(B423)))</formula>
    </cfRule>
  </conditionalFormatting>
  <conditionalFormatting sqref="B423:B424">
    <cfRule type="expression" dxfId="3724" priority="284" stopIfTrue="1">
      <formula>AND(COUNTIF($C$134:$F$142,B423)+COUNTIF($C$144:$F$65536,B423)+COUNTIF($C$8:$F$9,B423)+COUNTIF($C$11:$F$26,B423)+COUNTIF($C$28:$F$132,B423)+COUNTIF($C$4:$F$4,B423)+COUNTIF($C$1:$F$2,B423)&gt;1,NOT(ISBLANK(B423)))</formula>
    </cfRule>
  </conditionalFormatting>
  <conditionalFormatting sqref="B424">
    <cfRule type="expression" dxfId="3723" priority="678" stopIfTrue="1">
      <formula>AND(COUNTIF($C$4:$C$65536,B424)+COUNTIF($C$1:$C$2,B424)&gt;1,NOT(ISBLANK(B424)))</formula>
    </cfRule>
  </conditionalFormatting>
  <conditionalFormatting sqref="B426">
    <cfRule type="expression" dxfId="3722" priority="283" stopIfTrue="1">
      <formula>AND(COUNTIF($C$4:$C$65536,B426)+COUNTIF($C$1:$C$2,B426)&gt;1,NOT(ISBLANK(B426)))</formula>
    </cfRule>
    <cfRule type="expression" dxfId="3721" priority="282" stopIfTrue="1">
      <formula>AND(COUNTIF($C$134:$F$142,B426)+COUNTIF($C$144:$F$65536,B426)+COUNTIF($C$8:$F$9,B426)+COUNTIF($C$11:$F$26,B426)+COUNTIF($C$28:$F$132,B426)+COUNTIF($C$4:$F$4,B426)+COUNTIF($C$1:$F$2,B426)&gt;1,NOT(ISBLANK(B426)))</formula>
    </cfRule>
  </conditionalFormatting>
  <conditionalFormatting sqref="B428:B429">
    <cfRule type="expression" dxfId="3720" priority="281" stopIfTrue="1">
      <formula>AND(COUNTIF($C$4:$C$65536,B428)+COUNTIF($C$1:$C$2,B428)&gt;1,NOT(ISBLANK(B428)))</formula>
    </cfRule>
    <cfRule type="expression" dxfId="3719" priority="280" stopIfTrue="1">
      <formula>AND(COUNTIF($C$134:$F$142,B428)+COUNTIF($C$144:$F$65536,B428)+COUNTIF($C$8:$F$9,B428)+COUNTIF($C$11:$F$26,B428)+COUNTIF($C$28:$F$132,B428)+COUNTIF($C$4:$F$4,B428)+COUNTIF($C$1:$F$2,B428)&gt;1,NOT(ISBLANK(B428)))</formula>
    </cfRule>
  </conditionalFormatting>
  <conditionalFormatting sqref="B431">
    <cfRule type="expression" dxfId="3718" priority="278" stopIfTrue="1">
      <formula>AND(COUNTIF($C$134:$F$142,B431)+COUNTIF($C$144:$F$65536,B431)+COUNTIF($C$8:$F$9,B431)+COUNTIF($C$11:$F$26,B431)+COUNTIF($C$28:$F$132,B431)+COUNTIF($C$4:$F$4,B431)+COUNTIF($C$1:$F$2,B431)&gt;1,NOT(ISBLANK(B431)))</formula>
    </cfRule>
    <cfRule type="expression" dxfId="3717" priority="279" stopIfTrue="1">
      <formula>AND(COUNTIF($C$4:$C$65536,B431)+COUNTIF($C$1:$C$2,B431)&gt;1,NOT(ISBLANK(B431)))</formula>
    </cfRule>
  </conditionalFormatting>
  <conditionalFormatting sqref="B433">
    <cfRule type="expression" dxfId="3716" priority="277" stopIfTrue="1">
      <formula>AND(COUNTIF($C$4:$C$65536,B433)+COUNTIF($C$1:$C$2,B433)&gt;1,NOT(ISBLANK(B433)))</formula>
    </cfRule>
    <cfRule type="expression" dxfId="3715" priority="276" stopIfTrue="1">
      <formula>AND(COUNTIF($C$134:$F$142,B433)+COUNTIF($C$144:$F$65536,B433)+COUNTIF($C$8:$F$9,B433)+COUNTIF($C$11:$F$26,B433)+COUNTIF($C$28:$F$132,B433)+COUNTIF($C$4:$F$4,B433)+COUNTIF($C$1:$F$2,B433)&gt;1,NOT(ISBLANK(B433)))</formula>
    </cfRule>
  </conditionalFormatting>
  <conditionalFormatting sqref="B435">
    <cfRule type="expression" dxfId="3714" priority="275" stopIfTrue="1">
      <formula>AND(COUNTIF($C$4:$C$65536,B435)+COUNTIF($C$1:$C$2,B435)&gt;1,NOT(ISBLANK(B435)))</formula>
    </cfRule>
    <cfRule type="expression" dxfId="3713" priority="274" stopIfTrue="1">
      <formula>AND(COUNTIF($C$134:$F$142,B435)+COUNTIF($C$144:$F$65536,B435)+COUNTIF($C$8:$F$9,B435)+COUNTIF($C$11:$F$26,B435)+COUNTIF($C$28:$F$132,B435)+COUNTIF($C$4:$F$4,B435)+COUNTIF($C$1:$F$2,B435)&gt;1,NOT(ISBLANK(B435)))</formula>
    </cfRule>
  </conditionalFormatting>
  <conditionalFormatting sqref="B438">
    <cfRule type="expression" dxfId="3712" priority="273" stopIfTrue="1">
      <formula>AND(COUNTIF($C$4:$C$65536,B438)+COUNTIF($C$1:$C$2,B438)&gt;1,NOT(ISBLANK(B438)))</formula>
    </cfRule>
    <cfRule type="expression" dxfId="3711" priority="272" stopIfTrue="1">
      <formula>AND(COUNTIF($C$134:$F$142,B438)+COUNTIF($C$144:$F$65536,B438)+COUNTIF($C$8:$F$9,B438)+COUNTIF($C$11:$F$26,B438)+COUNTIF($C$28:$F$132,B438)+COUNTIF($C$4:$F$4,B438)+COUNTIF($C$1:$F$2,B438)&gt;1,NOT(ISBLANK(B438)))</formula>
    </cfRule>
  </conditionalFormatting>
  <conditionalFormatting sqref="B441">
    <cfRule type="expression" dxfId="3710" priority="271" stopIfTrue="1">
      <formula>AND(COUNTIF($C$4:$C$65536,B441)+COUNTIF($C$1:$C$2,B441)&gt;1,NOT(ISBLANK(B441)))</formula>
    </cfRule>
    <cfRule type="expression" dxfId="3709" priority="270" stopIfTrue="1">
      <formula>AND(COUNTIF($C$134:$F$142,B441)+COUNTIF($C$144:$F$65536,B441)+COUNTIF($C$8:$F$9,B441)+COUNTIF($C$11:$F$26,B441)+COUNTIF($C$28:$F$132,B441)+COUNTIF($C$4:$F$4,B441)+COUNTIF($C$1:$F$2,B441)&gt;1,NOT(ISBLANK(B441)))</formula>
    </cfRule>
  </conditionalFormatting>
  <conditionalFormatting sqref="B444">
    <cfRule type="expression" dxfId="3708" priority="269" stopIfTrue="1">
      <formula>AND(COUNTIF($C$4:$C$65536,B444)+COUNTIF($C$1:$C$2,B444)&gt;1,NOT(ISBLANK(B444)))</formula>
    </cfRule>
    <cfRule type="expression" dxfId="3707" priority="268" stopIfTrue="1">
      <formula>AND(COUNTIF($C$134:$F$142,B444)+COUNTIF($C$144:$F$65536,B444)+COUNTIF($C$8:$F$9,B444)+COUNTIF($C$11:$F$26,B444)+COUNTIF($C$28:$F$132,B444)+COUNTIF($C$4:$F$4,B444)+COUNTIF($C$1:$F$2,B444)&gt;1,NOT(ISBLANK(B444)))</formula>
    </cfRule>
  </conditionalFormatting>
  <conditionalFormatting sqref="B446">
    <cfRule type="expression" dxfId="3706" priority="267" stopIfTrue="1">
      <formula>AND(COUNTIF($C$4:$C$65536,B446)+COUNTIF($C$1:$C$2,B446)&gt;1,NOT(ISBLANK(B446)))</formula>
    </cfRule>
    <cfRule type="expression" dxfId="3705" priority="266" stopIfTrue="1">
      <formula>AND(COUNTIF($C$134:$F$142,B446)+COUNTIF($C$144:$F$65536,B446)+COUNTIF($C$8:$F$9,B446)+COUNTIF($C$11:$F$26,B446)+COUNTIF($C$28:$F$132,B446)+COUNTIF($C$4:$F$4,B446)+COUNTIF($C$1:$F$2,B446)&gt;1,NOT(ISBLANK(B446)))</formula>
    </cfRule>
  </conditionalFormatting>
  <conditionalFormatting sqref="B448">
    <cfRule type="expression" dxfId="3704" priority="265" stopIfTrue="1">
      <formula>AND(COUNTIF($C$4:$C$65536,B448)+COUNTIF($C$1:$C$2,B448)&gt;1,NOT(ISBLANK(B448)))</formula>
    </cfRule>
    <cfRule type="expression" dxfId="3703" priority="264" stopIfTrue="1">
      <formula>AND(COUNTIF($C$134:$F$142,B448)+COUNTIF($C$144:$F$65536,B448)+COUNTIF($C$8:$F$9,B448)+COUNTIF($C$11:$F$26,B448)+COUNTIF($C$28:$F$132,B448)+COUNTIF($C$4:$F$4,B448)+COUNTIF($C$1:$F$2,B448)&gt;1,NOT(ISBLANK(B448)))</formula>
    </cfRule>
  </conditionalFormatting>
  <conditionalFormatting sqref="B452">
    <cfRule type="expression" dxfId="3702" priority="263" stopIfTrue="1">
      <formula>AND(COUNTIF($C$4:$C$65536,B452)+COUNTIF($C$1:$C$2,B452)&gt;1,NOT(ISBLANK(B452)))</formula>
    </cfRule>
    <cfRule type="expression" dxfId="3701" priority="262" stopIfTrue="1">
      <formula>AND(COUNTIF($C$134:$F$142,B452)+COUNTIF($C$144:$F$65536,B452)+COUNTIF($C$8:$F$9,B452)+COUNTIF($C$11:$F$26,B452)+COUNTIF($C$28:$F$132,B452)+COUNTIF($C$4:$F$4,B452)+COUNTIF($C$1:$F$2,B452)&gt;1,NOT(ISBLANK(B452)))</formula>
    </cfRule>
  </conditionalFormatting>
  <conditionalFormatting sqref="B453">
    <cfRule type="expression" dxfId="3700" priority="606" stopIfTrue="1">
      <formula>AND(COUNTIF($B$4:$B$65536,B453)+COUNTIF($B$1:$B$2,B453)&gt;1,NOT(ISBLANK(B453)))</formula>
    </cfRule>
  </conditionalFormatting>
  <conditionalFormatting sqref="B454:B456">
    <cfRule type="expression" dxfId="3699" priority="261" stopIfTrue="1">
      <formula>AND(COUNTIF($C$4:$C$65536,B454)+COUNTIF($C$1:$C$2,B454)&gt;1,NOT(ISBLANK(B454)))</formula>
    </cfRule>
    <cfRule type="expression" dxfId="3698" priority="260" stopIfTrue="1">
      <formula>AND(COUNTIF($C$134:$F$142,B454)+COUNTIF($C$144:$F$65536,B454)+COUNTIF($C$8:$F$9,B454)+COUNTIF($C$11:$F$26,B454)+COUNTIF($C$28:$F$132,B454)+COUNTIF($C$4:$F$4,B454)+COUNTIF($C$1:$F$2,B454)&gt;1,NOT(ISBLANK(B454)))</formula>
    </cfRule>
  </conditionalFormatting>
  <conditionalFormatting sqref="B458">
    <cfRule type="expression" dxfId="3697" priority="259" stopIfTrue="1">
      <formula>AND(COUNTIF($C$4:$C$65536,B458)+COUNTIF($C$1:$C$2,B458)&gt;1,NOT(ISBLANK(B458)))</formula>
    </cfRule>
    <cfRule type="expression" dxfId="3696" priority="258" stopIfTrue="1">
      <formula>AND(COUNTIF($C$134:$F$142,B458)+COUNTIF($C$144:$F$65536,B458)+COUNTIF($C$8:$F$9,B458)+COUNTIF($C$11:$F$26,B458)+COUNTIF($C$28:$F$132,B458)+COUNTIF($C$4:$F$4,B458)+COUNTIF($C$1:$F$2,B458)&gt;1,NOT(ISBLANK(B458)))</formula>
    </cfRule>
  </conditionalFormatting>
  <conditionalFormatting sqref="B460">
    <cfRule type="expression" dxfId="3695" priority="256" stopIfTrue="1">
      <formula>AND(COUNTIF($C$134:$F$142,B460)+COUNTIF($C$144:$F$65536,B460)+COUNTIF($C$8:$F$9,B460)+COUNTIF($C$11:$F$26,B460)+COUNTIF($C$28:$F$132,B460)+COUNTIF($C$4:$F$4,B460)+COUNTIF($C$1:$F$2,B460)&gt;1,NOT(ISBLANK(B460)))</formula>
    </cfRule>
    <cfRule type="expression" dxfId="3694" priority="257" stopIfTrue="1">
      <formula>AND(COUNTIF($C$4:$C$65536,B460)+COUNTIF($C$1:$C$2,B460)&gt;1,NOT(ISBLANK(B460)))</formula>
    </cfRule>
  </conditionalFormatting>
  <conditionalFormatting sqref="B462:B463">
    <cfRule type="expression" dxfId="3693" priority="254" stopIfTrue="1">
      <formula>AND(COUNTIF($C$134:$F$142,B462)+COUNTIF($C$144:$F$65536,B462)+COUNTIF($C$8:$F$9,B462)+COUNTIF($C$11:$F$26,B462)+COUNTIF($C$28:$F$132,B462)+COUNTIF($C$4:$F$4,B462)+COUNTIF($C$1:$F$2,B462)&gt;1,NOT(ISBLANK(B462)))</formula>
    </cfRule>
    <cfRule type="expression" dxfId="3692" priority="255" stopIfTrue="1">
      <formula>AND(COUNTIF($C$4:$C$65536,B462)+COUNTIF($C$1:$C$2,B462)&gt;1,NOT(ISBLANK(B462)))</formula>
    </cfRule>
  </conditionalFormatting>
  <conditionalFormatting sqref="B465">
    <cfRule type="expression" dxfId="3691" priority="253" stopIfTrue="1">
      <formula>AND(COUNTIF($C$4:$C$65536,B465)+COUNTIF($C$1:$C$2,B465)&gt;1,NOT(ISBLANK(B465)))</formula>
    </cfRule>
    <cfRule type="expression" dxfId="3690" priority="252" stopIfTrue="1">
      <formula>AND(COUNTIF($C$134:$F$142,B465)+COUNTIF($C$144:$F$65536,B465)+COUNTIF($C$8:$F$9,B465)+COUNTIF($C$11:$F$26,B465)+COUNTIF($C$28:$F$132,B465)+COUNTIF($C$4:$F$4,B465)+COUNTIF($C$1:$F$2,B465)&gt;1,NOT(ISBLANK(B465)))</formula>
    </cfRule>
  </conditionalFormatting>
  <conditionalFormatting sqref="B468:B470">
    <cfRule type="expression" dxfId="3689" priority="250" stopIfTrue="1">
      <formula>AND(COUNTIF($C$134:$F$142,B468)+COUNTIF($C$144:$F$65536,B468)+COUNTIF($C$8:$F$9,B468)+COUNTIF($C$11:$F$26,B468)+COUNTIF($C$28:$F$132,B468)+COUNTIF($C$4:$F$4,B468)+COUNTIF($C$1:$F$2,B468)&gt;1,NOT(ISBLANK(B468)))</formula>
    </cfRule>
    <cfRule type="expression" dxfId="3688" priority="251" stopIfTrue="1">
      <formula>AND(COUNTIF($C$4:$C$65536,B468)+COUNTIF($C$1:$C$2,B468)&gt;1,NOT(ISBLANK(B468)))</formula>
    </cfRule>
  </conditionalFormatting>
  <conditionalFormatting sqref="B473">
    <cfRule type="expression" dxfId="3687" priority="249" stopIfTrue="1">
      <formula>AND(COUNTIF($C$4:$C$65536,B473)+COUNTIF($C$1:$C$2,B473)&gt;1,NOT(ISBLANK(B473)))</formula>
    </cfRule>
    <cfRule type="expression" dxfId="3686" priority="248" stopIfTrue="1">
      <formula>AND(COUNTIF($C$134:$F$142,B473)+COUNTIF($C$144:$F$65536,B473)+COUNTIF($C$8:$F$9,B473)+COUNTIF($C$11:$F$26,B473)+COUNTIF($C$28:$F$132,B473)+COUNTIF($C$4:$F$4,B473)+COUNTIF($C$1:$F$2,B473)&gt;1,NOT(ISBLANK(B473)))</formula>
    </cfRule>
  </conditionalFormatting>
  <conditionalFormatting sqref="B477:B479">
    <cfRule type="expression" dxfId="3685" priority="246" stopIfTrue="1">
      <formula>AND(COUNTIF($C$134:$F$142,B477)+COUNTIF($C$144:$F$65536,B477)+COUNTIF($C$8:$F$9,B477)+COUNTIF($C$11:$F$26,B477)+COUNTIF($C$28:$F$132,B477)+COUNTIF($C$4:$F$4,B477)+COUNTIF($C$1:$F$2,B477)&gt;1,NOT(ISBLANK(B477)))</formula>
    </cfRule>
    <cfRule type="expression" dxfId="3684" priority="247" stopIfTrue="1">
      <formula>AND(COUNTIF($C$4:$C$65536,B477)+COUNTIF($C$1:$C$2,B477)&gt;1,NOT(ISBLANK(B477)))</formula>
    </cfRule>
  </conditionalFormatting>
  <conditionalFormatting sqref="B483:B484">
    <cfRule type="expression" dxfId="3683" priority="242" stopIfTrue="1">
      <formula>AND(COUNTIF($C$134:$F$142,B483)+COUNTIF($C$144:$F$65536,B483)+COUNTIF($C$8:$F$9,B483)+COUNTIF($C$11:$F$26,B483)+COUNTIF($C$28:$F$132,B483)+COUNTIF($C$4:$F$4,B483)+COUNTIF($C$1:$F$2,B483)&gt;1,NOT(ISBLANK(B483)))</formula>
    </cfRule>
    <cfRule type="expression" dxfId="3682" priority="243" stopIfTrue="1">
      <formula>AND(COUNTIF($C$4:$C$65536,B483)+COUNTIF($C$1:$C$2,B483)&gt;1,NOT(ISBLANK(B483)))</formula>
    </cfRule>
  </conditionalFormatting>
  <conditionalFormatting sqref="B488:B492 D492:F492">
    <cfRule type="expression" dxfId="3681" priority="1975" stopIfTrue="1">
      <formula>AND(COUNTIF($B$8:$F$9,B488)+COUNTIF($B$11:$F$26,B488)+COUNTIF($B$28:$F$65536,B488)+COUNTIF($B$4:$F$4,B488)+COUNTIF($B$1:$F$2,B488)&gt;1,NOT(ISBLANK(B488)))</formula>
    </cfRule>
  </conditionalFormatting>
  <conditionalFormatting sqref="B488:B492">
    <cfRule type="expression" dxfId="3680" priority="1967" stopIfTrue="1">
      <formula>AND(COUNTIF($B$4:$B$65536,B488)+COUNTIF($B$1:$B$2,B488)&gt;1,NOT(ISBLANK(B488)))</formula>
    </cfRule>
  </conditionalFormatting>
  <conditionalFormatting sqref="B493:B517">
    <cfRule type="expression" dxfId="3679" priority="2106" stopIfTrue="1">
      <formula>AND(COUNTIF($B$4:$B$65536,B493)+COUNTIF($B$1:$B$2,B493)&gt;1,NOT(ISBLANK(B493)))</formula>
    </cfRule>
  </conditionalFormatting>
  <conditionalFormatting sqref="B494:B495">
    <cfRule type="expression" dxfId="3678" priority="19" stopIfTrue="1">
      <formula>AND(COUNTIF($C$4:$C$65536,B494)+COUNTIF($C$1:$C$2,B494)&gt;1,NOT(ISBLANK(B494)))</formula>
    </cfRule>
    <cfRule type="expression" dxfId="3677" priority="18" stopIfTrue="1">
      <formula>AND(COUNTIF($C$147:$F$155,B494)+COUNTIF($C$157:$F$65536,B494)+COUNTIF($C$8:$F$9,B494)+COUNTIF($C$11:$F$26,B494)+COUNTIF($C$28:$F$145,B494)+COUNTIF($C$4:$F$4,B494)+COUNTIF($C$1:$F$2,B494)&gt;1,NOT(ISBLANK(B494)))</formula>
    </cfRule>
  </conditionalFormatting>
  <conditionalFormatting sqref="B494:B516 D494:F516">
    <cfRule type="expression" dxfId="3676" priority="2162" stopIfTrue="1">
      <formula>AND(COUNTIF($B$147:$F$155,B494)+COUNTIF($B$157:$F$65536,B494)+COUNTIF($B$8:$F$9,B494)+COUNTIF($B$11:$F$26,B494)+COUNTIF($B$28:$F$145,B494)+COUNTIF($B$4:$F$4,B494)+COUNTIF($B$1:$F$2,B494)&gt;1,NOT(ISBLANK(B494)))</formula>
    </cfRule>
    <cfRule type="expression" dxfId="3675" priority="2165" stopIfTrue="1">
      <formula>AND(COUNTIF($B$8:$F$9,B494)+COUNTIF($B$11:$F$26,B494)+COUNTIF($B$28:$F$65536,B494)+COUNTIF($B$4:$F$4,B494)+COUNTIF($B$1:$F$2,B494)&gt;1,NOT(ISBLANK(B494)))</formula>
    </cfRule>
  </conditionalFormatting>
  <conditionalFormatting sqref="B496 D496:E496">
    <cfRule type="duplicateValues" dxfId="3674" priority="2137" stopIfTrue="1"/>
    <cfRule type="duplicateValues" dxfId="3673" priority="2138" stopIfTrue="1"/>
  </conditionalFormatting>
  <conditionalFormatting sqref="B497 D497:E497">
    <cfRule type="duplicateValues" dxfId="3672" priority="2103" stopIfTrue="1"/>
  </conditionalFormatting>
  <conditionalFormatting sqref="B497 D497:F497">
    <cfRule type="duplicateValues" dxfId="3671" priority="2104" stopIfTrue="1"/>
  </conditionalFormatting>
  <conditionalFormatting sqref="B500 D500:F500">
    <cfRule type="duplicateValues" dxfId="3670" priority="2150" stopIfTrue="1"/>
  </conditionalFormatting>
  <conditionalFormatting sqref="B501:B503 B511 B505:B507 D505:F507 D501:F503 D511:F511 B509 D509:F509">
    <cfRule type="duplicateValues" dxfId="3669" priority="2216" stopIfTrue="1"/>
  </conditionalFormatting>
  <conditionalFormatting sqref="B504 D504:F504">
    <cfRule type="expression" dxfId="3668" priority="2164" stopIfTrue="1">
      <formula>AND(COUNTIF($B$147:$F$155,B504)+COUNTIF($B$157:$F$65536,B504)+COUNTIF($B$8:$F$9,B504)+COUNTIF($B$11:$F$26,B504)+COUNTIF($B$28:$F$145,B504)+COUNTIF($B$4:$F$4,B504)+COUNTIF($B$1:$F$2,B504)&gt;1,NOT(ISBLANK(B504)))</formula>
    </cfRule>
    <cfRule type="duplicateValues" dxfId="3667" priority="2161" stopIfTrue="1"/>
  </conditionalFormatting>
  <conditionalFormatting sqref="B508 D508:F508">
    <cfRule type="duplicateValues" dxfId="3666" priority="2143" stopIfTrue="1"/>
  </conditionalFormatting>
  <conditionalFormatting sqref="B509:B510">
    <cfRule type="expression" dxfId="3665" priority="31" stopIfTrue="1">
      <formula>AND(COUNTIF($C$147:$F$155,B509)+COUNTIF($C$157:$F$65536,B509)+COUNTIF($C$8:$F$9,B509)+COUNTIF($C$11:$F$26,B509)+COUNTIF($C$28:$F$145,B509)+COUNTIF($C$4:$F$4,B509)+COUNTIF($C$1:$F$2,B509)&gt;1,NOT(ISBLANK(B509)))</formula>
    </cfRule>
    <cfRule type="expression" dxfId="3664" priority="32" stopIfTrue="1">
      <formula>AND(COUNTIF($C$4:$C$65536,B509)+COUNTIF($C$1:$C$2,B509)&gt;1,NOT(ISBLANK(B509)))</formula>
    </cfRule>
  </conditionalFormatting>
  <conditionalFormatting sqref="B509:B512 D509:E512">
    <cfRule type="duplicateValues" dxfId="3663" priority="2023" stopIfTrue="1"/>
  </conditionalFormatting>
  <conditionalFormatting sqref="B509:B512 D509:F512">
    <cfRule type="duplicateValues" dxfId="3662" priority="2024" stopIfTrue="1"/>
  </conditionalFormatting>
  <conditionalFormatting sqref="B513:B514 D514:F514 B516 D516:F516">
    <cfRule type="expression" dxfId="3661" priority="2018" stopIfTrue="1">
      <formula>AND(COUNTIF($B$8:$F$9,B513)+COUNTIF($B$11:$F$26,B513)+COUNTIF($B$28:$F$65536,B513)+COUNTIF($B$4:$F$4,B513)+COUNTIF($B$1:$F$2,B513)&gt;1,NOT(ISBLANK(B513)))</formula>
    </cfRule>
    <cfRule type="expression" dxfId="3660" priority="2015" stopIfTrue="1">
      <formula>AND(COUNTIF($B$147:$F$155,B513)+COUNTIF($B$157:$F$65536,B513)+COUNTIF($B$8:$F$9,B513)+COUNTIF($B$11:$F$26,B513)+COUNTIF($B$28:$F$145,B513)+COUNTIF($B$4:$F$4,B513)+COUNTIF($B$1:$F$2,B513)&gt;1,NOT(ISBLANK(B513)))</formula>
    </cfRule>
  </conditionalFormatting>
  <conditionalFormatting sqref="B513:B516 D513:E516">
    <cfRule type="duplicateValues" dxfId="3659" priority="2159" stopIfTrue="1"/>
  </conditionalFormatting>
  <conditionalFormatting sqref="B513:B516 D513:F516">
    <cfRule type="duplicateValues" dxfId="3658" priority="2160" stopIfTrue="1"/>
  </conditionalFormatting>
  <conditionalFormatting sqref="B514">
    <cfRule type="expression" dxfId="3657" priority="2105" stopIfTrue="1">
      <formula>AND(COUNTIF($C$4:$C$65536,B514)+COUNTIF($C$1:$C$2,B514)&gt;1,NOT(ISBLANK(B514)))</formula>
    </cfRule>
  </conditionalFormatting>
  <conditionalFormatting sqref="B516 D516:F516 B514 D514:F514">
    <cfRule type="duplicateValues" dxfId="3656" priority="2014" stopIfTrue="1"/>
  </conditionalFormatting>
  <conditionalFormatting sqref="B207:C207">
    <cfRule type="expression" dxfId="3655" priority="168" stopIfTrue="1">
      <formula>AND(COUNTIF($B$8:$F$9,B207)+COUNTIF($B$11:$F$26,B207)+COUNTIF($B$28:$F$65536,B207)+COUNTIF($B$4:$F$4,B207)+COUNTIF($B$1:$F$2,B207)&gt;1,NOT(ISBLANK(B207)))</formula>
    </cfRule>
    <cfRule type="expression" dxfId="3654" priority="165" stopIfTrue="1">
      <formula>AND(COUNTIF($B$134:$F$142,B207)+COUNTIF($B$144:$F$65536,B207)+COUNTIF($B$8:$F$9,B207)+COUNTIF($B$11:$F$26,B207)+COUNTIF($B$28:$F$132,B207)+COUNTIF($B$4:$F$4,B207)+COUNTIF($B$1:$F$2,B207)&gt;1,NOT(ISBLANK(B207)))</formula>
    </cfRule>
  </conditionalFormatting>
  <conditionalFormatting sqref="B256:C256">
    <cfRule type="expression" dxfId="3653" priority="161" stopIfTrue="1">
      <formula>AND(COUNTIF($B$8:$F$9,B256)+COUNTIF($B$11:$F$26,B256)+COUNTIF($B$28:$F$65536,B256)+COUNTIF($B$4:$F$4,B256)+COUNTIF($B$1:$F$2,B256)&gt;1,NOT(ISBLANK(B256)))</formula>
    </cfRule>
    <cfRule type="expression" dxfId="3652" priority="158" stopIfTrue="1">
      <formula>AND(COUNTIF($B$134:$F$142,B256)+COUNTIF($B$144:$F$65536,B256)+COUNTIF($B$8:$F$9,B256)+COUNTIF($B$11:$F$26,B256)+COUNTIF($B$28:$F$132,B256)+COUNTIF($B$4:$F$4,B256)+COUNTIF($B$1:$F$2,B256)&gt;1,NOT(ISBLANK(B256)))</formula>
    </cfRule>
  </conditionalFormatting>
  <conditionalFormatting sqref="B41:D41">
    <cfRule type="duplicateValues" dxfId="3651" priority="1498" stopIfTrue="1"/>
    <cfRule type="duplicateValues" dxfId="3650" priority="1497" stopIfTrue="1"/>
  </conditionalFormatting>
  <conditionalFormatting sqref="B517:D517 F517">
    <cfRule type="expression" dxfId="3649" priority="3788" stopIfTrue="1">
      <formula>AND(COUNTIF($B$147:$F$155,B517)+COUNTIF($B$157:$F$65536,B517)+COUNTIF($B$8:$F$9,B517)+COUNTIF($B$11:$F$26,B517)+COUNTIF($B$28:$F$145,B517)+COUNTIF($B$4:$F$4,B517)+COUNTIF($B$1:$F$2,B517)&gt;1,NOT(ISBLANK(B517)))</formula>
    </cfRule>
  </conditionalFormatting>
  <conditionalFormatting sqref="B22:E22">
    <cfRule type="duplicateValues" dxfId="3648" priority="1500" stopIfTrue="1"/>
    <cfRule type="duplicateValues" dxfId="3647" priority="1499" stopIfTrue="1"/>
  </conditionalFormatting>
  <conditionalFormatting sqref="B57:E57">
    <cfRule type="duplicateValues" dxfId="3646" priority="1488" stopIfTrue="1"/>
    <cfRule type="duplicateValues" dxfId="3645" priority="1489" stopIfTrue="1"/>
  </conditionalFormatting>
  <conditionalFormatting sqref="B87:E87">
    <cfRule type="duplicateValues" dxfId="3644" priority="1493" stopIfTrue="1"/>
  </conditionalFormatting>
  <conditionalFormatting sqref="B174:E174 C175">
    <cfRule type="duplicateValues" dxfId="3643" priority="1505" stopIfTrue="1"/>
  </conditionalFormatting>
  <conditionalFormatting sqref="B195:E195">
    <cfRule type="duplicateValues" dxfId="3642" priority="1523" stopIfTrue="1"/>
  </conditionalFormatting>
  <conditionalFormatting sqref="B201:E201">
    <cfRule type="duplicateValues" dxfId="3641" priority="1516" stopIfTrue="1"/>
  </conditionalFormatting>
  <conditionalFormatting sqref="B278:E278">
    <cfRule type="duplicateValues" dxfId="3640" priority="1400" stopIfTrue="1"/>
  </conditionalFormatting>
  <conditionalFormatting sqref="B311:E311">
    <cfRule type="duplicateValues" dxfId="3639" priority="1282" stopIfTrue="1"/>
  </conditionalFormatting>
  <conditionalFormatting sqref="B329:E329">
    <cfRule type="duplicateValues" dxfId="3638" priority="1250" stopIfTrue="1"/>
  </conditionalFormatting>
  <conditionalFormatting sqref="B331:E331">
    <cfRule type="duplicateValues" dxfId="3637" priority="1244" stopIfTrue="1"/>
  </conditionalFormatting>
  <conditionalFormatting sqref="B518:E518">
    <cfRule type="duplicateValues" dxfId="3636" priority="12303" stopIfTrue="1"/>
  </conditionalFormatting>
  <conditionalFormatting sqref="B4:F4 B8:F9 B11:F16 B18:F26 B28:F50 B53:F53 B171:F178 B180:F199 B201:F206 B208:F255 B257:F259 B295:F295 B354:F354 B434:F434">
    <cfRule type="expression" dxfId="3635" priority="993" stopIfTrue="1">
      <formula>AND(COUNTIF($B$8:$F$9,B4)+COUNTIF($B$11:$F$26,B4)+COUNTIF($B$28:$F$65536,B4)+COUNTIF($B$4:$F$4,B4)+COUNTIF($B$1:$F$2,B4)&gt;1,NOT(ISBLANK(B4)))</formula>
    </cfRule>
  </conditionalFormatting>
  <conditionalFormatting sqref="B4:F4 C8:F9 C11:F16 C18:F26 C28:F79 C157:F178 C180:F199 C201:F206 C208:F255 C257:F295 C297:F423 C425:F435 C454:F485 D81:F145 C147:F155 C437:F452 D486:F487 E80:F80 C80:C145">
    <cfRule type="expression" dxfId="3634" priority="1918" stopIfTrue="1">
      <formula>AND(COUNTIF($C$134:$F$142,B4)+COUNTIF($C$144:$F$65536,B4)+COUNTIF($C$8:$F$9,B4)+COUNTIF($C$11:$F$26,B4)+COUNTIF($C$28:$F$132,B4)+COUNTIF($C$4:$F$4,B4)+COUNTIF($C$1:$F$2,B4)&gt;1,NOT(ISBLANK(B4)))</formula>
    </cfRule>
  </conditionalFormatting>
  <conditionalFormatting sqref="B8:F9 B53:F53 B4:F4 B11:F16 B18:F26 B28:F50 B171:F178 B180:F199 B201:F206 B208:F255 B257:F259 B295:F295 B354:F354 B434:F434">
    <cfRule type="expression" dxfId="3633" priority="990" stopIfTrue="1">
      <formula>AND(COUNTIF($B$134:$F$142,B4)+COUNTIF($B$144:$F$65536,B4)+COUNTIF($B$8:$F$9,B4)+COUNTIF($B$11:$F$26,B4)+COUNTIF($B$28:$F$132,B4)+COUNTIF($B$4:$F$4,B4)+COUNTIF($B$1:$F$2,B4)&gt;1,NOT(ISBLANK(B4)))</formula>
    </cfRule>
  </conditionalFormatting>
  <conditionalFormatting sqref="B17:F17 B179:F179 B200:F200">
    <cfRule type="expression" dxfId="3632" priority="1914" stopIfTrue="1">
      <formula>AND(COUNTIF($B$8:$F$9,B17)+COUNTIF($B$11:$F$26,B17)+COUNTIF($B$28:$F$65536,B17)+COUNTIF($B$4:$F$4,B17)+COUNTIF($B$1:$F$2,B17)&gt;1,NOT(ISBLANK(B17)))</formula>
    </cfRule>
  </conditionalFormatting>
  <conditionalFormatting sqref="B17:F17 B200:F200 B179:F179">
    <cfRule type="expression" dxfId="3631" priority="1911" stopIfTrue="1">
      <formula>AND(COUNTIF($B$147:$F$155,B17)+COUNTIF($B$157:$F$65536,B17)+COUNTIF($B$8:$F$9,B17)+COUNTIF($B$11:$F$26,B17)+COUNTIF($B$28:$F$145,B17)+COUNTIF($B$4:$F$4,B17)+COUNTIF($B$1:$F$2,B17)&gt;1,NOT(ISBLANK(B17)))</formula>
    </cfRule>
  </conditionalFormatting>
  <conditionalFormatting sqref="B51:F52 B54:F79 B80:C80 E80:F80 B81:F89 B90:C100 D90:F128 B102:C128 B129:F145 B147:F155 B157:F170 B260:F294 B297:F353 B355:F423 B425:F433 B435:F435 B437:F452 B454:F485 D486:F487 B486">
    <cfRule type="expression" dxfId="3630" priority="1919" stopIfTrue="1">
      <formula>AND(COUNTIF($B$134:$F$142,B51)+COUNTIF($B$144:$F$65536,B51)+COUNTIF($B$8:$F$9,B51)+COUNTIF($B$11:$F$26,B51)+COUNTIF($B$28:$F$132,B51)+COUNTIF($B$4:$F$4,B51)+COUNTIF($B$1:$F$2,B51)&gt;1,NOT(ISBLANK(B51)))</formula>
    </cfRule>
  </conditionalFormatting>
  <conditionalFormatting sqref="B87:F87">
    <cfRule type="duplicateValues" dxfId="3629" priority="1495" stopIfTrue="1"/>
  </conditionalFormatting>
  <conditionalFormatting sqref="B146:F146">
    <cfRule type="duplicateValues" dxfId="3628" priority="1385" stopIfTrue="1"/>
    <cfRule type="duplicateValues" dxfId="3627" priority="1394" stopIfTrue="1"/>
    <cfRule type="duplicateValues" dxfId="3626" priority="1376" stopIfTrue="1"/>
    <cfRule type="duplicateValues" dxfId="3625" priority="1381" stopIfTrue="1"/>
    <cfRule type="duplicateValues" dxfId="3624" priority="1382" stopIfTrue="1"/>
  </conditionalFormatting>
  <conditionalFormatting sqref="B156:F156">
    <cfRule type="duplicateValues" dxfId="3623" priority="1374" stopIfTrue="1"/>
    <cfRule type="duplicateValues" dxfId="3622" priority="1362" stopIfTrue="1"/>
    <cfRule type="duplicateValues" dxfId="3621" priority="1361" stopIfTrue="1"/>
    <cfRule type="duplicateValues" dxfId="3620" priority="1365" stopIfTrue="1"/>
    <cfRule type="duplicateValues" dxfId="3619" priority="1356" stopIfTrue="1"/>
  </conditionalFormatting>
  <conditionalFormatting sqref="B174:F174 C175">
    <cfRule type="duplicateValues" dxfId="3618" priority="1507" stopIfTrue="1"/>
  </conditionalFormatting>
  <conditionalFormatting sqref="B195:F195">
    <cfRule type="duplicateValues" dxfId="3617" priority="1525" stopIfTrue="1"/>
  </conditionalFormatting>
  <conditionalFormatting sqref="B201:F201">
    <cfRule type="duplicateValues" dxfId="3616" priority="1518" stopIfTrue="1"/>
  </conditionalFormatting>
  <conditionalFormatting sqref="B268:F268">
    <cfRule type="duplicateValues" dxfId="3615" priority="1409" stopIfTrue="1"/>
  </conditionalFormatting>
  <conditionalFormatting sqref="B278:F278">
    <cfRule type="duplicateValues" dxfId="3614" priority="1402" stopIfTrue="1"/>
  </conditionalFormatting>
  <conditionalFormatting sqref="B280:F280">
    <cfRule type="duplicateValues" dxfId="3613" priority="1421" stopIfTrue="1"/>
  </conditionalFormatting>
  <conditionalFormatting sqref="B284:F284">
    <cfRule type="duplicateValues" dxfId="3612" priority="1414" stopIfTrue="1"/>
  </conditionalFormatting>
  <conditionalFormatting sqref="B296:F296">
    <cfRule type="expression" dxfId="3611" priority="1940" stopIfTrue="1">
      <formula>AND(COUNTIF($B$8:$F$9,B296)+COUNTIF($B$11:$F$26,B296)+COUNTIF($B$28:$F$65536,B296)+COUNTIF($B$4:$F$4,B296)+COUNTIF($B$1:$F$2,B296)&gt;1,NOT(ISBLANK(B296)))</formula>
    </cfRule>
    <cfRule type="expression" dxfId="3610" priority="1937" stopIfTrue="1">
      <formula>AND(COUNTIF($B$310:$F$318,B296)+COUNTIF($B$320:$F$65536,B296)+COUNTIF($B$8:$F$9,B296)+COUNTIF($B$11:$F$26,B296)+COUNTIF($B$28:$F$308,B296)+COUNTIF($B$4:$F$4,B296)+COUNTIF($B$1:$F$2,B296)&gt;1,NOT(ISBLANK(B296)))</formula>
    </cfRule>
  </conditionalFormatting>
  <conditionalFormatting sqref="B297:F353 B355:F423 B425:F433 B435:F435 B437:F452 B454:F485 D486:F487 B51:F52 B54:F79 B81:F89 D90:F128 B129:F170 B260:F294 E80:F80 B80:C80 B90:C100 B102:C128 B486">
    <cfRule type="expression" dxfId="3609" priority="1948" stopIfTrue="1">
      <formula>AND(COUNTIF($B$8:$F$9,B51)+COUNTIF($B$11:$F$26,B51)+COUNTIF($B$28:$F$65536,B51)+COUNTIF($B$4:$F$4,B51)+COUNTIF($B$1:$F$2,B51)&gt;1,NOT(ISBLANK(B51)))</formula>
    </cfRule>
  </conditionalFormatting>
  <conditionalFormatting sqref="B311:F311">
    <cfRule type="duplicateValues" dxfId="3608" priority="1284" stopIfTrue="1"/>
  </conditionalFormatting>
  <conditionalFormatting sqref="B331:F331">
    <cfRule type="duplicateValues" dxfId="3607" priority="1246" stopIfTrue="1"/>
  </conditionalFormatting>
  <conditionalFormatting sqref="B337:F337">
    <cfRule type="duplicateValues" dxfId="3606" priority="1210" stopIfTrue="1"/>
  </conditionalFormatting>
  <conditionalFormatting sqref="B339:F339">
    <cfRule type="duplicateValues" dxfId="3605" priority="1203" stopIfTrue="1"/>
  </conditionalFormatting>
  <conditionalFormatting sqref="B340:F340">
    <cfRule type="duplicateValues" dxfId="3604" priority="1197" stopIfTrue="1"/>
  </conditionalFormatting>
  <conditionalFormatting sqref="B393:F393">
    <cfRule type="duplicateValues" dxfId="3603" priority="1304" stopIfTrue="1"/>
    <cfRule type="duplicateValues" dxfId="3602" priority="1313" stopIfTrue="1"/>
    <cfRule type="duplicateValues" dxfId="3601" priority="1301" stopIfTrue="1"/>
    <cfRule type="duplicateValues" dxfId="3600" priority="1300" stopIfTrue="1"/>
  </conditionalFormatting>
  <conditionalFormatting sqref="B427:F427">
    <cfRule type="duplicateValues" dxfId="3599" priority="1343" stopIfTrue="1"/>
  </conditionalFormatting>
  <conditionalFormatting sqref="B436:F436">
    <cfRule type="expression" dxfId="3598" priority="1545" stopIfTrue="1">
      <formula>AND(COUNTIF($B$147:$F$155,B436)+COUNTIF($B$157:$F$65536,B436)+COUNTIF($B$8:$F$9,B436)+COUNTIF($B$11:$F$26,B436)+COUNTIF($B$28:$F$145,B436)+COUNTIF($B$4:$F$4,B436)+COUNTIF($B$1:$F$2,B436)&gt;1,NOT(ISBLANK(B436)))</formula>
    </cfRule>
    <cfRule type="expression" dxfId="3597" priority="1546" stopIfTrue="1">
      <formula>AND(COUNTIF($B$8:$F$9,B436)+COUNTIF($B$11:$F$26,B436)+COUNTIF($B$28:$F$65536,B436)+COUNTIF($B$4:$F$4,B436)+COUNTIF($B$1:$F$2,B436)&gt;1,NOT(ISBLANK(B436)))</formula>
    </cfRule>
    <cfRule type="expression" dxfId="3596" priority="1543" stopIfTrue="1">
      <formula>AND(COUNTIF($B$147:$F$155,B436)+COUNTIF($B$157:$F$65536,B436)+COUNTIF($B$8:$F$9,B436)+COUNTIF($B$11:$F$26,B436)+COUNTIF($B$28:$F$145,B436)+COUNTIF($B$4:$F$4,B436)+COUNTIF($B$1:$F$2,B436)&gt;1,NOT(ISBLANK(B436)))</formula>
    </cfRule>
    <cfRule type="duplicateValues" dxfId="3595" priority="1542" stopIfTrue="1"/>
  </conditionalFormatting>
  <conditionalFormatting sqref="B443:F452 B454:F484 D486:F486 B486">
    <cfRule type="expression" dxfId="3594" priority="1599" stopIfTrue="1">
      <formula>AND(COUNTIF($B$379:$F$472,B443)+COUNTIF($C$473:$F$474,B443)&gt;1,NOT(ISBLANK(B443)))</formula>
    </cfRule>
  </conditionalFormatting>
  <conditionalFormatting sqref="B1:G1 B2:E2 AG45:AK47 AG98:AK98 X102:AB103 X107:AB109 AG110:AK110 X119:AB119 AG125:AK125 X125:AB126 AG127:AK127 X128:AB130 AI137 AG138:AK138 AG140:AK140 X141:AB141 AG142:AK164 X145:AB145 X149:AB150 X156:AB156 X163:AB167 X170:AB171 AG173:AK191 X192:AB192 AG197:AK217 X204:AB204 X217:AB217 X221:AB221 X225:AB225 X231:AB266 AG238:AK253 AG275:AK276 X279:AB322 AG281:AK299 X361:AB361 AG372:AK373 X372:AB379 AG385:AK386 AG391:AK391 AG393:AK393 AG396:AK396 AG405:AK407 AG411:AK411 X411:AB412 AG413:AK413 X414:AB415 AG417:AK417 AG423:AK424 X427:AB427 AG428:AK429 AG434:AK434 X439:AB439 X450:AB450 AG453:AK453 X454:AB455 X460:AB464 X467:AB467 Z468 X476:AB476 X486:AB487 AG491:AK491 AH518:AK518 B521:G524 B525:E533 B534:G65536">
    <cfRule type="expression" dxfId="3593" priority="52117" stopIfTrue="1">
      <formula>AND(COUNTIF($B$8:$F$9,B1)+COUNTIF($B$11:$F$26,B1)+COUNTIF($B$28:$F$65536,B1)+COUNTIF($B$4:$F$4,B1)+COUNTIF($B$1:$F$2,B1)&gt;1,NOT(ISBLANK(B1)))</formula>
    </cfRule>
  </conditionalFormatting>
  <conditionalFormatting sqref="B1:G1 X102:AB103 X107:AB109 X119:AB119 X125:AB126 X128:AB130 X141:AB141 X145:AB145 X149:AB150 X156:AB156 X163:AB167 X170:AB171 X192:AB192 X204:AB204 X217:AB217 X221:AB221 X225:AB225 X231:AB266 X279:AB295 X297:AB305 X307:AB322 X361:AB361 X372:AB379 X411:AB412 X414:AB415 X427:AB427 X439:AB439 X450:AB450 X454:AB455 X460:AB464 X467:AB467 X476:AB476 X486:AB487 B521:G524 B534:G65536 B2:E2 B525:E533 AG45:AK47 AG98:AK98 AG110:AK110 AG125:AK125 AG127:AK127 AI137 AG138:AK138 AG140:AK140 AG142:AK164 AG173:AK191 AG197:AK217 AG238:AK253 AG275:AK276 AG281:AK299 AG372:AK373 AG385:AK386 AG391:AK391 AG393:AK393 AG396:AK396 AG405:AK407 AG411:AK411 AG413:AK413 AG417:AK417 AG423:AK424 AG428:AK429 AG434:AK434 AG453:AK453 Z468 AG491:AK491 AH518:AK518">
    <cfRule type="expression" dxfId="3592" priority="52114" stopIfTrue="1">
      <formula>AND(COUNTIF($B$297:$F$305,B1)+COUNTIF($B$307:$F$65536,B1)+COUNTIF($B$8:$F$9,B1)+COUNTIF($B$11:$F$26,B1)+COUNTIF($B$28:$F$295,B1)+COUNTIF($B$4:$F$4,B1)+COUNTIF($B$1:$F$2,B1)&gt;1,NOT(ISBLANK(B1)))</formula>
    </cfRule>
  </conditionalFormatting>
  <conditionalFormatting sqref="B518:G518 G517">
    <cfRule type="duplicateValues" dxfId="3591" priority="12304" stopIfTrue="1"/>
    <cfRule type="expression" dxfId="3590" priority="12170" stopIfTrue="1">
      <formula>AND(COUNTIF($B$284:$F$292,B517)+COUNTIF($B$294:$F$65536,B517)+COUNTIF($B$8:$F$9,B517)+COUNTIF($B$11:$F$26,B517)+COUNTIF($B$28:$F$282,B517)+COUNTIF($B$4:$F$4,B517)+COUNTIF($B$1:$F$2,B517)&gt;1,NOT(ISBLANK(B517)))</formula>
    </cfRule>
  </conditionalFormatting>
  <conditionalFormatting sqref="B519:G520">
    <cfRule type="expression" dxfId="3589" priority="15171" stopIfTrue="1">
      <formula>AND(COUNTIF($B$8:$F$9,B519)+COUNTIF($B$11:$F$26,B519)+COUNTIF($B$28:$F$65536,B519)+COUNTIF($B$4:$F$4,B519)+COUNTIF($B$1:$F$2,B519)&gt;1,NOT(ISBLANK(B519)))</formula>
    </cfRule>
    <cfRule type="expression" dxfId="3588" priority="15168" stopIfTrue="1">
      <formula>AND(COUNTIF($B$310:$F$318,B519)+COUNTIF($B$320:$F$65536,B519)+COUNTIF($B$8:$F$9,B519)+COUNTIF($B$11:$F$26,B519)+COUNTIF($B$28:$F$308,B519)+COUNTIF($B$4:$F$4,B519)+COUNTIF($B$1:$F$2,B519)&gt;1,NOT(ISBLANK(B519)))</formula>
    </cfRule>
  </conditionalFormatting>
  <conditionalFormatting sqref="C4:C486">
    <cfRule type="expression" dxfId="3587" priority="1930" stopIfTrue="1">
      <formula>AND(COUNTIF($C$4:$C$65536,C4)+COUNTIF($C$1:$C$2,C4)&gt;1,NOT(ISBLANK(C4)))</formula>
    </cfRule>
  </conditionalFormatting>
  <conditionalFormatting sqref="C4:C493">
    <cfRule type="top10" priority="58" stopIfTrue="1" rank="10"/>
    <cfRule type="colorScale" priority="59">
      <colorScale>
        <cfvo type="min"/>
        <cfvo type="max"/>
        <color rgb="FFFF7128"/>
        <color rgb="FFFFEF9C"/>
      </colorScale>
    </cfRule>
    <cfRule type="duplicateValues" priority="57" stopIfTrue="1"/>
  </conditionalFormatting>
  <conditionalFormatting sqref="C7">
    <cfRule type="expression" dxfId="3586" priority="235" stopIfTrue="1">
      <formula>AND(COUNTIF($B$134:$F$142,C7)+COUNTIF($B$144:$F$65536,C7)+COUNTIF($B$8:$F$9,C7)+COUNTIF($B$11:$F$26,C7)+COUNTIF($B$28:$F$132,C7)+COUNTIF($B$4:$F$4,C7)+COUNTIF($B$1:$F$2,C7)&gt;1,NOT(ISBLANK(C7)))</formula>
    </cfRule>
    <cfRule type="expression" dxfId="3585" priority="241" stopIfTrue="1">
      <formula>AND(COUNTIF($C$134:$F$142,C7)+COUNTIF($C$144:$F$65536,C7)+COUNTIF($C$8:$F$9,C7)+COUNTIF($C$11:$F$26,C7)+COUNTIF($C$28:$F$132,C7)+COUNTIF($C$4:$F$4,C7)+COUNTIF($C$1:$F$2,C7)&gt;1,NOT(ISBLANK(C7)))</formula>
    </cfRule>
    <cfRule type="expression" dxfId="3584" priority="238" stopIfTrue="1">
      <formula>AND(COUNTIF($B$8:$F$9,C7)+COUNTIF($B$11:$F$26,C7)+COUNTIF($B$28:$F$65536,C7)+COUNTIF($B$4:$F$4,C7)+COUNTIF($B$1:$F$2,C7)&gt;1,NOT(ISBLANK(C7)))</formula>
    </cfRule>
  </conditionalFormatting>
  <conditionalFormatting sqref="C8">
    <cfRule type="expression" dxfId="3583" priority="974" stopIfTrue="1">
      <formula>AND(COUNTIF($D$134:$D$142,C8)+COUNTIF($D$144:$D$65536,C8)+COUNTIF($D$1:$D$2,C8)+COUNTIF($D$8:$D$9,C8)+COUNTIF($D$11:$D$26,C8)+COUNTIF($D$28:$D$132,C8)+COUNTIF($D$4:$D$4,C8)&gt;1,NOT(ISBLANK(C8)))</formula>
    </cfRule>
    <cfRule type="duplicateValues" dxfId="3582" priority="975" stopIfTrue="1"/>
    <cfRule type="duplicateValues" dxfId="3581" priority="976" stopIfTrue="1"/>
    <cfRule type="duplicateValues" dxfId="3580" priority="977" stopIfTrue="1"/>
    <cfRule type="duplicateValues" dxfId="3579" priority="983" stopIfTrue="1"/>
    <cfRule type="duplicateValues" dxfId="3578" priority="979" stopIfTrue="1"/>
    <cfRule type="duplicateValues" dxfId="3577" priority="980" stopIfTrue="1"/>
    <cfRule type="duplicateValues" dxfId="3576" priority="981" stopIfTrue="1"/>
    <cfRule type="duplicateValues" dxfId="3575" priority="978" stopIfTrue="1"/>
    <cfRule type="duplicateValues" dxfId="3574" priority="982" stopIfTrue="1"/>
    <cfRule type="expression" dxfId="3573" priority="984" stopIfTrue="1">
      <formula>AND(COUNTIF($D$4:$D$65536,C8)+COUNTIF($D$1:$D$2,C8)&gt;1,NOT(ISBLANK(C8)))</formula>
    </cfRule>
    <cfRule type="expression" dxfId="3572" priority="985" stopIfTrue="1">
      <formula>AND(COUNTIF($D$4:$D$65536,C8)+COUNTIF($D$1:$D$2,C8)&gt;1,NOT(ISBLANK(C8)))</formula>
    </cfRule>
    <cfRule type="expression" dxfId="3571" priority="987" stopIfTrue="1">
      <formula>AND(COUNTIF($D$1:$D$350,C8)+COUNTIF($D$352:$D$372,C8)+COUNTIF($D$374:$D$65536,C8)&gt;1,NOT(ISBLANK(C8)))</formula>
    </cfRule>
    <cfRule type="duplicateValues" dxfId="3570" priority="989" stopIfTrue="1"/>
    <cfRule type="expression" dxfId="3569" priority="968" stopIfTrue="1">
      <formula>AND(COUNTIF($D$8:$F$9,C8)+COUNTIF($D$1:$F$2,C8)+COUNTIF($D$11:$F$26,C8)+COUNTIF($D$28:$F$65536,C8)+COUNTIF($D$4:$F$4,C8)&gt;1,NOT(ISBLANK(C8)))</formula>
    </cfRule>
    <cfRule type="expression" dxfId="3568" priority="971" stopIfTrue="1">
      <formula>AND(COUNTIF($D$8:$D$9,C8)+COUNTIF($D$1:$D$2,C8)+COUNTIF($D$11:$D$26,C8)+COUNTIF($D$28:$D$65536,C8)+COUNTIF($D$4:$D$4,C8)&gt;1,NOT(ISBLANK(C8)))</formula>
    </cfRule>
  </conditionalFormatting>
  <conditionalFormatting sqref="C52 C57:C60">
    <cfRule type="expression" dxfId="3567" priority="232" stopIfTrue="1">
      <formula>AND(COUNTIF($B$8:$F$9,C52)+COUNTIF($B$11:$F$26,C52)+COUNTIF($B$28:$F$65536,C52)+COUNTIF($B$4:$F$4,C52)+COUNTIF($B$1:$F$2,C52)&gt;1,NOT(ISBLANK(C52)))</formula>
    </cfRule>
    <cfRule type="expression" dxfId="3566" priority="229" stopIfTrue="1">
      <formula>AND(COUNTIF($B$134:$F$142,C52)+COUNTIF($B$144:$F$65536,C52)+COUNTIF($B$8:$F$9,C52)+COUNTIF($B$11:$F$26,C52)+COUNTIF($B$28:$F$132,C52)+COUNTIF($B$4:$F$4,C52)+COUNTIF($B$1:$F$2,C52)&gt;1,NOT(ISBLANK(C52)))</formula>
    </cfRule>
  </conditionalFormatting>
  <conditionalFormatting sqref="C63">
    <cfRule type="duplicateValues" dxfId="3565" priority="1487" stopIfTrue="1"/>
  </conditionalFormatting>
  <conditionalFormatting sqref="C64 C66:C67 C69 C71 C74">
    <cfRule type="expression" dxfId="3564" priority="223" stopIfTrue="1">
      <formula>AND(COUNTIF($B$134:$F$142,C64)+COUNTIF($B$144:$F$65536,C64)+COUNTIF($B$8:$F$9,C64)+COUNTIF($B$11:$F$26,C64)+COUNTIF($B$28:$F$132,C64)+COUNTIF($B$4:$F$4,C64)+COUNTIF($B$1:$F$2,C64)&gt;1,NOT(ISBLANK(C64)))</formula>
    </cfRule>
    <cfRule type="expression" dxfId="3563" priority="226" stopIfTrue="1">
      <formula>AND(COUNTIF($B$8:$F$9,C64)+COUNTIF($B$11:$F$26,C64)+COUNTIF($B$28:$F$65536,C64)+COUNTIF($B$4:$F$4,C64)+COUNTIF($B$1:$F$2,C64)&gt;1,NOT(ISBLANK(C64)))</formula>
    </cfRule>
  </conditionalFormatting>
  <conditionalFormatting sqref="C77 C79 C81:C83 C85 C87">
    <cfRule type="expression" dxfId="3562" priority="220" stopIfTrue="1">
      <formula>AND(COUNTIF($B$8:$F$9,C77)+COUNTIF($B$11:$F$26,C77)+COUNTIF($B$28:$F$65536,C77)+COUNTIF($B$4:$F$4,C77)+COUNTIF($B$1:$F$2,C77)&gt;1,NOT(ISBLANK(C77)))</formula>
    </cfRule>
    <cfRule type="expression" dxfId="3561" priority="217" stopIfTrue="1">
      <formula>AND(COUNTIF($B$134:$F$142,C77)+COUNTIF($B$144:$F$65536,C77)+COUNTIF($B$8:$F$9,C77)+COUNTIF($B$11:$F$26,C77)+COUNTIF($B$28:$F$132,C77)+COUNTIF($B$4:$F$4,C77)+COUNTIF($B$1:$F$2,C77)&gt;1,NOT(ISBLANK(C77)))</formula>
    </cfRule>
  </conditionalFormatting>
  <conditionalFormatting sqref="C91:C92 C95 C97 C99 C101">
    <cfRule type="expression" dxfId="3560" priority="211" stopIfTrue="1">
      <formula>AND(COUNTIF($B$134:$F$142,C91)+COUNTIF($B$144:$F$65536,C91)+COUNTIF($B$8:$F$9,C91)+COUNTIF($B$11:$F$26,C91)+COUNTIF($B$28:$F$132,C91)+COUNTIF($B$4:$F$4,C91)+COUNTIF($B$1:$F$2,C91)&gt;1,NOT(ISBLANK(C91)))</formula>
    </cfRule>
    <cfRule type="expression" dxfId="3559" priority="214" stopIfTrue="1">
      <formula>AND(COUNTIF($B$8:$F$9,C91)+COUNTIF($B$11:$F$26,C91)+COUNTIF($B$28:$F$65536,C91)+COUNTIF($B$4:$F$4,C91)+COUNTIF($B$1:$F$2,C91)&gt;1,NOT(ISBLANK(C91)))</formula>
    </cfRule>
  </conditionalFormatting>
  <conditionalFormatting sqref="C105 C107 C109:C110 C113 C115:C116">
    <cfRule type="expression" dxfId="3558" priority="205" stopIfTrue="1">
      <formula>AND(COUNTIF($B$134:$F$142,C105)+COUNTIF($B$144:$F$65536,C105)+COUNTIF($B$8:$F$9,C105)+COUNTIF($B$11:$F$26,C105)+COUNTIF($B$28:$F$132,C105)+COUNTIF($B$4:$F$4,C105)+COUNTIF($B$1:$F$2,C105)&gt;1,NOT(ISBLANK(C105)))</formula>
    </cfRule>
    <cfRule type="expression" dxfId="3557" priority="208" stopIfTrue="1">
      <formula>AND(COUNTIF($B$8:$F$9,C105)+COUNTIF($B$11:$F$26,C105)+COUNTIF($B$28:$F$65536,C105)+COUNTIF($B$4:$F$4,C105)+COUNTIF($B$1:$F$2,C105)&gt;1,NOT(ISBLANK(C105)))</formula>
    </cfRule>
  </conditionalFormatting>
  <conditionalFormatting sqref="C119 C122 C126 C130">
    <cfRule type="expression" dxfId="3556" priority="202" stopIfTrue="1">
      <formula>AND(COUNTIF($B$8:$F$9,C119)+COUNTIF($B$11:$F$26,C119)+COUNTIF($B$28:$F$65536,C119)+COUNTIF($B$4:$F$4,C119)+COUNTIF($B$1:$F$2,C119)&gt;1,NOT(ISBLANK(C119)))</formula>
    </cfRule>
    <cfRule type="expression" dxfId="3555" priority="199" stopIfTrue="1">
      <formula>AND(COUNTIF($B$134:$F$142,C119)+COUNTIF($B$144:$F$65536,C119)+COUNTIF($B$8:$F$9,C119)+COUNTIF($B$11:$F$26,C119)+COUNTIF($B$28:$F$132,C119)+COUNTIF($B$4:$F$4,C119)+COUNTIF($B$1:$F$2,C119)&gt;1,NOT(ISBLANK(C119)))</formula>
    </cfRule>
  </conditionalFormatting>
  <conditionalFormatting sqref="C133 C135 C138 C140:C141 C144:C146">
    <cfRule type="expression" dxfId="3554" priority="196" stopIfTrue="1">
      <formula>AND(COUNTIF($B$8:$F$9,C133)+COUNTIF($B$11:$F$26,C133)+COUNTIF($B$28:$F$65536,C133)+COUNTIF($B$4:$F$4,C133)+COUNTIF($B$1:$F$2,C133)&gt;1,NOT(ISBLANK(C133)))</formula>
    </cfRule>
  </conditionalFormatting>
  <conditionalFormatting sqref="C144:C146 C133 C135 C138 C140:C141">
    <cfRule type="expression" dxfId="3553" priority="193" stopIfTrue="1">
      <formula>AND(COUNTIF($B$134:$F$142,C133)+COUNTIF($B$144:$F$65536,C133)+COUNTIF($B$8:$F$9,C133)+COUNTIF($B$11:$F$26,C133)+COUNTIF($B$28:$F$132,C133)+COUNTIF($B$4:$F$4,C133)+COUNTIF($B$1:$F$2,C133)&gt;1,NOT(ISBLANK(C133)))</formula>
    </cfRule>
  </conditionalFormatting>
  <conditionalFormatting sqref="C146">
    <cfRule type="expression" dxfId="3552" priority="192" stopIfTrue="1">
      <formula>AND(COUNTIF($C$134:$F$142,C146)+COUNTIF($C$144:$F$65536,C146)+COUNTIF($C$8:$F$9,C146)+COUNTIF($C$11:$F$26,C146)+COUNTIF($C$28:$F$132,C146)+COUNTIF($C$4:$F$4,C146)+COUNTIF($C$1:$F$2,C146)&gt;1,NOT(ISBLANK(C146)))</formula>
    </cfRule>
  </conditionalFormatting>
  <conditionalFormatting sqref="C148 C152 C154 C156:C158 C160">
    <cfRule type="expression" dxfId="3551" priority="189" stopIfTrue="1">
      <formula>AND(COUNTIF($B$8:$F$9,C148)+COUNTIF($B$11:$F$26,C148)+COUNTIF($B$28:$F$65536,C148)+COUNTIF($B$4:$F$4,C148)+COUNTIF($B$1:$F$2,C148)&gt;1,NOT(ISBLANK(C148)))</formula>
    </cfRule>
  </conditionalFormatting>
  <conditionalFormatting sqref="C156">
    <cfRule type="expression" dxfId="3550" priority="185" stopIfTrue="1">
      <formula>AND(COUNTIF($C$134:$F$142,C156)+COUNTIF($C$144:$F$65536,C156)+COUNTIF($C$8:$F$9,C156)+COUNTIF($C$11:$F$26,C156)+COUNTIF($C$28:$F$132,C156)+COUNTIF($C$4:$F$4,C156)+COUNTIF($C$1:$F$2,C156)&gt;1,NOT(ISBLANK(C156)))</formula>
    </cfRule>
  </conditionalFormatting>
  <conditionalFormatting sqref="C156:C158 C148 C152 C154 C160">
    <cfRule type="expression" dxfId="3549" priority="186" stopIfTrue="1">
      <formula>AND(COUNTIF($B$134:$F$142,C148)+COUNTIF($B$144:$F$65536,C148)+COUNTIF($B$8:$F$9,C148)+COUNTIF($B$11:$F$26,C148)+COUNTIF($B$28:$F$132,C148)+COUNTIF($B$4:$F$4,C148)+COUNTIF($B$1:$F$2,C148)&gt;1,NOT(ISBLANK(C148)))</formula>
    </cfRule>
  </conditionalFormatting>
  <conditionalFormatting sqref="C164:C165 C167 C169:C170">
    <cfRule type="expression" dxfId="3548" priority="179" stopIfTrue="1">
      <formula>AND(COUNTIF($B$134:$F$142,C164)+COUNTIF($B$144:$F$65536,C164)+COUNTIF($B$8:$F$9,C164)+COUNTIF($B$11:$F$26,C164)+COUNTIF($B$28:$F$132,C164)+COUNTIF($B$4:$F$4,C164)+COUNTIF($B$1:$F$2,C164)&gt;1,NOT(ISBLANK(C164)))</formula>
    </cfRule>
    <cfRule type="expression" dxfId="3547" priority="182" stopIfTrue="1">
      <formula>AND(COUNTIF($B$8:$F$9,C164)+COUNTIF($B$11:$F$26,C164)+COUNTIF($B$28:$F$65536,C164)+COUNTIF($B$4:$F$4,C164)+COUNTIF($B$1:$F$2,C164)&gt;1,NOT(ISBLANK(C164)))</formula>
    </cfRule>
  </conditionalFormatting>
  <conditionalFormatting sqref="C200">
    <cfRule type="expression" dxfId="3546" priority="175" stopIfTrue="1">
      <formula>AND(COUNTIF($B$8:$F$9,C200)+COUNTIF($B$11:$F$26,C200)+COUNTIF($B$28:$F$65536,C200)+COUNTIF($B$4:$F$4,C200)+COUNTIF($B$1:$F$2,C200)&gt;1,NOT(ISBLANK(C200)))</formula>
    </cfRule>
    <cfRule type="expression" dxfId="3545" priority="178" stopIfTrue="1">
      <formula>AND(COUNTIF($C$134:$F$142,C200)+COUNTIF($C$144:$F$65536,C200)+COUNTIF($C$8:$F$9,C200)+COUNTIF($C$11:$F$26,C200)+COUNTIF($C$28:$F$132,C200)+COUNTIF($C$4:$F$4,C200)+COUNTIF($C$1:$F$2,C200)&gt;1,NOT(ISBLANK(C200)))</formula>
    </cfRule>
    <cfRule type="expression" dxfId="3544" priority="172" stopIfTrue="1">
      <formula>AND(COUNTIF($B$134:$F$142,C200)+COUNTIF($B$144:$F$65536,C200)+COUNTIF($B$8:$F$9,C200)+COUNTIF($B$11:$F$26,C200)+COUNTIF($B$28:$F$132,C200)+COUNTIF($B$4:$F$4,C200)+COUNTIF($B$1:$F$2,C200)&gt;1,NOT(ISBLANK(C200)))</formula>
    </cfRule>
  </conditionalFormatting>
  <conditionalFormatting sqref="C207">
    <cfRule type="expression" dxfId="3543" priority="171" stopIfTrue="1">
      <formula>AND(COUNTIF($C$134:$F$142,C207)+COUNTIF($C$144:$F$65536,C207)+COUNTIF($C$8:$F$9,C207)+COUNTIF($C$11:$F$26,C207)+COUNTIF($C$28:$F$132,C207)+COUNTIF($C$4:$F$4,C207)+COUNTIF($C$1:$F$2,C207)&gt;1,NOT(ISBLANK(C207)))</formula>
    </cfRule>
  </conditionalFormatting>
  <conditionalFormatting sqref="C256">
    <cfRule type="expression" dxfId="3542" priority="164" stopIfTrue="1">
      <formula>AND(COUNTIF($C$134:$F$142,C256)+COUNTIF($C$144:$F$65536,C256)+COUNTIF($C$8:$F$9,C256)+COUNTIF($C$11:$F$26,C256)+COUNTIF($C$28:$F$132,C256)+COUNTIF($C$4:$F$4,C256)+COUNTIF($C$1:$F$2,C256)&gt;1,NOT(ISBLANK(C256)))</formula>
    </cfRule>
  </conditionalFormatting>
  <conditionalFormatting sqref="C261 C265 C267:C268 C270">
    <cfRule type="expression" dxfId="3541" priority="152" stopIfTrue="1">
      <formula>AND(COUNTIF($B$134:$F$142,C261)+COUNTIF($B$144:$F$65536,C261)+COUNTIF($B$8:$F$9,C261)+COUNTIF($B$11:$F$26,C261)+COUNTIF($B$28:$F$132,C261)+COUNTIF($B$4:$F$4,C261)+COUNTIF($B$1:$F$2,C261)&gt;1,NOT(ISBLANK(C261)))</formula>
    </cfRule>
    <cfRule type="expression" dxfId="3540" priority="155" stopIfTrue="1">
      <formula>AND(COUNTIF($B$8:$F$9,C261)+COUNTIF($B$11:$F$26,C261)+COUNTIF($B$28:$F$65536,C261)+COUNTIF($B$4:$F$4,C261)+COUNTIF($B$1:$F$2,C261)&gt;1,NOT(ISBLANK(C261)))</formula>
    </cfRule>
  </conditionalFormatting>
  <conditionalFormatting sqref="C275:C276 C278:C280 C285:C286">
    <cfRule type="expression" dxfId="3539" priority="149" stopIfTrue="1">
      <formula>AND(COUNTIF($B$8:$F$9,C275)+COUNTIF($B$11:$F$26,C275)+COUNTIF($B$28:$F$65536,C275)+COUNTIF($B$4:$F$4,C275)+COUNTIF($B$1:$F$2,C275)&gt;1,NOT(ISBLANK(C275)))</formula>
    </cfRule>
    <cfRule type="expression" dxfId="3538" priority="146" stopIfTrue="1">
      <formula>AND(COUNTIF($B$134:$F$142,C275)+COUNTIF($B$144:$F$65536,C275)+COUNTIF($B$8:$F$9,C275)+COUNTIF($B$11:$F$26,C275)+COUNTIF($B$28:$F$132,C275)+COUNTIF($B$4:$F$4,C275)+COUNTIF($B$1:$F$2,C275)&gt;1,NOT(ISBLANK(C275)))</formula>
    </cfRule>
  </conditionalFormatting>
  <conditionalFormatting sqref="C291 C297 C299:C301 C303">
    <cfRule type="expression" dxfId="3537" priority="143" stopIfTrue="1">
      <formula>AND(COUNTIF($B$8:$F$9,C291)+COUNTIF($B$11:$F$26,C291)+COUNTIF($B$28:$F$65536,C291)+COUNTIF($B$4:$F$4,C291)+COUNTIF($B$1:$F$2,C291)&gt;1,NOT(ISBLANK(C291)))</formula>
    </cfRule>
    <cfRule type="expression" dxfId="3536" priority="140" stopIfTrue="1">
      <formula>AND(COUNTIF($B$134:$F$142,C291)+COUNTIF($B$144:$F$65536,C291)+COUNTIF($B$8:$F$9,C291)+COUNTIF($B$11:$F$26,C291)+COUNTIF($B$28:$F$132,C291)+COUNTIF($B$4:$F$4,C291)+COUNTIF($B$1:$F$2,C291)&gt;1,NOT(ISBLANK(C291)))</formula>
    </cfRule>
  </conditionalFormatting>
  <conditionalFormatting sqref="C305:C306 C309 C311 C313:C314">
    <cfRule type="expression" dxfId="3535" priority="137" stopIfTrue="1">
      <formula>AND(COUNTIF($B$8:$F$9,C305)+COUNTIF($B$11:$F$26,C305)+COUNTIF($B$28:$F$65536,C305)+COUNTIF($B$4:$F$4,C305)+COUNTIF($B$1:$F$2,C305)&gt;1,NOT(ISBLANK(C305)))</formula>
    </cfRule>
    <cfRule type="expression" dxfId="3534" priority="134" stopIfTrue="1">
      <formula>AND(COUNTIF($B$134:$F$142,C305)+COUNTIF($B$144:$F$65536,C305)+COUNTIF($B$8:$F$9,C305)+COUNTIF($B$11:$F$26,C305)+COUNTIF($B$28:$F$132,C305)+COUNTIF($B$4:$F$4,C305)+COUNTIF($B$1:$F$2,C305)&gt;1,NOT(ISBLANK(C305)))</formula>
    </cfRule>
  </conditionalFormatting>
  <conditionalFormatting sqref="C319:C321 C323:C325 C328:C329 C331 C333:C334">
    <cfRule type="expression" dxfId="3533" priority="131" stopIfTrue="1">
      <formula>AND(COUNTIF($B$8:$F$9,C319)+COUNTIF($B$11:$F$26,C319)+COUNTIF($B$28:$F$65536,C319)+COUNTIF($B$4:$F$4,C319)+COUNTIF($B$1:$F$2,C319)&gt;1,NOT(ISBLANK(C319)))</formula>
    </cfRule>
    <cfRule type="expression" dxfId="3532" priority="128" stopIfTrue="1">
      <formula>AND(COUNTIF($B$134:$F$142,C319)+COUNTIF($B$144:$F$65536,C319)+COUNTIF($B$8:$F$9,C319)+COUNTIF($B$11:$F$26,C319)+COUNTIF($B$28:$F$132,C319)+COUNTIF($B$4:$F$4,C319)+COUNTIF($B$1:$F$2,C319)&gt;1,NOT(ISBLANK(C319)))</formula>
    </cfRule>
  </conditionalFormatting>
  <conditionalFormatting sqref="C339 C341 C344:C345 C348:C349 C351 C353">
    <cfRule type="expression" dxfId="3531" priority="125" stopIfTrue="1">
      <formula>AND(COUNTIF($B$8:$F$9,C339)+COUNTIF($B$11:$F$26,C339)+COUNTIF($B$28:$F$65536,C339)+COUNTIF($B$4:$F$4,C339)+COUNTIF($B$1:$F$2,C339)&gt;1,NOT(ISBLANK(C339)))</formula>
    </cfRule>
    <cfRule type="expression" dxfId="3530" priority="122" stopIfTrue="1">
      <formula>AND(COUNTIF($B$134:$F$142,C339)+COUNTIF($B$144:$F$65536,C339)+COUNTIF($B$8:$F$9,C339)+COUNTIF($B$11:$F$26,C339)+COUNTIF($B$28:$F$132,C339)+COUNTIF($B$4:$F$4,C339)+COUNTIF($B$1:$F$2,C339)&gt;1,NOT(ISBLANK(C339)))</formula>
    </cfRule>
  </conditionalFormatting>
  <conditionalFormatting sqref="C356 C361:C363 C366:C367">
    <cfRule type="expression" dxfId="3529" priority="116" stopIfTrue="1">
      <formula>AND(COUNTIF($B$134:$F$142,C356)+COUNTIF($B$144:$F$65536,C356)+COUNTIF($B$8:$F$9,C356)+COUNTIF($B$11:$F$26,C356)+COUNTIF($B$28:$F$132,C356)+COUNTIF($B$4:$F$4,C356)+COUNTIF($B$1:$F$2,C356)&gt;1,NOT(ISBLANK(C356)))</formula>
    </cfRule>
    <cfRule type="expression" dxfId="3528" priority="119" stopIfTrue="1">
      <formula>AND(COUNTIF($B$8:$F$9,C356)+COUNTIF($B$11:$F$26,C356)+COUNTIF($B$28:$F$65536,C356)+COUNTIF($B$4:$F$4,C356)+COUNTIF($B$1:$F$2,C356)&gt;1,NOT(ISBLANK(C356)))</formula>
    </cfRule>
  </conditionalFormatting>
  <conditionalFormatting sqref="C359">
    <cfRule type="expression" dxfId="3527" priority="1" stopIfTrue="1">
      <formula>AND(COUNTIF($B$134:$F$142,C359)+COUNTIF($B$144:$F$65536,C359)+COUNTIF($B$8:$F$9,C359)+COUNTIF($B$11:$F$26,C359)+COUNTIF($B$28:$F$132,C359)+COUNTIF($B$4:$F$4,C359)+COUNTIF($B$1:$F$2,C359)&gt;1,NOT(ISBLANK(C359)))</formula>
    </cfRule>
    <cfRule type="expression" dxfId="3526" priority="4" stopIfTrue="1">
      <formula>AND(COUNTIF($B$8:$F$9,C359)+COUNTIF($B$11:$F$26,C359)+COUNTIF($B$28:$F$65536,C359)+COUNTIF($B$4:$F$4,C359)+COUNTIF($B$1:$F$2,C359)&gt;1,NOT(ISBLANK(C359)))</formula>
    </cfRule>
  </conditionalFormatting>
  <conditionalFormatting sqref="C369:C371 C373:C374 C376:C377">
    <cfRule type="expression" dxfId="3525" priority="110" stopIfTrue="1">
      <formula>AND(COUNTIF($B$134:$F$142,C369)+COUNTIF($B$144:$F$65536,C369)+COUNTIF($B$8:$F$9,C369)+COUNTIF($B$11:$F$26,C369)+COUNTIF($B$28:$F$132,C369)+COUNTIF($B$4:$F$4,C369)+COUNTIF($B$1:$F$2,C369)&gt;1,NOT(ISBLANK(C369)))</formula>
    </cfRule>
    <cfRule type="expression" dxfId="3524" priority="113" stopIfTrue="1">
      <formula>AND(COUNTIF($B$8:$F$9,C369)+COUNTIF($B$11:$F$26,C369)+COUNTIF($B$28:$F$65536,C369)+COUNTIF($B$4:$F$4,C369)+COUNTIF($B$1:$F$2,C369)&gt;1,NOT(ISBLANK(C369)))</formula>
    </cfRule>
  </conditionalFormatting>
  <conditionalFormatting sqref="C379:C383 C385 C387 C391:C392">
    <cfRule type="expression" dxfId="3523" priority="107" stopIfTrue="1">
      <formula>AND(COUNTIF($B$8:$F$9,C379)+COUNTIF($B$11:$F$26,C379)+COUNTIF($B$28:$F$65536,C379)+COUNTIF($B$4:$F$4,C379)+COUNTIF($B$1:$F$2,C379)&gt;1,NOT(ISBLANK(C379)))</formula>
    </cfRule>
    <cfRule type="expression" dxfId="3522" priority="104" stopIfTrue="1">
      <formula>AND(COUNTIF($B$134:$F$142,C379)+COUNTIF($B$144:$F$65536,C379)+COUNTIF($B$8:$F$9,C379)+COUNTIF($B$11:$F$26,C379)+COUNTIF($B$28:$F$132,C379)+COUNTIF($B$4:$F$4,C379)+COUNTIF($B$1:$F$2,C379)&gt;1,NOT(ISBLANK(C379)))</formula>
    </cfRule>
  </conditionalFormatting>
  <conditionalFormatting sqref="C394:C395 C397 C399 C403 C405 C407">
    <cfRule type="expression" dxfId="3521" priority="98" stopIfTrue="1">
      <formula>AND(COUNTIF($B$134:$F$142,C394)+COUNTIF($B$144:$F$65536,C394)+COUNTIF($B$8:$F$9,C394)+COUNTIF($B$11:$F$26,C394)+COUNTIF($B$28:$F$132,C394)+COUNTIF($B$4:$F$4,C394)+COUNTIF($B$1:$F$2,C394)&gt;1,NOT(ISBLANK(C394)))</formula>
    </cfRule>
    <cfRule type="expression" dxfId="3520" priority="101" stopIfTrue="1">
      <formula>AND(COUNTIF($B$8:$F$9,C394)+COUNTIF($B$11:$F$26,C394)+COUNTIF($B$28:$F$65536,C394)+COUNTIF($B$4:$F$4,C394)+COUNTIF($B$1:$F$2,C394)&gt;1,NOT(ISBLANK(C394)))</formula>
    </cfRule>
  </conditionalFormatting>
  <conditionalFormatting sqref="C409 C412 C414 C416:C419">
    <cfRule type="expression" dxfId="3519" priority="92" stopIfTrue="1">
      <formula>AND(COUNTIF($B$134:$F$142,C409)+COUNTIF($B$144:$F$65536,C409)+COUNTIF($B$8:$F$9,C409)+COUNTIF($B$11:$F$26,C409)+COUNTIF($B$28:$F$132,C409)+COUNTIF($B$4:$F$4,C409)+COUNTIF($B$1:$F$2,C409)&gt;1,NOT(ISBLANK(C409)))</formula>
    </cfRule>
    <cfRule type="expression" dxfId="3518" priority="95" stopIfTrue="1">
      <formula>AND(COUNTIF($B$8:$F$9,C409)+COUNTIF($B$11:$F$26,C409)+COUNTIF($B$28:$F$65536,C409)+COUNTIF($B$4:$F$4,C409)+COUNTIF($B$1:$F$2,C409)&gt;1,NOT(ISBLANK(C409)))</formula>
    </cfRule>
  </conditionalFormatting>
  <conditionalFormatting sqref="C421 C423:C424 C426 C428:C429 C431">
    <cfRule type="expression" dxfId="3517" priority="89" stopIfTrue="1">
      <formula>AND(COUNTIF($B$8:$F$9,C421)+COUNTIF($B$11:$F$26,C421)+COUNTIF($B$28:$F$65536,C421)+COUNTIF($B$4:$F$4,C421)+COUNTIF($B$1:$F$2,C421)&gt;1,NOT(ISBLANK(C421)))</formula>
    </cfRule>
  </conditionalFormatting>
  <conditionalFormatting sqref="C423:C424 C421 C426 C428:C429 C431">
    <cfRule type="expression" dxfId="3516" priority="86" stopIfTrue="1">
      <formula>AND(COUNTIF($B$134:$F$142,C421)+COUNTIF($B$144:$F$65536,C421)+COUNTIF($B$8:$F$9,C421)+COUNTIF($B$11:$F$26,C421)+COUNTIF($B$28:$F$132,C421)+COUNTIF($B$4:$F$4,C421)+COUNTIF($B$1:$F$2,C421)&gt;1,NOT(ISBLANK(C421)))</formula>
    </cfRule>
  </conditionalFormatting>
  <conditionalFormatting sqref="C424">
    <cfRule type="expression" dxfId="3515" priority="85" stopIfTrue="1">
      <formula>AND(COUNTIF($C$134:$F$142,C424)+COUNTIF($C$144:$F$65536,C424)+COUNTIF($C$8:$F$9,C424)+COUNTIF($C$11:$F$26,C424)+COUNTIF($C$28:$F$132,C424)+COUNTIF($C$4:$F$4,C424)+COUNTIF($C$1:$F$2,C424)&gt;1,NOT(ISBLANK(C424)))</formula>
    </cfRule>
  </conditionalFormatting>
  <conditionalFormatting sqref="C433 C435 C438 C441 C444 C446">
    <cfRule type="expression" dxfId="3514" priority="82" stopIfTrue="1">
      <formula>AND(COUNTIF($B$8:$F$9,C433)+COUNTIF($B$11:$F$26,C433)+COUNTIF($B$28:$F$65536,C433)+COUNTIF($B$4:$F$4,C433)+COUNTIF($B$1:$F$2,C433)&gt;1,NOT(ISBLANK(C433)))</formula>
    </cfRule>
    <cfRule type="expression" dxfId="3513" priority="79" stopIfTrue="1">
      <formula>AND(COUNTIF($B$134:$F$142,C433)+COUNTIF($B$144:$F$65536,C433)+COUNTIF($B$8:$F$9,C433)+COUNTIF($B$11:$F$26,C433)+COUNTIF($B$28:$F$132,C433)+COUNTIF($B$4:$F$4,C433)+COUNTIF($B$1:$F$2,C433)&gt;1,NOT(ISBLANK(C433)))</formula>
    </cfRule>
  </conditionalFormatting>
  <conditionalFormatting sqref="C448 C452 C454:C456 C458 C460">
    <cfRule type="expression" dxfId="3512" priority="73" stopIfTrue="1">
      <formula>AND(COUNTIF($B$134:$F$142,C448)+COUNTIF($B$144:$F$65536,C448)+COUNTIF($B$8:$F$9,C448)+COUNTIF($B$11:$F$26,C448)+COUNTIF($B$28:$F$132,C448)+COUNTIF($B$4:$F$4,C448)+COUNTIF($B$1:$F$2,C448)&gt;1,NOT(ISBLANK(C448)))</formula>
    </cfRule>
    <cfRule type="expression" dxfId="3511" priority="76" stopIfTrue="1">
      <formula>AND(COUNTIF($B$8:$F$9,C448)+COUNTIF($B$11:$F$26,C448)+COUNTIF($B$28:$F$65536,C448)+COUNTIF($B$4:$F$4,C448)+COUNTIF($B$1:$F$2,C448)&gt;1,NOT(ISBLANK(C448)))</formula>
    </cfRule>
  </conditionalFormatting>
  <conditionalFormatting sqref="C462:C463 C465 C468:C470 C473">
    <cfRule type="expression" dxfId="3510" priority="67" stopIfTrue="1">
      <formula>AND(COUNTIF($B$134:$F$142,C462)+COUNTIF($B$144:$F$65536,C462)+COUNTIF($B$8:$F$9,C462)+COUNTIF($B$11:$F$26,C462)+COUNTIF($B$28:$F$132,C462)+COUNTIF($B$4:$F$4,C462)+COUNTIF($B$1:$F$2,C462)&gt;1,NOT(ISBLANK(C462)))</formula>
    </cfRule>
    <cfRule type="expression" dxfId="3509" priority="70" stopIfTrue="1">
      <formula>AND(COUNTIF($B$8:$F$9,C462)+COUNTIF($B$11:$F$26,C462)+COUNTIF($B$28:$F$65536,C462)+COUNTIF($B$4:$F$4,C462)+COUNTIF($B$1:$F$2,C462)&gt;1,NOT(ISBLANK(C462)))</formula>
    </cfRule>
  </conditionalFormatting>
  <conditionalFormatting sqref="C477:C479 C483:C484 C486">
    <cfRule type="expression" dxfId="3508" priority="64" stopIfTrue="1">
      <formula>AND(COUNTIF($B$8:$F$9,C477)+COUNTIF($B$11:$F$26,C477)+COUNTIF($B$28:$F$65536,C477)+COUNTIF($B$4:$F$4,C477)+COUNTIF($B$1:$F$2,C477)&gt;1,NOT(ISBLANK(C477)))</formula>
    </cfRule>
  </conditionalFormatting>
  <conditionalFormatting sqref="C486 C477:C479 C483:C484">
    <cfRule type="expression" dxfId="3507" priority="61" stopIfTrue="1">
      <formula>AND(COUNTIF($B$134:$F$142,C477)+COUNTIF($B$144:$F$65536,C477)+COUNTIF($B$8:$F$9,C477)+COUNTIF($B$11:$F$26,C477)+COUNTIF($B$28:$F$132,C477)+COUNTIF($B$4:$F$4,C477)+COUNTIF($B$1:$F$2,C477)&gt;1,NOT(ISBLANK(C477)))</formula>
    </cfRule>
  </conditionalFormatting>
  <conditionalFormatting sqref="C486">
    <cfRule type="expression" dxfId="3506" priority="60" stopIfTrue="1">
      <formula>AND(COUNTIF($C$134:$F$142,C486)+COUNTIF($C$144:$F$65536,C486)+COUNTIF($C$8:$F$9,C486)+COUNTIF($C$11:$F$26,C486)+COUNTIF($C$28:$F$132,C486)+COUNTIF($C$4:$F$4,C486)+COUNTIF($C$1:$F$2,C486)&gt;1,NOT(ISBLANK(C486)))</formula>
    </cfRule>
  </conditionalFormatting>
  <conditionalFormatting sqref="C487:C493">
    <cfRule type="expression" dxfId="3505" priority="540" stopIfTrue="1">
      <formula>AND(COUNTIF($C$4:$C$65536,C487)+COUNTIF($C$1:$C$2,C487)&gt;1,NOT(ISBLANK(C487)))</formula>
    </cfRule>
  </conditionalFormatting>
  <conditionalFormatting sqref="C494:C495">
    <cfRule type="colorScale" priority="9">
      <colorScale>
        <cfvo type="min"/>
        <cfvo type="max"/>
        <color rgb="FFFF7128"/>
        <color rgb="FFFFEF9C"/>
      </colorScale>
    </cfRule>
    <cfRule type="expression" dxfId="3504" priority="17" stopIfTrue="1">
      <formula>AND(COUNTIF($C$4:$C$65536,C494)+COUNTIF($C$1:$C$2,C494)&gt;1,NOT(ISBLANK(C494)))</formula>
    </cfRule>
    <cfRule type="expression" dxfId="3503" priority="10" stopIfTrue="1">
      <formula>AND(COUNTIF($C$134:$F$142,C494)+COUNTIF($C$144:$F$65536,C494)+COUNTIF($C$8:$F$9,C494)+COUNTIF($C$11:$F$26,C494)+COUNTIF($C$28:$F$132,C494)+COUNTIF($C$4:$F$4,C494)+COUNTIF($C$1:$F$2,C494)&gt;1,NOT(ISBLANK(C494)))</formula>
    </cfRule>
    <cfRule type="duplicateValues" priority="7" stopIfTrue="1"/>
    <cfRule type="top10" priority="8" stopIfTrue="1" rank="10"/>
    <cfRule type="expression" dxfId="3502" priority="14" stopIfTrue="1">
      <formula>AND(COUNTIF($B$8:$F$9,C494)+COUNTIF($B$11:$F$26,C494)+COUNTIF($B$28:$F$65536,C494)+COUNTIF($B$4:$F$4,C494)+COUNTIF($B$1:$F$2,C494)&gt;1,NOT(ISBLANK(C494)))</formula>
    </cfRule>
    <cfRule type="expression" dxfId="3501" priority="11" stopIfTrue="1">
      <formula>AND(COUNTIF($B$134:$F$142,C494)+COUNTIF($B$144:$F$65536,C494)+COUNTIF($B$8:$F$9,C494)+COUNTIF($B$11:$F$26,C494)+COUNTIF($B$28:$F$132,C494)+COUNTIF($B$4:$F$4,C494)+COUNTIF($B$1:$F$2,C494)&gt;1,NOT(ISBLANK(C494)))</formula>
    </cfRule>
  </conditionalFormatting>
  <conditionalFormatting sqref="C496:C508">
    <cfRule type="duplicateValues" priority="52" stopIfTrue="1"/>
    <cfRule type="top10" priority="53" stopIfTrue="1" rank="10"/>
    <cfRule type="colorScale" priority="54">
      <colorScale>
        <cfvo type="min"/>
        <cfvo type="max"/>
        <color rgb="FFFF7128"/>
        <color rgb="FFFFEF9C"/>
      </colorScale>
    </cfRule>
    <cfRule type="expression" dxfId="3500" priority="55" stopIfTrue="1">
      <formula>AND(COUNTIF($C$4:$C$65536,C496)+COUNTIF($C$1:$C$2,C496)&gt;1,NOT(ISBLANK(C496)))</formula>
    </cfRule>
  </conditionalFormatting>
  <conditionalFormatting sqref="C509:C510">
    <cfRule type="expression" dxfId="3499" priority="23" stopIfTrue="1">
      <formula>AND(COUNTIF($C$134:$F$142,C509)+COUNTIF($C$144:$F$65536,C509)+COUNTIF($C$8:$F$9,C509)+COUNTIF($C$11:$F$26,C509)+COUNTIF($C$28:$F$132,C509)+COUNTIF($C$4:$F$4,C509)+COUNTIF($C$1:$F$2,C509)&gt;1,NOT(ISBLANK(C509)))</formula>
    </cfRule>
    <cfRule type="duplicateValues" priority="20" stopIfTrue="1"/>
    <cfRule type="expression" dxfId="3498" priority="24" stopIfTrue="1">
      <formula>AND(COUNTIF($B$134:$F$142,C509)+COUNTIF($B$144:$F$65536,C509)+COUNTIF($B$8:$F$9,C509)+COUNTIF($B$11:$F$26,C509)+COUNTIF($B$28:$F$132,C509)+COUNTIF($B$4:$F$4,C509)+COUNTIF($B$1:$F$2,C509)&gt;1,NOT(ISBLANK(C509)))</formula>
    </cfRule>
    <cfRule type="top10" priority="21" stopIfTrue="1" rank="10"/>
    <cfRule type="colorScale" priority="22">
      <colorScale>
        <cfvo type="min"/>
        <cfvo type="max"/>
        <color rgb="FFFF7128"/>
        <color rgb="FFFFEF9C"/>
      </colorScale>
    </cfRule>
    <cfRule type="expression" dxfId="3497" priority="27" stopIfTrue="1">
      <formula>AND(COUNTIF($B$8:$F$9,C509)+COUNTIF($B$11:$F$26,C509)+COUNTIF($B$28:$F$65536,C509)+COUNTIF($B$4:$F$4,C509)+COUNTIF($B$1:$F$2,C509)&gt;1,NOT(ISBLANK(C509)))</formula>
    </cfRule>
    <cfRule type="expression" dxfId="3496" priority="30" stopIfTrue="1">
      <formula>AND(COUNTIF($C$4:$C$65536,C509)+COUNTIF($C$1:$C$2,C509)&gt;1,NOT(ISBLANK(C509)))</formula>
    </cfRule>
  </conditionalFormatting>
  <conditionalFormatting sqref="C511:C513">
    <cfRule type="top10" priority="49" stopIfTrue="1" rank="10"/>
    <cfRule type="colorScale" priority="50">
      <colorScale>
        <cfvo type="min"/>
        <cfvo type="max"/>
        <color rgb="FFFF7128"/>
        <color rgb="FFFFEF9C"/>
      </colorScale>
    </cfRule>
    <cfRule type="duplicateValues" priority="48" stopIfTrue="1"/>
    <cfRule type="expression" dxfId="3495" priority="51" stopIfTrue="1">
      <formula>AND(COUNTIF($C$4:$C$65536,C511)+COUNTIF($C$1:$C$2,C511)&gt;1,NOT(ISBLANK(C511)))</formula>
    </cfRule>
  </conditionalFormatting>
  <conditionalFormatting sqref="C514">
    <cfRule type="expression" dxfId="3494" priority="40" stopIfTrue="1">
      <formula>AND(COUNTIF($B$8:$F$9,C514)+COUNTIF($B$11:$F$26,C514)+COUNTIF($B$28:$F$65536,C514)+COUNTIF($B$4:$F$4,C514)+COUNTIF($B$1:$F$2,C514)&gt;1,NOT(ISBLANK(C514)))</formula>
    </cfRule>
    <cfRule type="duplicateValues" priority="33" stopIfTrue="1"/>
    <cfRule type="expression" dxfId="3493" priority="37" stopIfTrue="1">
      <formula>AND(COUNTIF($B$134:$F$142,C514)+COUNTIF($B$144:$F$65536,C514)+COUNTIF($B$8:$F$9,C514)+COUNTIF($B$11:$F$26,C514)+COUNTIF($B$28:$F$132,C514)+COUNTIF($B$4:$F$4,C514)+COUNTIF($B$1:$F$2,C514)&gt;1,NOT(ISBLANK(C514)))</formula>
    </cfRule>
    <cfRule type="expression" dxfId="3492" priority="43" stopIfTrue="1">
      <formula>AND(COUNTIF($C$4:$C$65536,C514)+COUNTIF($C$1:$C$2,C514)&gt;1,NOT(ISBLANK(C514)))</formula>
    </cfRule>
    <cfRule type="top10" priority="34" stopIfTrue="1" rank="10"/>
    <cfRule type="colorScale" priority="35">
      <colorScale>
        <cfvo type="min"/>
        <cfvo type="max"/>
        <color rgb="FFFF7128"/>
        <color rgb="FFFFEF9C"/>
      </colorScale>
    </cfRule>
    <cfRule type="expression" dxfId="3491" priority="36" stopIfTrue="1">
      <formula>AND(COUNTIF($C$134:$F$142,C514)+COUNTIF($C$144:$F$65536,C514)+COUNTIF($C$8:$F$9,C514)+COUNTIF($C$11:$F$26,C514)+COUNTIF($C$28:$F$132,C514)+COUNTIF($C$4:$F$4,C514)+COUNTIF($C$1:$F$2,C514)&gt;1,NOT(ISBLANK(C514)))</formula>
    </cfRule>
  </conditionalFormatting>
  <conditionalFormatting sqref="C515:C516">
    <cfRule type="duplicateValues" priority="44" stopIfTrue="1"/>
    <cfRule type="top10" priority="45" stopIfTrue="1" rank="10"/>
    <cfRule type="colorScale" priority="46">
      <colorScale>
        <cfvo type="min"/>
        <cfvo type="max"/>
        <color rgb="FFFF7128"/>
        <color rgb="FFFFEF9C"/>
      </colorScale>
    </cfRule>
    <cfRule type="expression" dxfId="3490" priority="47" stopIfTrue="1">
      <formula>AND(COUNTIF($C$4:$C$65536,C515)+COUNTIF($C$1:$C$2,C515)&gt;1,NOT(ISBLANK(C515)))</formula>
    </cfRule>
  </conditionalFormatting>
  <conditionalFormatting sqref="C517">
    <cfRule type="expression" dxfId="3489" priority="3697" stopIfTrue="1">
      <formula>AND(COUNTIF($C$4:$C$65536,C517)+COUNTIF($C$1:$C$2,C517)&gt;1,NOT(ISBLANK(C517)))</formula>
    </cfRule>
  </conditionalFormatting>
  <conditionalFormatting sqref="C517:D517 F517">
    <cfRule type="expression" dxfId="3488" priority="3684" stopIfTrue="1">
      <formula>AND(COUNTIF($C$147:$F$155,C517)+COUNTIF($C$157:$F$65536,C517)+COUNTIF($C$8:$F$9,C517)+COUNTIF($C$11:$F$26,C517)+COUNTIF($C$28:$F$145,C517)+COUNTIF($C$4:$F$4,C517)+COUNTIF($C$1:$F$2,C517)&gt;1,NOT(ISBLANK(C517)))</formula>
    </cfRule>
  </conditionalFormatting>
  <conditionalFormatting sqref="C46:E46">
    <cfRule type="duplicateValues" dxfId="3487" priority="1496" stopIfTrue="1"/>
  </conditionalFormatting>
  <conditionalFormatting sqref="C17:F17 C179:F179 B200:F200 C436:F436">
    <cfRule type="expression" dxfId="3486" priority="1917" stopIfTrue="1">
      <formula>AND(COUNTIF($C$147:$F$155,B17)+COUNTIF($C$157:$F$65536,B17)+COUNTIF($C$8:$F$9,B17)+COUNTIF($C$11:$F$26,B17)+COUNTIF($C$28:$F$145,B17)+COUNTIF($C$4:$F$4,B17)+COUNTIF($C$1:$F$2,B17)&gt;1,NOT(ISBLANK(B17)))</formula>
    </cfRule>
  </conditionalFormatting>
  <conditionalFormatting sqref="C296:F296">
    <cfRule type="expression" dxfId="3485" priority="1932" stopIfTrue="1">
      <formula>AND(COUNTIF($C$310:$F$318,C296)+COUNTIF($C$320:$F$65536,C296)+COUNTIF($C$8:$F$9,C296)+COUNTIF($C$11:$F$26,C296)+COUNTIF($C$28:$F$308,C296)+COUNTIF($C$4:$F$4,C296)+COUNTIF($C$1:$F$2,C296)&gt;1,NOT(ISBLANK(C296)))</formula>
    </cfRule>
  </conditionalFormatting>
  <conditionalFormatting sqref="C393:F393">
    <cfRule type="duplicateValues" dxfId="3484" priority="1295" stopIfTrue="1"/>
  </conditionalFormatting>
  <conditionalFormatting sqref="C518:G518 G517">
    <cfRule type="expression" dxfId="3483" priority="11314" stopIfTrue="1">
      <formula>AND(COUNTIF($C$284:$F$292,C517)+COUNTIF($C$294:$F$65536,C517)+COUNTIF($C$8:$F$9,C517)+COUNTIF($C$11:$F$26,C517)+COUNTIF($C$28:$F$282,C517)+COUNTIF($C$4:$F$4,C517)+COUNTIF($C$1:$F$2,C517)&gt;1,NOT(ISBLANK(C517)))</formula>
    </cfRule>
  </conditionalFormatting>
  <conditionalFormatting sqref="C519:G520">
    <cfRule type="expression" dxfId="3482" priority="13601" stopIfTrue="1">
      <formula>AND(COUNTIF($C$310:$F$318,C519)+COUNTIF($C$320:$F$65536,C519)+COUNTIF($C$8:$F$9,C519)+COUNTIF($C$11:$F$26,C519)+COUNTIF($C$28:$F$308,C519)+COUNTIF($C$4:$F$4,C519)+COUNTIF($C$1:$F$2,C519)&gt;1,NOT(ISBLANK(C519)))</formula>
    </cfRule>
  </conditionalFormatting>
  <conditionalFormatting sqref="D1:D2 AI45:AI47 AI98 Z102:Z103 Z107:Z109 AI110 Z119 AI125 Z125:Z126 AI127 Z128:Z130 AI137:AI138 AI140 Z141 AI142:AI164 Z145 Z149:Z150 Z156 Z163:Z167 Z170:Z171 AI173:AI191 Z192 AI197:AI217 Z204 Z217 Z221 Z225 Z231:Z266 AI238:AI253 AI275:AI276 Z279:Z295 AI281:AI299 Z297:Z305 Z307:Z322 Z361 AI372:AI373 Z372:Z379 AI385:AI386 AI391 AI393 AI396 AI405:AI407 AI411 Z411:Z412 AI413 Z414:Z415 AI417 AI423:AI424 Z427 AI428:AI429 AI434 Z439 Z450 AI453 Z454:Z455 Z460:Z464 Z467:Z468 Z476 Z486:Z487 AI491 AJ518 D521:D65536">
    <cfRule type="expression" dxfId="3481" priority="52124" stopIfTrue="1">
      <formula>AND(COUNTIF($D$297:$D$305,D1)+COUNTIF($D$307:$D$65536,D1)+COUNTIF($D$1:$D$2,D1)+COUNTIF($D$8:$D$9,D1)+COUNTIF($D$11:$D$26,D1)+COUNTIF($D$28:$D$295,D1)+COUNTIF($D$4:$D$4,D1)&gt;1,NOT(ISBLANK(D1)))</formula>
    </cfRule>
  </conditionalFormatting>
  <conditionalFormatting sqref="D1:D2 AI45:AI47 AI98 Z102:Z103 Z107:Z109 AI110 Z119 AI125 Z125:Z126 AI127 Z128:Z130 AI137:AI138 AI140 Z141 AI142:AI164 Z145 Z149:Z150 Z156 Z163:Z167 Z170:Z171 AI173:AI191 Z192 AI197:AI217 Z204 Z217 Z221 Z225 Z231:Z266 AI238:AI253 AI275:AI276 Z279:Z322 AI281:AI299 Z361 AI372:AI373 Z372:Z379 AI385:AI386 AI391 AI393 AI396 AI405:AI407 AI411 Z411:Z412 AI413 Z414:Z415 AI417 AI423:AI424 Z427 AI428:AI429 AI434 Z439 Z450 AI453 Z454:Z455 Z460:Z464 Z467:Z468 Z476 Z486:Z487 AI491 AJ518 D521:D65536">
    <cfRule type="expression" dxfId="3480" priority="52121" stopIfTrue="1">
      <formula>AND(COUNTIF($D$8:$D$9,D1)+COUNTIF($D$1:$D$2,D1)+COUNTIF($D$11:$D$26,D1)+COUNTIF($D$28:$D$65536,D1)+COUNTIF($D$4:$D$4,D1)&gt;1,NOT(ISBLANK(D1)))</formula>
    </cfRule>
    <cfRule type="expression" dxfId="3479" priority="52091" stopIfTrue="1">
      <formula>AND(COUNTIF($D$4:$D$65536,D1)+COUNTIF($D$1:$D$2,D1)&gt;1,NOT(ISBLANK(D1)))</formula>
    </cfRule>
  </conditionalFormatting>
  <conditionalFormatting sqref="D4 D8:D9 D11:D14 D16 D18:D26 D30:D50 D171:D178 D180:D199 D201:D206 D208:D249 D251:D255 D257:D259">
    <cfRule type="expression" dxfId="3478" priority="1587" stopIfTrue="1">
      <formula>AND(COUNTIF($D$134:$D$142,D4)+COUNTIF($D$144:$D$65536,D4)+COUNTIF($D$1:$D$2,D4)+COUNTIF($D$8:$D$9,D4)+COUNTIF($D$11:$D$26,D4)+COUNTIF($D$28:$D$132,D4)+COUNTIF($D$4:$D$4,D4)&gt;1,NOT(ISBLANK(D4)))</formula>
    </cfRule>
  </conditionalFormatting>
  <conditionalFormatting sqref="D4:D5 D7:D14 D16 D18:D26 D30:D50 D171:D178 D180:D199 D201:D206 D208:D249 D251:D255 D257:D259">
    <cfRule type="expression" dxfId="3477" priority="1909" stopIfTrue="1">
      <formula>AND(COUNTIF($D$1:$D$350,D4)+COUNTIF($D$352:$D$372,D4)+COUNTIF($D$374:$D$65536,D4)&gt;1,NOT(ISBLANK(D4)))</formula>
    </cfRule>
    <cfRule type="expression" dxfId="3476" priority="1907" stopIfTrue="1">
      <formula>AND(COUNTIF($D$4:$D$65536,D4)+COUNTIF($D$1:$D$2,D4)&gt;1,NOT(ISBLANK(D4)))</formula>
    </cfRule>
    <cfRule type="expression" dxfId="3475" priority="1906" stopIfTrue="1">
      <formula>AND(COUNTIF($D$4:$D$65536,D4)+COUNTIF($D$1:$D$2,D4)&gt;1,NOT(ISBLANK(D4)))</formula>
    </cfRule>
  </conditionalFormatting>
  <conditionalFormatting sqref="D4:D5 D7:D14 D16 D30:D50 D171:D178 D18:D26 D180:D199 D201:D206 D251:D255 D257:D259 D208:D249">
    <cfRule type="duplicateValues" dxfId="3474" priority="1903" stopIfTrue="1"/>
    <cfRule type="duplicateValues" dxfId="3473" priority="1901" stopIfTrue="1"/>
    <cfRule type="duplicateValues" dxfId="3472" priority="1902" stopIfTrue="1"/>
    <cfRule type="duplicateValues" dxfId="3471" priority="1904" stopIfTrue="1"/>
    <cfRule type="duplicateValues" dxfId="3470" priority="1905" stopIfTrue="1"/>
    <cfRule type="duplicateValues" dxfId="3469" priority="1900" stopIfTrue="1"/>
  </conditionalFormatting>
  <conditionalFormatting sqref="D4:D16 D18:D26 D78:D89 D171:D178 D180:D199 D28:D76 D201:D206 D257:D259 D208:D255">
    <cfRule type="duplicateValues" dxfId="3468" priority="945" stopIfTrue="1"/>
  </conditionalFormatting>
  <conditionalFormatting sqref="D4:D206 D208:D423 D425:D452 D454:D487">
    <cfRule type="duplicateValues" dxfId="3467" priority="761" stopIfTrue="1"/>
    <cfRule type="duplicateValues" dxfId="3466" priority="764" stopIfTrue="1"/>
  </conditionalFormatting>
  <conditionalFormatting sqref="D4:D452 D454:D487">
    <cfRule type="duplicateValues" dxfId="3465" priority="619" stopIfTrue="1"/>
  </conditionalFormatting>
  <conditionalFormatting sqref="D4:D487">
    <cfRule type="duplicateValues" dxfId="3464" priority="56" stopIfTrue="1"/>
  </conditionalFormatting>
  <conditionalFormatting sqref="D17 D179 D200">
    <cfRule type="expression" dxfId="3463" priority="1591" stopIfTrue="1">
      <formula>AND(COUNTIF($D$147:$D$155,D17)+COUNTIF($D$157:$D$65536,D17)+COUNTIF($D$1:$D$2,D17)+COUNTIF($D$8:$D$9,D17)+COUNTIF($D$11:$D$26,D17)+COUNTIF($D$28:$D$145,D17)+COUNTIF($D$4:$D$4,D17)&gt;1,NOT(ISBLANK(D17)))</formula>
    </cfRule>
  </conditionalFormatting>
  <conditionalFormatting sqref="D17">
    <cfRule type="duplicateValues" dxfId="3462" priority="1723" stopIfTrue="1"/>
    <cfRule type="duplicateValues" dxfId="3461" priority="1720" stopIfTrue="1"/>
    <cfRule type="duplicateValues" dxfId="3460" priority="1724" stopIfTrue="1"/>
    <cfRule type="duplicateValues" dxfId="3459" priority="1725" stopIfTrue="1"/>
    <cfRule type="duplicateValues" dxfId="3458" priority="1726" stopIfTrue="1"/>
    <cfRule type="duplicateValues" dxfId="3457" priority="1729" stopIfTrue="1"/>
    <cfRule type="duplicateValues" dxfId="3456" priority="1722" stopIfTrue="1"/>
    <cfRule type="expression" dxfId="3455" priority="1733" stopIfTrue="1">
      <formula>AND(COUNTIF($D$1:$D$363,D17)+COUNTIF($D$365:$D$385,D17)+COUNTIF($D$387:$D$65536,D17)&gt;1,NOT(ISBLANK(D17)))</formula>
    </cfRule>
    <cfRule type="expression" dxfId="3454" priority="1731" stopIfTrue="1">
      <formula>AND(COUNTIF($D$4:$D$65536,D17)+COUNTIF($D$1:$D$2,D17)&gt;1,NOT(ISBLANK(D17)))</formula>
    </cfRule>
    <cfRule type="expression" dxfId="3453" priority="1730" stopIfTrue="1">
      <formula>AND(COUNTIF($D$4:$D$65536,D17)+COUNTIF($D$1:$D$2,D17)&gt;1,NOT(ISBLANK(D17)))</formula>
    </cfRule>
    <cfRule type="duplicateValues" dxfId="3452" priority="1721" stopIfTrue="1"/>
    <cfRule type="duplicateValues" dxfId="3451" priority="1728" stopIfTrue="1"/>
    <cfRule type="duplicateValues" dxfId="3450" priority="1727" stopIfTrue="1"/>
  </conditionalFormatting>
  <conditionalFormatting sqref="D27">
    <cfRule type="duplicateValues" dxfId="3449" priority="1744" stopIfTrue="1"/>
    <cfRule type="expression" dxfId="3448" priority="1745" stopIfTrue="1">
      <formula>AND(COUNTIF($D$4:$D$65536,D27)+COUNTIF($D$1:$D$2,D27)&gt;1,NOT(ISBLANK(D27)))</formula>
    </cfRule>
    <cfRule type="expression" dxfId="3447" priority="1746" stopIfTrue="1">
      <formula>AND(COUNTIF($D$4:$D$65536,D27)+COUNTIF($D$1:$D$2,D27)&gt;1,NOT(ISBLANK(D27)))</formula>
    </cfRule>
    <cfRule type="expression" dxfId="3446" priority="1748" stopIfTrue="1">
      <formula>AND(COUNTIF($D$1:$D$363,D27)+COUNTIF($D$365:$D$385,D27)+COUNTIF($D$387:$D$65536,D27)&gt;1,NOT(ISBLANK(D27)))</formula>
    </cfRule>
    <cfRule type="duplicateValues" dxfId="3445" priority="1735" stopIfTrue="1"/>
    <cfRule type="duplicateValues" dxfId="3444" priority="1736" stopIfTrue="1"/>
    <cfRule type="duplicateValues" dxfId="3443" priority="1737" stopIfTrue="1"/>
    <cfRule type="duplicateValues" dxfId="3442" priority="1738" stopIfTrue="1"/>
    <cfRule type="duplicateValues" dxfId="3441" priority="1739" stopIfTrue="1"/>
    <cfRule type="duplicateValues" dxfId="3440" priority="1740" stopIfTrue="1"/>
    <cfRule type="duplicateValues" dxfId="3439" priority="1741" stopIfTrue="1"/>
    <cfRule type="duplicateValues" dxfId="3438" priority="1742" stopIfTrue="1"/>
    <cfRule type="duplicateValues" dxfId="3437" priority="1743" stopIfTrue="1"/>
  </conditionalFormatting>
  <conditionalFormatting sqref="D51:D52 D54:D76 D83:D89 D78:D81">
    <cfRule type="duplicateValues" dxfId="3436" priority="960" stopIfTrue="1"/>
    <cfRule type="duplicateValues" dxfId="3435" priority="962" stopIfTrue="1"/>
    <cfRule type="duplicateValues" dxfId="3434" priority="961" stopIfTrue="1"/>
    <cfRule type="duplicateValues" dxfId="3433" priority="956" stopIfTrue="1"/>
    <cfRule type="duplicateValues" dxfId="3432" priority="957" stopIfTrue="1"/>
    <cfRule type="duplicateValues" dxfId="3431" priority="958" stopIfTrue="1"/>
    <cfRule type="duplicateValues" dxfId="3430" priority="963" stopIfTrue="1"/>
    <cfRule type="duplicateValues" dxfId="3429" priority="959" stopIfTrue="1"/>
  </conditionalFormatting>
  <conditionalFormatting sqref="D51:D52 D54:D79 D81:D170 D260:D294 D297:D353 D355:D412 D414:D423 D425:D433 D435 D437:D452 D454:D484 D486:D487">
    <cfRule type="expression" dxfId="3428" priority="1943" stopIfTrue="1">
      <formula>AND(COUNTIF($D$4:$D$65536,D51)+COUNTIF($D$1:$D$2,D51)&gt;1,NOT(ISBLANK(D51)))</formula>
    </cfRule>
    <cfRule type="expression" dxfId="3427" priority="1944" stopIfTrue="1">
      <formula>AND(COUNTIF($D$4:$D$65536,D51)+COUNTIF($D$1:$D$2,D51)&gt;1,NOT(ISBLANK(D51)))</formula>
    </cfRule>
    <cfRule type="expression" dxfId="3426" priority="1951" stopIfTrue="1">
      <formula>AND(COUNTIF($D$8:$D$9,D51)+COUNTIF($D$1:$D$2,D51)+COUNTIF($D$11:$D$26,D51)+COUNTIF($D$28:$D$65536,D51)+COUNTIF($D$4:$D$4,D51)&gt;1,NOT(ISBLANK(D51)))</formula>
    </cfRule>
  </conditionalFormatting>
  <conditionalFormatting sqref="D51:D52 D54:D170 D260:D294 D297:D353 D355:D363 D365:D385 D387:D412 D414:D423 D425:D433 D435 D437:D452 D454:D484 D486:D487">
    <cfRule type="expression" dxfId="3425" priority="1535" stopIfTrue="1">
      <formula>AND(COUNTIF($D$1:$D$350,D51)+COUNTIF($D$352:$D$372,D51)+COUNTIF($D$374:$D$65536,D51)&gt;1,NOT(ISBLANK(D51)))</formula>
    </cfRule>
  </conditionalFormatting>
  <conditionalFormatting sqref="D51:D76 D83:D89 D78:D81">
    <cfRule type="duplicateValues" dxfId="3424" priority="964" stopIfTrue="1"/>
  </conditionalFormatting>
  <conditionalFormatting sqref="D53">
    <cfRule type="duplicateValues" dxfId="3423" priority="1752" stopIfTrue="1"/>
    <cfRule type="duplicateValues" dxfId="3422" priority="1751" stopIfTrue="1"/>
    <cfRule type="duplicateValues" dxfId="3421" priority="1750" stopIfTrue="1"/>
    <cfRule type="expression" dxfId="3420" priority="1755" stopIfTrue="1">
      <formula>AND(COUNTIF($D$4:$D$65536,D53)+COUNTIF($D$1:$D$2,D53)&gt;1,NOT(ISBLANK(D53)))</formula>
    </cfRule>
    <cfRule type="expression" dxfId="3419" priority="1754" stopIfTrue="1">
      <formula>AND(COUNTIF($D$4:$D$65536,D53)+COUNTIF($D$1:$D$2,D53)&gt;1,NOT(ISBLANK(D53)))</formula>
    </cfRule>
    <cfRule type="duplicateValues" dxfId="3418" priority="1763" stopIfTrue="1"/>
    <cfRule type="expression" dxfId="3417" priority="1757" stopIfTrue="1">
      <formula>AND(COUNTIF($D$8:$D$9,D53)+COUNTIF($D$1:$D$2,D53)+COUNTIF($D$11:$D$26,D53)+COUNTIF($D$28:$D$65536,D53)+COUNTIF($D$4:$D$4,D53)&gt;1,NOT(ISBLANK(D53)))</formula>
    </cfRule>
    <cfRule type="expression" dxfId="3416" priority="1760" stopIfTrue="1">
      <formula>AND(COUNTIF($D$134:$D$142,D53)+COUNTIF($D$144:$D$65536,D53)+COUNTIF($D$1:$D$2,D53)+COUNTIF($D$8:$D$9,D53)+COUNTIF($D$11:$D$26,D53)+COUNTIF($D$28:$D$132,D53)+COUNTIF($D$4:$D$4,D53)&gt;1,NOT(ISBLANK(D53)))</formula>
    </cfRule>
    <cfRule type="duplicateValues" dxfId="3415" priority="1766" stopIfTrue="1"/>
    <cfRule type="duplicateValues" dxfId="3414" priority="1765" stopIfTrue="1"/>
    <cfRule type="duplicateValues" dxfId="3413" priority="1764" stopIfTrue="1"/>
    <cfRule type="expression" dxfId="3412" priority="1761" stopIfTrue="1">
      <formula>AND(COUNTIF($D$1:$D$350,D53)+COUNTIF($D$352:$D$372,D53)+COUNTIF($D$374:$D$65536,D53)&gt;1,NOT(ISBLANK(D53)))</formula>
    </cfRule>
    <cfRule type="duplicateValues" dxfId="3411" priority="1753" stopIfTrue="1"/>
  </conditionalFormatting>
  <conditionalFormatting sqref="D77">
    <cfRule type="duplicateValues" dxfId="3410" priority="1462" stopIfTrue="1"/>
    <cfRule type="duplicateValues" dxfId="3409" priority="1465" stopIfTrue="1"/>
    <cfRule type="duplicateValues" dxfId="3408" priority="1468" stopIfTrue="1"/>
    <cfRule type="duplicateValues" dxfId="3407" priority="1464" stopIfTrue="1"/>
    <cfRule type="duplicateValues" dxfId="3406" priority="1469" stopIfTrue="1"/>
    <cfRule type="duplicateValues" dxfId="3405" priority="1472" stopIfTrue="1"/>
    <cfRule type="duplicateValues" dxfId="3404" priority="1471" stopIfTrue="1"/>
    <cfRule type="duplicateValues" dxfId="3403" priority="1470" stopIfTrue="1"/>
    <cfRule type="duplicateValues" dxfId="3402" priority="1467" stopIfTrue="1"/>
    <cfRule type="duplicateValues" dxfId="3401" priority="1459" stopIfTrue="1"/>
  </conditionalFormatting>
  <conditionalFormatting sqref="D80">
    <cfRule type="duplicateValues" dxfId="3400" priority="1485" stopIfTrue="1"/>
    <cfRule type="duplicateValues" dxfId="3399" priority="1486" stopIfTrue="1"/>
  </conditionalFormatting>
  <conditionalFormatting sqref="D81:D145 D54:D79 D147:D155 D157:D170 D260:D294 D297:D353 D355:D412 D414:D423 D425:D433 D435 D437:D452 D454:D484 D486:D487 D51:D52">
    <cfRule type="expression" dxfId="3398" priority="1534" stopIfTrue="1">
      <formula>AND(COUNTIF($D$134:$D$142,D51)+COUNTIF($D$144:$D$65536,D51)+COUNTIF($D$1:$D$2,D51)+COUNTIF($D$8:$D$9,D51)+COUNTIF($D$11:$D$26,D51)+COUNTIF($D$28:$D$132,D51)+COUNTIF($D$4:$D$4,D51)&gt;1,NOT(ISBLANK(D51)))</formula>
    </cfRule>
  </conditionalFormatting>
  <conditionalFormatting sqref="D82">
    <cfRule type="duplicateValues" dxfId="3397" priority="1484" stopIfTrue="1"/>
    <cfRule type="duplicateValues" dxfId="3396" priority="1474" stopIfTrue="1"/>
    <cfRule type="duplicateValues" dxfId="3395" priority="1482" stopIfTrue="1"/>
    <cfRule type="duplicateValues" dxfId="3394" priority="1483" stopIfTrue="1"/>
    <cfRule type="duplicateValues" dxfId="3393" priority="1481" stopIfTrue="1"/>
    <cfRule type="duplicateValues" dxfId="3392" priority="1480" stopIfTrue="1"/>
    <cfRule type="duplicateValues" dxfId="3391" priority="1479" stopIfTrue="1"/>
    <cfRule type="duplicateValues" dxfId="3390" priority="1477" stopIfTrue="1"/>
    <cfRule type="duplicateValues" dxfId="3389" priority="1476" stopIfTrue="1"/>
  </conditionalFormatting>
  <conditionalFormatting sqref="D90:D128">
    <cfRule type="duplicateValues" dxfId="3388" priority="1449" stopIfTrue="1"/>
    <cfRule type="duplicateValues" dxfId="3387" priority="1447" stopIfTrue="1"/>
    <cfRule type="duplicateValues" dxfId="3386" priority="1444" stopIfTrue="1"/>
    <cfRule type="duplicateValues" dxfId="3385" priority="1452" stopIfTrue="1"/>
    <cfRule type="duplicateValues" dxfId="3384" priority="1453" stopIfTrue="1"/>
    <cfRule type="duplicateValues" dxfId="3383" priority="1450" stopIfTrue="1"/>
    <cfRule type="duplicateValues" dxfId="3382" priority="1454" stopIfTrue="1"/>
    <cfRule type="duplicateValues" dxfId="3381" priority="1456" stopIfTrue="1"/>
    <cfRule type="duplicateValues" dxfId="3380" priority="1455" stopIfTrue="1"/>
    <cfRule type="duplicateValues" dxfId="3379" priority="1457" stopIfTrue="1"/>
  </conditionalFormatting>
  <conditionalFormatting sqref="D133">
    <cfRule type="duplicateValues" dxfId="3378" priority="1016" stopIfTrue="1"/>
    <cfRule type="duplicateValues" dxfId="3377" priority="1015" stopIfTrue="1"/>
    <cfRule type="duplicateValues" dxfId="3376" priority="1012" stopIfTrue="1"/>
    <cfRule type="duplicateValues" dxfId="3375" priority="1011" stopIfTrue="1"/>
    <cfRule type="duplicateValues" dxfId="3374" priority="1009" stopIfTrue="1"/>
    <cfRule type="duplicateValues" dxfId="3373" priority="1006" stopIfTrue="1"/>
    <cfRule type="duplicateValues" dxfId="3372" priority="1014" stopIfTrue="1"/>
    <cfRule type="duplicateValues" dxfId="3371" priority="1019" stopIfTrue="1"/>
    <cfRule type="duplicateValues" dxfId="3370" priority="1018" stopIfTrue="1"/>
    <cfRule type="duplicateValues" dxfId="3369" priority="1017" stopIfTrue="1"/>
  </conditionalFormatting>
  <conditionalFormatting sqref="D134:D140 D129:D132 D142:D170 D260:D295 D297:D318 D320:D352 D437:D452 D354:D364 D366:D423 D425:D435 D454:D486">
    <cfRule type="duplicateValues" dxfId="3368" priority="1145" stopIfTrue="1"/>
  </conditionalFormatting>
  <conditionalFormatting sqref="D141">
    <cfRule type="duplicateValues" dxfId="3367" priority="1036" stopIfTrue="1"/>
    <cfRule type="duplicateValues" dxfId="3366" priority="1031" stopIfTrue="1"/>
    <cfRule type="duplicateValues" dxfId="3365" priority="1039" stopIfTrue="1"/>
    <cfRule type="duplicateValues" dxfId="3364" priority="1026" stopIfTrue="1"/>
    <cfRule type="duplicateValues" dxfId="3363" priority="1038" stopIfTrue="1"/>
    <cfRule type="duplicateValues" dxfId="3362" priority="1034" stopIfTrue="1"/>
    <cfRule type="duplicateValues" dxfId="3361" priority="1029" stopIfTrue="1"/>
    <cfRule type="duplicateValues" dxfId="3360" priority="1037" stopIfTrue="1"/>
    <cfRule type="duplicateValues" dxfId="3359" priority="1032" stopIfTrue="1"/>
    <cfRule type="duplicateValues" dxfId="3358" priority="1035" stopIfTrue="1"/>
  </conditionalFormatting>
  <conditionalFormatting sqref="D146">
    <cfRule type="duplicateValues" dxfId="3357" priority="1379" stopIfTrue="1"/>
  </conditionalFormatting>
  <conditionalFormatting sqref="D156">
    <cfRule type="duplicateValues" dxfId="3356" priority="1359" stopIfTrue="1"/>
  </conditionalFormatting>
  <conditionalFormatting sqref="D171:D206 D16:D26 D30:D50 D4 D8:D9 D11:D14 D208:D249 D251:D255 D257:D259">
    <cfRule type="expression" dxfId="3355" priority="1584" stopIfTrue="1">
      <formula>AND(COUNTIF($D$8:$D$9,D4)+COUNTIF($D$1:$D$2,D4)+COUNTIF($D$11:$D$26,D4)+COUNTIF($D$28:$D$65536,D4)+COUNTIF($D$4:$D$4,D4)&gt;1,NOT(ISBLANK(D4)))</formula>
    </cfRule>
  </conditionalFormatting>
  <conditionalFormatting sqref="D179">
    <cfRule type="expression" dxfId="3354" priority="1703" stopIfTrue="1">
      <formula>AND(COUNTIF($D$1:$D$363,D179)+COUNTIF($D$365:$D$385,D179)+COUNTIF($D$387:$D$65536,D179)&gt;1,NOT(ISBLANK(D179)))</formula>
    </cfRule>
    <cfRule type="expression" dxfId="3353" priority="1700" stopIfTrue="1">
      <formula>AND(COUNTIF($D$4:$D$65536,D179)+COUNTIF($D$1:$D$2,D179)&gt;1,NOT(ISBLANK(D179)))</formula>
    </cfRule>
    <cfRule type="duplicateValues" dxfId="3352" priority="1694" stopIfTrue="1"/>
    <cfRule type="expression" dxfId="3351" priority="1701" stopIfTrue="1">
      <formula>AND(COUNTIF($D$4:$D$65536,D179)+COUNTIF($D$1:$D$2,D179)&gt;1,NOT(ISBLANK(D179)))</formula>
    </cfRule>
    <cfRule type="duplicateValues" dxfId="3350" priority="1699" stopIfTrue="1"/>
    <cfRule type="duplicateValues" dxfId="3349" priority="1698" stopIfTrue="1"/>
    <cfRule type="duplicateValues" dxfId="3348" priority="1697" stopIfTrue="1"/>
    <cfRule type="duplicateValues" dxfId="3347" priority="1696" stopIfTrue="1"/>
    <cfRule type="duplicateValues" dxfId="3346" priority="1695" stopIfTrue="1"/>
    <cfRule type="duplicateValues" dxfId="3345" priority="1693" stopIfTrue="1"/>
    <cfRule type="duplicateValues" dxfId="3344" priority="1692" stopIfTrue="1"/>
    <cfRule type="duplicateValues" dxfId="3343" priority="1691" stopIfTrue="1"/>
    <cfRule type="duplicateValues" dxfId="3342" priority="1690" stopIfTrue="1"/>
  </conditionalFormatting>
  <conditionalFormatting sqref="D180:D199 D4:D16 D29:D50 D171:D178 D18:D26 D201:D206 D257:D259 D208:D255">
    <cfRule type="duplicateValues" dxfId="3341" priority="1894" stopIfTrue="1"/>
    <cfRule type="duplicateValues" dxfId="3340" priority="1895" stopIfTrue="1"/>
    <cfRule type="duplicateValues" dxfId="3339" priority="1896" stopIfTrue="1"/>
  </conditionalFormatting>
  <conditionalFormatting sqref="D200">
    <cfRule type="duplicateValues" dxfId="3338" priority="1709" stopIfTrue="1"/>
    <cfRule type="duplicateValues" dxfId="3337" priority="1710" stopIfTrue="1"/>
    <cfRule type="expression" dxfId="3336" priority="1718" stopIfTrue="1">
      <formula>AND(COUNTIF($D$1:$D$363,D200)+COUNTIF($D$365:$D$385,D200)+COUNTIF($D$387:$D$65536,D200)&gt;1,NOT(ISBLANK(D200)))</formula>
    </cfRule>
    <cfRule type="duplicateValues" dxfId="3335" priority="1713" stopIfTrue="1"/>
    <cfRule type="duplicateValues" dxfId="3334" priority="1708" stopIfTrue="1"/>
    <cfRule type="expression" dxfId="3333" priority="1716" stopIfTrue="1">
      <formula>AND(COUNTIF($D$4:$D$65536,D200)+COUNTIF($D$1:$D$2,D200)&gt;1,NOT(ISBLANK(D200)))</formula>
    </cfRule>
    <cfRule type="duplicateValues" dxfId="3332" priority="1705" stopIfTrue="1"/>
    <cfRule type="expression" dxfId="3331" priority="1715" stopIfTrue="1">
      <formula>AND(COUNTIF($D$4:$D$65536,D200)+COUNTIF($D$1:$D$2,D200)&gt;1,NOT(ISBLANK(D200)))</formula>
    </cfRule>
    <cfRule type="duplicateValues" dxfId="3330" priority="1714" stopIfTrue="1"/>
    <cfRule type="duplicateValues" dxfId="3329" priority="1712" stopIfTrue="1"/>
    <cfRule type="duplicateValues" dxfId="3328" priority="1706" stopIfTrue="1"/>
    <cfRule type="duplicateValues" dxfId="3327" priority="1711" stopIfTrue="1"/>
    <cfRule type="duplicateValues" dxfId="3326" priority="1707" stopIfTrue="1"/>
  </conditionalFormatting>
  <conditionalFormatting sqref="D207">
    <cfRule type="duplicateValues" dxfId="3325" priority="745" stopIfTrue="1"/>
    <cfRule type="expression" dxfId="3324" priority="721" stopIfTrue="1">
      <formula>AND(COUNTIF($D$134:$D$142,D207)+COUNTIF($D$144:$D$65536,D207)+COUNTIF($D$1:$D$2,D207)+COUNTIF($D$8:$D$9,D207)+COUNTIF($D$11:$D$26,D207)+COUNTIF($D$28:$D$132,D207)+COUNTIF($D$4:$D$4,D207)&gt;1,NOT(ISBLANK(D207)))</formula>
    </cfRule>
    <cfRule type="duplicateValues" dxfId="3323" priority="735" stopIfTrue="1"/>
    <cfRule type="duplicateValues" dxfId="3322" priority="744" stopIfTrue="1"/>
    <cfRule type="duplicateValues" dxfId="3321" priority="743" stopIfTrue="1"/>
    <cfRule type="duplicateValues" dxfId="3320" priority="700" stopIfTrue="1"/>
    <cfRule type="duplicateValues" dxfId="3319" priority="691" stopIfTrue="1"/>
    <cfRule type="duplicateValues" dxfId="3318" priority="742" stopIfTrue="1"/>
    <cfRule type="duplicateValues" dxfId="3317" priority="741" stopIfTrue="1"/>
    <cfRule type="duplicateValues" dxfId="3316" priority="694" stopIfTrue="1"/>
    <cfRule type="duplicateValues" dxfId="3315" priority="701" stopIfTrue="1"/>
    <cfRule type="duplicateValues" dxfId="3314" priority="740" stopIfTrue="1"/>
    <cfRule type="duplicateValues" dxfId="3313" priority="736" stopIfTrue="1"/>
    <cfRule type="duplicateValues" dxfId="3312" priority="734" stopIfTrue="1"/>
    <cfRule type="expression" dxfId="3311" priority="749" stopIfTrue="1">
      <formula>AND(COUNTIF($D$1:$D$350,D207)+COUNTIF($D$352:$D$372,D207)+COUNTIF($D$374:$D$65536,D207)&gt;1,NOT(ISBLANK(D207)))</formula>
    </cfRule>
    <cfRule type="expression" dxfId="3310" priority="747" stopIfTrue="1">
      <formula>AND(COUNTIF($D$4:$D$65536,D207)+COUNTIF($D$1:$D$2,D207)&gt;1,NOT(ISBLANK(D207)))</formula>
    </cfRule>
    <cfRule type="expression" dxfId="3309" priority="718" stopIfTrue="1">
      <formula>AND(COUNTIF($D$8:$D$9,D207)+COUNTIF($D$1:$D$2,D207)+COUNTIF($D$11:$D$26,D207)+COUNTIF($D$28:$D$65536,D207)+COUNTIF($D$4:$D$4,D207)&gt;1,NOT(ISBLANK(D207)))</formula>
    </cfRule>
    <cfRule type="expression" dxfId="3308" priority="746" stopIfTrue="1">
      <formula>AND(COUNTIF($D$4:$D$65536,D207)+COUNTIF($D$1:$D$2,D207)&gt;1,NOT(ISBLANK(D207)))</formula>
    </cfRule>
  </conditionalFormatting>
  <conditionalFormatting sqref="D256">
    <cfRule type="duplicateValues" dxfId="3307" priority="812" stopIfTrue="1"/>
    <cfRule type="expression" dxfId="3306" priority="817" stopIfTrue="1">
      <formula>AND(COUNTIF($D$4:$D$65536,D256)+COUNTIF($D$1:$D$2,D256)&gt;1,NOT(ISBLANK(D256)))</formula>
    </cfRule>
    <cfRule type="expression" dxfId="3305" priority="816" stopIfTrue="1">
      <formula>AND(COUNTIF($D$4:$D$65536,D256)+COUNTIF($D$1:$D$2,D256)&gt;1,NOT(ISBLANK(D256)))</formula>
    </cfRule>
    <cfRule type="expression" dxfId="3304" priority="791" stopIfTrue="1">
      <formula>AND(COUNTIF($D$134:$D$142,D256)+COUNTIF($D$144:$D$65536,D256)+COUNTIF($D$1:$D$2,D256)+COUNTIF($D$8:$D$9,D256)+COUNTIF($D$11:$D$26,D256)+COUNTIF($D$28:$D$132,D256)+COUNTIF($D$4:$D$4,D256)&gt;1,NOT(ISBLANK(D256)))</formula>
    </cfRule>
    <cfRule type="duplicateValues" dxfId="3303" priority="811" stopIfTrue="1"/>
    <cfRule type="duplicateValues" dxfId="3302" priority="810" stopIfTrue="1"/>
    <cfRule type="expression" dxfId="3301" priority="788" stopIfTrue="1">
      <formula>AND(COUNTIF($D$8:$D$9,D256)+COUNTIF($D$1:$D$2,D256)+COUNTIF($D$11:$D$26,D256)+COUNTIF($D$28:$D$65536,D256)+COUNTIF($D$4:$D$4,D256)&gt;1,NOT(ISBLANK(D256)))</formula>
    </cfRule>
    <cfRule type="duplicateValues" dxfId="3300" priority="813" stopIfTrue="1"/>
    <cfRule type="duplicateValues" dxfId="3299" priority="814" stopIfTrue="1"/>
    <cfRule type="duplicateValues" dxfId="3298" priority="815" stopIfTrue="1"/>
    <cfRule type="duplicateValues" dxfId="3297" priority="806" stopIfTrue="1"/>
    <cfRule type="duplicateValues" dxfId="3296" priority="805" stopIfTrue="1"/>
    <cfRule type="duplicateValues" dxfId="3295" priority="771" stopIfTrue="1"/>
    <cfRule type="duplicateValues" dxfId="3294" priority="770" stopIfTrue="1"/>
    <cfRule type="duplicateValues" dxfId="3293" priority="804" stopIfTrue="1"/>
    <cfRule type="expression" dxfId="3292" priority="819" stopIfTrue="1">
      <formula>AND(COUNTIF($D$1:$D$350,D256)+COUNTIF($D$352:$D$372,D256)+COUNTIF($D$374:$D$65536,D256)&gt;1,NOT(ISBLANK(D256)))</formula>
    </cfRule>
  </conditionalFormatting>
  <conditionalFormatting sqref="D295">
    <cfRule type="duplicateValues" dxfId="3291" priority="1672" stopIfTrue="1"/>
    <cfRule type="expression" dxfId="3290" priority="1684" stopIfTrue="1">
      <formula>AND(COUNTIF($D$1:$D$350,D295)+COUNTIF($D$352:$D$372,D295)+COUNTIF($D$374:$D$65536,D295)&gt;1,NOT(ISBLANK(D295)))</formula>
    </cfRule>
    <cfRule type="duplicateValues" dxfId="3289" priority="1687" stopIfTrue="1"/>
    <cfRule type="duplicateValues" dxfId="3288" priority="1688" stopIfTrue="1"/>
    <cfRule type="duplicateValues" dxfId="3287" priority="1674" stopIfTrue="1"/>
    <cfRule type="duplicateValues" dxfId="3286" priority="1686" stopIfTrue="1"/>
    <cfRule type="duplicateValues" dxfId="3285" priority="1676" stopIfTrue="1"/>
    <cfRule type="duplicateValues" dxfId="3284" priority="1675" stopIfTrue="1"/>
    <cfRule type="expression" dxfId="3283" priority="1683" stopIfTrue="1">
      <formula>AND(COUNTIF($D$134:$D$142,D295)+COUNTIF($D$144:$D$65536,D295)+COUNTIF($D$1:$D$2,D295)+COUNTIF($D$8:$D$9,D295)+COUNTIF($D$11:$D$26,D295)+COUNTIF($D$28:$D$132,D295)+COUNTIF($D$4:$D$4,D295)&gt;1,NOT(ISBLANK(D295)))</formula>
    </cfRule>
    <cfRule type="duplicateValues" dxfId="3282" priority="1671" stopIfTrue="1"/>
    <cfRule type="expression" dxfId="3281" priority="1677" stopIfTrue="1">
      <formula>AND(COUNTIF($D$4:$D$65536,D295)+COUNTIF($D$1:$D$2,D295)&gt;1,NOT(ISBLANK(D295)))</formula>
    </cfRule>
    <cfRule type="expression" dxfId="3280" priority="1678" stopIfTrue="1">
      <formula>AND(COUNTIF($D$4:$D$65536,D295)+COUNTIF($D$1:$D$2,D295)&gt;1,NOT(ISBLANK(D295)))</formula>
    </cfRule>
    <cfRule type="duplicateValues" dxfId="3279" priority="1673" stopIfTrue="1"/>
    <cfRule type="duplicateValues" dxfId="3278" priority="1689" stopIfTrue="1"/>
    <cfRule type="expression" dxfId="3277" priority="1680" stopIfTrue="1">
      <formula>AND(COUNTIF($D$8:$D$9,D295)+COUNTIF($D$1:$D$2,D295)+COUNTIF($D$11:$D$26,D295)+COUNTIF($D$28:$D$65536,D295)+COUNTIF($D$4:$D$4,D295)&gt;1,NOT(ISBLANK(D295)))</formula>
    </cfRule>
  </conditionalFormatting>
  <conditionalFormatting sqref="D296">
    <cfRule type="duplicateValues" dxfId="3276" priority="845" stopIfTrue="1"/>
    <cfRule type="duplicateValues" dxfId="3275" priority="840" stopIfTrue="1"/>
    <cfRule type="duplicateValues" dxfId="3274" priority="843" stopIfTrue="1"/>
    <cfRule type="duplicateValues" dxfId="3273" priority="844" stopIfTrue="1"/>
  </conditionalFormatting>
  <conditionalFormatting sqref="D297:D318 D4:D206 D257:D295 D208:D255 D320:D423 D425:D452 D454:D486">
    <cfRule type="duplicateValues" dxfId="3272" priority="911" stopIfTrue="1"/>
  </conditionalFormatting>
  <conditionalFormatting sqref="D306">
    <cfRule type="duplicateValues" dxfId="3271" priority="1135" stopIfTrue="1"/>
    <cfRule type="duplicateValues" dxfId="3270" priority="1124" stopIfTrue="1"/>
    <cfRule type="duplicateValues" dxfId="3269" priority="1137" stopIfTrue="1"/>
    <cfRule type="duplicateValues" dxfId="3268" priority="1134" stopIfTrue="1"/>
    <cfRule type="duplicateValues" dxfId="3267" priority="1132" stopIfTrue="1"/>
    <cfRule type="duplicateValues" dxfId="3266" priority="1114" stopIfTrue="1"/>
    <cfRule type="duplicateValues" dxfId="3265" priority="1131" stopIfTrue="1"/>
    <cfRule type="duplicateValues" dxfId="3264" priority="1129" stopIfTrue="1"/>
    <cfRule type="duplicateValues" dxfId="3263" priority="1127" stopIfTrue="1"/>
    <cfRule type="duplicateValues" dxfId="3262" priority="1126" stopIfTrue="1"/>
    <cfRule type="duplicateValues" dxfId="3261" priority="1125" stopIfTrue="1"/>
    <cfRule type="duplicateValues" dxfId="3260" priority="1123" stopIfTrue="1"/>
    <cfRule type="duplicateValues" dxfId="3259" priority="1122" stopIfTrue="1"/>
    <cfRule type="duplicateValues" dxfId="3258" priority="1120" stopIfTrue="1"/>
    <cfRule type="duplicateValues" dxfId="3257" priority="1119" stopIfTrue="1"/>
    <cfRule type="duplicateValues" dxfId="3256" priority="1117" stopIfTrue="1"/>
    <cfRule type="duplicateValues" dxfId="3255" priority="1139" stopIfTrue="1"/>
    <cfRule type="duplicateValues" dxfId="3254" priority="1138" stopIfTrue="1"/>
    <cfRule type="duplicateValues" dxfId="3253" priority="1136" stopIfTrue="1"/>
  </conditionalFormatting>
  <conditionalFormatting sqref="D319">
    <cfRule type="duplicateValues" dxfId="3252" priority="909" stopIfTrue="1"/>
    <cfRule type="duplicateValues" dxfId="3251" priority="899" stopIfTrue="1"/>
    <cfRule type="duplicateValues" dxfId="3250" priority="902" stopIfTrue="1"/>
    <cfRule type="duplicateValues" dxfId="3249" priority="903" stopIfTrue="1"/>
    <cfRule type="duplicateValues" dxfId="3248" priority="907" stopIfTrue="1"/>
    <cfRule type="duplicateValues" dxfId="3247" priority="908" stopIfTrue="1"/>
    <cfRule type="duplicateValues" dxfId="3246" priority="900" stopIfTrue="1"/>
    <cfRule type="duplicateValues" dxfId="3245" priority="906" stopIfTrue="1"/>
    <cfRule type="duplicateValues" dxfId="3244" priority="885" stopIfTrue="1"/>
    <cfRule type="duplicateValues" dxfId="3243" priority="894" stopIfTrue="1"/>
    <cfRule type="duplicateValues" dxfId="3242" priority="897" stopIfTrue="1"/>
  </conditionalFormatting>
  <conditionalFormatting sqref="D353">
    <cfRule type="duplicateValues" dxfId="3241" priority="1090" stopIfTrue="1"/>
    <cfRule type="duplicateValues" dxfId="3240" priority="1088" stopIfTrue="1"/>
    <cfRule type="duplicateValues" dxfId="3239" priority="1083" stopIfTrue="1"/>
    <cfRule type="duplicateValues" dxfId="3238" priority="1085" stopIfTrue="1"/>
    <cfRule type="duplicateValues" dxfId="3237" priority="1086" stopIfTrue="1"/>
    <cfRule type="duplicateValues" dxfId="3236" priority="1092" stopIfTrue="1"/>
    <cfRule type="duplicateValues" dxfId="3235" priority="1093" stopIfTrue="1"/>
    <cfRule type="duplicateValues" dxfId="3234" priority="1091" stopIfTrue="1"/>
    <cfRule type="duplicateValues" dxfId="3233" priority="1080" stopIfTrue="1"/>
    <cfRule type="duplicateValues" dxfId="3232" priority="1089" stopIfTrue="1"/>
  </conditionalFormatting>
  <conditionalFormatting sqref="D354">
    <cfRule type="expression" dxfId="3231" priority="1561" stopIfTrue="1">
      <formula>AND(COUNTIF($D$1:$D$350,D354)+COUNTIF($D$352:$D$372,D354)+COUNTIF($D$374:$D$65536,D354)&gt;1,NOT(ISBLANK(D354)))</formula>
    </cfRule>
    <cfRule type="expression" dxfId="3230" priority="1560" stopIfTrue="1">
      <formula>AND(COUNTIF($D$134:$D$142,D354)+COUNTIF($D$144:$D$65536,D354)+COUNTIF($D$1:$D$2,D354)+COUNTIF($D$8:$D$9,D354)+COUNTIF($D$11:$D$26,D354)+COUNTIF($D$28:$D$132,D354)+COUNTIF($D$4:$D$4,D354)&gt;1,NOT(ISBLANK(D354)))</formula>
    </cfRule>
    <cfRule type="expression" dxfId="3229" priority="1557" stopIfTrue="1">
      <formula>AND(COUNTIF($D$8:$D$9,D354)+COUNTIF($D$1:$D$2,D354)+COUNTIF($D$11:$D$26,D354)+COUNTIF($D$28:$D$65536,D354)+COUNTIF($D$4:$D$4,D354)&gt;1,NOT(ISBLANK(D354)))</formula>
    </cfRule>
    <cfRule type="expression" dxfId="3228" priority="1555" stopIfTrue="1">
      <formula>AND(COUNTIF($D$4:$D$65536,D354)+COUNTIF($D$1:$D$2,D354)&gt;1,NOT(ISBLANK(D354)))</formula>
    </cfRule>
    <cfRule type="expression" dxfId="3227" priority="1554" stopIfTrue="1">
      <formula>AND(COUNTIF($D$4:$D$65536,D354)+COUNTIF($D$1:$D$2,D354)&gt;1,NOT(ISBLANK(D354)))</formula>
    </cfRule>
    <cfRule type="duplicateValues" dxfId="3226" priority="1564" stopIfTrue="1"/>
    <cfRule type="duplicateValues" dxfId="3225" priority="1553" stopIfTrue="1"/>
    <cfRule type="duplicateValues" dxfId="3224" priority="1552" stopIfTrue="1"/>
    <cfRule type="duplicateValues" dxfId="3223" priority="1551" stopIfTrue="1"/>
    <cfRule type="duplicateValues" dxfId="3222" priority="1550" stopIfTrue="1"/>
    <cfRule type="duplicateValues" dxfId="3221" priority="1563" stopIfTrue="1"/>
    <cfRule type="duplicateValues" dxfId="3220" priority="1566" stopIfTrue="1"/>
    <cfRule type="duplicateValues" dxfId="3219" priority="1549" stopIfTrue="1"/>
    <cfRule type="duplicateValues" dxfId="3218" priority="1565" stopIfTrue="1"/>
  </conditionalFormatting>
  <conditionalFormatting sqref="D364">
    <cfRule type="duplicateValues" dxfId="3217" priority="1291" stopIfTrue="1"/>
    <cfRule type="duplicateValues" dxfId="3216" priority="1292" stopIfTrue="1"/>
  </conditionalFormatting>
  <conditionalFormatting sqref="D365">
    <cfRule type="duplicateValues" dxfId="3215" priority="1109" stopIfTrue="1"/>
    <cfRule type="duplicateValues" dxfId="3214" priority="1108" stopIfTrue="1"/>
    <cfRule type="duplicateValues" dxfId="3213" priority="1107" stopIfTrue="1"/>
    <cfRule type="duplicateValues" dxfId="3212" priority="1105" stopIfTrue="1"/>
    <cfRule type="duplicateValues" dxfId="3211" priority="1104" stopIfTrue="1"/>
    <cfRule type="duplicateValues" dxfId="3210" priority="1102" stopIfTrue="1"/>
    <cfRule type="duplicateValues" dxfId="3209" priority="1112" stopIfTrue="1"/>
    <cfRule type="duplicateValues" dxfId="3208" priority="1099" stopIfTrue="1"/>
    <cfRule type="duplicateValues" dxfId="3207" priority="1111" stopIfTrue="1"/>
    <cfRule type="duplicateValues" dxfId="3206" priority="1110" stopIfTrue="1"/>
  </conditionalFormatting>
  <conditionalFormatting sqref="D386">
    <cfRule type="duplicateValues" dxfId="3205" priority="1289" stopIfTrue="1"/>
    <cfRule type="duplicateValues" dxfId="3204" priority="1290" stopIfTrue="1"/>
  </conditionalFormatting>
  <conditionalFormatting sqref="D393">
    <cfRule type="duplicateValues" dxfId="3203" priority="1298" stopIfTrue="1"/>
    <cfRule type="duplicateValues" dxfId="3202" priority="1294" stopIfTrue="1"/>
  </conditionalFormatting>
  <conditionalFormatting sqref="D394">
    <cfRule type="duplicateValues" dxfId="3201" priority="1603" stopIfTrue="1"/>
    <cfRule type="duplicateValues" dxfId="3200" priority="1617" stopIfTrue="1"/>
    <cfRule type="duplicateValues" dxfId="3199" priority="1616" stopIfTrue="1"/>
    <cfRule type="duplicateValues" dxfId="3198" priority="1604" stopIfTrue="1"/>
    <cfRule type="expression" dxfId="3197" priority="1605" stopIfTrue="1">
      <formula>AND(COUNTIF($D$4:$D$65536,D394)+COUNTIF($D$1:$D$2,D394)&gt;1,NOT(ISBLANK(D394)))</formula>
    </cfRule>
    <cfRule type="expression" dxfId="3196" priority="1608" stopIfTrue="1">
      <formula>AND(COUNTIF($D$8:$D$9,D394)+COUNTIF($D$1:$D$2,D394)+COUNTIF($D$11:$D$26,D394)+COUNTIF($D$28:$D$65536,D394)+COUNTIF($D$4:$D$4,D394)&gt;1,NOT(ISBLANK(D394)))</formula>
    </cfRule>
    <cfRule type="expression" dxfId="3195" priority="1611" stopIfTrue="1">
      <formula>AND(COUNTIF($D$134:$D$142,D394)+COUNTIF($D$144:$D$65536,D394)+COUNTIF($D$1:$D$2,D394)+COUNTIF($D$8:$D$9,D394)+COUNTIF($D$11:$D$26,D394)+COUNTIF($D$28:$D$132,D394)+COUNTIF($D$4:$D$4,D394)&gt;1,NOT(ISBLANK(D394)))</formula>
    </cfRule>
    <cfRule type="expression" dxfId="3194" priority="1612" stopIfTrue="1">
      <formula>AND(COUNTIF($D$1:$D$350,D394)+COUNTIF($D$352:$D$372,D394)+COUNTIF($D$374:$D$65536,D394)&gt;1,NOT(ISBLANK(D394)))</formula>
    </cfRule>
    <cfRule type="duplicateValues" dxfId="3193" priority="1614" stopIfTrue="1"/>
    <cfRule type="expression" dxfId="3192" priority="1606" stopIfTrue="1">
      <formula>AND(COUNTIF($D$4:$D$65536,D394)+COUNTIF($D$1:$D$2,D394)&gt;1,NOT(ISBLANK(D394)))</formula>
    </cfRule>
    <cfRule type="duplicateValues" dxfId="3191" priority="1615" stopIfTrue="1"/>
    <cfRule type="duplicateValues" dxfId="3190" priority="1601" stopIfTrue="1"/>
    <cfRule type="duplicateValues" dxfId="3189" priority="1602" stopIfTrue="1"/>
  </conditionalFormatting>
  <conditionalFormatting sqref="D394:D395">
    <cfRule type="duplicateValues" dxfId="3188" priority="1315" stopIfTrue="1"/>
  </conditionalFormatting>
  <conditionalFormatting sqref="D396">
    <cfRule type="duplicateValues" dxfId="3187" priority="1316" stopIfTrue="1"/>
  </conditionalFormatting>
  <conditionalFormatting sqref="D397">
    <cfRule type="duplicateValues" dxfId="3186" priority="1317" stopIfTrue="1"/>
  </conditionalFormatting>
  <conditionalFormatting sqref="D398">
    <cfRule type="duplicateValues" dxfId="3185" priority="1318" stopIfTrue="1"/>
  </conditionalFormatting>
  <conditionalFormatting sqref="D400">
    <cfRule type="duplicateValues" dxfId="3184" priority="1319" stopIfTrue="1"/>
  </conditionalFormatting>
  <conditionalFormatting sqref="D401">
    <cfRule type="duplicateValues" dxfId="3183" priority="1320" stopIfTrue="1"/>
  </conditionalFormatting>
  <conditionalFormatting sqref="D402">
    <cfRule type="duplicateValues" dxfId="3182" priority="1321" stopIfTrue="1"/>
  </conditionalFormatting>
  <conditionalFormatting sqref="D403">
    <cfRule type="duplicateValues" dxfId="3181" priority="1322" stopIfTrue="1"/>
  </conditionalFormatting>
  <conditionalFormatting sqref="D404">
    <cfRule type="duplicateValues" dxfId="3180" priority="1323" stopIfTrue="1"/>
  </conditionalFormatting>
  <conditionalFormatting sqref="D405">
    <cfRule type="duplicateValues" dxfId="3179" priority="1324" stopIfTrue="1"/>
  </conditionalFormatting>
  <conditionalFormatting sqref="D406">
    <cfRule type="duplicateValues" dxfId="3178" priority="1325" stopIfTrue="1"/>
  </conditionalFormatting>
  <conditionalFormatting sqref="D407">
    <cfRule type="duplicateValues" dxfId="3177" priority="1326" stopIfTrue="1"/>
  </conditionalFormatting>
  <conditionalFormatting sqref="D410">
    <cfRule type="duplicateValues" dxfId="3176" priority="1176" stopIfTrue="1"/>
    <cfRule type="duplicateValues" dxfId="3175" priority="1169" stopIfTrue="1"/>
    <cfRule type="duplicateValues" dxfId="3174" priority="1177" stopIfTrue="1"/>
    <cfRule type="duplicateValues" dxfId="3173" priority="1171" stopIfTrue="1"/>
    <cfRule type="duplicateValues" dxfId="3172" priority="1174" stopIfTrue="1"/>
    <cfRule type="duplicateValues" dxfId="3171" priority="1172" stopIfTrue="1"/>
    <cfRule type="duplicateValues" dxfId="3170" priority="1173" stopIfTrue="1"/>
    <cfRule type="duplicateValues" dxfId="3169" priority="1175" stopIfTrue="1"/>
    <cfRule type="duplicateValues" dxfId="3168" priority="1166" stopIfTrue="1"/>
    <cfRule type="duplicateValues" dxfId="3167" priority="1168" stopIfTrue="1"/>
  </conditionalFormatting>
  <conditionalFormatting sqref="D411">
    <cfRule type="duplicateValues" dxfId="3166" priority="1327" stopIfTrue="1"/>
  </conditionalFormatting>
  <conditionalFormatting sqref="D412">
    <cfRule type="duplicateValues" dxfId="3165" priority="1328" stopIfTrue="1"/>
  </conditionalFormatting>
  <conditionalFormatting sqref="D413">
    <cfRule type="expression" dxfId="3164" priority="1628" stopIfTrue="1">
      <formula>AND(COUNTIF($D$134:$D$142,D413)+COUNTIF($D$144:$D$65536,D413)+COUNTIF($D$1:$D$2,D413)+COUNTIF($D$8:$D$9,D413)+COUNTIF($D$11:$D$26,D413)+COUNTIF($D$28:$D$132,D413)+COUNTIF($D$4:$D$4,D413)&gt;1,NOT(ISBLANK(D413)))</formula>
    </cfRule>
    <cfRule type="expression" dxfId="3163" priority="1625" stopIfTrue="1">
      <formula>AND(COUNTIF($D$8:$D$9,D413)+COUNTIF($D$1:$D$2,D413)+COUNTIF($D$11:$D$26,D413)+COUNTIF($D$28:$D$65536,D413)+COUNTIF($D$4:$D$4,D413)&gt;1,NOT(ISBLANK(D413)))</formula>
    </cfRule>
    <cfRule type="expression" dxfId="3162" priority="1623" stopIfTrue="1">
      <formula>AND(COUNTIF($D$4:$D$65536,D413)+COUNTIF($D$1:$D$2,D413)&gt;1,NOT(ISBLANK(D413)))</formula>
    </cfRule>
    <cfRule type="expression" dxfId="3161" priority="1622" stopIfTrue="1">
      <formula>AND(COUNTIF($D$4:$D$65536,D413)+COUNTIF($D$1:$D$2,D413)&gt;1,NOT(ISBLANK(D413)))</formula>
    </cfRule>
    <cfRule type="duplicateValues" dxfId="3160" priority="1621" stopIfTrue="1"/>
    <cfRule type="duplicateValues" dxfId="3159" priority="1620" stopIfTrue="1"/>
    <cfRule type="duplicateValues" dxfId="3158" priority="1619" stopIfTrue="1"/>
    <cfRule type="duplicateValues" dxfId="3157" priority="1618" stopIfTrue="1"/>
    <cfRule type="duplicateValues" dxfId="3156" priority="1634" stopIfTrue="1"/>
    <cfRule type="duplicateValues" dxfId="3155" priority="1633" stopIfTrue="1"/>
    <cfRule type="duplicateValues" dxfId="3154" priority="1632" stopIfTrue="1"/>
    <cfRule type="duplicateValues" dxfId="3153" priority="1631" stopIfTrue="1"/>
    <cfRule type="expression" dxfId="3152" priority="1629" stopIfTrue="1">
      <formula>AND(COUNTIF($D$1:$D$350,D413)+COUNTIF($D$352:$D$372,D413)+COUNTIF($D$374:$D$65536,D413)&gt;1,NOT(ISBLANK(D413)))</formula>
    </cfRule>
  </conditionalFormatting>
  <conditionalFormatting sqref="D414">
    <cfRule type="duplicateValues" dxfId="3151" priority="1329" stopIfTrue="1"/>
  </conditionalFormatting>
  <conditionalFormatting sqref="D415">
    <cfRule type="duplicateValues" dxfId="3150" priority="1330" stopIfTrue="1"/>
  </conditionalFormatting>
  <conditionalFormatting sqref="D416">
    <cfRule type="duplicateValues" dxfId="3149" priority="1331" stopIfTrue="1"/>
  </conditionalFormatting>
  <conditionalFormatting sqref="D417">
    <cfRule type="duplicateValues" dxfId="3148" priority="1332" stopIfTrue="1"/>
  </conditionalFormatting>
  <conditionalFormatting sqref="D418">
    <cfRule type="duplicateValues" dxfId="3147" priority="1333" stopIfTrue="1"/>
  </conditionalFormatting>
  <conditionalFormatting sqref="D421">
    <cfRule type="duplicateValues" dxfId="3146" priority="1334" stopIfTrue="1"/>
  </conditionalFormatting>
  <conditionalFormatting sqref="D423">
    <cfRule type="duplicateValues" dxfId="3145" priority="1335" stopIfTrue="1"/>
  </conditionalFormatting>
  <conditionalFormatting sqref="D424">
    <cfRule type="duplicateValues" dxfId="3144" priority="644" stopIfTrue="1"/>
    <cfRule type="duplicateValues" dxfId="3143" priority="643" stopIfTrue="1"/>
    <cfRule type="duplicateValues" dxfId="3142" priority="650" stopIfTrue="1"/>
    <cfRule type="duplicateValues" dxfId="3141" priority="641" stopIfTrue="1"/>
    <cfRule type="duplicateValues" dxfId="3140" priority="651" stopIfTrue="1"/>
    <cfRule type="expression" dxfId="3139" priority="680" stopIfTrue="1">
      <formula>AND(COUNTIF($D$4:$D$65536,D424)+COUNTIF($D$1:$D$2,D424)&gt;1,NOT(ISBLANK(D424)))</formula>
    </cfRule>
    <cfRule type="duplicateValues" dxfId="3138" priority="646" stopIfTrue="1"/>
    <cfRule type="expression" dxfId="3137" priority="687" stopIfTrue="1">
      <formula>AND(COUNTIF($D$8:$D$9,D424)+COUNTIF($D$1:$D$2,D424)+COUNTIF($D$11:$D$26,D424)+COUNTIF($D$28:$D$65536,D424)+COUNTIF($D$4:$D$4,D424)&gt;1,NOT(ISBLANK(D424)))</formula>
    </cfRule>
    <cfRule type="duplicateValues" dxfId="3136" priority="638" stopIfTrue="1"/>
    <cfRule type="duplicateValues" dxfId="3135" priority="652" stopIfTrue="1"/>
    <cfRule type="expression" dxfId="3134" priority="661" stopIfTrue="1">
      <formula>AND(COUNTIF($D$134:$D$142,D424)+COUNTIF($D$144:$D$65536,D424)+COUNTIF($D$1:$D$2,D424)+COUNTIF($D$8:$D$9,D424)+COUNTIF($D$11:$D$26,D424)+COUNTIF($D$28:$D$132,D424)+COUNTIF($D$4:$D$4,D424)&gt;1,NOT(ISBLANK(D424)))</formula>
    </cfRule>
    <cfRule type="expression" dxfId="3133" priority="662" stopIfTrue="1">
      <formula>AND(COUNTIF($D$1:$D$350,D424)+COUNTIF($D$352:$D$372,D424)+COUNTIF($D$374:$D$65536,D424)&gt;1,NOT(ISBLANK(D424)))</formula>
    </cfRule>
    <cfRule type="duplicateValues" dxfId="3132" priority="620" stopIfTrue="1"/>
    <cfRule type="expression" dxfId="3131" priority="679" stopIfTrue="1">
      <formula>AND(COUNTIF($D$4:$D$65536,D424)+COUNTIF($D$1:$D$2,D424)&gt;1,NOT(ISBLANK(D424)))</formula>
    </cfRule>
    <cfRule type="duplicateValues" dxfId="3130" priority="649" stopIfTrue="1"/>
    <cfRule type="duplicateValues" dxfId="3129" priority="647" stopIfTrue="1"/>
    <cfRule type="duplicateValues" dxfId="3128" priority="648" stopIfTrue="1"/>
    <cfRule type="duplicateValues" dxfId="3127" priority="623" stopIfTrue="1"/>
    <cfRule type="duplicateValues" dxfId="3126" priority="629" stopIfTrue="1"/>
  </conditionalFormatting>
  <conditionalFormatting sqref="D425">
    <cfRule type="duplicateValues" dxfId="3125" priority="1337" stopIfTrue="1"/>
    <cfRule type="duplicateValues" dxfId="3124" priority="1336" stopIfTrue="1"/>
  </conditionalFormatting>
  <conditionalFormatting sqref="D426">
    <cfRule type="duplicateValues" dxfId="3123" priority="1338" stopIfTrue="1"/>
  </conditionalFormatting>
  <conditionalFormatting sqref="D428">
    <cfRule type="duplicateValues" dxfId="3122" priority="1346" stopIfTrue="1"/>
  </conditionalFormatting>
  <conditionalFormatting sqref="D429">
    <cfRule type="duplicateValues" dxfId="3121" priority="1347" stopIfTrue="1"/>
  </conditionalFormatting>
  <conditionalFormatting sqref="D430">
    <cfRule type="duplicateValues" dxfId="3120" priority="1348" stopIfTrue="1"/>
  </conditionalFormatting>
  <conditionalFormatting sqref="D431">
    <cfRule type="duplicateValues" dxfId="3119" priority="1349" stopIfTrue="1"/>
  </conditionalFormatting>
  <conditionalFormatting sqref="D432">
    <cfRule type="duplicateValues" dxfId="3118" priority="1350" stopIfTrue="1"/>
  </conditionalFormatting>
  <conditionalFormatting sqref="D434">
    <cfRule type="duplicateValues" dxfId="3117" priority="1652" stopIfTrue="1"/>
    <cfRule type="duplicateValues" dxfId="3116" priority="1637" stopIfTrue="1"/>
    <cfRule type="expression" dxfId="3115" priority="1641" stopIfTrue="1">
      <formula>AND(COUNTIF($D$4:$D$65536,D434)+COUNTIF($D$1:$D$2,D434)&gt;1,NOT(ISBLANK(D434)))</formula>
    </cfRule>
    <cfRule type="duplicateValues" dxfId="3114" priority="1650" stopIfTrue="1"/>
    <cfRule type="duplicateValues" dxfId="3113" priority="1639" stopIfTrue="1"/>
    <cfRule type="duplicateValues" dxfId="3112" priority="1638" stopIfTrue="1"/>
    <cfRule type="expression" dxfId="3111" priority="1647" stopIfTrue="1">
      <formula>AND(COUNTIF($D$1:$D$350,D434)+COUNTIF($D$352:$D$372,D434)+COUNTIF($D$374:$D$65536,D434)&gt;1,NOT(ISBLANK(D434)))</formula>
    </cfRule>
    <cfRule type="duplicateValues" dxfId="3110" priority="1651" stopIfTrue="1"/>
    <cfRule type="duplicateValues" dxfId="3109" priority="1649" stopIfTrue="1"/>
    <cfRule type="expression" dxfId="3108" priority="1640" stopIfTrue="1">
      <formula>AND(COUNTIF($D$4:$D$65536,D434)+COUNTIF($D$1:$D$2,D434)&gt;1,NOT(ISBLANK(D434)))</formula>
    </cfRule>
    <cfRule type="duplicateValues" dxfId="3107" priority="1636" stopIfTrue="1"/>
    <cfRule type="duplicateValues" dxfId="3106" priority="1635" stopIfTrue="1"/>
    <cfRule type="expression" dxfId="3105" priority="1646" stopIfTrue="1">
      <formula>AND(COUNTIF($D$134:$D$142,D434)+COUNTIF($D$144:$D$65536,D434)+COUNTIF($D$1:$D$2,D434)+COUNTIF($D$8:$D$9,D434)+COUNTIF($D$11:$D$26,D434)+COUNTIF($D$28:$D$132,D434)+COUNTIF($D$4:$D$4,D434)&gt;1,NOT(ISBLANK(D434)))</formula>
    </cfRule>
    <cfRule type="expression" dxfId="3104" priority="1643" stopIfTrue="1">
      <formula>AND(COUNTIF($D$8:$D$9,D434)+COUNTIF($D$1:$D$2,D434)+COUNTIF($D$11:$D$26,D434)+COUNTIF($D$28:$D$65536,D434)+COUNTIF($D$4:$D$4,D434)&gt;1,NOT(ISBLANK(D434)))</formula>
    </cfRule>
  </conditionalFormatting>
  <conditionalFormatting sqref="D436">
    <cfRule type="duplicateValues" dxfId="3103" priority="999" stopIfTrue="1"/>
    <cfRule type="duplicateValues" dxfId="3102" priority="998" stopIfTrue="1"/>
    <cfRule type="duplicateValues" dxfId="3101" priority="997" stopIfTrue="1"/>
    <cfRule type="duplicateValues" dxfId="3100" priority="996" stopIfTrue="1"/>
  </conditionalFormatting>
  <conditionalFormatting sqref="D437">
    <cfRule type="duplicateValues" dxfId="3099" priority="1351" stopIfTrue="1"/>
  </conditionalFormatting>
  <conditionalFormatting sqref="D438">
    <cfRule type="duplicateValues" dxfId="3098" priority="1352" stopIfTrue="1"/>
  </conditionalFormatting>
  <conditionalFormatting sqref="D439">
    <cfRule type="duplicateValues" dxfId="3097" priority="1353" stopIfTrue="1"/>
  </conditionalFormatting>
  <conditionalFormatting sqref="D440">
    <cfRule type="duplicateValues" dxfId="3096" priority="1354" stopIfTrue="1"/>
  </conditionalFormatting>
  <conditionalFormatting sqref="D441">
    <cfRule type="duplicateValues" dxfId="3095" priority="1355" stopIfTrue="1"/>
  </conditionalFormatting>
  <conditionalFormatting sqref="D442">
    <cfRule type="duplicateValues" dxfId="3094" priority="1293" stopIfTrue="1"/>
  </conditionalFormatting>
  <conditionalFormatting sqref="D453">
    <cfRule type="duplicateValues" dxfId="3093" priority="551" stopIfTrue="1"/>
    <cfRule type="duplicateValues" dxfId="3092" priority="560" stopIfTrue="1"/>
    <cfRule type="expression" dxfId="3091" priority="588" stopIfTrue="1">
      <formula>AND(COUNTIF($D$134:$D$142,D453)+COUNTIF($D$144:$D$65536,D453)+COUNTIF($D$1:$D$2,D453)+COUNTIF($D$8:$D$9,D453)+COUNTIF($D$11:$D$26,D453)+COUNTIF($D$28:$D$132,D453)+COUNTIF($D$4:$D$4,D453)&gt;1,NOT(ISBLANK(D453)))</formula>
    </cfRule>
    <cfRule type="duplicateValues" dxfId="3090" priority="563" stopIfTrue="1"/>
    <cfRule type="duplicateValues" dxfId="3089" priority="545" stopIfTrue="1"/>
    <cfRule type="duplicateValues" dxfId="3088" priority="565" stopIfTrue="1"/>
    <cfRule type="expression" dxfId="3087" priority="615" stopIfTrue="1">
      <formula>AND(COUNTIF($D$8:$D$9,D453)+COUNTIF($D$1:$D$2,D453)+COUNTIF($D$11:$D$26,D453)+COUNTIF($D$28:$D$65536,D453)+COUNTIF($D$4:$D$4,D453)&gt;1,NOT(ISBLANK(D453)))</formula>
    </cfRule>
    <cfRule type="duplicateValues" dxfId="3086" priority="566" stopIfTrue="1"/>
    <cfRule type="expression" dxfId="3085" priority="589" stopIfTrue="1">
      <formula>AND(COUNTIF($D$1:$D$350,D453)+COUNTIF($D$352:$D$372,D453)+COUNTIF($D$374:$D$65536,D453)&gt;1,NOT(ISBLANK(D453)))</formula>
    </cfRule>
    <cfRule type="duplicateValues" dxfId="3084" priority="576" stopIfTrue="1"/>
    <cfRule type="duplicateValues" dxfId="3083" priority="577" stopIfTrue="1"/>
    <cfRule type="duplicateValues" dxfId="3082" priority="578" stopIfTrue="1"/>
    <cfRule type="duplicateValues" dxfId="3081" priority="579" stopIfTrue="1"/>
    <cfRule type="expression" dxfId="3080" priority="608" stopIfTrue="1">
      <formula>AND(COUNTIF($D$4:$D$65536,D453)+COUNTIF($D$1:$D$2,D453)&gt;1,NOT(ISBLANK(D453)))</formula>
    </cfRule>
    <cfRule type="duplicateValues" dxfId="3079" priority="569" stopIfTrue="1"/>
    <cfRule type="duplicateValues" dxfId="3078" priority="542" stopIfTrue="1"/>
    <cfRule type="expression" dxfId="3077" priority="607" stopIfTrue="1">
      <formula>AND(COUNTIF($D$4:$D$65536,D453)+COUNTIF($D$1:$D$2,D453)&gt;1,NOT(ISBLANK(D453)))</formula>
    </cfRule>
    <cfRule type="duplicateValues" dxfId="3076" priority="568" stopIfTrue="1"/>
  </conditionalFormatting>
  <conditionalFormatting sqref="D481">
    <cfRule type="duplicateValues" dxfId="3075" priority="1153" stopIfTrue="1"/>
    <cfRule type="duplicateValues" dxfId="3074" priority="1151" stopIfTrue="1"/>
    <cfRule type="duplicateValues" dxfId="3073" priority="1150" stopIfTrue="1"/>
    <cfRule type="duplicateValues" dxfId="3072" priority="1148" stopIfTrue="1"/>
    <cfRule type="duplicateValues" dxfId="3071" priority="1162" stopIfTrue="1"/>
    <cfRule type="duplicateValues" dxfId="3070" priority="1164" stopIfTrue="1"/>
    <cfRule type="duplicateValues" dxfId="3069" priority="1163" stopIfTrue="1"/>
    <cfRule type="duplicateValues" dxfId="3068" priority="1161" stopIfTrue="1"/>
    <cfRule type="duplicateValues" dxfId="3067" priority="1154" stopIfTrue="1"/>
  </conditionalFormatting>
  <conditionalFormatting sqref="D482:D486 D435 D260:D294 D134:D140 D129:D132 D366:D409 D142:D170 D297:D318 D320:D352 D437:D452 D355:D364 D411:D423 D425:D433 D454:D480">
    <cfRule type="duplicateValues" dxfId="3066" priority="1179" stopIfTrue="1"/>
  </conditionalFormatting>
  <conditionalFormatting sqref="D485">
    <cfRule type="duplicateValues" dxfId="3065" priority="1668" stopIfTrue="1"/>
    <cfRule type="duplicateValues" dxfId="3064" priority="1667" stopIfTrue="1"/>
    <cfRule type="expression" dxfId="3063" priority="1665" stopIfTrue="1">
      <formula>AND(COUNTIF($D$1:$D$350,D485)+COUNTIF($D$352:$D$372,D485)+COUNTIF($D$374:$D$65536,D485)&gt;1,NOT(ISBLANK(D485)))</formula>
    </cfRule>
    <cfRule type="expression" dxfId="3062" priority="1664" stopIfTrue="1">
      <formula>AND(COUNTIF($D$134:$D$142,D485)+COUNTIF($D$144:$D$65536,D485)+COUNTIF($D$1:$D$2,D485)+COUNTIF($D$8:$D$9,D485)+COUNTIF($D$11:$D$26,D485)+COUNTIF($D$28:$D$132,D485)+COUNTIF($D$4:$D$4,D485)&gt;1,NOT(ISBLANK(D485)))</formula>
    </cfRule>
    <cfRule type="duplicateValues" dxfId="3061" priority="1653" stopIfTrue="1"/>
    <cfRule type="duplicateValues" dxfId="3060" priority="1654" stopIfTrue="1"/>
    <cfRule type="duplicateValues" dxfId="3059" priority="1670" stopIfTrue="1"/>
    <cfRule type="duplicateValues" dxfId="3058" priority="1655" stopIfTrue="1"/>
    <cfRule type="expression" dxfId="3057" priority="1658" stopIfTrue="1">
      <formula>AND(COUNTIF($D$4:$D$65536,D485)+COUNTIF($D$1:$D$2,D485)&gt;1,NOT(ISBLANK(D485)))</formula>
    </cfRule>
    <cfRule type="duplicateValues" dxfId="3056" priority="1656" stopIfTrue="1"/>
    <cfRule type="duplicateValues" dxfId="3055" priority="1669" stopIfTrue="1"/>
    <cfRule type="duplicateValues" dxfId="3054" priority="1657" stopIfTrue="1"/>
    <cfRule type="expression" dxfId="3053" priority="1659" stopIfTrue="1">
      <formula>AND(COUNTIF($D$4:$D$65536,D485)+COUNTIF($D$1:$D$2,D485)&gt;1,NOT(ISBLANK(D485)))</formula>
    </cfRule>
    <cfRule type="expression" dxfId="3052" priority="1661" stopIfTrue="1">
      <formula>AND(COUNTIF($D$8:$D$9,D485)+COUNTIF($D$1:$D$2,D485)+COUNTIF($D$11:$D$26,D485)+COUNTIF($D$28:$D$65536,D485)+COUNTIF($D$4:$D$4,D485)&gt;1,NOT(ISBLANK(D485)))</formula>
    </cfRule>
  </conditionalFormatting>
  <conditionalFormatting sqref="D486 D260:D294 D134:D140 D435 D411:D412 D482:D484 D129:D132 D366:D409 D142:D170 D297:D318 D320:D352 D437:D452 D355:D364 D414:D423 D425:D433 D454:D480">
    <cfRule type="duplicateValues" dxfId="3051" priority="1185" stopIfTrue="1"/>
    <cfRule type="duplicateValues" dxfId="3050" priority="1435" stopIfTrue="1"/>
    <cfRule type="duplicateValues" dxfId="3049" priority="1434" stopIfTrue="1"/>
    <cfRule type="duplicateValues" dxfId="3048" priority="1433" stopIfTrue="1"/>
    <cfRule type="duplicateValues" dxfId="3047" priority="1181" stopIfTrue="1"/>
    <cfRule type="duplicateValues" dxfId="3046" priority="1184" stopIfTrue="1"/>
    <cfRule type="duplicateValues" dxfId="3045" priority="1182" stopIfTrue="1"/>
    <cfRule type="duplicateValues" dxfId="3044" priority="1432" stopIfTrue="1"/>
  </conditionalFormatting>
  <conditionalFormatting sqref="D487">
    <cfRule type="duplicateValues" dxfId="3043" priority="871" stopIfTrue="1"/>
    <cfRule type="duplicateValues" dxfId="3042" priority="870" stopIfTrue="1"/>
    <cfRule type="duplicateValues" dxfId="3041" priority="868" stopIfTrue="1"/>
    <cfRule type="duplicateValues" dxfId="3040" priority="867" stopIfTrue="1"/>
    <cfRule type="duplicateValues" dxfId="3039" priority="853" stopIfTrue="1"/>
    <cfRule type="duplicateValues" dxfId="3038" priority="865" stopIfTrue="1"/>
    <cfRule type="duplicateValues" dxfId="3037" priority="881" stopIfTrue="1"/>
    <cfRule type="duplicateValues" dxfId="3036" priority="880" stopIfTrue="1"/>
    <cfRule type="duplicateValues" dxfId="3035" priority="879" stopIfTrue="1"/>
    <cfRule type="duplicateValues" dxfId="3034" priority="878" stopIfTrue="1"/>
    <cfRule type="duplicateValues" dxfId="3033" priority="862" stopIfTrue="1"/>
  </conditionalFormatting>
  <conditionalFormatting sqref="D488:D491 D493:D516">
    <cfRule type="duplicateValues" dxfId="3032" priority="1997" stopIfTrue="1"/>
  </conditionalFormatting>
  <conditionalFormatting sqref="D488:D516">
    <cfRule type="duplicateValues" dxfId="3031" priority="1955" stopIfTrue="1"/>
  </conditionalFormatting>
  <conditionalFormatting sqref="D492">
    <cfRule type="duplicateValues" dxfId="3030" priority="1965" stopIfTrue="1"/>
    <cfRule type="duplicateValues" dxfId="3029" priority="1992" stopIfTrue="1"/>
    <cfRule type="duplicateValues" dxfId="3028" priority="1983" stopIfTrue="1"/>
    <cfRule type="duplicateValues" dxfId="3027" priority="1982" stopIfTrue="1"/>
    <cfRule type="duplicateValues" dxfId="3026" priority="1984" stopIfTrue="1"/>
  </conditionalFormatting>
  <conditionalFormatting sqref="D493">
    <cfRule type="duplicateValues" dxfId="3025" priority="2088" stopIfTrue="1"/>
    <cfRule type="expression" dxfId="3024" priority="2205" stopIfTrue="1">
      <formula>AND(COUNTIF($D$4:$D$65536,D493)+COUNTIF($D$1:$D$2,D493)&gt;1,NOT(ISBLANK(D493)))</formula>
    </cfRule>
    <cfRule type="expression" dxfId="3023" priority="2204" stopIfTrue="1">
      <formula>AND(COUNTIF($D$4:$D$65536,D493)+COUNTIF($D$1:$D$2,D493)&gt;1,NOT(ISBLANK(D493)))</formula>
    </cfRule>
    <cfRule type="duplicateValues" dxfId="3022" priority="2089" stopIfTrue="1"/>
    <cfRule type="duplicateValues" dxfId="3021" priority="2090" stopIfTrue="1"/>
    <cfRule type="duplicateValues" dxfId="3020" priority="2077" stopIfTrue="1"/>
    <cfRule type="duplicateValues" dxfId="3019" priority="2083" stopIfTrue="1"/>
    <cfRule type="duplicateValues" dxfId="3018" priority="2085" stopIfTrue="1"/>
    <cfRule type="duplicateValues" dxfId="3017" priority="2086" stopIfTrue="1"/>
    <cfRule type="duplicateValues" dxfId="3016" priority="2080" stopIfTrue="1"/>
    <cfRule type="expression" dxfId="3015" priority="2128" stopIfTrue="1">
      <formula>AND(COUNTIF($D$1:$D$350,D493)+COUNTIF($D$352:$D$372,D493)+COUNTIF($D$374:$D$65536,D493)&gt;1,NOT(ISBLANK(D493)))</formula>
    </cfRule>
    <cfRule type="expression" dxfId="3014" priority="2127" stopIfTrue="1">
      <formula>AND(COUNTIF($D$134:$D$142,D493)+COUNTIF($D$144:$D$65536,D493)+COUNTIF($D$1:$D$2,D493)+COUNTIF($D$8:$D$9,D493)+COUNTIF($D$11:$D$26,D493)+COUNTIF($D$28:$D$132,D493)+COUNTIF($D$4:$D$4,D493)&gt;1,NOT(ISBLANK(D493)))</formula>
    </cfRule>
    <cfRule type="expression" dxfId="3013" priority="2212" stopIfTrue="1">
      <formula>AND(COUNTIF($D$8:$D$9,D493)+COUNTIF($D$1:$D$2,D493)+COUNTIF($D$11:$D$26,D493)+COUNTIF($D$28:$D$65536,D493)+COUNTIF($D$4:$D$4,D493)&gt;1,NOT(ISBLANK(D493)))</formula>
    </cfRule>
    <cfRule type="duplicateValues" dxfId="3012" priority="2082" stopIfTrue="1"/>
    <cfRule type="duplicateValues" dxfId="3011" priority="2087" stopIfTrue="1"/>
  </conditionalFormatting>
  <conditionalFormatting sqref="D494:D503 D505:D516 D488:D491">
    <cfRule type="duplicateValues" dxfId="3010" priority="2224" stopIfTrue="1"/>
    <cfRule type="duplicateValues" dxfId="3009" priority="2223" stopIfTrue="1"/>
    <cfRule type="duplicateValues" dxfId="3008" priority="2225" stopIfTrue="1"/>
    <cfRule type="duplicateValues" dxfId="3007" priority="2233" stopIfTrue="1"/>
  </conditionalFormatting>
  <conditionalFormatting sqref="D504">
    <cfRule type="duplicateValues" dxfId="3006" priority="2113" stopIfTrue="1"/>
    <cfRule type="duplicateValues" dxfId="3005" priority="2114" stopIfTrue="1"/>
    <cfRule type="duplicateValues" dxfId="3004" priority="2115" stopIfTrue="1"/>
    <cfRule type="duplicateValues" dxfId="3003" priority="2112" stopIfTrue="1"/>
  </conditionalFormatting>
  <conditionalFormatting sqref="D513">
    <cfRule type="duplicateValues" dxfId="3002" priority="2044" stopIfTrue="1"/>
    <cfRule type="duplicateValues" dxfId="3001" priority="2046" stopIfTrue="1"/>
    <cfRule type="duplicateValues" dxfId="3000" priority="2047" stopIfTrue="1"/>
    <cfRule type="duplicateValues" dxfId="2999" priority="2049" stopIfTrue="1"/>
    <cfRule type="duplicateValues" dxfId="2998" priority="2050" stopIfTrue="1"/>
    <cfRule type="duplicateValues" dxfId="2997" priority="2051" stopIfTrue="1"/>
    <cfRule type="duplicateValues" dxfId="2996" priority="2052" stopIfTrue="1"/>
    <cfRule type="expression" dxfId="2995" priority="2054" stopIfTrue="1">
      <formula>AND(COUNTIF($D$4:$D$65536,D513)+COUNTIF($D$1:$D$2,D513)&gt;1,NOT(ISBLANK(D513)))</formula>
    </cfRule>
    <cfRule type="expression" dxfId="2994" priority="2053" stopIfTrue="1">
      <formula>AND(COUNTIF($D$4:$D$65536,D513)+COUNTIF($D$1:$D$2,D513)&gt;1,NOT(ISBLANK(D513)))</formula>
    </cfRule>
    <cfRule type="duplicateValues" dxfId="2993" priority="2025" stopIfTrue="1"/>
    <cfRule type="expression" dxfId="2992" priority="2061" stopIfTrue="1">
      <formula>AND(COUNTIF($D$8:$D$9,D513)+COUNTIF($D$1:$D$2,D513)+COUNTIF($D$11:$D$26,D513)+COUNTIF($D$28:$D$65536,D513)+COUNTIF($D$4:$D$4,D513)&gt;1,NOT(ISBLANK(D513)))</formula>
    </cfRule>
    <cfRule type="expression" dxfId="2991" priority="2067" stopIfTrue="1">
      <formula>AND(COUNTIF($D$1:$D$363,D513)+COUNTIF($D$365:$D$385,D513)+COUNTIF($D$387:$D$65536,D513)&gt;1,NOT(ISBLANK(D513)))</formula>
    </cfRule>
    <cfRule type="expression" dxfId="2990" priority="2029" stopIfTrue="1">
      <formula>AND(COUNTIF($D$147:$D$155,D513)+COUNTIF($D$157:$D$65536,D513)+COUNTIF($D$1:$D$2,D513)+COUNTIF($D$8:$D$9,D513)+COUNTIF($D$11:$D$26,D513)+COUNTIF($D$28:$D$145,D513)+COUNTIF($D$4:$D$4,D513)&gt;1,NOT(ISBLANK(D513)))</formula>
    </cfRule>
    <cfRule type="duplicateValues" dxfId="2989" priority="2036" stopIfTrue="1"/>
    <cfRule type="duplicateValues" dxfId="2988" priority="2039" stopIfTrue="1"/>
    <cfRule type="duplicateValues" dxfId="2987" priority="2041" stopIfTrue="1"/>
    <cfRule type="duplicateValues" dxfId="2986" priority="2043" stopIfTrue="1"/>
  </conditionalFormatting>
  <conditionalFormatting sqref="D516 D514">
    <cfRule type="duplicateValues" dxfId="2985" priority="2005" stopIfTrue="1"/>
    <cfRule type="duplicateValues" dxfId="2984" priority="2006" stopIfTrue="1"/>
    <cfRule type="duplicateValues" dxfId="2983" priority="2007" stopIfTrue="1"/>
  </conditionalFormatting>
  <conditionalFormatting sqref="D517 F517">
    <cfRule type="expression" dxfId="2982" priority="3699" stopIfTrue="1">
      <formula>AND(COUNTIF($D$8:$F$9,D517)+COUNTIF($D$1:$F$2,D517)+COUNTIF($D$11:$F$26,D517)+COUNTIF($D$28:$F$65536,D517)+COUNTIF($D$4:$F$4,D517)&gt;1,NOT(ISBLANK(D517)))</formula>
    </cfRule>
  </conditionalFormatting>
  <conditionalFormatting sqref="D517">
    <cfRule type="duplicateValues" dxfId="2981" priority="3855" stopIfTrue="1"/>
    <cfRule type="expression" dxfId="2980" priority="3843" stopIfTrue="1">
      <formula>AND(COUNTIF($D$1:$D$363,D517)+COUNTIF($D$365:$D$385,D517)+COUNTIF($D$387:$D$65536,D517)&gt;1,NOT(ISBLANK(D517)))</formula>
    </cfRule>
    <cfRule type="expression" dxfId="2979" priority="3829" stopIfTrue="1">
      <formula>AND(COUNTIF($D$8:$D$9,D517)+COUNTIF($D$1:$D$2,D517)+COUNTIF($D$11:$D$26,D517)+COUNTIF($D$28:$D$65536,D517)+COUNTIF($D$4:$D$4,D517)&gt;1,NOT(ISBLANK(D517)))</formula>
    </cfRule>
    <cfRule type="expression" dxfId="2978" priority="3820" stopIfTrue="1">
      <formula>AND(COUNTIF($D$4:$D$65536,D517)+COUNTIF($D$1:$D$2,D517)&gt;1,NOT(ISBLANK(D517)))</formula>
    </cfRule>
    <cfRule type="expression" dxfId="2977" priority="3819" stopIfTrue="1">
      <formula>AND(COUNTIF($D$4:$D$65536,D517)+COUNTIF($D$1:$D$2,D517)&gt;1,NOT(ISBLANK(D517)))</formula>
    </cfRule>
    <cfRule type="duplicateValues" dxfId="2976" priority="3818" stopIfTrue="1"/>
    <cfRule type="duplicateValues" dxfId="2975" priority="3817" stopIfTrue="1"/>
    <cfRule type="duplicateValues" dxfId="2974" priority="3816" stopIfTrue="1"/>
    <cfRule type="duplicateValues" dxfId="2973" priority="3813" stopIfTrue="1"/>
    <cfRule type="duplicateValues" dxfId="2972" priority="3812" stopIfTrue="1"/>
    <cfRule type="duplicateValues" dxfId="2971" priority="3810" stopIfTrue="1"/>
    <cfRule type="duplicateValues" dxfId="2970" priority="3809" stopIfTrue="1"/>
    <cfRule type="duplicateValues" dxfId="2969" priority="3807" stopIfTrue="1"/>
    <cfRule type="duplicateValues" dxfId="2968" priority="3805" stopIfTrue="1"/>
    <cfRule type="duplicateValues" dxfId="2967" priority="3802" stopIfTrue="1"/>
    <cfRule type="expression" dxfId="2966" priority="3791" stopIfTrue="1">
      <formula>AND(COUNTIF($D$147:$D$155,D517)+COUNTIF($D$157:$D$65536,D517)+COUNTIF($D$1:$D$2,D517)+COUNTIF($D$8:$D$9,D517)+COUNTIF($D$11:$D$26,D517)+COUNTIF($D$28:$D$145,D517)+COUNTIF($D$4:$D$4,D517)&gt;1,NOT(ISBLANK(D517)))</formula>
    </cfRule>
    <cfRule type="duplicateValues" dxfId="2965" priority="3787" stopIfTrue="1"/>
    <cfRule type="duplicateValues" dxfId="2964" priority="3589" stopIfTrue="1"/>
    <cfRule type="duplicateValues" dxfId="2963" priority="3815" stopIfTrue="1"/>
  </conditionalFormatting>
  <conditionalFormatting sqref="D518">
    <cfRule type="duplicateValues" dxfId="2962" priority="11298" stopIfTrue="1"/>
    <cfRule type="duplicateValues" dxfId="2961" priority="12176" stopIfTrue="1"/>
    <cfRule type="duplicateValues" dxfId="2960" priority="12198" stopIfTrue="1"/>
    <cfRule type="duplicateValues" dxfId="2959" priority="11291" stopIfTrue="1"/>
    <cfRule type="duplicateValues" dxfId="2958" priority="11300" stopIfTrue="1"/>
    <cfRule type="duplicateValues" dxfId="2957" priority="12197" stopIfTrue="1"/>
    <cfRule type="duplicateValues" dxfId="2956" priority="12196" stopIfTrue="1"/>
    <cfRule type="duplicateValues" dxfId="2955" priority="11299" stopIfTrue="1"/>
  </conditionalFormatting>
  <conditionalFormatting sqref="D519:D520">
    <cfRule type="duplicateValues" dxfId="2954" priority="15153" stopIfTrue="1"/>
    <cfRule type="duplicateValues" dxfId="2953" priority="15154" stopIfTrue="1"/>
    <cfRule type="duplicateValues" dxfId="2952" priority="15156" stopIfTrue="1"/>
    <cfRule type="duplicateValues" dxfId="2951" priority="15157" stopIfTrue="1"/>
    <cfRule type="duplicateValues" dxfId="2950" priority="15159" stopIfTrue="1"/>
    <cfRule type="duplicateValues" dxfId="2949" priority="15160" stopIfTrue="1"/>
    <cfRule type="duplicateValues" dxfId="2948" priority="15161" stopIfTrue="1"/>
    <cfRule type="expression" dxfId="2947" priority="15163" stopIfTrue="1">
      <formula>AND(COUNTIF($D$4:$D$65536,D519)+COUNTIF($D$1:$D$2,D519)&gt;1,NOT(ISBLANK(D519)))</formula>
    </cfRule>
    <cfRule type="expression" dxfId="2946" priority="15164" stopIfTrue="1">
      <formula>AND(COUNTIF($D$4:$D$65536,D519)+COUNTIF($D$1:$D$2,D519)&gt;1,NOT(ISBLANK(D519)))</formula>
    </cfRule>
    <cfRule type="expression" dxfId="2945" priority="15174" stopIfTrue="1">
      <formula>AND(COUNTIF($D$8:$D$9,D519)+COUNTIF($D$1:$D$2,D519)+COUNTIF($D$11:$D$26,D519)+COUNTIF($D$28:$D$65536,D519)+COUNTIF($D$4:$D$4,D519)&gt;1,NOT(ISBLANK(D519)))</formula>
    </cfRule>
    <cfRule type="expression" dxfId="2944" priority="15177" stopIfTrue="1">
      <formula>AND(COUNTIF($D$310:$D$318,D519)+COUNTIF($D$320:$D$65536,D519)+COUNTIF($D$1:$D$2,D519)+COUNTIF($D$8:$D$9,D519)+COUNTIF($D$11:$D$26,D519)+COUNTIF($D$28:$D$308,D519)+COUNTIF($D$4:$D$4,D519)&gt;1,NOT(ISBLANK(D519)))</formula>
    </cfRule>
    <cfRule type="expression" dxfId="2943" priority="15189" stopIfTrue="1">
      <formula>AND(COUNTIF($D$1:$D$440,D519)+COUNTIF($D$442:$D$462,D519)+COUNTIF($D$464:$D$65536,D519)&gt;1,NOT(ISBLANK(D519)))</formula>
    </cfRule>
    <cfRule type="duplicateValues" dxfId="2942" priority="15129" stopIfTrue="1"/>
    <cfRule type="duplicateValues" dxfId="2941" priority="15143" stopIfTrue="1"/>
    <cfRule type="duplicateValues" dxfId="2940" priority="15146" stopIfTrue="1"/>
    <cfRule type="duplicateValues" dxfId="2939" priority="15149" stopIfTrue="1"/>
    <cfRule type="duplicateValues" dxfId="2938" priority="15151" stopIfTrue="1"/>
    <cfRule type="duplicateValues" dxfId="2937" priority="15162" stopIfTrue="1"/>
  </conditionalFormatting>
  <conditionalFormatting sqref="D521:D65536 D1:D3">
    <cfRule type="duplicateValues" dxfId="2936" priority="20452" stopIfTrue="1"/>
    <cfRule type="duplicateValues" dxfId="2935" priority="12637" stopIfTrue="1"/>
    <cfRule type="duplicateValues" dxfId="2934" priority="20453" stopIfTrue="1"/>
    <cfRule type="duplicateValues" dxfId="2933" priority="20428" stopIfTrue="1"/>
    <cfRule type="duplicateValues" dxfId="2932" priority="12069" stopIfTrue="1"/>
    <cfRule type="duplicateValues" dxfId="2931" priority="20434" stopIfTrue="1"/>
    <cfRule type="duplicateValues" dxfId="2930" priority="20433" stopIfTrue="1"/>
    <cfRule type="duplicateValues" dxfId="2929" priority="20432" stopIfTrue="1"/>
    <cfRule type="duplicateValues" dxfId="2928" priority="20429" stopIfTrue="1"/>
    <cfRule type="duplicateValues" dxfId="2927" priority="20431" stopIfTrue="1"/>
    <cfRule type="duplicateValues" dxfId="2926" priority="20430" stopIfTrue="1"/>
    <cfRule type="cellIs" dxfId="2925" priority="41123" stopIfTrue="1" operator="greaterThan">
      <formula>1131348846</formula>
    </cfRule>
    <cfRule type="duplicateValues" dxfId="2924" priority="20435" stopIfTrue="1"/>
    <cfRule type="duplicateValues" dxfId="2923" priority="12068" stopIfTrue="1"/>
  </conditionalFormatting>
  <conditionalFormatting sqref="D521:D65536">
    <cfRule type="duplicateValues" dxfId="2922" priority="19063" stopIfTrue="1"/>
    <cfRule type="duplicateValues" dxfId="2921" priority="19064" stopIfTrue="1"/>
  </conditionalFormatting>
  <conditionalFormatting sqref="D525:E533 D534:G65536">
    <cfRule type="expression" dxfId="2920" priority="36716" stopIfTrue="1">
      <formula>AND(COUNTIF($D$8:$F$9,D525)+COUNTIF($D$1:$F$2,D525)+COUNTIF($D$11:$F$26,D525)+COUNTIF($D$28:$F$65536,D525)+COUNTIF($D$4:$F$4,D525)&gt;1,NOT(ISBLANK(D525)))</formula>
    </cfRule>
  </conditionalFormatting>
  <conditionalFormatting sqref="D207:F207">
    <cfRule type="expression" dxfId="2919" priority="752" stopIfTrue="1">
      <formula>AND(COUNTIF($D$8:$F$9,D207)+COUNTIF($D$1:$F$2,D207)+COUNTIF($D$11:$F$26,D207)+COUNTIF($D$28:$F$65536,D207)+COUNTIF($D$4:$F$4,D207)&gt;1,NOT(ISBLANK(D207)))</formula>
    </cfRule>
    <cfRule type="expression" dxfId="2918" priority="715" stopIfTrue="1">
      <formula>AND(COUNTIF($B$8:$F$9,D207)+COUNTIF($B$11:$F$26,D207)+COUNTIF($B$28:$F$65536,D207)+COUNTIF($B$4:$F$4,D207)+COUNTIF($B$1:$F$2,D207)&gt;1,NOT(ISBLANK(D207)))</formula>
    </cfRule>
    <cfRule type="expression" dxfId="2917" priority="712" stopIfTrue="1">
      <formula>AND(COUNTIF($B$134:$F$142,D207)+COUNTIF($B$144:$F$65536,D207)+COUNTIF($B$8:$F$9,D207)+COUNTIF($B$11:$F$26,D207)+COUNTIF($B$28:$F$132,D207)+COUNTIF($B$4:$F$4,D207)+COUNTIF($B$1:$F$2,D207)&gt;1,NOT(ISBLANK(D207)))</formula>
    </cfRule>
    <cfRule type="expression" dxfId="2916" priority="751" stopIfTrue="1">
      <formula>AND(COUNTIF($C$134:$F$142,D207)+COUNTIF($C$144:$F$65536,D207)+COUNTIF($C$8:$F$9,D207)+COUNTIF($C$11:$F$26,D207)+COUNTIF($C$28:$F$132,D207)+COUNTIF($C$4:$F$4,D207)+COUNTIF($C$1:$F$2,D207)&gt;1,NOT(ISBLANK(D207)))</formula>
    </cfRule>
  </conditionalFormatting>
  <conditionalFormatting sqref="D256:F256 B256">
    <cfRule type="expression" dxfId="2915" priority="821" stopIfTrue="1">
      <formula>AND(COUNTIF($C$134:$F$142,B256)+COUNTIF($C$144:$F$65536,B256)+COUNTIF($C$8:$F$9,B256)+COUNTIF($C$11:$F$26,B256)+COUNTIF($C$28:$F$132,B256)+COUNTIF($C$4:$F$4,B256)+COUNTIF($C$1:$F$2,B256)&gt;1,NOT(ISBLANK(B256)))</formula>
    </cfRule>
  </conditionalFormatting>
  <conditionalFormatting sqref="D256:F256">
    <cfRule type="expression" dxfId="2914" priority="785" stopIfTrue="1">
      <formula>AND(COUNTIF($B$8:$F$9,D256)+COUNTIF($B$11:$F$26,D256)+COUNTIF($B$28:$F$65536,D256)+COUNTIF($B$4:$F$4,D256)+COUNTIF($B$1:$F$2,D256)&gt;1,NOT(ISBLANK(D256)))</formula>
    </cfRule>
    <cfRule type="expression" dxfId="2913" priority="822" stopIfTrue="1">
      <formula>AND(COUNTIF($D$8:$F$9,D256)+COUNTIF($D$1:$F$2,D256)+COUNTIF($D$11:$F$26,D256)+COUNTIF($D$28:$F$65536,D256)+COUNTIF($D$4:$F$4,D256)&gt;1,NOT(ISBLANK(D256)))</formula>
    </cfRule>
    <cfRule type="expression" dxfId="2912" priority="782" stopIfTrue="1">
      <formula>AND(COUNTIF($B$134:$F$142,D256)+COUNTIF($B$144:$F$65536,D256)+COUNTIF($B$8:$F$9,D256)+COUNTIF($B$11:$F$26,D256)+COUNTIF($B$28:$F$132,D256)+COUNTIF($B$4:$F$4,D256)+COUNTIF($B$1:$F$2,D256)&gt;1,NOT(ISBLANK(D256)))</formula>
    </cfRule>
  </conditionalFormatting>
  <conditionalFormatting sqref="D257:F423 D28:F79 E80:F80 D81:F206 D425:F452 D454:F487 D4:F4 D8:F9 D11:F26 D208:F255">
    <cfRule type="expression" dxfId="2911" priority="1926" stopIfTrue="1">
      <formula>AND(COUNTIF($D$8:$F$9,D4)+COUNTIF($D$1:$F$2,D4)+COUNTIF($D$11:$F$26,D4)+COUNTIF($D$28:$F$65536,D4)+COUNTIF($D$4:$F$4,D4)&gt;1,NOT(ISBLANK(D4)))</formula>
    </cfRule>
  </conditionalFormatting>
  <conditionalFormatting sqref="D424:F424 B424">
    <cfRule type="expression" dxfId="2910" priority="671" stopIfTrue="1">
      <formula>AND(COUNTIF($B$134:$F$142,B424)+COUNTIF($B$144:$F$65536,B424)+COUNTIF($B$8:$F$9,B424)+COUNTIF($B$11:$F$26,B424)+COUNTIF($B$28:$F$132,B424)+COUNTIF($B$4:$F$4,B424)+COUNTIF($B$1:$F$2,B424)&gt;1,NOT(ISBLANK(B424)))</formula>
    </cfRule>
    <cfRule type="expression" dxfId="2909" priority="684" stopIfTrue="1">
      <formula>AND(COUNTIF($B$8:$F$9,B424)+COUNTIF($B$11:$F$26,B424)+COUNTIF($B$28:$F$65536,B424)+COUNTIF($B$4:$F$4,B424)+COUNTIF($B$1:$F$2,B424)&gt;1,NOT(ISBLANK(B424)))</formula>
    </cfRule>
  </conditionalFormatting>
  <conditionalFormatting sqref="D424:F424">
    <cfRule type="expression" dxfId="2908" priority="674" stopIfTrue="1">
      <formula>AND(COUNTIF($D$8:$F$9,D424)+COUNTIF($D$1:$F$2,D424)+COUNTIF($D$11:$F$26,D424)+COUNTIF($D$28:$F$65536,D424)+COUNTIF($D$4:$F$4,D424)&gt;1,NOT(ISBLANK(D424)))</formula>
    </cfRule>
    <cfRule type="expression" dxfId="2907" priority="670" stopIfTrue="1">
      <formula>AND(COUNTIF($C$134:$F$142,D424)+COUNTIF($C$144:$F$65536,D424)+COUNTIF($C$8:$F$9,D424)+COUNTIF($C$11:$F$26,D424)+COUNTIF($C$28:$F$132,D424)+COUNTIF($C$4:$F$4,D424)+COUNTIF($C$1:$F$2,D424)&gt;1,NOT(ISBLANK(D424)))</formula>
    </cfRule>
  </conditionalFormatting>
  <conditionalFormatting sqref="D453:F453 B453">
    <cfRule type="expression" dxfId="2906" priority="612" stopIfTrue="1">
      <formula>AND(COUNTIF($B$8:$F$9,B453)+COUNTIF($B$11:$F$26,B453)+COUNTIF($B$28:$F$65536,B453)+COUNTIF($B$4:$F$4,B453)+COUNTIF($B$1:$F$2,B453)&gt;1,NOT(ISBLANK(B453)))</formula>
    </cfRule>
    <cfRule type="expression" dxfId="2905" priority="596" stopIfTrue="1">
      <formula>AND(COUNTIF($B$379:$F$472,B453)+COUNTIF($C$473:$F$474,B453)&gt;1,NOT(ISBLANK(B453)))</formula>
    </cfRule>
    <cfRule type="expression" dxfId="2904" priority="599" stopIfTrue="1">
      <formula>AND(COUNTIF($B$134:$F$142,B453)+COUNTIF($B$144:$F$65536,B453)+COUNTIF($B$8:$F$9,B453)+COUNTIF($B$11:$F$26,B453)+COUNTIF($B$28:$F$132,B453)+COUNTIF($B$4:$F$4,B453)+COUNTIF($B$1:$F$2,B453)&gt;1,NOT(ISBLANK(B453)))</formula>
    </cfRule>
  </conditionalFormatting>
  <conditionalFormatting sqref="D453:F453">
    <cfRule type="expression" dxfId="2903" priority="602" stopIfTrue="1">
      <formula>AND(COUNTIF($D$8:$F$9,D453)+COUNTIF($D$1:$F$2,D453)+COUNTIF($D$11:$F$26,D453)+COUNTIF($D$28:$F$65536,D453)+COUNTIF($D$4:$F$4,D453)&gt;1,NOT(ISBLANK(D453)))</formula>
    </cfRule>
    <cfRule type="expression" dxfId="2902" priority="598" stopIfTrue="1">
      <formula>AND(COUNTIF($C$134:$F$142,D453)+COUNTIF($C$144:$F$65536,D453)+COUNTIF($C$8:$F$9,D453)+COUNTIF($C$11:$F$26,D453)+COUNTIF($C$28:$F$132,D453)+COUNTIF($C$4:$F$4,D453)+COUNTIF($C$1:$F$2,D453)&gt;1,NOT(ISBLANK(D453)))</formula>
    </cfRule>
  </conditionalFormatting>
  <conditionalFormatting sqref="D487:F487">
    <cfRule type="expression" dxfId="2901" priority="882" stopIfTrue="1">
      <formula>AND(COUNTIF($B$379:$F$472,D487)+COUNTIF($C$473:$F$474,D487)&gt;1,NOT(ISBLANK(D487)))</formula>
    </cfRule>
  </conditionalFormatting>
  <conditionalFormatting sqref="D488:F491">
    <cfRule type="expression" dxfId="2900" priority="2192" stopIfTrue="1">
      <formula>AND(COUNTIF($B$8:$F$9,D488)+COUNTIF($B$11:$F$26,D488)+COUNTIF($B$28:$F$65536,D488)+COUNTIF($B$4:$F$4,D488)+COUNTIF($B$1:$F$2,D488)&gt;1,NOT(ISBLANK(D488)))</formula>
    </cfRule>
    <cfRule type="expression" dxfId="2899" priority="2189" stopIfTrue="1">
      <formula>AND(COUNTIF($B$147:$F$155,D488)+COUNTIF($B$157:$F$65536,D488)+COUNTIF($B$8:$F$9,D488)+COUNTIF($B$11:$F$26,D488)+COUNTIF($B$28:$F$145,D488)+COUNTIF($B$4:$F$4,D488)+COUNTIF($B$1:$F$2,D488)&gt;1,NOT(ISBLANK(D488)))</formula>
    </cfRule>
  </conditionalFormatting>
  <conditionalFormatting sqref="D492:F492 B488:B492">
    <cfRule type="expression" dxfId="2898" priority="1972" stopIfTrue="1">
      <formula>AND(COUNTIF($B$147:$F$155,B488)+COUNTIF($B$157:$F$65536,B488)+COUNTIF($B$8:$F$9,B488)+COUNTIF($B$11:$F$26,B488)+COUNTIF($B$28:$F$145,B488)+COUNTIF($B$4:$F$4,B488)+COUNTIF($B$1:$F$2,B488)&gt;1,NOT(ISBLANK(B488)))</formula>
    </cfRule>
  </conditionalFormatting>
  <conditionalFormatting sqref="D492:F492">
    <cfRule type="expression" dxfId="2897" priority="1966" stopIfTrue="1">
      <formula>AND(COUNTIF($C$147:$F$155,D492)+COUNTIF($C$157:$F$65536,D492)+COUNTIF($C$8:$F$9,D492)+COUNTIF($C$11:$F$26,D492)+COUNTIF($C$28:$F$145,D492)+COUNTIF($C$4:$F$4,D492)+COUNTIF($C$1:$F$2,D492)&gt;1,NOT(ISBLANK(D492)))</formula>
    </cfRule>
    <cfRule type="expression" dxfId="2896" priority="1968" stopIfTrue="1">
      <formula>AND(COUNTIF($D$8:$F$9,D492)+COUNTIF($D$1:$F$2,D492)+COUNTIF($D$11:$F$26,D492)+COUNTIF($D$28:$F$65536,D492)+COUNTIF($D$4:$F$4,D492)&gt;1,NOT(ISBLANK(D492)))</formula>
    </cfRule>
  </conditionalFormatting>
  <conditionalFormatting sqref="D493:F493 B493">
    <cfRule type="expression" dxfId="2895" priority="2124" stopIfTrue="1">
      <formula>AND(COUNTIF($B$134:$F$142,B493)+COUNTIF($B$144:$F$65536,B493)+COUNTIF($B$8:$F$9,B493)+COUNTIF($B$11:$F$26,B493)+COUNTIF($B$28:$F$132,B493)+COUNTIF($B$4:$F$4,B493)+COUNTIF($B$1:$F$2,B493)&gt;1,NOT(ISBLANK(B493)))</formula>
    </cfRule>
    <cfRule type="expression" dxfId="2894" priority="2209" stopIfTrue="1">
      <formula>AND(COUNTIF($B$8:$F$9,B493)+COUNTIF($B$11:$F$26,B493)+COUNTIF($B$28:$F$65536,B493)+COUNTIF($B$4:$F$4,B493)+COUNTIF($B$1:$F$2,B493)&gt;1,NOT(ISBLANK(B493)))</formula>
    </cfRule>
  </conditionalFormatting>
  <conditionalFormatting sqref="D493:F493">
    <cfRule type="expression" dxfId="2893" priority="2111" stopIfTrue="1">
      <formula>AND(COUNTIF($C$134:$F$142,D493)+COUNTIF($C$144:$F$65536,D493)+COUNTIF($C$8:$F$9,D493)+COUNTIF($C$11:$F$26,D493)+COUNTIF($C$28:$F$132,D493)+COUNTIF($C$4:$F$4,D493)+COUNTIF($C$1:$F$2,D493)&gt;1,NOT(ISBLANK(D493)))</formula>
    </cfRule>
  </conditionalFormatting>
  <conditionalFormatting sqref="D493:F516 D488:F491">
    <cfRule type="expression" dxfId="2892" priority="2107" stopIfTrue="1">
      <formula>AND(COUNTIF($D$8:$F$9,D488)+COUNTIF($D$1:$F$2,D488)+COUNTIF($D$11:$F$26,D488)+COUNTIF($D$28:$F$65536,D488)+COUNTIF($D$4:$F$4,D488)&gt;1,NOT(ISBLANK(D488)))</formula>
    </cfRule>
  </conditionalFormatting>
  <conditionalFormatting sqref="D494:F516 B514 D488:F491">
    <cfRule type="expression" dxfId="2891" priority="2092" stopIfTrue="1">
      <formula>AND(COUNTIF($C$147:$F$155,B488)+COUNTIF($C$157:$F$65536,B488)+COUNTIF($C$8:$F$9,B488)+COUNTIF($C$11:$F$26,B488)+COUNTIF($C$28:$F$145,B488)+COUNTIF($C$4:$F$4,B488)+COUNTIF($C$1:$F$2,B488)&gt;1,NOT(ISBLANK(B488)))</formula>
    </cfRule>
  </conditionalFormatting>
  <conditionalFormatting sqref="D513:F513">
    <cfRule type="expression" dxfId="2890" priority="2026" stopIfTrue="1">
      <formula>AND(COUNTIF($B$147:$F$155,D513)+COUNTIF($B$157:$F$65536,D513)+COUNTIF($B$8:$F$9,D513)+COUNTIF($B$11:$F$26,D513)+COUNTIF($B$28:$F$145,D513)+COUNTIF($B$4:$F$4,D513)+COUNTIF($B$1:$F$2,D513)&gt;1,NOT(ISBLANK(D513)))</formula>
    </cfRule>
    <cfRule type="expression" dxfId="2889" priority="2058" stopIfTrue="1">
      <formula>AND(COUNTIF($B$8:$F$9,D513)+COUNTIF($B$11:$F$26,D513)+COUNTIF($B$28:$F$65536,D513)+COUNTIF($B$4:$F$4,D513)+COUNTIF($B$1:$F$2,D513)&gt;1,NOT(ISBLANK(D513)))</formula>
    </cfRule>
  </conditionalFormatting>
  <conditionalFormatting sqref="D1:G1 D518:G524 D2:E2 G517 AJ518:AK518 AI173:AK191 AI45:AK47 AI98:AK98 AI110:AK110 AI125:AK125 AI127:AK127 AI138:AK138 AI417:AK418 AI140:AK164 AI491:AK491 Z102:AB103 Z107:AB109 Z119:AB119 Z125:AB126 Z128:AB130 AI137 Z141:AB141 Z145:AB145 Z149:AB150 Z156:AB156 Z163:AB167 Z170:AB171 Z192:AB192 AI197:AK217 Z204:AB204 Z217:AB217 Z221:AB221 Z225:AB225 Z231:AB266 AI238:AK253 AI275:AK276 Z279:AB322 AI281:AK299 Z361:AB361 AI372:AK373 Z372:AB379 AI385:AK386 AI391:AK391 AI393:AK393 AI396:AK396 AI405:AK407 AI411:AK411 Z411:AB412 AI413:AK413 Z414:AB415 AI423:AK424 Z427:AB427 AI428:AK429 AI434:AK434 Z439:AB439 Z450:AB450 AI453:AK453 Z454:AB455 Z460:AB464 Z467:AB467 Z468 Z476:AB476 Z486:AB487">
    <cfRule type="expression" dxfId="2888" priority="13595" stopIfTrue="1">
      <formula>AND(COUNTIF($D$8:$F$9,D1)+COUNTIF($D$1:$F$2,D1)+COUNTIF($D$11:$F$26,D1)+COUNTIF($D$28:$F$65536,D1)+COUNTIF($D$4:$F$4,D1)&gt;1,NOT(ISBLANK(D1)))</formula>
    </cfRule>
  </conditionalFormatting>
  <conditionalFormatting sqref="E1:E2 AA102:AA103 AA107:AA109 AA119 AA125:AA126 AA128:AA130 AA141 AA145 AA149:AA150 AA156 AA163:AA167 AA170:AA171 AA192 AA204 AA217 AA221 AA225 AA231:AA266 AA279:AA322 AA361 AA372:AA379 AA411:AA412 AA414:AA415 AA427 AA439 AA450 AA454:AA455 AA460:AA464 AA467 AA476 AA486:AA487 E521:E65536">
    <cfRule type="expression" dxfId="2887" priority="52094" stopIfTrue="1">
      <formula>AND(COUNTIF($E$4:$E$65536,E1)+COUNTIF($E$1:$E$2,E1)&gt;1,NOT(ISBLANK(E1)))</formula>
    </cfRule>
    <cfRule type="expression" dxfId="2886" priority="52130" stopIfTrue="1">
      <formula>AND(COUNTIF($E$8:$E$9,E1)+COUNTIF($E$1:$E$2,E1)+COUNTIF($E$11:$E$26,E1)+COUNTIF($E$28:$E$65536,E1)+COUNTIF($E$4:$E$4,E1)&gt;1,NOT(ISBLANK(E1)))</formula>
    </cfRule>
  </conditionalFormatting>
  <conditionalFormatting sqref="E1:E2 AA102:AA103 AA107:AA109 AA119 AA125:AA126 AA128:AA130 AJ140 AA141 AJ142:AJ164 AA145 AA149:AA150 AA156 AA163:AA167 AA170:AA171 AJ173:AJ191 AA192 AJ197:AJ217 AA204 AA217 AA221 AA225 AA231:AA266 AJ238:AJ253 AJ275:AJ276 AA279:AA295 AJ281:AJ299 AA297:AA305 AA307:AA322 AA361 AJ372:AJ373 AA372:AA379 AJ385:AJ386 AJ391 AJ393 AJ396 AJ405:AJ407 AJ411 AA411:AA412 AJ413 AA414:AA415 AJ417 AJ423:AJ424 AA427 AJ428:AJ429 AJ434 AA439 AA450 AJ453 AA454:AA455 AA460:AA464 AA467 AA476 AA486:AA487 AJ491 AK518 E521:E65536">
    <cfRule type="expression" dxfId="2885" priority="52129" stopIfTrue="1">
      <formula>AND(COUNTIF($E$297:$E$305,E1)+COUNTIF($E$1:$E$2,E1)+COUNTIF($E$307:$E$65536,E1)+COUNTIF($E$8:$E$9,E1)+COUNTIF($E$11:$E$26,E1)+COUNTIF($E$28:$E$295,E1)+COUNTIF($E$4:$E$4,E1)&gt;1,NOT(ISBLANK(E1)))</formula>
    </cfRule>
    <cfRule type="expression" dxfId="2884" priority="52128" stopIfTrue="1">
      <formula>AND(COUNTIF($E$509:$E$65536,E1)+COUNTIF($E$1:$E$2,E1)+COUNTIF($E$297:$E$305,E1)+COUNTIF($E$307:$E$507,E1)+COUNTIF($E$8:$E$9,E1)+COUNTIF($E$11:$E$26,E1)+COUNTIF($E$28:$E$295,E1)+COUNTIF($E$4:$E$4,E1)&gt;1,NOT(ISBLANK(E1)))</formula>
    </cfRule>
  </conditionalFormatting>
  <conditionalFormatting sqref="E1:E3 E517:E65536">
    <cfRule type="duplicateValues" dxfId="2883" priority="2355" stopIfTrue="1"/>
  </conditionalFormatting>
  <conditionalFormatting sqref="E4 E8:E9 E11:E14 E16 E18:E26 E30:E50 E171:E178 E180:E199 E201:E206 E208:E249 E251:E255 E257:E259">
    <cfRule type="expression" dxfId="2882" priority="1854" stopIfTrue="1">
      <formula>AND(COUNTIF($E$8:$E$9,E4)+COUNTIF($E$1:$E$2,E4)+COUNTIF($E$11:$E$26,E4)+COUNTIF($E$28:$E$65536,E4)+COUNTIF($E$4:$E$4,E4)&gt;1,NOT(ISBLANK(E4)))</formula>
    </cfRule>
  </conditionalFormatting>
  <conditionalFormatting sqref="E4 E8:E9 E18:E26 E180:E199 E201:E206 E11:E14 E16 E30:E50 E208:E249 E251:E255">
    <cfRule type="expression" dxfId="2881" priority="1853" stopIfTrue="1">
      <formula>AND(COUNTIF($E$134:$E$142,E4)+COUNTIF($E$1:$E$2,E4)+COUNTIF($E$144:$E$65536,E4)+COUNTIF($E$8:$E$9,E4)+COUNTIF($E$11:$E$26,E4)+COUNTIF($E$28:$E$132,E4)+COUNTIF($E$4:$E$4,E4)&gt;1,NOT(ISBLANK(E4)))</formula>
    </cfRule>
  </conditionalFormatting>
  <conditionalFormatting sqref="E4:E14 E16:E27 E30:E52 E54:E206 E208:E249 E251:E255 E257:E294">
    <cfRule type="expression" dxfId="2880" priority="1933" stopIfTrue="1">
      <formula>AND(COUNTIF($E$4:$E$65536,E4)+COUNTIF($E$1:$E$2,E4)&gt;1,NOT(ISBLANK(E4)))</formula>
    </cfRule>
    <cfRule type="expression" dxfId="2879" priority="1934" stopIfTrue="1">
      <formula>AND(COUNTIF($E$4:$E$65536,E4)+COUNTIF($E$1:$E$2,E4)&gt;1,NOT(ISBLANK(E4)))</formula>
    </cfRule>
  </conditionalFormatting>
  <conditionalFormatting sqref="E4:E16 E18:E26 E78:E89 E171:E178 E180:E199 E28:E76 E201:E206 E257:E259 E208:E255">
    <cfRule type="duplicateValues" dxfId="2878" priority="949" stopIfTrue="1"/>
    <cfRule type="duplicateValues" dxfId="2877" priority="948" stopIfTrue="1"/>
  </conditionalFormatting>
  <conditionalFormatting sqref="E4:E16 E18:E26 E180:E199 E28:E89 E171:E178 E201:E206 E257:E259 E208:E255">
    <cfRule type="duplicateValues" dxfId="2876" priority="947" stopIfTrue="1"/>
    <cfRule type="duplicateValues" dxfId="2875" priority="946" stopIfTrue="1"/>
  </conditionalFormatting>
  <conditionalFormatting sqref="E4:E206 E208:E423 E425:E452 E454:E487">
    <cfRule type="duplicateValues" dxfId="2874" priority="762" stopIfTrue="1"/>
  </conditionalFormatting>
  <conditionalFormatting sqref="E4:E206 E257:E295 E208:E255 E297:E423 E425:E452 E454:E487">
    <cfRule type="duplicateValues" dxfId="2873" priority="851" stopIfTrue="1"/>
  </conditionalFormatting>
  <conditionalFormatting sqref="E11:E16 E29:E50 E53 E208:E255 E295">
    <cfRule type="expression" dxfId="2872" priority="1838" stopIfTrue="1">
      <formula>AND(COUNTIF($E$486:$E$65536,E11)+COUNTIF($E$1:$E$2,E11)+COUNTIF($E$134:$E$142,E11)+COUNTIF($E$144:$E$483,E11)+COUNTIF($E$8:$E$9,E11)+COUNTIF($E$11:$E$26,E11)+COUNTIF($E$28:$E$132,E11)+COUNTIF($E$4:$E$4,E11)&gt;1,NOT(ISBLANK(E11)))</formula>
    </cfRule>
  </conditionalFormatting>
  <conditionalFormatting sqref="E15 E29 E53 E250 E295">
    <cfRule type="expression" dxfId="2871" priority="1839" stopIfTrue="1">
      <formula>AND(COUNTIF($E$134:$E$142,E15)+COUNTIF($E$1:$E$2,E15)+COUNTIF($E$144:$E$65536,E15)+COUNTIF($E$8:$E$9,E15)+COUNTIF($E$11:$E$26,E15)+COUNTIF($E$28:$E$132,E15)+COUNTIF($E$4:$E$4,E15)&gt;1,NOT(ISBLANK(E15)))</formula>
    </cfRule>
    <cfRule type="expression" dxfId="2870" priority="1840" stopIfTrue="1">
      <formula>AND(COUNTIF($E$8:$E$9,E15)+COUNTIF($E$1:$E$2,E15)+COUNTIF($E$11:$E$26,E15)+COUNTIF($E$28:$E$65536,E15)+COUNTIF($E$4:$E$4,E15)&gt;1,NOT(ISBLANK(E15)))</formula>
    </cfRule>
    <cfRule type="expression" dxfId="2869" priority="1837" stopIfTrue="1">
      <formula>AND(COUNTIF($E$4:$E$65536,E15)+COUNTIF($E$1:$E$2,E15)&gt;1,NOT(ISBLANK(E15)))</formula>
    </cfRule>
  </conditionalFormatting>
  <conditionalFormatting sqref="E17 E179 E200">
    <cfRule type="expression" dxfId="2868" priority="934" stopIfTrue="1">
      <formula>AND(COUNTIF($E$147:$E$155,E17)+COUNTIF($E$1:$E$2,E17)+COUNTIF($E$157:$E$65536,E17)+COUNTIF($E$8:$E$9,E17)+COUNTIF($E$11:$E$26,E17)+COUNTIF($E$28:$E$145,E17)+COUNTIF($E$4:$E$4,E17)&gt;1,NOT(ISBLANK(E17)))</formula>
    </cfRule>
    <cfRule type="expression" dxfId="2867" priority="933" stopIfTrue="1">
      <formula>AND(COUNTIF($E$498:$E$65536,E17)+COUNTIF($E$1:$E$2,E17)+COUNTIF($E$147:$E$155,E17)+COUNTIF($E$157:$E$496,E17)+COUNTIF($E$8:$E$9,E17)+COUNTIF($E$11:$E$26,E17)+COUNTIF($E$28:$E$145,E17)+COUNTIF($E$4:$E$4,E17)&gt;1,NOT(ISBLANK(E17)))</formula>
    </cfRule>
    <cfRule type="expression" dxfId="2866" priority="935" stopIfTrue="1">
      <formula>AND(COUNTIF($E$8:$E$9,E17)+COUNTIF($E$1:$E$2,E17)+COUNTIF($E$11:$E$26,E17)+COUNTIF($E$28:$E$65536,E17)+COUNTIF($E$4:$E$4,E17)&gt;1,NOT(ISBLANK(E17)))</formula>
    </cfRule>
  </conditionalFormatting>
  <conditionalFormatting sqref="E17">
    <cfRule type="duplicateValues" dxfId="2865" priority="1074" stopIfTrue="1"/>
    <cfRule type="duplicateValues" dxfId="2864" priority="1073" stopIfTrue="1"/>
    <cfRule type="duplicateValues" dxfId="2863" priority="1072" stopIfTrue="1"/>
    <cfRule type="duplicateValues" dxfId="2862" priority="1071" stopIfTrue="1"/>
    <cfRule type="duplicateValues" dxfId="2861" priority="1070" stopIfTrue="1"/>
  </conditionalFormatting>
  <conditionalFormatting sqref="E27">
    <cfRule type="duplicateValues" dxfId="2860" priority="1062" stopIfTrue="1"/>
    <cfRule type="duplicateValues" dxfId="2859" priority="1061" stopIfTrue="1"/>
    <cfRule type="duplicateValues" dxfId="2858" priority="1063" stopIfTrue="1"/>
    <cfRule type="duplicateValues" dxfId="2857" priority="1064" stopIfTrue="1"/>
    <cfRule type="duplicateValues" dxfId="2856" priority="1068" stopIfTrue="1"/>
  </conditionalFormatting>
  <conditionalFormatting sqref="E28">
    <cfRule type="duplicateValues" dxfId="2855" priority="1876" stopIfTrue="1"/>
    <cfRule type="expression" dxfId="2854" priority="1880" stopIfTrue="1">
      <formula>AND(COUNTIF($E$134:$E$142,E28)+COUNTIF($E$1:$E$2,E28)+COUNTIF($E$144:$E$65536,E28)+COUNTIF($E$8:$E$9,E28)+COUNTIF($E$11:$E$26,E28)+COUNTIF($E$28:$E$132,E28)+COUNTIF($E$4:$E$4,E28)&gt;1,NOT(ISBLANK(E28)))</formula>
    </cfRule>
    <cfRule type="expression" dxfId="2853" priority="1877" stopIfTrue="1">
      <formula>AND(COUNTIF($E$4:$E$65536,E28)+COUNTIF($E$1:$E$2,E28)&gt;1,NOT(ISBLANK(E28)))</formula>
    </cfRule>
    <cfRule type="expression" dxfId="2852" priority="1878" stopIfTrue="1">
      <formula>AND(COUNTIF($E$4:$E$65536,E28)+COUNTIF($E$1:$E$2,E28)&gt;1,NOT(ISBLANK(E28)))</formula>
    </cfRule>
    <cfRule type="expression" dxfId="2851" priority="1881" stopIfTrue="1">
      <formula>AND(COUNTIF($E$8:$E$9,E28)+COUNTIF($E$1:$E$2,E28)+COUNTIF($E$11:$E$26,E28)+COUNTIF($E$28:$E$65536,E28)+COUNTIF($E$4:$E$4,E28)&gt;1,NOT(ISBLANK(E28)))</formula>
    </cfRule>
    <cfRule type="expression" dxfId="2850" priority="1879" stopIfTrue="1">
      <formula>AND(COUNTIF($E$486:$E$65536,E28)+COUNTIF($E$1:$E$2,E28)+COUNTIF($E$134:$E$142,E28)+COUNTIF($E$144:$E$483,E28)+COUNTIF($E$8:$E$9,E28)+COUNTIF($E$11:$E$26,E28)+COUNTIF($E$28:$E$132,E28)+COUNTIF($E$4:$E$4,E28)&gt;1,NOT(ISBLANK(E28)))</formula>
    </cfRule>
  </conditionalFormatting>
  <conditionalFormatting sqref="E51:E52 E54:E145 E147:E155 E157:E178 E257:E294 E297:E353 E355:E412 E414:E423 E425:E433 E435 E437:E452 E454:E484 E486:E487">
    <cfRule type="expression" dxfId="2849" priority="1527" stopIfTrue="1">
      <formula>AND(COUNTIF($E$134:$E$142,E51)+COUNTIF($E$1:$E$2,E51)+COUNTIF($E$144:$E$65536,E51)+COUNTIF($E$8:$E$9,E51)+COUNTIF($E$11:$E$26,E51)+COUNTIF($E$28:$E$132,E51)+COUNTIF($E$4:$E$4,E51)&gt;1,NOT(ISBLANK(E51)))</formula>
    </cfRule>
  </conditionalFormatting>
  <conditionalFormatting sqref="E51:E52 E54:E170 E260:E294 E297:E353 E355:E412 E414:E423 E425:E433 E435 E437:E452 E454:E484 E486:E487">
    <cfRule type="expression" dxfId="2848" priority="1954" stopIfTrue="1">
      <formula>AND(COUNTIF($E$8:$E$9,E51)+COUNTIF($E$1:$E$2,E51)+COUNTIF($E$11:$E$26,E51)+COUNTIF($E$28:$E$65536,E51)+COUNTIF($E$4:$E$4,E51)&gt;1,NOT(ISBLANK(E51)))</formula>
    </cfRule>
  </conditionalFormatting>
  <conditionalFormatting sqref="E51:E76 E83:E89 E78:E81">
    <cfRule type="duplicateValues" dxfId="2847" priority="965" stopIfTrue="1"/>
  </conditionalFormatting>
  <conditionalFormatting sqref="E77">
    <cfRule type="duplicateValues" dxfId="2846" priority="1463" stopIfTrue="1"/>
  </conditionalFormatting>
  <conditionalFormatting sqref="E82">
    <cfRule type="duplicateValues" dxfId="2845" priority="1475" stopIfTrue="1"/>
  </conditionalFormatting>
  <conditionalFormatting sqref="E90:E128">
    <cfRule type="duplicateValues" dxfId="2844" priority="1439" stopIfTrue="1"/>
    <cfRule type="duplicateValues" dxfId="2843" priority="1440" stopIfTrue="1"/>
    <cfRule type="duplicateValues" dxfId="2842" priority="1441" stopIfTrue="1"/>
    <cfRule type="duplicateValues" dxfId="2841" priority="1442" stopIfTrue="1"/>
    <cfRule type="duplicateValues" dxfId="2840" priority="1448" stopIfTrue="1"/>
  </conditionalFormatting>
  <conditionalFormatting sqref="E133">
    <cfRule type="duplicateValues" dxfId="2839" priority="1001" stopIfTrue="1"/>
    <cfRule type="duplicateValues" dxfId="2838" priority="1002" stopIfTrue="1"/>
    <cfRule type="duplicateValues" dxfId="2837" priority="1010" stopIfTrue="1"/>
    <cfRule type="duplicateValues" dxfId="2836" priority="1004" stopIfTrue="1"/>
    <cfRule type="duplicateValues" dxfId="2835" priority="1003" stopIfTrue="1"/>
  </conditionalFormatting>
  <conditionalFormatting sqref="E134:E140 E129:E132 E142:E170 E260:E295 E297:E318 E320:E352 E437:E452 E354:E364 E366:E423 E425:E435 E454:E486">
    <cfRule type="duplicateValues" dxfId="2834" priority="1140" stopIfTrue="1"/>
    <cfRule type="duplicateValues" dxfId="2833" priority="1143" stopIfTrue="1"/>
    <cfRule type="duplicateValues" dxfId="2832" priority="1142" stopIfTrue="1"/>
    <cfRule type="duplicateValues" dxfId="2831" priority="1141" stopIfTrue="1"/>
  </conditionalFormatting>
  <conditionalFormatting sqref="E141">
    <cfRule type="duplicateValues" dxfId="2830" priority="1024" stopIfTrue="1"/>
    <cfRule type="duplicateValues" dxfId="2829" priority="1023" stopIfTrue="1"/>
    <cfRule type="duplicateValues" dxfId="2828" priority="1022" stopIfTrue="1"/>
    <cfRule type="duplicateValues" dxfId="2827" priority="1030" stopIfTrue="1"/>
    <cfRule type="duplicateValues" dxfId="2826" priority="1021" stopIfTrue="1"/>
  </conditionalFormatting>
  <conditionalFormatting sqref="E146">
    <cfRule type="duplicateValues" dxfId="2825" priority="1378" stopIfTrue="1"/>
    <cfRule type="duplicateValues" dxfId="2824" priority="1386" stopIfTrue="1"/>
  </conditionalFormatting>
  <conditionalFormatting sqref="E156">
    <cfRule type="duplicateValues" dxfId="2823" priority="1358" stopIfTrue="1"/>
    <cfRule type="duplicateValues" dxfId="2822" priority="1366" stopIfTrue="1"/>
  </conditionalFormatting>
  <conditionalFormatting sqref="E157:E178 E54:E145 E297:E353 E257:E294 E425:E433 E355:E412 E147:E155 E414:E423 E435 E437:E452 E454:E484 E486:E487 E51:E52">
    <cfRule type="expression" dxfId="2821" priority="1526" stopIfTrue="1">
      <formula>AND(COUNTIF($E$486:$E$65536,E51)+COUNTIF($E$1:$E$2,E51)+COUNTIF($E$134:$E$142,E51)+COUNTIF($E$144:$E$483,E51)+COUNTIF($E$8:$E$9,E51)+COUNTIF($E$11:$E$26,E51)+COUNTIF($E$28:$E$132,E51)+COUNTIF($E$4:$E$4,E51)&gt;1,NOT(ISBLANK(E51)))</formula>
    </cfRule>
  </conditionalFormatting>
  <conditionalFormatting sqref="E179">
    <cfRule type="duplicateValues" dxfId="2820" priority="1051" stopIfTrue="1"/>
    <cfRule type="duplicateValues" dxfId="2819" priority="1052" stopIfTrue="1"/>
    <cfRule type="duplicateValues" dxfId="2818" priority="1053" stopIfTrue="1"/>
    <cfRule type="duplicateValues" dxfId="2817" priority="1054" stopIfTrue="1"/>
    <cfRule type="duplicateValues" dxfId="2816" priority="1058" stopIfTrue="1"/>
  </conditionalFormatting>
  <conditionalFormatting sqref="E180:E199 E4:E16 E29:E50 E171:E178 E18:E26 E201:E206 E257:E259 E208:E255">
    <cfRule type="duplicateValues" dxfId="2815" priority="1897" stopIfTrue="1"/>
  </conditionalFormatting>
  <conditionalFormatting sqref="E180:E199 E201:E206 E18:E26 E4 E8:E9">
    <cfRule type="expression" dxfId="2814" priority="1852" stopIfTrue="1">
      <formula>AND(COUNTIF($E$486:$E$65536,E4)+COUNTIF($E$1:$E$2,E4)+COUNTIF($E$134:$E$142,E4)+COUNTIF($E$144:$E$483,E4)+COUNTIF($E$8:$E$9,E4)+COUNTIF($E$11:$E$26,E4)+COUNTIF($E$28:$E$132,E4)+COUNTIF($E$4:$E$4,E4)&gt;1,NOT(ISBLANK(E4)))</formula>
    </cfRule>
  </conditionalFormatting>
  <conditionalFormatting sqref="E200">
    <cfRule type="duplicateValues" dxfId="2813" priority="1041" stopIfTrue="1"/>
    <cfRule type="duplicateValues" dxfId="2812" priority="1042" stopIfTrue="1"/>
    <cfRule type="duplicateValues" dxfId="2811" priority="1043" stopIfTrue="1"/>
    <cfRule type="duplicateValues" dxfId="2810" priority="1044" stopIfTrue="1"/>
    <cfRule type="duplicateValues" dxfId="2809" priority="1048" stopIfTrue="1"/>
  </conditionalFormatting>
  <conditionalFormatting sqref="E207">
    <cfRule type="duplicateValues" dxfId="2808" priority="737" stopIfTrue="1"/>
    <cfRule type="expression" dxfId="2807" priority="758" stopIfTrue="1">
      <formula>AND(COUNTIF($E$4:$E$65536,E207)+COUNTIF($E$1:$E$2,E207)&gt;1,NOT(ISBLANK(E207)))</formula>
    </cfRule>
    <cfRule type="expression" dxfId="2806" priority="757" stopIfTrue="1">
      <formula>AND(COUNTIF($E$4:$E$65536,E207)+COUNTIF($E$1:$E$2,E207)&gt;1,NOT(ISBLANK(E207)))</formula>
    </cfRule>
    <cfRule type="duplicateValues" dxfId="2805" priority="705" stopIfTrue="1"/>
    <cfRule type="duplicateValues" dxfId="2804" priority="706" stopIfTrue="1"/>
    <cfRule type="expression" dxfId="2803" priority="722" stopIfTrue="1">
      <formula>AND(COUNTIF($E$486:$E$65536,E207)+COUNTIF($E$1:$E$2,E207)+COUNTIF($E$134:$E$142,E207)+COUNTIF($E$144:$E$483,E207)+COUNTIF($E$8:$E$9,E207)+COUNTIF($E$11:$E$26,E207)+COUNTIF($E$28:$E$132,E207)+COUNTIF($E$4:$E$4,E207)&gt;1,NOT(ISBLANK(E207)))</formula>
    </cfRule>
    <cfRule type="duplicateValues" dxfId="2802" priority="698" stopIfTrue="1"/>
    <cfRule type="duplicateValues" dxfId="2801" priority="703" stopIfTrue="1"/>
    <cfRule type="expression" dxfId="2800" priority="723" stopIfTrue="1">
      <formula>AND(COUNTIF($E$134:$E$142,E207)+COUNTIF($E$1:$E$2,E207)+COUNTIF($E$144:$E$65536,E207)+COUNTIF($E$8:$E$9,E207)+COUNTIF($E$11:$E$26,E207)+COUNTIF($E$28:$E$132,E207)+COUNTIF($E$4:$E$4,E207)&gt;1,NOT(ISBLANK(E207)))</formula>
    </cfRule>
    <cfRule type="duplicateValues" dxfId="2799" priority="704" stopIfTrue="1"/>
    <cfRule type="expression" dxfId="2798" priority="724" stopIfTrue="1">
      <formula>AND(COUNTIF($E$8:$E$9,E207)+COUNTIF($E$1:$E$2,E207)+COUNTIF($E$11:$E$26,E207)+COUNTIF($E$28:$E$65536,E207)+COUNTIF($E$4:$E$4,E207)&gt;1,NOT(ISBLANK(E207)))</formula>
    </cfRule>
    <cfRule type="duplicateValues" dxfId="2797" priority="692" stopIfTrue="1"/>
    <cfRule type="duplicateValues" dxfId="2796" priority="702" stopIfTrue="1"/>
  </conditionalFormatting>
  <conditionalFormatting sqref="E256">
    <cfRule type="duplicateValues" dxfId="2795" priority="776" stopIfTrue="1"/>
    <cfRule type="expression" dxfId="2794" priority="793" stopIfTrue="1">
      <formula>AND(COUNTIF($E$134:$E$142,E256)+COUNTIF($E$1:$E$2,E256)+COUNTIF($E$144:$E$65536,E256)+COUNTIF($E$8:$E$9,E256)+COUNTIF($E$11:$E$26,E256)+COUNTIF($E$28:$E$132,E256)+COUNTIF($E$4:$E$4,E256)&gt;1,NOT(ISBLANK(E256)))</formula>
    </cfRule>
    <cfRule type="expression" dxfId="2793" priority="794" stopIfTrue="1">
      <formula>AND(COUNTIF($E$8:$E$9,E256)+COUNTIF($E$1:$E$2,E256)+COUNTIF($E$11:$E$26,E256)+COUNTIF($E$28:$E$65536,E256)+COUNTIF($E$4:$E$4,E256)&gt;1,NOT(ISBLANK(E256)))</formula>
    </cfRule>
    <cfRule type="duplicateValues" dxfId="2792" priority="807" stopIfTrue="1"/>
    <cfRule type="expression" dxfId="2791" priority="827" stopIfTrue="1">
      <formula>AND(COUNTIF($E$4:$E$65536,E256)+COUNTIF($E$1:$E$2,E256)&gt;1,NOT(ISBLANK(E256)))</formula>
    </cfRule>
    <cfRule type="expression" dxfId="2790" priority="792" stopIfTrue="1">
      <formula>AND(COUNTIF($E$486:$E$65536,E256)+COUNTIF($E$1:$E$2,E256)+COUNTIF($E$134:$E$142,E256)+COUNTIF($E$144:$E$483,E256)+COUNTIF($E$8:$E$9,E256)+COUNTIF($E$11:$E$26,E256)+COUNTIF($E$28:$E$132,E256)+COUNTIF($E$4:$E$4,E256)&gt;1,NOT(ISBLANK(E256)))</formula>
    </cfRule>
    <cfRule type="expression" dxfId="2789" priority="828" stopIfTrue="1">
      <formula>AND(COUNTIF($E$4:$E$65536,E256)+COUNTIF($E$1:$E$2,E256)&gt;1,NOT(ISBLANK(E256)))</formula>
    </cfRule>
    <cfRule type="duplicateValues" dxfId="2788" priority="768" stopIfTrue="1"/>
    <cfRule type="duplicateValues" dxfId="2787" priority="772" stopIfTrue="1"/>
    <cfRule type="duplicateValues" dxfId="2786" priority="773" stopIfTrue="1"/>
    <cfRule type="duplicateValues" dxfId="2785" priority="774" stopIfTrue="1"/>
    <cfRule type="duplicateValues" dxfId="2784" priority="775" stopIfTrue="1"/>
  </conditionalFormatting>
  <conditionalFormatting sqref="E295 E15 E29 E53 E250">
    <cfRule type="expression" dxfId="2783" priority="1836" stopIfTrue="1">
      <formula>AND(COUNTIF($E$4:$E$65536,E15)+COUNTIF($E$1:$E$2,E15)&gt;1,NOT(ISBLANK(E15)))</formula>
    </cfRule>
  </conditionalFormatting>
  <conditionalFormatting sqref="E295">
    <cfRule type="duplicateValues" dxfId="2782" priority="1436" stopIfTrue="1"/>
    <cfRule type="duplicateValues" dxfId="2781" priority="1437" stopIfTrue="1"/>
  </conditionalFormatting>
  <conditionalFormatting sqref="E296">
    <cfRule type="expression" dxfId="2780" priority="1922" stopIfTrue="1">
      <formula>AND(COUNTIF($E$525:$E$65536,E296)+COUNTIF($E$1:$E$2,E296)+COUNTIF($E$310:$E$318,E296)+COUNTIF($E$320:$E$522,E296)+COUNTIF($E$8:$E$9,E296)+COUNTIF($E$11:$E$26,E296)+COUNTIF($E$28:$E$308,E296)+COUNTIF($E$4:$E$4,E296)&gt;1,NOT(ISBLANK(E296)))</formula>
    </cfRule>
    <cfRule type="expression" dxfId="2779" priority="839" stopIfTrue="1">
      <formula>AND(COUNTIF($E$8:$E$9,E296)+COUNTIF($E$1:$E$2,E296)+COUNTIF($E$11:$E$26,E296)+COUNTIF($E$28:$E$65536,E296)+COUNTIF($E$4:$E$4,E296)&gt;1,NOT(ISBLANK(E296)))</formula>
    </cfRule>
    <cfRule type="expression" dxfId="2778" priority="836" stopIfTrue="1">
      <formula>AND(COUNTIF($E$4:$E$65536,E296)+COUNTIF($E$1:$E$2,E296)&gt;1,NOT(ISBLANK(E296)))</formula>
    </cfRule>
    <cfRule type="duplicateValues" dxfId="2777" priority="835" stopIfTrue="1"/>
    <cfRule type="expression" dxfId="2776" priority="838" stopIfTrue="1">
      <formula>AND(COUNTIF($E$310:$E$318,E296)+COUNTIF($E$1:$E$2,E296)+COUNTIF($E$320:$E$65536,E296)+COUNTIF($E$8:$E$9,E296)+COUNTIF($E$11:$E$26,E296)+COUNTIF($E$28:$E$308,E296)+COUNTIF($E$4:$E$4,E296)&gt;1,NOT(ISBLANK(E296)))</formula>
    </cfRule>
    <cfRule type="expression" dxfId="2775" priority="837" stopIfTrue="1">
      <formula>AND(COUNTIF($E$4:$E$65536,E296)+COUNTIF($E$1:$E$2,E296)&gt;1,NOT(ISBLANK(E296)))</formula>
    </cfRule>
  </conditionalFormatting>
  <conditionalFormatting sqref="E297:E318 E437:E452 E4:E206 E257:E295 E208:E255 E320:E423 E425:E435 E454:E486">
    <cfRule type="duplicateValues" dxfId="2774" priority="950" stopIfTrue="1"/>
  </conditionalFormatting>
  <conditionalFormatting sqref="E297:E353 E355:E412 E414:E423 E425:E433 E435 E437:E452 E454:E484 E486:E487">
    <cfRule type="expression" dxfId="2773" priority="1947" stopIfTrue="1">
      <formula>AND(COUNTIF($E$4:$E$65536,E297)+COUNTIF($E$1:$E$2,E297)&gt;1,NOT(ISBLANK(E297)))</formula>
    </cfRule>
    <cfRule type="expression" dxfId="2772" priority="1946" stopIfTrue="1">
      <formula>AND(COUNTIF($E$4:$E$65536,E297)+COUNTIF($E$1:$E$2,E297)&gt;1,NOT(ISBLANK(E297)))</formula>
    </cfRule>
  </conditionalFormatting>
  <conditionalFormatting sqref="E306">
    <cfRule type="duplicateValues" dxfId="2771" priority="1118" stopIfTrue="1"/>
    <cfRule type="duplicateValues" dxfId="2770" priority="1130" stopIfTrue="1"/>
  </conditionalFormatting>
  <conditionalFormatting sqref="E308:E318 E320:E349">
    <cfRule type="duplicateValues" dxfId="2769" priority="1431"/>
    <cfRule type="duplicateValues" dxfId="2768" priority="1430"/>
  </conditionalFormatting>
  <conditionalFormatting sqref="E319">
    <cfRule type="duplicateValues" dxfId="2767" priority="890" stopIfTrue="1"/>
    <cfRule type="duplicateValues" dxfId="2766" priority="889" stopIfTrue="1"/>
    <cfRule type="duplicateValues" dxfId="2765" priority="891" stopIfTrue="1"/>
    <cfRule type="duplicateValues" dxfId="2764" priority="892" stopIfTrue="1"/>
    <cfRule type="duplicateValues" dxfId="2763" priority="886" stopIfTrue="1"/>
    <cfRule type="duplicateValues" dxfId="2762" priority="905"/>
    <cfRule type="duplicateValues" dxfId="2761" priority="904"/>
    <cfRule type="duplicateValues" dxfId="2760" priority="898" stopIfTrue="1"/>
  </conditionalFormatting>
  <conditionalFormatting sqref="E353">
    <cfRule type="duplicateValues" dxfId="2759" priority="1077" stopIfTrue="1"/>
    <cfRule type="duplicateValues" dxfId="2758" priority="1075" stopIfTrue="1"/>
    <cfRule type="duplicateValues" dxfId="2757" priority="1078" stopIfTrue="1"/>
    <cfRule type="duplicateValues" dxfId="2756" priority="1084" stopIfTrue="1"/>
    <cfRule type="duplicateValues" dxfId="2755" priority="1076" stopIfTrue="1"/>
  </conditionalFormatting>
  <conditionalFormatting sqref="E354">
    <cfRule type="expression" dxfId="2754" priority="1804" stopIfTrue="1">
      <formula>AND(COUNTIF($E$4:$E$65536,E354)+COUNTIF($E$1:$E$2,E354)&gt;1,NOT(ISBLANK(E354)))</formula>
    </cfRule>
    <cfRule type="duplicateValues" dxfId="2753" priority="1803" stopIfTrue="1"/>
    <cfRule type="expression" dxfId="2752" priority="1806" stopIfTrue="1">
      <formula>AND(COUNTIF($E$486:$E$65536,E354)+COUNTIF($E$1:$E$2,E354)+COUNTIF($E$134:$E$142,E354)+COUNTIF($E$144:$E$483,E354)+COUNTIF($E$8:$E$9,E354)+COUNTIF($E$11:$E$26,E354)+COUNTIF($E$28:$E$132,E354)+COUNTIF($E$4:$E$4,E354)&gt;1,NOT(ISBLANK(E354)))</formula>
    </cfRule>
    <cfRule type="expression" dxfId="2751" priority="1807" stopIfTrue="1">
      <formula>AND(COUNTIF($E$134:$E$142,E354)+COUNTIF($E$1:$E$2,E354)+COUNTIF($E$144:$E$65536,E354)+COUNTIF($E$8:$E$9,E354)+COUNTIF($E$11:$E$26,E354)+COUNTIF($E$28:$E$132,E354)+COUNTIF($E$4:$E$4,E354)&gt;1,NOT(ISBLANK(E354)))</formula>
    </cfRule>
    <cfRule type="expression" dxfId="2750" priority="1808" stopIfTrue="1">
      <formula>AND(COUNTIF($E$8:$E$9,E354)+COUNTIF($E$1:$E$2,E354)+COUNTIF($E$11:$E$26,E354)+COUNTIF($E$28:$E$65536,E354)+COUNTIF($E$4:$E$4,E354)&gt;1,NOT(ISBLANK(E354)))</formula>
    </cfRule>
    <cfRule type="expression" dxfId="2749" priority="1805" stopIfTrue="1">
      <formula>AND(COUNTIF($E$4:$E$65536,E354)+COUNTIF($E$1:$E$2,E354)&gt;1,NOT(ISBLANK(E354)))</formula>
    </cfRule>
  </conditionalFormatting>
  <conditionalFormatting sqref="E365">
    <cfRule type="duplicateValues" dxfId="2748" priority="1094" stopIfTrue="1"/>
    <cfRule type="duplicateValues" dxfId="2747" priority="1103" stopIfTrue="1"/>
    <cfRule type="duplicateValues" dxfId="2746" priority="1095" stopIfTrue="1"/>
    <cfRule type="duplicateValues" dxfId="2745" priority="1097" stopIfTrue="1"/>
    <cfRule type="duplicateValues" dxfId="2744" priority="1096" stopIfTrue="1"/>
  </conditionalFormatting>
  <conditionalFormatting sqref="E393">
    <cfRule type="duplicateValues" dxfId="2743" priority="1305" stopIfTrue="1"/>
    <cfRule type="duplicateValues" dxfId="2742" priority="1297" stopIfTrue="1"/>
  </conditionalFormatting>
  <conditionalFormatting sqref="E394 E413 E434 E485">
    <cfRule type="expression" dxfId="2741" priority="1583" stopIfTrue="1">
      <formula>AND(COUNTIF($E$8:$E$9,E394)+COUNTIF($E$1:$E$2,E394)+COUNTIF($E$11:$E$26,E394)+COUNTIF($E$28:$E$65536,E394)+COUNTIF($E$4:$E$4,E394)&gt;1,NOT(ISBLANK(E394)))</formula>
    </cfRule>
    <cfRule type="expression" dxfId="2740" priority="1581" stopIfTrue="1">
      <formula>AND(COUNTIF($E$486:$E$65536,E394)+COUNTIF($E$1:$E$2,E394)+COUNTIF($E$134:$E$142,E394)+COUNTIF($E$144:$E$483,E394)+COUNTIF($E$8:$E$9,E394)+COUNTIF($E$11:$E$26,E394)+COUNTIF($E$28:$E$132,E394)+COUNTIF($E$4:$E$4,E394)&gt;1,NOT(ISBLANK(E394)))</formula>
    </cfRule>
    <cfRule type="expression" dxfId="2739" priority="1582" stopIfTrue="1">
      <formula>AND(COUNTIF($E$134:$E$142,E394)+COUNTIF($E$1:$E$2,E394)+COUNTIF($E$144:$E$65536,E394)+COUNTIF($E$8:$E$9,E394)+COUNTIF($E$11:$E$26,E394)+COUNTIF($E$28:$E$132,E394)+COUNTIF($E$4:$E$4,E394)&gt;1,NOT(ISBLANK(E394)))</formula>
    </cfRule>
    <cfRule type="expression" dxfId="2738" priority="1580" stopIfTrue="1">
      <formula>AND(COUNTIF($E$4:$E$65536,E394)+COUNTIF($E$1:$E$2,E394)&gt;1,NOT(ISBLANK(E394)))</formula>
    </cfRule>
  </conditionalFormatting>
  <conditionalFormatting sqref="E394 E413 E485 E434">
    <cfRule type="expression" dxfId="2737" priority="1579" stopIfTrue="1">
      <formula>AND(COUNTIF($E$4:$E$65536,E394)+COUNTIF($E$1:$E$2,E394)&gt;1,NOT(ISBLANK(E394)))</formula>
    </cfRule>
  </conditionalFormatting>
  <conditionalFormatting sqref="E410">
    <cfRule type="duplicateValues" dxfId="2736" priority="1167" stopIfTrue="1"/>
  </conditionalFormatting>
  <conditionalFormatting sqref="E424">
    <cfRule type="expression" dxfId="2735" priority="654" stopIfTrue="1">
      <formula>AND(COUNTIF($E$134:$E$142,E424)+COUNTIF($E$1:$E$2,E424)+COUNTIF($E$144:$E$65536,E424)+COUNTIF($E$8:$E$9,E424)+COUNTIF($E$11:$E$26,E424)+COUNTIF($E$28:$E$132,E424)+COUNTIF($E$4:$E$4,E424)&gt;1,NOT(ISBLANK(E424)))</formula>
    </cfRule>
    <cfRule type="expression" dxfId="2734" priority="653" stopIfTrue="1">
      <formula>AND(COUNTIF($E$486:$E$65536,E424)+COUNTIF($E$1:$E$2,E424)+COUNTIF($E$134:$E$142,E424)+COUNTIF($E$144:$E$483,E424)+COUNTIF($E$8:$E$9,E424)+COUNTIF($E$11:$E$26,E424)+COUNTIF($E$28:$E$132,E424)+COUNTIF($E$4:$E$4,E424)&gt;1,NOT(ISBLANK(E424)))</formula>
    </cfRule>
    <cfRule type="expression" dxfId="2733" priority="682" stopIfTrue="1">
      <formula>AND(COUNTIF($E$4:$E$65536,E424)+COUNTIF($E$1:$E$2,E424)&gt;1,NOT(ISBLANK(E424)))</formula>
    </cfRule>
    <cfRule type="duplicateValues" dxfId="2732" priority="635" stopIfTrue="1"/>
    <cfRule type="duplicateValues" dxfId="2731" priority="636" stopIfTrue="1"/>
    <cfRule type="expression" dxfId="2730" priority="683" stopIfTrue="1">
      <formula>AND(COUNTIF($E$4:$E$65536,E424)+COUNTIF($E$1:$E$2,E424)&gt;1,NOT(ISBLANK(E424)))</formula>
    </cfRule>
    <cfRule type="duplicateValues" dxfId="2729" priority="627" stopIfTrue="1"/>
    <cfRule type="duplicateValues" dxfId="2728" priority="621" stopIfTrue="1"/>
    <cfRule type="duplicateValues" dxfId="2727" priority="634" stopIfTrue="1"/>
    <cfRule type="duplicateValues" dxfId="2726" priority="630" stopIfTrue="1"/>
    <cfRule type="expression" dxfId="2725" priority="690" stopIfTrue="1">
      <formula>AND(COUNTIF($E$8:$E$9,E424)+COUNTIF($E$1:$E$2,E424)+COUNTIF($E$11:$E$26,E424)+COUNTIF($E$28:$E$65536,E424)+COUNTIF($E$4:$E$4,E424)&gt;1,NOT(ISBLANK(E424)))</formula>
    </cfRule>
    <cfRule type="duplicateValues" dxfId="2724" priority="633" stopIfTrue="1"/>
    <cfRule type="duplicateValues" dxfId="2723" priority="642" stopIfTrue="1"/>
  </conditionalFormatting>
  <conditionalFormatting sqref="E436">
    <cfRule type="duplicateValues" dxfId="2722" priority="912" stopIfTrue="1"/>
    <cfRule type="expression" dxfId="2721" priority="916" stopIfTrue="1">
      <formula>AND(COUNTIF($E$8:$E$9,E436)+COUNTIF($E$1:$E$2,E436)+COUNTIF($E$11:$E$26,E436)+COUNTIF($E$28:$E$65536,E436)+COUNTIF($E$4:$E$4,E436)&gt;1,NOT(ISBLANK(E436)))</formula>
    </cfRule>
    <cfRule type="expression" dxfId="2720" priority="917" stopIfTrue="1">
      <formula>AND(COUNTIF($E$498:$E$65536,E436)+COUNTIF($E$1:$E$2,E436)+COUNTIF($E$147:$E$155,E436)+COUNTIF($E$157:$E$496,E436)+COUNTIF($E$8:$E$9,E436)+COUNTIF($E$11:$E$26,E436)+COUNTIF($E$28:$E$145,E436)+COUNTIF($E$4:$E$4,E436)&gt;1,NOT(ISBLANK(E436)))</formula>
    </cfRule>
    <cfRule type="expression" dxfId="2719" priority="915" stopIfTrue="1">
      <formula>AND(COUNTIF($E$147:$E$155,E436)+COUNTIF($E$1:$E$2,E436)+COUNTIF($E$157:$E$65536,E436)+COUNTIF($E$8:$E$9,E436)+COUNTIF($E$11:$E$26,E436)+COUNTIF($E$28:$E$145,E436)+COUNTIF($E$4:$E$4,E436)&gt;1,NOT(ISBLANK(E436)))</formula>
    </cfRule>
    <cfRule type="expression" dxfId="2718" priority="914" stopIfTrue="1">
      <formula>AND(COUNTIF($E$4:$E$65536,E436)+COUNTIF($E$1:$E$2,E436)&gt;1,NOT(ISBLANK(E436)))</formula>
    </cfRule>
    <cfRule type="expression" dxfId="2717" priority="913" stopIfTrue="1">
      <formula>AND(COUNTIF($E$4:$E$65536,E436)+COUNTIF($E$1:$E$2,E436)&gt;1,NOT(ISBLANK(E436)))</formula>
    </cfRule>
  </conditionalFormatting>
  <conditionalFormatting sqref="E453">
    <cfRule type="duplicateValues" dxfId="2716" priority="549" stopIfTrue="1"/>
    <cfRule type="duplicateValues" dxfId="2715" priority="543" stopIfTrue="1"/>
    <cfRule type="expression" dxfId="2714" priority="611" stopIfTrue="1">
      <formula>AND(COUNTIF($E$4:$E$65536,E453)+COUNTIF($E$1:$E$2,E453)&gt;1,NOT(ISBLANK(E453)))</formula>
    </cfRule>
    <cfRule type="expression" dxfId="2713" priority="618" stopIfTrue="1">
      <formula>AND(COUNTIF($E$8:$E$9,E453)+COUNTIF($E$1:$E$2,E453)+COUNTIF($E$11:$E$26,E453)+COUNTIF($E$28:$E$65536,E453)+COUNTIF($E$4:$E$4,E453)&gt;1,NOT(ISBLANK(E453)))</formula>
    </cfRule>
    <cfRule type="duplicateValues" dxfId="2712" priority="555" stopIfTrue="1"/>
    <cfRule type="expression" dxfId="2711" priority="610" stopIfTrue="1">
      <formula>AND(COUNTIF($E$4:$E$65536,E453)+COUNTIF($E$1:$E$2,E453)&gt;1,NOT(ISBLANK(E453)))</formula>
    </cfRule>
    <cfRule type="expression" dxfId="2710" priority="581" stopIfTrue="1">
      <formula>AND(COUNTIF($E$134:$E$142,E453)+COUNTIF($E$1:$E$2,E453)+COUNTIF($E$144:$E$65536,E453)+COUNTIF($E$8:$E$9,E453)+COUNTIF($E$11:$E$26,E453)+COUNTIF($E$28:$E$132,E453)+COUNTIF($E$4:$E$4,E453)&gt;1,NOT(ISBLANK(E453)))</formula>
    </cfRule>
    <cfRule type="duplicateValues" dxfId="2709" priority="552" stopIfTrue="1"/>
    <cfRule type="duplicateValues" dxfId="2708" priority="557" stopIfTrue="1"/>
    <cfRule type="duplicateValues" dxfId="2707" priority="558" stopIfTrue="1"/>
    <cfRule type="expression" dxfId="2706" priority="580" stopIfTrue="1">
      <formula>AND(COUNTIF($E$486:$E$65536,E453)+COUNTIF($E$1:$E$2,E453)+COUNTIF($E$134:$E$142,E453)+COUNTIF($E$144:$E$483,E453)+COUNTIF($E$8:$E$9,E453)+COUNTIF($E$11:$E$26,E453)+COUNTIF($E$28:$E$132,E453)+COUNTIF($E$4:$E$4,E453)&gt;1,NOT(ISBLANK(E453)))</formula>
    </cfRule>
    <cfRule type="duplicateValues" dxfId="2705" priority="564" stopIfTrue="1"/>
    <cfRule type="duplicateValues" dxfId="2704" priority="556" stopIfTrue="1"/>
  </conditionalFormatting>
  <conditionalFormatting sqref="E481">
    <cfRule type="duplicateValues" dxfId="2703" priority="1149" stopIfTrue="1"/>
  </conditionalFormatting>
  <conditionalFormatting sqref="E482:E486 E435 E260:E294 E134:E140 E129:E132 E366:E409 E142:E170 E297:E318 E320:E352 E437:E452 E355:E364 E411:E423 E425:E433 E454:E480">
    <cfRule type="duplicateValues" dxfId="2702" priority="1180" stopIfTrue="1"/>
  </conditionalFormatting>
  <conditionalFormatting sqref="E487">
    <cfRule type="duplicateValues" dxfId="2701" priority="857" stopIfTrue="1"/>
    <cfRule type="duplicateValues" dxfId="2700" priority="858" stopIfTrue="1"/>
    <cfRule type="duplicateValues" dxfId="2699" priority="859" stopIfTrue="1"/>
    <cfRule type="duplicateValues" dxfId="2698" priority="860" stopIfTrue="1"/>
    <cfRule type="duplicateValues" dxfId="2697" priority="866" stopIfTrue="1"/>
    <cfRule type="duplicateValues" dxfId="2696" priority="854" stopIfTrue="1"/>
  </conditionalFormatting>
  <conditionalFormatting sqref="E488:E491 E494:E496 E498:E503 E505:E516">
    <cfRule type="expression" dxfId="2695" priority="2195" stopIfTrue="1">
      <formula>AND(COUNTIF($E$498:$E$65536,E488)+COUNTIF($E$1:$E$2,E488)+COUNTIF($E$147:$E$155,E488)+COUNTIF($E$157:$E$496,E488)+COUNTIF($E$8:$E$9,E488)+COUNTIF($E$11:$E$26,E488)+COUNTIF($E$28:$E$145,E488)+COUNTIF($E$4:$E$4,E488)&gt;1,NOT(ISBLANK(E488)))</formula>
    </cfRule>
  </conditionalFormatting>
  <conditionalFormatting sqref="E488:E491 E494:E503 E505:E516">
    <cfRule type="expression" dxfId="2694" priority="2229" stopIfTrue="1">
      <formula>AND(COUNTIF($E$147:$E$155,E488)+COUNTIF($E$1:$E$2,E488)+COUNTIF($E$157:$E$65536,E488)+COUNTIF($E$8:$E$9,E488)+COUNTIF($E$11:$E$26,E488)+COUNTIF($E$28:$E$145,E488)+COUNTIF($E$4:$E$4,E488)&gt;1,NOT(ISBLANK(E488)))</formula>
    </cfRule>
    <cfRule type="expression" dxfId="2693" priority="2227" stopIfTrue="1">
      <formula>AND(COUNTIF($E$4:$E$65536,E488)+COUNTIF($E$1:$E$2,E488)&gt;1,NOT(ISBLANK(E488)))</formula>
    </cfRule>
    <cfRule type="expression" dxfId="2692" priority="2228" stopIfTrue="1">
      <formula>AND(COUNTIF($E$4:$E$65536,E488)+COUNTIF($E$1:$E$2,E488)&gt;1,NOT(ISBLANK(E488)))</formula>
    </cfRule>
    <cfRule type="expression" dxfId="2691" priority="2230" stopIfTrue="1">
      <formula>AND(COUNTIF($E$8:$E$9,E488)+COUNTIF($E$1:$E$2,E488)+COUNTIF($E$11:$E$26,E488)+COUNTIF($E$28:$E$65536,E488)+COUNTIF($E$4:$E$4,E488)&gt;1,NOT(ISBLANK(E488)))</formula>
    </cfRule>
  </conditionalFormatting>
  <conditionalFormatting sqref="E488:E516">
    <cfRule type="duplicateValues" dxfId="2690" priority="1956" stopIfTrue="1"/>
  </conditionalFormatting>
  <conditionalFormatting sqref="E492">
    <cfRule type="expression" dxfId="2689" priority="1987" stopIfTrue="1">
      <formula>AND(COUNTIF($E$4:$E$65536,E492)+COUNTIF($E$1:$E$2,E492)&gt;1,NOT(ISBLANK(E492)))</formula>
    </cfRule>
    <cfRule type="expression" dxfId="2688" priority="1978" stopIfTrue="1">
      <formula>AND(COUNTIF($E$498:$E$65536,E492)+COUNTIF($E$1:$E$2,E492)+COUNTIF($E$147:$E$155,E492)+COUNTIF($E$157:$E$496,E492)+COUNTIF($E$8:$E$9,E492)+COUNTIF($E$11:$E$26,E492)+COUNTIF($E$28:$E$145,E492)+COUNTIF($E$4:$E$4,E492)&gt;1,NOT(ISBLANK(E492)))</formula>
    </cfRule>
    <cfRule type="expression" dxfId="2687" priority="1986" stopIfTrue="1">
      <formula>AND(COUNTIF($E$4:$E$65536,E492)+COUNTIF($E$1:$E$2,E492)&gt;1,NOT(ISBLANK(E492)))</formula>
    </cfRule>
    <cfRule type="expression" dxfId="2686" priority="1989" stopIfTrue="1">
      <formula>AND(COUNTIF($E$8:$E$9,E492)+COUNTIF($E$1:$E$2,E492)+COUNTIF($E$11:$E$26,E492)+COUNTIF($E$28:$E$65536,E492)+COUNTIF($E$4:$E$4,E492)&gt;1,NOT(ISBLANK(E492)))</formula>
    </cfRule>
    <cfRule type="expression" dxfId="2685" priority="1988" stopIfTrue="1">
      <formula>AND(COUNTIF($E$147:$E$155,E492)+COUNTIF($E$1:$E$2,E492)+COUNTIF($E$157:$E$65536,E492)+COUNTIF($E$8:$E$9,E492)+COUNTIF($E$11:$E$26,E492)+COUNTIF($E$28:$E$145,E492)+COUNTIF($E$4:$E$4,E492)&gt;1,NOT(ISBLANK(E492)))</formula>
    </cfRule>
    <cfRule type="duplicateValues" dxfId="2684" priority="1985" stopIfTrue="1"/>
  </conditionalFormatting>
  <conditionalFormatting sqref="E493">
    <cfRule type="duplicateValues" dxfId="2683" priority="2069" stopIfTrue="1"/>
    <cfRule type="expression" dxfId="2682" priority="2117" stopIfTrue="1">
      <formula>AND(COUNTIF($E$134:$E$142,E493)+COUNTIF($E$1:$E$2,E493)+COUNTIF($E$144:$E$65536,E493)+COUNTIF($E$8:$E$9,E493)+COUNTIF($E$11:$E$26,E493)+COUNTIF($E$28:$E$132,E493)+COUNTIF($E$4:$E$4,E493)&gt;1,NOT(ISBLANK(E493)))</formula>
    </cfRule>
    <cfRule type="duplicateValues" dxfId="2681" priority="2081" stopIfTrue="1"/>
    <cfRule type="expression" dxfId="2680" priority="2215" stopIfTrue="1">
      <formula>AND(COUNTIF($E$8:$E$9,E493)+COUNTIF($E$1:$E$2,E493)+COUNTIF($E$11:$E$26,E493)+COUNTIF($E$28:$E$65536,E493)+COUNTIF($E$4:$E$4,E493)&gt;1,NOT(ISBLANK(E493)))</formula>
    </cfRule>
    <cfRule type="duplicateValues" dxfId="2679" priority="2073" stopIfTrue="1"/>
    <cfRule type="expression" dxfId="2678" priority="2116" stopIfTrue="1">
      <formula>AND(COUNTIF($E$486:$E$65536,E493)+COUNTIF($E$1:$E$2,E493)+COUNTIF($E$134:$E$142,E493)+COUNTIF($E$144:$E$483,E493)+COUNTIF($E$8:$E$9,E493)+COUNTIF($E$11:$E$26,E493)+COUNTIF($E$28:$E$132,E493)+COUNTIF($E$4:$E$4,E493)&gt;1,NOT(ISBLANK(E493)))</formula>
    </cfRule>
    <cfRule type="expression" dxfId="2677" priority="2207" stopIfTrue="1">
      <formula>AND(COUNTIF($E$4:$E$65536,E493)+COUNTIF($E$1:$E$2,E493)&gt;1,NOT(ISBLANK(E493)))</formula>
    </cfRule>
    <cfRule type="expression" dxfId="2676" priority="2208" stopIfTrue="1">
      <formula>AND(COUNTIF($E$4:$E$65536,E493)+COUNTIF($E$1:$E$2,E493)&gt;1,NOT(ISBLANK(E493)))</formula>
    </cfRule>
    <cfRule type="duplicateValues" dxfId="2675" priority="2074" stopIfTrue="1"/>
    <cfRule type="duplicateValues" dxfId="2674" priority="2072" stopIfTrue="1"/>
    <cfRule type="duplicateValues" dxfId="2673" priority="2075" stopIfTrue="1"/>
  </conditionalFormatting>
  <conditionalFormatting sqref="E494:E503 E505:E516 E488:E491">
    <cfRule type="duplicateValues" dxfId="2672" priority="2226" stopIfTrue="1"/>
  </conditionalFormatting>
  <conditionalFormatting sqref="E497">
    <cfRule type="duplicateValues" dxfId="2671" priority="2093" stopIfTrue="1"/>
  </conditionalFormatting>
  <conditionalFormatting sqref="E504">
    <cfRule type="duplicateValues" dxfId="2670" priority="2168" stopIfTrue="1"/>
    <cfRule type="expression" dxfId="2669" priority="2169" stopIfTrue="1">
      <formula>AND(COUNTIF($E$4:$E$65536,E504)+COUNTIF($E$1:$E$2,E504)&gt;1,NOT(ISBLANK(E504)))</formula>
    </cfRule>
    <cfRule type="expression" dxfId="2668" priority="2172" stopIfTrue="1">
      <formula>AND(COUNTIF($E$8:$E$9,E504)+COUNTIF($E$1:$E$2,E504)+COUNTIF($E$11:$E$26,E504)+COUNTIF($E$28:$E$65536,E504)+COUNTIF($E$4:$E$4,E504)&gt;1,NOT(ISBLANK(E504)))</formula>
    </cfRule>
    <cfRule type="expression" dxfId="2667" priority="2170" stopIfTrue="1">
      <formula>AND(COUNTIF($E$4:$E$65536,E504)+COUNTIF($E$1:$E$2,E504)&gt;1,NOT(ISBLANK(E504)))</formula>
    </cfRule>
    <cfRule type="expression" dxfId="2666" priority="2171" stopIfTrue="1">
      <formula>AND(COUNTIF($E$147:$E$155,E504)+COUNTIF($E$1:$E$2,E504)+COUNTIF($E$157:$E$65536,E504)+COUNTIF($E$8:$E$9,E504)+COUNTIF($E$11:$E$26,E504)+COUNTIF($E$28:$E$145,E504)+COUNTIF($E$4:$E$4,E504)&gt;1,NOT(ISBLANK(E504)))</formula>
    </cfRule>
    <cfRule type="expression" dxfId="2665" priority="2173" stopIfTrue="1">
      <formula>AND(COUNTIF($E$498:$E$65536,E504)+COUNTIF($E$1:$E$2,E504)+COUNTIF($E$147:$E$155,E504)+COUNTIF($E$157:$E$496,E504)+COUNTIF($E$8:$E$9,E504)+COUNTIF($E$11:$E$26,E504)+COUNTIF($E$28:$E$145,E504)+COUNTIF($E$4:$E$4,E504)&gt;1,NOT(ISBLANK(E504)))</formula>
    </cfRule>
  </conditionalFormatting>
  <conditionalFormatting sqref="E513">
    <cfRule type="duplicateValues" dxfId="2664" priority="2037" stopIfTrue="1"/>
    <cfRule type="duplicateValues" dxfId="2663" priority="2042" stopIfTrue="1"/>
    <cfRule type="expression" dxfId="2662" priority="2021" stopIfTrue="1">
      <formula>AND(COUNTIF($E$4:$E$65536,E513)+COUNTIF($E$1:$E$2,E513)&gt;1,NOT(ISBLANK(E513)))</formula>
    </cfRule>
    <cfRule type="expression" dxfId="2661" priority="2022" stopIfTrue="1">
      <formula>AND(COUNTIF($E$4:$E$65536,E513)+COUNTIF($E$1:$E$2,E513)&gt;1,NOT(ISBLANK(E513)))</formula>
    </cfRule>
    <cfRule type="expression" dxfId="2660" priority="2048" stopIfTrue="1">
      <formula>AND(COUNTIF($E$8:$E$9,E513)+COUNTIF($E$1:$E$2,E513)+COUNTIF($E$11:$E$26,E513)+COUNTIF($E$28:$E$65536,E513)+COUNTIF($E$4:$E$4,E513)&gt;1,NOT(ISBLANK(E513)))</formula>
    </cfRule>
    <cfRule type="expression" dxfId="2659" priority="2030" stopIfTrue="1">
      <formula>AND(COUNTIF($E$147:$E$155,E513)+COUNTIF($E$1:$E$2,E513)+COUNTIF($E$157:$E$65536,E513)+COUNTIF($E$8:$E$9,E513)+COUNTIF($E$11:$E$26,E513)+COUNTIF($E$28:$E$145,E513)+COUNTIF($E$4:$E$4,E513)&gt;1,NOT(ISBLANK(E513)))</formula>
    </cfRule>
    <cfRule type="duplicateValues" dxfId="2658" priority="2035" stopIfTrue="1"/>
  </conditionalFormatting>
  <conditionalFormatting sqref="E514 E516">
    <cfRule type="expression" dxfId="2657" priority="2002" stopIfTrue="1">
      <formula>AND(COUNTIF($E$4:$E$65536,E514)+COUNTIF($E$1:$E$2,E514)&gt;1,NOT(ISBLANK(E514)))</formula>
    </cfRule>
    <cfRule type="expression" dxfId="2656" priority="2001" stopIfTrue="1">
      <formula>AND(COUNTIF($E$4:$E$65536,E514)+COUNTIF($E$1:$E$2,E514)&gt;1,NOT(ISBLANK(E514)))</formula>
    </cfRule>
    <cfRule type="expression" dxfId="2655" priority="2003" stopIfTrue="1">
      <formula>AND(COUNTIF($E$147:$E$155,E514)+COUNTIF($E$1:$E$2,E514)+COUNTIF($E$157:$E$65536,E514)+COUNTIF($E$8:$E$9,E514)+COUNTIF($E$11:$E$26,E514)+COUNTIF($E$28:$E$145,E514)+COUNTIF($E$4:$E$4,E514)&gt;1,NOT(ISBLANK(E514)))</formula>
    </cfRule>
    <cfRule type="expression" dxfId="2654" priority="2004" stopIfTrue="1">
      <formula>AND(COUNTIF($E$8:$E$9,E514)+COUNTIF($E$1:$E$2,E514)+COUNTIF($E$11:$E$26,E514)+COUNTIF($E$28:$E$65536,E514)+COUNTIF($E$4:$E$4,E514)&gt;1,NOT(ISBLANK(E514)))</formula>
    </cfRule>
  </conditionalFormatting>
  <conditionalFormatting sqref="E516 E514">
    <cfRule type="duplicateValues" dxfId="2653" priority="2000" stopIfTrue="1"/>
  </conditionalFormatting>
  <conditionalFormatting sqref="E516">
    <cfRule type="expression" dxfId="2652" priority="2135" stopIfTrue="1">
      <formula>AND(COUNTIF($E$4:$E$65536,E516)+COUNTIF($E$1:$E$2,E516)&gt;1,NOT(ISBLANK(E516)))</formula>
    </cfRule>
    <cfRule type="duplicateValues" dxfId="2651" priority="2201" stopIfTrue="1"/>
    <cfRule type="expression" dxfId="2650" priority="1962" stopIfTrue="1">
      <formula>AND(COUNTIF($B$8:$F$9,E516)+COUNTIF($B$11:$F$26,E516)+COUNTIF($B$28:$F$65536,E516)+COUNTIF($B$4:$F$4,E516)+COUNTIF($B$1:$F$2,E516)&gt;1,NOT(ISBLANK(E516)))</formula>
    </cfRule>
    <cfRule type="duplicateValues" dxfId="2649" priority="2202" stopIfTrue="1"/>
    <cfRule type="expression" dxfId="2648" priority="1959" stopIfTrue="1">
      <formula>AND(COUNTIF($B$147:$F$155,E516)+COUNTIF($B$157:$F$65536,E516)+COUNTIF($B$8:$F$9,E516)+COUNTIF($B$11:$F$26,E516)+COUNTIF($B$28:$F$145,E516)+COUNTIF($B$4:$F$4,E516)+COUNTIF($B$1:$F$2,E516)&gt;1,NOT(ISBLANK(E516)))</formula>
    </cfRule>
    <cfRule type="expression" dxfId="2647" priority="2136" stopIfTrue="1">
      <formula>AND(COUNTIF($E$4:$E$65536,E516)+COUNTIF($E$1:$E$2,E516)&gt;1,NOT(ISBLANK(E516)))</formula>
    </cfRule>
    <cfRule type="expression" dxfId="2646" priority="2203" stopIfTrue="1">
      <formula>AND(COUNTIF($E$8:$E$9,E516)+COUNTIF($E$1:$E$2,E516)+COUNTIF($E$11:$E$26,E516)+COUNTIF($E$28:$E$65536,E516)+COUNTIF($E$4:$E$4,E516)&gt;1,NOT(ISBLANK(E516)))</formula>
    </cfRule>
    <cfRule type="duplicateValues" dxfId="2645" priority="2200" stopIfTrue="1"/>
    <cfRule type="expression" dxfId="2644" priority="2196" stopIfTrue="1">
      <formula>AND(COUNTIF($E$147:$E$155,E516)+COUNTIF($E$1:$E$2,E516)+COUNTIF($E$157:$E$65536,E516)+COUNTIF($E$8:$E$9,E516)+COUNTIF($E$11:$E$26,E516)+COUNTIF($E$28:$E$145,E516)+COUNTIF($E$4:$E$4,E516)&gt;1,NOT(ISBLANK(E516)))</formula>
    </cfRule>
  </conditionalFormatting>
  <conditionalFormatting sqref="E518">
    <cfRule type="expression" dxfId="2643" priority="11269" stopIfTrue="1">
      <formula>AND(COUNTIF($E$8:$E$9,E518)+COUNTIF($E$1:$E$2,E518)+COUNTIF($E$11:$E$26,E518)+COUNTIF($E$28:$E$65536,E518)+COUNTIF($E$4:$E$4,E518)&gt;1,NOT(ISBLANK(E518)))</formula>
    </cfRule>
    <cfRule type="expression" dxfId="2642" priority="12395" stopIfTrue="1">
      <formula>AND(COUNTIF($E$498:$E$65536,E518)+COUNTIF($E$1:$E$2,E518)+COUNTIF($E$284:$E$292,E518)+COUNTIF($E$294:$E$495,E518)+COUNTIF($E$8:$E$9,E518)+COUNTIF($E$11:$E$26,E518)+COUNTIF($E$28:$E$282,E518)+COUNTIF($E$4:$E$4,E518)&gt;1,NOT(ISBLANK(E518)))</formula>
    </cfRule>
    <cfRule type="expression" dxfId="2641" priority="12169" stopIfTrue="1">
      <formula>AND(COUNTIF($E$284:$E$292,E518)+COUNTIF($E$1:$E$2,E518)+COUNTIF($E$294:$E$65536,E518)+COUNTIF($E$8:$E$9,E518)+COUNTIF($E$11:$E$26,E518)+COUNTIF($E$28:$E$282,E518)+COUNTIF($E$4:$E$4,E518)&gt;1,NOT(ISBLANK(E518)))</formula>
    </cfRule>
    <cfRule type="expression" dxfId="2640" priority="12168" stopIfTrue="1">
      <formula>AND(COUNTIF($E$4:$E$65536,E518)+COUNTIF($E$1:$E$2,E518)&gt;1,NOT(ISBLANK(E518)))</formula>
    </cfRule>
    <cfRule type="expression" dxfId="2639" priority="12167" stopIfTrue="1">
      <formula>AND(COUNTIF($E$4:$E$65536,E518)+COUNTIF($E$1:$E$2,E518)&gt;1,NOT(ISBLANK(E518)))</formula>
    </cfRule>
    <cfRule type="duplicateValues" dxfId="2638" priority="11301" stopIfTrue="1"/>
    <cfRule type="duplicateValues" dxfId="2637" priority="12166" stopIfTrue="1"/>
  </conditionalFormatting>
  <conditionalFormatting sqref="E519:E520">
    <cfRule type="expression" dxfId="2636" priority="15158" stopIfTrue="1">
      <formula>AND(COUNTIF($E$8:$E$9,E519)+COUNTIF($E$1:$E$2,E519)+COUNTIF($E$11:$E$26,E519)+COUNTIF($E$28:$E$65536,E519)+COUNTIF($E$4:$E$4,E519)&gt;1,NOT(ISBLANK(E519)))</formula>
    </cfRule>
    <cfRule type="expression" dxfId="2635" priority="15138" stopIfTrue="1">
      <formula>AND(COUNTIF($E$4:$E$65536,E519)+COUNTIF($E$1:$E$2,E519)&gt;1,NOT(ISBLANK(E519)))</formula>
    </cfRule>
    <cfRule type="expression" dxfId="2634" priority="15179" stopIfTrue="1">
      <formula>AND(COUNTIF($E$310:$E$318,E519)+COUNTIF($E$1:$E$2,E519)+COUNTIF($E$320:$E$65536,E519)+COUNTIF($E$8:$E$9,E519)+COUNTIF($E$11:$E$26,E519)+COUNTIF($E$28:$E$308,E519)+COUNTIF($E$4:$E$4,E519)&gt;1,NOT(ISBLANK(E519)))</formula>
    </cfRule>
    <cfRule type="expression" dxfId="2633" priority="15137" stopIfTrue="1">
      <formula>AND(COUNTIF($E$4:$E$65536,E519)+COUNTIF($E$1:$E$2,E519)&gt;1,NOT(ISBLANK(E519)))</formula>
    </cfRule>
    <cfRule type="duplicateValues" dxfId="2632" priority="15147" stopIfTrue="1"/>
    <cfRule type="expression" dxfId="2631" priority="15178" stopIfTrue="1">
      <formula>AND(COUNTIF($E$519:$E$65536,E519)+COUNTIF($E$1:$E$2,E519)+COUNTIF($E$310:$E$318,E519)+COUNTIF($E$320:$E$518,E519)+COUNTIF($E$8:$E$9,E519)+COUNTIF($E$11:$E$26,E519)+COUNTIF($E$28:$E$308,E519)+COUNTIF($E$4:$E$4,E519)&gt;1,NOT(ISBLANK(E519)))</formula>
    </cfRule>
    <cfRule type="duplicateValues" dxfId="2630" priority="15145" stopIfTrue="1"/>
    <cfRule type="duplicateValues" dxfId="2629" priority="15152" stopIfTrue="1"/>
  </conditionalFormatting>
  <conditionalFormatting sqref="E521:E65536 E1:E3">
    <cfRule type="duplicateValues" dxfId="2628" priority="20759" stopIfTrue="1"/>
    <cfRule type="duplicateValues" dxfId="2627" priority="12650" stopIfTrue="1"/>
    <cfRule type="duplicateValues" dxfId="2626" priority="12886" stopIfTrue="1"/>
  </conditionalFormatting>
  <conditionalFormatting sqref="E521:E65536">
    <cfRule type="duplicateValues" dxfId="2625" priority="19071" stopIfTrue="1"/>
  </conditionalFormatting>
  <conditionalFormatting sqref="E525:E533 E534:G65536">
    <cfRule type="expression" dxfId="2624" priority="36719" stopIfTrue="1">
      <formula>AND(COUNTIF($E$8:$F$9,E525)+COUNTIF($E$1:$F$2,E525)+COUNTIF($E$11:$F$26,E525)+COUNTIF($E$28:$F$65536,E525)+COUNTIF($E$4:$F$4,E525)&gt;1,NOT(ISBLANK(E525)))</formula>
    </cfRule>
  </conditionalFormatting>
  <conditionalFormatting sqref="E4:F4 E8:F9 E11:F26 E28:F206 E208:F255 E257:F423 E425:F452 E454:F487">
    <cfRule type="expression" dxfId="2623" priority="1929" stopIfTrue="1">
      <formula>AND(COUNTIF($E$8:$F$9,E4)+COUNTIF($E$1:$F$2,E4)+COUNTIF($E$11:$F$26,E4)+COUNTIF($E$28:$F$65536,E4)+COUNTIF($E$4:$F$4,E4)&gt;1,NOT(ISBLANK(E4)))</formula>
    </cfRule>
  </conditionalFormatting>
  <conditionalFormatting sqref="E207:F207">
    <cfRule type="expression" dxfId="2622" priority="755" stopIfTrue="1">
      <formula>AND(COUNTIF($E$8:$F$9,E207)+COUNTIF($E$1:$F$2,E207)+COUNTIF($E$11:$F$26,E207)+COUNTIF($E$28:$F$65536,E207)+COUNTIF($E$4:$F$4,E207)&gt;1,NOT(ISBLANK(E207)))</formula>
    </cfRule>
  </conditionalFormatting>
  <conditionalFormatting sqref="E256:F256">
    <cfRule type="expression" dxfId="2621" priority="825" stopIfTrue="1">
      <formula>AND(COUNTIF($E$8:$F$9,E256)+COUNTIF($E$1:$F$2,E256)+COUNTIF($E$11:$F$26,E256)+COUNTIF($E$28:$F$65536,E256)+COUNTIF($E$4:$F$4,E256)&gt;1,NOT(ISBLANK(E256)))</formula>
    </cfRule>
  </conditionalFormatting>
  <conditionalFormatting sqref="E424:F424">
    <cfRule type="expression" dxfId="2620" priority="677" stopIfTrue="1">
      <formula>AND(COUNTIF($E$8:$F$9,E424)+COUNTIF($E$1:$F$2,E424)+COUNTIF($E$11:$F$26,E424)+COUNTIF($E$28:$F$65536,E424)+COUNTIF($E$4:$F$4,E424)&gt;1,NOT(ISBLANK(E424)))</formula>
    </cfRule>
  </conditionalFormatting>
  <conditionalFormatting sqref="E453:F453">
    <cfRule type="expression" dxfId="2619" priority="605" stopIfTrue="1">
      <formula>AND(COUNTIF($E$8:$F$9,E453)+COUNTIF($E$1:$F$2,E453)+COUNTIF($E$11:$F$26,E453)+COUNTIF($E$28:$F$65536,E453)+COUNTIF($E$4:$F$4,E453)&gt;1,NOT(ISBLANK(E453)))</formula>
    </cfRule>
  </conditionalFormatting>
  <conditionalFormatting sqref="E488:F491 E493:F516">
    <cfRule type="expression" dxfId="2618" priority="2110" stopIfTrue="1">
      <formula>AND(COUNTIF($E$8:$F$9,E488)+COUNTIF($E$1:$F$2,E488)+COUNTIF($E$11:$F$26,E488)+COUNTIF($E$28:$F$65536,E488)+COUNTIF($E$4:$F$4,E488)&gt;1,NOT(ISBLANK(E488)))</formula>
    </cfRule>
  </conditionalFormatting>
  <conditionalFormatting sqref="E492:F492">
    <cfRule type="expression" dxfId="2617" priority="1971" stopIfTrue="1">
      <formula>AND(COUNTIF($E$8:$F$9,E492)+COUNTIF($E$1:$F$2,E492)+COUNTIF($E$11:$F$26,E492)+COUNTIF($E$28:$F$65536,E492)+COUNTIF($E$4:$F$4,E492)&gt;1,NOT(ISBLANK(E492)))</formula>
    </cfRule>
  </conditionalFormatting>
  <conditionalFormatting sqref="E1:G1 E2 AJ45:AK47 AJ98:AK98 AA102:AB103 AA107:AB109 AJ110:AK110 AA119:AB119 AJ125:AK125 AA125:AB126 AJ127:AK127 AA128:AB130 AJ138:AK138 AJ140:AK164 AA141:AB141 AA145:AB145 AA149:AB150 AA156:AB156 AA163:AB167 AA170:AB171 AJ173:AK191 AA192:AB192 AJ197:AK217 AA204:AB204 AA217:AB217 AA221:AB221 AA225:AB225 AA231:AB266 AJ238:AK253 AJ275:AK276 AA279:AB322 AJ281:AK299 AA361:AB361 AJ372:AK373 AA372:AB379 AJ385:AK386 AJ391:AK391 AJ393:AK393 AJ396:AK396 AJ405:AK407 AJ411:AK411 AA411:AB412 AJ413:AK413 AA414:AB415 AJ417:AK418 AJ423:AK424 AA427:AB427 AJ428:AK429 AJ434:AK434 AA439:AB439 AA450:AB450 AJ453:AK453 AA454:AB455 AA460:AB464 AA467:AB467 AA476:AB476 AA486:AB487 AJ491:AK491 G517 AK518 E518:G524">
    <cfRule type="expression" dxfId="2616" priority="13598" stopIfTrue="1">
      <formula>AND(COUNTIF($E$8:$F$9,E1)+COUNTIF($E$1:$F$2,E1)+COUNTIF($E$11:$F$26,E1)+COUNTIF($E$28:$F$65536,E1)+COUNTIF($E$4:$F$4,E1)&gt;1,NOT(ISBLANK(E1)))</formula>
    </cfRule>
  </conditionalFormatting>
  <conditionalFormatting sqref="F1:F3 F517:F65536">
    <cfRule type="duplicateValues" dxfId="2615" priority="2356" stopIfTrue="1"/>
  </conditionalFormatting>
  <conditionalFormatting sqref="F1:F3 F518:F65536">
    <cfRule type="duplicateValues" dxfId="2614" priority="5377" stopIfTrue="1"/>
  </conditionalFormatting>
  <conditionalFormatting sqref="F4 F8:F9 F11:F14 F16 F18:F26 F30:F50 F171:F173">
    <cfRule type="expression" dxfId="2613" priority="1598" stopIfTrue="1">
      <formula>AND(COUNTIF($F$4:$F$4,F4)+COUNTIF($F$8:$F$9,F4)+COUNTIF($F$11:$F$26,F4)+COUNTIF($F$28:$F$173,F4)&gt;1,NOT(ISBLANK(F4)))</formula>
    </cfRule>
  </conditionalFormatting>
  <conditionalFormatting sqref="F4 F8:F9 F11:F14 F16 F18:F26 F30:F50 F171:F178 F180:F199 F201:F206 F208:F249 F251:F255 F257:F259">
    <cfRule type="expression" dxfId="2612" priority="1861" stopIfTrue="1">
      <formula>AND(COUNTIF($F$134:$F$142,F4)+COUNTIF($F$1:$F$2,F4)+COUNTIF($F$144:$F$65536,F4)+COUNTIF($F$8:$F$9,F4)+COUNTIF($F$11:$F$26,F4)+COUNTIF($F$28:$F$132,F4)+COUNTIF($F$4:$F$4,F4)&gt;1,NOT(ISBLANK(F4)))</formula>
    </cfRule>
  </conditionalFormatting>
  <conditionalFormatting sqref="F4 F8:F9 F11:F14 F16 F18:F26 F30:F50 F171:F178 F180:F199 F201:F206 F257:F259">
    <cfRule type="expression" dxfId="2611" priority="1858" stopIfTrue="1">
      <formula>AND(COUNTIF($F$486:$F$65536,F4)+COUNTIF($F$1:$F$2,F4)+COUNTIF($F$134:$F$142,F4)+COUNTIF($F$144:$F$483,F4)+COUNTIF($F$8:$F$9,F4)+COUNTIF($F$11:$F$26,F4)+COUNTIF($F$28:$F$132,F4)+COUNTIF($F$4:$F$4,F4)&gt;1,NOT(ISBLANK(F4)))</formula>
    </cfRule>
  </conditionalFormatting>
  <conditionalFormatting sqref="F4 F8:F9 F11:F14 F16 F18:F26 F30:F50 F171:F178 F180:F199 F201:F206">
    <cfRule type="expression" dxfId="2610" priority="1855" stopIfTrue="1">
      <formula>AND(COUNTIF($F$8:$F$9,F4)+COUNTIF($F$1:$F$2,F4)+COUNTIF($F$11:$F$26,F4)+COUNTIF($F$28:$F$65536,F4)+COUNTIF($F$4:$F$4,F4)&gt;1,NOT(ISBLANK(F4)))</formula>
    </cfRule>
  </conditionalFormatting>
  <conditionalFormatting sqref="F4:F14 F16:F27 F30:F50 F171:F206 F208:F249 F251:F255 F257:F259">
    <cfRule type="expression" dxfId="2609" priority="1936" stopIfTrue="1">
      <formula>AND(COUNTIF($F$4:$F$65536,F4)+COUNTIF($F$1:$F$2,F4)&gt;1,NOT(ISBLANK(F4)))</formula>
    </cfRule>
    <cfRule type="expression" dxfId="2608" priority="1935" stopIfTrue="1">
      <formula>AND(COUNTIF($F$4:$F$65536,F4)+COUNTIF($F$1:$F$2,F4)&gt;1,NOT(ISBLANK(F4)))</formula>
    </cfRule>
  </conditionalFormatting>
  <conditionalFormatting sqref="F4:F16 F18:F26 F78:F89 F171:F178 F180:F199 F28:F76 F201:F206 F257:F259 F208:F255">
    <cfRule type="duplicateValues" dxfId="2607" priority="951" stopIfTrue="1"/>
    <cfRule type="duplicateValues" dxfId="2606" priority="952" stopIfTrue="1"/>
  </conditionalFormatting>
  <conditionalFormatting sqref="F4:F206 F208:F255 F257:F423 F425:F452 F454:F487">
    <cfRule type="duplicateValues" dxfId="2605" priority="831" stopIfTrue="1"/>
    <cfRule type="duplicateValues" dxfId="2604" priority="834" stopIfTrue="1"/>
  </conditionalFormatting>
  <conditionalFormatting sqref="F4:F206 F208:F423 F425:F452 F454:F487">
    <cfRule type="duplicateValues" dxfId="2603" priority="763" stopIfTrue="1"/>
  </conditionalFormatting>
  <conditionalFormatting sqref="F4:F206 F257:F295 F208:F255 F297:F423 F425:F452 F454:F486">
    <cfRule type="duplicateValues" dxfId="2602" priority="884" stopIfTrue="1"/>
  </conditionalFormatting>
  <conditionalFormatting sqref="F4:F206 F257:F295 F208:F255 F297:F423 F425:F452 F454:F487">
    <cfRule type="duplicateValues" dxfId="2601" priority="850" stopIfTrue="1"/>
  </conditionalFormatting>
  <conditionalFormatting sqref="F4:F487">
    <cfRule type="duplicateValues" dxfId="2600" priority="541" stopIfTrue="1"/>
  </conditionalFormatting>
  <conditionalFormatting sqref="F15 F29">
    <cfRule type="expression" dxfId="2599" priority="1890" stopIfTrue="1">
      <formula>AND(COUNTIF($F$134:$F$142,F15)+COUNTIF($F$1:$F$2,F15)+COUNTIF($F$144:$F$65536,F15)+COUNTIF($F$8:$F$9,F15)+COUNTIF($F$11:$F$26,F15)+COUNTIF($F$28:$F$132,F15)+COUNTIF($F$4:$F$4,F15)&gt;1,NOT(ISBLANK(F15)))</formula>
    </cfRule>
    <cfRule type="expression" dxfId="2598" priority="1884" stopIfTrue="1">
      <formula>AND(COUNTIF($F$8:$F$9,F15)+COUNTIF($F$1:$F$2,F15)+COUNTIF($F$11:$F$26,F15)+COUNTIF($F$28:$F$65536,F15)+COUNTIF($F$4:$F$4,F15)&gt;1,NOT(ISBLANK(F15)))</formula>
    </cfRule>
    <cfRule type="expression" dxfId="2597" priority="1885" stopIfTrue="1">
      <formula>AND(COUNTIF($F$8:$F$9,F15)+COUNTIF($F$1:$F$2,F15)+COUNTIF($F$11:$F$26,F15)+COUNTIF($F$28:$F$65536,F15)+COUNTIF($F$4:$F$4,F15)&gt;1,NOT(ISBLANK(F15)))</formula>
    </cfRule>
    <cfRule type="expression" dxfId="2596" priority="1887" stopIfTrue="1">
      <formula>AND(COUNTIF($F$486:$F$65536,F15)+COUNTIF($F$1:$F$2,F15)+COUNTIF($F$134:$F$142,F15)+COUNTIF($F$144:$F$483,F15)+COUNTIF($F$8:$F$9,F15)+COUNTIF($F$11:$F$26,F15)+COUNTIF($F$28:$F$132,F15)+COUNTIF($F$4:$F$4,F15)&gt;1,NOT(ISBLANK(F15)))</formula>
    </cfRule>
    <cfRule type="expression" dxfId="2595" priority="1883" stopIfTrue="1">
      <formula>AND(COUNTIF($F$4:$F$65536,F15)+COUNTIF($F$1:$F$2,F15)&gt;1,NOT(ISBLANK(F15)))</formula>
    </cfRule>
    <cfRule type="expression" dxfId="2594" priority="1882" stopIfTrue="1">
      <formula>AND(COUNTIF($F$4:$F$65536,F15)+COUNTIF($F$1:$F$2,F15)&gt;1,NOT(ISBLANK(F15)))</formula>
    </cfRule>
    <cfRule type="expression" dxfId="2593" priority="1893" stopIfTrue="1">
      <formula>AND(COUNTIF($F$4:$F$4,F15)+COUNTIF($F$8:$F$9,F15)+COUNTIF($F$11:$F$26,F15)+COUNTIF($F$28:$F$173,F15)&gt;1,NOT(ISBLANK(F15)))</formula>
    </cfRule>
  </conditionalFormatting>
  <conditionalFormatting sqref="F17 F179 F200">
    <cfRule type="expression" dxfId="2592" priority="939" stopIfTrue="1">
      <formula>AND(COUNTIF($F$498:$F$65536,F17)+COUNTIF($F$1:$F$2,F17)+COUNTIF($F$147:$F$155,F17)+COUNTIF($F$157:$F$496,F17)+COUNTIF($F$8:$F$9,F17)+COUNTIF($F$11:$F$26,F17)+COUNTIF($F$28:$F$145,F17)+COUNTIF($F$4:$F$4,F17)&gt;1,NOT(ISBLANK(F17)))</formula>
    </cfRule>
    <cfRule type="expression" dxfId="2591" priority="942" stopIfTrue="1">
      <formula>AND(COUNTIF($F$147:$F$155,F17)+COUNTIF($F$1:$F$2,F17)+COUNTIF($F$157:$F$65536,F17)+COUNTIF($F$8:$F$9,F17)+COUNTIF($F$11:$F$26,F17)+COUNTIF($F$28:$F$145,F17)+COUNTIF($F$4:$F$4,F17)&gt;1,NOT(ISBLANK(F17)))</formula>
    </cfRule>
    <cfRule type="expression" dxfId="2590" priority="936" stopIfTrue="1">
      <formula>AND(COUNTIF($F$8:$F$9,F17)+COUNTIF($F$1:$F$2,F17)+COUNTIF($F$11:$F$26,F17)+COUNTIF($F$28:$F$65536,F17)+COUNTIF($F$4:$F$4,F17)&gt;1,NOT(ISBLANK(F17)))</formula>
    </cfRule>
  </conditionalFormatting>
  <conditionalFormatting sqref="F17">
    <cfRule type="duplicateValues" dxfId="2589" priority="1593" stopIfTrue="1"/>
    <cfRule type="duplicateValues" dxfId="2588" priority="1592" stopIfTrue="1"/>
    <cfRule type="expression" dxfId="2587" priority="1597" stopIfTrue="1">
      <formula>AND(COUNTIF($F$4:$F$4,F17)+COUNTIF($F$8:$F$9,F17)+COUNTIF($F$11:$F$26,F17)+COUNTIF($F$28:$F$173,F17)&gt;1,NOT(ISBLANK(F17)))</formula>
    </cfRule>
    <cfRule type="duplicateValues" dxfId="2586" priority="1596" stopIfTrue="1"/>
    <cfRule type="duplicateValues" dxfId="2585" priority="1595" stopIfTrue="1"/>
    <cfRule type="duplicateValues" dxfId="2584" priority="1594" stopIfTrue="1"/>
  </conditionalFormatting>
  <conditionalFormatting sqref="F27">
    <cfRule type="duplicateValues" dxfId="2583" priority="1067" stopIfTrue="1"/>
    <cfRule type="duplicateValues" dxfId="2582" priority="1060" stopIfTrue="1"/>
    <cfRule type="duplicateValues" dxfId="2581" priority="1065" stopIfTrue="1"/>
    <cfRule type="duplicateValues" dxfId="2580" priority="1066" stopIfTrue="1"/>
    <cfRule type="duplicateValues" dxfId="2579" priority="1069" stopIfTrue="1"/>
  </conditionalFormatting>
  <conditionalFormatting sqref="F51:F52 F54:F76 F83:F89 F78:F81">
    <cfRule type="duplicateValues" dxfId="2578" priority="966" stopIfTrue="1"/>
  </conditionalFormatting>
  <conditionalFormatting sqref="F51:F52 F54:F145 F147:F155 F157:F170 F260:F294 F297:F353 F355:F412 F414:F423 F425:F433 F435 F437:F452 F454:F484 F486:F487">
    <cfRule type="expression" dxfId="2577" priority="1531" stopIfTrue="1">
      <formula>AND(COUNTIF($F$134:$F$142,F51)+COUNTIF($F$1:$F$2,F51)+COUNTIF($F$144:$F$65536,F51)+COUNTIF($F$8:$F$9,F51)+COUNTIF($F$11:$F$26,F51)+COUNTIF($F$28:$F$132,F51)+COUNTIF($F$4:$F$4,F51)&gt;1,NOT(ISBLANK(F51)))</formula>
    </cfRule>
  </conditionalFormatting>
  <conditionalFormatting sqref="F51:F52 F54:F170 F257:F294 F297:F353 F355:F412 F414:F423 F425:F433 F435 F437:F452 F454:F484 F486:F487">
    <cfRule type="expression" dxfId="2576" priority="1539" stopIfTrue="1">
      <formula>AND(COUNTIF($F$8:$F$9,F51)+COUNTIF($F$1:$F$2,F51)+COUNTIF($F$11:$F$26,F51)+COUNTIF($F$28:$F$65536,F51)+COUNTIF($F$4:$F$4,F51)&gt;1,NOT(ISBLANK(F51)))</formula>
    </cfRule>
  </conditionalFormatting>
  <conditionalFormatting sqref="F51:F52 F54:F170 F260:F294 F297:F353 F355:F412 F414:F423 F425:F433 F435 F437:F452 F454:F484 F486:F487">
    <cfRule type="expression" dxfId="2575" priority="1537" stopIfTrue="1">
      <formula>AND(COUNTIF($F$4:$F$65536,F51)+COUNTIF($F$1:$F$2,F51)&gt;1,NOT(ISBLANK(F51)))</formula>
    </cfRule>
    <cfRule type="expression" dxfId="2574" priority="1538" stopIfTrue="1">
      <formula>AND(COUNTIF($F$4:$F$65536,F51)+COUNTIF($F$1:$F$2,F51)&gt;1,NOT(ISBLANK(F51)))</formula>
    </cfRule>
    <cfRule type="expression" dxfId="2573" priority="1540" stopIfTrue="1">
      <formula>AND(COUNTIF($F$8:$F$9,F51)+COUNTIF($F$1:$F$2,F51)+COUNTIF($F$11:$F$26,F51)+COUNTIF($F$28:$F$65536,F51)+COUNTIF($F$4:$F$4,F51)&gt;1,NOT(ISBLANK(F51)))</formula>
    </cfRule>
  </conditionalFormatting>
  <conditionalFormatting sqref="F51:F76 F83:F89 F78:F81">
    <cfRule type="duplicateValues" dxfId="2572" priority="967" stopIfTrue="1"/>
  </conditionalFormatting>
  <conditionalFormatting sqref="F53">
    <cfRule type="expression" dxfId="2571" priority="1870" stopIfTrue="1">
      <formula>AND(COUNTIF($F$486:$F$65536,F53)+COUNTIF($F$1:$F$2,F53)+COUNTIF($F$134:$F$142,F53)+COUNTIF($F$144:$F$483,F53)+COUNTIF($F$8:$F$9,F53)+COUNTIF($F$11:$F$26,F53)+COUNTIF($F$28:$F$132,F53)+COUNTIF($F$4:$F$4,F53)&gt;1,NOT(ISBLANK(F53)))</formula>
    </cfRule>
    <cfRule type="duplicateValues" dxfId="2570" priority="1864" stopIfTrue="1"/>
    <cfRule type="expression" dxfId="2569" priority="1873" stopIfTrue="1">
      <formula>AND(COUNTIF($F$134:$F$142,F53)+COUNTIF($F$1:$F$2,F53)+COUNTIF($F$144:$F$65536,F53)+COUNTIF($F$8:$F$9,F53)+COUNTIF($F$11:$F$26,F53)+COUNTIF($F$28:$F$132,F53)+COUNTIF($F$4:$F$4,F53)&gt;1,NOT(ISBLANK(F53)))</formula>
    </cfRule>
    <cfRule type="expression" dxfId="2568" priority="1865" stopIfTrue="1">
      <formula>AND(COUNTIF($F$4:$F$65536,F53)+COUNTIF($F$1:$F$2,F53)&gt;1,NOT(ISBLANK(F53)))</formula>
    </cfRule>
    <cfRule type="expression" dxfId="2567" priority="1866" stopIfTrue="1">
      <formula>AND(COUNTIF($F$4:$F$65536,F53)+COUNTIF($F$1:$F$2,F53)&gt;1,NOT(ISBLANK(F53)))</formula>
    </cfRule>
    <cfRule type="expression" dxfId="2566" priority="1867" stopIfTrue="1">
      <formula>AND(COUNTIF($F$8:$F$9,F53)+COUNTIF($F$1:$F$2,F53)+COUNTIF($F$11:$F$26,F53)+COUNTIF($F$28:$F$65536,F53)+COUNTIF($F$4:$F$4,F53)&gt;1,NOT(ISBLANK(F53)))</formula>
    </cfRule>
  </conditionalFormatting>
  <conditionalFormatting sqref="F54:F145 F437:F452 F454:F484 F486:F487 F260:F294 F425:F433 F355:F412 F297:F353 F147:F155 F157:F170 F414:F423 F435 F51:F52">
    <cfRule type="expression" dxfId="2565" priority="1528" stopIfTrue="1">
      <formula>AND(COUNTIF($F$486:$F$65536,F51)+COUNTIF($F$1:$F$2,F51)+COUNTIF($F$134:$F$142,F51)+COUNTIF($F$144:$F$483,F51)+COUNTIF($F$8:$F$9,F51)+COUNTIF($F$11:$F$26,F51)+COUNTIF($F$28:$F$132,F51)+COUNTIF($F$4:$F$4,F51)&gt;1,NOT(ISBLANK(F51)))</formula>
    </cfRule>
  </conditionalFormatting>
  <conditionalFormatting sqref="F77">
    <cfRule type="duplicateValues" dxfId="2564" priority="1466" stopIfTrue="1"/>
    <cfRule type="duplicateValues" dxfId="2563" priority="1461" stopIfTrue="1"/>
    <cfRule type="duplicateValues" dxfId="2562" priority="1458" stopIfTrue="1"/>
    <cfRule type="duplicateValues" dxfId="2561" priority="1460" stopIfTrue="1"/>
  </conditionalFormatting>
  <conditionalFormatting sqref="F82">
    <cfRule type="duplicateValues" dxfId="2560" priority="1473" stopIfTrue="1"/>
    <cfRule type="duplicateValues" dxfId="2559" priority="1478" stopIfTrue="1"/>
  </conditionalFormatting>
  <conditionalFormatting sqref="F87">
    <cfRule type="duplicateValues" dxfId="2558" priority="1491" stopIfTrue="1"/>
    <cfRule type="duplicateValues" dxfId="2557" priority="1494" stopIfTrue="1"/>
    <cfRule type="duplicateValues" dxfId="2556" priority="1490" stopIfTrue="1"/>
    <cfRule type="duplicateValues" dxfId="2555" priority="1492" stopIfTrue="1"/>
  </conditionalFormatting>
  <conditionalFormatting sqref="F90:F128">
    <cfRule type="duplicateValues" dxfId="2554" priority="1446" stopIfTrue="1"/>
    <cfRule type="duplicateValues" dxfId="2553" priority="1443" stopIfTrue="1"/>
    <cfRule type="duplicateValues" dxfId="2552" priority="1438" stopIfTrue="1"/>
    <cfRule type="duplicateValues" dxfId="2551" priority="1451" stopIfTrue="1"/>
    <cfRule type="duplicateValues" dxfId="2550" priority="1445" stopIfTrue="1"/>
  </conditionalFormatting>
  <conditionalFormatting sqref="F133">
    <cfRule type="duplicateValues" dxfId="2549" priority="1008" stopIfTrue="1"/>
    <cfRule type="duplicateValues" dxfId="2548" priority="1000" stopIfTrue="1"/>
    <cfRule type="duplicateValues" dxfId="2547" priority="1013" stopIfTrue="1"/>
    <cfRule type="duplicateValues" dxfId="2546" priority="1007" stopIfTrue="1"/>
    <cfRule type="duplicateValues" dxfId="2545" priority="1005" stopIfTrue="1"/>
  </conditionalFormatting>
  <conditionalFormatting sqref="F134:F140 F129:F132 F142:F170 F260:F295 F297:F318 F320:F352 F437:F452 F354:F364 F366:F423 F425:F435 F454:F486">
    <cfRule type="duplicateValues" dxfId="2544" priority="1144" stopIfTrue="1"/>
    <cfRule type="duplicateValues" dxfId="2543" priority="1146" stopIfTrue="1"/>
  </conditionalFormatting>
  <conditionalFormatting sqref="F134:F140 F129:F132 F142:F170 F260:F295 F297:F318 F437:F452 F320:F423 F425:F435 F454:F486">
    <cfRule type="duplicateValues" dxfId="2542" priority="1600" stopIfTrue="1"/>
  </conditionalFormatting>
  <conditionalFormatting sqref="F141">
    <cfRule type="duplicateValues" dxfId="2541" priority="1020" stopIfTrue="1"/>
    <cfRule type="duplicateValues" dxfId="2540" priority="1027" stopIfTrue="1"/>
    <cfRule type="duplicateValues" dxfId="2539" priority="1028" stopIfTrue="1"/>
    <cfRule type="duplicateValues" dxfId="2538" priority="1033" stopIfTrue="1"/>
    <cfRule type="duplicateValues" dxfId="2537" priority="1025" stopIfTrue="1"/>
  </conditionalFormatting>
  <conditionalFormatting sqref="F146">
    <cfRule type="duplicateValues" dxfId="2536" priority="1383" stopIfTrue="1"/>
    <cfRule type="duplicateValues" dxfId="2535" priority="1395" stopIfTrue="1"/>
    <cfRule type="duplicateValues" dxfId="2534" priority="1380" stopIfTrue="1"/>
    <cfRule type="duplicateValues" dxfId="2533" priority="1387" stopIfTrue="1"/>
    <cfRule type="duplicateValues" dxfId="2532" priority="1384" stopIfTrue="1"/>
    <cfRule type="duplicateValues" dxfId="2531" priority="1390"/>
    <cfRule type="duplicateValues" dxfId="2530" priority="1391" stopIfTrue="1"/>
    <cfRule type="duplicateValues" dxfId="2529" priority="1377" stopIfTrue="1"/>
    <cfRule type="duplicateValues" dxfId="2528" priority="1388" stopIfTrue="1"/>
    <cfRule type="duplicateValues" dxfId="2527" priority="1389" stopIfTrue="1"/>
    <cfRule type="duplicateValues" dxfId="2526" priority="1392" stopIfTrue="1"/>
    <cfRule type="duplicateValues" dxfId="2525" priority="1393" stopIfTrue="1"/>
  </conditionalFormatting>
  <conditionalFormatting sqref="F156">
    <cfRule type="duplicateValues" dxfId="2524" priority="1368" stopIfTrue="1"/>
    <cfRule type="duplicateValues" dxfId="2523" priority="1369" stopIfTrue="1"/>
    <cfRule type="duplicateValues" dxfId="2522" priority="1370"/>
    <cfRule type="duplicateValues" dxfId="2521" priority="1371" stopIfTrue="1"/>
    <cfRule type="duplicateValues" dxfId="2520" priority="1372" stopIfTrue="1"/>
    <cfRule type="duplicateValues" dxfId="2519" priority="1363" stopIfTrue="1"/>
    <cfRule type="duplicateValues" dxfId="2518" priority="1360" stopIfTrue="1"/>
    <cfRule type="duplicateValues" dxfId="2517" priority="1364" stopIfTrue="1"/>
    <cfRule type="duplicateValues" dxfId="2516" priority="1373" stopIfTrue="1"/>
    <cfRule type="duplicateValues" dxfId="2515" priority="1375" stopIfTrue="1"/>
    <cfRule type="duplicateValues" dxfId="2514" priority="1357" stopIfTrue="1"/>
    <cfRule type="duplicateValues" dxfId="2513" priority="1367" stopIfTrue="1"/>
  </conditionalFormatting>
  <conditionalFormatting sqref="F174">
    <cfRule type="duplicateValues" dxfId="2512" priority="1501" stopIfTrue="1"/>
    <cfRule type="duplicateValues" dxfId="2511" priority="1502" stopIfTrue="1"/>
    <cfRule type="duplicateValues" dxfId="2510" priority="1504" stopIfTrue="1"/>
    <cfRule type="duplicateValues" dxfId="2509" priority="1503" stopIfTrue="1"/>
    <cfRule type="duplicateValues" dxfId="2508" priority="1506" stopIfTrue="1"/>
  </conditionalFormatting>
  <conditionalFormatting sqref="F179">
    <cfRule type="duplicateValues" dxfId="2507" priority="1056" stopIfTrue="1"/>
    <cfRule type="duplicateValues" dxfId="2506" priority="1050" stopIfTrue="1"/>
    <cfRule type="duplicateValues" dxfId="2505" priority="1055" stopIfTrue="1"/>
    <cfRule type="duplicateValues" dxfId="2504" priority="1057" stopIfTrue="1"/>
    <cfRule type="duplicateValues" dxfId="2503" priority="1059" stopIfTrue="1"/>
  </conditionalFormatting>
  <conditionalFormatting sqref="F180:F199 F4:F16 F18:F26 F28:F89 F171:F178 F201:F206 F257:F259 F208:F255">
    <cfRule type="duplicateValues" dxfId="2502" priority="953" stopIfTrue="1"/>
  </conditionalFormatting>
  <conditionalFormatting sqref="F180:F199 F4:F16 F29:F50 F171:F178 F18:F26 F201:F206 F257:F259 F208:F255">
    <cfRule type="duplicateValues" dxfId="2501" priority="1899" stopIfTrue="1"/>
    <cfRule type="duplicateValues" dxfId="2500" priority="1898" stopIfTrue="1"/>
  </conditionalFormatting>
  <conditionalFormatting sqref="F195">
    <cfRule type="duplicateValues" dxfId="2499" priority="1520" stopIfTrue="1"/>
    <cfRule type="duplicateValues" dxfId="2498" priority="1521" stopIfTrue="1"/>
    <cfRule type="duplicateValues" dxfId="2497" priority="1522" stopIfTrue="1"/>
    <cfRule type="duplicateValues" dxfId="2496" priority="1524" stopIfTrue="1"/>
    <cfRule type="duplicateValues" dxfId="2495" priority="1519" stopIfTrue="1"/>
  </conditionalFormatting>
  <conditionalFormatting sqref="F200">
    <cfRule type="duplicateValues" dxfId="2494" priority="1045" stopIfTrue="1"/>
    <cfRule type="duplicateValues" dxfId="2493" priority="1047" stopIfTrue="1"/>
    <cfRule type="duplicateValues" dxfId="2492" priority="1049" stopIfTrue="1"/>
    <cfRule type="duplicateValues" dxfId="2491" priority="1046" stopIfTrue="1"/>
    <cfRule type="duplicateValues" dxfId="2490" priority="1040" stopIfTrue="1"/>
  </conditionalFormatting>
  <conditionalFormatting sqref="F201">
    <cfRule type="duplicateValues" dxfId="2489" priority="1515" stopIfTrue="1"/>
    <cfRule type="duplicateValues" dxfId="2488" priority="1514" stopIfTrue="1"/>
    <cfRule type="duplicateValues" dxfId="2487" priority="1517" stopIfTrue="1"/>
    <cfRule type="duplicateValues" dxfId="2486" priority="1508" stopIfTrue="1"/>
    <cfRule type="duplicateValues" dxfId="2485" priority="1509" stopIfTrue="1"/>
    <cfRule type="duplicateValues" dxfId="2484" priority="1510" stopIfTrue="1"/>
    <cfRule type="duplicateValues" dxfId="2483" priority="1511" stopIfTrue="1"/>
    <cfRule type="duplicateValues" dxfId="2482" priority="1512" stopIfTrue="1"/>
    <cfRule type="duplicateValues" dxfId="2481" priority="1513" stopIfTrue="1"/>
  </conditionalFormatting>
  <conditionalFormatting sqref="F207">
    <cfRule type="expression" dxfId="2480" priority="759" stopIfTrue="1">
      <formula>AND(COUNTIF($F$4:$F$65536,F207)+COUNTIF($F$1:$F$2,F207)&gt;1,NOT(ISBLANK(F207)))</formula>
    </cfRule>
    <cfRule type="duplicateValues" dxfId="2479" priority="699" stopIfTrue="1"/>
    <cfRule type="duplicateValues" dxfId="2478" priority="739" stopIfTrue="1"/>
    <cfRule type="expression" dxfId="2477" priority="728" stopIfTrue="1">
      <formula>AND(COUNTIF($F$486:$F$65536,F207)+COUNTIF($F$1:$F$2,F207)+COUNTIF($F$134:$F$142,F207)+COUNTIF($F$144:$F$483,F207)+COUNTIF($F$8:$F$9,F207)+COUNTIF($F$11:$F$26,F207)+COUNTIF($F$28:$F$132,F207)+COUNTIF($F$4:$F$4,F207)&gt;1,NOT(ISBLANK(F207)))</formula>
    </cfRule>
    <cfRule type="duplicateValues" dxfId="2476" priority="693" stopIfTrue="1"/>
    <cfRule type="duplicateValues" dxfId="2475" priority="711" stopIfTrue="1"/>
    <cfRule type="duplicateValues" dxfId="2474" priority="710" stopIfTrue="1"/>
    <cfRule type="duplicateValues" dxfId="2473" priority="709" stopIfTrue="1"/>
    <cfRule type="duplicateValues" dxfId="2472" priority="708" stopIfTrue="1"/>
    <cfRule type="duplicateValues" dxfId="2471" priority="707" stopIfTrue="1"/>
    <cfRule type="duplicateValues" dxfId="2470" priority="738" stopIfTrue="1"/>
    <cfRule type="expression" dxfId="2469" priority="725" stopIfTrue="1">
      <formula>AND(COUNTIF($F$8:$F$9,F207)+COUNTIF($F$1:$F$2,F207)+COUNTIF($F$11:$F$26,F207)+COUNTIF($F$28:$F$65536,F207)+COUNTIF($F$4:$F$4,F207)&gt;1,NOT(ISBLANK(F207)))</formula>
    </cfRule>
    <cfRule type="expression" dxfId="2468" priority="731" stopIfTrue="1">
      <formula>AND(COUNTIF($F$134:$F$142,F207)+COUNTIF($F$1:$F$2,F207)+COUNTIF($F$144:$F$65536,F207)+COUNTIF($F$8:$F$9,F207)+COUNTIF($F$11:$F$26,F207)+COUNTIF($F$28:$F$132,F207)+COUNTIF($F$4:$F$4,F207)&gt;1,NOT(ISBLANK(F207)))</formula>
    </cfRule>
    <cfRule type="duplicateValues" dxfId="2467" priority="697" stopIfTrue="1"/>
    <cfRule type="duplicateValues" dxfId="2466" priority="696" stopIfTrue="1"/>
    <cfRule type="expression" dxfId="2465" priority="760" stopIfTrue="1">
      <formula>AND(COUNTIF($F$4:$F$65536,F207)+COUNTIF($F$1:$F$2,F207)&gt;1,NOT(ISBLANK(F207)))</formula>
    </cfRule>
    <cfRule type="duplicateValues" dxfId="2464" priority="695" stopIfTrue="1"/>
  </conditionalFormatting>
  <conditionalFormatting sqref="F208:F255">
    <cfRule type="expression" dxfId="2463" priority="1846" stopIfTrue="1">
      <formula>AND(COUNTIF($F$486:$F$65536,F208)+COUNTIF($F$1:$F$2,F208)+COUNTIF($F$134:$F$142,F208)+COUNTIF($F$144:$F$483,F208)+COUNTIF($F$8:$F$9,F208)+COUNTIF($F$11:$F$26,F208)+COUNTIF($F$28:$F$132,F208)+COUNTIF($F$4:$F$4,F208)&gt;1,NOT(ISBLANK(F208)))</formula>
    </cfRule>
    <cfRule type="expression" dxfId="2462" priority="1843" stopIfTrue="1">
      <formula>AND(COUNTIF($F$8:$F$9,F208)+COUNTIF($F$1:$F$2,F208)+COUNTIF($F$11:$F$26,F208)+COUNTIF($F$28:$F$65536,F208)+COUNTIF($F$4:$F$4,F208)&gt;1,NOT(ISBLANK(F208)))</formula>
    </cfRule>
  </conditionalFormatting>
  <conditionalFormatting sqref="F250">
    <cfRule type="expression" dxfId="2461" priority="1844" stopIfTrue="1">
      <formula>AND(COUNTIF($F$8:$F$9,F250)+COUNTIF($F$1:$F$2,F250)+COUNTIF($F$11:$F$26,F250)+COUNTIF($F$28:$F$65536,F250)+COUNTIF($F$4:$F$4,F250)&gt;1,NOT(ISBLANK(F250)))</formula>
    </cfRule>
    <cfRule type="expression" dxfId="2460" priority="1849" stopIfTrue="1">
      <formula>AND(COUNTIF($F$134:$F$142,F250)+COUNTIF($F$1:$F$2,F250)+COUNTIF($F$144:$F$65536,F250)+COUNTIF($F$8:$F$9,F250)+COUNTIF($F$11:$F$26,F250)+COUNTIF($F$28:$F$132,F250)+COUNTIF($F$4:$F$4,F250)&gt;1,NOT(ISBLANK(F250)))</formula>
    </cfRule>
    <cfRule type="expression" dxfId="2459" priority="1841" stopIfTrue="1">
      <formula>AND(COUNTIF($F$4:$F$65536,F250)+COUNTIF($F$1:$F$2,F250)&gt;1,NOT(ISBLANK(F250)))</formula>
    </cfRule>
    <cfRule type="expression" dxfId="2458" priority="1842" stopIfTrue="1">
      <formula>AND(COUNTIF($F$4:$F$65536,F250)+COUNTIF($F$1:$F$2,F250)&gt;1,NOT(ISBLANK(F250)))</formula>
    </cfRule>
  </conditionalFormatting>
  <conditionalFormatting sqref="F256">
    <cfRule type="duplicateValues" dxfId="2457" priority="809" stopIfTrue="1"/>
    <cfRule type="expression" dxfId="2456" priority="829" stopIfTrue="1">
      <formula>AND(COUNTIF($F$4:$F$65536,F256)+COUNTIF($F$1:$F$2,F256)&gt;1,NOT(ISBLANK(F256)))</formula>
    </cfRule>
    <cfRule type="expression" dxfId="2455" priority="830" stopIfTrue="1">
      <formula>AND(COUNTIF($F$4:$F$65536,F256)+COUNTIF($F$1:$F$2,F256)&gt;1,NOT(ISBLANK(F256)))</formula>
    </cfRule>
    <cfRule type="duplicateValues" dxfId="2454" priority="765" stopIfTrue="1"/>
    <cfRule type="duplicateValues" dxfId="2453" priority="766" stopIfTrue="1"/>
    <cfRule type="duplicateValues" dxfId="2452" priority="769" stopIfTrue="1"/>
    <cfRule type="duplicateValues" dxfId="2451" priority="767" stopIfTrue="1"/>
    <cfRule type="duplicateValues" dxfId="2450" priority="777" stopIfTrue="1"/>
    <cfRule type="duplicateValues" dxfId="2449" priority="778" stopIfTrue="1"/>
    <cfRule type="duplicateValues" dxfId="2448" priority="779" stopIfTrue="1"/>
    <cfRule type="duplicateValues" dxfId="2447" priority="780" stopIfTrue="1"/>
    <cfRule type="duplicateValues" dxfId="2446" priority="781" stopIfTrue="1"/>
    <cfRule type="expression" dxfId="2445" priority="795" stopIfTrue="1">
      <formula>AND(COUNTIF($F$8:$F$9,F256)+COUNTIF($F$1:$F$2,F256)+COUNTIF($F$11:$F$26,F256)+COUNTIF($F$28:$F$65536,F256)+COUNTIF($F$4:$F$4,F256)&gt;1,NOT(ISBLANK(F256)))</formula>
    </cfRule>
    <cfRule type="expression" dxfId="2444" priority="796" stopIfTrue="1">
      <formula>AND(COUNTIF($F$8:$F$9,F256)+COUNTIF($F$1:$F$2,F256)+COUNTIF($F$11:$F$26,F256)+COUNTIF($F$28:$F$65536,F256)+COUNTIF($F$4:$F$4,F256)&gt;1,NOT(ISBLANK(F256)))</formula>
    </cfRule>
    <cfRule type="expression" dxfId="2443" priority="798" stopIfTrue="1">
      <formula>AND(COUNTIF($F$486:$F$65536,F256)+COUNTIF($F$1:$F$2,F256)+COUNTIF($F$134:$F$142,F256)+COUNTIF($F$144:$F$483,F256)+COUNTIF($F$8:$F$9,F256)+COUNTIF($F$11:$F$26,F256)+COUNTIF($F$28:$F$132,F256)+COUNTIF($F$4:$F$4,F256)&gt;1,NOT(ISBLANK(F256)))</formula>
    </cfRule>
    <cfRule type="expression" dxfId="2442" priority="801" stopIfTrue="1">
      <formula>AND(COUNTIF($F$134:$F$142,F256)+COUNTIF($F$1:$F$2,F256)+COUNTIF($F$144:$F$65536,F256)+COUNTIF($F$8:$F$9,F256)+COUNTIF($F$11:$F$26,F256)+COUNTIF($F$28:$F$132,F256)+COUNTIF($F$4:$F$4,F256)&gt;1,NOT(ISBLANK(F256)))</formula>
    </cfRule>
    <cfRule type="duplicateValues" dxfId="2441" priority="808" stopIfTrue="1"/>
  </conditionalFormatting>
  <conditionalFormatting sqref="F268">
    <cfRule type="duplicateValues" dxfId="2440" priority="1406" stopIfTrue="1"/>
    <cfRule type="duplicateValues" dxfId="2439" priority="1403"/>
    <cfRule type="duplicateValues" dxfId="2438" priority="1404" stopIfTrue="1"/>
    <cfRule type="duplicateValues" dxfId="2437" priority="1405" stopIfTrue="1"/>
    <cfRule type="duplicateValues" dxfId="2436" priority="1408" stopIfTrue="1"/>
    <cfRule type="duplicateValues" dxfId="2435" priority="1407" stopIfTrue="1"/>
  </conditionalFormatting>
  <conditionalFormatting sqref="F278">
    <cfRule type="duplicateValues" dxfId="2434" priority="1401" stopIfTrue="1"/>
    <cfRule type="duplicateValues" dxfId="2433" priority="1397" stopIfTrue="1"/>
    <cfRule type="duplicateValues" dxfId="2432" priority="1398" stopIfTrue="1"/>
    <cfRule type="duplicateValues" dxfId="2431" priority="1399" stopIfTrue="1"/>
    <cfRule type="duplicateValues" dxfId="2430" priority="1396" stopIfTrue="1"/>
  </conditionalFormatting>
  <conditionalFormatting sqref="F280">
    <cfRule type="duplicateValues" dxfId="2429" priority="1420" stopIfTrue="1"/>
    <cfRule type="duplicateValues" dxfId="2428" priority="1423" stopIfTrue="1"/>
    <cfRule type="duplicateValues" dxfId="2427" priority="1422"/>
    <cfRule type="duplicateValues" dxfId="2426" priority="1419" stopIfTrue="1"/>
    <cfRule type="duplicateValues" dxfId="2425" priority="1418" stopIfTrue="1"/>
    <cfRule type="duplicateValues" dxfId="2424" priority="1417" stopIfTrue="1"/>
  </conditionalFormatting>
  <conditionalFormatting sqref="F284">
    <cfRule type="duplicateValues" dxfId="2423" priority="1412" stopIfTrue="1"/>
    <cfRule type="duplicateValues" dxfId="2422" priority="1411" stopIfTrue="1"/>
    <cfRule type="duplicateValues" dxfId="2421" priority="1410" stopIfTrue="1"/>
    <cfRule type="duplicateValues" dxfId="2420" priority="1413" stopIfTrue="1"/>
    <cfRule type="duplicateValues" dxfId="2419" priority="1416" stopIfTrue="1"/>
    <cfRule type="duplicateValues" dxfId="2418" priority="1415"/>
  </conditionalFormatting>
  <conditionalFormatting sqref="F295">
    <cfRule type="expression" dxfId="2417" priority="1825" stopIfTrue="1">
      <formula>AND(COUNTIF($F$4:$F$65536,F295)+COUNTIF($F$1:$F$2,F295)&gt;1,NOT(ISBLANK(F295)))</formula>
    </cfRule>
    <cfRule type="expression" dxfId="2416" priority="1833" stopIfTrue="1">
      <formula>AND(COUNTIF($F$134:$F$142,F295)+COUNTIF($F$1:$F$2,F295)+COUNTIF($F$144:$F$65536,F295)+COUNTIF($F$8:$F$9,F295)+COUNTIF($F$11:$F$26,F295)+COUNTIF($F$28:$F$132,F295)+COUNTIF($F$4:$F$4,F295)&gt;1,NOT(ISBLANK(F295)))</formula>
    </cfRule>
    <cfRule type="expression" dxfId="2415" priority="1827" stopIfTrue="1">
      <formula>AND(COUNTIF($F$8:$F$9,F295)+COUNTIF($F$1:$F$2,F295)+COUNTIF($F$11:$F$26,F295)+COUNTIF($F$28:$F$65536,F295)+COUNTIF($F$4:$F$4,F295)&gt;1,NOT(ISBLANK(F295)))</formula>
    </cfRule>
    <cfRule type="expression" dxfId="2414" priority="1830" stopIfTrue="1">
      <formula>AND(COUNTIF($F$486:$F$65536,F295)+COUNTIF($F$1:$F$2,F295)+COUNTIF($F$134:$F$142,F295)+COUNTIF($F$144:$F$483,F295)+COUNTIF($F$8:$F$9,F295)+COUNTIF($F$11:$F$26,F295)+COUNTIF($F$28:$F$132,F295)+COUNTIF($F$4:$F$4,F295)&gt;1,NOT(ISBLANK(F295)))</formula>
    </cfRule>
    <cfRule type="duplicateValues" dxfId="2413" priority="1823" stopIfTrue="1"/>
    <cfRule type="duplicateValues" dxfId="2412" priority="1822" stopIfTrue="1"/>
    <cfRule type="duplicateValues" dxfId="2411" priority="1824" stopIfTrue="1"/>
    <cfRule type="expression" dxfId="2410" priority="1826" stopIfTrue="1">
      <formula>AND(COUNTIF($F$4:$F$65536,F295)+COUNTIF($F$1:$F$2,F295)&gt;1,NOT(ISBLANK(F295)))</formula>
    </cfRule>
  </conditionalFormatting>
  <conditionalFormatting sqref="F296">
    <cfRule type="duplicateValues" dxfId="2409" priority="846" stopIfTrue="1"/>
    <cfRule type="duplicateValues" dxfId="2408" priority="848" stopIfTrue="1"/>
    <cfRule type="duplicateValues" dxfId="2407" priority="841" stopIfTrue="1"/>
    <cfRule type="duplicateValues" dxfId="2406" priority="842" stopIfTrue="1"/>
    <cfRule type="duplicateValues" dxfId="2405" priority="847" stopIfTrue="1"/>
    <cfRule type="duplicateValues" dxfId="2404" priority="849" stopIfTrue="1"/>
    <cfRule type="expression" dxfId="2403" priority="1923" stopIfTrue="1">
      <formula>AND(COUNTIF($F$525:$F$65536,F296)+COUNTIF($F$1:$F$2,F296)+COUNTIF($F$310:$F$318,F296)+COUNTIF($F$320:$F$522,F296)+COUNTIF($F$8:$F$9,F296)+COUNTIF($F$11:$F$26,F296)+COUNTIF($F$28:$F$308,F296)+COUNTIF($F$4:$F$4,F296)&gt;1,NOT(ISBLANK(F296)))</formula>
    </cfRule>
  </conditionalFormatting>
  <conditionalFormatting sqref="F297:F318 F437:F452 F4:F206 F257:F295 F208:F255 F320:F423 F425:F435 F454:F486">
    <cfRule type="duplicateValues" dxfId="2402" priority="954" stopIfTrue="1"/>
    <cfRule type="duplicateValues" dxfId="2401" priority="955" stopIfTrue="1"/>
  </conditionalFormatting>
  <conditionalFormatting sqref="F306">
    <cfRule type="duplicateValues" dxfId="2400" priority="1128" stopIfTrue="1"/>
    <cfRule type="duplicateValues" dxfId="2399" priority="1121" stopIfTrue="1"/>
    <cfRule type="duplicateValues" dxfId="2398" priority="1116" stopIfTrue="1"/>
    <cfRule type="duplicateValues" dxfId="2397" priority="1115" stopIfTrue="1"/>
    <cfRule type="duplicateValues" dxfId="2396" priority="1113" stopIfTrue="1"/>
    <cfRule type="duplicateValues" dxfId="2395" priority="1133" stopIfTrue="1"/>
  </conditionalFormatting>
  <conditionalFormatting sqref="F310">
    <cfRule type="duplicateValues" dxfId="2394" priority="1285" stopIfTrue="1"/>
    <cfRule type="duplicateValues" dxfId="2393" priority="1286" stopIfTrue="1"/>
    <cfRule type="duplicateValues" dxfId="2392" priority="1287" stopIfTrue="1"/>
    <cfRule type="duplicateValues" dxfId="2391" priority="1288" stopIfTrue="1"/>
  </conditionalFormatting>
  <conditionalFormatting sqref="F311">
    <cfRule type="duplicateValues" dxfId="2390" priority="1281" stopIfTrue="1"/>
    <cfRule type="duplicateValues" dxfId="2389" priority="1279" stopIfTrue="1"/>
    <cfRule type="duplicateValues" dxfId="2388" priority="1283" stopIfTrue="1"/>
    <cfRule type="duplicateValues" dxfId="2387" priority="1280" stopIfTrue="1"/>
  </conditionalFormatting>
  <conditionalFormatting sqref="F313">
    <cfRule type="duplicateValues" dxfId="2386" priority="1274" stopIfTrue="1"/>
    <cfRule type="duplicateValues" dxfId="2385" priority="1275" stopIfTrue="1"/>
    <cfRule type="duplicateValues" dxfId="2384" priority="1277" stopIfTrue="1"/>
    <cfRule type="duplicateValues" dxfId="2383" priority="1278" stopIfTrue="1"/>
    <cfRule type="duplicateValues" dxfId="2382" priority="1276" stopIfTrue="1"/>
    <cfRule type="duplicateValues" dxfId="2381" priority="1273" stopIfTrue="1"/>
  </conditionalFormatting>
  <conditionalFormatting sqref="F319">
    <cfRule type="duplicateValues" dxfId="2380" priority="901" stopIfTrue="1"/>
    <cfRule type="duplicateValues" dxfId="2379" priority="893" stopIfTrue="1"/>
    <cfRule type="duplicateValues" dxfId="2378" priority="896" stopIfTrue="1"/>
    <cfRule type="duplicateValues" dxfId="2377" priority="910" stopIfTrue="1"/>
    <cfRule type="duplicateValues" dxfId="2376" priority="887" stopIfTrue="1"/>
    <cfRule type="duplicateValues" dxfId="2375" priority="888" stopIfTrue="1"/>
    <cfRule type="duplicateValues" dxfId="2374" priority="895" stopIfTrue="1"/>
  </conditionalFormatting>
  <conditionalFormatting sqref="F320">
    <cfRule type="duplicateValues" dxfId="2373" priority="1268" stopIfTrue="1"/>
    <cfRule type="duplicateValues" dxfId="2372" priority="1269" stopIfTrue="1"/>
    <cfRule type="duplicateValues" dxfId="2371" priority="1270" stopIfTrue="1"/>
    <cfRule type="duplicateValues" dxfId="2370" priority="1267" stopIfTrue="1"/>
    <cfRule type="duplicateValues" dxfId="2369" priority="1271" stopIfTrue="1"/>
    <cfRule type="duplicateValues" dxfId="2368" priority="1272" stopIfTrue="1"/>
  </conditionalFormatting>
  <conditionalFormatting sqref="F321">
    <cfRule type="duplicateValues" dxfId="2367" priority="1263" stopIfTrue="1"/>
    <cfRule type="duplicateValues" dxfId="2366" priority="1264" stopIfTrue="1"/>
    <cfRule type="duplicateValues" dxfId="2365" priority="1265" stopIfTrue="1"/>
    <cfRule type="duplicateValues" dxfId="2364" priority="1266" stopIfTrue="1"/>
  </conditionalFormatting>
  <conditionalFormatting sqref="F325">
    <cfRule type="duplicateValues" dxfId="2363" priority="1259" stopIfTrue="1"/>
    <cfRule type="duplicateValues" dxfId="2362" priority="1260" stopIfTrue="1"/>
    <cfRule type="duplicateValues" dxfId="2361" priority="1261" stopIfTrue="1"/>
    <cfRule type="duplicateValues" dxfId="2360" priority="1262" stopIfTrue="1"/>
  </conditionalFormatting>
  <conditionalFormatting sqref="F326">
    <cfRule type="duplicateValues" dxfId="2359" priority="1255" stopIfTrue="1"/>
    <cfRule type="duplicateValues" dxfId="2358" priority="1257" stopIfTrue="1"/>
    <cfRule type="duplicateValues" dxfId="2357" priority="1258" stopIfTrue="1"/>
    <cfRule type="duplicateValues" dxfId="2356" priority="1256" stopIfTrue="1"/>
  </conditionalFormatting>
  <conditionalFormatting sqref="F328">
    <cfRule type="duplicateValues" dxfId="2355" priority="1253"/>
    <cfRule type="duplicateValues" dxfId="2354" priority="1252"/>
    <cfRule type="duplicateValues" dxfId="2353" priority="1254"/>
    <cfRule type="duplicateValues" dxfId="2352" priority="1251"/>
  </conditionalFormatting>
  <conditionalFormatting sqref="F329">
    <cfRule type="duplicateValues" dxfId="2351" priority="1249" stopIfTrue="1"/>
    <cfRule type="duplicateValues" dxfId="2350" priority="1248" stopIfTrue="1"/>
    <cfRule type="duplicateValues" dxfId="2349" priority="1247" stopIfTrue="1"/>
  </conditionalFormatting>
  <conditionalFormatting sqref="F331">
    <cfRule type="duplicateValues" dxfId="2348" priority="1239" stopIfTrue="1"/>
    <cfRule type="duplicateValues" dxfId="2347" priority="1240" stopIfTrue="1"/>
    <cfRule type="duplicateValues" dxfId="2346" priority="1245" stopIfTrue="1"/>
    <cfRule type="duplicateValues" dxfId="2345" priority="1238" stopIfTrue="1"/>
    <cfRule type="duplicateValues" dxfId="2344" priority="1235" stopIfTrue="1"/>
    <cfRule type="duplicateValues" dxfId="2343" priority="1243" stopIfTrue="1"/>
    <cfRule type="duplicateValues" dxfId="2342" priority="1242" stopIfTrue="1"/>
    <cfRule type="duplicateValues" dxfId="2341" priority="1236" stopIfTrue="1"/>
    <cfRule type="duplicateValues" dxfId="2340" priority="1241" stopIfTrue="1"/>
    <cfRule type="duplicateValues" dxfId="2339" priority="1237" stopIfTrue="1"/>
  </conditionalFormatting>
  <conditionalFormatting sqref="F332">
    <cfRule type="duplicateValues" dxfId="2338" priority="1231" stopIfTrue="1"/>
    <cfRule type="duplicateValues" dxfId="2337" priority="1233" stopIfTrue="1"/>
    <cfRule type="duplicateValues" dxfId="2336" priority="1229" stopIfTrue="1"/>
    <cfRule type="duplicateValues" dxfId="2335" priority="1230" stopIfTrue="1"/>
    <cfRule type="duplicateValues" dxfId="2334" priority="1234" stopIfTrue="1"/>
    <cfRule type="duplicateValues" dxfId="2333" priority="1232" stopIfTrue="1"/>
  </conditionalFormatting>
  <conditionalFormatting sqref="F333">
    <cfRule type="duplicateValues" dxfId="2332" priority="1225" stopIfTrue="1"/>
    <cfRule type="duplicateValues" dxfId="2331" priority="1226" stopIfTrue="1"/>
    <cfRule type="duplicateValues" dxfId="2330" priority="1227" stopIfTrue="1"/>
    <cfRule type="duplicateValues" dxfId="2329" priority="1228" stopIfTrue="1"/>
  </conditionalFormatting>
  <conditionalFormatting sqref="F334">
    <cfRule type="duplicateValues" dxfId="2328" priority="1221" stopIfTrue="1"/>
    <cfRule type="duplicateValues" dxfId="2327" priority="1222" stopIfTrue="1"/>
    <cfRule type="duplicateValues" dxfId="2326" priority="1223" stopIfTrue="1"/>
    <cfRule type="duplicateValues" dxfId="2325" priority="1224" stopIfTrue="1"/>
  </conditionalFormatting>
  <conditionalFormatting sqref="F335">
    <cfRule type="duplicateValues" dxfId="2324" priority="1216" stopIfTrue="1"/>
    <cfRule type="duplicateValues" dxfId="2323" priority="1219" stopIfTrue="1"/>
    <cfRule type="duplicateValues" dxfId="2322" priority="1215" stopIfTrue="1"/>
    <cfRule type="duplicateValues" dxfId="2321" priority="1218" stopIfTrue="1"/>
    <cfRule type="duplicateValues" dxfId="2320" priority="1217" stopIfTrue="1"/>
    <cfRule type="duplicateValues" dxfId="2319" priority="1220" stopIfTrue="1"/>
  </conditionalFormatting>
  <conditionalFormatting sqref="F336">
    <cfRule type="duplicateValues" dxfId="2318" priority="1211" stopIfTrue="1"/>
    <cfRule type="duplicateValues" dxfId="2317" priority="1213" stopIfTrue="1"/>
    <cfRule type="duplicateValues" dxfId="2316" priority="1212" stopIfTrue="1"/>
    <cfRule type="duplicateValues" dxfId="2315" priority="1214" stopIfTrue="1"/>
  </conditionalFormatting>
  <conditionalFormatting sqref="F337">
    <cfRule type="duplicateValues" dxfId="2314" priority="1206" stopIfTrue="1"/>
    <cfRule type="duplicateValues" dxfId="2313" priority="1209" stopIfTrue="1"/>
    <cfRule type="duplicateValues" dxfId="2312" priority="1204"/>
    <cfRule type="duplicateValues" dxfId="2311" priority="1205" stopIfTrue="1"/>
    <cfRule type="duplicateValues" dxfId="2310" priority="1207" stopIfTrue="1"/>
    <cfRule type="duplicateValues" dxfId="2309" priority="1208" stopIfTrue="1"/>
  </conditionalFormatting>
  <conditionalFormatting sqref="F339">
    <cfRule type="duplicateValues" dxfId="2308" priority="1202" stopIfTrue="1"/>
    <cfRule type="duplicateValues" dxfId="2307" priority="1199" stopIfTrue="1"/>
    <cfRule type="duplicateValues" dxfId="2306" priority="1200" stopIfTrue="1"/>
    <cfRule type="duplicateValues" dxfId="2305" priority="1198"/>
    <cfRule type="duplicateValues" dxfId="2304" priority="1201" stopIfTrue="1"/>
  </conditionalFormatting>
  <conditionalFormatting sqref="F340">
    <cfRule type="duplicateValues" dxfId="2303" priority="1196" stopIfTrue="1"/>
    <cfRule type="duplicateValues" dxfId="2302" priority="1195" stopIfTrue="1"/>
    <cfRule type="duplicateValues" dxfId="2301" priority="1192"/>
    <cfRule type="duplicateValues" dxfId="2300" priority="1193" stopIfTrue="1"/>
    <cfRule type="duplicateValues" dxfId="2299" priority="1194" stopIfTrue="1"/>
  </conditionalFormatting>
  <conditionalFormatting sqref="F344">
    <cfRule type="duplicateValues" dxfId="2298" priority="1191" stopIfTrue="1"/>
    <cfRule type="duplicateValues" dxfId="2297" priority="1190" stopIfTrue="1"/>
    <cfRule type="duplicateValues" dxfId="2296" priority="1188" stopIfTrue="1"/>
    <cfRule type="duplicateValues" dxfId="2295" priority="1189" stopIfTrue="1"/>
  </conditionalFormatting>
  <conditionalFormatting sqref="F345">
    <cfRule type="duplicateValues" dxfId="2294" priority="1187" stopIfTrue="1"/>
    <cfRule type="duplicateValues" dxfId="2293" priority="1186" stopIfTrue="1"/>
  </conditionalFormatting>
  <conditionalFormatting sqref="F353">
    <cfRule type="duplicateValues" dxfId="2292" priority="1087" stopIfTrue="1"/>
    <cfRule type="duplicateValues" dxfId="2291" priority="1082" stopIfTrue="1"/>
    <cfRule type="duplicateValues" dxfId="2290" priority="1081" stopIfTrue="1"/>
    <cfRule type="duplicateValues" dxfId="2289" priority="1079" stopIfTrue="1"/>
  </conditionalFormatting>
  <conditionalFormatting sqref="F354">
    <cfRule type="expression" dxfId="2288" priority="1816" stopIfTrue="1">
      <formula>AND(COUNTIF($F$486:$F$65536,F354)+COUNTIF($F$1:$F$2,F354)+COUNTIF($F$134:$F$142,F354)+COUNTIF($F$144:$F$483,F354)+COUNTIF($F$8:$F$9,F354)+COUNTIF($F$11:$F$26,F354)+COUNTIF($F$28:$F$132,F354)+COUNTIF($F$4:$F$4,F354)&gt;1,NOT(ISBLANK(F354)))</formula>
    </cfRule>
    <cfRule type="expression" dxfId="2287" priority="1813" stopIfTrue="1">
      <formula>AND(COUNTIF($F$8:$F$9,F354)+COUNTIF($F$1:$F$2,F354)+COUNTIF($F$11:$F$26,F354)+COUNTIF($F$28:$F$65536,F354)+COUNTIF($F$4:$F$4,F354)&gt;1,NOT(ISBLANK(F354)))</formula>
    </cfRule>
    <cfRule type="duplicateValues" dxfId="2286" priority="1810" stopIfTrue="1"/>
    <cfRule type="expression" dxfId="2285" priority="1812" stopIfTrue="1">
      <formula>AND(COUNTIF($F$4:$F$65536,F354)+COUNTIF($F$1:$F$2,F354)&gt;1,NOT(ISBLANK(F354)))</formula>
    </cfRule>
    <cfRule type="expression" dxfId="2284" priority="1819" stopIfTrue="1">
      <formula>AND(COUNTIF($F$134:$F$142,F354)+COUNTIF($F$1:$F$2,F354)+COUNTIF($F$144:$F$65536,F354)+COUNTIF($F$8:$F$9,F354)+COUNTIF($F$11:$F$26,F354)+COUNTIF($F$28:$F$132,F354)+COUNTIF($F$4:$F$4,F354)&gt;1,NOT(ISBLANK(F354)))</formula>
    </cfRule>
    <cfRule type="duplicateValues" dxfId="2283" priority="1809" stopIfTrue="1"/>
    <cfRule type="expression" dxfId="2282" priority="1811" stopIfTrue="1">
      <formula>AND(COUNTIF($F$4:$F$65536,F354)+COUNTIF($F$1:$F$2,F354)&gt;1,NOT(ISBLANK(F354)))</formula>
    </cfRule>
  </conditionalFormatting>
  <conditionalFormatting sqref="F365">
    <cfRule type="duplicateValues" dxfId="2281" priority="1106" stopIfTrue="1"/>
    <cfRule type="duplicateValues" dxfId="2280" priority="1101" stopIfTrue="1"/>
    <cfRule type="duplicateValues" dxfId="2279" priority="1100" stopIfTrue="1"/>
    <cfRule type="duplicateValues" dxfId="2278" priority="1098" stopIfTrue="1"/>
  </conditionalFormatting>
  <conditionalFormatting sqref="F393">
    <cfRule type="duplicateValues" dxfId="2277" priority="1309"/>
    <cfRule type="duplicateValues" dxfId="2276" priority="1296" stopIfTrue="1"/>
    <cfRule type="duplicateValues" dxfId="2275" priority="1310" stopIfTrue="1"/>
    <cfRule type="duplicateValues" dxfId="2274" priority="1311" stopIfTrue="1"/>
    <cfRule type="duplicateValues" dxfId="2273" priority="1303" stopIfTrue="1"/>
    <cfRule type="duplicateValues" dxfId="2272" priority="1299" stopIfTrue="1"/>
    <cfRule type="duplicateValues" dxfId="2271" priority="1312" stopIfTrue="1"/>
    <cfRule type="duplicateValues" dxfId="2270" priority="1308" stopIfTrue="1"/>
    <cfRule type="duplicateValues" dxfId="2269" priority="1314" stopIfTrue="1"/>
    <cfRule type="duplicateValues" dxfId="2268" priority="1307" stopIfTrue="1"/>
    <cfRule type="duplicateValues" dxfId="2267" priority="1302" stopIfTrue="1"/>
    <cfRule type="duplicateValues" dxfId="2266" priority="1306" stopIfTrue="1"/>
  </conditionalFormatting>
  <conditionalFormatting sqref="F394">
    <cfRule type="expression" dxfId="2265" priority="1769" stopIfTrue="1">
      <formula>AND(COUNTIF($F$4:$F$65536,F394)+COUNTIF($F$1:$F$2,F394)&gt;1,NOT(ISBLANK(F394)))</formula>
    </cfRule>
    <cfRule type="duplicateValues" dxfId="2264" priority="1767" stopIfTrue="1"/>
    <cfRule type="expression" dxfId="2263" priority="1770" stopIfTrue="1">
      <formula>AND(COUNTIF($F$8:$F$9,F394)+COUNTIF($F$1:$F$2,F394)+COUNTIF($F$11:$F$26,F394)+COUNTIF($F$28:$F$65536,F394)+COUNTIF($F$4:$F$4,F394)&gt;1,NOT(ISBLANK(F394)))</formula>
    </cfRule>
    <cfRule type="expression" dxfId="2262" priority="1776" stopIfTrue="1">
      <formula>AND(COUNTIF($F$134:$F$142,F394)+COUNTIF($F$1:$F$2,F394)+COUNTIF($F$144:$F$65536,F394)+COUNTIF($F$8:$F$9,F394)+COUNTIF($F$11:$F$26,F394)+COUNTIF($F$28:$F$132,F394)+COUNTIF($F$4:$F$4,F394)&gt;1,NOT(ISBLANK(F394)))</formula>
    </cfRule>
    <cfRule type="expression" dxfId="2261" priority="1768" stopIfTrue="1">
      <formula>AND(COUNTIF($F$4:$F$65536,F394)+COUNTIF($F$1:$F$2,F394)&gt;1,NOT(ISBLANK(F394)))</formula>
    </cfRule>
    <cfRule type="expression" dxfId="2260" priority="1773" stopIfTrue="1">
      <formula>AND(COUNTIF($F$486:$F$65536,F394)+COUNTIF($F$1:$F$2,F394)+COUNTIF($F$134:$F$142,F394)+COUNTIF($F$144:$F$483,F394)+COUNTIF($F$8:$F$9,F394)+COUNTIF($F$11:$F$26,F394)+COUNTIF($F$28:$F$132,F394)+COUNTIF($F$4:$F$4,F394)&gt;1,NOT(ISBLANK(F394)))</formula>
    </cfRule>
  </conditionalFormatting>
  <conditionalFormatting sqref="F410">
    <cfRule type="duplicateValues" dxfId="2259" priority="1170" stopIfTrue="1"/>
    <cfRule type="duplicateValues" dxfId="2258" priority="1165" stopIfTrue="1"/>
  </conditionalFormatting>
  <conditionalFormatting sqref="F413">
    <cfRule type="expression" dxfId="2257" priority="1780" stopIfTrue="1">
      <formula>AND(COUNTIF($F$4:$F$65536,F413)+COUNTIF($F$1:$F$2,F413)&gt;1,NOT(ISBLANK(F413)))</formula>
    </cfRule>
    <cfRule type="expression" dxfId="2256" priority="1781" stopIfTrue="1">
      <formula>AND(COUNTIF($F$4:$F$65536,F413)+COUNTIF($F$1:$F$2,F413)&gt;1,NOT(ISBLANK(F413)))</formula>
    </cfRule>
    <cfRule type="expression" dxfId="2255" priority="1782" stopIfTrue="1">
      <formula>AND(COUNTIF($F$8:$F$9,F413)+COUNTIF($F$1:$F$2,F413)+COUNTIF($F$11:$F$26,F413)+COUNTIF($F$28:$F$65536,F413)+COUNTIF($F$4:$F$4,F413)&gt;1,NOT(ISBLANK(F413)))</formula>
    </cfRule>
    <cfRule type="expression" dxfId="2254" priority="1785" stopIfTrue="1">
      <formula>AND(COUNTIF($F$486:$F$65536,F413)+COUNTIF($F$1:$F$2,F413)+COUNTIF($F$134:$F$142,F413)+COUNTIF($F$144:$F$483,F413)+COUNTIF($F$8:$F$9,F413)+COUNTIF($F$11:$F$26,F413)+COUNTIF($F$28:$F$132,F413)+COUNTIF($F$4:$F$4,F413)&gt;1,NOT(ISBLANK(F413)))</formula>
    </cfRule>
    <cfRule type="expression" dxfId="2253" priority="1788" stopIfTrue="1">
      <formula>AND(COUNTIF($F$134:$F$142,F413)+COUNTIF($F$1:$F$2,F413)+COUNTIF($F$144:$F$65536,F413)+COUNTIF($F$8:$F$9,F413)+COUNTIF($F$11:$F$26,F413)+COUNTIF($F$28:$F$132,F413)+COUNTIF($F$4:$F$4,F413)&gt;1,NOT(ISBLANK(F413)))</formula>
    </cfRule>
    <cfRule type="duplicateValues" dxfId="2252" priority="1779" stopIfTrue="1"/>
  </conditionalFormatting>
  <conditionalFormatting sqref="F424">
    <cfRule type="duplicateValues" dxfId="2251" priority="625" stopIfTrue="1"/>
    <cfRule type="expression" dxfId="2250" priority="667" stopIfTrue="1">
      <formula>AND(COUNTIF($F$8:$F$9,F424)+COUNTIF($F$1:$F$2,F424)+COUNTIF($F$11:$F$26,F424)+COUNTIF($F$28:$F$65536,F424)+COUNTIF($F$4:$F$4,F424)&gt;1,NOT(ISBLANK(F424)))</formula>
    </cfRule>
    <cfRule type="duplicateValues" dxfId="2249" priority="626" stopIfTrue="1"/>
    <cfRule type="duplicateValues" dxfId="2248" priority="622" stopIfTrue="1"/>
    <cfRule type="expression" dxfId="2247" priority="658" stopIfTrue="1">
      <formula>AND(COUNTIF($F$134:$F$142,F424)+COUNTIF($F$1:$F$2,F424)+COUNTIF($F$144:$F$65536,F424)+COUNTIF($F$8:$F$9,F424)+COUNTIF($F$11:$F$26,F424)+COUNTIF($F$28:$F$132,F424)+COUNTIF($F$4:$F$4,F424)&gt;1,NOT(ISBLANK(F424)))</formula>
    </cfRule>
    <cfRule type="expression" dxfId="2246" priority="666" stopIfTrue="1">
      <formula>AND(COUNTIF($F$8:$F$9,F424)+COUNTIF($F$1:$F$2,F424)+COUNTIF($F$11:$F$26,F424)+COUNTIF($F$28:$F$65536,F424)+COUNTIF($F$4:$F$4,F424)&gt;1,NOT(ISBLANK(F424)))</formula>
    </cfRule>
    <cfRule type="duplicateValues" dxfId="2245" priority="632" stopIfTrue="1"/>
    <cfRule type="duplicateValues" dxfId="2244" priority="639" stopIfTrue="1"/>
    <cfRule type="duplicateValues" dxfId="2243" priority="640" stopIfTrue="1"/>
    <cfRule type="duplicateValues" dxfId="2242" priority="624" stopIfTrue="1"/>
    <cfRule type="duplicateValues" dxfId="2241" priority="645" stopIfTrue="1"/>
    <cfRule type="expression" dxfId="2240" priority="655" stopIfTrue="1">
      <formula>AND(COUNTIF($F$486:$F$65536,F424)+COUNTIF($F$1:$F$2,F424)+COUNTIF($F$134:$F$142,F424)+COUNTIF($F$144:$F$483,F424)+COUNTIF($F$8:$F$9,F424)+COUNTIF($F$11:$F$26,F424)+COUNTIF($F$28:$F$132,F424)+COUNTIF($F$4:$F$4,F424)&gt;1,NOT(ISBLANK(F424)))</formula>
    </cfRule>
    <cfRule type="duplicateValues" dxfId="2239" priority="637" stopIfTrue="1"/>
    <cfRule type="expression" dxfId="2238" priority="664" stopIfTrue="1">
      <formula>AND(COUNTIF($F$4:$F$65536,F424)+COUNTIF($F$1:$F$2,F424)&gt;1,NOT(ISBLANK(F424)))</formula>
    </cfRule>
    <cfRule type="expression" dxfId="2237" priority="665" stopIfTrue="1">
      <formula>AND(COUNTIF($F$4:$F$65536,F424)+COUNTIF($F$1:$F$2,F424)&gt;1,NOT(ISBLANK(F424)))</formula>
    </cfRule>
    <cfRule type="duplicateValues" dxfId="2236" priority="628" stopIfTrue="1"/>
    <cfRule type="duplicateValues" dxfId="2235" priority="669" stopIfTrue="1"/>
    <cfRule type="duplicateValues" dxfId="2234" priority="631" stopIfTrue="1"/>
  </conditionalFormatting>
  <conditionalFormatting sqref="F427">
    <cfRule type="duplicateValues" dxfId="2233" priority="1344"/>
    <cfRule type="duplicateValues" dxfId="2232" priority="1340" stopIfTrue="1"/>
    <cfRule type="duplicateValues" dxfId="2231" priority="1342" stopIfTrue="1"/>
    <cfRule type="duplicateValues" dxfId="2230" priority="1341" stopIfTrue="1"/>
    <cfRule type="duplicateValues" dxfId="2229" priority="1345" stopIfTrue="1"/>
    <cfRule type="duplicateValues" dxfId="2228" priority="1339" stopIfTrue="1"/>
  </conditionalFormatting>
  <conditionalFormatting sqref="F434">
    <cfRule type="duplicateValues" dxfId="2227" priority="1791" stopIfTrue="1"/>
    <cfRule type="expression" dxfId="2226" priority="1797" stopIfTrue="1">
      <formula>AND(COUNTIF($F$486:$F$65536,F434)+COUNTIF($F$1:$F$2,F434)+COUNTIF($F$134:$F$142,F434)+COUNTIF($F$144:$F$483,F434)+COUNTIF($F$8:$F$9,F434)+COUNTIF($F$11:$F$26,F434)+COUNTIF($F$28:$F$132,F434)+COUNTIF($F$4:$F$4,F434)&gt;1,NOT(ISBLANK(F434)))</formula>
    </cfRule>
    <cfRule type="expression" dxfId="2225" priority="1800" stopIfTrue="1">
      <formula>AND(COUNTIF($F$134:$F$142,F434)+COUNTIF($F$1:$F$2,F434)+COUNTIF($F$144:$F$65536,F434)+COUNTIF($F$8:$F$9,F434)+COUNTIF($F$11:$F$26,F434)+COUNTIF($F$28:$F$132,F434)+COUNTIF($F$4:$F$4,F434)&gt;1,NOT(ISBLANK(F434)))</formula>
    </cfRule>
    <cfRule type="expression" dxfId="2224" priority="1792" stopIfTrue="1">
      <formula>AND(COUNTIF($F$4:$F$65536,F434)+COUNTIF($F$1:$F$2,F434)&gt;1,NOT(ISBLANK(F434)))</formula>
    </cfRule>
    <cfRule type="expression" dxfId="2223" priority="1794" stopIfTrue="1">
      <formula>AND(COUNTIF($F$8:$F$9,F434)+COUNTIF($F$1:$F$2,F434)+COUNTIF($F$11:$F$26,F434)+COUNTIF($F$28:$F$65536,F434)+COUNTIF($F$4:$F$4,F434)&gt;1,NOT(ISBLANK(F434)))</formula>
    </cfRule>
    <cfRule type="expression" dxfId="2222" priority="1793" stopIfTrue="1">
      <formula>AND(COUNTIF($F$4:$F$65536,F434)+COUNTIF($F$1:$F$2,F434)&gt;1,NOT(ISBLANK(F434)))</formula>
    </cfRule>
  </conditionalFormatting>
  <conditionalFormatting sqref="F436">
    <cfRule type="duplicateValues" dxfId="2221" priority="919" stopIfTrue="1"/>
    <cfRule type="duplicateValues" dxfId="2220" priority="921" stopIfTrue="1"/>
    <cfRule type="duplicateValues" dxfId="2219" priority="923" stopIfTrue="1"/>
    <cfRule type="duplicateValues" dxfId="2218" priority="918" stopIfTrue="1"/>
    <cfRule type="duplicateValues" dxfId="2217" priority="922" stopIfTrue="1"/>
    <cfRule type="expression" dxfId="2216" priority="924" stopIfTrue="1">
      <formula>AND(COUNTIF($F$498:$F$65536,F436)+COUNTIF($F$1:$F$2,F436)+COUNTIF($F$147:$F$155,F436)+COUNTIF($F$157:$F$496,F436)+COUNTIF($F$8:$F$9,F436)+COUNTIF($F$11:$F$26,F436)+COUNTIF($F$28:$F$145,F436)+COUNTIF($F$4:$F$4,F436)&gt;1,NOT(ISBLANK(F436)))</formula>
    </cfRule>
    <cfRule type="duplicateValues" dxfId="2215" priority="932" stopIfTrue="1"/>
    <cfRule type="duplicateValues" dxfId="2214" priority="928" stopIfTrue="1"/>
    <cfRule type="duplicateValues" dxfId="2213" priority="920" stopIfTrue="1"/>
    <cfRule type="duplicateValues" dxfId="2212" priority="929" stopIfTrue="1"/>
    <cfRule type="duplicateValues" dxfId="2211" priority="930" stopIfTrue="1"/>
    <cfRule type="duplicateValues" dxfId="2210" priority="931"/>
    <cfRule type="duplicateValues" dxfId="2209" priority="927" stopIfTrue="1"/>
  </conditionalFormatting>
  <conditionalFormatting sqref="F453">
    <cfRule type="duplicateValues" dxfId="2208" priority="567" stopIfTrue="1"/>
    <cfRule type="duplicateValues" dxfId="2207" priority="570"/>
    <cfRule type="duplicateValues" dxfId="2206" priority="571" stopIfTrue="1"/>
    <cfRule type="duplicateValues" dxfId="2205" priority="572" stopIfTrue="1"/>
    <cfRule type="duplicateValues" dxfId="2204" priority="573" stopIfTrue="1"/>
    <cfRule type="duplicateValues" dxfId="2203" priority="574" stopIfTrue="1"/>
    <cfRule type="duplicateValues" dxfId="2202" priority="575" stopIfTrue="1"/>
    <cfRule type="expression" dxfId="2201" priority="582" stopIfTrue="1">
      <formula>AND(COUNTIF($F$486:$F$65536,F453)+COUNTIF($F$1:$F$2,F453)+COUNTIF($F$134:$F$142,F453)+COUNTIF($F$144:$F$483,F453)+COUNTIF($F$8:$F$9,F453)+COUNTIF($F$11:$F$26,F453)+COUNTIF($F$28:$F$132,F453)+COUNTIF($F$4:$F$4,F453)&gt;1,NOT(ISBLANK(F453)))</formula>
    </cfRule>
    <cfRule type="expression" dxfId="2200" priority="591" stopIfTrue="1">
      <formula>AND(COUNTIF($F$4:$F$65536,F453)+COUNTIF($F$1:$F$2,F453)&gt;1,NOT(ISBLANK(F453)))</formula>
    </cfRule>
    <cfRule type="duplicateValues" dxfId="2199" priority="554" stopIfTrue="1"/>
    <cfRule type="expression" dxfId="2198" priority="593" stopIfTrue="1">
      <formula>AND(COUNTIF($F$8:$F$9,F453)+COUNTIF($F$1:$F$2,F453)+COUNTIF($F$11:$F$26,F453)+COUNTIF($F$28:$F$65536,F453)+COUNTIF($F$4:$F$4,F453)&gt;1,NOT(ISBLANK(F453)))</formula>
    </cfRule>
    <cfRule type="expression" dxfId="2197" priority="594" stopIfTrue="1">
      <formula>AND(COUNTIF($F$8:$F$9,F453)+COUNTIF($F$1:$F$2,F453)+COUNTIF($F$11:$F$26,F453)+COUNTIF($F$28:$F$65536,F453)+COUNTIF($F$4:$F$4,F453)&gt;1,NOT(ISBLANK(F453)))</formula>
    </cfRule>
    <cfRule type="duplicateValues" dxfId="2196" priority="597" stopIfTrue="1"/>
    <cfRule type="expression" dxfId="2195" priority="592" stopIfTrue="1">
      <formula>AND(COUNTIF($F$4:$F$65536,F453)+COUNTIF($F$1:$F$2,F453)&gt;1,NOT(ISBLANK(F453)))</formula>
    </cfRule>
    <cfRule type="expression" dxfId="2194" priority="585" stopIfTrue="1">
      <formula>AND(COUNTIF($F$134:$F$142,F453)+COUNTIF($F$1:$F$2,F453)+COUNTIF($F$144:$F$65536,F453)+COUNTIF($F$8:$F$9,F453)+COUNTIF($F$11:$F$26,F453)+COUNTIF($F$28:$F$132,F453)+COUNTIF($F$4:$F$4,F453)&gt;1,NOT(ISBLANK(F453)))</formula>
    </cfRule>
    <cfRule type="duplicateValues" dxfId="2193" priority="544" stopIfTrue="1"/>
    <cfRule type="duplicateValues" dxfId="2192" priority="546" stopIfTrue="1"/>
    <cfRule type="duplicateValues" dxfId="2191" priority="547" stopIfTrue="1"/>
    <cfRule type="duplicateValues" dxfId="2190" priority="548" stopIfTrue="1"/>
    <cfRule type="duplicateValues" dxfId="2189" priority="550" stopIfTrue="1"/>
    <cfRule type="duplicateValues" dxfId="2188" priority="553" stopIfTrue="1"/>
    <cfRule type="duplicateValues" dxfId="2187" priority="559" stopIfTrue="1"/>
    <cfRule type="duplicateValues" dxfId="2186" priority="561" stopIfTrue="1"/>
    <cfRule type="duplicateValues" dxfId="2185" priority="562" stopIfTrue="1"/>
  </conditionalFormatting>
  <conditionalFormatting sqref="F481">
    <cfRule type="duplicateValues" dxfId="2184" priority="1159" stopIfTrue="1"/>
    <cfRule type="duplicateValues" dxfId="2183" priority="1147" stopIfTrue="1"/>
    <cfRule type="duplicateValues" dxfId="2182" priority="1158" stopIfTrue="1"/>
    <cfRule type="duplicateValues" dxfId="2181" priority="1160" stopIfTrue="1"/>
    <cfRule type="duplicateValues" dxfId="2180" priority="1157" stopIfTrue="1"/>
    <cfRule type="duplicateValues" dxfId="2179" priority="1156" stopIfTrue="1"/>
    <cfRule type="duplicateValues" dxfId="2178" priority="1155"/>
    <cfRule type="duplicateValues" dxfId="2177" priority="1152" stopIfTrue="1"/>
  </conditionalFormatting>
  <conditionalFormatting sqref="F482:F486 F435 F260:F294 F134:F140 F129:F132 F366:F409 F142:F170 F297:F318 F320:F352 F437:F452 F355:F364 F411:F423 F425:F433 F454:F480">
    <cfRule type="duplicateValues" dxfId="2176" priority="1178" stopIfTrue="1"/>
  </conditionalFormatting>
  <conditionalFormatting sqref="F485">
    <cfRule type="duplicateValues" dxfId="2175" priority="1567" stopIfTrue="1"/>
    <cfRule type="expression" dxfId="2174" priority="1573" stopIfTrue="1">
      <formula>AND(COUNTIF($F$486:$F$65536,F485)+COUNTIF($F$1:$F$2,F485)+COUNTIF($F$134:$F$142,F485)+COUNTIF($F$144:$F$483,F485)+COUNTIF($F$8:$F$9,F485)+COUNTIF($F$11:$F$26,F485)+COUNTIF($F$28:$F$132,F485)+COUNTIF($F$4:$F$4,F485)&gt;1,NOT(ISBLANK(F485)))</formula>
    </cfRule>
    <cfRule type="expression" dxfId="2173" priority="1570" stopIfTrue="1">
      <formula>AND(COUNTIF($F$8:$F$9,F485)+COUNTIF($F$1:$F$2,F485)+COUNTIF($F$11:$F$26,F485)+COUNTIF($F$28:$F$65536,F485)+COUNTIF($F$4:$F$4,F485)&gt;1,NOT(ISBLANK(F485)))</formula>
    </cfRule>
    <cfRule type="expression" dxfId="2172" priority="1569" stopIfTrue="1">
      <formula>AND(COUNTIF($F$4:$F$65536,F485)+COUNTIF($F$1:$F$2,F485)&gt;1,NOT(ISBLANK(F485)))</formula>
    </cfRule>
    <cfRule type="expression" dxfId="2171" priority="1568" stopIfTrue="1">
      <formula>AND(COUNTIF($F$4:$F$65536,F485)+COUNTIF($F$1:$F$2,F485)&gt;1,NOT(ISBLANK(F485)))</formula>
    </cfRule>
    <cfRule type="expression" dxfId="2170" priority="1576" stopIfTrue="1">
      <formula>AND(COUNTIF($F$134:$F$142,F485)+COUNTIF($F$1:$F$2,F485)+COUNTIF($F$144:$F$65536,F485)+COUNTIF($F$8:$F$9,F485)+COUNTIF($F$11:$F$26,F485)+COUNTIF($F$28:$F$132,F485)+COUNTIF($F$4:$F$4,F485)&gt;1,NOT(ISBLANK(F485)))</formula>
    </cfRule>
  </conditionalFormatting>
  <conditionalFormatting sqref="F486 F260:F294 F134:F140 F435 F411:F412 F482:F484 F129:F132 F366:F409 F142:F170 F297:F318 F320:F352 F437:F452 F355:F364 F414:F423 F425:F433 F454:F480">
    <cfRule type="duplicateValues" dxfId="2169" priority="1183" stopIfTrue="1"/>
  </conditionalFormatting>
  <conditionalFormatting sqref="F486 F482:F484 F443:F452 F454:F480">
    <cfRule type="duplicateValues" dxfId="2168" priority="1429" stopIfTrue="1"/>
    <cfRule type="duplicateValues" dxfId="2167" priority="1428" stopIfTrue="1"/>
    <cfRule type="duplicateValues" dxfId="2166" priority="1427" stopIfTrue="1"/>
    <cfRule type="duplicateValues" dxfId="2165" priority="1424"/>
    <cfRule type="duplicateValues" dxfId="2164" priority="1425" stopIfTrue="1"/>
    <cfRule type="duplicateValues" dxfId="2163" priority="1426" stopIfTrue="1"/>
  </conditionalFormatting>
  <conditionalFormatting sqref="F487">
    <cfRule type="duplicateValues" dxfId="2162" priority="861" stopIfTrue="1"/>
    <cfRule type="duplicateValues" dxfId="2161" priority="864" stopIfTrue="1"/>
    <cfRule type="duplicateValues" dxfId="2160" priority="869" stopIfTrue="1"/>
    <cfRule type="duplicateValues" dxfId="2159" priority="872"/>
    <cfRule type="duplicateValues" dxfId="2158" priority="873" stopIfTrue="1"/>
    <cfRule type="duplicateValues" dxfId="2157" priority="874" stopIfTrue="1"/>
    <cfRule type="duplicateValues" dxfId="2156" priority="875" stopIfTrue="1"/>
    <cfRule type="duplicateValues" dxfId="2155" priority="863" stopIfTrue="1"/>
    <cfRule type="duplicateValues" dxfId="2154" priority="852" stopIfTrue="1"/>
    <cfRule type="duplicateValues" dxfId="2153" priority="856" stopIfTrue="1"/>
    <cfRule type="duplicateValues" dxfId="2152" priority="883" stopIfTrue="1"/>
    <cfRule type="duplicateValues" dxfId="2151" priority="877" stopIfTrue="1"/>
    <cfRule type="duplicateValues" dxfId="2150" priority="876" stopIfTrue="1"/>
    <cfRule type="duplicateValues" dxfId="2149" priority="855" stopIfTrue="1"/>
  </conditionalFormatting>
  <conditionalFormatting sqref="F488:F491 F494:F496 F498:F503 F505:F516">
    <cfRule type="expression" dxfId="2148" priority="2197" stopIfTrue="1">
      <formula>AND(COUNTIF($F$498:$F$65536,F488)+COUNTIF($F$1:$F$2,F488)+COUNTIF($F$147:$F$155,F488)+COUNTIF($F$157:$F$496,F488)+COUNTIF($F$8:$F$9,F488)+COUNTIF($F$11:$F$26,F488)+COUNTIF($F$28:$F$145,F488)+COUNTIF($F$4:$F$4,F488)&gt;1,NOT(ISBLANK(F488)))</formula>
    </cfRule>
  </conditionalFormatting>
  <conditionalFormatting sqref="F488:F516">
    <cfRule type="duplicateValues" dxfId="2147" priority="1958" stopIfTrue="1"/>
    <cfRule type="duplicateValues" dxfId="2146" priority="1957" stopIfTrue="1"/>
  </conditionalFormatting>
  <conditionalFormatting sqref="F492">
    <cfRule type="duplicateValues" dxfId="2145" priority="1993" stopIfTrue="1"/>
    <cfRule type="expression" dxfId="2144" priority="1979" stopIfTrue="1">
      <formula>AND(COUNTIF($F$498:$F$65536,F492)+COUNTIF($F$1:$F$2,F492)+COUNTIF($F$147:$F$155,F492)+COUNTIF($F$157:$F$496,F492)+COUNTIF($F$8:$F$9,F492)+COUNTIF($F$11:$F$26,F492)+COUNTIF($F$28:$F$145,F492)+COUNTIF($F$4:$F$4,F492)&gt;1,NOT(ISBLANK(F492)))</formula>
    </cfRule>
    <cfRule type="duplicateValues" dxfId="2143" priority="1991" stopIfTrue="1"/>
    <cfRule type="duplicateValues" dxfId="2142" priority="1990" stopIfTrue="1"/>
    <cfRule type="duplicateValues" dxfId="2141" priority="1994" stopIfTrue="1"/>
    <cfRule type="duplicateValues" dxfId="2140" priority="1995" stopIfTrue="1"/>
    <cfRule type="duplicateValues" dxfId="2139" priority="1996" stopIfTrue="1"/>
  </conditionalFormatting>
  <conditionalFormatting sqref="F493">
    <cfRule type="duplicateValues" dxfId="2138" priority="2070" stopIfTrue="1"/>
    <cfRule type="duplicateValues" dxfId="2137" priority="2091" stopIfTrue="1"/>
    <cfRule type="expression" dxfId="2136" priority="2132" stopIfTrue="1">
      <formula>AND(COUNTIF($F$8:$F$9,F493)+COUNTIF($F$1:$F$2,F493)+COUNTIF($F$11:$F$26,F493)+COUNTIF($F$28:$F$65536,F493)+COUNTIF($F$4:$F$4,F493)&gt;1,NOT(ISBLANK(F493)))</formula>
    </cfRule>
    <cfRule type="expression" dxfId="2135" priority="2131" stopIfTrue="1">
      <formula>AND(COUNTIF($F$4:$F$65536,F493)+COUNTIF($F$1:$F$2,F493)&gt;1,NOT(ISBLANK(F493)))</formula>
    </cfRule>
    <cfRule type="duplicateValues" dxfId="2134" priority="2084" stopIfTrue="1"/>
    <cfRule type="duplicateValues" dxfId="2133" priority="2079" stopIfTrue="1"/>
    <cfRule type="duplicateValues" dxfId="2132" priority="2078" stopIfTrue="1"/>
    <cfRule type="expression" dxfId="2131" priority="2118" stopIfTrue="1">
      <formula>AND(COUNTIF($F$486:$F$65536,F493)+COUNTIF($F$1:$F$2,F493)+COUNTIF($F$134:$F$142,F493)+COUNTIF($F$144:$F$483,F493)+COUNTIF($F$8:$F$9,F493)+COUNTIF($F$11:$F$26,F493)+COUNTIF($F$28:$F$132,F493)+COUNTIF($F$4:$F$4,F493)&gt;1,NOT(ISBLANK(F493)))</formula>
    </cfRule>
    <cfRule type="expression" dxfId="2130" priority="2130" stopIfTrue="1">
      <formula>AND(COUNTIF($F$4:$F$65536,F493)+COUNTIF($F$1:$F$2,F493)&gt;1,NOT(ISBLANK(F493)))</formula>
    </cfRule>
    <cfRule type="duplicateValues" dxfId="2129" priority="2076" stopIfTrue="1"/>
    <cfRule type="duplicateValues" dxfId="2128" priority="2071" stopIfTrue="1"/>
    <cfRule type="expression" dxfId="2127" priority="2121" stopIfTrue="1">
      <formula>AND(COUNTIF($F$134:$F$142,F493)+COUNTIF($F$1:$F$2,F493)+COUNTIF($F$144:$F$65536,F493)+COUNTIF($F$8:$F$9,F493)+COUNTIF($F$11:$F$26,F493)+COUNTIF($F$28:$F$132,F493)+COUNTIF($F$4:$F$4,F493)&gt;1,NOT(ISBLANK(F493)))</formula>
    </cfRule>
  </conditionalFormatting>
  <conditionalFormatting sqref="F494:F503 F505:F516 F488:F491">
    <cfRule type="duplicateValues" dxfId="2126" priority="2232" stopIfTrue="1"/>
    <cfRule type="duplicateValues" dxfId="2125" priority="2231" stopIfTrue="1"/>
    <cfRule type="duplicateValues" dxfId="2124" priority="2234" stopIfTrue="1"/>
    <cfRule type="duplicateValues" dxfId="2123" priority="2235" stopIfTrue="1"/>
    <cfRule type="duplicateValues" dxfId="2122" priority="2236" stopIfTrue="1"/>
    <cfRule type="duplicateValues" dxfId="2121" priority="2237" stopIfTrue="1"/>
  </conditionalFormatting>
  <conditionalFormatting sqref="F497">
    <cfRule type="duplicateValues" dxfId="2120" priority="2096" stopIfTrue="1"/>
    <cfRule type="duplicateValues" dxfId="2119" priority="2095" stopIfTrue="1"/>
    <cfRule type="duplicateValues" dxfId="2118" priority="2099" stopIfTrue="1"/>
    <cfRule type="duplicateValues" dxfId="2117" priority="2100" stopIfTrue="1"/>
    <cfRule type="duplicateValues" dxfId="2116" priority="2101" stopIfTrue="1"/>
    <cfRule type="duplicateValues" dxfId="2115" priority="2102" stopIfTrue="1"/>
    <cfRule type="duplicateValues" dxfId="2114" priority="2094" stopIfTrue="1"/>
    <cfRule type="duplicateValues" dxfId="2113" priority="2097" stopIfTrue="1"/>
    <cfRule type="duplicateValues" dxfId="2112" priority="2098" stopIfTrue="1"/>
  </conditionalFormatting>
  <conditionalFormatting sqref="F500">
    <cfRule type="duplicateValues" dxfId="2111" priority="2148" stopIfTrue="1"/>
    <cfRule type="duplicateValues" dxfId="2110" priority="2147" stopIfTrue="1"/>
    <cfRule type="duplicateValues" dxfId="2109" priority="2146" stopIfTrue="1"/>
    <cfRule type="duplicateValues" dxfId="2108" priority="2152" stopIfTrue="1"/>
    <cfRule type="duplicateValues" dxfId="2107" priority="2149" stopIfTrue="1"/>
    <cfRule type="duplicateValues" dxfId="2106" priority="2151"/>
  </conditionalFormatting>
  <conditionalFormatting sqref="F501:F503 F511 F509 F505:F507">
    <cfRule type="duplicateValues" dxfId="2105" priority="2217" stopIfTrue="1"/>
    <cfRule type="duplicateValues" dxfId="2104" priority="2218" stopIfTrue="1"/>
    <cfRule type="duplicateValues" dxfId="2103" priority="2219" stopIfTrue="1"/>
    <cfRule type="duplicateValues" dxfId="2102" priority="2220" stopIfTrue="1"/>
    <cfRule type="duplicateValues" dxfId="2101" priority="2221"/>
    <cfRule type="duplicateValues" dxfId="2100" priority="2222" stopIfTrue="1"/>
  </conditionalFormatting>
  <conditionalFormatting sqref="F504">
    <cfRule type="duplicateValues" dxfId="2099" priority="2179" stopIfTrue="1"/>
    <cfRule type="duplicateValues" dxfId="2098" priority="2183" stopIfTrue="1"/>
    <cfRule type="duplicateValues" dxfId="2097" priority="2184" stopIfTrue="1"/>
    <cfRule type="duplicateValues" dxfId="2096" priority="2185" stopIfTrue="1"/>
    <cfRule type="duplicateValues" dxfId="2095" priority="2186" stopIfTrue="1"/>
    <cfRule type="duplicateValues" dxfId="2094" priority="2187"/>
    <cfRule type="duplicateValues" dxfId="2093" priority="2188" stopIfTrue="1"/>
    <cfRule type="expression" dxfId="2092" priority="2180" stopIfTrue="1">
      <formula>AND(COUNTIF($F$498:$F$65536,F504)+COUNTIF($F$1:$F$2,F504)+COUNTIF($F$147:$F$155,F504)+COUNTIF($F$157:$F$496,F504)+COUNTIF($F$8:$F$9,F504)+COUNTIF($F$11:$F$26,F504)+COUNTIF($F$28:$F$145,F504)+COUNTIF($F$4:$F$4,F504)&gt;1,NOT(ISBLANK(F504)))</formula>
    </cfRule>
    <cfRule type="duplicateValues" dxfId="2091" priority="2174" stopIfTrue="1"/>
    <cfRule type="duplicateValues" dxfId="2090" priority="2175" stopIfTrue="1"/>
    <cfRule type="duplicateValues" dxfId="2089" priority="2176" stopIfTrue="1"/>
    <cfRule type="duplicateValues" dxfId="2088" priority="2177" stopIfTrue="1"/>
    <cfRule type="duplicateValues" dxfId="2087" priority="2178" stopIfTrue="1"/>
  </conditionalFormatting>
  <conditionalFormatting sqref="F508">
    <cfRule type="duplicateValues" dxfId="2086" priority="2144"/>
    <cfRule type="duplicateValues" dxfId="2085" priority="2142" stopIfTrue="1"/>
    <cfRule type="duplicateValues" dxfId="2084" priority="2141" stopIfTrue="1"/>
    <cfRule type="duplicateValues" dxfId="2083" priority="2140" stopIfTrue="1"/>
    <cfRule type="duplicateValues" dxfId="2082" priority="2139" stopIfTrue="1"/>
    <cfRule type="duplicateValues" dxfId="2081" priority="2145" stopIfTrue="1"/>
  </conditionalFormatting>
  <conditionalFormatting sqref="F509:F516">
    <cfRule type="duplicateValues" dxfId="2080" priority="2157" stopIfTrue="1"/>
    <cfRule type="duplicateValues" dxfId="2079" priority="2154" stopIfTrue="1"/>
    <cfRule type="duplicateValues" dxfId="2078" priority="2153" stopIfTrue="1"/>
    <cfRule type="duplicateValues" dxfId="2077" priority="2155" stopIfTrue="1"/>
    <cfRule type="duplicateValues" dxfId="2076" priority="2158" stopIfTrue="1"/>
    <cfRule type="duplicateValues" dxfId="2075" priority="2156" stopIfTrue="1"/>
  </conditionalFormatting>
  <conditionalFormatting sqref="F513">
    <cfRule type="duplicateValues" dxfId="2074" priority="2034" stopIfTrue="1"/>
    <cfRule type="duplicateValues" dxfId="2073" priority="2045" stopIfTrue="1"/>
    <cfRule type="duplicateValues" dxfId="2072" priority="2040" stopIfTrue="1"/>
    <cfRule type="duplicateValues" dxfId="2071" priority="2038" stopIfTrue="1"/>
    <cfRule type="expression" dxfId="2070" priority="2056" stopIfTrue="1">
      <formula>AND(COUNTIF($F$4:$F$65536,F513)+COUNTIF($F$1:$F$2,F513)&gt;1,NOT(ISBLANK(F513)))</formula>
    </cfRule>
    <cfRule type="expression" dxfId="2069" priority="2031" stopIfTrue="1">
      <formula>AND(COUNTIF($F$147:$F$155,F513)+COUNTIF($F$1:$F$2,F513)+COUNTIF($F$157:$F$65536,F513)+COUNTIF($F$8:$F$9,F513)+COUNTIF($F$11:$F$26,F513)+COUNTIF($F$28:$F$145,F513)+COUNTIF($F$4:$F$4,F513)&gt;1,NOT(ISBLANK(F513)))</formula>
    </cfRule>
    <cfRule type="expression" dxfId="2068" priority="2064" stopIfTrue="1">
      <formula>AND(COUNTIF($F$8:$F$9,F513)+COUNTIF($F$1:$F$2,F513)+COUNTIF($F$11:$F$26,F513)+COUNTIF($F$28:$F$65536,F513)+COUNTIF($F$4:$F$4,F513)&gt;1,NOT(ISBLANK(F513)))</formula>
    </cfRule>
    <cfRule type="expression" dxfId="2067" priority="2057" stopIfTrue="1">
      <formula>AND(COUNTIF($F$4:$F$65536,F513)+COUNTIF($F$1:$F$2,F513)&gt;1,NOT(ISBLANK(F513)))</formula>
    </cfRule>
  </conditionalFormatting>
  <conditionalFormatting sqref="F516 F514">
    <cfRule type="duplicateValues" dxfId="2066" priority="2011" stopIfTrue="1"/>
    <cfRule type="duplicateValues" dxfId="2065" priority="2010" stopIfTrue="1"/>
    <cfRule type="duplicateValues" dxfId="2064" priority="2009" stopIfTrue="1"/>
    <cfRule type="duplicateValues" dxfId="2063" priority="2008" stopIfTrue="1"/>
    <cfRule type="duplicateValues" dxfId="2062" priority="2012"/>
    <cfRule type="duplicateValues" dxfId="2061" priority="1998" stopIfTrue="1"/>
    <cfRule type="duplicateValues" dxfId="2060" priority="1999" stopIfTrue="1"/>
    <cfRule type="duplicateValues" dxfId="2059" priority="2013" stopIfTrue="1"/>
  </conditionalFormatting>
  <conditionalFormatting sqref="F517 B517:D517">
    <cfRule type="expression" dxfId="2058" priority="3826" stopIfTrue="1">
      <formula>AND(COUNTIF($B$8:$F$9,B517)+COUNTIF($B$11:$F$26,B517)+COUNTIF($B$28:$F$65536,B517)+COUNTIF($B$4:$F$4,B517)+COUNTIF($B$1:$F$2,B517)&gt;1,NOT(ISBLANK(B517)))</formula>
    </cfRule>
  </conditionalFormatting>
  <conditionalFormatting sqref="F517">
    <cfRule type="expression" dxfId="2057" priority="3834" stopIfTrue="1">
      <formula>AND(COUNTIF($F$8:$F$9,F517)+COUNTIF($F$1:$F$2,F517)+COUNTIF($F$11:$F$26,F517)+COUNTIF($F$28:$F$65536,F517)+COUNTIF($F$4:$F$4,F517)&gt;1,NOT(ISBLANK(F517)))</formula>
    </cfRule>
    <cfRule type="expression" dxfId="2056" priority="3833" stopIfTrue="1">
      <formula>AND(COUNTIF($F$8:$F$9,F517)+COUNTIF($F$1:$F$2,F517)+COUNTIF($F$11:$F$26,F517)+COUNTIF($F$28:$F$65536,F517)+COUNTIF($F$4:$F$4,F517)&gt;1,NOT(ISBLANK(F517)))</formula>
    </cfRule>
    <cfRule type="expression" dxfId="2055" priority="3825" stopIfTrue="1">
      <formula>AND(COUNTIF($F$4:$F$65536,F517)+COUNTIF($F$1:$F$2,F517)&gt;1,NOT(ISBLANK(F517)))</formula>
    </cfRule>
    <cfRule type="duplicateValues" dxfId="2054" priority="3857" stopIfTrue="1"/>
    <cfRule type="duplicateValues" dxfId="2053" priority="3804" stopIfTrue="1"/>
    <cfRule type="duplicateValues" dxfId="2052" priority="3800" stopIfTrue="1"/>
    <cfRule type="expression" dxfId="2051" priority="3797" stopIfTrue="1">
      <formula>AND(COUNTIF($F$147:$F$155,F517)+COUNTIF($F$1:$F$2,F517)+COUNTIF($F$157:$F$65536,F517)+COUNTIF($F$8:$F$9,F517)+COUNTIF($F$11:$F$26,F517)+COUNTIF($F$28:$F$145,F517)+COUNTIF($F$4:$F$4,F517)&gt;1,NOT(ISBLANK(F517)))</formula>
    </cfRule>
    <cfRule type="expression" dxfId="2050" priority="3794" stopIfTrue="1">
      <formula>AND(COUNTIF($F$498:$F$65536,F517)+COUNTIF($F$1:$F$2,F517)+COUNTIF($F$147:$F$155,F517)+COUNTIF($F$157:$F$496,F517)+COUNTIF($F$8:$F$9,F517)+COUNTIF($F$11:$F$26,F517)+COUNTIF($F$28:$F$145,F517)+COUNTIF($F$4:$F$4,F517)&gt;1,NOT(ISBLANK(F517)))</formula>
    </cfRule>
    <cfRule type="duplicateValues" dxfId="2049" priority="3811" stopIfTrue="1"/>
    <cfRule type="duplicateValues" dxfId="2048" priority="3859" stopIfTrue="1"/>
    <cfRule type="duplicateValues" dxfId="2047" priority="3806" stopIfTrue="1"/>
    <cfRule type="expression" dxfId="2046" priority="3702" stopIfTrue="1">
      <formula>AND(COUNTIF($E$8:$F$9,F517)+COUNTIF($E$1:$F$2,F517)+COUNTIF($E$11:$F$26,F517)+COUNTIF($E$28:$F$65536,F517)+COUNTIF($E$4:$F$4,F517)&gt;1,NOT(ISBLANK(F517)))</formula>
    </cfRule>
    <cfRule type="duplicateValues" dxfId="2045" priority="3858" stopIfTrue="1"/>
    <cfRule type="duplicateValues" dxfId="2044" priority="3549" stopIfTrue="1"/>
    <cfRule type="expression" dxfId="2043" priority="3824" stopIfTrue="1">
      <formula>AND(COUNTIF($F$4:$F$65536,F517)+COUNTIF($F$1:$F$2,F517)&gt;1,NOT(ISBLANK(F517)))</formula>
    </cfRule>
    <cfRule type="duplicateValues" dxfId="2042" priority="3856" stopIfTrue="1"/>
  </conditionalFormatting>
  <conditionalFormatting sqref="F518:F65536 F1:F3">
    <cfRule type="duplicateValues" dxfId="2041" priority="8586" stopIfTrue="1"/>
  </conditionalFormatting>
  <conditionalFormatting sqref="F1:G1 AB102:AB103 AB107:AB109 AB119 AB125:AB126 AB128:AB130 AB141 AB145 AB149:AB150 AB156 AB163:AB167 AB170:AB171 AB192 AB204 AB217 AB221 AB225 AB231:AB266 AB279:AB295 AB297:AB305 AB307:AB322 AB361 AB372:AB379 AB411:AB412 AB414:AB415 AB427 AB439 AB450 AB454:AB455 AB460:AB464 AB467 AB476 AB486:AB487 F521:G524 F534:G65536 AK140 AK142:AK164 AK173:AK191 AK197:AK217 AK238:AK253 AK275:AK276 AK281:AK299 AK372:AK373 AK385:AK386 AK391 AK393 AK396 AK405:AK407 AK411 AK413 AK417 AK423:AK424 AK428:AK429 AK434 AK453 AK491">
    <cfRule type="expression" dxfId="2040" priority="52135" stopIfTrue="1">
      <formula>AND(COUNTIF($F$509:$F$65536,F1)+COUNTIF($F$1:$F$2,F1)+COUNTIF($F$297:$F$305,F1)+COUNTIF($F$307:$F$507,F1)+COUNTIF($F$8:$F$9,F1)+COUNTIF($F$11:$F$26,F1)+COUNTIF($F$28:$F$295,F1)+COUNTIF($F$4:$F$4,F1)&gt;1,NOT(ISBLANK(F1)))</formula>
    </cfRule>
  </conditionalFormatting>
  <conditionalFormatting sqref="F1:G1 AB102:AB103 AB107:AB109 AB119 AB125:AB126 AB128:AB130 AB141 AB145 AB149:AB150 AB156 AB163:AB167 AB170:AB171 AB192 AB204 AB217 AB221 AB225 AB231:AB266 AB279:AB322 AB361 AB372:AB379 AB411:AB412 AB414:AB415 AB427 AB439 AB450 AB454:AB455 AB460:AB464 AB467 AB476 AB486:AB487 F521:G524 F534:G65536">
    <cfRule type="expression" dxfId="2039" priority="52096" stopIfTrue="1">
      <formula>AND(COUNTIF($F$4:$F$65536,F1)+COUNTIF($F$1:$F$2,F1)&gt;1,NOT(ISBLANK(F1)))</formula>
    </cfRule>
    <cfRule type="expression" dxfId="2038" priority="52132" stopIfTrue="1">
      <formula>AND(COUNTIF($F$8:$F$9,F1)+COUNTIF($F$1:$F$2,F1)+COUNTIF($F$11:$F$26,F1)+COUNTIF($F$28:$F$65536,F1)+COUNTIF($F$4:$F$4,F1)&gt;1,NOT(ISBLANK(F1)))</formula>
    </cfRule>
    <cfRule type="expression" dxfId="2037" priority="52133" stopIfTrue="1">
      <formula>AND(COUNTIF($F$8:$F$9,F1)+COUNTIF($F$1:$F$2,F1)+COUNTIF($F$11:$F$26,F1)+COUNTIF($F$28:$F$65536,F1)+COUNTIF($F$4:$F$4,F1)&gt;1,NOT(ISBLANK(F1)))</formula>
    </cfRule>
  </conditionalFormatting>
  <conditionalFormatting sqref="F1:G1 AB102:AB103 AB107:AB109 AB119 AB125:AB126 AB128:AB130 AK140 AB141 AK142:AK164 AB145 AB149:AB150 AB156 AB163:AB167 AB170:AB171 AK173:AK191 AB192 AK197:AK217 AB204 AB217 AB221 AB225 AB231:AB266 AK238:AK253 AK275:AK276 AB279:AB295 AK281:AK299 AB297:AB305 AB307:AB322 AB361 AK372:AK373 AB372:AB379 AK385:AK386 AK391 AK393 AK396 AK405:AK407 AK411 AB411:AB412 AK413 AB414:AB415 AK417 AK423:AK424 AB427 AK428:AK429 AK434 AB439 AB450 AK453 AB454:AB455 AB460:AB464 AB467 AB476 AB486:AB487 AK491 F521:G524 F534:G65536">
    <cfRule type="expression" dxfId="2036" priority="52139" stopIfTrue="1">
      <formula>AND(COUNTIF($F$297:$F$305,F1)+COUNTIF($F$1:$F$2,F1)+COUNTIF($F$307:$F$65536,F1)+COUNTIF($F$8:$F$9,F1)+COUNTIF($F$11:$F$26,F1)+COUNTIF($F$28:$F$295,F1)+COUNTIF($F$4:$F$4,F1)&gt;1,NOT(ISBLANK(F1)))</formula>
    </cfRule>
  </conditionalFormatting>
  <conditionalFormatting sqref="F518:G518 G517">
    <cfRule type="duplicateValues" dxfId="2035" priority="12302" stopIfTrue="1"/>
    <cfRule type="duplicateValues" dxfId="2034" priority="12301" stopIfTrue="1"/>
    <cfRule type="duplicateValues" dxfId="2033" priority="12199" stopIfTrue="1"/>
    <cfRule type="duplicateValues" dxfId="2032" priority="12300" stopIfTrue="1"/>
    <cfRule type="duplicateValues" dxfId="2031" priority="12179" stopIfTrue="1"/>
    <cfRule type="duplicateValues" dxfId="2030" priority="12177" stopIfTrue="1"/>
    <cfRule type="duplicateValues" dxfId="2029" priority="12299" stopIfTrue="1"/>
    <cfRule type="duplicateValues" dxfId="2028" priority="12298" stopIfTrue="1"/>
    <cfRule type="duplicateValues" dxfId="2027" priority="12297" stopIfTrue="1"/>
    <cfRule type="duplicateValues" dxfId="2026" priority="12202" stopIfTrue="1"/>
    <cfRule type="duplicateValues" dxfId="2025" priority="12201" stopIfTrue="1"/>
    <cfRule type="duplicateValues" dxfId="2024" priority="12200" stopIfTrue="1"/>
  </conditionalFormatting>
  <conditionalFormatting sqref="F519:G520">
    <cfRule type="expression" dxfId="2023" priority="15183" stopIfTrue="1">
      <formula>AND(COUNTIF($F$519:$F$65536,F519)+COUNTIF($F$1:$F$2,F519)+COUNTIF($F$310:$F$318,F519)+COUNTIF($F$320:$F$518,F519)+COUNTIF($F$8:$F$9,F519)+COUNTIF($F$11:$F$26,F519)+COUNTIF($F$28:$F$308,F519)+COUNTIF($F$4:$F$4,F519)&gt;1,NOT(ISBLANK(F519)))</formula>
    </cfRule>
    <cfRule type="expression" dxfId="2022" priority="15180" stopIfTrue="1">
      <formula>AND(COUNTIF($F$8:$F$9,F519)+COUNTIF($F$1:$F$2,F519)+COUNTIF($F$11:$F$26,F519)+COUNTIF($F$28:$F$65536,F519)+COUNTIF($F$4:$F$4,F519)&gt;1,NOT(ISBLANK(F519)))</formula>
    </cfRule>
    <cfRule type="expression" dxfId="2021" priority="15167" stopIfTrue="1">
      <formula>AND(COUNTIF($F$4:$F$65536,F519)+COUNTIF($F$1:$F$2,F519)&gt;1,NOT(ISBLANK(F519)))</formula>
    </cfRule>
    <cfRule type="duplicateValues" dxfId="2020" priority="15155" stopIfTrue="1"/>
    <cfRule type="duplicateValues" dxfId="2019" priority="15148" stopIfTrue="1"/>
    <cfRule type="duplicateValues" dxfId="2018" priority="15130" stopIfTrue="1"/>
    <cfRule type="duplicateValues" dxfId="2017" priority="15139" stopIfTrue="1"/>
    <cfRule type="duplicateValues" dxfId="2016" priority="15144" stopIfTrue="1"/>
    <cfRule type="duplicateValues" dxfId="2015" priority="15141" stopIfTrue="1"/>
    <cfRule type="duplicateValues" dxfId="2014" priority="15142" stopIfTrue="1"/>
    <cfRule type="expression" dxfId="2013" priority="15186" stopIfTrue="1">
      <formula>AND(COUNTIF($F$310:$F$318,F519)+COUNTIF($F$1:$F$2,F519)+COUNTIF($F$320:$F$65536,F519)+COUNTIF($F$8:$F$9,F519)+COUNTIF($F$11:$F$26,F519)+COUNTIF($F$28:$F$308,F519)+COUNTIF($F$4:$F$4,F519)&gt;1,NOT(ISBLANK(F519)))</formula>
    </cfRule>
    <cfRule type="expression" dxfId="2012" priority="15166" stopIfTrue="1">
      <formula>AND(COUNTIF($F$4:$F$65536,F519)+COUNTIF($F$1:$F$2,F519)&gt;1,NOT(ISBLANK(F519)))</formula>
    </cfRule>
    <cfRule type="duplicateValues" dxfId="2011" priority="15150" stopIfTrue="1"/>
  </conditionalFormatting>
  <conditionalFormatting sqref="F519:G65536 F1:G2 F3">
    <cfRule type="duplicateValues" dxfId="2010" priority="13533" stopIfTrue="1"/>
  </conditionalFormatting>
  <conditionalFormatting sqref="F521:G524 F1:G2 F534:G65536 F3">
    <cfRule type="duplicateValues" dxfId="2009" priority="21275" stopIfTrue="1"/>
    <cfRule type="duplicateValues" dxfId="2008" priority="21282" stopIfTrue="1"/>
  </conditionalFormatting>
  <conditionalFormatting sqref="F521:G524 F534:G65536">
    <cfRule type="duplicateValues" dxfId="2007" priority="19089" stopIfTrue="1"/>
  </conditionalFormatting>
  <conditionalFormatting sqref="F521:G65536 F1:G2 F3">
    <cfRule type="duplicateValues" dxfId="2006" priority="13393" stopIfTrue="1"/>
  </conditionalFormatting>
  <conditionalFormatting sqref="F534:G65536 F1:G2 F521:G524 F3">
    <cfRule type="duplicateValues" dxfId="2005" priority="23396" stopIfTrue="1"/>
    <cfRule type="duplicateValues" dxfId="2004" priority="21584" stopIfTrue="1"/>
    <cfRule type="duplicateValues" dxfId="2003" priority="23399" stopIfTrue="1"/>
    <cfRule type="duplicateValues" dxfId="2002" priority="19453" stopIfTrue="1"/>
    <cfRule type="duplicateValues" dxfId="2001" priority="23401" stopIfTrue="1"/>
    <cfRule type="duplicateValues" dxfId="2000" priority="21286" stopIfTrue="1"/>
    <cfRule type="duplicateValues" dxfId="1999" priority="23398" stopIfTrue="1"/>
  </conditionalFormatting>
  <conditionalFormatting sqref="F534:G65536 F521:G524">
    <cfRule type="duplicateValues" dxfId="1998" priority="20658" stopIfTrue="1"/>
  </conditionalFormatting>
  <conditionalFormatting sqref="G517 B518:G518">
    <cfRule type="expression" dxfId="1997" priority="12173" stopIfTrue="1">
      <formula>AND(COUNTIF($B$8:$F$9,B517)+COUNTIF($B$11:$F$26,B517)+COUNTIF($B$28:$F$65536,B517)+COUNTIF($B$4:$F$4,B517)+COUNTIF($B$1:$F$2,B517)&gt;1,NOT(ISBLANK(B517)))</formula>
    </cfRule>
  </conditionalFormatting>
  <conditionalFormatting sqref="G517 F518:G518">
    <cfRule type="expression" dxfId="1996" priority="12397" stopIfTrue="1">
      <formula>AND(COUNTIF($F$498:$F$65536,F517)+COUNTIF($F$1:$F$2,F517)+COUNTIF($F$284:$F$292,F517)+COUNTIF($F$294:$F$495,F517)+COUNTIF($F$8:$F$9,F517)+COUNTIF($F$11:$F$26,F517)+COUNTIF($F$28:$F$282,F517)+COUNTIF($F$4:$F$4,F517)&gt;1,NOT(ISBLANK(F517)))</formula>
    </cfRule>
  </conditionalFormatting>
  <conditionalFormatting sqref="J47:M47">
    <cfRule type="duplicateValues" dxfId="1995" priority="47861" stopIfTrue="1"/>
    <cfRule type="duplicateValues" dxfId="1994" priority="47866" stopIfTrue="1"/>
    <cfRule type="duplicateValues" dxfId="1993" priority="47867" stopIfTrue="1"/>
    <cfRule type="duplicateValues" dxfId="1992" priority="47870" stopIfTrue="1"/>
    <cfRule type="duplicateValues" dxfId="1991" priority="47879" stopIfTrue="1"/>
  </conditionalFormatting>
  <conditionalFormatting sqref="J37:N37">
    <cfRule type="duplicateValues" dxfId="1990" priority="47933" stopIfTrue="1"/>
    <cfRule type="duplicateValues" dxfId="1989" priority="47936" stopIfTrue="1"/>
    <cfRule type="duplicateValues" dxfId="1988" priority="47945" stopIfTrue="1"/>
    <cfRule type="duplicateValues" dxfId="1987" priority="47932" stopIfTrue="1"/>
  </conditionalFormatting>
  <conditionalFormatting sqref="J41:N41">
    <cfRule type="duplicateValues" dxfId="1986" priority="47912" stopIfTrue="1"/>
    <cfRule type="duplicateValues" dxfId="1985" priority="47911" stopIfTrue="1"/>
    <cfRule type="duplicateValues" dxfId="1984" priority="47915" stopIfTrue="1"/>
    <cfRule type="duplicateValues" dxfId="1983" priority="47924" stopIfTrue="1"/>
  </conditionalFormatting>
  <conditionalFormatting sqref="J46:N46">
    <cfRule type="duplicateValues" dxfId="1982" priority="47901" stopIfTrue="1"/>
    <cfRule type="duplicateValues" dxfId="1981" priority="47892" stopIfTrue="1"/>
    <cfRule type="duplicateValues" dxfId="1980" priority="47889" stopIfTrue="1"/>
    <cfRule type="duplicateValues" dxfId="1979" priority="47888" stopIfTrue="1"/>
  </conditionalFormatting>
  <conditionalFormatting sqref="J146:N146">
    <cfRule type="duplicateValues" dxfId="1978" priority="48140" stopIfTrue="1"/>
    <cfRule type="duplicateValues" dxfId="1977" priority="48131" stopIfTrue="1"/>
    <cfRule type="duplicateValues" dxfId="1976" priority="48128" stopIfTrue="1"/>
    <cfRule type="duplicateValues" dxfId="1975" priority="48127" stopIfTrue="1"/>
  </conditionalFormatting>
  <conditionalFormatting sqref="J153:N153">
    <cfRule type="duplicateValues" dxfId="1974" priority="47859" stopIfTrue="1"/>
    <cfRule type="duplicateValues" dxfId="1973" priority="47846" stopIfTrue="1"/>
    <cfRule type="duplicateValues" dxfId="1972" priority="47847" stopIfTrue="1"/>
    <cfRule type="duplicateValues" dxfId="1971" priority="47850" stopIfTrue="1"/>
  </conditionalFormatting>
  <conditionalFormatting sqref="J194:N194">
    <cfRule type="duplicateValues" dxfId="1970" priority="48105" stopIfTrue="1"/>
    <cfRule type="duplicateValues" dxfId="1969" priority="48106" stopIfTrue="1"/>
    <cfRule type="duplicateValues" dxfId="1968" priority="48109" stopIfTrue="1"/>
    <cfRule type="duplicateValues" dxfId="1967" priority="48118" stopIfTrue="1"/>
  </conditionalFormatting>
  <conditionalFormatting sqref="J208:N208">
    <cfRule type="duplicateValues" dxfId="1966" priority="48085" stopIfTrue="1"/>
    <cfRule type="duplicateValues" dxfId="1965" priority="48086" stopIfTrue="1"/>
    <cfRule type="duplicateValues" dxfId="1964" priority="48089" stopIfTrue="1"/>
    <cfRule type="duplicateValues" dxfId="1963" priority="48098" stopIfTrue="1"/>
  </conditionalFormatting>
  <conditionalFormatting sqref="J221:N221">
    <cfRule type="duplicateValues" dxfId="1962" priority="48078" stopIfTrue="1"/>
    <cfRule type="duplicateValues" dxfId="1961" priority="48065" stopIfTrue="1"/>
    <cfRule type="duplicateValues" dxfId="1960" priority="48066" stopIfTrue="1"/>
    <cfRule type="duplicateValues" dxfId="1959" priority="48069" stopIfTrue="1"/>
  </conditionalFormatting>
  <conditionalFormatting sqref="J257:N257">
    <cfRule type="duplicateValues" dxfId="1958" priority="47830" stopIfTrue="1"/>
    <cfRule type="duplicateValues" dxfId="1957" priority="47839" stopIfTrue="1"/>
    <cfRule type="duplicateValues" dxfId="1956" priority="47826" stopIfTrue="1"/>
    <cfRule type="duplicateValues" dxfId="1955" priority="47827" stopIfTrue="1"/>
  </conditionalFormatting>
  <conditionalFormatting sqref="J280:N280">
    <cfRule type="duplicateValues" dxfId="1954" priority="47806" stopIfTrue="1"/>
    <cfRule type="duplicateValues" dxfId="1953" priority="47807" stopIfTrue="1"/>
    <cfRule type="duplicateValues" dxfId="1952" priority="47819" stopIfTrue="1"/>
    <cfRule type="duplicateValues" dxfId="1951" priority="47810" stopIfTrue="1"/>
  </conditionalFormatting>
  <conditionalFormatting sqref="J296:N296">
    <cfRule type="duplicateValues" dxfId="1950" priority="47739" stopIfTrue="1"/>
    <cfRule type="duplicateValues" dxfId="1949" priority="47730" stopIfTrue="1"/>
    <cfRule type="duplicateValues" dxfId="1948" priority="47727" stopIfTrue="1"/>
    <cfRule type="duplicateValues" dxfId="1947" priority="47726" stopIfTrue="1"/>
  </conditionalFormatting>
  <conditionalFormatting sqref="J517:N517">
    <cfRule type="duplicateValues" dxfId="1946" priority="47684" stopIfTrue="1"/>
    <cfRule type="duplicateValues" dxfId="1945" priority="47685" stopIfTrue="1"/>
    <cfRule type="duplicateValues" dxfId="1944" priority="47688" stopIfTrue="1"/>
    <cfRule type="duplicateValues" dxfId="1943" priority="47697" stopIfTrue="1"/>
  </conditionalFormatting>
  <conditionalFormatting sqref="J518:N518">
    <cfRule type="duplicateValues" dxfId="1942" priority="47954" stopIfTrue="1"/>
    <cfRule type="duplicateValues" dxfId="1941" priority="47957" stopIfTrue="1"/>
    <cfRule type="duplicateValues" dxfId="1940" priority="47953" stopIfTrue="1"/>
    <cfRule type="duplicateValues" dxfId="1939" priority="47966" stopIfTrue="1"/>
  </conditionalFormatting>
  <conditionalFormatting sqref="K47">
    <cfRule type="duplicateValues" dxfId="1938" priority="47864" stopIfTrue="1"/>
  </conditionalFormatting>
  <conditionalFormatting sqref="K37:N37">
    <cfRule type="duplicateValues" dxfId="1937" priority="47927" stopIfTrue="1"/>
  </conditionalFormatting>
  <conditionalFormatting sqref="K41:N41">
    <cfRule type="duplicateValues" dxfId="1936" priority="47906" stopIfTrue="1"/>
  </conditionalFormatting>
  <conditionalFormatting sqref="K46:N46">
    <cfRule type="duplicateValues" dxfId="1935" priority="47883" stopIfTrue="1"/>
  </conditionalFormatting>
  <conditionalFormatting sqref="K146:N146">
    <cfRule type="duplicateValues" dxfId="1934" priority="48122" stopIfTrue="1"/>
  </conditionalFormatting>
  <conditionalFormatting sqref="K153:N153">
    <cfRule type="duplicateValues" dxfId="1933" priority="47841" stopIfTrue="1"/>
  </conditionalFormatting>
  <conditionalFormatting sqref="K194:N194">
    <cfRule type="duplicateValues" dxfId="1932" priority="48100" stopIfTrue="1"/>
  </conditionalFormatting>
  <conditionalFormatting sqref="K208:N208">
    <cfRule type="duplicateValues" dxfId="1931" priority="48080" stopIfTrue="1"/>
  </conditionalFormatting>
  <conditionalFormatting sqref="K221:N221">
    <cfRule type="duplicateValues" dxfId="1930" priority="48060" stopIfTrue="1"/>
  </conditionalFormatting>
  <conditionalFormatting sqref="K257:N257">
    <cfRule type="duplicateValues" dxfId="1929" priority="47821" stopIfTrue="1"/>
  </conditionalFormatting>
  <conditionalFormatting sqref="K280:N280">
    <cfRule type="duplicateValues" dxfId="1928" priority="47801" stopIfTrue="1"/>
  </conditionalFormatting>
  <conditionalFormatting sqref="K296:N296">
    <cfRule type="duplicateValues" dxfId="1927" priority="47721" stopIfTrue="1"/>
  </conditionalFormatting>
  <conditionalFormatting sqref="K517:N517">
    <cfRule type="duplicateValues" dxfId="1926" priority="47679" stopIfTrue="1"/>
  </conditionalFormatting>
  <conditionalFormatting sqref="K518:N518">
    <cfRule type="duplicateValues" dxfId="1925" priority="47948" stopIfTrue="1"/>
  </conditionalFormatting>
  <conditionalFormatting sqref="L37">
    <cfRule type="duplicateValues" dxfId="1924" priority="47930" stopIfTrue="1"/>
  </conditionalFormatting>
  <conditionalFormatting sqref="L41">
    <cfRule type="duplicateValues" dxfId="1923" priority="47909" stopIfTrue="1"/>
  </conditionalFormatting>
  <conditionalFormatting sqref="L46">
    <cfRule type="duplicateValues" dxfId="1922" priority="47886" stopIfTrue="1"/>
  </conditionalFormatting>
  <conditionalFormatting sqref="L47">
    <cfRule type="duplicateValues" dxfId="1921" priority="47863" stopIfTrue="1"/>
    <cfRule type="duplicateValues" dxfId="1920" priority="47871" stopIfTrue="1"/>
  </conditionalFormatting>
  <conditionalFormatting sqref="L146">
    <cfRule type="duplicateValues" dxfId="1919" priority="48125" stopIfTrue="1"/>
  </conditionalFormatting>
  <conditionalFormatting sqref="L153">
    <cfRule type="duplicateValues" dxfId="1918" priority="47844" stopIfTrue="1"/>
  </conditionalFormatting>
  <conditionalFormatting sqref="L194">
    <cfRule type="duplicateValues" dxfId="1917" priority="48103" stopIfTrue="1"/>
  </conditionalFormatting>
  <conditionalFormatting sqref="L208">
    <cfRule type="duplicateValues" dxfId="1916" priority="48083" stopIfTrue="1"/>
  </conditionalFormatting>
  <conditionalFormatting sqref="L221">
    <cfRule type="duplicateValues" dxfId="1915" priority="48063" stopIfTrue="1"/>
  </conditionalFormatting>
  <conditionalFormatting sqref="L257">
    <cfRule type="duplicateValues" dxfId="1914" priority="47824" stopIfTrue="1"/>
  </conditionalFormatting>
  <conditionalFormatting sqref="L280">
    <cfRule type="duplicateValues" dxfId="1913" priority="47804" stopIfTrue="1"/>
  </conditionalFormatting>
  <conditionalFormatting sqref="L296">
    <cfRule type="duplicateValues" dxfId="1912" priority="47724" stopIfTrue="1"/>
  </conditionalFormatting>
  <conditionalFormatting sqref="L517">
    <cfRule type="duplicateValues" dxfId="1911" priority="47682" stopIfTrue="1"/>
  </conditionalFormatting>
  <conditionalFormatting sqref="L518">
    <cfRule type="duplicateValues" dxfId="1910" priority="47951" stopIfTrue="1"/>
  </conditionalFormatting>
  <conditionalFormatting sqref="M37">
    <cfRule type="duplicateValues" dxfId="1909" priority="47929" stopIfTrue="1"/>
    <cfRule type="duplicateValues" dxfId="1908" priority="47937" stopIfTrue="1"/>
  </conditionalFormatting>
  <conditionalFormatting sqref="M41">
    <cfRule type="duplicateValues" dxfId="1907" priority="47916" stopIfTrue="1"/>
    <cfRule type="duplicateValues" dxfId="1906" priority="47908" stopIfTrue="1"/>
  </conditionalFormatting>
  <conditionalFormatting sqref="M46">
    <cfRule type="duplicateValues" dxfId="1905" priority="47893" stopIfTrue="1"/>
    <cfRule type="duplicateValues" dxfId="1904" priority="47885" stopIfTrue="1"/>
  </conditionalFormatting>
  <conditionalFormatting sqref="M47">
    <cfRule type="duplicateValues" dxfId="1903" priority="47862" stopIfTrue="1"/>
    <cfRule type="duplicateValues" dxfId="1902" priority="47881" stopIfTrue="1"/>
    <cfRule type="duplicateValues" dxfId="1901" priority="47875"/>
    <cfRule type="duplicateValues" dxfId="1900" priority="47877" stopIfTrue="1"/>
    <cfRule type="duplicateValues" dxfId="1899" priority="47880" stopIfTrue="1"/>
    <cfRule type="duplicateValues" dxfId="1898" priority="47876" stopIfTrue="1"/>
    <cfRule type="duplicateValues" dxfId="1897" priority="47878" stopIfTrue="1"/>
    <cfRule type="duplicateValues" dxfId="1896" priority="47874" stopIfTrue="1"/>
    <cfRule type="duplicateValues" dxfId="1895" priority="47873" stopIfTrue="1"/>
    <cfRule type="duplicateValues" dxfId="1894" priority="47872" stopIfTrue="1"/>
    <cfRule type="duplicateValues" dxfId="1893" priority="47869" stopIfTrue="1"/>
    <cfRule type="duplicateValues" dxfId="1892" priority="47868" stopIfTrue="1"/>
    <cfRule type="duplicateValues" dxfId="1891" priority="47865" stopIfTrue="1"/>
  </conditionalFormatting>
  <conditionalFormatting sqref="M146">
    <cfRule type="duplicateValues" dxfId="1890" priority="48124" stopIfTrue="1"/>
    <cfRule type="duplicateValues" dxfId="1889" priority="48132" stopIfTrue="1"/>
  </conditionalFormatting>
  <conditionalFormatting sqref="M153">
    <cfRule type="duplicateValues" dxfId="1888" priority="47851" stopIfTrue="1"/>
    <cfRule type="duplicateValues" dxfId="1887" priority="47843" stopIfTrue="1"/>
  </conditionalFormatting>
  <conditionalFormatting sqref="M194">
    <cfRule type="duplicateValues" dxfId="1886" priority="48102" stopIfTrue="1"/>
    <cfRule type="duplicateValues" dxfId="1885" priority="48110" stopIfTrue="1"/>
  </conditionalFormatting>
  <conditionalFormatting sqref="M208">
    <cfRule type="duplicateValues" dxfId="1884" priority="48090" stopIfTrue="1"/>
    <cfRule type="duplicateValues" dxfId="1883" priority="48082" stopIfTrue="1"/>
  </conditionalFormatting>
  <conditionalFormatting sqref="M221">
    <cfRule type="duplicateValues" dxfId="1882" priority="48062" stopIfTrue="1"/>
    <cfRule type="duplicateValues" dxfId="1881" priority="48070" stopIfTrue="1"/>
  </conditionalFormatting>
  <conditionalFormatting sqref="M257">
    <cfRule type="duplicateValues" dxfId="1880" priority="47823" stopIfTrue="1"/>
    <cfRule type="duplicateValues" dxfId="1879" priority="47831" stopIfTrue="1"/>
  </conditionalFormatting>
  <conditionalFormatting sqref="M280">
    <cfRule type="duplicateValues" dxfId="1878" priority="47803" stopIfTrue="1"/>
    <cfRule type="duplicateValues" dxfId="1877" priority="47811" stopIfTrue="1"/>
  </conditionalFormatting>
  <conditionalFormatting sqref="M296">
    <cfRule type="duplicateValues" dxfId="1876" priority="47723" stopIfTrue="1"/>
    <cfRule type="duplicateValues" dxfId="1875" priority="47731" stopIfTrue="1"/>
  </conditionalFormatting>
  <conditionalFormatting sqref="M517">
    <cfRule type="duplicateValues" dxfId="1874" priority="47681" stopIfTrue="1"/>
    <cfRule type="duplicateValues" dxfId="1873" priority="47689" stopIfTrue="1"/>
  </conditionalFormatting>
  <conditionalFormatting sqref="M518">
    <cfRule type="duplicateValues" dxfId="1872" priority="47950" stopIfTrue="1"/>
    <cfRule type="duplicateValues" dxfId="1871" priority="47958" stopIfTrue="1"/>
  </conditionalFormatting>
  <conditionalFormatting sqref="N37">
    <cfRule type="duplicateValues" dxfId="1870" priority="47946" stopIfTrue="1"/>
    <cfRule type="duplicateValues" dxfId="1869" priority="47947" stopIfTrue="1"/>
    <cfRule type="duplicateValues" dxfId="1868" priority="47940" stopIfTrue="1"/>
    <cfRule type="duplicateValues" dxfId="1867" priority="47941"/>
    <cfRule type="duplicateValues" dxfId="1866" priority="47942" stopIfTrue="1"/>
    <cfRule type="duplicateValues" dxfId="1865" priority="47928" stopIfTrue="1"/>
    <cfRule type="duplicateValues" dxfId="1864" priority="47934" stopIfTrue="1"/>
    <cfRule type="duplicateValues" dxfId="1863" priority="47943" stopIfTrue="1"/>
    <cfRule type="duplicateValues" dxfId="1862" priority="47935" stopIfTrue="1"/>
    <cfRule type="duplicateValues" dxfId="1861" priority="47938" stopIfTrue="1"/>
    <cfRule type="duplicateValues" dxfId="1860" priority="47939" stopIfTrue="1"/>
    <cfRule type="duplicateValues" dxfId="1859" priority="47944" stopIfTrue="1"/>
    <cfRule type="duplicateValues" dxfId="1858" priority="47931" stopIfTrue="1"/>
  </conditionalFormatting>
  <conditionalFormatting sqref="N41">
    <cfRule type="duplicateValues" dxfId="1857" priority="47914" stopIfTrue="1"/>
    <cfRule type="duplicateValues" dxfId="1856" priority="47920"/>
    <cfRule type="duplicateValues" dxfId="1855" priority="47926" stopIfTrue="1"/>
    <cfRule type="duplicateValues" dxfId="1854" priority="47925" stopIfTrue="1"/>
    <cfRule type="duplicateValues" dxfId="1853" priority="47923" stopIfTrue="1"/>
    <cfRule type="duplicateValues" dxfId="1852" priority="47922" stopIfTrue="1"/>
    <cfRule type="duplicateValues" dxfId="1851" priority="47913" stopIfTrue="1"/>
    <cfRule type="duplicateValues" dxfId="1850" priority="47921" stopIfTrue="1"/>
    <cfRule type="duplicateValues" dxfId="1849" priority="47910" stopIfTrue="1"/>
    <cfRule type="duplicateValues" dxfId="1848" priority="47907" stopIfTrue="1"/>
    <cfRule type="duplicateValues" dxfId="1847" priority="47917" stopIfTrue="1"/>
    <cfRule type="duplicateValues" dxfId="1846" priority="47918" stopIfTrue="1"/>
    <cfRule type="duplicateValues" dxfId="1845" priority="47919" stopIfTrue="1"/>
  </conditionalFormatting>
  <conditionalFormatting sqref="N46">
    <cfRule type="duplicateValues" dxfId="1844" priority="47890" stopIfTrue="1"/>
    <cfRule type="duplicateValues" dxfId="1843" priority="47887" stopIfTrue="1"/>
    <cfRule type="duplicateValues" dxfId="1842" priority="47896" stopIfTrue="1"/>
    <cfRule type="duplicateValues" dxfId="1841" priority="47884" stopIfTrue="1"/>
    <cfRule type="duplicateValues" dxfId="1840" priority="47895" stopIfTrue="1"/>
    <cfRule type="duplicateValues" dxfId="1839" priority="47894" stopIfTrue="1"/>
    <cfRule type="duplicateValues" dxfId="1838" priority="47897"/>
    <cfRule type="duplicateValues" dxfId="1837" priority="47899" stopIfTrue="1"/>
    <cfRule type="duplicateValues" dxfId="1836" priority="47902" stopIfTrue="1"/>
    <cfRule type="duplicateValues" dxfId="1835" priority="47900" stopIfTrue="1"/>
    <cfRule type="duplicateValues" dxfId="1834" priority="47903" stopIfTrue="1"/>
    <cfRule type="duplicateValues" dxfId="1833" priority="47891" stopIfTrue="1"/>
    <cfRule type="duplicateValues" dxfId="1832" priority="47898" stopIfTrue="1"/>
  </conditionalFormatting>
  <conditionalFormatting sqref="N146">
    <cfRule type="duplicateValues" dxfId="1831" priority="48126" stopIfTrue="1"/>
    <cfRule type="duplicateValues" dxfId="1830" priority="48129" stopIfTrue="1"/>
    <cfRule type="duplicateValues" dxfId="1829" priority="48130" stopIfTrue="1"/>
    <cfRule type="duplicateValues" dxfId="1828" priority="48133" stopIfTrue="1"/>
    <cfRule type="duplicateValues" dxfId="1827" priority="48134" stopIfTrue="1"/>
    <cfRule type="duplicateValues" dxfId="1826" priority="48135" stopIfTrue="1"/>
    <cfRule type="duplicateValues" dxfId="1825" priority="48136"/>
    <cfRule type="duplicateValues" dxfId="1824" priority="48137" stopIfTrue="1"/>
    <cfRule type="duplicateValues" dxfId="1823" priority="48139" stopIfTrue="1"/>
    <cfRule type="duplicateValues" dxfId="1822" priority="48141" stopIfTrue="1"/>
    <cfRule type="duplicateValues" dxfId="1821" priority="48138" stopIfTrue="1"/>
    <cfRule type="duplicateValues" dxfId="1820" priority="48123" stopIfTrue="1"/>
  </conditionalFormatting>
  <conditionalFormatting sqref="N153">
    <cfRule type="duplicateValues" dxfId="1819" priority="47855"/>
    <cfRule type="duplicateValues" dxfId="1818" priority="47856" stopIfTrue="1"/>
    <cfRule type="duplicateValues" dxfId="1817" priority="47857" stopIfTrue="1"/>
    <cfRule type="duplicateValues" dxfId="1816" priority="47858" stopIfTrue="1"/>
    <cfRule type="duplicateValues" dxfId="1815" priority="47860" stopIfTrue="1"/>
    <cfRule type="duplicateValues" dxfId="1814" priority="47854" stopIfTrue="1"/>
    <cfRule type="duplicateValues" dxfId="1813" priority="47845" stopIfTrue="1"/>
    <cfRule type="duplicateValues" dxfId="1812" priority="47853" stopIfTrue="1"/>
    <cfRule type="duplicateValues" dxfId="1811" priority="47852" stopIfTrue="1"/>
    <cfRule type="duplicateValues" dxfId="1810" priority="47848" stopIfTrue="1"/>
    <cfRule type="duplicateValues" dxfId="1809" priority="47842" stopIfTrue="1"/>
    <cfRule type="duplicateValues" dxfId="1808" priority="47849" stopIfTrue="1"/>
  </conditionalFormatting>
  <conditionalFormatting sqref="N194">
    <cfRule type="duplicateValues" dxfId="1807" priority="48119" stopIfTrue="1"/>
    <cfRule type="duplicateValues" dxfId="1806" priority="48113" stopIfTrue="1"/>
    <cfRule type="duplicateValues" dxfId="1805" priority="48104" stopIfTrue="1"/>
    <cfRule type="duplicateValues" dxfId="1804" priority="48107" stopIfTrue="1"/>
    <cfRule type="duplicateValues" dxfId="1803" priority="48108" stopIfTrue="1"/>
    <cfRule type="duplicateValues" dxfId="1802" priority="48115" stopIfTrue="1"/>
    <cfRule type="duplicateValues" dxfId="1801" priority="48112" stopIfTrue="1"/>
    <cfRule type="duplicateValues" dxfId="1800" priority="48114"/>
    <cfRule type="duplicateValues" dxfId="1799" priority="48116" stopIfTrue="1"/>
    <cfRule type="duplicateValues" dxfId="1798" priority="48117" stopIfTrue="1"/>
    <cfRule type="duplicateValues" dxfId="1797" priority="48111" stopIfTrue="1"/>
    <cfRule type="duplicateValues" dxfId="1796" priority="48101" stopIfTrue="1"/>
  </conditionalFormatting>
  <conditionalFormatting sqref="N208">
    <cfRule type="duplicateValues" dxfId="1795" priority="48099" stopIfTrue="1"/>
    <cfRule type="duplicateValues" dxfId="1794" priority="48097" stopIfTrue="1"/>
    <cfRule type="duplicateValues" dxfId="1793" priority="48084" stopIfTrue="1"/>
    <cfRule type="duplicateValues" dxfId="1792" priority="48094"/>
    <cfRule type="duplicateValues" dxfId="1791" priority="48093" stopIfTrue="1"/>
    <cfRule type="duplicateValues" dxfId="1790" priority="48096" stopIfTrue="1"/>
    <cfRule type="duplicateValues" dxfId="1789" priority="48095" stopIfTrue="1"/>
    <cfRule type="duplicateValues" dxfId="1788" priority="48081" stopIfTrue="1"/>
    <cfRule type="duplicateValues" dxfId="1787" priority="48092" stopIfTrue="1"/>
    <cfRule type="duplicateValues" dxfId="1786" priority="48088" stopIfTrue="1"/>
    <cfRule type="duplicateValues" dxfId="1785" priority="48091" stopIfTrue="1"/>
    <cfRule type="duplicateValues" dxfId="1784" priority="48087" stopIfTrue="1"/>
  </conditionalFormatting>
  <conditionalFormatting sqref="N221">
    <cfRule type="duplicateValues" dxfId="1783" priority="48061" stopIfTrue="1"/>
    <cfRule type="duplicateValues" dxfId="1782" priority="48067" stopIfTrue="1"/>
    <cfRule type="duplicateValues" dxfId="1781" priority="48068" stopIfTrue="1"/>
    <cfRule type="duplicateValues" dxfId="1780" priority="48071" stopIfTrue="1"/>
    <cfRule type="duplicateValues" dxfId="1779" priority="48079" stopIfTrue="1"/>
    <cfRule type="duplicateValues" dxfId="1778" priority="48077" stopIfTrue="1"/>
    <cfRule type="duplicateValues" dxfId="1777" priority="48075" stopIfTrue="1"/>
    <cfRule type="duplicateValues" dxfId="1776" priority="48074"/>
    <cfRule type="duplicateValues" dxfId="1775" priority="48073" stopIfTrue="1"/>
    <cfRule type="duplicateValues" dxfId="1774" priority="48072" stopIfTrue="1"/>
    <cfRule type="duplicateValues" dxfId="1773" priority="48064" stopIfTrue="1"/>
    <cfRule type="duplicateValues" dxfId="1772" priority="48076" stopIfTrue="1"/>
  </conditionalFormatting>
  <conditionalFormatting sqref="N257">
    <cfRule type="duplicateValues" dxfId="1771" priority="47828" stopIfTrue="1"/>
    <cfRule type="duplicateValues" dxfId="1770" priority="47829" stopIfTrue="1"/>
    <cfRule type="duplicateValues" dxfId="1769" priority="47833" stopIfTrue="1"/>
    <cfRule type="duplicateValues" dxfId="1768" priority="47834" stopIfTrue="1"/>
    <cfRule type="duplicateValues" dxfId="1767" priority="47835"/>
    <cfRule type="duplicateValues" dxfId="1766" priority="47836" stopIfTrue="1"/>
    <cfRule type="duplicateValues" dxfId="1765" priority="47837" stopIfTrue="1"/>
    <cfRule type="duplicateValues" dxfId="1764" priority="47838" stopIfTrue="1"/>
    <cfRule type="duplicateValues" dxfId="1763" priority="47840" stopIfTrue="1"/>
    <cfRule type="duplicateValues" dxfId="1762" priority="47832" stopIfTrue="1"/>
    <cfRule type="duplicateValues" dxfId="1761" priority="47822" stopIfTrue="1"/>
    <cfRule type="duplicateValues" dxfId="1760" priority="47825" stopIfTrue="1"/>
  </conditionalFormatting>
  <conditionalFormatting sqref="N280">
    <cfRule type="duplicateValues" dxfId="1759" priority="47813" stopIfTrue="1"/>
    <cfRule type="duplicateValues" dxfId="1758" priority="47812" stopIfTrue="1"/>
    <cfRule type="duplicateValues" dxfId="1757" priority="47805" stopIfTrue="1"/>
    <cfRule type="duplicateValues" dxfId="1756" priority="47809" stopIfTrue="1"/>
    <cfRule type="duplicateValues" dxfId="1755" priority="47808" stopIfTrue="1"/>
    <cfRule type="duplicateValues" dxfId="1754" priority="47820" stopIfTrue="1"/>
    <cfRule type="duplicateValues" dxfId="1753" priority="47802" stopIfTrue="1"/>
    <cfRule type="duplicateValues" dxfId="1752" priority="47818" stopIfTrue="1"/>
    <cfRule type="duplicateValues" dxfId="1751" priority="47817" stopIfTrue="1"/>
    <cfRule type="duplicateValues" dxfId="1750" priority="47816" stopIfTrue="1"/>
    <cfRule type="duplicateValues" dxfId="1749" priority="47815"/>
    <cfRule type="duplicateValues" dxfId="1748" priority="47814" stopIfTrue="1"/>
  </conditionalFormatting>
  <conditionalFormatting sqref="N296">
    <cfRule type="duplicateValues" dxfId="1747" priority="47722" stopIfTrue="1"/>
    <cfRule type="duplicateValues" dxfId="1746" priority="47729" stopIfTrue="1"/>
    <cfRule type="duplicateValues" dxfId="1745" priority="47732" stopIfTrue="1"/>
    <cfRule type="duplicateValues" dxfId="1744" priority="47725" stopIfTrue="1"/>
    <cfRule type="duplicateValues" dxfId="1743" priority="47735"/>
    <cfRule type="duplicateValues" dxfId="1742" priority="47734" stopIfTrue="1"/>
    <cfRule type="duplicateValues" dxfId="1741" priority="47736" stopIfTrue="1"/>
    <cfRule type="duplicateValues" dxfId="1740" priority="47740" stopIfTrue="1"/>
    <cfRule type="duplicateValues" dxfId="1739" priority="47728" stopIfTrue="1"/>
    <cfRule type="duplicateValues" dxfId="1738" priority="47738" stopIfTrue="1"/>
    <cfRule type="duplicateValues" dxfId="1737" priority="47733" stopIfTrue="1"/>
    <cfRule type="duplicateValues" dxfId="1736" priority="47737" stopIfTrue="1"/>
  </conditionalFormatting>
  <conditionalFormatting sqref="N517">
    <cfRule type="duplicateValues" dxfId="1735" priority="47690" stopIfTrue="1"/>
    <cfRule type="duplicateValues" dxfId="1734" priority="47691" stopIfTrue="1"/>
    <cfRule type="duplicateValues" dxfId="1733" priority="47692" stopIfTrue="1"/>
    <cfRule type="duplicateValues" dxfId="1732" priority="47678" stopIfTrue="1"/>
    <cfRule type="duplicateValues" dxfId="1731" priority="47683" stopIfTrue="1"/>
    <cfRule type="duplicateValues" dxfId="1730" priority="47686" stopIfTrue="1"/>
    <cfRule type="duplicateValues" dxfId="1729" priority="47693" stopIfTrue="1"/>
    <cfRule type="duplicateValues" dxfId="1728" priority="47687" stopIfTrue="1"/>
    <cfRule type="duplicateValues" dxfId="1727" priority="47694" stopIfTrue="1"/>
    <cfRule type="duplicateValues" dxfId="1726" priority="47695" stopIfTrue="1"/>
    <cfRule type="duplicateValues" dxfId="1725" priority="47696" stopIfTrue="1"/>
    <cfRule type="duplicateValues" dxfId="1724" priority="47698"/>
    <cfRule type="duplicateValues" dxfId="1723" priority="47699" stopIfTrue="1"/>
    <cfRule type="duplicateValues" dxfId="1722" priority="47680" stopIfTrue="1"/>
  </conditionalFormatting>
  <conditionalFormatting sqref="N518">
    <cfRule type="duplicateValues" dxfId="1721" priority="47964" stopIfTrue="1"/>
    <cfRule type="duplicateValues" dxfId="1720" priority="47955" stopIfTrue="1"/>
    <cfRule type="duplicateValues" dxfId="1719" priority="47965" stopIfTrue="1"/>
    <cfRule type="duplicateValues" dxfId="1718" priority="47956" stopIfTrue="1"/>
    <cfRule type="duplicateValues" dxfId="1717" priority="47967"/>
    <cfRule type="duplicateValues" dxfId="1716" priority="47959" stopIfTrue="1"/>
    <cfRule type="duplicateValues" dxfId="1715" priority="47960" stopIfTrue="1"/>
    <cfRule type="duplicateValues" dxfId="1714" priority="47961" stopIfTrue="1"/>
    <cfRule type="duplicateValues" dxfId="1713" priority="47968" stopIfTrue="1"/>
    <cfRule type="duplicateValues" dxfId="1712" priority="47949" stopIfTrue="1"/>
    <cfRule type="duplicateValues" dxfId="1711" priority="47952" stopIfTrue="1"/>
    <cfRule type="duplicateValues" dxfId="1710" priority="47962" stopIfTrue="1"/>
    <cfRule type="duplicateValues" dxfId="1709" priority="47963" stopIfTrue="1"/>
  </conditionalFormatting>
  <conditionalFormatting sqref="W1:W1048576">
    <cfRule type="duplicateValues" dxfId="1708" priority="47677" stopIfTrue="1"/>
    <cfRule type="duplicateValues" dxfId="1707" priority="47674" stopIfTrue="1"/>
  </conditionalFormatting>
  <conditionalFormatting sqref="X249:AA249">
    <cfRule type="duplicateValues" dxfId="1706" priority="47111" stopIfTrue="1"/>
  </conditionalFormatting>
  <conditionalFormatting sqref="X510:AA516">
    <cfRule type="duplicateValues" dxfId="1705" priority="47426" stopIfTrue="1"/>
  </conditionalFormatting>
  <conditionalFormatting sqref="X152:AB152">
    <cfRule type="duplicateValues" dxfId="1704" priority="47649" stopIfTrue="1"/>
    <cfRule type="duplicateValues" dxfId="1703" priority="47658" stopIfTrue="1"/>
    <cfRule type="duplicateValues" dxfId="1702" priority="47646" stopIfTrue="1"/>
    <cfRule type="duplicateValues" dxfId="1701" priority="47645" stopIfTrue="1"/>
  </conditionalFormatting>
  <conditionalFormatting sqref="X239:AB239">
    <cfRule type="duplicateValues" dxfId="1700" priority="47120" stopIfTrue="1"/>
  </conditionalFormatting>
  <conditionalFormatting sqref="X249:AB249">
    <cfRule type="duplicateValues" dxfId="1699" priority="47113" stopIfTrue="1"/>
  </conditionalFormatting>
  <conditionalFormatting sqref="X251:AB251">
    <cfRule type="duplicateValues" dxfId="1698" priority="47132" stopIfTrue="1"/>
  </conditionalFormatting>
  <conditionalFormatting sqref="X255:AB255">
    <cfRule type="duplicateValues" dxfId="1697" priority="47125" stopIfTrue="1"/>
    <cfRule type="duplicateValues" dxfId="1696" priority="45313" stopIfTrue="1"/>
  </conditionalFormatting>
  <conditionalFormatting sqref="X296:AB296">
    <cfRule type="duplicateValues" dxfId="1695" priority="47054" stopIfTrue="1"/>
    <cfRule type="duplicateValues" dxfId="1694" priority="47051" stopIfTrue="1"/>
    <cfRule type="duplicateValues" dxfId="1693" priority="47050" stopIfTrue="1"/>
    <cfRule type="duplicateValues" dxfId="1692" priority="47063" stopIfTrue="1"/>
  </conditionalFormatting>
  <conditionalFormatting sqref="X306:AB306">
    <cfRule type="duplicateValues" dxfId="1691" priority="45882" stopIfTrue="1"/>
    <cfRule type="duplicateValues" dxfId="1690" priority="47034" stopIfTrue="1"/>
    <cfRule type="duplicateValues" dxfId="1689" priority="45883" stopIfTrue="1"/>
    <cfRule type="duplicateValues" dxfId="1688" priority="47043" stopIfTrue="1"/>
    <cfRule type="duplicateValues" dxfId="1687" priority="45886" stopIfTrue="1"/>
    <cfRule type="duplicateValues" dxfId="1686" priority="45895" stopIfTrue="1"/>
    <cfRule type="duplicateValues" dxfId="1685" priority="47030" stopIfTrue="1"/>
    <cfRule type="duplicateValues" dxfId="1684" priority="47031" stopIfTrue="1"/>
  </conditionalFormatting>
  <conditionalFormatting sqref="X460:AB460">
    <cfRule type="duplicateValues" dxfId="1683" priority="46874" stopIfTrue="1"/>
  </conditionalFormatting>
  <conditionalFormatting sqref="X461:AB464">
    <cfRule type="duplicateValues" dxfId="1682" priority="46831" stopIfTrue="1"/>
  </conditionalFormatting>
  <conditionalFormatting sqref="X467:AB467">
    <cfRule type="duplicateValues" dxfId="1681" priority="45519" stopIfTrue="1"/>
  </conditionalFormatting>
  <conditionalFormatting sqref="X476:AB476">
    <cfRule type="duplicateValues" dxfId="1680" priority="45453" stopIfTrue="1"/>
  </conditionalFormatting>
  <conditionalFormatting sqref="X486:AB486">
    <cfRule type="duplicateValues" dxfId="1679" priority="45408" stopIfTrue="1"/>
  </conditionalFormatting>
  <conditionalFormatting sqref="X487:AB487">
    <cfRule type="duplicateValues" dxfId="1678" priority="45363" stopIfTrue="1"/>
  </conditionalFormatting>
  <conditionalFormatting sqref="X510:AB516">
    <cfRule type="duplicateValues" dxfId="1677" priority="47428" stopIfTrue="1"/>
    <cfRule type="duplicateValues" dxfId="1676" priority="47418" stopIfTrue="1"/>
    <cfRule type="duplicateValues" dxfId="1675" priority="47415" stopIfTrue="1"/>
    <cfRule type="duplicateValues" dxfId="1674" priority="47396" stopIfTrue="1"/>
    <cfRule type="duplicateValues" dxfId="1673" priority="47392" stopIfTrue="1"/>
    <cfRule type="duplicateValues" dxfId="1672" priority="47414" stopIfTrue="1"/>
  </conditionalFormatting>
  <conditionalFormatting sqref="X517:AB517">
    <cfRule type="duplicateValues" dxfId="1671" priority="47352" stopIfTrue="1"/>
    <cfRule type="duplicateValues" dxfId="1670" priority="47356" stopIfTrue="1"/>
    <cfRule type="duplicateValues" dxfId="1669" priority="47387" stopIfTrue="1"/>
    <cfRule type="duplicateValues" dxfId="1668" priority="47374" stopIfTrue="1"/>
    <cfRule type="duplicateValues" dxfId="1667" priority="47375" stopIfTrue="1"/>
    <cfRule type="duplicateValues" dxfId="1666" priority="47378" stopIfTrue="1"/>
  </conditionalFormatting>
  <conditionalFormatting sqref="Y152:AB152">
    <cfRule type="duplicateValues" dxfId="1665" priority="47640" stopIfTrue="1"/>
  </conditionalFormatting>
  <conditionalFormatting sqref="Y296:AB296">
    <cfRule type="duplicateValues" dxfId="1664" priority="47045" stopIfTrue="1"/>
  </conditionalFormatting>
  <conditionalFormatting sqref="Y306:AB306">
    <cfRule type="duplicateValues" dxfId="1663" priority="45877" stopIfTrue="1"/>
    <cfRule type="duplicateValues" dxfId="1662" priority="47025" stopIfTrue="1"/>
  </conditionalFormatting>
  <conditionalFormatting sqref="Y510:AB516">
    <cfRule type="duplicateValues" dxfId="1661" priority="47409" stopIfTrue="1"/>
  </conditionalFormatting>
  <conditionalFormatting sqref="Y517:AB517">
    <cfRule type="duplicateValues" dxfId="1660" priority="47369" stopIfTrue="1"/>
  </conditionalFormatting>
  <conditionalFormatting sqref="Z1:Z101 Z104:Z106 Z110:Z118 Z120:Z124 Z127 Z131:Z166 Z168:Z371 Z380:Z410 Z413:Z475 Z477:Z485 Z488:Z65536">
    <cfRule type="expression" dxfId="1659" priority="58510" stopIfTrue="1">
      <formula>AND(COUNTIF($Z$1:$Z$475,Z1)+COUNTIF($Z$477:$Z$485,Z1)+COUNTIF($Z$488:$Z$65536,Z1)&gt;1,NOT(ISBLANK(Z1)))</formula>
    </cfRule>
  </conditionalFormatting>
  <conditionalFormatting sqref="Z1:Z101 Z104:Z106 Z110:Z118 Z120:Z124 Z127 Z131:Z65536">
    <cfRule type="duplicateValues" dxfId="1658" priority="45029" stopIfTrue="1"/>
  </conditionalFormatting>
  <conditionalFormatting sqref="Z102">
    <cfRule type="duplicateValues" dxfId="1657" priority="44905" stopIfTrue="1"/>
    <cfRule type="duplicateValues" dxfId="1656" priority="44857" stopIfTrue="1"/>
    <cfRule type="duplicateValues" dxfId="1655" priority="44904" stopIfTrue="1"/>
    <cfRule type="duplicateValues" dxfId="1654" priority="44903" stopIfTrue="1"/>
    <cfRule type="duplicateValues" dxfId="1653" priority="44902" stopIfTrue="1"/>
  </conditionalFormatting>
  <conditionalFormatting sqref="Z103">
    <cfRule type="duplicateValues" dxfId="1652" priority="44856" stopIfTrue="1"/>
    <cfRule type="duplicateValues" dxfId="1651" priority="44855" stopIfTrue="1"/>
    <cfRule type="duplicateValues" dxfId="1650" priority="44854" stopIfTrue="1"/>
    <cfRule type="duplicateValues" dxfId="1649" priority="44853" stopIfTrue="1"/>
    <cfRule type="duplicateValues" dxfId="1648" priority="44808" stopIfTrue="1"/>
  </conditionalFormatting>
  <conditionalFormatting sqref="Z107">
    <cfRule type="duplicateValues" dxfId="1647" priority="44759" stopIfTrue="1"/>
    <cfRule type="duplicateValues" dxfId="1646" priority="44804" stopIfTrue="1"/>
    <cfRule type="duplicateValues" dxfId="1645" priority="44805" stopIfTrue="1"/>
    <cfRule type="duplicateValues" dxfId="1644" priority="44807" stopIfTrue="1"/>
    <cfRule type="duplicateValues" dxfId="1643" priority="44806" stopIfTrue="1"/>
  </conditionalFormatting>
  <conditionalFormatting sqref="Z108">
    <cfRule type="duplicateValues" dxfId="1642" priority="44758" stopIfTrue="1"/>
    <cfRule type="duplicateValues" dxfId="1641" priority="44757" stopIfTrue="1"/>
    <cfRule type="duplicateValues" dxfId="1640" priority="44756" stopIfTrue="1"/>
    <cfRule type="duplicateValues" dxfId="1639" priority="44755" stopIfTrue="1"/>
    <cfRule type="duplicateValues" dxfId="1638" priority="44710" stopIfTrue="1"/>
  </conditionalFormatting>
  <conditionalFormatting sqref="Z109">
    <cfRule type="duplicateValues" dxfId="1637" priority="44707" stopIfTrue="1"/>
    <cfRule type="duplicateValues" dxfId="1636" priority="44708" stopIfTrue="1"/>
    <cfRule type="duplicateValues" dxfId="1635" priority="44709" stopIfTrue="1"/>
    <cfRule type="duplicateValues" dxfId="1634" priority="44661" stopIfTrue="1"/>
    <cfRule type="duplicateValues" dxfId="1633" priority="44706" stopIfTrue="1"/>
  </conditionalFormatting>
  <conditionalFormatting sqref="Z119">
    <cfRule type="duplicateValues" dxfId="1632" priority="44659" stopIfTrue="1"/>
    <cfRule type="duplicateValues" dxfId="1631" priority="44658" stopIfTrue="1"/>
    <cfRule type="duplicateValues" dxfId="1630" priority="44657" stopIfTrue="1"/>
    <cfRule type="duplicateValues" dxfId="1629" priority="44612" stopIfTrue="1"/>
    <cfRule type="duplicateValues" dxfId="1628" priority="44660" stopIfTrue="1"/>
  </conditionalFormatting>
  <conditionalFormatting sqref="Z125">
    <cfRule type="duplicateValues" dxfId="1627" priority="44563" stopIfTrue="1"/>
    <cfRule type="duplicateValues" dxfId="1626" priority="44608" stopIfTrue="1"/>
    <cfRule type="duplicateValues" dxfId="1625" priority="44609" stopIfTrue="1"/>
    <cfRule type="duplicateValues" dxfId="1624" priority="44610" stopIfTrue="1"/>
    <cfRule type="duplicateValues" dxfId="1623" priority="44611" stopIfTrue="1"/>
  </conditionalFormatting>
  <conditionalFormatting sqref="Z126">
    <cfRule type="duplicateValues" dxfId="1622" priority="44561" stopIfTrue="1"/>
    <cfRule type="duplicateValues" dxfId="1621" priority="44562" stopIfTrue="1"/>
    <cfRule type="duplicateValues" dxfId="1620" priority="44559" stopIfTrue="1"/>
    <cfRule type="duplicateValues" dxfId="1619" priority="44560" stopIfTrue="1"/>
    <cfRule type="duplicateValues" dxfId="1618" priority="44514" stopIfTrue="1"/>
  </conditionalFormatting>
  <conditionalFormatting sqref="Z128">
    <cfRule type="duplicateValues" dxfId="1617" priority="44510" stopIfTrue="1"/>
    <cfRule type="duplicateValues" dxfId="1616" priority="44465" stopIfTrue="1"/>
    <cfRule type="duplicateValues" dxfId="1615" priority="44513" stopIfTrue="1"/>
    <cfRule type="duplicateValues" dxfId="1614" priority="44512" stopIfTrue="1"/>
    <cfRule type="duplicateValues" dxfId="1613" priority="44511" stopIfTrue="1"/>
  </conditionalFormatting>
  <conditionalFormatting sqref="Z129">
    <cfRule type="duplicateValues" dxfId="1612" priority="44464" stopIfTrue="1"/>
    <cfRule type="duplicateValues" dxfId="1611" priority="44463" stopIfTrue="1"/>
    <cfRule type="duplicateValues" dxfId="1610" priority="44462" stopIfTrue="1"/>
    <cfRule type="duplicateValues" dxfId="1609" priority="44461" stopIfTrue="1"/>
    <cfRule type="duplicateValues" dxfId="1608" priority="44416" stopIfTrue="1"/>
  </conditionalFormatting>
  <conditionalFormatting sqref="Z130">
    <cfRule type="duplicateValues" dxfId="1607" priority="44414" stopIfTrue="1"/>
    <cfRule type="duplicateValues" dxfId="1606" priority="44413" stopIfTrue="1"/>
    <cfRule type="duplicateValues" dxfId="1605" priority="44415" stopIfTrue="1"/>
    <cfRule type="duplicateValues" dxfId="1604" priority="44367" stopIfTrue="1"/>
    <cfRule type="duplicateValues" dxfId="1603" priority="44412" stopIfTrue="1"/>
  </conditionalFormatting>
  <conditionalFormatting sqref="Z131:Z166 Z226:Z360 Z451:Z466 Z488:Z65536 Z1:Z101 Z104:Z106 Z110:Z118 Z120:Z124 Z127 Z168:Z169 Z172:Z191 Z193:Z203 Z205:Z216 Z218:Z220 Z222:Z224 Z362:Z371 Z380:Z410 Z413 Z416:Z426 Z428:Z438 Z440:Z449 Z469:Z475 Z477:Z485">
    <cfRule type="expression" dxfId="1602" priority="57933" stopIfTrue="1">
      <formula>AND(COUNTIF($Z$1:$Z$169,Z1)+COUNTIF($Z$172:$Z$178,Z1)+COUNTIF($Z$193:$Z$203,Z1)+COUNTIF($Z$205:$Z$216,Z1)+COUNTIF($Z$218:$Z$220,Z1)+COUNTIF($Z$222:$Z$224,Z1)+COUNTIF($Z$226:$Z$360,Z1)+COUNTIF($Z$362:$Z$413,Z1)+COUNTIF($Z$416:$Z$426,Z1)+COUNTIF($Z$428:$Z$438,Z1)+COUNTIF($Z$440:$Z$449,Z1)+COUNTIF($Z$451:$Z$466,Z1)+COUNTIF($Z$469:$Z$475,Z1)+COUNTIF($Z$477:$Z$485,Z1)+COUNTIF($Z$488:$Z$65536,Z1)&gt;1,NOT(ISBLANK(Z1)))</formula>
    </cfRule>
  </conditionalFormatting>
  <conditionalFormatting sqref="Z152">
    <cfRule type="duplicateValues" dxfId="1601" priority="47636" stopIfTrue="1"/>
    <cfRule type="duplicateValues" dxfId="1600" priority="47643" stopIfTrue="1"/>
    <cfRule type="duplicateValues" dxfId="1599" priority="47637" stopIfTrue="1"/>
  </conditionalFormatting>
  <conditionalFormatting sqref="Z170">
    <cfRule type="duplicateValues" dxfId="1598" priority="46192" stopIfTrue="1"/>
  </conditionalFormatting>
  <conditionalFormatting sqref="Z171">
    <cfRule type="duplicateValues" dxfId="1597" priority="46127" stopIfTrue="1"/>
    <cfRule type="duplicateValues" dxfId="1596" priority="46128" stopIfTrue="1"/>
  </conditionalFormatting>
  <conditionalFormatting sqref="Z192">
    <cfRule type="duplicateValues" dxfId="1595" priority="46081" stopIfTrue="1"/>
    <cfRule type="duplicateValues" dxfId="1594" priority="46082" stopIfTrue="1"/>
  </conditionalFormatting>
  <conditionalFormatting sqref="Z204">
    <cfRule type="duplicateValues" dxfId="1593" priority="46037" stopIfTrue="1"/>
    <cfRule type="duplicateValues" dxfId="1592" priority="46038" stopIfTrue="1"/>
  </conditionalFormatting>
  <conditionalFormatting sqref="Z217">
    <cfRule type="duplicateValues" dxfId="1591" priority="45994" stopIfTrue="1"/>
    <cfRule type="duplicateValues" dxfId="1590" priority="45993" stopIfTrue="1"/>
  </conditionalFormatting>
  <conditionalFormatting sqref="Z221">
    <cfRule type="duplicateValues" dxfId="1589" priority="45949" stopIfTrue="1"/>
    <cfRule type="duplicateValues" dxfId="1588" priority="45950" stopIfTrue="1"/>
  </conditionalFormatting>
  <conditionalFormatting sqref="Z225">
    <cfRule type="duplicateValues" dxfId="1587" priority="45905" stopIfTrue="1"/>
    <cfRule type="duplicateValues" dxfId="1586" priority="45906" stopIfTrue="1"/>
  </conditionalFormatting>
  <conditionalFormatting sqref="Z226:Z360 Z1:Z101 Z104:Z106 Z110:Z118 Z120:Z124 Z127 Z131:Z166 Z168:Z170 Z172:Z191 Z193:Z203 Z205:Z216 Z218:Z220 Z222:Z224 Z362:Z371 Z380:Z410 Z413 Z416:Z426 Z428:Z438 Z440:Z449 Z451:Z466 Z469:Z475 Z477:Z485 Z488:Z65536">
    <cfRule type="expression" dxfId="1585" priority="57971" stopIfTrue="1">
      <formula>AND(COUNTIF($Z$1:$Z$170,Z1)+COUNTIF($Z$172:$Z$178,Z1)+COUNTIF($Z$193:$Z$203,Z1)+COUNTIF($Z$205:$Z$216,Z1)+COUNTIF($Z$218:$Z$220,Z1)+COUNTIF($Z$222:$Z$224,Z1)+COUNTIF($Z$226:$Z$360,Z1)+COUNTIF($Z$362:$Z$413,Z1)+COUNTIF($Z$416:$Z$426,Z1)+COUNTIF($Z$428:$Z$438,Z1)+COUNTIF($Z$440:$Z$449,Z1)+COUNTIF($Z$451:$Z$466,Z1)+COUNTIF($Z$469:$Z$475,Z1)+COUNTIF($Z$477:$Z$485,Z1)+COUNTIF($Z$488:$Z$65536,Z1)&gt;1,NOT(ISBLANK(Z1)))</formula>
    </cfRule>
  </conditionalFormatting>
  <conditionalFormatting sqref="Z231:Z266 Z279:Z322 Z460:Z464 Z170:Z171 Z192 Z204 Z217 Z221 Z225 Z361 Z414:Z415 Z427 Z439 Z450 Z467:Z468 Z476 Z486:Z487 Z411:Z412 Z141 Z145 Z149:Z150 Z156 Z163:Z167 Z372:Z379 Z454:Z455 Z102:Z103 Z107:Z109 Z119 Z125:Z126 Z128:Z130 D1:D2 D521:D65536 AI45:AI47 AI98 AI110 AI125 AI127 AI137:AI138 AI140 AI142:AI164 AI173:AI191 AI197:AI217 AI238:AI253 AI275:AI276 AI281:AI299 AI372:AI373 AI385:AI386 AI391 AI393 AI396 AI405:AI407 AI411 AI413 AI417 AI423:AI424 AI428:AI429 AI434 AI453 AI491 AJ518">
    <cfRule type="expression" dxfId="1584" priority="52090" stopIfTrue="1">
      <formula>AND(COUNTIF($D$4:$D$65536,D1)+COUNTIF($D$1:$D$2,D1)&gt;1,NOT(ISBLANK(D1)))</formula>
    </cfRule>
  </conditionalFormatting>
  <conditionalFormatting sqref="Z255 D1:D3 AI45:AI47 AI98 Z102:Z103 Z107:Z109 AI110 Z119 AI125 Z125:Z126 AI127 Z128:Z130 AI137:AI138 AI140 AI142:AI164 Z167 AI173:AI191 AI197:AI217 AI238:AI253 AI275:AI276 AI281:AI299 AI372:AI373 Z372:Z379 AI385:AI386 AI391 AI393 AI396 AI405:AI407 AI411 Z411:Z412 AI413 AI417 AI423:AI424 AI429 AI434 AI453 AI491 AJ518 D521:D65536">
    <cfRule type="expression" dxfId="1583" priority="57936" stopIfTrue="1">
      <formula>AND(COUNTIF($D$1:$D$427,D1)+COUNTIF($D$429:$D$449,D1)+COUNTIF($D$451:$D$65536,D1)&gt;1,NOT(ISBLANK(D1)))</formula>
    </cfRule>
  </conditionalFormatting>
  <conditionalFormatting sqref="Z286">
    <cfRule type="duplicateValues" dxfId="1582" priority="45903" stopIfTrue="1"/>
    <cfRule type="duplicateValues" dxfId="1581" priority="45904" stopIfTrue="1"/>
  </conditionalFormatting>
  <conditionalFormatting sqref="Z287">
    <cfRule type="duplicateValues" dxfId="1580" priority="45901" stopIfTrue="1"/>
    <cfRule type="duplicateValues" dxfId="1579" priority="45902" stopIfTrue="1"/>
  </conditionalFormatting>
  <conditionalFormatting sqref="Z288">
    <cfRule type="duplicateValues" dxfId="1578" priority="45899" stopIfTrue="1"/>
    <cfRule type="duplicateValues" dxfId="1577" priority="45900" stopIfTrue="1"/>
  </conditionalFormatting>
  <conditionalFormatting sqref="Z296">
    <cfRule type="duplicateValues" dxfId="1576" priority="47048" stopIfTrue="1"/>
  </conditionalFormatting>
  <conditionalFormatting sqref="Z305">
    <cfRule type="duplicateValues" dxfId="1575" priority="45897" stopIfTrue="1"/>
    <cfRule type="duplicateValues" dxfId="1574" priority="45898" stopIfTrue="1"/>
  </conditionalFormatting>
  <conditionalFormatting sqref="Z306">
    <cfRule type="duplicateValues" dxfId="1573" priority="45876" stopIfTrue="1"/>
    <cfRule type="duplicateValues" dxfId="1572" priority="45875" stopIfTrue="1"/>
    <cfRule type="duplicateValues" dxfId="1571" priority="45880" stopIfTrue="1"/>
    <cfRule type="duplicateValues" dxfId="1570" priority="47028" stopIfTrue="1"/>
  </conditionalFormatting>
  <conditionalFormatting sqref="Z316">
    <cfRule type="duplicateValues" dxfId="1569" priority="45874" stopIfTrue="1"/>
    <cfRule type="duplicateValues" dxfId="1568" priority="45873" stopIfTrue="1"/>
  </conditionalFormatting>
  <conditionalFormatting sqref="Z321:Z322">
    <cfRule type="duplicateValues" dxfId="1567" priority="46659" stopIfTrue="1"/>
  </conditionalFormatting>
  <conditionalFormatting sqref="Z361">
    <cfRule type="duplicateValues" dxfId="1566" priority="45828" stopIfTrue="1"/>
    <cfRule type="duplicateValues" dxfId="1565" priority="45829" stopIfTrue="1"/>
    <cfRule type="duplicateValues" dxfId="1564" priority="45830" stopIfTrue="1"/>
  </conditionalFormatting>
  <conditionalFormatting sqref="Z411">
    <cfRule type="duplicateValues" dxfId="1563" priority="45079" stopIfTrue="1"/>
  </conditionalFormatting>
  <conditionalFormatting sqref="Z412">
    <cfRule type="duplicateValues" dxfId="1562" priority="45032" stopIfTrue="1"/>
  </conditionalFormatting>
  <conditionalFormatting sqref="Z414">
    <cfRule type="duplicateValues" dxfId="1561" priority="45784" stopIfTrue="1"/>
    <cfRule type="duplicateValues" dxfId="1560" priority="45785" stopIfTrue="1"/>
  </conditionalFormatting>
  <conditionalFormatting sqref="Z415">
    <cfRule type="duplicateValues" dxfId="1559" priority="45741" stopIfTrue="1"/>
    <cfRule type="duplicateValues" dxfId="1558" priority="45740" stopIfTrue="1"/>
  </conditionalFormatting>
  <conditionalFormatting sqref="Z427">
    <cfRule type="duplicateValues" dxfId="1557" priority="45696" stopIfTrue="1"/>
    <cfRule type="duplicateValues" dxfId="1556" priority="45697" stopIfTrue="1"/>
  </conditionalFormatting>
  <conditionalFormatting sqref="Z439">
    <cfRule type="duplicateValues" dxfId="1555" priority="45609" stopIfTrue="1"/>
    <cfRule type="duplicateValues" dxfId="1554" priority="45608" stopIfTrue="1"/>
  </conditionalFormatting>
  <conditionalFormatting sqref="Z450">
    <cfRule type="duplicateValues" dxfId="1553" priority="45565" stopIfTrue="1"/>
    <cfRule type="duplicateValues" dxfId="1552" priority="45564" stopIfTrue="1"/>
  </conditionalFormatting>
  <conditionalFormatting sqref="Z467">
    <cfRule type="duplicateValues" dxfId="1551" priority="45476" stopIfTrue="1"/>
    <cfRule type="duplicateValues" dxfId="1550" priority="45475" stopIfTrue="1"/>
  </conditionalFormatting>
  <conditionalFormatting sqref="Z468">
    <cfRule type="duplicateValues" dxfId="1549" priority="45474" stopIfTrue="1"/>
    <cfRule type="duplicateValues" dxfId="1548" priority="45456" stopIfTrue="1"/>
    <cfRule type="duplicateValues" dxfId="1547" priority="45455" stopIfTrue="1"/>
  </conditionalFormatting>
  <conditionalFormatting sqref="Z476">
    <cfRule type="duplicateValues" dxfId="1546" priority="45409" stopIfTrue="1"/>
    <cfRule type="duplicateValues" dxfId="1545" priority="45410" stopIfTrue="1"/>
  </conditionalFormatting>
  <conditionalFormatting sqref="Z486">
    <cfRule type="duplicateValues" dxfId="1544" priority="45364" stopIfTrue="1"/>
    <cfRule type="duplicateValues" dxfId="1543" priority="45365" stopIfTrue="1"/>
  </conditionalFormatting>
  <conditionalFormatting sqref="Z487">
    <cfRule type="duplicateValues" dxfId="1542" priority="45320" stopIfTrue="1"/>
    <cfRule type="duplicateValues" dxfId="1541" priority="45319" stopIfTrue="1"/>
  </conditionalFormatting>
  <conditionalFormatting sqref="Z510:Z516">
    <cfRule type="duplicateValues" dxfId="1540" priority="47395" stopIfTrue="1"/>
    <cfRule type="duplicateValues" dxfId="1539" priority="47390" stopIfTrue="1"/>
    <cfRule type="duplicateValues" dxfId="1538" priority="47406" stopIfTrue="1"/>
    <cfRule type="duplicateValues" dxfId="1537" priority="47412" stopIfTrue="1"/>
    <cfRule type="duplicateValues" dxfId="1536" priority="47405" stopIfTrue="1"/>
  </conditionalFormatting>
  <conditionalFormatting sqref="Z517">
    <cfRule type="duplicateValues" dxfId="1535" priority="47366" stopIfTrue="1"/>
    <cfRule type="duplicateValues" dxfId="1534" priority="47365" stopIfTrue="1"/>
    <cfRule type="duplicateValues" dxfId="1533" priority="47372" stopIfTrue="1"/>
    <cfRule type="duplicateValues" dxfId="1532" priority="47350" stopIfTrue="1"/>
    <cfRule type="duplicateValues" dxfId="1531" priority="47355" stopIfTrue="1"/>
  </conditionalFormatting>
  <conditionalFormatting sqref="Z152:AB152">
    <cfRule type="duplicateValues" dxfId="1530" priority="47632" stopIfTrue="1"/>
  </conditionalFormatting>
  <conditionalFormatting sqref="Z510:AB516">
    <cfRule type="duplicateValues" dxfId="1529" priority="47401" stopIfTrue="1"/>
    <cfRule type="duplicateValues" dxfId="1528" priority="47399" stopIfTrue="1"/>
    <cfRule type="duplicateValues" dxfId="1527" priority="47397" stopIfTrue="1"/>
  </conditionalFormatting>
  <conditionalFormatting sqref="Z517:AB517">
    <cfRule type="duplicateValues" dxfId="1526" priority="47361" stopIfTrue="1"/>
    <cfRule type="duplicateValues" dxfId="1525" priority="47357" stopIfTrue="1"/>
    <cfRule type="duplicateValues" dxfId="1524" priority="47359" stopIfTrue="1"/>
  </conditionalFormatting>
  <conditionalFormatting sqref="AA152">
    <cfRule type="duplicateValues" dxfId="1523" priority="47635" stopIfTrue="1"/>
    <cfRule type="duplicateValues" dxfId="1522" priority="47642" stopIfTrue="1"/>
    <cfRule type="duplicateValues" dxfId="1521" priority="47650" stopIfTrue="1"/>
  </conditionalFormatting>
  <conditionalFormatting sqref="AA231:AA266 AA279:AA322 AA460:AA464 AA467 AA476 AA486:AA487 AA411:AA412 E521:E65536 E1:E2 AA102:AA103 AA107:AA109 AA119 AA125:AA126 AA128:AA130 AA141 AA145 AA149:AA150 AA156 AA163:AA167 AA170:AA171 AA192 AA204 AA217 AA221 AA225 AA361 AA372:AA379 AA414:AA415 AA427 AA439 AA450 AA454:AA455">
    <cfRule type="expression" dxfId="1520" priority="52093" stopIfTrue="1">
      <formula>AND(COUNTIF($E$4:$E$65536,E1)+COUNTIF($E$1:$E$2,E1)&gt;1,NOT(ISBLANK(E1)))</formula>
    </cfRule>
  </conditionalFormatting>
  <conditionalFormatting sqref="AA296">
    <cfRule type="duplicateValues" dxfId="1519" priority="47047" stopIfTrue="1"/>
    <cfRule type="duplicateValues" dxfId="1518" priority="47055" stopIfTrue="1"/>
  </conditionalFormatting>
  <conditionalFormatting sqref="AA306">
    <cfRule type="duplicateValues" dxfId="1517" priority="45887" stopIfTrue="1"/>
    <cfRule type="duplicateValues" dxfId="1516" priority="47035" stopIfTrue="1"/>
    <cfRule type="duplicateValues" dxfId="1515" priority="45879" stopIfTrue="1"/>
    <cfRule type="duplicateValues" dxfId="1514" priority="47027" stopIfTrue="1"/>
  </conditionalFormatting>
  <conditionalFormatting sqref="AA411">
    <cfRule type="duplicateValues" dxfId="1513" priority="45124"/>
    <cfRule type="duplicateValues" dxfId="1512" priority="45123"/>
  </conditionalFormatting>
  <conditionalFormatting sqref="AA412">
    <cfRule type="duplicateValues" dxfId="1511" priority="45076"/>
    <cfRule type="duplicateValues" dxfId="1510" priority="45077"/>
  </conditionalFormatting>
  <conditionalFormatting sqref="AA510:AA516">
    <cfRule type="duplicateValues" dxfId="1509" priority="47411" stopIfTrue="1"/>
    <cfRule type="duplicateValues" dxfId="1508" priority="47419" stopIfTrue="1"/>
    <cfRule type="duplicateValues" dxfId="1507" priority="47394" stopIfTrue="1"/>
    <cfRule type="duplicateValues" dxfId="1506" priority="47404" stopIfTrue="1"/>
  </conditionalFormatting>
  <conditionalFormatting sqref="AA517">
    <cfRule type="duplicateValues" dxfId="1505" priority="47354" stopIfTrue="1"/>
    <cfRule type="duplicateValues" dxfId="1504" priority="47379" stopIfTrue="1"/>
    <cfRule type="duplicateValues" dxfId="1503" priority="47371" stopIfTrue="1"/>
    <cfRule type="duplicateValues" dxfId="1502" priority="47364" stopIfTrue="1"/>
  </conditionalFormatting>
  <conditionalFormatting sqref="AA510:AB516">
    <cfRule type="duplicateValues" dxfId="1501" priority="47398" stopIfTrue="1"/>
  </conditionalFormatting>
  <conditionalFormatting sqref="AA517:AB517">
    <cfRule type="duplicateValues" dxfId="1500" priority="47358" stopIfTrue="1"/>
  </conditionalFormatting>
  <conditionalFormatting sqref="AB152">
    <cfRule type="duplicateValues" dxfId="1499" priority="47638" stopIfTrue="1"/>
    <cfRule type="duplicateValues" dxfId="1498" priority="47639" stopIfTrue="1"/>
    <cfRule type="duplicateValues" dxfId="1497" priority="47641" stopIfTrue="1"/>
    <cfRule type="duplicateValues" dxfId="1496" priority="47644" stopIfTrue="1"/>
    <cfRule type="duplicateValues" dxfId="1495" priority="47647" stopIfTrue="1"/>
    <cfRule type="duplicateValues" dxfId="1494" priority="47651" stopIfTrue="1"/>
    <cfRule type="duplicateValues" dxfId="1493" priority="47653" stopIfTrue="1"/>
    <cfRule type="duplicateValues" dxfId="1492" priority="47659" stopIfTrue="1"/>
    <cfRule type="duplicateValues" dxfId="1491" priority="47657" stopIfTrue="1"/>
    <cfRule type="duplicateValues" dxfId="1490" priority="47652" stopIfTrue="1"/>
    <cfRule type="duplicateValues" dxfId="1489" priority="47655" stopIfTrue="1"/>
    <cfRule type="duplicateValues" dxfId="1488" priority="47656" stopIfTrue="1"/>
    <cfRule type="duplicateValues" dxfId="1487" priority="47631" stopIfTrue="1"/>
    <cfRule type="duplicateValues" dxfId="1486" priority="47648" stopIfTrue="1"/>
    <cfRule type="duplicateValues" dxfId="1485" priority="47633" stopIfTrue="1"/>
    <cfRule type="duplicateValues" dxfId="1484" priority="47654"/>
    <cfRule type="duplicateValues" dxfId="1483" priority="47634" stopIfTrue="1"/>
  </conditionalFormatting>
  <conditionalFormatting sqref="AB231:AB266 AB279:AB322 AB460:AB464 AB467 AB476 AB486:AB487 AB372:AB379 F534:G65536 F1:G1 AB102:AB103 AB107:AB109 AB119 AB125:AB126 AB128:AB130 AB141 AB145 AB149:AB150 AB156 AB163:AB167 AB170:AB171 AB192 AB204 AB217 AB221 AB225 AB361 AB411:AB412 AB414:AB415 AB427 AB439 AB450 AB454:AB455 F521:G524">
    <cfRule type="expression" dxfId="1482" priority="52095" stopIfTrue="1">
      <formula>AND(COUNTIF($F$4:$F$65536,F1)+COUNTIF($F$1:$F$2,F1)&gt;1,NOT(ISBLANK(F1)))</formula>
    </cfRule>
  </conditionalFormatting>
  <conditionalFormatting sqref="AB239">
    <cfRule type="duplicateValues" dxfId="1481" priority="47118" stopIfTrue="1"/>
    <cfRule type="duplicateValues" dxfId="1480" priority="47114"/>
    <cfRule type="duplicateValues" dxfId="1479" priority="47115" stopIfTrue="1"/>
    <cfRule type="duplicateValues" dxfId="1478" priority="47116" stopIfTrue="1"/>
    <cfRule type="duplicateValues" dxfId="1477" priority="47117" stopIfTrue="1"/>
    <cfRule type="duplicateValues" dxfId="1476" priority="47119" stopIfTrue="1"/>
  </conditionalFormatting>
  <conditionalFormatting sqref="AB246">
    <cfRule type="duplicateValues" dxfId="1475" priority="47135" stopIfTrue="1"/>
  </conditionalFormatting>
  <conditionalFormatting sqref="AB249">
    <cfRule type="duplicateValues" dxfId="1474" priority="47109" stopIfTrue="1"/>
    <cfRule type="duplicateValues" dxfId="1473" priority="47108" stopIfTrue="1"/>
    <cfRule type="duplicateValues" dxfId="1472" priority="47107" stopIfTrue="1"/>
    <cfRule type="duplicateValues" dxfId="1471" priority="47112" stopIfTrue="1"/>
    <cfRule type="duplicateValues" dxfId="1470" priority="47110" stopIfTrue="1"/>
  </conditionalFormatting>
  <conditionalFormatting sqref="AB251">
    <cfRule type="duplicateValues" dxfId="1469" priority="47131" stopIfTrue="1"/>
    <cfRule type="duplicateValues" dxfId="1468" priority="47133"/>
    <cfRule type="duplicateValues" dxfId="1467" priority="47129" stopIfTrue="1"/>
    <cfRule type="duplicateValues" dxfId="1466" priority="47128" stopIfTrue="1"/>
    <cfRule type="duplicateValues" dxfId="1465" priority="47134" stopIfTrue="1"/>
    <cfRule type="duplicateValues" dxfId="1464" priority="47130" stopIfTrue="1"/>
  </conditionalFormatting>
  <conditionalFormatting sqref="AB255">
    <cfRule type="duplicateValues" dxfId="1463" priority="47121" stopIfTrue="1"/>
    <cfRule type="duplicateValues" dxfId="1462" priority="47122" stopIfTrue="1"/>
    <cfRule type="duplicateValues" dxfId="1461" priority="47123" stopIfTrue="1"/>
    <cfRule type="duplicateValues" dxfId="1460" priority="47124" stopIfTrue="1"/>
    <cfRule type="duplicateValues" dxfId="1459" priority="47126"/>
    <cfRule type="duplicateValues" dxfId="1458" priority="45315" stopIfTrue="1"/>
    <cfRule type="duplicateValues" dxfId="1457" priority="45314"/>
    <cfRule type="duplicateValues" dxfId="1456" priority="45312" stopIfTrue="1"/>
    <cfRule type="duplicateValues" dxfId="1455" priority="45311" stopIfTrue="1"/>
    <cfRule type="duplicateValues" dxfId="1454" priority="45310" stopIfTrue="1"/>
    <cfRule type="duplicateValues" dxfId="1453" priority="45309" stopIfTrue="1"/>
    <cfRule type="duplicateValues" dxfId="1452" priority="47127" stopIfTrue="1"/>
  </conditionalFormatting>
  <conditionalFormatting sqref="AB296">
    <cfRule type="duplicateValues" dxfId="1451" priority="47062" stopIfTrue="1"/>
    <cfRule type="duplicateValues" dxfId="1450" priority="47046" stopIfTrue="1"/>
    <cfRule type="duplicateValues" dxfId="1449" priority="47064" stopIfTrue="1"/>
    <cfRule type="duplicateValues" dxfId="1448" priority="47049" stopIfTrue="1"/>
    <cfRule type="duplicateValues" dxfId="1447" priority="47052" stopIfTrue="1"/>
    <cfRule type="duplicateValues" dxfId="1446" priority="47053" stopIfTrue="1"/>
    <cfRule type="duplicateValues" dxfId="1445" priority="47056" stopIfTrue="1"/>
    <cfRule type="duplicateValues" dxfId="1444" priority="47057" stopIfTrue="1"/>
    <cfRule type="duplicateValues" dxfId="1443" priority="47058" stopIfTrue="1"/>
    <cfRule type="duplicateValues" dxfId="1442" priority="47059"/>
    <cfRule type="duplicateValues" dxfId="1441" priority="47060" stopIfTrue="1"/>
    <cfRule type="duplicateValues" dxfId="1440" priority="47061" stopIfTrue="1"/>
  </conditionalFormatting>
  <conditionalFormatting sqref="AB306">
    <cfRule type="duplicateValues" dxfId="1439" priority="45890" stopIfTrue="1"/>
    <cfRule type="duplicateValues" dxfId="1438" priority="47039"/>
    <cfRule type="duplicateValues" dxfId="1437" priority="47038" stopIfTrue="1"/>
    <cfRule type="duplicateValues" dxfId="1436" priority="47037" stopIfTrue="1"/>
    <cfRule type="duplicateValues" dxfId="1435" priority="47036" stopIfTrue="1"/>
    <cfRule type="duplicateValues" dxfId="1434" priority="47033" stopIfTrue="1"/>
    <cfRule type="duplicateValues" dxfId="1433" priority="47032" stopIfTrue="1"/>
    <cfRule type="duplicateValues" dxfId="1432" priority="47029" stopIfTrue="1"/>
    <cfRule type="duplicateValues" dxfId="1431" priority="45893" stopIfTrue="1"/>
    <cfRule type="duplicateValues" dxfId="1430" priority="47026" stopIfTrue="1"/>
    <cfRule type="duplicateValues" dxfId="1429" priority="47040" stopIfTrue="1"/>
    <cfRule type="duplicateValues" dxfId="1428" priority="45885" stopIfTrue="1"/>
    <cfRule type="duplicateValues" dxfId="1427" priority="45896" stopIfTrue="1"/>
    <cfRule type="duplicateValues" dxfId="1426" priority="45894" stopIfTrue="1"/>
    <cfRule type="duplicateValues" dxfId="1425" priority="47044" stopIfTrue="1"/>
    <cfRule type="duplicateValues" dxfId="1424" priority="47042" stopIfTrue="1"/>
    <cfRule type="duplicateValues" dxfId="1423" priority="47041" stopIfTrue="1"/>
    <cfRule type="duplicateValues" dxfId="1422" priority="45878" stopIfTrue="1"/>
    <cfRule type="duplicateValues" dxfId="1421" priority="45881" stopIfTrue="1"/>
    <cfRule type="duplicateValues" dxfId="1420" priority="45884" stopIfTrue="1"/>
    <cfRule type="duplicateValues" dxfId="1419" priority="45892" stopIfTrue="1"/>
    <cfRule type="duplicateValues" dxfId="1418" priority="45888" stopIfTrue="1"/>
    <cfRule type="duplicateValues" dxfId="1417" priority="45889" stopIfTrue="1"/>
    <cfRule type="duplicateValues" dxfId="1416" priority="45891"/>
  </conditionalFormatting>
  <conditionalFormatting sqref="AB373:AB374">
    <cfRule type="duplicateValues" dxfId="1415" priority="45185" stopIfTrue="1"/>
    <cfRule type="duplicateValues" dxfId="1414" priority="45186" stopIfTrue="1"/>
    <cfRule type="duplicateValues" dxfId="1413" priority="45187" stopIfTrue="1"/>
    <cfRule type="duplicateValues" dxfId="1412" priority="45188" stopIfTrue="1"/>
  </conditionalFormatting>
  <conditionalFormatting sqref="AB460">
    <cfRule type="duplicateValues" dxfId="1411" priority="46873" stopIfTrue="1"/>
    <cfRule type="duplicateValues" dxfId="1410" priority="46871" stopIfTrue="1"/>
    <cfRule type="duplicateValues" dxfId="1409" priority="46868"/>
    <cfRule type="duplicateValues" dxfId="1408" priority="46869" stopIfTrue="1"/>
    <cfRule type="duplicateValues" dxfId="1407" priority="46870" stopIfTrue="1"/>
    <cfRule type="duplicateValues" dxfId="1406" priority="46872" stopIfTrue="1"/>
  </conditionalFormatting>
  <conditionalFormatting sqref="AB461:AB464">
    <cfRule type="duplicateValues" dxfId="1405" priority="46829" stopIfTrue="1"/>
    <cfRule type="duplicateValues" dxfId="1404" priority="46830" stopIfTrue="1"/>
    <cfRule type="duplicateValues" dxfId="1403" priority="46826" stopIfTrue="1"/>
    <cfRule type="duplicateValues" dxfId="1402" priority="46827" stopIfTrue="1"/>
    <cfRule type="duplicateValues" dxfId="1401" priority="46828" stopIfTrue="1"/>
    <cfRule type="duplicateValues" dxfId="1400" priority="46825"/>
  </conditionalFormatting>
  <conditionalFormatting sqref="AB467">
    <cfRule type="duplicateValues" dxfId="1399" priority="45514" stopIfTrue="1"/>
    <cfRule type="duplicateValues" dxfId="1398" priority="45517" stopIfTrue="1"/>
    <cfRule type="duplicateValues" dxfId="1397" priority="45518" stopIfTrue="1"/>
    <cfRule type="duplicateValues" dxfId="1396" priority="45516" stopIfTrue="1"/>
    <cfRule type="duplicateValues" dxfId="1395" priority="45515" stopIfTrue="1"/>
    <cfRule type="duplicateValues" dxfId="1394" priority="45513"/>
  </conditionalFormatting>
  <conditionalFormatting sqref="AB476">
    <cfRule type="duplicateValues" dxfId="1393" priority="45452" stopIfTrue="1"/>
    <cfRule type="duplicateValues" dxfId="1392" priority="45450" stopIfTrue="1"/>
    <cfRule type="duplicateValues" dxfId="1391" priority="45448" stopIfTrue="1"/>
    <cfRule type="duplicateValues" dxfId="1390" priority="45449" stopIfTrue="1"/>
    <cfRule type="duplicateValues" dxfId="1389" priority="45447"/>
    <cfRule type="duplicateValues" dxfId="1388" priority="45451" stopIfTrue="1"/>
  </conditionalFormatting>
  <conditionalFormatting sqref="AB486">
    <cfRule type="duplicateValues" dxfId="1387" priority="45404" stopIfTrue="1"/>
    <cfRule type="duplicateValues" dxfId="1386" priority="45403" stopIfTrue="1"/>
    <cfRule type="duplicateValues" dxfId="1385" priority="45407" stopIfTrue="1"/>
    <cfRule type="duplicateValues" dxfId="1384" priority="45406" stopIfTrue="1"/>
    <cfRule type="duplicateValues" dxfId="1383" priority="45402"/>
    <cfRule type="duplicateValues" dxfId="1382" priority="45405" stopIfTrue="1"/>
  </conditionalFormatting>
  <conditionalFormatting sqref="AB487">
    <cfRule type="duplicateValues" dxfId="1381" priority="45359" stopIfTrue="1"/>
    <cfRule type="duplicateValues" dxfId="1380" priority="45360" stopIfTrue="1"/>
    <cfRule type="duplicateValues" dxfId="1379" priority="45361" stopIfTrue="1"/>
    <cfRule type="duplicateValues" dxfId="1378" priority="45362" stopIfTrue="1"/>
    <cfRule type="duplicateValues" dxfId="1377" priority="45358" stopIfTrue="1"/>
    <cfRule type="duplicateValues" dxfId="1376" priority="45357"/>
  </conditionalFormatting>
  <conditionalFormatting sqref="AB510:AB516">
    <cfRule type="duplicateValues" dxfId="1375" priority="47393" stopIfTrue="1"/>
    <cfRule type="duplicateValues" dxfId="1374" priority="47425" stopIfTrue="1"/>
    <cfRule type="duplicateValues" dxfId="1373" priority="47427" stopIfTrue="1"/>
    <cfRule type="duplicateValues" dxfId="1372" priority="47403" stopIfTrue="1"/>
    <cfRule type="duplicateValues" dxfId="1371" priority="47400" stopIfTrue="1"/>
    <cfRule type="duplicateValues" dxfId="1370" priority="47402" stopIfTrue="1"/>
    <cfRule type="duplicateValues" dxfId="1369" priority="47417" stopIfTrue="1"/>
    <cfRule type="duplicateValues" dxfId="1368" priority="47416" stopIfTrue="1"/>
    <cfRule type="duplicateValues" dxfId="1367" priority="47413" stopIfTrue="1"/>
    <cfRule type="duplicateValues" dxfId="1366" priority="47410" stopIfTrue="1"/>
    <cfRule type="duplicateValues" dxfId="1365" priority="47408" stopIfTrue="1"/>
    <cfRule type="duplicateValues" dxfId="1364" priority="47407" stopIfTrue="1"/>
    <cfRule type="duplicateValues" dxfId="1363" priority="47420" stopIfTrue="1"/>
    <cfRule type="duplicateValues" dxfId="1362" priority="47391" stopIfTrue="1"/>
    <cfRule type="duplicateValues" dxfId="1361" priority="47422" stopIfTrue="1"/>
    <cfRule type="duplicateValues" dxfId="1360" priority="47423" stopIfTrue="1"/>
    <cfRule type="duplicateValues" dxfId="1359" priority="47424" stopIfTrue="1"/>
    <cfRule type="duplicateValues" dxfId="1358" priority="47421" stopIfTrue="1"/>
  </conditionalFormatting>
  <conditionalFormatting sqref="AB517">
    <cfRule type="duplicateValues" dxfId="1357" priority="47382" stopIfTrue="1"/>
    <cfRule type="duplicateValues" dxfId="1356" priority="47383" stopIfTrue="1"/>
    <cfRule type="duplicateValues" dxfId="1355" priority="47384" stopIfTrue="1"/>
    <cfRule type="duplicateValues" dxfId="1354" priority="47385" stopIfTrue="1"/>
    <cfRule type="duplicateValues" dxfId="1353" priority="47386" stopIfTrue="1"/>
    <cfRule type="duplicateValues" dxfId="1352" priority="47388"/>
    <cfRule type="duplicateValues" dxfId="1351" priority="47389" stopIfTrue="1"/>
    <cfRule type="duplicateValues" dxfId="1350" priority="47370" stopIfTrue="1"/>
    <cfRule type="duplicateValues" dxfId="1349" priority="47351" stopIfTrue="1"/>
    <cfRule type="duplicateValues" dxfId="1348" priority="47353" stopIfTrue="1"/>
    <cfRule type="duplicateValues" dxfId="1347" priority="47360" stopIfTrue="1"/>
    <cfRule type="duplicateValues" dxfId="1346" priority="47362" stopIfTrue="1"/>
    <cfRule type="duplicateValues" dxfId="1345" priority="47363" stopIfTrue="1"/>
    <cfRule type="duplicateValues" dxfId="1344" priority="47367" stopIfTrue="1"/>
    <cfRule type="duplicateValues" dxfId="1343" priority="47368" stopIfTrue="1"/>
    <cfRule type="duplicateValues" dxfId="1342" priority="47373" stopIfTrue="1"/>
    <cfRule type="duplicateValues" dxfId="1341" priority="47376" stopIfTrue="1"/>
    <cfRule type="duplicateValues" dxfId="1340" priority="47377" stopIfTrue="1"/>
    <cfRule type="duplicateValues" dxfId="1339" priority="47380" stopIfTrue="1"/>
    <cfRule type="duplicateValues" dxfId="1338" priority="47381" stopIfTrue="1"/>
  </conditionalFormatting>
  <conditionalFormatting sqref="AG140:AG164 AH518 B518:B65536 AG491 B1:B2 AG45:AG47 AG98 X102:X103 X107:X109 AG110 X119 AG125 X125:X126 AG127 X128:X130 AG138 X141 X145 X149:X150 X156 X163:X167 X170:X171 AG173:AG191 X192 AG197:AG217 X204 X217 X221 X225 X231:X266 AG238:AG253 AG275:AG276 X279:X322 AG281:AG299 X361 AG372:AG373 X372:X379 AG385:AG386 AG391 AG393 AG396 AG405:AG407 AG411 X411:X412 AG413 X414:X415 AG417:AG418 AG423:AG424 X427 AG428:AG429 AG434 X439 X450 AG453 X454:X455 X460:X464 X467 X476 X486:X487">
    <cfRule type="expression" dxfId="1337" priority="13600" stopIfTrue="1">
      <formula>AND(COUNTIF($B$4:$B$65536,B1)+COUNTIF($B$1:$B$2,B1)&gt;1,NOT(ISBLANK(B1)))</formula>
    </cfRule>
  </conditionalFormatting>
  <conditionalFormatting sqref="AG145:AJ145">
    <cfRule type="duplicateValues" dxfId="1336" priority="34738" stopIfTrue="1"/>
    <cfRule type="duplicateValues" dxfId="1335" priority="34737" stopIfTrue="1"/>
  </conditionalFormatting>
  <conditionalFormatting sqref="AG175:AJ175">
    <cfRule type="duplicateValues" dxfId="1334" priority="35063" stopIfTrue="1"/>
  </conditionalFormatting>
  <conditionalFormatting sqref="AG250:AJ250">
    <cfRule type="duplicateValues" dxfId="1333" priority="30747" stopIfTrue="1"/>
  </conditionalFormatting>
  <conditionalFormatting sqref="AG393:AJ393">
    <cfRule type="duplicateValues" dxfId="1332" priority="32337" stopIfTrue="1"/>
  </conditionalFormatting>
  <conditionalFormatting sqref="AG141:AK141 AG418:AK418">
    <cfRule type="expression" dxfId="1331" priority="14969" stopIfTrue="1">
      <formula>AND(COUNTIF($B$8:$F$9,AG141)+COUNTIF($B$11:$F$26,AG141)+COUNTIF($B$28:$F$65536,AG141)+COUNTIF($B$4:$F$4,AG141)+COUNTIF($B$1:$F$2,AG141)&gt;1,NOT(ISBLANK(AG141)))</formula>
    </cfRule>
    <cfRule type="expression" dxfId="1330" priority="14966" stopIfTrue="1">
      <formula>AND(COUNTIF($B$297:$F$305,AG141)+COUNTIF($B$307:$F$65536,AG141)+COUNTIF($B$8:$F$9,AG141)+COUNTIF($B$11:$F$26,AG141)+COUNTIF($B$28:$F$295,AG141)+COUNTIF($B$4:$F$4,AG141)+COUNTIF($B$1:$F$2,AG141)&gt;1,NOT(ISBLANK(AG141)))</formula>
    </cfRule>
  </conditionalFormatting>
  <conditionalFormatting sqref="AG175:AK175">
    <cfRule type="duplicateValues" dxfId="1329" priority="35065" stopIfTrue="1"/>
  </conditionalFormatting>
  <conditionalFormatting sqref="AG245:AK245">
    <cfRule type="duplicateValues" dxfId="1328" priority="30693" stopIfTrue="1"/>
  </conditionalFormatting>
  <conditionalFormatting sqref="AG250:AK250">
    <cfRule type="duplicateValues" dxfId="1327" priority="30748" stopIfTrue="1"/>
  </conditionalFormatting>
  <conditionalFormatting sqref="AG291:AK291">
    <cfRule type="duplicateValues" dxfId="1326" priority="32755" stopIfTrue="1"/>
    <cfRule type="duplicateValues" dxfId="1325" priority="32752" stopIfTrue="1"/>
    <cfRule type="duplicateValues" dxfId="1324" priority="32775" stopIfTrue="1"/>
    <cfRule type="duplicateValues" dxfId="1323" priority="32784" stopIfTrue="1"/>
    <cfRule type="duplicateValues" dxfId="1322" priority="32772" stopIfTrue="1"/>
    <cfRule type="duplicateValues" dxfId="1321" priority="32771" stopIfTrue="1"/>
    <cfRule type="duplicateValues" dxfId="1320" priority="32764" stopIfTrue="1"/>
    <cfRule type="duplicateValues" dxfId="1319" priority="32751" stopIfTrue="1"/>
  </conditionalFormatting>
  <conditionalFormatting sqref="AG491:AK491">
    <cfRule type="expression" dxfId="1318" priority="5096" stopIfTrue="1">
      <formula>AND(COUNTIF($B$456:$F$497,AG491)+COUNTIF($C$498:$F$499,AG491)&gt;1,NOT(ISBLANK(AG491)))</formula>
    </cfRule>
  </conditionalFormatting>
  <conditionalFormatting sqref="AH149">
    <cfRule type="duplicateValues" dxfId="1317" priority="34736" stopIfTrue="1"/>
  </conditionalFormatting>
  <conditionalFormatting sqref="AH46:AJ46">
    <cfRule type="duplicateValues" dxfId="1316" priority="31339" stopIfTrue="1"/>
  </conditionalFormatting>
  <conditionalFormatting sqref="AH291:AK291">
    <cfRule type="duplicateValues" dxfId="1315" priority="32766" stopIfTrue="1"/>
    <cfRule type="duplicateValues" dxfId="1314" priority="32746" stopIfTrue="1"/>
  </conditionalFormatting>
  <conditionalFormatting sqref="AH518:AK518">
    <cfRule type="duplicateValues" dxfId="1313" priority="12317" stopIfTrue="1"/>
  </conditionalFormatting>
  <conditionalFormatting sqref="AI45:AI47">
    <cfRule type="duplicateValues" dxfId="1312" priority="31344" stopIfTrue="1"/>
    <cfRule type="duplicateValues" dxfId="1311" priority="31342" stopIfTrue="1"/>
    <cfRule type="duplicateValues" dxfId="1310" priority="31375" stopIfTrue="1"/>
    <cfRule type="duplicateValues" dxfId="1309" priority="31343" stopIfTrue="1"/>
    <cfRule type="duplicateValues" dxfId="1308" priority="31341" stopIfTrue="1"/>
    <cfRule type="duplicateValues" dxfId="1307" priority="31338" stopIfTrue="1"/>
    <cfRule type="duplicateValues" dxfId="1306" priority="31337" stopIfTrue="1"/>
    <cfRule type="duplicateValues" dxfId="1305" priority="31335" stopIfTrue="1"/>
    <cfRule type="duplicateValues" dxfId="1304" priority="31334" stopIfTrue="1"/>
    <cfRule type="duplicateValues" dxfId="1303" priority="31332" stopIfTrue="1"/>
    <cfRule type="duplicateValues" dxfId="1302" priority="31329" stopIfTrue="1"/>
    <cfRule type="duplicateValues" dxfId="1301" priority="31328" stopIfTrue="1"/>
  </conditionalFormatting>
  <conditionalFormatting sqref="AI98">
    <cfRule type="duplicateValues" dxfId="1300" priority="31274" stopIfTrue="1"/>
    <cfRule type="duplicateValues" dxfId="1299" priority="31280" stopIfTrue="1"/>
    <cfRule type="duplicateValues" dxfId="1298" priority="31282" stopIfTrue="1"/>
    <cfRule type="duplicateValues" dxfId="1297" priority="31283" stopIfTrue="1"/>
    <cfRule type="duplicateValues" dxfId="1296" priority="31277" stopIfTrue="1"/>
    <cfRule type="duplicateValues" dxfId="1295" priority="31279" stopIfTrue="1"/>
    <cfRule type="duplicateValues" dxfId="1294" priority="31273" stopIfTrue="1"/>
    <cfRule type="duplicateValues" dxfId="1293" priority="31318" stopIfTrue="1"/>
    <cfRule type="duplicateValues" dxfId="1292" priority="31287" stopIfTrue="1"/>
    <cfRule type="duplicateValues" dxfId="1291" priority="31286" stopIfTrue="1"/>
    <cfRule type="duplicateValues" dxfId="1290" priority="31285" stopIfTrue="1"/>
    <cfRule type="duplicateValues" dxfId="1289" priority="31284" stopIfTrue="1"/>
  </conditionalFormatting>
  <conditionalFormatting sqref="AI110">
    <cfRule type="duplicateValues" dxfId="1288" priority="31229" stopIfTrue="1"/>
    <cfRule type="duplicateValues" dxfId="1287" priority="31228" stopIfTrue="1"/>
    <cfRule type="duplicateValues" dxfId="1286" priority="31227" stopIfTrue="1"/>
    <cfRule type="duplicateValues" dxfId="1285" priority="31225" stopIfTrue="1"/>
    <cfRule type="duplicateValues" dxfId="1284" priority="31222" stopIfTrue="1"/>
    <cfRule type="duplicateValues" dxfId="1283" priority="31219" stopIfTrue="1"/>
    <cfRule type="duplicateValues" dxfId="1282" priority="31218" stopIfTrue="1"/>
    <cfRule type="duplicateValues" dxfId="1281" priority="31224" stopIfTrue="1"/>
    <cfRule type="duplicateValues" dxfId="1280" priority="31263" stopIfTrue="1"/>
    <cfRule type="duplicateValues" dxfId="1279" priority="31232" stopIfTrue="1"/>
    <cfRule type="duplicateValues" dxfId="1278" priority="31231" stopIfTrue="1"/>
    <cfRule type="duplicateValues" dxfId="1277" priority="31230" stopIfTrue="1"/>
  </conditionalFormatting>
  <conditionalFormatting sqref="AI125">
    <cfRule type="duplicateValues" dxfId="1276" priority="31172" stopIfTrue="1"/>
    <cfRule type="duplicateValues" dxfId="1275" priority="31169" stopIfTrue="1"/>
    <cfRule type="duplicateValues" dxfId="1274" priority="31163" stopIfTrue="1"/>
    <cfRule type="duplicateValues" dxfId="1273" priority="31164" stopIfTrue="1"/>
    <cfRule type="duplicateValues" dxfId="1272" priority="31167" stopIfTrue="1"/>
    <cfRule type="duplicateValues" dxfId="1271" priority="31208" stopIfTrue="1"/>
    <cfRule type="duplicateValues" dxfId="1270" priority="31170" stopIfTrue="1"/>
    <cfRule type="duplicateValues" dxfId="1269" priority="31177" stopIfTrue="1"/>
    <cfRule type="duplicateValues" dxfId="1268" priority="31176" stopIfTrue="1"/>
    <cfRule type="duplicateValues" dxfId="1267" priority="31175" stopIfTrue="1"/>
    <cfRule type="duplicateValues" dxfId="1266" priority="31174" stopIfTrue="1"/>
    <cfRule type="duplicateValues" dxfId="1265" priority="31173" stopIfTrue="1"/>
  </conditionalFormatting>
  <conditionalFormatting sqref="AI127">
    <cfRule type="duplicateValues" dxfId="1264" priority="31110" stopIfTrue="1"/>
    <cfRule type="duplicateValues" dxfId="1263" priority="31109" stopIfTrue="1"/>
    <cfRule type="duplicateValues" dxfId="1262" priority="31113" stopIfTrue="1"/>
    <cfRule type="duplicateValues" dxfId="1261" priority="31123" stopIfTrue="1"/>
    <cfRule type="duplicateValues" dxfId="1260" priority="31122" stopIfTrue="1"/>
    <cfRule type="duplicateValues" dxfId="1259" priority="31121" stopIfTrue="1"/>
    <cfRule type="duplicateValues" dxfId="1258" priority="31120" stopIfTrue="1"/>
    <cfRule type="duplicateValues" dxfId="1257" priority="31119" stopIfTrue="1"/>
    <cfRule type="duplicateValues" dxfId="1256" priority="31118" stopIfTrue="1"/>
    <cfRule type="duplicateValues" dxfId="1255" priority="31116" stopIfTrue="1"/>
    <cfRule type="duplicateValues" dxfId="1254" priority="31115" stopIfTrue="1"/>
  </conditionalFormatting>
  <conditionalFormatting sqref="AI137">
    <cfRule type="duplicateValues" dxfId="1253" priority="31028" stopIfTrue="1"/>
    <cfRule type="duplicateValues" dxfId="1252" priority="31032" stopIfTrue="1"/>
    <cfRule type="duplicateValues" dxfId="1251" priority="31031" stopIfTrue="1"/>
    <cfRule type="duplicateValues" dxfId="1250" priority="31030" stopIfTrue="1"/>
    <cfRule type="duplicateValues" dxfId="1249" priority="31025" stopIfTrue="1"/>
    <cfRule type="duplicateValues" dxfId="1248" priority="31052" stopIfTrue="1"/>
    <cfRule type="duplicateValues" dxfId="1247" priority="31024" stopIfTrue="1"/>
    <cfRule type="duplicateValues" dxfId="1246" priority="31029" stopIfTrue="1"/>
    <cfRule type="duplicateValues" dxfId="1245" priority="31023" stopIfTrue="1"/>
    <cfRule type="duplicateValues" dxfId="1244" priority="31022" stopIfTrue="1"/>
    <cfRule type="duplicateValues" dxfId="1243" priority="31027" stopIfTrue="1"/>
    <cfRule type="duplicateValues" dxfId="1242" priority="31026" stopIfTrue="1"/>
  </conditionalFormatting>
  <conditionalFormatting sqref="AI138">
    <cfRule type="duplicateValues" dxfId="1241" priority="31058" stopIfTrue="1"/>
    <cfRule type="duplicateValues" dxfId="1240" priority="31060" stopIfTrue="1"/>
    <cfRule type="duplicateValues" dxfId="1239" priority="31063" stopIfTrue="1"/>
    <cfRule type="duplicateValues" dxfId="1238" priority="31065" stopIfTrue="1"/>
    <cfRule type="duplicateValues" dxfId="1237" priority="31066" stopIfTrue="1"/>
    <cfRule type="duplicateValues" dxfId="1236" priority="31061" stopIfTrue="1"/>
    <cfRule type="duplicateValues" dxfId="1235" priority="31067" stopIfTrue="1"/>
    <cfRule type="duplicateValues" dxfId="1234" priority="31064" stopIfTrue="1"/>
    <cfRule type="duplicateValues" dxfId="1233" priority="31054" stopIfTrue="1"/>
    <cfRule type="duplicateValues" dxfId="1232" priority="31055" stopIfTrue="1"/>
    <cfRule type="duplicateValues" dxfId="1231" priority="31068" stopIfTrue="1"/>
    <cfRule type="duplicateValues" dxfId="1230" priority="31099" stopIfTrue="1"/>
  </conditionalFormatting>
  <conditionalFormatting sqref="AI140:AI143">
    <cfRule type="duplicateValues" dxfId="1229" priority="34837" stopIfTrue="1"/>
    <cfRule type="duplicateValues" dxfId="1228" priority="34886" stopIfTrue="1"/>
    <cfRule type="duplicateValues" dxfId="1227" priority="34834" stopIfTrue="1"/>
    <cfRule type="duplicateValues" dxfId="1226" priority="34833" stopIfTrue="1"/>
  </conditionalFormatting>
  <conditionalFormatting sqref="AI141">
    <cfRule type="duplicateValues" dxfId="1225" priority="21033" stopIfTrue="1"/>
    <cfRule type="duplicateValues" dxfId="1224" priority="21034" stopIfTrue="1"/>
    <cfRule type="duplicateValues" dxfId="1223" priority="21036" stopIfTrue="1"/>
    <cfRule type="duplicateValues" dxfId="1222" priority="21035" stopIfTrue="1"/>
    <cfRule type="duplicateValues" dxfId="1221" priority="21020" stopIfTrue="1"/>
    <cfRule type="duplicateValues" dxfId="1220" priority="21021" stopIfTrue="1"/>
    <cfRule type="duplicateValues" dxfId="1219" priority="21022" stopIfTrue="1"/>
    <cfRule type="duplicateValues" dxfId="1218" priority="21023" stopIfTrue="1"/>
    <cfRule type="expression" dxfId="1217" priority="21024" stopIfTrue="1">
      <formula>AND(COUNTIF($D$4:$D$65536,AI141)+COUNTIF($D$1:$D$2,AI141)&gt;1,NOT(ISBLANK(AI141)))</formula>
    </cfRule>
    <cfRule type="expression" dxfId="1216" priority="21025" stopIfTrue="1">
      <formula>AND(COUNTIF($D$4:$D$65536,AI141)+COUNTIF($D$1:$D$2,AI141)&gt;1,NOT(ISBLANK(AI141)))</formula>
    </cfRule>
    <cfRule type="expression" dxfId="1215" priority="21027" stopIfTrue="1">
      <formula>AND(COUNTIF($D$8:$D$9,AI141)+COUNTIF($D$1:$D$2,AI141)+COUNTIF($D$11:$D$26,AI141)+COUNTIF($D$28:$D$65536,AI141)+COUNTIF($D$4:$D$4,AI141)&gt;1,NOT(ISBLANK(AI141)))</formula>
    </cfRule>
    <cfRule type="expression" dxfId="1214" priority="21030" stopIfTrue="1">
      <formula>AND(COUNTIF($D$297:$D$305,AI141)+COUNTIF($D$307:$D$65536,AI141)+COUNTIF($D$1:$D$2,AI141)+COUNTIF($D$8:$D$9,AI141)+COUNTIF($D$11:$D$26,AI141)+COUNTIF($D$28:$D$295,AI141)+COUNTIF($D$4:$D$4,AI141)&gt;1,NOT(ISBLANK(AI141)))</formula>
    </cfRule>
    <cfRule type="expression" dxfId="1213" priority="21031" stopIfTrue="1">
      <formula>AND(COUNTIF($D$1:$D$427,AI141)+COUNTIF($D$429:$D$449,AI141)+COUNTIF($D$451:$D$65536,AI141)&gt;1,NOT(ISBLANK(AI141)))</formula>
    </cfRule>
  </conditionalFormatting>
  <conditionalFormatting sqref="AI142:AI143 AI140">
    <cfRule type="duplicateValues" dxfId="1212" priority="34845" stopIfTrue="1"/>
    <cfRule type="duplicateValues" dxfId="1211" priority="34847" stopIfTrue="1"/>
    <cfRule type="duplicateValues" dxfId="1210" priority="34842" stopIfTrue="1"/>
    <cfRule type="duplicateValues" dxfId="1209" priority="34846" stopIfTrue="1"/>
    <cfRule type="duplicateValues" dxfId="1208" priority="34839" stopIfTrue="1"/>
    <cfRule type="duplicateValues" dxfId="1207" priority="34843" stopIfTrue="1"/>
    <cfRule type="duplicateValues" dxfId="1206" priority="34840" stopIfTrue="1"/>
    <cfRule type="duplicateValues" dxfId="1205" priority="34844" stopIfTrue="1"/>
  </conditionalFormatting>
  <conditionalFormatting sqref="AI144:AI151">
    <cfRule type="duplicateValues" dxfId="1204" priority="34748" stopIfTrue="1"/>
    <cfRule type="duplicateValues" dxfId="1203" priority="34740" stopIfTrue="1"/>
    <cfRule type="duplicateValues" dxfId="1202" priority="34743" stopIfTrue="1"/>
    <cfRule type="duplicateValues" dxfId="1201" priority="34746" stopIfTrue="1"/>
    <cfRule type="duplicateValues" dxfId="1200" priority="34753" stopIfTrue="1"/>
    <cfRule type="duplicateValues" dxfId="1199" priority="34745" stopIfTrue="1"/>
    <cfRule type="duplicateValues" dxfId="1198" priority="34792" stopIfTrue="1"/>
    <cfRule type="duplicateValues" dxfId="1197" priority="34739" stopIfTrue="1"/>
    <cfRule type="duplicateValues" dxfId="1196" priority="34752" stopIfTrue="1"/>
    <cfRule type="duplicateValues" dxfId="1195" priority="34751" stopIfTrue="1"/>
    <cfRule type="duplicateValues" dxfId="1194" priority="34750" stopIfTrue="1"/>
    <cfRule type="duplicateValues" dxfId="1193" priority="34749" stopIfTrue="1"/>
  </conditionalFormatting>
  <conditionalFormatting sqref="AI152">
    <cfRule type="duplicateValues" dxfId="1192" priority="34628" stopIfTrue="1"/>
    <cfRule type="duplicateValues" dxfId="1191" priority="34629" stopIfTrue="1"/>
    <cfRule type="duplicateValues" dxfId="1190" priority="34632" stopIfTrue="1"/>
    <cfRule type="duplicateValues" dxfId="1189" priority="34634" stopIfTrue="1"/>
    <cfRule type="duplicateValues" dxfId="1188" priority="34640" stopIfTrue="1"/>
    <cfRule type="duplicateValues" dxfId="1187" priority="34639" stopIfTrue="1"/>
    <cfRule type="duplicateValues" dxfId="1186" priority="34638" stopIfTrue="1"/>
    <cfRule type="duplicateValues" dxfId="1185" priority="34635" stopIfTrue="1"/>
    <cfRule type="duplicateValues" dxfId="1184" priority="34642" stopIfTrue="1"/>
    <cfRule type="duplicateValues" dxfId="1183" priority="34681" stopIfTrue="1"/>
    <cfRule type="duplicateValues" dxfId="1182" priority="34637" stopIfTrue="1"/>
    <cfRule type="duplicateValues" dxfId="1181" priority="34641" stopIfTrue="1"/>
  </conditionalFormatting>
  <conditionalFormatting sqref="AI153:AI158 AI160:AI161 AI163:AI164">
    <cfRule type="duplicateValues" dxfId="1180" priority="34694" stopIfTrue="1"/>
    <cfRule type="duplicateValues" dxfId="1179" priority="34695" stopIfTrue="1"/>
    <cfRule type="duplicateValues" dxfId="1178" priority="34696" stopIfTrue="1"/>
    <cfRule type="duplicateValues" dxfId="1177" priority="34735" stopIfTrue="1"/>
    <cfRule type="duplicateValues" dxfId="1176" priority="34688" stopIfTrue="1"/>
    <cfRule type="duplicateValues" dxfId="1175" priority="34689" stopIfTrue="1"/>
    <cfRule type="duplicateValues" dxfId="1174" priority="34691" stopIfTrue="1"/>
    <cfRule type="duplicateValues" dxfId="1173" priority="34692" stopIfTrue="1"/>
    <cfRule type="duplicateValues" dxfId="1172" priority="34682" stopIfTrue="1"/>
    <cfRule type="duplicateValues" dxfId="1171" priority="34683" stopIfTrue="1"/>
    <cfRule type="duplicateValues" dxfId="1170" priority="34686" stopIfTrue="1"/>
    <cfRule type="duplicateValues" dxfId="1169" priority="34693" stopIfTrue="1"/>
  </conditionalFormatting>
  <conditionalFormatting sqref="AI159">
    <cfRule type="duplicateValues" dxfId="1168" priority="34585" stopIfTrue="1"/>
    <cfRule type="duplicateValues" dxfId="1167" priority="34578" stopIfTrue="1"/>
    <cfRule type="duplicateValues" dxfId="1166" priority="34575" stopIfTrue="1"/>
    <cfRule type="duplicateValues" dxfId="1165" priority="34574" stopIfTrue="1"/>
    <cfRule type="duplicateValues" dxfId="1164" priority="34584" stopIfTrue="1"/>
    <cfRule type="duplicateValues" dxfId="1163" priority="34583" stopIfTrue="1"/>
    <cfRule type="duplicateValues" dxfId="1162" priority="34581" stopIfTrue="1"/>
    <cfRule type="duplicateValues" dxfId="1161" priority="34580" stopIfTrue="1"/>
    <cfRule type="duplicateValues" dxfId="1160" priority="34587" stopIfTrue="1"/>
    <cfRule type="duplicateValues" dxfId="1159" priority="34627" stopIfTrue="1"/>
    <cfRule type="duplicateValues" dxfId="1158" priority="34588" stopIfTrue="1"/>
    <cfRule type="duplicateValues" dxfId="1157" priority="34586" stopIfTrue="1"/>
  </conditionalFormatting>
  <conditionalFormatting sqref="AI162">
    <cfRule type="duplicateValues" dxfId="1156" priority="34533" stopIfTrue="1"/>
    <cfRule type="duplicateValues" dxfId="1155" priority="34527" stopIfTrue="1"/>
    <cfRule type="duplicateValues" dxfId="1154" priority="34573" stopIfTrue="1"/>
    <cfRule type="duplicateValues" dxfId="1153" priority="34534" stopIfTrue="1"/>
    <cfRule type="duplicateValues" dxfId="1152" priority="34529" stopIfTrue="1"/>
    <cfRule type="duplicateValues" dxfId="1151" priority="34521" stopIfTrue="1"/>
    <cfRule type="duplicateValues" dxfId="1150" priority="34526" stopIfTrue="1"/>
    <cfRule type="duplicateValues" dxfId="1149" priority="34530" stopIfTrue="1"/>
    <cfRule type="duplicateValues" dxfId="1148" priority="34520" stopIfTrue="1"/>
    <cfRule type="duplicateValues" dxfId="1147" priority="34532" stopIfTrue="1"/>
    <cfRule type="duplicateValues" dxfId="1146" priority="34524" stopIfTrue="1"/>
    <cfRule type="duplicateValues" dxfId="1145" priority="34531" stopIfTrue="1"/>
  </conditionalFormatting>
  <conditionalFormatting sqref="AI173:AI175">
    <cfRule type="duplicateValues" dxfId="1144" priority="35056" stopIfTrue="1"/>
    <cfRule type="duplicateValues" dxfId="1143" priority="35066" stopIfTrue="1"/>
    <cfRule type="duplicateValues" dxfId="1142" priority="35067" stopIfTrue="1"/>
    <cfRule type="duplicateValues" dxfId="1141" priority="35049" stopIfTrue="1"/>
    <cfRule type="duplicateValues" dxfId="1140" priority="35050" stopIfTrue="1"/>
    <cfRule type="duplicateValues" dxfId="1139" priority="35058" stopIfTrue="1"/>
    <cfRule type="duplicateValues" dxfId="1138" priority="35059" stopIfTrue="1"/>
    <cfRule type="duplicateValues" dxfId="1137" priority="35053" stopIfTrue="1"/>
    <cfRule type="duplicateValues" dxfId="1136" priority="35055" stopIfTrue="1"/>
    <cfRule type="duplicateValues" dxfId="1135" priority="35068" stopIfTrue="1"/>
    <cfRule type="duplicateValues" dxfId="1134" priority="35069" stopIfTrue="1"/>
    <cfRule type="duplicateValues" dxfId="1133" priority="35108" stopIfTrue="1"/>
  </conditionalFormatting>
  <conditionalFormatting sqref="AI176">
    <cfRule type="duplicateValues" dxfId="1132" priority="35390" stopIfTrue="1"/>
    <cfRule type="duplicateValues" dxfId="1131" priority="35388" stopIfTrue="1"/>
    <cfRule type="duplicateValues" dxfId="1130" priority="35382" stopIfTrue="1"/>
    <cfRule type="duplicateValues" dxfId="1129" priority="35389" stopIfTrue="1"/>
    <cfRule type="duplicateValues" dxfId="1128" priority="35381" stopIfTrue="1"/>
    <cfRule type="duplicateValues" dxfId="1127" priority="35379" stopIfTrue="1"/>
    <cfRule type="duplicateValues" dxfId="1126" priority="35375" stopIfTrue="1"/>
    <cfRule type="duplicateValues" dxfId="1125" priority="35376" stopIfTrue="1"/>
    <cfRule type="duplicateValues" dxfId="1124" priority="35391" stopIfTrue="1"/>
    <cfRule type="duplicateValues" dxfId="1123" priority="35430" stopIfTrue="1"/>
    <cfRule type="duplicateValues" dxfId="1122" priority="35385" stopIfTrue="1"/>
    <cfRule type="duplicateValues" dxfId="1121" priority="35384" stopIfTrue="1"/>
  </conditionalFormatting>
  <conditionalFormatting sqref="AI177">
    <cfRule type="duplicateValues" dxfId="1120" priority="34955" stopIfTrue="1"/>
    <cfRule type="duplicateValues" dxfId="1119" priority="34942" stopIfTrue="1"/>
    <cfRule type="duplicateValues" dxfId="1118" priority="34994" stopIfTrue="1"/>
    <cfRule type="duplicateValues" dxfId="1117" priority="34941" stopIfTrue="1"/>
    <cfRule type="duplicateValues" dxfId="1116" priority="34945" stopIfTrue="1"/>
    <cfRule type="duplicateValues" dxfId="1115" priority="34950" stopIfTrue="1"/>
    <cfRule type="duplicateValues" dxfId="1114" priority="34948" stopIfTrue="1"/>
    <cfRule type="duplicateValues" dxfId="1113" priority="34951" stopIfTrue="1"/>
    <cfRule type="duplicateValues" dxfId="1112" priority="34952" stopIfTrue="1"/>
    <cfRule type="duplicateValues" dxfId="1111" priority="34953" stopIfTrue="1"/>
    <cfRule type="duplicateValues" dxfId="1110" priority="34947" stopIfTrue="1"/>
    <cfRule type="duplicateValues" dxfId="1109" priority="34954" stopIfTrue="1"/>
  </conditionalFormatting>
  <conditionalFormatting sqref="AI178:AI191">
    <cfRule type="duplicateValues" dxfId="1108" priority="9312" stopIfTrue="1"/>
    <cfRule type="duplicateValues" dxfId="1107" priority="9313" stopIfTrue="1"/>
    <cfRule type="duplicateValues" dxfId="1106" priority="9314" stopIfTrue="1"/>
    <cfRule type="duplicateValues" dxfId="1105" priority="9315" stopIfTrue="1"/>
    <cfRule type="duplicateValues" dxfId="1104" priority="9320" stopIfTrue="1"/>
    <cfRule type="duplicateValues" dxfId="1103" priority="9321" stopIfTrue="1"/>
    <cfRule type="duplicateValues" dxfId="1102" priority="9307" stopIfTrue="1"/>
    <cfRule type="duplicateValues" dxfId="1101" priority="9308" stopIfTrue="1"/>
    <cfRule type="duplicateValues" dxfId="1100" priority="9309" stopIfTrue="1"/>
    <cfRule type="duplicateValues" dxfId="1099" priority="9310" stopIfTrue="1"/>
    <cfRule type="duplicateValues" dxfId="1098" priority="9311" stopIfTrue="1"/>
  </conditionalFormatting>
  <conditionalFormatting sqref="AI197">
    <cfRule type="duplicateValues" dxfId="1097" priority="33466" stopIfTrue="1"/>
    <cfRule type="duplicateValues" dxfId="1096" priority="33413" stopIfTrue="1"/>
    <cfRule type="duplicateValues" dxfId="1095" priority="33427" stopIfTrue="1"/>
    <cfRule type="duplicateValues" dxfId="1094" priority="33426" stopIfTrue="1"/>
    <cfRule type="duplicateValues" dxfId="1093" priority="33425" stopIfTrue="1"/>
    <cfRule type="duplicateValues" dxfId="1092" priority="33424" stopIfTrue="1"/>
    <cfRule type="duplicateValues" dxfId="1091" priority="33423" stopIfTrue="1"/>
    <cfRule type="duplicateValues" dxfId="1090" priority="33420" stopIfTrue="1"/>
    <cfRule type="duplicateValues" dxfId="1089" priority="33419" stopIfTrue="1"/>
    <cfRule type="duplicateValues" dxfId="1088" priority="33417" stopIfTrue="1"/>
    <cfRule type="duplicateValues" dxfId="1087" priority="33414" stopIfTrue="1"/>
    <cfRule type="duplicateValues" dxfId="1086" priority="33422" stopIfTrue="1"/>
  </conditionalFormatting>
  <conditionalFormatting sqref="AI198">
    <cfRule type="duplicateValues" dxfId="1085" priority="34466" stopIfTrue="1"/>
    <cfRule type="duplicateValues" dxfId="1084" priority="34470" stopIfTrue="1"/>
    <cfRule type="duplicateValues" dxfId="1083" priority="34467" stopIfTrue="1"/>
    <cfRule type="duplicateValues" dxfId="1082" priority="34479" stopIfTrue="1"/>
    <cfRule type="duplicateValues" dxfId="1081" priority="34478" stopIfTrue="1"/>
    <cfRule type="duplicateValues" dxfId="1080" priority="34519" stopIfTrue="1"/>
    <cfRule type="duplicateValues" dxfId="1079" priority="34480" stopIfTrue="1"/>
    <cfRule type="duplicateValues" dxfId="1078" priority="34477" stopIfTrue="1"/>
    <cfRule type="duplicateValues" dxfId="1077" priority="34476" stopIfTrue="1"/>
    <cfRule type="duplicateValues" dxfId="1076" priority="34475" stopIfTrue="1"/>
    <cfRule type="duplicateValues" dxfId="1075" priority="34473" stopIfTrue="1"/>
    <cfRule type="duplicateValues" dxfId="1074" priority="34472" stopIfTrue="1"/>
  </conditionalFormatting>
  <conditionalFormatting sqref="AI199:AI200">
    <cfRule type="duplicateValues" dxfId="1073" priority="33931" stopIfTrue="1"/>
    <cfRule type="duplicateValues" dxfId="1072" priority="33929" stopIfTrue="1"/>
    <cfRule type="duplicateValues" dxfId="1071" priority="33926" stopIfTrue="1"/>
    <cfRule type="duplicateValues" dxfId="1070" priority="33925" stopIfTrue="1"/>
    <cfRule type="duplicateValues" dxfId="1069" priority="33978" stopIfTrue="1"/>
    <cfRule type="duplicateValues" dxfId="1068" priority="33939" stopIfTrue="1"/>
    <cfRule type="duplicateValues" dxfId="1067" priority="33935" stopIfTrue="1"/>
    <cfRule type="duplicateValues" dxfId="1066" priority="33938" stopIfTrue="1"/>
    <cfRule type="duplicateValues" dxfId="1065" priority="33937" stopIfTrue="1"/>
    <cfRule type="duplicateValues" dxfId="1064" priority="33936" stopIfTrue="1"/>
    <cfRule type="duplicateValues" dxfId="1063" priority="33934" stopIfTrue="1"/>
    <cfRule type="duplicateValues" dxfId="1062" priority="33932" stopIfTrue="1"/>
  </conditionalFormatting>
  <conditionalFormatting sqref="AI201:AI202 AI204">
    <cfRule type="duplicateValues" dxfId="1061" priority="33717" stopIfTrue="1"/>
    <cfRule type="duplicateValues" dxfId="1060" priority="33722" stopIfTrue="1"/>
    <cfRule type="duplicateValues" dxfId="1059" priority="33715" stopIfTrue="1"/>
    <cfRule type="duplicateValues" dxfId="1058" priority="33721" stopIfTrue="1"/>
    <cfRule type="duplicateValues" dxfId="1057" priority="33712" stopIfTrue="1"/>
    <cfRule type="duplicateValues" dxfId="1056" priority="33761" stopIfTrue="1"/>
    <cfRule type="duplicateValues" dxfId="1055" priority="33718" stopIfTrue="1"/>
    <cfRule type="duplicateValues" dxfId="1054" priority="33719" stopIfTrue="1"/>
    <cfRule type="duplicateValues" dxfId="1053" priority="33709" stopIfTrue="1"/>
    <cfRule type="duplicateValues" dxfId="1052" priority="33708" stopIfTrue="1"/>
    <cfRule type="duplicateValues" dxfId="1051" priority="33714" stopIfTrue="1"/>
    <cfRule type="duplicateValues" dxfId="1050" priority="33720" stopIfTrue="1"/>
  </conditionalFormatting>
  <conditionalFormatting sqref="AI203">
    <cfRule type="duplicateValues" dxfId="1049" priority="33362" stopIfTrue="1"/>
    <cfRule type="duplicateValues" dxfId="1048" priority="33364" stopIfTrue="1"/>
    <cfRule type="duplicateValues" dxfId="1047" priority="33365" stopIfTrue="1"/>
    <cfRule type="duplicateValues" dxfId="1046" priority="33367" stopIfTrue="1"/>
    <cfRule type="duplicateValues" dxfId="1045" priority="33370" stopIfTrue="1"/>
    <cfRule type="duplicateValues" dxfId="1044" priority="33369" stopIfTrue="1"/>
    <cfRule type="duplicateValues" dxfId="1043" priority="33371" stopIfTrue="1"/>
    <cfRule type="duplicateValues" dxfId="1042" priority="33372" stopIfTrue="1"/>
    <cfRule type="duplicateValues" dxfId="1041" priority="33411" stopIfTrue="1"/>
    <cfRule type="duplicateValues" dxfId="1040" priority="33368" stopIfTrue="1"/>
    <cfRule type="duplicateValues" dxfId="1039" priority="33358" stopIfTrue="1"/>
    <cfRule type="duplicateValues" dxfId="1038" priority="33359" stopIfTrue="1"/>
  </conditionalFormatting>
  <conditionalFormatting sqref="AI205">
    <cfRule type="duplicateValues" dxfId="1037" priority="33600" stopIfTrue="1"/>
    <cfRule type="duplicateValues" dxfId="1036" priority="33610" stopIfTrue="1"/>
    <cfRule type="duplicateValues" dxfId="1035" priority="33614" stopIfTrue="1"/>
    <cfRule type="duplicateValues" dxfId="1034" priority="33604" stopIfTrue="1"/>
    <cfRule type="duplicateValues" dxfId="1033" priority="33601" stopIfTrue="1"/>
    <cfRule type="duplicateValues" dxfId="1032" priority="33653" stopIfTrue="1"/>
    <cfRule type="duplicateValues" dxfId="1031" priority="33606" stopIfTrue="1"/>
    <cfRule type="duplicateValues" dxfId="1030" priority="33613" stopIfTrue="1"/>
    <cfRule type="duplicateValues" dxfId="1029" priority="33607" stopIfTrue="1"/>
    <cfRule type="duplicateValues" dxfId="1028" priority="33609" stopIfTrue="1"/>
    <cfRule type="duplicateValues" dxfId="1027" priority="33612" stopIfTrue="1"/>
    <cfRule type="duplicateValues" dxfId="1026" priority="33611" stopIfTrue="1"/>
  </conditionalFormatting>
  <conditionalFormatting sqref="AI206:AI217">
    <cfRule type="duplicateValues" dxfId="1025" priority="33293" stopIfTrue="1"/>
    <cfRule type="duplicateValues" dxfId="1024" priority="33292" stopIfTrue="1"/>
  </conditionalFormatting>
  <conditionalFormatting sqref="AI211">
    <cfRule type="duplicateValues" dxfId="1023" priority="33301" stopIfTrue="1"/>
    <cfRule type="duplicateValues" dxfId="1022" priority="33302" stopIfTrue="1"/>
    <cfRule type="duplicateValues" dxfId="1021" priority="33303" stopIfTrue="1"/>
    <cfRule type="duplicateValues" dxfId="1020" priority="33304" stopIfTrue="1"/>
    <cfRule type="duplicateValues" dxfId="1019" priority="33305" stopIfTrue="1"/>
    <cfRule type="duplicateValues" dxfId="1018" priority="33306" stopIfTrue="1"/>
    <cfRule type="duplicateValues" dxfId="1017" priority="33298" stopIfTrue="1"/>
    <cfRule type="duplicateValues" dxfId="1016" priority="33296" stopIfTrue="1"/>
    <cfRule type="duplicateValues" dxfId="1015" priority="33299" stopIfTrue="1"/>
  </conditionalFormatting>
  <conditionalFormatting sqref="AI212:AI217 AI206:AI210">
    <cfRule type="duplicateValues" dxfId="1014" priority="33317" stopIfTrue="1"/>
    <cfRule type="duplicateValues" dxfId="1013" priority="33308" stopIfTrue="1"/>
    <cfRule type="duplicateValues" dxfId="1012" priority="33314" stopIfTrue="1"/>
    <cfRule type="duplicateValues" dxfId="1011" priority="33315" stopIfTrue="1"/>
    <cfRule type="duplicateValues" dxfId="1010" priority="33316" stopIfTrue="1"/>
    <cfRule type="duplicateValues" dxfId="1009" priority="33313" stopIfTrue="1"/>
    <cfRule type="duplicateValues" dxfId="1008" priority="33310" stopIfTrue="1"/>
    <cfRule type="duplicateValues" dxfId="1007" priority="33311" stopIfTrue="1"/>
    <cfRule type="duplicateValues" dxfId="1006" priority="33357" stopIfTrue="1"/>
    <cfRule type="duplicateValues" dxfId="1005" priority="33318" stopIfTrue="1"/>
  </conditionalFormatting>
  <conditionalFormatting sqref="AI238">
    <cfRule type="duplicateValues" dxfId="1004" priority="30938" stopIfTrue="1"/>
    <cfRule type="duplicateValues" dxfId="1003" priority="30950" stopIfTrue="1"/>
    <cfRule type="duplicateValues" dxfId="1002" priority="30951" stopIfTrue="1"/>
    <cfRule type="duplicateValues" dxfId="1001" priority="30941" stopIfTrue="1"/>
    <cfRule type="duplicateValues" dxfId="1000" priority="30947" stopIfTrue="1"/>
    <cfRule type="duplicateValues" dxfId="999" priority="30948" stopIfTrue="1"/>
    <cfRule type="duplicateValues" dxfId="998" priority="30944" stopIfTrue="1"/>
    <cfRule type="duplicateValues" dxfId="997" priority="30949" stopIfTrue="1"/>
    <cfRule type="duplicateValues" dxfId="996" priority="30937" stopIfTrue="1"/>
    <cfRule type="duplicateValues" dxfId="995" priority="30943" stopIfTrue="1"/>
    <cfRule type="duplicateValues" dxfId="994" priority="30946" stopIfTrue="1"/>
    <cfRule type="duplicateValues" dxfId="993" priority="30990" stopIfTrue="1"/>
  </conditionalFormatting>
  <conditionalFormatting sqref="AI239">
    <cfRule type="duplicateValues" dxfId="992" priority="30244" stopIfTrue="1"/>
    <cfRule type="duplicateValues" dxfId="991" priority="30243" stopIfTrue="1"/>
    <cfRule type="duplicateValues" dxfId="990" priority="30241" stopIfTrue="1"/>
    <cfRule type="duplicateValues" dxfId="989" priority="30238" stopIfTrue="1"/>
    <cfRule type="duplicateValues" dxfId="988" priority="30237" stopIfTrue="1"/>
    <cfRule type="duplicateValues" dxfId="987" priority="30290" stopIfTrue="1"/>
    <cfRule type="duplicateValues" dxfId="986" priority="30251" stopIfTrue="1"/>
    <cfRule type="duplicateValues" dxfId="985" priority="30250" stopIfTrue="1"/>
    <cfRule type="duplicateValues" dxfId="984" priority="30249" stopIfTrue="1"/>
    <cfRule type="duplicateValues" dxfId="983" priority="30248" stopIfTrue="1"/>
    <cfRule type="duplicateValues" dxfId="982" priority="30247" stopIfTrue="1"/>
    <cfRule type="duplicateValues" dxfId="981" priority="30246" stopIfTrue="1"/>
  </conditionalFormatting>
  <conditionalFormatting sqref="AI240">
    <cfRule type="duplicateValues" dxfId="980" priority="30293" stopIfTrue="1"/>
    <cfRule type="duplicateValues" dxfId="979" priority="30292" stopIfTrue="1"/>
    <cfRule type="duplicateValues" dxfId="978" priority="30305" stopIfTrue="1"/>
    <cfRule type="duplicateValues" dxfId="977" priority="30304" stopIfTrue="1"/>
    <cfRule type="duplicateValues" dxfId="976" priority="30306" stopIfTrue="1"/>
    <cfRule type="duplicateValues" dxfId="975" priority="30345" stopIfTrue="1"/>
    <cfRule type="duplicateValues" dxfId="974" priority="30296" stopIfTrue="1"/>
    <cfRule type="duplicateValues" dxfId="973" priority="30298" stopIfTrue="1"/>
    <cfRule type="duplicateValues" dxfId="972" priority="30299" stopIfTrue="1"/>
    <cfRule type="duplicateValues" dxfId="971" priority="30301" stopIfTrue="1"/>
    <cfRule type="duplicateValues" dxfId="970" priority="30302" stopIfTrue="1"/>
    <cfRule type="duplicateValues" dxfId="969" priority="30303" stopIfTrue="1"/>
  </conditionalFormatting>
  <conditionalFormatting sqref="AI241">
    <cfRule type="duplicateValues" dxfId="968" priority="30353" stopIfTrue="1"/>
    <cfRule type="duplicateValues" dxfId="967" priority="30400" stopIfTrue="1"/>
    <cfRule type="duplicateValues" dxfId="966" priority="30361" stopIfTrue="1"/>
    <cfRule type="duplicateValues" dxfId="965" priority="30360" stopIfTrue="1"/>
    <cfRule type="duplicateValues" dxfId="964" priority="30359" stopIfTrue="1"/>
    <cfRule type="duplicateValues" dxfId="963" priority="30358" stopIfTrue="1"/>
    <cfRule type="duplicateValues" dxfId="962" priority="30357" stopIfTrue="1"/>
    <cfRule type="duplicateValues" dxfId="961" priority="30356" stopIfTrue="1"/>
    <cfRule type="duplicateValues" dxfId="960" priority="30351" stopIfTrue="1"/>
    <cfRule type="duplicateValues" dxfId="959" priority="30354" stopIfTrue="1"/>
    <cfRule type="duplicateValues" dxfId="958" priority="30347" stopIfTrue="1"/>
    <cfRule type="duplicateValues" dxfId="957" priority="30348" stopIfTrue="1"/>
  </conditionalFormatting>
  <conditionalFormatting sqref="AI242">
    <cfRule type="duplicateValues" dxfId="956" priority="30403" stopIfTrue="1"/>
    <cfRule type="duplicateValues" dxfId="955" priority="30415" stopIfTrue="1"/>
    <cfRule type="duplicateValues" dxfId="954" priority="30409" stopIfTrue="1"/>
    <cfRule type="duplicateValues" dxfId="953" priority="30406" stopIfTrue="1"/>
    <cfRule type="duplicateValues" dxfId="952" priority="30411" stopIfTrue="1"/>
    <cfRule type="duplicateValues" dxfId="951" priority="30416" stopIfTrue="1"/>
    <cfRule type="duplicateValues" dxfId="950" priority="30412" stopIfTrue="1"/>
    <cfRule type="duplicateValues" dxfId="949" priority="30402" stopIfTrue="1"/>
    <cfRule type="duplicateValues" dxfId="948" priority="30408" stopIfTrue="1"/>
    <cfRule type="duplicateValues" dxfId="947" priority="30413" stopIfTrue="1"/>
    <cfRule type="duplicateValues" dxfId="946" priority="30414" stopIfTrue="1"/>
    <cfRule type="duplicateValues" dxfId="945" priority="30455" stopIfTrue="1"/>
  </conditionalFormatting>
  <conditionalFormatting sqref="AI243">
    <cfRule type="duplicateValues" dxfId="944" priority="30889" stopIfTrue="1"/>
    <cfRule type="duplicateValues" dxfId="943" priority="30888" stopIfTrue="1"/>
    <cfRule type="duplicateValues" dxfId="942" priority="30896" stopIfTrue="1"/>
    <cfRule type="duplicateValues" dxfId="941" priority="30935" stopIfTrue="1"/>
    <cfRule type="duplicateValues" dxfId="940" priority="30886" stopIfTrue="1"/>
    <cfRule type="duplicateValues" dxfId="939" priority="30883" stopIfTrue="1"/>
    <cfRule type="duplicateValues" dxfId="938" priority="30893" stopIfTrue="1"/>
    <cfRule type="duplicateValues" dxfId="937" priority="30895" stopIfTrue="1"/>
    <cfRule type="duplicateValues" dxfId="936" priority="30894" stopIfTrue="1"/>
    <cfRule type="duplicateValues" dxfId="935" priority="30892" stopIfTrue="1"/>
    <cfRule type="duplicateValues" dxfId="934" priority="30882" stopIfTrue="1"/>
    <cfRule type="duplicateValues" dxfId="933" priority="30891" stopIfTrue="1"/>
  </conditionalFormatting>
  <conditionalFormatting sqref="AI244">
    <cfRule type="duplicateValues" dxfId="932" priority="30837" stopIfTrue="1"/>
    <cfRule type="duplicateValues" dxfId="931" priority="30836" stopIfTrue="1"/>
    <cfRule type="duplicateValues" dxfId="930" priority="30827" stopIfTrue="1"/>
    <cfRule type="duplicateValues" dxfId="929" priority="30834" stopIfTrue="1"/>
    <cfRule type="duplicateValues" dxfId="928" priority="30833" stopIfTrue="1"/>
    <cfRule type="duplicateValues" dxfId="927" priority="30831" stopIfTrue="1"/>
    <cfRule type="duplicateValues" dxfId="926" priority="30880" stopIfTrue="1"/>
    <cfRule type="duplicateValues" dxfId="925" priority="30839" stopIfTrue="1"/>
    <cfRule type="duplicateValues" dxfId="924" priority="30828" stopIfTrue="1"/>
    <cfRule type="duplicateValues" dxfId="923" priority="30841" stopIfTrue="1"/>
    <cfRule type="duplicateValues" dxfId="922" priority="30840" stopIfTrue="1"/>
    <cfRule type="duplicateValues" dxfId="921" priority="30838" stopIfTrue="1"/>
  </conditionalFormatting>
  <conditionalFormatting sqref="AI245">
    <cfRule type="duplicateValues" dxfId="920" priority="30684" stopIfTrue="1"/>
    <cfRule type="duplicateValues" dxfId="919" priority="30678" stopIfTrue="1"/>
    <cfRule type="duplicateValues" dxfId="918" priority="30679" stopIfTrue="1"/>
    <cfRule type="duplicateValues" dxfId="917" priority="30682" stopIfTrue="1"/>
    <cfRule type="duplicateValues" dxfId="916" priority="30685" stopIfTrue="1"/>
    <cfRule type="duplicateValues" dxfId="915" priority="30687" stopIfTrue="1"/>
    <cfRule type="duplicateValues" dxfId="914" priority="30688" stopIfTrue="1"/>
    <cfRule type="duplicateValues" dxfId="913" priority="30696" stopIfTrue="1"/>
    <cfRule type="duplicateValues" dxfId="912" priority="30697" stopIfTrue="1"/>
    <cfRule type="duplicateValues" dxfId="911" priority="30698" stopIfTrue="1"/>
    <cfRule type="duplicateValues" dxfId="910" priority="30699" stopIfTrue="1"/>
    <cfRule type="duplicateValues" dxfId="909" priority="30738" stopIfTrue="1"/>
  </conditionalFormatting>
  <conditionalFormatting sqref="AI246">
    <cfRule type="duplicateValues" dxfId="908" priority="30628" stopIfTrue="1"/>
    <cfRule type="duplicateValues" dxfId="907" priority="30629" stopIfTrue="1"/>
    <cfRule type="duplicateValues" dxfId="906" priority="30631" stopIfTrue="1"/>
    <cfRule type="duplicateValues" dxfId="905" priority="30632" stopIfTrue="1"/>
    <cfRule type="duplicateValues" dxfId="904" priority="30633" stopIfTrue="1"/>
    <cfRule type="duplicateValues" dxfId="903" priority="30622" stopIfTrue="1"/>
    <cfRule type="duplicateValues" dxfId="902" priority="30623" stopIfTrue="1"/>
    <cfRule type="duplicateValues" dxfId="901" priority="30636" stopIfTrue="1"/>
    <cfRule type="duplicateValues" dxfId="900" priority="30675" stopIfTrue="1"/>
    <cfRule type="duplicateValues" dxfId="899" priority="30626" stopIfTrue="1"/>
    <cfRule type="duplicateValues" dxfId="898" priority="30635" stopIfTrue="1"/>
    <cfRule type="duplicateValues" dxfId="897" priority="30634" stopIfTrue="1"/>
  </conditionalFormatting>
  <conditionalFormatting sqref="AI247">
    <cfRule type="duplicateValues" dxfId="896" priority="30568" stopIfTrue="1"/>
    <cfRule type="duplicateValues" dxfId="895" priority="30620" stopIfTrue="1"/>
    <cfRule type="duplicateValues" dxfId="894" priority="30581" stopIfTrue="1"/>
    <cfRule type="duplicateValues" dxfId="893" priority="30580" stopIfTrue="1"/>
    <cfRule type="duplicateValues" dxfId="892" priority="30579" stopIfTrue="1"/>
    <cfRule type="duplicateValues" dxfId="891" priority="30578" stopIfTrue="1"/>
    <cfRule type="duplicateValues" dxfId="890" priority="30577" stopIfTrue="1"/>
    <cfRule type="duplicateValues" dxfId="889" priority="30576" stopIfTrue="1"/>
    <cfRule type="duplicateValues" dxfId="888" priority="30574" stopIfTrue="1"/>
    <cfRule type="duplicateValues" dxfId="887" priority="30573" stopIfTrue="1"/>
    <cfRule type="duplicateValues" dxfId="886" priority="30571" stopIfTrue="1"/>
    <cfRule type="duplicateValues" dxfId="885" priority="30567" stopIfTrue="1"/>
  </conditionalFormatting>
  <conditionalFormatting sqref="AI248">
    <cfRule type="duplicateValues" dxfId="884" priority="30524" stopIfTrue="1"/>
    <cfRule type="duplicateValues" dxfId="883" priority="30518" stopIfTrue="1"/>
    <cfRule type="duplicateValues" dxfId="882" priority="30523" stopIfTrue="1"/>
    <cfRule type="duplicateValues" dxfId="881" priority="30516" stopIfTrue="1"/>
    <cfRule type="duplicateValues" dxfId="880" priority="30513" stopIfTrue="1"/>
    <cfRule type="duplicateValues" dxfId="879" priority="30512" stopIfTrue="1"/>
    <cfRule type="duplicateValues" dxfId="878" priority="30565" stopIfTrue="1"/>
    <cfRule type="duplicateValues" dxfId="877" priority="30522" stopIfTrue="1"/>
    <cfRule type="duplicateValues" dxfId="876" priority="30521" stopIfTrue="1"/>
    <cfRule type="duplicateValues" dxfId="875" priority="30519" stopIfTrue="1"/>
    <cfRule type="duplicateValues" dxfId="874" priority="30526" stopIfTrue="1"/>
    <cfRule type="duplicateValues" dxfId="873" priority="30525" stopIfTrue="1"/>
  </conditionalFormatting>
  <conditionalFormatting sqref="AI249">
    <cfRule type="duplicateValues" dxfId="872" priority="30461" stopIfTrue="1"/>
    <cfRule type="duplicateValues" dxfId="871" priority="30458" stopIfTrue="1"/>
    <cfRule type="duplicateValues" dxfId="870" priority="30464" stopIfTrue="1"/>
    <cfRule type="duplicateValues" dxfId="869" priority="30470" stopIfTrue="1"/>
    <cfRule type="duplicateValues" dxfId="868" priority="30466" stopIfTrue="1"/>
    <cfRule type="duplicateValues" dxfId="867" priority="30467" stopIfTrue="1"/>
    <cfRule type="duplicateValues" dxfId="866" priority="30468" stopIfTrue="1"/>
    <cfRule type="duplicateValues" dxfId="865" priority="30469" stopIfTrue="1"/>
    <cfRule type="duplicateValues" dxfId="864" priority="30471" stopIfTrue="1"/>
    <cfRule type="duplicateValues" dxfId="863" priority="30510" stopIfTrue="1"/>
    <cfRule type="duplicateValues" dxfId="862" priority="30463" stopIfTrue="1"/>
    <cfRule type="duplicateValues" dxfId="861" priority="30457" stopIfTrue="1"/>
  </conditionalFormatting>
  <conditionalFormatting sqref="AI250">
    <cfRule type="duplicateValues" dxfId="860" priority="30769" stopIfTrue="1"/>
    <cfRule type="duplicateValues" dxfId="859" priority="30768" stopIfTrue="1"/>
    <cfRule type="duplicateValues" dxfId="858" priority="30767" stopIfTrue="1"/>
    <cfRule type="duplicateValues" dxfId="857" priority="30760" stopIfTrue="1"/>
    <cfRule type="duplicateValues" dxfId="856" priority="30759" stopIfTrue="1"/>
    <cfRule type="duplicateValues" dxfId="855" priority="30757" stopIfTrue="1"/>
    <cfRule type="duplicateValues" dxfId="854" priority="30756" stopIfTrue="1"/>
    <cfRule type="duplicateValues" dxfId="853" priority="30751" stopIfTrue="1"/>
    <cfRule type="duplicateValues" dxfId="852" priority="30754" stopIfTrue="1"/>
    <cfRule type="duplicateValues" dxfId="851" priority="30808" stopIfTrue="1"/>
    <cfRule type="duplicateValues" dxfId="850" priority="30750" stopIfTrue="1"/>
    <cfRule type="duplicateValues" dxfId="849" priority="30766" stopIfTrue="1"/>
  </conditionalFormatting>
  <conditionalFormatting sqref="AI251">
    <cfRule type="duplicateValues" dxfId="848" priority="30186" stopIfTrue="1"/>
    <cfRule type="duplicateValues" dxfId="847" priority="30196" stopIfTrue="1"/>
    <cfRule type="duplicateValues" dxfId="846" priority="30182" stopIfTrue="1"/>
    <cfRule type="duplicateValues" dxfId="845" priority="30183" stopIfTrue="1"/>
    <cfRule type="duplicateValues" dxfId="844" priority="30188" stopIfTrue="1"/>
    <cfRule type="duplicateValues" dxfId="843" priority="30189" stopIfTrue="1"/>
    <cfRule type="duplicateValues" dxfId="842" priority="30191" stopIfTrue="1"/>
    <cfRule type="duplicateValues" dxfId="841" priority="30192" stopIfTrue="1"/>
    <cfRule type="duplicateValues" dxfId="840" priority="30193" stopIfTrue="1"/>
    <cfRule type="duplicateValues" dxfId="839" priority="30194" stopIfTrue="1"/>
    <cfRule type="duplicateValues" dxfId="838" priority="30195" stopIfTrue="1"/>
    <cfRule type="duplicateValues" dxfId="837" priority="30235" stopIfTrue="1"/>
  </conditionalFormatting>
  <conditionalFormatting sqref="AI252">
    <cfRule type="duplicateValues" dxfId="836" priority="29905" stopIfTrue="1"/>
    <cfRule type="duplicateValues" dxfId="835" priority="29866" stopIfTrue="1"/>
    <cfRule type="duplicateValues" dxfId="834" priority="29865" stopIfTrue="1"/>
    <cfRule type="duplicateValues" dxfId="833" priority="29863" stopIfTrue="1"/>
    <cfRule type="duplicateValues" dxfId="832" priority="29862" stopIfTrue="1"/>
    <cfRule type="duplicateValues" dxfId="831" priority="29864" stopIfTrue="1"/>
    <cfRule type="duplicateValues" dxfId="830" priority="29859" stopIfTrue="1"/>
    <cfRule type="duplicateValues" dxfId="829" priority="29858" stopIfTrue="1"/>
    <cfRule type="duplicateValues" dxfId="828" priority="29852" stopIfTrue="1"/>
    <cfRule type="duplicateValues" dxfId="827" priority="29853" stopIfTrue="1"/>
    <cfRule type="duplicateValues" dxfId="826" priority="29861" stopIfTrue="1"/>
    <cfRule type="duplicateValues" dxfId="825" priority="29856" stopIfTrue="1"/>
  </conditionalFormatting>
  <conditionalFormatting sqref="AI253">
    <cfRule type="duplicateValues" dxfId="824" priority="30073" stopIfTrue="1"/>
    <cfRule type="duplicateValues" dxfId="823" priority="30072" stopIfTrue="1"/>
    <cfRule type="duplicateValues" dxfId="822" priority="30078" stopIfTrue="1"/>
    <cfRule type="duplicateValues" dxfId="821" priority="30079" stopIfTrue="1"/>
    <cfRule type="duplicateValues" dxfId="820" priority="30082" stopIfTrue="1"/>
    <cfRule type="duplicateValues" dxfId="819" priority="30083" stopIfTrue="1"/>
    <cfRule type="duplicateValues" dxfId="818" priority="30085" stopIfTrue="1"/>
    <cfRule type="duplicateValues" dxfId="817" priority="30086" stopIfTrue="1"/>
    <cfRule type="duplicateValues" dxfId="816" priority="30125" stopIfTrue="1"/>
    <cfRule type="duplicateValues" dxfId="815" priority="30084" stopIfTrue="1"/>
    <cfRule type="duplicateValues" dxfId="814" priority="30076" stopIfTrue="1"/>
    <cfRule type="duplicateValues" dxfId="813" priority="30081" stopIfTrue="1"/>
  </conditionalFormatting>
  <conditionalFormatting sqref="AI254:AI274 AI1:AI237 AI277:AI490 AI492:AI65536">
    <cfRule type="duplicateValues" dxfId="812" priority="31021" stopIfTrue="1"/>
  </conditionalFormatting>
  <conditionalFormatting sqref="AI275:AI276">
    <cfRule type="duplicateValues" dxfId="811" priority="30024" stopIfTrue="1"/>
    <cfRule type="duplicateValues" dxfId="810" priority="30030" stopIfTrue="1"/>
    <cfRule type="duplicateValues" dxfId="809" priority="30026" stopIfTrue="1"/>
    <cfRule type="duplicateValues" dxfId="808" priority="30027" stopIfTrue="1"/>
    <cfRule type="duplicateValues" dxfId="807" priority="30028" stopIfTrue="1"/>
    <cfRule type="duplicateValues" dxfId="806" priority="30017" stopIfTrue="1"/>
    <cfRule type="duplicateValues" dxfId="805" priority="30018" stopIfTrue="1"/>
    <cfRule type="duplicateValues" dxfId="804" priority="30029" stopIfTrue="1"/>
    <cfRule type="duplicateValues" dxfId="803" priority="30031" stopIfTrue="1"/>
    <cfRule type="duplicateValues" dxfId="802" priority="30021" stopIfTrue="1"/>
    <cfRule type="duplicateValues" dxfId="801" priority="30070" stopIfTrue="1"/>
    <cfRule type="duplicateValues" dxfId="800" priority="30023" stopIfTrue="1"/>
  </conditionalFormatting>
  <conditionalFormatting sqref="AI281">
    <cfRule type="duplicateValues" dxfId="799" priority="32617" stopIfTrue="1"/>
    <cfRule type="duplicateValues" dxfId="798" priority="32622" stopIfTrue="1"/>
    <cfRule type="duplicateValues" dxfId="797" priority="32637" stopIfTrue="1"/>
    <cfRule type="duplicateValues" dxfId="796" priority="32612" stopIfTrue="1"/>
    <cfRule type="duplicateValues" dxfId="795" priority="32623" stopIfTrue="1"/>
    <cfRule type="duplicateValues" dxfId="794" priority="32625" stopIfTrue="1"/>
    <cfRule type="duplicateValues" dxfId="793" priority="32624" stopIfTrue="1"/>
    <cfRule type="duplicateValues" dxfId="792" priority="32618" stopIfTrue="1"/>
    <cfRule type="duplicateValues" dxfId="791" priority="32620" stopIfTrue="1"/>
    <cfRule type="duplicateValues" dxfId="790" priority="32615" stopIfTrue="1"/>
    <cfRule type="duplicateValues" dxfId="789" priority="32611" stopIfTrue="1"/>
    <cfRule type="duplicateValues" dxfId="788" priority="32621" stopIfTrue="1"/>
  </conditionalFormatting>
  <conditionalFormatting sqref="AI282">
    <cfRule type="duplicateValues" dxfId="787" priority="33291" stopIfTrue="1"/>
    <cfRule type="duplicateValues" dxfId="786" priority="33250" stopIfTrue="1"/>
    <cfRule type="duplicateValues" dxfId="785" priority="33251" stopIfTrue="1"/>
    <cfRule type="duplicateValues" dxfId="784" priority="33252" stopIfTrue="1"/>
    <cfRule type="duplicateValues" dxfId="783" priority="33238" stopIfTrue="1"/>
    <cfRule type="duplicateValues" dxfId="782" priority="33239" stopIfTrue="1"/>
    <cfRule type="duplicateValues" dxfId="781" priority="33242" stopIfTrue="1"/>
    <cfRule type="duplicateValues" dxfId="780" priority="33244" stopIfTrue="1"/>
    <cfRule type="duplicateValues" dxfId="779" priority="33245" stopIfTrue="1"/>
    <cfRule type="duplicateValues" dxfId="778" priority="33247" stopIfTrue="1"/>
    <cfRule type="duplicateValues" dxfId="777" priority="33248" stopIfTrue="1"/>
    <cfRule type="duplicateValues" dxfId="776" priority="33249" stopIfTrue="1"/>
  </conditionalFormatting>
  <conditionalFormatting sqref="AI283:AI284">
    <cfRule type="duplicateValues" dxfId="775" priority="33130" stopIfTrue="1"/>
    <cfRule type="duplicateValues" dxfId="774" priority="33131" stopIfTrue="1"/>
    <cfRule type="duplicateValues" dxfId="773" priority="33134" stopIfTrue="1"/>
    <cfRule type="duplicateValues" dxfId="772" priority="33144" stopIfTrue="1"/>
    <cfRule type="duplicateValues" dxfId="771" priority="33183" stopIfTrue="1"/>
    <cfRule type="duplicateValues" dxfId="770" priority="33143" stopIfTrue="1"/>
    <cfRule type="duplicateValues" dxfId="769" priority="33142" stopIfTrue="1"/>
    <cfRule type="duplicateValues" dxfId="768" priority="33141" stopIfTrue="1"/>
    <cfRule type="duplicateValues" dxfId="767" priority="33140" stopIfTrue="1"/>
    <cfRule type="duplicateValues" dxfId="766" priority="33139" stopIfTrue="1"/>
    <cfRule type="duplicateValues" dxfId="765" priority="33137" stopIfTrue="1"/>
    <cfRule type="duplicateValues" dxfId="764" priority="33136" stopIfTrue="1"/>
  </conditionalFormatting>
  <conditionalFormatting sqref="AI285">
    <cfRule type="duplicateValues" dxfId="763" priority="33077" stopIfTrue="1"/>
    <cfRule type="duplicateValues" dxfId="762" priority="33080" stopIfTrue="1"/>
    <cfRule type="duplicateValues" dxfId="761" priority="33129" stopIfTrue="1"/>
    <cfRule type="duplicateValues" dxfId="760" priority="33082" stopIfTrue="1"/>
    <cfRule type="duplicateValues" dxfId="759" priority="33083" stopIfTrue="1"/>
    <cfRule type="duplicateValues" dxfId="758" priority="33085" stopIfTrue="1"/>
    <cfRule type="duplicateValues" dxfId="757" priority="33087" stopIfTrue="1"/>
    <cfRule type="duplicateValues" dxfId="756" priority="33076" stopIfTrue="1"/>
    <cfRule type="duplicateValues" dxfId="755" priority="33088" stopIfTrue="1"/>
    <cfRule type="duplicateValues" dxfId="754" priority="33090" stopIfTrue="1"/>
    <cfRule type="duplicateValues" dxfId="753" priority="33089" stopIfTrue="1"/>
    <cfRule type="duplicateValues" dxfId="752" priority="33086" stopIfTrue="1"/>
  </conditionalFormatting>
  <conditionalFormatting sqref="AI286:AI299">
    <cfRule type="duplicateValues" dxfId="751" priority="32793" stopIfTrue="1"/>
    <cfRule type="duplicateValues" dxfId="750" priority="32792" stopIfTrue="1"/>
    <cfRule type="duplicateValues" dxfId="749" priority="32790" stopIfTrue="1"/>
    <cfRule type="duplicateValues" dxfId="748" priority="32798" stopIfTrue="1"/>
    <cfRule type="duplicateValues" dxfId="747" priority="32787" stopIfTrue="1"/>
    <cfRule type="duplicateValues" dxfId="746" priority="32797" stopIfTrue="1"/>
    <cfRule type="duplicateValues" dxfId="745" priority="32786" stopIfTrue="1"/>
    <cfRule type="duplicateValues" dxfId="744" priority="32796" stopIfTrue="1"/>
    <cfRule type="duplicateValues" dxfId="743" priority="32799" stopIfTrue="1"/>
    <cfRule type="duplicateValues" dxfId="742" priority="32800" stopIfTrue="1"/>
    <cfRule type="duplicateValues" dxfId="741" priority="32839" stopIfTrue="1"/>
    <cfRule type="duplicateValues" dxfId="740" priority="32795" stopIfTrue="1"/>
  </conditionalFormatting>
  <conditionalFormatting sqref="AI291">
    <cfRule type="duplicateValues" dxfId="739" priority="32749" stopIfTrue="1"/>
    <cfRule type="duplicateValues" dxfId="738" priority="32769" stopIfTrue="1"/>
  </conditionalFormatting>
  <conditionalFormatting sqref="AI299">
    <cfRule type="duplicateValues" dxfId="737" priority="29787" stopIfTrue="1"/>
    <cfRule type="duplicateValues" dxfId="736" priority="29784" stopIfTrue="1"/>
    <cfRule type="duplicateValues" dxfId="735" priority="29785" stopIfTrue="1"/>
    <cfRule type="duplicateValues" dxfId="734" priority="29786" stopIfTrue="1"/>
    <cfRule type="duplicateValues" dxfId="733" priority="29792" stopIfTrue="1"/>
    <cfRule type="duplicateValues" dxfId="732" priority="29788" stopIfTrue="1"/>
    <cfRule type="duplicateValues" dxfId="731" priority="29789" stopIfTrue="1"/>
    <cfRule type="duplicateValues" dxfId="730" priority="29790" stopIfTrue="1"/>
    <cfRule type="duplicateValues" dxfId="729" priority="29791" stopIfTrue="1"/>
    <cfRule type="duplicateValues" dxfId="728" priority="29793" stopIfTrue="1"/>
    <cfRule type="duplicateValues" dxfId="727" priority="29794" stopIfTrue="1"/>
    <cfRule type="duplicateValues" dxfId="726" priority="29795" stopIfTrue="1"/>
  </conditionalFormatting>
  <conditionalFormatting sqref="AI372">
    <cfRule type="duplicateValues" dxfId="725" priority="32564" stopIfTrue="1"/>
    <cfRule type="duplicateValues" dxfId="724" priority="32565" stopIfTrue="1"/>
    <cfRule type="duplicateValues" dxfId="723" priority="32555" stopIfTrue="1"/>
    <cfRule type="duplicateValues" dxfId="722" priority="32571" stopIfTrue="1"/>
    <cfRule type="duplicateValues" dxfId="721" priority="32568" stopIfTrue="1"/>
    <cfRule type="duplicateValues" dxfId="720" priority="32561" stopIfTrue="1"/>
    <cfRule type="duplicateValues" dxfId="719" priority="32556" stopIfTrue="1"/>
    <cfRule type="duplicateValues" dxfId="718" priority="32562" stopIfTrue="1"/>
    <cfRule type="duplicateValues" dxfId="717" priority="32559" stopIfTrue="1"/>
    <cfRule type="duplicateValues" dxfId="716" priority="32570" stopIfTrue="1"/>
    <cfRule type="duplicateValues" dxfId="715" priority="32610" stopIfTrue="1"/>
    <cfRule type="duplicateValues" dxfId="714" priority="32569" stopIfTrue="1"/>
  </conditionalFormatting>
  <conditionalFormatting sqref="AI373">
    <cfRule type="duplicateValues" dxfId="713" priority="32554" stopIfTrue="1"/>
    <cfRule type="duplicateValues" dxfId="712" priority="32512" stopIfTrue="1"/>
    <cfRule type="duplicateValues" dxfId="711" priority="32500" stopIfTrue="1"/>
    <cfRule type="duplicateValues" dxfId="710" priority="32514" stopIfTrue="1"/>
    <cfRule type="duplicateValues" dxfId="709" priority="32513" stopIfTrue="1"/>
    <cfRule type="duplicateValues" dxfId="708" priority="32506" stopIfTrue="1"/>
    <cfRule type="duplicateValues" dxfId="707" priority="32503" stopIfTrue="1"/>
    <cfRule type="duplicateValues" dxfId="706" priority="32509" stopIfTrue="1"/>
    <cfRule type="duplicateValues" dxfId="705" priority="32499" stopIfTrue="1"/>
    <cfRule type="duplicateValues" dxfId="704" priority="32505" stopIfTrue="1"/>
    <cfRule type="duplicateValues" dxfId="703" priority="32508" stopIfTrue="1"/>
    <cfRule type="duplicateValues" dxfId="702" priority="32515" stopIfTrue="1"/>
  </conditionalFormatting>
  <conditionalFormatting sqref="AI385:AI386">
    <cfRule type="duplicateValues" dxfId="701" priority="32449" stopIfTrue="1"/>
    <cfRule type="duplicateValues" dxfId="700" priority="32448" stopIfTrue="1"/>
    <cfRule type="duplicateValues" dxfId="699" priority="32446" stopIfTrue="1"/>
    <cfRule type="duplicateValues" dxfId="698" priority="32445" stopIfTrue="1"/>
    <cfRule type="duplicateValues" dxfId="697" priority="32443" stopIfTrue="1"/>
    <cfRule type="duplicateValues" dxfId="696" priority="32440" stopIfTrue="1"/>
    <cfRule type="duplicateValues" dxfId="695" priority="32439" stopIfTrue="1"/>
    <cfRule type="duplicateValues" dxfId="694" priority="32498" stopIfTrue="1"/>
    <cfRule type="duplicateValues" dxfId="693" priority="32459" stopIfTrue="1"/>
    <cfRule type="duplicateValues" dxfId="692" priority="32458" stopIfTrue="1"/>
    <cfRule type="duplicateValues" dxfId="691" priority="32457" stopIfTrue="1"/>
    <cfRule type="duplicateValues" dxfId="690" priority="32456" stopIfTrue="1"/>
  </conditionalFormatting>
  <conditionalFormatting sqref="AI391">
    <cfRule type="duplicateValues" dxfId="689" priority="32398" stopIfTrue="1"/>
    <cfRule type="duplicateValues" dxfId="688" priority="32397" stopIfTrue="1"/>
    <cfRule type="duplicateValues" dxfId="687" priority="32396" stopIfTrue="1"/>
    <cfRule type="duplicateValues" dxfId="686" priority="32393" stopIfTrue="1"/>
    <cfRule type="duplicateValues" dxfId="685" priority="32392" stopIfTrue="1"/>
    <cfRule type="duplicateValues" dxfId="684" priority="32390" stopIfTrue="1"/>
    <cfRule type="duplicateValues" dxfId="683" priority="32389" stopIfTrue="1"/>
    <cfRule type="duplicateValues" dxfId="682" priority="32387" stopIfTrue="1"/>
    <cfRule type="duplicateValues" dxfId="681" priority="32384" stopIfTrue="1"/>
    <cfRule type="duplicateValues" dxfId="680" priority="32383" stopIfTrue="1"/>
    <cfRule type="duplicateValues" dxfId="679" priority="32438" stopIfTrue="1"/>
    <cfRule type="duplicateValues" dxfId="678" priority="32399" stopIfTrue="1"/>
  </conditionalFormatting>
  <conditionalFormatting sqref="AI393">
    <cfRule type="duplicateValues" dxfId="677" priority="32342" stopIfTrue="1"/>
    <cfRule type="duplicateValues" dxfId="676" priority="32341" stopIfTrue="1"/>
    <cfRule type="duplicateValues" dxfId="675" priority="32329" stopIfTrue="1"/>
    <cfRule type="duplicateValues" dxfId="674" priority="32340" stopIfTrue="1"/>
    <cfRule type="duplicateValues" dxfId="673" priority="32330" stopIfTrue="1"/>
    <cfRule type="duplicateValues" dxfId="672" priority="32332" stopIfTrue="1"/>
    <cfRule type="duplicateValues" dxfId="671" priority="32327" stopIfTrue="1"/>
    <cfRule type="duplicateValues" dxfId="670" priority="32324" stopIfTrue="1"/>
    <cfRule type="duplicateValues" dxfId="669" priority="32323" stopIfTrue="1"/>
    <cfRule type="duplicateValues" dxfId="668" priority="32333" stopIfTrue="1"/>
    <cfRule type="duplicateValues" dxfId="667" priority="32382" stopIfTrue="1"/>
    <cfRule type="duplicateValues" dxfId="666" priority="32343" stopIfTrue="1"/>
  </conditionalFormatting>
  <conditionalFormatting sqref="AI396">
    <cfRule type="duplicateValues" dxfId="665" priority="32261" stopIfTrue="1"/>
    <cfRule type="duplicateValues" dxfId="664" priority="32265" stopIfTrue="1"/>
    <cfRule type="duplicateValues" dxfId="663" priority="32271" stopIfTrue="1"/>
    <cfRule type="duplicateValues" dxfId="662" priority="32270" stopIfTrue="1"/>
    <cfRule type="duplicateValues" dxfId="661" priority="32262" stopIfTrue="1"/>
    <cfRule type="duplicateValues" dxfId="660" priority="32280" stopIfTrue="1"/>
    <cfRule type="duplicateValues" dxfId="659" priority="32281" stopIfTrue="1"/>
    <cfRule type="duplicateValues" dxfId="658" priority="32282" stopIfTrue="1"/>
    <cfRule type="duplicateValues" dxfId="657" priority="32283" stopIfTrue="1"/>
    <cfRule type="duplicateValues" dxfId="656" priority="32268" stopIfTrue="1"/>
    <cfRule type="duplicateValues" dxfId="655" priority="32322" stopIfTrue="1"/>
    <cfRule type="duplicateValues" dxfId="654" priority="32267" stopIfTrue="1"/>
  </conditionalFormatting>
  <conditionalFormatting sqref="AI405">
    <cfRule type="duplicateValues" dxfId="653" priority="32211" stopIfTrue="1"/>
    <cfRule type="duplicateValues" dxfId="652" priority="32213" stopIfTrue="1"/>
    <cfRule type="duplicateValues" dxfId="651" priority="32214" stopIfTrue="1"/>
    <cfRule type="duplicateValues" dxfId="650" priority="32219" stopIfTrue="1"/>
    <cfRule type="duplicateValues" dxfId="649" priority="32218" stopIfTrue="1"/>
    <cfRule type="duplicateValues" dxfId="648" priority="32217" stopIfTrue="1"/>
    <cfRule type="duplicateValues" dxfId="647" priority="32220" stopIfTrue="1"/>
    <cfRule type="duplicateValues" dxfId="646" priority="32259" stopIfTrue="1"/>
    <cfRule type="duplicateValues" dxfId="645" priority="32210" stopIfTrue="1"/>
    <cfRule type="duplicateValues" dxfId="644" priority="32204" stopIfTrue="1"/>
    <cfRule type="duplicateValues" dxfId="643" priority="32205" stopIfTrue="1"/>
    <cfRule type="duplicateValues" dxfId="642" priority="32208" stopIfTrue="1"/>
  </conditionalFormatting>
  <conditionalFormatting sqref="AI406">
    <cfRule type="duplicateValues" dxfId="641" priority="32158" stopIfTrue="1"/>
    <cfRule type="duplicateValues" dxfId="640" priority="32163" stopIfTrue="1"/>
    <cfRule type="duplicateValues" dxfId="639" priority="32148" stopIfTrue="1"/>
    <cfRule type="duplicateValues" dxfId="638" priority="32161" stopIfTrue="1"/>
    <cfRule type="duplicateValues" dxfId="637" priority="32162" stopIfTrue="1"/>
    <cfRule type="duplicateValues" dxfId="636" priority="32164" stopIfTrue="1"/>
    <cfRule type="duplicateValues" dxfId="635" priority="32152" stopIfTrue="1"/>
    <cfRule type="duplicateValues" dxfId="634" priority="32203" stopIfTrue="1"/>
    <cfRule type="duplicateValues" dxfId="633" priority="32154" stopIfTrue="1"/>
    <cfRule type="duplicateValues" dxfId="632" priority="32155" stopIfTrue="1"/>
    <cfRule type="duplicateValues" dxfId="631" priority="32149" stopIfTrue="1"/>
    <cfRule type="duplicateValues" dxfId="630" priority="32157" stopIfTrue="1"/>
  </conditionalFormatting>
  <conditionalFormatting sqref="AI407">
    <cfRule type="duplicateValues" dxfId="629" priority="32092" stopIfTrue="1"/>
    <cfRule type="duplicateValues" dxfId="628" priority="32099" stopIfTrue="1"/>
    <cfRule type="duplicateValues" dxfId="627" priority="32108" stopIfTrue="1"/>
    <cfRule type="duplicateValues" dxfId="626" priority="32093" stopIfTrue="1"/>
    <cfRule type="duplicateValues" dxfId="625" priority="32098" stopIfTrue="1"/>
    <cfRule type="duplicateValues" dxfId="624" priority="32101" stopIfTrue="1"/>
    <cfRule type="duplicateValues" dxfId="623" priority="32102" stopIfTrue="1"/>
    <cfRule type="duplicateValues" dxfId="622" priority="32105" stopIfTrue="1"/>
    <cfRule type="duplicateValues" dxfId="621" priority="32106" stopIfTrue="1"/>
    <cfRule type="duplicateValues" dxfId="620" priority="32107" stopIfTrue="1"/>
    <cfRule type="duplicateValues" dxfId="619" priority="32096" stopIfTrue="1"/>
    <cfRule type="duplicateValues" dxfId="618" priority="32147" stopIfTrue="1"/>
  </conditionalFormatting>
  <conditionalFormatting sqref="AI411">
    <cfRule type="duplicateValues" dxfId="617" priority="32045" stopIfTrue="1"/>
    <cfRule type="duplicateValues" dxfId="616" priority="32046" stopIfTrue="1"/>
    <cfRule type="duplicateValues" dxfId="615" priority="32049" stopIfTrue="1"/>
    <cfRule type="duplicateValues" dxfId="614" priority="32050" stopIfTrue="1"/>
    <cfRule type="duplicateValues" dxfId="613" priority="32051" stopIfTrue="1"/>
    <cfRule type="duplicateValues" dxfId="612" priority="32052" stopIfTrue="1"/>
    <cfRule type="duplicateValues" dxfId="611" priority="32091" stopIfTrue="1"/>
    <cfRule type="duplicateValues" dxfId="610" priority="32040" stopIfTrue="1"/>
    <cfRule type="duplicateValues" dxfId="609" priority="32036" stopIfTrue="1"/>
    <cfRule type="duplicateValues" dxfId="608" priority="32037" stopIfTrue="1"/>
    <cfRule type="duplicateValues" dxfId="607" priority="32042" stopIfTrue="1"/>
    <cfRule type="duplicateValues" dxfId="606" priority="32043" stopIfTrue="1"/>
  </conditionalFormatting>
  <conditionalFormatting sqref="AI413">
    <cfRule type="duplicateValues" dxfId="605" priority="31981" stopIfTrue="1"/>
    <cfRule type="duplicateValues" dxfId="604" priority="31989" stopIfTrue="1"/>
    <cfRule type="duplicateValues" dxfId="603" priority="31987" stopIfTrue="1"/>
    <cfRule type="duplicateValues" dxfId="602" priority="31995" stopIfTrue="1"/>
    <cfRule type="duplicateValues" dxfId="601" priority="32035" stopIfTrue="1"/>
    <cfRule type="duplicateValues" dxfId="600" priority="31984" stopIfTrue="1"/>
    <cfRule type="duplicateValues" dxfId="599" priority="31986" stopIfTrue="1"/>
    <cfRule type="duplicateValues" dxfId="598" priority="31994" stopIfTrue="1"/>
    <cfRule type="duplicateValues" dxfId="597" priority="31993" stopIfTrue="1"/>
    <cfRule type="duplicateValues" dxfId="596" priority="31980" stopIfTrue="1"/>
    <cfRule type="duplicateValues" dxfId="595" priority="31990" stopIfTrue="1"/>
    <cfRule type="duplicateValues" dxfId="594" priority="31996" stopIfTrue="1"/>
  </conditionalFormatting>
  <conditionalFormatting sqref="AI417">
    <cfRule type="duplicateValues" dxfId="593" priority="31927" stopIfTrue="1"/>
    <cfRule type="duplicateValues" dxfId="592" priority="31925" stopIfTrue="1"/>
    <cfRule type="duplicateValues" dxfId="591" priority="31926" stopIfTrue="1"/>
    <cfRule type="duplicateValues" dxfId="590" priority="31921" stopIfTrue="1"/>
    <cfRule type="duplicateValues" dxfId="589" priority="31968" stopIfTrue="1"/>
    <cfRule type="duplicateValues" dxfId="588" priority="31929" stopIfTrue="1"/>
    <cfRule type="duplicateValues" dxfId="587" priority="31928" stopIfTrue="1"/>
    <cfRule type="duplicateValues" dxfId="586" priority="31915" stopIfTrue="1"/>
    <cfRule type="duplicateValues" dxfId="585" priority="31916" stopIfTrue="1"/>
    <cfRule type="duplicateValues" dxfId="584" priority="31919" stopIfTrue="1"/>
    <cfRule type="duplicateValues" dxfId="583" priority="31922" stopIfTrue="1"/>
    <cfRule type="duplicateValues" dxfId="582" priority="31924" stopIfTrue="1"/>
  </conditionalFormatting>
  <conditionalFormatting sqref="AI418">
    <cfRule type="expression" dxfId="581" priority="31882" stopIfTrue="1">
      <formula>AND(COUNTIF($D$297:$D$305,AI418)+COUNTIF($D$307:$D$65536,AI418)+COUNTIF($D$1:$D$2,AI418)+COUNTIF($D$8:$D$9,AI418)+COUNTIF($D$11:$D$26,AI418)+COUNTIF($D$28:$D$295,AI418)+COUNTIF($D$4:$D$4,AI418)&gt;1,NOT(ISBLANK(AI418)))</formula>
    </cfRule>
    <cfRule type="expression" dxfId="580" priority="31895" stopIfTrue="1">
      <formula>AND(COUNTIF($D$1:$D$427,AI418)+COUNTIF($D$429:$D$449,AI418)+COUNTIF($D$451:$D$65536,AI418)&gt;1,NOT(ISBLANK(AI418)))</formula>
    </cfRule>
    <cfRule type="duplicateValues" dxfId="579" priority="31861" stopIfTrue="1"/>
    <cfRule type="duplicateValues" dxfId="578" priority="31868" stopIfTrue="1"/>
    <cfRule type="duplicateValues" dxfId="577" priority="31862" stopIfTrue="1"/>
    <cfRule type="duplicateValues" dxfId="576" priority="31865" stopIfTrue="1"/>
    <cfRule type="expression" dxfId="575" priority="31879" stopIfTrue="1">
      <formula>AND(COUNTIF($D$8:$D$9,AI418)+COUNTIF($D$1:$D$2,AI418)+COUNTIF($D$11:$D$26,AI418)+COUNTIF($D$28:$D$65536,AI418)+COUNTIF($D$4:$D$4,AI418)&gt;1,NOT(ISBLANK(AI418)))</formula>
    </cfRule>
    <cfRule type="duplicateValues" dxfId="574" priority="31867" stopIfTrue="1"/>
    <cfRule type="duplicateValues" dxfId="573" priority="31900" stopIfTrue="1"/>
    <cfRule type="duplicateValues" dxfId="572" priority="31870" stopIfTrue="1"/>
    <cfRule type="duplicateValues" dxfId="571" priority="31871" stopIfTrue="1"/>
    <cfRule type="duplicateValues" dxfId="570" priority="31899" stopIfTrue="1"/>
    <cfRule type="expression" dxfId="569" priority="31872" stopIfTrue="1">
      <formula>AND(COUNTIF($D$4:$D$65536,AI418)+COUNTIF($D$1:$D$2,AI418)&gt;1,NOT(ISBLANK(AI418)))</formula>
    </cfRule>
    <cfRule type="expression" dxfId="568" priority="31873" stopIfTrue="1">
      <formula>AND(COUNTIF($D$4:$D$65536,AI418)+COUNTIF($D$1:$D$2,AI418)&gt;1,NOT(ISBLANK(AI418)))</formula>
    </cfRule>
    <cfRule type="duplicateValues" dxfId="567" priority="31898" stopIfTrue="1"/>
    <cfRule type="duplicateValues" dxfId="566" priority="31897" stopIfTrue="1"/>
  </conditionalFormatting>
  <conditionalFormatting sqref="AI423">
    <cfRule type="duplicateValues" dxfId="565" priority="31708" stopIfTrue="1"/>
    <cfRule type="duplicateValues" dxfId="564" priority="31696" stopIfTrue="1"/>
    <cfRule type="duplicateValues" dxfId="563" priority="31709" stopIfTrue="1"/>
    <cfRule type="duplicateValues" dxfId="562" priority="31710" stopIfTrue="1"/>
    <cfRule type="duplicateValues" dxfId="561" priority="31749" stopIfTrue="1"/>
    <cfRule type="duplicateValues" dxfId="560" priority="31697" stopIfTrue="1"/>
    <cfRule type="duplicateValues" dxfId="559" priority="31702" stopIfTrue="1"/>
    <cfRule type="duplicateValues" dxfId="558" priority="31703" stopIfTrue="1"/>
    <cfRule type="duplicateValues" dxfId="557" priority="31700" stopIfTrue="1"/>
    <cfRule type="duplicateValues" dxfId="556" priority="31705" stopIfTrue="1"/>
    <cfRule type="duplicateValues" dxfId="555" priority="31706" stopIfTrue="1"/>
    <cfRule type="duplicateValues" dxfId="554" priority="31707" stopIfTrue="1"/>
  </conditionalFormatting>
  <conditionalFormatting sqref="AI424">
    <cfRule type="duplicateValues" dxfId="553" priority="31859" stopIfTrue="1"/>
    <cfRule type="duplicateValues" dxfId="552" priority="31815" stopIfTrue="1"/>
    <cfRule type="duplicateValues" dxfId="551" priority="31813" stopIfTrue="1"/>
    <cfRule type="duplicateValues" dxfId="550" priority="31819" stopIfTrue="1"/>
    <cfRule type="duplicateValues" dxfId="549" priority="31820" stopIfTrue="1"/>
    <cfRule type="duplicateValues" dxfId="548" priority="31806" stopIfTrue="1"/>
    <cfRule type="duplicateValues" dxfId="547" priority="31807" stopIfTrue="1"/>
    <cfRule type="duplicateValues" dxfId="546" priority="31810" stopIfTrue="1"/>
    <cfRule type="duplicateValues" dxfId="545" priority="31812" stopIfTrue="1"/>
    <cfRule type="duplicateValues" dxfId="544" priority="31816" stopIfTrue="1"/>
    <cfRule type="duplicateValues" dxfId="543" priority="31817" stopIfTrue="1"/>
    <cfRule type="duplicateValues" dxfId="542" priority="31818" stopIfTrue="1"/>
  </conditionalFormatting>
  <conditionalFormatting sqref="AI428">
    <cfRule type="duplicateValues" dxfId="541" priority="31650" stopIfTrue="1"/>
    <cfRule type="duplicateValues" dxfId="540" priority="31651" stopIfTrue="1"/>
  </conditionalFormatting>
  <conditionalFormatting sqref="AI428:AI429">
    <cfRule type="duplicateValues" dxfId="539" priority="31639" stopIfTrue="1"/>
    <cfRule type="duplicateValues" dxfId="538" priority="31653" stopIfTrue="1"/>
    <cfRule type="duplicateValues" dxfId="537" priority="31654" stopIfTrue="1"/>
    <cfRule type="duplicateValues" dxfId="536" priority="31694" stopIfTrue="1"/>
    <cfRule type="duplicateValues" dxfId="535" priority="31646" stopIfTrue="1"/>
    <cfRule type="duplicateValues" dxfId="534" priority="31652" stopIfTrue="1"/>
    <cfRule type="duplicateValues" dxfId="533" priority="31649" stopIfTrue="1"/>
    <cfRule type="duplicateValues" dxfId="532" priority="31655" stopIfTrue="1"/>
    <cfRule type="duplicateValues" dxfId="531" priority="31648" stopIfTrue="1"/>
    <cfRule type="duplicateValues" dxfId="530" priority="31645" stopIfTrue="1"/>
    <cfRule type="duplicateValues" dxfId="529" priority="31643" stopIfTrue="1"/>
    <cfRule type="duplicateValues" dxfId="528" priority="31640" stopIfTrue="1"/>
  </conditionalFormatting>
  <conditionalFormatting sqref="AI434">
    <cfRule type="duplicateValues" dxfId="527" priority="31574" stopIfTrue="1"/>
    <cfRule type="duplicateValues" dxfId="526" priority="31575" stopIfTrue="1"/>
    <cfRule type="duplicateValues" dxfId="525" priority="31576" stopIfTrue="1"/>
    <cfRule type="duplicateValues" dxfId="524" priority="31578" stopIfTrue="1"/>
    <cfRule type="duplicateValues" dxfId="523" priority="31612" stopIfTrue="1"/>
    <cfRule type="duplicateValues" dxfId="522" priority="31564" stopIfTrue="1"/>
    <cfRule type="duplicateValues" dxfId="521" priority="31577" stopIfTrue="1"/>
    <cfRule type="duplicateValues" dxfId="520" priority="31565" stopIfTrue="1"/>
    <cfRule type="duplicateValues" dxfId="519" priority="31568" stopIfTrue="1"/>
    <cfRule type="duplicateValues" dxfId="518" priority="31570" stopIfTrue="1"/>
    <cfRule type="duplicateValues" dxfId="517" priority="31571" stopIfTrue="1"/>
    <cfRule type="duplicateValues" dxfId="516" priority="31573" stopIfTrue="1"/>
  </conditionalFormatting>
  <conditionalFormatting sqref="AI453">
    <cfRule type="duplicateValues" dxfId="515" priority="31562" stopIfTrue="1"/>
    <cfRule type="duplicateValues" dxfId="514" priority="31523" stopIfTrue="1"/>
    <cfRule type="duplicateValues" dxfId="513" priority="31522" stopIfTrue="1"/>
    <cfRule type="duplicateValues" dxfId="512" priority="31515" stopIfTrue="1"/>
    <cfRule type="duplicateValues" dxfId="511" priority="31521" stopIfTrue="1"/>
    <cfRule type="duplicateValues" dxfId="510" priority="31520" stopIfTrue="1"/>
    <cfRule type="duplicateValues" dxfId="509" priority="31518" stopIfTrue="1"/>
    <cfRule type="duplicateValues" dxfId="508" priority="31516" stopIfTrue="1"/>
    <cfRule type="duplicateValues" dxfId="507" priority="31513" stopIfTrue="1"/>
    <cfRule type="duplicateValues" dxfId="506" priority="31510" stopIfTrue="1"/>
    <cfRule type="duplicateValues" dxfId="505" priority="31519" stopIfTrue="1"/>
    <cfRule type="duplicateValues" dxfId="504" priority="31509" stopIfTrue="1"/>
  </conditionalFormatting>
  <conditionalFormatting sqref="AI491">
    <cfRule type="duplicateValues" dxfId="503" priority="29354" stopIfTrue="1"/>
    <cfRule type="duplicateValues" dxfId="502" priority="29364" stopIfTrue="1"/>
    <cfRule type="duplicateValues" dxfId="501" priority="29365" stopIfTrue="1"/>
    <cfRule type="duplicateValues" dxfId="500" priority="29357" stopIfTrue="1"/>
    <cfRule type="duplicateValues" dxfId="499" priority="29356" stopIfTrue="1"/>
    <cfRule type="duplicateValues" dxfId="498" priority="29366" stopIfTrue="1"/>
    <cfRule type="duplicateValues" dxfId="497" priority="29353" stopIfTrue="1"/>
    <cfRule type="duplicateValues" dxfId="496" priority="29367" stopIfTrue="1"/>
    <cfRule type="duplicateValues" dxfId="495" priority="29406" stopIfTrue="1"/>
    <cfRule type="duplicateValues" dxfId="494" priority="29351" stopIfTrue="1"/>
    <cfRule type="duplicateValues" dxfId="493" priority="29347" stopIfTrue="1"/>
    <cfRule type="duplicateValues" dxfId="492" priority="29346" stopIfTrue="1"/>
  </conditionalFormatting>
  <conditionalFormatting sqref="AI492:AI65536 AI1:AI490">
    <cfRule type="duplicateValues" dxfId="491" priority="29783" stopIfTrue="1"/>
  </conditionalFormatting>
  <conditionalFormatting sqref="AI518 C518:C65536 AH491 C1:C2 AH45:AH47 AH98 Y102:Y103 Y107:Y109 AH110 Y119 AH125 Y125:Y126 AH127 Y128:Y130 AH138 AH140:AH164 Y141 Y145 Y149:Y150 Y156 AG163 Y163:Y167 Y170:Y171 AH173:AH191 Y192 AH197:AH217 Y204 Y217 Y221 Y225 Y231:Y266 AH238:AH253 AH275:AH276 Y279:Y322 AH281:AH299 Y361 AH372:AH373 Y372:Y379 AH385:AH386 AH391 AH393 AH396 AH405:AH407 AH411 Y411:Y412 AH413 Y414:Y415 AH417:AH418 AH423:AH424 Y427 AH428:AH429 AH434 Y439 Y450 AH453 Y454:Y455 Y460:Y464 Y467 Y476 Y486:Y487">
    <cfRule type="expression" dxfId="490" priority="13599" stopIfTrue="1">
      <formula>AND(COUNTIF($C$4:$C$65536,C1)+COUNTIF($C$1:$C$2,C1)&gt;1,NOT(ISBLANK(C1)))</formula>
    </cfRule>
  </conditionalFormatting>
  <conditionalFormatting sqref="AI518:AK518 AH173:AK191 AH140:AK164 AH197:AK217 AH281:AK299 AH372:AK373 AH385:AK386 AH391:AK391 AH393:AK393 AH396:AK396 AH405:AK407 AH411:AK411 AH413:AK413 AH417:AK418 AH423:AK424 AH428:AK429 AH434:AK434 AH453:AK453 AH45:AK47 AH98:AK98 AH110:AK110 AH125:AK125 AH127:AK127 AH138:AK138 AI137 AH238:AK253 AH275:AK276 AH491:AK491 C1:G1 C521:G524 C534:G65536 C2:E2 C525:E533 AG163 Y102:AB103 Y107:AB109 Y119:AB119 Y125:AB126 Y128:AB130 Y141:AB141 Y145:AB145 Y149:AB150 Y156:AB156 Y163:AB167 Y170:AB171 Y192:AB192 Y204:AB204 Y217:AB217 Y221:AB221 Y225:AB225 Y231:AB266 Y279:AB295 Y297:AB305 Y307:AB322 Y361:AB361 Y372:AB379 Y411:AB412 Y414:AB415 Y427:AB427 Y439:AB439 Y450:AB450 Y454:AB455 Y460:AB464 Y467:AB467 Y476:AB476 Y486:AB487 Z468">
    <cfRule type="expression" dxfId="489" priority="36715" stopIfTrue="1">
      <formula>AND(COUNTIF($C$297:$F$305,C1)+COUNTIF($C$307:$F$65536,C1)+COUNTIF($C$8:$F$9,C1)+COUNTIF($C$11:$F$26,C1)+COUNTIF($C$28:$F$295,C1)+COUNTIF($C$4:$F$4,C1)+COUNTIF($C$1:$F$2,C1)&gt;1,NOT(ISBLANK(C1)))</formula>
    </cfRule>
  </conditionalFormatting>
  <conditionalFormatting sqref="AJ45:AJ47 AJ98 AJ110 AJ125 AJ127 AJ138 AJ140 AJ142:AJ164 AJ173:AJ191 AJ197:AJ217 AJ238:AJ253 AJ275:AJ276 AJ281:AJ299 AJ372:AJ373 AJ385:AJ386 AJ391 AJ393 AJ396 AJ405:AJ407 AJ411 AJ413 AJ417 AJ423:AJ424 AJ428:AJ429 AJ434 AJ453 AJ491 AK518">
    <cfRule type="expression" dxfId="488" priority="38413" stopIfTrue="1">
      <formula>AND(COUNTIF($E$8:$E$9,AJ45)+COUNTIF($E$1:$E$2,AJ45)+COUNTIF($E$11:$E$26,AJ45)+COUNTIF($E$28:$E$65536,AJ45)+COUNTIF($E$4:$E$4,AJ45)&gt;1,NOT(ISBLANK(AJ45)))</formula>
    </cfRule>
    <cfRule type="expression" dxfId="487" priority="15041" stopIfTrue="1">
      <formula>AND(COUNTIF($E$4:$E$65536,AJ45)+COUNTIF($E$1:$E$2,AJ45)&gt;1,NOT(ISBLANK(AJ45)))</formula>
    </cfRule>
    <cfRule type="expression" dxfId="486" priority="15040" stopIfTrue="1">
      <formula>AND(COUNTIF($E$4:$E$65536,AJ45)+COUNTIF($E$1:$E$2,AJ45)&gt;1,NOT(ISBLANK(AJ45)))</formula>
    </cfRule>
  </conditionalFormatting>
  <conditionalFormatting sqref="AJ45:AJ47 AJ98 AJ110 AJ125 AJ127 AJ138">
    <cfRule type="expression" dxfId="485" priority="9018" stopIfTrue="1">
      <formula>AND(COUNTIF($E$509:$E$65536,AJ45)+COUNTIF($E$1:$E$2,AJ45)+COUNTIF($E$297:$E$305,AJ45)+COUNTIF($E$307:$E$507,AJ45)+COUNTIF($E$8:$E$9,AJ45)+COUNTIF($E$11:$E$26,AJ45)+COUNTIF($E$28:$E$295,AJ45)+COUNTIF($E$4:$E$4,AJ45)&gt;1,NOT(ISBLANK(AJ45)))</formula>
    </cfRule>
    <cfRule type="expression" dxfId="484" priority="9019" stopIfTrue="1">
      <formula>AND(COUNTIF($E$297:$E$305,AJ45)+COUNTIF($E$1:$E$2,AJ45)+COUNTIF($E$307:$E$65536,AJ45)+COUNTIF($E$8:$E$9,AJ45)+COUNTIF($E$11:$E$26,AJ45)+COUNTIF($E$28:$E$295,AJ45)+COUNTIF($E$4:$E$4,AJ45)&gt;1,NOT(ISBLANK(AJ45)))</formula>
    </cfRule>
  </conditionalFormatting>
  <conditionalFormatting sqref="AJ45:AJ47">
    <cfRule type="duplicateValues" dxfId="483" priority="31333" stopIfTrue="1"/>
  </conditionalFormatting>
  <conditionalFormatting sqref="AJ98">
    <cfRule type="duplicateValues" dxfId="482" priority="31278" stopIfTrue="1"/>
  </conditionalFormatting>
  <conditionalFormatting sqref="AJ110">
    <cfRule type="duplicateValues" dxfId="481" priority="31223" stopIfTrue="1"/>
  </conditionalFormatting>
  <conditionalFormatting sqref="AJ125">
    <cfRule type="duplicateValues" dxfId="480" priority="31168" stopIfTrue="1"/>
  </conditionalFormatting>
  <conditionalFormatting sqref="AJ127">
    <cfRule type="duplicateValues" dxfId="479" priority="31114" stopIfTrue="1"/>
  </conditionalFormatting>
  <conditionalFormatting sqref="AJ138">
    <cfRule type="duplicateValues" dxfId="478" priority="31059" stopIfTrue="1"/>
  </conditionalFormatting>
  <conditionalFormatting sqref="AJ140:AJ143">
    <cfRule type="duplicateValues" dxfId="477" priority="34838" stopIfTrue="1"/>
  </conditionalFormatting>
  <conditionalFormatting sqref="AJ141">
    <cfRule type="expression" dxfId="476" priority="8982" stopIfTrue="1">
      <formula>AND(COUNTIF($E$509:$E$65536,AJ141)+COUNTIF($E$1:$E$2,AJ141)+COUNTIF($E$297:$E$305,AJ141)+COUNTIF($E$307:$E$507,AJ141)+COUNTIF($E$8:$E$9,AJ141)+COUNTIF($E$11:$E$26,AJ141)+COUNTIF($E$28:$E$295,AJ141)+COUNTIF($E$4:$E$4,AJ141)&gt;1,NOT(ISBLANK(AJ141)))</formula>
    </cfRule>
    <cfRule type="expression" dxfId="475" priority="8980" stopIfTrue="1">
      <formula>AND(COUNTIF($E$4:$E$65536,AJ141)+COUNTIF($E$1:$E$2,AJ141)&gt;1,NOT(ISBLANK(AJ141)))</formula>
    </cfRule>
    <cfRule type="expression" dxfId="474" priority="8981" stopIfTrue="1">
      <formula>AND(COUNTIF($E$4:$E$65536,AJ141)+COUNTIF($E$1:$E$2,AJ141)&gt;1,NOT(ISBLANK(AJ141)))</formula>
    </cfRule>
    <cfRule type="expression" dxfId="473" priority="8984" stopIfTrue="1">
      <formula>AND(COUNTIF($E$8:$E$9,AJ141)+COUNTIF($E$1:$E$2,AJ141)+COUNTIF($E$11:$E$26,AJ141)+COUNTIF($E$28:$E$65536,AJ141)+COUNTIF($E$4:$E$4,AJ141)&gt;1,NOT(ISBLANK(AJ141)))</formula>
    </cfRule>
    <cfRule type="expression" dxfId="472" priority="8983" stopIfTrue="1">
      <formula>AND(COUNTIF($E$297:$E$305,AJ141)+COUNTIF($E$1:$E$2,AJ141)+COUNTIF($E$307:$E$65536,AJ141)+COUNTIF($E$8:$E$9,AJ141)+COUNTIF($E$11:$E$26,AJ141)+COUNTIF($E$28:$E$295,AJ141)+COUNTIF($E$4:$E$4,AJ141)&gt;1,NOT(ISBLANK(AJ141)))</formula>
    </cfRule>
  </conditionalFormatting>
  <conditionalFormatting sqref="AJ144:AJ151">
    <cfRule type="duplicateValues" dxfId="471" priority="34744" stopIfTrue="1"/>
  </conditionalFormatting>
  <conditionalFormatting sqref="AJ152">
    <cfRule type="duplicateValues" dxfId="470" priority="34633" stopIfTrue="1"/>
  </conditionalFormatting>
  <conditionalFormatting sqref="AJ153:AJ158 AJ160:AJ161 AJ163:AJ164">
    <cfRule type="duplicateValues" dxfId="469" priority="34687" stopIfTrue="1"/>
  </conditionalFormatting>
  <conditionalFormatting sqref="AJ159">
    <cfRule type="duplicateValues" dxfId="468" priority="34579" stopIfTrue="1"/>
  </conditionalFormatting>
  <conditionalFormatting sqref="AJ162">
    <cfRule type="duplicateValues" dxfId="467" priority="34525" stopIfTrue="1"/>
  </conditionalFormatting>
  <conditionalFormatting sqref="AJ173:AJ175">
    <cfRule type="duplicateValues" dxfId="466" priority="35054" stopIfTrue="1"/>
  </conditionalFormatting>
  <conditionalFormatting sqref="AJ176">
    <cfRule type="duplicateValues" dxfId="465" priority="35380" stopIfTrue="1"/>
  </conditionalFormatting>
  <conditionalFormatting sqref="AJ177">
    <cfRule type="duplicateValues" dxfId="464" priority="34946" stopIfTrue="1"/>
  </conditionalFormatting>
  <conditionalFormatting sqref="AJ178:AJ191">
    <cfRule type="duplicateValues" dxfId="463" priority="9316" stopIfTrue="1"/>
  </conditionalFormatting>
  <conditionalFormatting sqref="AJ197">
    <cfRule type="duplicateValues" dxfId="462" priority="33418" stopIfTrue="1"/>
  </conditionalFormatting>
  <conditionalFormatting sqref="AJ198">
    <cfRule type="duplicateValues" dxfId="461" priority="34471" stopIfTrue="1"/>
  </conditionalFormatting>
  <conditionalFormatting sqref="AJ199:AJ200">
    <cfRule type="duplicateValues" dxfId="460" priority="33930" stopIfTrue="1"/>
  </conditionalFormatting>
  <conditionalFormatting sqref="AJ201:AJ202 AJ204">
    <cfRule type="duplicateValues" dxfId="459" priority="33713" stopIfTrue="1"/>
  </conditionalFormatting>
  <conditionalFormatting sqref="AJ203">
    <cfRule type="duplicateValues" dxfId="458" priority="33363" stopIfTrue="1"/>
  </conditionalFormatting>
  <conditionalFormatting sqref="AJ205">
    <cfRule type="duplicateValues" dxfId="457" priority="33605" stopIfTrue="1"/>
  </conditionalFormatting>
  <conditionalFormatting sqref="AJ211">
    <cfRule type="duplicateValues" dxfId="456" priority="33297" stopIfTrue="1"/>
  </conditionalFormatting>
  <conditionalFormatting sqref="AJ212:AJ217 AJ206:AJ210">
    <cfRule type="duplicateValues" dxfId="455" priority="33309" stopIfTrue="1"/>
  </conditionalFormatting>
  <conditionalFormatting sqref="AJ238">
    <cfRule type="duplicateValues" dxfId="454" priority="30942" stopIfTrue="1"/>
  </conditionalFormatting>
  <conditionalFormatting sqref="AJ239">
    <cfRule type="duplicateValues" dxfId="453" priority="30242" stopIfTrue="1"/>
  </conditionalFormatting>
  <conditionalFormatting sqref="AJ240">
    <cfRule type="duplicateValues" dxfId="452" priority="30297" stopIfTrue="1"/>
  </conditionalFormatting>
  <conditionalFormatting sqref="AJ241">
    <cfRule type="duplicateValues" dxfId="451" priority="30352" stopIfTrue="1"/>
  </conditionalFormatting>
  <conditionalFormatting sqref="AJ242">
    <cfRule type="duplicateValues" dxfId="450" priority="30407" stopIfTrue="1"/>
  </conditionalFormatting>
  <conditionalFormatting sqref="AJ243">
    <cfRule type="duplicateValues" dxfId="449" priority="30887" stopIfTrue="1"/>
  </conditionalFormatting>
  <conditionalFormatting sqref="AJ244">
    <cfRule type="duplicateValues" dxfId="448" priority="30832" stopIfTrue="1"/>
  </conditionalFormatting>
  <conditionalFormatting sqref="AJ245">
    <cfRule type="duplicateValues" dxfId="447" priority="30683" stopIfTrue="1"/>
  </conditionalFormatting>
  <conditionalFormatting sqref="AJ246">
    <cfRule type="duplicateValues" dxfId="446" priority="30627" stopIfTrue="1"/>
  </conditionalFormatting>
  <conditionalFormatting sqref="AJ247">
    <cfRule type="duplicateValues" dxfId="445" priority="30572" stopIfTrue="1"/>
  </conditionalFormatting>
  <conditionalFormatting sqref="AJ248">
    <cfRule type="duplicateValues" dxfId="444" priority="30517" stopIfTrue="1"/>
  </conditionalFormatting>
  <conditionalFormatting sqref="AJ249">
    <cfRule type="duplicateValues" dxfId="443" priority="30462" stopIfTrue="1"/>
  </conditionalFormatting>
  <conditionalFormatting sqref="AJ250">
    <cfRule type="duplicateValues" dxfId="442" priority="30755" stopIfTrue="1"/>
  </conditionalFormatting>
  <conditionalFormatting sqref="AJ251">
    <cfRule type="duplicateValues" dxfId="441" priority="30187" stopIfTrue="1"/>
  </conditionalFormatting>
  <conditionalFormatting sqref="AJ252">
    <cfRule type="duplicateValues" dxfId="440" priority="29857" stopIfTrue="1"/>
  </conditionalFormatting>
  <conditionalFormatting sqref="AJ253">
    <cfRule type="duplicateValues" dxfId="439" priority="30077" stopIfTrue="1"/>
  </conditionalFormatting>
  <conditionalFormatting sqref="AJ275:AJ276">
    <cfRule type="duplicateValues" dxfId="438" priority="30022" stopIfTrue="1"/>
  </conditionalFormatting>
  <conditionalFormatting sqref="AJ281">
    <cfRule type="duplicateValues" dxfId="437" priority="32616" stopIfTrue="1"/>
  </conditionalFormatting>
  <conditionalFormatting sqref="AJ282">
    <cfRule type="duplicateValues" dxfId="436" priority="33243" stopIfTrue="1"/>
  </conditionalFormatting>
  <conditionalFormatting sqref="AJ283:AJ284">
    <cfRule type="duplicateValues" dxfId="435" priority="33135" stopIfTrue="1"/>
  </conditionalFormatting>
  <conditionalFormatting sqref="AJ285">
    <cfRule type="duplicateValues" dxfId="434" priority="33081" stopIfTrue="1"/>
  </conditionalFormatting>
  <conditionalFormatting sqref="AJ286:AJ299">
    <cfRule type="duplicateValues" dxfId="433" priority="32791" stopIfTrue="1"/>
  </conditionalFormatting>
  <conditionalFormatting sqref="AJ291">
    <cfRule type="duplicateValues" dxfId="432" priority="32748" stopIfTrue="1"/>
    <cfRule type="duplicateValues" dxfId="431" priority="32776" stopIfTrue="1"/>
    <cfRule type="duplicateValues" dxfId="430" priority="32756" stopIfTrue="1"/>
    <cfRule type="duplicateValues" dxfId="429" priority="32768" stopIfTrue="1"/>
  </conditionalFormatting>
  <conditionalFormatting sqref="AJ372">
    <cfRule type="duplicateValues" dxfId="428" priority="32560" stopIfTrue="1"/>
    <cfRule type="duplicateValues" dxfId="427" priority="32566"/>
    <cfRule type="duplicateValues" dxfId="426" priority="32567"/>
  </conditionalFormatting>
  <conditionalFormatting sqref="AJ373">
    <cfRule type="duplicateValues" dxfId="425" priority="32504" stopIfTrue="1"/>
    <cfRule type="duplicateValues" dxfId="424" priority="32510"/>
    <cfRule type="duplicateValues" dxfId="423" priority="32511"/>
  </conditionalFormatting>
  <conditionalFormatting sqref="AJ385:AJ386">
    <cfRule type="duplicateValues" dxfId="422" priority="32454"/>
    <cfRule type="duplicateValues" dxfId="421" priority="32444" stopIfTrue="1"/>
    <cfRule type="duplicateValues" dxfId="420" priority="32455"/>
  </conditionalFormatting>
  <conditionalFormatting sqref="AJ391">
    <cfRule type="duplicateValues" dxfId="419" priority="32388" stopIfTrue="1"/>
    <cfRule type="duplicateValues" dxfId="418" priority="32395"/>
    <cfRule type="duplicateValues" dxfId="417" priority="32394"/>
  </conditionalFormatting>
  <conditionalFormatting sqref="AJ393">
    <cfRule type="duplicateValues" dxfId="416" priority="32338"/>
    <cfRule type="duplicateValues" dxfId="415" priority="32339"/>
    <cfRule type="duplicateValues" dxfId="414" priority="32328" stopIfTrue="1"/>
  </conditionalFormatting>
  <conditionalFormatting sqref="AJ396">
    <cfRule type="duplicateValues" dxfId="413" priority="32279"/>
    <cfRule type="duplicateValues" dxfId="412" priority="32278"/>
    <cfRule type="duplicateValues" dxfId="411" priority="32266" stopIfTrue="1"/>
  </conditionalFormatting>
  <conditionalFormatting sqref="AJ405">
    <cfRule type="duplicateValues" dxfId="410" priority="32215"/>
    <cfRule type="duplicateValues" dxfId="409" priority="32209" stopIfTrue="1"/>
    <cfRule type="duplicateValues" dxfId="408" priority="32216"/>
  </conditionalFormatting>
  <conditionalFormatting sqref="AJ406">
    <cfRule type="duplicateValues" dxfId="407" priority="32160"/>
    <cfRule type="duplicateValues" dxfId="406" priority="32159"/>
    <cfRule type="duplicateValues" dxfId="405" priority="32153" stopIfTrue="1"/>
  </conditionalFormatting>
  <conditionalFormatting sqref="AJ407">
    <cfRule type="duplicateValues" dxfId="404" priority="32104"/>
    <cfRule type="duplicateValues" dxfId="403" priority="32103"/>
    <cfRule type="duplicateValues" dxfId="402" priority="32097" stopIfTrue="1"/>
  </conditionalFormatting>
  <conditionalFormatting sqref="AJ411">
    <cfRule type="duplicateValues" dxfId="401" priority="32047"/>
    <cfRule type="duplicateValues" dxfId="400" priority="32048"/>
    <cfRule type="duplicateValues" dxfId="399" priority="32041" stopIfTrue="1"/>
  </conditionalFormatting>
  <conditionalFormatting sqref="AJ413">
    <cfRule type="duplicateValues" dxfId="398" priority="31985" stopIfTrue="1"/>
    <cfRule type="duplicateValues" dxfId="397" priority="31991"/>
    <cfRule type="duplicateValues" dxfId="396" priority="31992"/>
  </conditionalFormatting>
  <conditionalFormatting sqref="AJ417">
    <cfRule type="duplicateValues" dxfId="395" priority="31920" stopIfTrue="1"/>
  </conditionalFormatting>
  <conditionalFormatting sqref="AJ418">
    <cfRule type="expression" dxfId="394" priority="8999" stopIfTrue="1">
      <formula>AND(COUNTIF($E$4:$E$65536,AJ418)+COUNTIF($E$1:$E$2,AJ418)&gt;1,NOT(ISBLANK(AJ418)))</formula>
    </cfRule>
    <cfRule type="duplicateValues" dxfId="393" priority="8997" stopIfTrue="1"/>
    <cfRule type="expression" dxfId="392" priority="9000" stopIfTrue="1">
      <formula>AND(COUNTIF($E$509:$E$65536,AJ418)+COUNTIF($E$1:$E$2,AJ418)+COUNTIF($E$297:$E$305,AJ418)+COUNTIF($E$307:$E$507,AJ418)+COUNTIF($E$8:$E$9,AJ418)+COUNTIF($E$11:$E$26,AJ418)+COUNTIF($E$28:$E$295,AJ418)+COUNTIF($E$4:$E$4,AJ418)&gt;1,NOT(ISBLANK(AJ418)))</formula>
    </cfRule>
    <cfRule type="expression" dxfId="391" priority="9001" stopIfTrue="1">
      <formula>AND(COUNTIF($E$297:$E$305,AJ418)+COUNTIF($E$1:$E$2,AJ418)+COUNTIF($E$307:$E$65536,AJ418)+COUNTIF($E$8:$E$9,AJ418)+COUNTIF($E$11:$E$26,AJ418)+COUNTIF($E$28:$E$295,AJ418)+COUNTIF($E$4:$E$4,AJ418)&gt;1,NOT(ISBLANK(AJ418)))</formula>
    </cfRule>
    <cfRule type="expression" dxfId="390" priority="8998" stopIfTrue="1">
      <formula>AND(COUNTIF($E$4:$E$65536,AJ418)+COUNTIF($E$1:$E$2,AJ418)&gt;1,NOT(ISBLANK(AJ418)))</formula>
    </cfRule>
    <cfRule type="expression" dxfId="389" priority="9002" stopIfTrue="1">
      <formula>AND(COUNTIF($E$8:$E$9,AJ418)+COUNTIF($E$1:$E$2,AJ418)+COUNTIF($E$11:$E$26,AJ418)+COUNTIF($E$28:$E$65536,AJ418)+COUNTIF($E$4:$E$4,AJ418)&gt;1,NOT(ISBLANK(AJ418)))</formula>
    </cfRule>
  </conditionalFormatting>
  <conditionalFormatting sqref="AJ423">
    <cfRule type="duplicateValues" dxfId="388" priority="31701" stopIfTrue="1"/>
  </conditionalFormatting>
  <conditionalFormatting sqref="AJ424">
    <cfRule type="duplicateValues" dxfId="387" priority="31811" stopIfTrue="1"/>
  </conditionalFormatting>
  <conditionalFormatting sqref="AJ428:AJ429">
    <cfRule type="duplicateValues" dxfId="386" priority="31644" stopIfTrue="1"/>
  </conditionalFormatting>
  <conditionalFormatting sqref="AJ434">
    <cfRule type="duplicateValues" dxfId="385" priority="31569" stopIfTrue="1"/>
  </conditionalFormatting>
  <conditionalFormatting sqref="AJ453">
    <cfRule type="duplicateValues" dxfId="384" priority="31514" stopIfTrue="1"/>
  </conditionalFormatting>
  <conditionalFormatting sqref="AJ491">
    <cfRule type="duplicateValues" dxfId="383" priority="29352" stopIfTrue="1"/>
  </conditionalFormatting>
  <conditionalFormatting sqref="AJ518">
    <cfRule type="duplicateValues" dxfId="382" priority="35806" stopIfTrue="1"/>
    <cfRule type="duplicateValues" dxfId="381" priority="35799" stopIfTrue="1"/>
    <cfRule type="duplicateValues" dxfId="380" priority="35807" stopIfTrue="1"/>
    <cfRule type="duplicateValues" dxfId="379" priority="35805" stopIfTrue="1"/>
    <cfRule type="duplicateValues" dxfId="378" priority="35804" stopIfTrue="1"/>
    <cfRule type="duplicateValues" dxfId="377" priority="35803" stopIfTrue="1"/>
    <cfRule type="duplicateValues" dxfId="376" priority="35802" stopIfTrue="1"/>
    <cfRule type="duplicateValues" dxfId="375" priority="35801" stopIfTrue="1"/>
    <cfRule type="duplicateValues" dxfId="374" priority="35800" stopIfTrue="1"/>
    <cfRule type="duplicateValues" dxfId="373" priority="35796" stopIfTrue="1"/>
    <cfRule type="duplicateValues" dxfId="372" priority="35795" stopIfTrue="1"/>
    <cfRule type="duplicateValues" dxfId="371" priority="35748" stopIfTrue="1"/>
    <cfRule type="duplicateValues" dxfId="370" priority="35747" stopIfTrue="1"/>
  </conditionalFormatting>
  <conditionalFormatting sqref="AK45:AK47 AK98 AK110 AK125 AK127 AK138 AK140 AK142:AK164 AK173:AK191 AK197:AK217 AK238:AK253 AK275:AK276 AK281:AK299 AK372:AK373 AK385:AK386 AK391 AK393 AK396 AK405:AK407 AK411 AK413 AK417 AK423:AK424 AK428:AK429 AK434 AK453 AK491">
    <cfRule type="expression" dxfId="369" priority="15043" stopIfTrue="1">
      <formula>AND(COUNTIF($F$4:$F$65536,AK45)+COUNTIF($F$1:$F$2,AK45)&gt;1,NOT(ISBLANK(AK45)))</formula>
    </cfRule>
    <cfRule type="expression" dxfId="368" priority="15042" stopIfTrue="1">
      <formula>AND(COUNTIF($F$4:$F$65536,AK45)+COUNTIF($F$1:$F$2,AK45)&gt;1,NOT(ISBLANK(AK45)))</formula>
    </cfRule>
    <cfRule type="expression" dxfId="367" priority="38415" stopIfTrue="1">
      <formula>AND(COUNTIF($F$8:$F$9,AK45)+COUNTIF($F$1:$F$2,AK45)+COUNTIF($F$11:$F$26,AK45)+COUNTIF($F$28:$F$65536,AK45)+COUNTIF($F$4:$F$4,AK45)&gt;1,NOT(ISBLANK(AK45)))</formula>
    </cfRule>
  </conditionalFormatting>
  <conditionalFormatting sqref="AK45:AK47 AK98 AK110 AK125 AK127 AK138">
    <cfRule type="expression" dxfId="366" priority="9030" stopIfTrue="1">
      <formula>AND(COUNTIF($F$509:$F$65536,AK45)+COUNTIF($F$1:$F$2,AK45)+COUNTIF($F$297:$F$305,AK45)+COUNTIF($F$307:$F$507,AK45)+COUNTIF($F$8:$F$9,AK45)+COUNTIF($F$11:$F$26,AK45)+COUNTIF($F$28:$F$295,AK45)+COUNTIF($F$4:$F$4,AK45)&gt;1,NOT(ISBLANK(AK45)))</formula>
    </cfRule>
    <cfRule type="expression" dxfId="365" priority="9033" stopIfTrue="1">
      <formula>AND(COUNTIF($F$297:$F$305,AK45)+COUNTIF($F$1:$F$2,AK45)+COUNTIF($F$307:$F$65536,AK45)+COUNTIF($F$8:$F$9,AK45)+COUNTIF($F$11:$F$26,AK45)+COUNTIF($F$28:$F$295,AK45)+COUNTIF($F$4:$F$4,AK45)&gt;1,NOT(ISBLANK(AK45)))</formula>
    </cfRule>
  </conditionalFormatting>
  <conditionalFormatting sqref="AK45:AK47">
    <cfRule type="expression" dxfId="364" priority="31340" stopIfTrue="1">
      <formula>AND(COUNTIF($F$4:$F$4,AK45)+COUNTIF($F$8:$F$9,AK45)+COUNTIF($F$11:$F$26,AK45)+COUNTIF($F$28:$F$53,AK45)&gt;1,NOT(ISBLANK(AK45)))</formula>
    </cfRule>
    <cfRule type="duplicateValues" dxfId="363" priority="31336" stopIfTrue="1"/>
    <cfRule type="duplicateValues" dxfId="362" priority="31331" stopIfTrue="1"/>
    <cfRule type="duplicateValues" dxfId="361" priority="31330" stopIfTrue="1"/>
    <cfRule type="duplicateValues" dxfId="360" priority="31327" stopIfTrue="1"/>
  </conditionalFormatting>
  <conditionalFormatting sqref="AK98">
    <cfRule type="duplicateValues" dxfId="359" priority="31272" stopIfTrue="1"/>
    <cfRule type="duplicateValues" dxfId="358" priority="31275" stopIfTrue="1"/>
    <cfRule type="duplicateValues" dxfId="357" priority="31276" stopIfTrue="1"/>
    <cfRule type="duplicateValues" dxfId="356" priority="31281" stopIfTrue="1"/>
  </conditionalFormatting>
  <conditionalFormatting sqref="AK110">
    <cfRule type="duplicateValues" dxfId="355" priority="31220" stopIfTrue="1"/>
    <cfRule type="duplicateValues" dxfId="354" priority="31221" stopIfTrue="1"/>
    <cfRule type="duplicateValues" dxfId="353" priority="31226" stopIfTrue="1"/>
    <cfRule type="duplicateValues" dxfId="352" priority="31217" stopIfTrue="1"/>
  </conditionalFormatting>
  <conditionalFormatting sqref="AK125">
    <cfRule type="duplicateValues" dxfId="351" priority="31162" stopIfTrue="1"/>
    <cfRule type="duplicateValues" dxfId="350" priority="31165" stopIfTrue="1"/>
    <cfRule type="duplicateValues" dxfId="349" priority="31166" stopIfTrue="1"/>
    <cfRule type="duplicateValues" dxfId="348" priority="31171" stopIfTrue="1"/>
  </conditionalFormatting>
  <conditionalFormatting sqref="AK127">
    <cfRule type="duplicateValues" dxfId="347" priority="31112" stopIfTrue="1"/>
    <cfRule type="duplicateValues" dxfId="346" priority="31117" stopIfTrue="1"/>
    <cfRule type="duplicateValues" dxfId="345" priority="31108" stopIfTrue="1"/>
    <cfRule type="duplicateValues" dxfId="344" priority="31111" stopIfTrue="1"/>
  </conditionalFormatting>
  <conditionalFormatting sqref="AK138">
    <cfRule type="duplicateValues" dxfId="343" priority="31053" stopIfTrue="1"/>
    <cfRule type="duplicateValues" dxfId="342" priority="31056" stopIfTrue="1"/>
    <cfRule type="duplicateValues" dxfId="341" priority="31057" stopIfTrue="1"/>
    <cfRule type="duplicateValues" dxfId="340" priority="31062" stopIfTrue="1"/>
  </conditionalFormatting>
  <conditionalFormatting sqref="AK140:AK143">
    <cfRule type="duplicateValues" dxfId="339" priority="34836" stopIfTrue="1"/>
    <cfRule type="duplicateValues" dxfId="338" priority="34835" stopIfTrue="1"/>
  </conditionalFormatting>
  <conditionalFormatting sqref="AK141">
    <cfRule type="expression" dxfId="337" priority="8986" stopIfTrue="1">
      <formula>AND(COUNTIF($F$4:$F$65536,AK141)+COUNTIF($F$1:$F$2,AK141)&gt;1,NOT(ISBLANK(AK141)))</formula>
    </cfRule>
    <cfRule type="expression" dxfId="336" priority="8988" stopIfTrue="1">
      <formula>AND(COUNTIF($F$8:$F$9,AK141)+COUNTIF($F$1:$F$2,AK141)+COUNTIF($F$11:$F$26,AK141)+COUNTIF($F$28:$F$65536,AK141)+COUNTIF($F$4:$F$4,AK141)&gt;1,NOT(ISBLANK(AK141)))</formula>
    </cfRule>
    <cfRule type="expression" dxfId="335" priority="8991" stopIfTrue="1">
      <formula>AND(COUNTIF($F$509:$F$65536,AK141)+COUNTIF($F$1:$F$2,AK141)+COUNTIF($F$297:$F$305,AK141)+COUNTIF($F$307:$F$507,AK141)+COUNTIF($F$8:$F$9,AK141)+COUNTIF($F$11:$F$26,AK141)+COUNTIF($F$28:$F$295,AK141)+COUNTIF($F$4:$F$4,AK141)&gt;1,NOT(ISBLANK(AK141)))</formula>
    </cfRule>
    <cfRule type="expression" dxfId="334" priority="8987" stopIfTrue="1">
      <formula>AND(COUNTIF($F$4:$F$65536,AK141)+COUNTIF($F$1:$F$2,AK141)&gt;1,NOT(ISBLANK(AK141)))</formula>
    </cfRule>
    <cfRule type="duplicateValues" dxfId="333" priority="8985" stopIfTrue="1"/>
    <cfRule type="expression" dxfId="332" priority="8994" stopIfTrue="1">
      <formula>AND(COUNTIF($F$297:$F$305,AK141)+COUNTIF($F$1:$F$2,AK141)+COUNTIF($F$307:$F$65536,AK141)+COUNTIF($F$8:$F$9,AK141)+COUNTIF($F$11:$F$26,AK141)+COUNTIF($F$28:$F$295,AK141)+COUNTIF($F$4:$F$4,AK141)&gt;1,NOT(ISBLANK(AK141)))</formula>
    </cfRule>
  </conditionalFormatting>
  <conditionalFormatting sqref="AK142:AK143 AK140">
    <cfRule type="duplicateValues" dxfId="331" priority="34841" stopIfTrue="1"/>
  </conditionalFormatting>
  <conditionalFormatting sqref="AK144:AK151">
    <cfRule type="duplicateValues" dxfId="330" priority="34742" stopIfTrue="1"/>
    <cfRule type="duplicateValues" dxfId="329" priority="34747" stopIfTrue="1"/>
    <cfRule type="duplicateValues" dxfId="328" priority="34741" stopIfTrue="1"/>
  </conditionalFormatting>
  <conditionalFormatting sqref="AK152">
    <cfRule type="duplicateValues" dxfId="327" priority="34630" stopIfTrue="1"/>
    <cfRule type="duplicateValues" dxfId="326" priority="34636" stopIfTrue="1"/>
    <cfRule type="duplicateValues" dxfId="325" priority="34631" stopIfTrue="1"/>
  </conditionalFormatting>
  <conditionalFormatting sqref="AK153:AK158 AK160:AK161 AK163:AK164">
    <cfRule type="duplicateValues" dxfId="324" priority="34684" stopIfTrue="1"/>
    <cfRule type="duplicateValues" dxfId="323" priority="34685" stopIfTrue="1"/>
    <cfRule type="duplicateValues" dxfId="322" priority="34690" stopIfTrue="1"/>
  </conditionalFormatting>
  <conditionalFormatting sqref="AK159">
    <cfRule type="duplicateValues" dxfId="321" priority="34577" stopIfTrue="1"/>
    <cfRule type="duplicateValues" dxfId="320" priority="34576" stopIfTrue="1"/>
    <cfRule type="duplicateValues" dxfId="319" priority="34582" stopIfTrue="1"/>
  </conditionalFormatting>
  <conditionalFormatting sqref="AK162">
    <cfRule type="duplicateValues" dxfId="318" priority="34523" stopIfTrue="1"/>
    <cfRule type="duplicateValues" dxfId="317" priority="34528" stopIfTrue="1"/>
    <cfRule type="duplicateValues" dxfId="316" priority="34522" stopIfTrue="1"/>
  </conditionalFormatting>
  <conditionalFormatting sqref="AK173:AK175">
    <cfRule type="duplicateValues" dxfId="315" priority="35052" stopIfTrue="1"/>
    <cfRule type="duplicateValues" dxfId="314" priority="35051" stopIfTrue="1"/>
    <cfRule type="duplicateValues" dxfId="313" priority="35057" stopIfTrue="1"/>
  </conditionalFormatting>
  <conditionalFormatting sqref="AK175">
    <cfRule type="duplicateValues" dxfId="312" priority="35064" stopIfTrue="1"/>
    <cfRule type="duplicateValues" dxfId="311" priority="35062" stopIfTrue="1"/>
    <cfRule type="duplicateValues" dxfId="310" priority="35061" stopIfTrue="1"/>
    <cfRule type="duplicateValues" dxfId="309" priority="35060" stopIfTrue="1"/>
  </conditionalFormatting>
  <conditionalFormatting sqref="AK176">
    <cfRule type="duplicateValues" dxfId="308" priority="35377" stopIfTrue="1"/>
    <cfRule type="duplicateValues" dxfId="307" priority="35378" stopIfTrue="1"/>
    <cfRule type="duplicateValues" dxfId="306" priority="35383" stopIfTrue="1"/>
  </conditionalFormatting>
  <conditionalFormatting sqref="AK177">
    <cfRule type="duplicateValues" dxfId="305" priority="34943" stopIfTrue="1"/>
    <cfRule type="duplicateValues" dxfId="304" priority="34944" stopIfTrue="1"/>
    <cfRule type="duplicateValues" dxfId="303" priority="34949" stopIfTrue="1"/>
  </conditionalFormatting>
  <conditionalFormatting sqref="AK178:AK191">
    <cfRule type="duplicateValues" dxfId="302" priority="9317" stopIfTrue="1"/>
    <cfRule type="duplicateValues" dxfId="301" priority="9319" stopIfTrue="1"/>
  </conditionalFormatting>
  <conditionalFormatting sqref="AK197">
    <cfRule type="duplicateValues" dxfId="300" priority="33416" stopIfTrue="1"/>
    <cfRule type="duplicateValues" dxfId="299" priority="33415" stopIfTrue="1"/>
    <cfRule type="duplicateValues" dxfId="298" priority="33421" stopIfTrue="1"/>
  </conditionalFormatting>
  <conditionalFormatting sqref="AK198">
    <cfRule type="duplicateValues" dxfId="297" priority="34469" stopIfTrue="1"/>
    <cfRule type="duplicateValues" dxfId="296" priority="34474" stopIfTrue="1"/>
    <cfRule type="duplicateValues" dxfId="295" priority="34468" stopIfTrue="1"/>
  </conditionalFormatting>
  <conditionalFormatting sqref="AK199:AK200">
    <cfRule type="duplicateValues" dxfId="294" priority="33933" stopIfTrue="1"/>
    <cfRule type="duplicateValues" dxfId="293" priority="33928" stopIfTrue="1"/>
    <cfRule type="duplicateValues" dxfId="292" priority="33927" stopIfTrue="1"/>
  </conditionalFormatting>
  <conditionalFormatting sqref="AK201:AK202 AK204">
    <cfRule type="duplicateValues" dxfId="291" priority="33716" stopIfTrue="1"/>
    <cfRule type="duplicateValues" dxfId="290" priority="33711" stopIfTrue="1"/>
    <cfRule type="duplicateValues" dxfId="289" priority="33710" stopIfTrue="1"/>
  </conditionalFormatting>
  <conditionalFormatting sqref="AK203">
    <cfRule type="duplicateValues" dxfId="288" priority="33366" stopIfTrue="1"/>
    <cfRule type="duplicateValues" dxfId="287" priority="33361" stopIfTrue="1"/>
    <cfRule type="duplicateValues" dxfId="286" priority="33360" stopIfTrue="1"/>
  </conditionalFormatting>
  <conditionalFormatting sqref="AK204:AK205 AK1:AK44 AK218:AK237 AK300:AK371 AK374:AK384 AK387:AK390 AK392 AK394:AK395 AK397:AK404 AK408:AK410 AK412 AK414:AK416 AK419:AK422 AK425:AK427 AK430:AK433 AK435:AK452 AK454:AK490 AK492:AK65536 AK48:AK97 AK99:AK109 AK111:AK124 AK126 AK128:AK137 AK139:AK202 AK254:AK274 AK277:AK280">
    <cfRule type="duplicateValues" dxfId="285" priority="33412" stopIfTrue="1"/>
  </conditionalFormatting>
  <conditionalFormatting sqref="AK205">
    <cfRule type="duplicateValues" dxfId="284" priority="33608" stopIfTrue="1"/>
    <cfRule type="duplicateValues" dxfId="283" priority="33603" stopIfTrue="1"/>
    <cfRule type="duplicateValues" dxfId="282" priority="33602" stopIfTrue="1"/>
  </conditionalFormatting>
  <conditionalFormatting sqref="AK206:AK217">
    <cfRule type="duplicateValues" dxfId="281" priority="33294" stopIfTrue="1"/>
  </conditionalFormatting>
  <conditionalFormatting sqref="AK211">
    <cfRule type="duplicateValues" dxfId="280" priority="33300" stopIfTrue="1"/>
    <cfRule type="duplicateValues" dxfId="279" priority="33295" stopIfTrue="1"/>
  </conditionalFormatting>
  <conditionalFormatting sqref="AK212:AK217 AK206:AK210">
    <cfRule type="duplicateValues" dxfId="278" priority="33312" stopIfTrue="1"/>
    <cfRule type="duplicateValues" dxfId="277" priority="33307" stopIfTrue="1"/>
  </conditionalFormatting>
  <conditionalFormatting sqref="AK218:AK237 AK1:AK44 AK198 AK300:AK371 AK374:AK384 AK387:AK390 AK392 AK394:AK395 AK397:AK404 AK408:AK410 AK412 AK414:AK416 AK419:AK422 AK425:AK427 AK430:AK433 AK435:AK452 AK454:AK490 AK492:AK65536 AK48:AK97 AK99:AK109 AK111:AK124 AK126 AK128:AK137 AK139:AK196 AK254:AK274 AK277:AK280">
    <cfRule type="duplicateValues" dxfId="276" priority="33979" stopIfTrue="1"/>
  </conditionalFormatting>
  <conditionalFormatting sqref="AK238">
    <cfRule type="duplicateValues" dxfId="275" priority="30940" stopIfTrue="1"/>
    <cfRule type="duplicateValues" dxfId="274" priority="30939" stopIfTrue="1"/>
    <cfRule type="duplicateValues" dxfId="273" priority="30936" stopIfTrue="1"/>
    <cfRule type="duplicateValues" dxfId="272" priority="30945" stopIfTrue="1"/>
  </conditionalFormatting>
  <conditionalFormatting sqref="AK239">
    <cfRule type="duplicateValues" dxfId="271" priority="30245" stopIfTrue="1"/>
    <cfRule type="duplicateValues" dxfId="270" priority="30236" stopIfTrue="1"/>
    <cfRule type="duplicateValues" dxfId="269" priority="30239" stopIfTrue="1"/>
    <cfRule type="duplicateValues" dxfId="268" priority="30240" stopIfTrue="1"/>
  </conditionalFormatting>
  <conditionalFormatting sqref="AK240">
    <cfRule type="duplicateValues" dxfId="267" priority="30300" stopIfTrue="1"/>
    <cfRule type="duplicateValues" dxfId="266" priority="30291" stopIfTrue="1"/>
    <cfRule type="duplicateValues" dxfId="265" priority="30294" stopIfTrue="1"/>
    <cfRule type="duplicateValues" dxfId="264" priority="30295" stopIfTrue="1"/>
  </conditionalFormatting>
  <conditionalFormatting sqref="AK241">
    <cfRule type="duplicateValues" dxfId="263" priority="30349" stopIfTrue="1"/>
    <cfRule type="duplicateValues" dxfId="262" priority="30350" stopIfTrue="1"/>
    <cfRule type="duplicateValues" dxfId="261" priority="30355" stopIfTrue="1"/>
    <cfRule type="duplicateValues" dxfId="260" priority="30346" stopIfTrue="1"/>
  </conditionalFormatting>
  <conditionalFormatting sqref="AK242">
    <cfRule type="duplicateValues" dxfId="259" priority="30410" stopIfTrue="1"/>
    <cfRule type="duplicateValues" dxfId="258" priority="30401" stopIfTrue="1"/>
    <cfRule type="duplicateValues" dxfId="257" priority="30404" stopIfTrue="1"/>
    <cfRule type="duplicateValues" dxfId="256" priority="30405" stopIfTrue="1"/>
  </conditionalFormatting>
  <conditionalFormatting sqref="AK243">
    <cfRule type="duplicateValues" dxfId="255" priority="30885" stopIfTrue="1"/>
    <cfRule type="duplicateValues" dxfId="254" priority="30884" stopIfTrue="1"/>
    <cfRule type="duplicateValues" dxfId="253" priority="30890" stopIfTrue="1"/>
    <cfRule type="duplicateValues" dxfId="252" priority="30881" stopIfTrue="1"/>
  </conditionalFormatting>
  <conditionalFormatting sqref="AK244">
    <cfRule type="duplicateValues" dxfId="251" priority="30835" stopIfTrue="1"/>
    <cfRule type="duplicateValues" dxfId="250" priority="30830" stopIfTrue="1"/>
    <cfRule type="duplicateValues" dxfId="249" priority="30829" stopIfTrue="1"/>
    <cfRule type="duplicateValues" dxfId="248" priority="30826" stopIfTrue="1"/>
  </conditionalFormatting>
  <conditionalFormatting sqref="AK245">
    <cfRule type="duplicateValues" dxfId="247" priority="30695" stopIfTrue="1"/>
    <cfRule type="duplicateValues" dxfId="246" priority="30686" stopIfTrue="1"/>
    <cfRule type="duplicateValues" dxfId="245" priority="30689" stopIfTrue="1"/>
    <cfRule type="duplicateValues" dxfId="244" priority="30681" stopIfTrue="1"/>
    <cfRule type="duplicateValues" dxfId="243" priority="30692" stopIfTrue="1"/>
    <cfRule type="duplicateValues" dxfId="242" priority="30691" stopIfTrue="1"/>
    <cfRule type="duplicateValues" dxfId="241" priority="30694"/>
    <cfRule type="duplicateValues" dxfId="240" priority="30690" stopIfTrue="1"/>
    <cfRule type="duplicateValues" dxfId="239" priority="30680" stopIfTrue="1"/>
    <cfRule type="duplicateValues" dxfId="238" priority="30676" stopIfTrue="1"/>
    <cfRule type="duplicateValues" dxfId="237" priority="30677" stopIfTrue="1"/>
  </conditionalFormatting>
  <conditionalFormatting sqref="AK246">
    <cfRule type="duplicateValues" dxfId="236" priority="30625" stopIfTrue="1"/>
    <cfRule type="duplicateValues" dxfId="235" priority="30624" stopIfTrue="1"/>
    <cfRule type="duplicateValues" dxfId="234" priority="30630" stopIfTrue="1"/>
    <cfRule type="duplicateValues" dxfId="233" priority="30621" stopIfTrue="1"/>
  </conditionalFormatting>
  <conditionalFormatting sqref="AK247">
    <cfRule type="duplicateValues" dxfId="232" priority="30569" stopIfTrue="1"/>
    <cfRule type="duplicateValues" dxfId="231" priority="30566" stopIfTrue="1"/>
    <cfRule type="duplicateValues" dxfId="230" priority="30575" stopIfTrue="1"/>
    <cfRule type="duplicateValues" dxfId="229" priority="30570" stopIfTrue="1"/>
  </conditionalFormatting>
  <conditionalFormatting sqref="AK248">
    <cfRule type="duplicateValues" dxfId="228" priority="30511" stopIfTrue="1"/>
    <cfRule type="duplicateValues" dxfId="227" priority="30515" stopIfTrue="1"/>
    <cfRule type="duplicateValues" dxfId="226" priority="30520" stopIfTrue="1"/>
    <cfRule type="duplicateValues" dxfId="225" priority="30514" stopIfTrue="1"/>
  </conditionalFormatting>
  <conditionalFormatting sqref="AK249">
    <cfRule type="duplicateValues" dxfId="224" priority="30465" stopIfTrue="1"/>
    <cfRule type="duplicateValues" dxfId="223" priority="30456" stopIfTrue="1"/>
    <cfRule type="duplicateValues" dxfId="222" priority="30459" stopIfTrue="1"/>
    <cfRule type="duplicateValues" dxfId="221" priority="30460" stopIfTrue="1"/>
  </conditionalFormatting>
  <conditionalFormatting sqref="AK250">
    <cfRule type="duplicateValues" dxfId="220" priority="30752" stopIfTrue="1"/>
    <cfRule type="duplicateValues" dxfId="219" priority="30753" stopIfTrue="1"/>
    <cfRule type="duplicateValues" dxfId="218" priority="30765" stopIfTrue="1"/>
    <cfRule type="duplicateValues" dxfId="217" priority="30758" stopIfTrue="1"/>
    <cfRule type="duplicateValues" dxfId="216" priority="30761" stopIfTrue="1"/>
    <cfRule type="duplicateValues" dxfId="215" priority="30762" stopIfTrue="1"/>
    <cfRule type="duplicateValues" dxfId="214" priority="30763" stopIfTrue="1"/>
    <cfRule type="duplicateValues" dxfId="213" priority="30764" stopIfTrue="1"/>
    <cfRule type="duplicateValues" dxfId="212" priority="30749" stopIfTrue="1"/>
  </conditionalFormatting>
  <conditionalFormatting sqref="AK251">
    <cfRule type="duplicateValues" dxfId="211" priority="30190" stopIfTrue="1"/>
    <cfRule type="duplicateValues" dxfId="210" priority="30185" stopIfTrue="1"/>
    <cfRule type="duplicateValues" dxfId="209" priority="30184" stopIfTrue="1"/>
    <cfRule type="duplicateValues" dxfId="208" priority="30181" stopIfTrue="1"/>
  </conditionalFormatting>
  <conditionalFormatting sqref="AK252">
    <cfRule type="duplicateValues" dxfId="207" priority="29860" stopIfTrue="1"/>
    <cfRule type="duplicateValues" dxfId="206" priority="29855" stopIfTrue="1"/>
    <cfRule type="duplicateValues" dxfId="205" priority="29854" stopIfTrue="1"/>
    <cfRule type="duplicateValues" dxfId="204" priority="29851" stopIfTrue="1"/>
  </conditionalFormatting>
  <conditionalFormatting sqref="AK253">
    <cfRule type="duplicateValues" dxfId="203" priority="30080" stopIfTrue="1"/>
    <cfRule type="duplicateValues" dxfId="202" priority="30075" stopIfTrue="1"/>
    <cfRule type="duplicateValues" dxfId="201" priority="30074" stopIfTrue="1"/>
    <cfRule type="duplicateValues" dxfId="200" priority="30071" stopIfTrue="1"/>
  </conditionalFormatting>
  <conditionalFormatting sqref="AK275:AK276">
    <cfRule type="duplicateValues" dxfId="199" priority="30020" stopIfTrue="1"/>
    <cfRule type="duplicateValues" dxfId="198" priority="30025" stopIfTrue="1"/>
    <cfRule type="duplicateValues" dxfId="197" priority="30019" stopIfTrue="1"/>
    <cfRule type="duplicateValues" dxfId="196" priority="30016" stopIfTrue="1"/>
  </conditionalFormatting>
  <conditionalFormatting sqref="AK281">
    <cfRule type="duplicateValues" dxfId="195" priority="32614" stopIfTrue="1"/>
    <cfRule type="duplicateValues" dxfId="194" priority="32613" stopIfTrue="1"/>
    <cfRule type="duplicateValues" dxfId="193" priority="32619" stopIfTrue="1"/>
  </conditionalFormatting>
  <conditionalFormatting sqref="AK282">
    <cfRule type="duplicateValues" dxfId="192" priority="33241" stopIfTrue="1"/>
    <cfRule type="duplicateValues" dxfId="191" priority="33240" stopIfTrue="1"/>
    <cfRule type="duplicateValues" dxfId="190" priority="33246" stopIfTrue="1"/>
  </conditionalFormatting>
  <conditionalFormatting sqref="AK283:AK284">
    <cfRule type="duplicateValues" dxfId="189" priority="33133" stopIfTrue="1"/>
    <cfRule type="duplicateValues" dxfId="188" priority="33132" stopIfTrue="1"/>
    <cfRule type="duplicateValues" dxfId="187" priority="33138" stopIfTrue="1"/>
  </conditionalFormatting>
  <conditionalFormatting sqref="AK285">
    <cfRule type="duplicateValues" dxfId="186" priority="33084" stopIfTrue="1"/>
    <cfRule type="duplicateValues" dxfId="185" priority="33079" stopIfTrue="1"/>
    <cfRule type="duplicateValues" dxfId="184" priority="33078" stopIfTrue="1"/>
  </conditionalFormatting>
  <conditionalFormatting sqref="AK286:AK299">
    <cfRule type="duplicateValues" dxfId="183" priority="32789" stopIfTrue="1"/>
    <cfRule type="duplicateValues" dxfId="182" priority="32794" stopIfTrue="1"/>
    <cfRule type="duplicateValues" dxfId="181" priority="32788" stopIfTrue="1"/>
  </conditionalFormatting>
  <conditionalFormatting sqref="AK291">
    <cfRule type="duplicateValues" dxfId="180" priority="32778" stopIfTrue="1"/>
    <cfRule type="duplicateValues" dxfId="179" priority="32777" stopIfTrue="1"/>
    <cfRule type="duplicateValues" dxfId="178" priority="32774" stopIfTrue="1"/>
    <cfRule type="duplicateValues" dxfId="177" priority="32773" stopIfTrue="1"/>
    <cfRule type="duplicateValues" dxfId="176" priority="32770" stopIfTrue="1"/>
    <cfRule type="duplicateValues" dxfId="175" priority="32767" stopIfTrue="1"/>
    <cfRule type="duplicateValues" dxfId="174" priority="32765" stopIfTrue="1"/>
    <cfRule type="duplicateValues" dxfId="173" priority="32763" stopIfTrue="1"/>
    <cfRule type="duplicateValues" dxfId="172" priority="32762" stopIfTrue="1"/>
    <cfRule type="duplicateValues" dxfId="171" priority="32761" stopIfTrue="1"/>
    <cfRule type="duplicateValues" dxfId="170" priority="32760"/>
    <cfRule type="duplicateValues" dxfId="169" priority="32759" stopIfTrue="1"/>
    <cfRule type="duplicateValues" dxfId="168" priority="32758" stopIfTrue="1"/>
    <cfRule type="duplicateValues" dxfId="167" priority="32757" stopIfTrue="1"/>
    <cfRule type="duplicateValues" dxfId="166" priority="32754" stopIfTrue="1"/>
    <cfRule type="duplicateValues" dxfId="165" priority="32753" stopIfTrue="1"/>
    <cfRule type="duplicateValues" dxfId="164" priority="32750" stopIfTrue="1"/>
    <cfRule type="duplicateValues" dxfId="163" priority="32747" stopIfTrue="1"/>
    <cfRule type="duplicateValues" dxfId="162" priority="32785" stopIfTrue="1"/>
    <cfRule type="duplicateValues" dxfId="161" priority="32783" stopIfTrue="1"/>
    <cfRule type="duplicateValues" dxfId="160" priority="32782" stopIfTrue="1"/>
    <cfRule type="duplicateValues" dxfId="159" priority="32781" stopIfTrue="1"/>
    <cfRule type="duplicateValues" dxfId="158" priority="32780"/>
    <cfRule type="duplicateValues" dxfId="157" priority="32779" stopIfTrue="1"/>
  </conditionalFormatting>
  <conditionalFormatting sqref="AK372">
    <cfRule type="duplicateValues" dxfId="156" priority="32558" stopIfTrue="1"/>
    <cfRule type="duplicateValues" dxfId="155" priority="32563" stopIfTrue="1"/>
    <cfRule type="duplicateValues" dxfId="154" priority="32557" stopIfTrue="1"/>
  </conditionalFormatting>
  <conditionalFormatting sqref="AK373">
    <cfRule type="duplicateValues" dxfId="153" priority="32501" stopIfTrue="1"/>
    <cfRule type="duplicateValues" dxfId="152" priority="32507" stopIfTrue="1"/>
    <cfRule type="duplicateValues" dxfId="151" priority="32502" stopIfTrue="1"/>
  </conditionalFormatting>
  <conditionalFormatting sqref="AK385">
    <cfRule type="duplicateValues" dxfId="150" priority="32452" stopIfTrue="1"/>
    <cfRule type="duplicateValues" dxfId="149" priority="32451" stopIfTrue="1"/>
    <cfRule type="duplicateValues" dxfId="148" priority="32450" stopIfTrue="1"/>
    <cfRule type="duplicateValues" dxfId="147" priority="32453" stopIfTrue="1"/>
  </conditionalFormatting>
  <conditionalFormatting sqref="AK385:AK386">
    <cfRule type="duplicateValues" dxfId="146" priority="32441" stopIfTrue="1"/>
    <cfRule type="duplicateValues" dxfId="145" priority="32442" stopIfTrue="1"/>
    <cfRule type="duplicateValues" dxfId="144" priority="32447" stopIfTrue="1"/>
  </conditionalFormatting>
  <conditionalFormatting sqref="AK391">
    <cfRule type="duplicateValues" dxfId="143" priority="32391" stopIfTrue="1"/>
    <cfRule type="duplicateValues" dxfId="142" priority="32385" stopIfTrue="1"/>
    <cfRule type="duplicateValues" dxfId="141" priority="32386" stopIfTrue="1"/>
  </conditionalFormatting>
  <conditionalFormatting sqref="AK393">
    <cfRule type="duplicateValues" dxfId="140" priority="32326" stopIfTrue="1"/>
    <cfRule type="duplicateValues" dxfId="139" priority="32325" stopIfTrue="1"/>
    <cfRule type="duplicateValues" dxfId="138" priority="32336" stopIfTrue="1"/>
    <cfRule type="duplicateValues" dxfId="137" priority="32331" stopIfTrue="1"/>
    <cfRule type="duplicateValues" dxfId="136" priority="32334" stopIfTrue="1"/>
    <cfRule type="duplicateValues" dxfId="135" priority="32335" stopIfTrue="1"/>
  </conditionalFormatting>
  <conditionalFormatting sqref="AK396">
    <cfRule type="duplicateValues" dxfId="134" priority="32264" stopIfTrue="1"/>
    <cfRule type="duplicateValues" dxfId="133" priority="32269" stopIfTrue="1"/>
    <cfRule type="duplicateValues" dxfId="132" priority="32275" stopIfTrue="1"/>
    <cfRule type="duplicateValues" dxfId="131" priority="32274" stopIfTrue="1"/>
    <cfRule type="duplicateValues" dxfId="130" priority="32273" stopIfTrue="1"/>
    <cfRule type="duplicateValues" dxfId="129" priority="32272" stopIfTrue="1"/>
    <cfRule type="duplicateValues" dxfId="128" priority="32276" stopIfTrue="1"/>
    <cfRule type="duplicateValues" dxfId="127" priority="32277" stopIfTrue="1"/>
    <cfRule type="duplicateValues" dxfId="126" priority="32263" stopIfTrue="1"/>
  </conditionalFormatting>
  <conditionalFormatting sqref="AK405">
    <cfRule type="duplicateValues" dxfId="125" priority="32206" stopIfTrue="1"/>
    <cfRule type="duplicateValues" dxfId="124" priority="32207" stopIfTrue="1"/>
    <cfRule type="duplicateValues" dxfId="123" priority="32212" stopIfTrue="1"/>
  </conditionalFormatting>
  <conditionalFormatting sqref="AK406">
    <cfRule type="duplicateValues" dxfId="122" priority="32150" stopIfTrue="1"/>
    <cfRule type="duplicateValues" dxfId="121" priority="32151" stopIfTrue="1"/>
    <cfRule type="duplicateValues" dxfId="120" priority="32156" stopIfTrue="1"/>
  </conditionalFormatting>
  <conditionalFormatting sqref="AK407">
    <cfRule type="duplicateValues" dxfId="119" priority="32095" stopIfTrue="1"/>
    <cfRule type="duplicateValues" dxfId="118" priority="32094" stopIfTrue="1"/>
    <cfRule type="duplicateValues" dxfId="117" priority="32100" stopIfTrue="1"/>
  </conditionalFormatting>
  <conditionalFormatting sqref="AK408:AK410 AK1:AK44 AK412 AK414:AK416 AK419:AK422 AK425:AK427 AK430:AK433 AK435:AK452 AK454:AK490 AK492:AK65536 AK48:AK97 AK99:AK109 AK111:AK124 AK126 AK128:AK137 AK139:AK237 AK254:AK274 AK277:AK404">
    <cfRule type="duplicateValues" dxfId="116" priority="32260" stopIfTrue="1"/>
  </conditionalFormatting>
  <conditionalFormatting sqref="AK411">
    <cfRule type="duplicateValues" dxfId="115" priority="32039" stopIfTrue="1"/>
    <cfRule type="duplicateValues" dxfId="114" priority="32044" stopIfTrue="1"/>
    <cfRule type="duplicateValues" dxfId="113" priority="32038" stopIfTrue="1"/>
  </conditionalFormatting>
  <conditionalFormatting sqref="AK413">
    <cfRule type="duplicateValues" dxfId="112" priority="31983" stopIfTrue="1"/>
    <cfRule type="duplicateValues" dxfId="111" priority="31982" stopIfTrue="1"/>
    <cfRule type="duplicateValues" dxfId="110" priority="31988" stopIfTrue="1"/>
  </conditionalFormatting>
  <conditionalFormatting sqref="AK417">
    <cfRule type="duplicateValues" dxfId="109" priority="31914" stopIfTrue="1"/>
    <cfRule type="duplicateValues" dxfId="108" priority="31917" stopIfTrue="1"/>
    <cfRule type="duplicateValues" dxfId="107" priority="31918" stopIfTrue="1"/>
    <cfRule type="duplicateValues" dxfId="106" priority="31923" stopIfTrue="1"/>
  </conditionalFormatting>
  <conditionalFormatting sqref="AK418">
    <cfRule type="duplicateValues" dxfId="105" priority="9006" stopIfTrue="1"/>
    <cfRule type="duplicateValues" dxfId="104" priority="9005" stopIfTrue="1"/>
    <cfRule type="duplicateValues" dxfId="103" priority="9003" stopIfTrue="1"/>
    <cfRule type="expression" dxfId="102" priority="9015" stopIfTrue="1">
      <formula>AND(COUNTIF($F$297:$F$305,AK418)+COUNTIF($F$1:$F$2,AK418)+COUNTIF($F$307:$F$65536,AK418)+COUNTIF($F$8:$F$9,AK418)+COUNTIF($F$11:$F$26,AK418)+COUNTIF($F$28:$F$295,AK418)+COUNTIF($F$4:$F$4,AK418)&gt;1,NOT(ISBLANK(AK418)))</formula>
    </cfRule>
    <cfRule type="expression" dxfId="101" priority="9012" stopIfTrue="1">
      <formula>AND(COUNTIF($F$509:$F$65536,AK418)+COUNTIF($F$1:$F$2,AK418)+COUNTIF($F$297:$F$305,AK418)+COUNTIF($F$307:$F$507,AK418)+COUNTIF($F$8:$F$9,AK418)+COUNTIF($F$11:$F$26,AK418)+COUNTIF($F$28:$F$295,AK418)+COUNTIF($F$4:$F$4,AK418)&gt;1,NOT(ISBLANK(AK418)))</formula>
    </cfRule>
    <cfRule type="expression" dxfId="100" priority="9009" stopIfTrue="1">
      <formula>AND(COUNTIF($F$8:$F$9,AK418)+COUNTIF($F$1:$F$2,AK418)+COUNTIF($F$11:$F$26,AK418)+COUNTIF($F$28:$F$65536,AK418)+COUNTIF($F$4:$F$4,AK418)&gt;1,NOT(ISBLANK(AK418)))</formula>
    </cfRule>
    <cfRule type="expression" dxfId="99" priority="9008" stopIfTrue="1">
      <formula>AND(COUNTIF($F$4:$F$65536,AK418)+COUNTIF($F$1:$F$2,AK418)&gt;1,NOT(ISBLANK(AK418)))</formula>
    </cfRule>
    <cfRule type="expression" dxfId="98" priority="9007" stopIfTrue="1">
      <formula>AND(COUNTIF($F$4:$F$65536,AK418)+COUNTIF($F$1:$F$2,AK418)&gt;1,NOT(ISBLANK(AK418)))</formula>
    </cfRule>
    <cfRule type="duplicateValues" dxfId="97" priority="9004" stopIfTrue="1"/>
  </conditionalFormatting>
  <conditionalFormatting sqref="AK419:AK422 AK1:AK44 AK425:AK427 AK430:AK433 AK435:AK452 AK454:AK490 AK492:AK65536 AK48:AK97 AK99:AK109 AK111:AK124 AK126 AK128:AK137 AK139:AK237 AK254:AK274 AK277:AK416">
    <cfRule type="duplicateValues" dxfId="96" priority="31969" stopIfTrue="1"/>
    <cfRule type="duplicateValues" dxfId="95" priority="31972" stopIfTrue="1"/>
    <cfRule type="duplicateValues" dxfId="94" priority="31973" stopIfTrue="1"/>
    <cfRule type="duplicateValues" dxfId="93" priority="31975" stopIfTrue="1"/>
    <cfRule type="duplicateValues" dxfId="92" priority="31977" stopIfTrue="1"/>
    <cfRule type="duplicateValues" dxfId="91" priority="31978" stopIfTrue="1"/>
    <cfRule type="duplicateValues" dxfId="90" priority="31979" stopIfTrue="1"/>
    <cfRule type="duplicateValues" dxfId="89" priority="31974" stopIfTrue="1"/>
    <cfRule type="duplicateValues" dxfId="88" priority="31971" stopIfTrue="1"/>
    <cfRule type="duplicateValues" dxfId="87" priority="31970" stopIfTrue="1"/>
  </conditionalFormatting>
  <conditionalFormatting sqref="AK423">
    <cfRule type="duplicateValues" dxfId="86" priority="31704" stopIfTrue="1"/>
    <cfRule type="duplicateValues" dxfId="85" priority="31699" stopIfTrue="1"/>
    <cfRule type="duplicateValues" dxfId="84" priority="31698" stopIfTrue="1"/>
    <cfRule type="duplicateValues" dxfId="83" priority="31695" stopIfTrue="1"/>
  </conditionalFormatting>
  <conditionalFormatting sqref="AK424">
    <cfRule type="duplicateValues" dxfId="82" priority="31814" stopIfTrue="1"/>
    <cfRule type="duplicateValues" dxfId="81" priority="31809" stopIfTrue="1"/>
    <cfRule type="duplicateValues" dxfId="80" priority="31808" stopIfTrue="1"/>
    <cfRule type="duplicateValues" dxfId="79" priority="31805" stopIfTrue="1"/>
  </conditionalFormatting>
  <conditionalFormatting sqref="AK428:AK429">
    <cfRule type="duplicateValues" dxfId="78" priority="31642" stopIfTrue="1"/>
    <cfRule type="duplicateValues" dxfId="77" priority="31641" stopIfTrue="1"/>
    <cfRule type="duplicateValues" dxfId="76" priority="31638" stopIfTrue="1"/>
    <cfRule type="duplicateValues" dxfId="75" priority="31647" stopIfTrue="1"/>
  </conditionalFormatting>
  <conditionalFormatting sqref="AK434">
    <cfRule type="duplicateValues" dxfId="74" priority="31563" stopIfTrue="1"/>
    <cfRule type="duplicateValues" dxfId="73" priority="31567" stopIfTrue="1"/>
    <cfRule type="duplicateValues" dxfId="72" priority="31566" stopIfTrue="1"/>
    <cfRule type="duplicateValues" dxfId="71" priority="31572" stopIfTrue="1"/>
  </conditionalFormatting>
  <conditionalFormatting sqref="AK435:AK452 AK1:AK44 AK454:AK490 AK492:AK65536 AK48:AK97 AK99:AK109 AK111:AK124 AK126 AK128:AK137 AK139:AK237 AK254:AK274 AK277:AK433">
    <cfRule type="duplicateValues" dxfId="70" priority="31613" stopIfTrue="1"/>
  </conditionalFormatting>
  <conditionalFormatting sqref="AK453">
    <cfRule type="duplicateValues" dxfId="69" priority="31517" stopIfTrue="1"/>
    <cfRule type="duplicateValues" dxfId="68" priority="31508" stopIfTrue="1"/>
    <cfRule type="duplicateValues" dxfId="67" priority="31512" stopIfTrue="1"/>
    <cfRule type="duplicateValues" dxfId="66" priority="31511" stopIfTrue="1"/>
  </conditionalFormatting>
  <conditionalFormatting sqref="AK491">
    <cfRule type="duplicateValues" dxfId="65" priority="29360" stopIfTrue="1"/>
    <cfRule type="duplicateValues" dxfId="64" priority="29350" stopIfTrue="1"/>
    <cfRule type="duplicateValues" dxfId="63" priority="29348" stopIfTrue="1"/>
    <cfRule type="duplicateValues" dxfId="62" priority="29345" stopIfTrue="1"/>
    <cfRule type="duplicateValues" dxfId="61" priority="29359" stopIfTrue="1"/>
    <cfRule type="duplicateValues" dxfId="60" priority="29362" stopIfTrue="1"/>
    <cfRule type="duplicateValues" dxfId="59" priority="29363" stopIfTrue="1"/>
    <cfRule type="duplicateValues" dxfId="58" priority="29361" stopIfTrue="1"/>
    <cfRule type="duplicateValues" dxfId="57" priority="29355" stopIfTrue="1"/>
    <cfRule type="duplicateValues" dxfId="56" priority="29358"/>
  </conditionalFormatting>
  <conditionalFormatting sqref="AK518">
    <cfRule type="duplicateValues" dxfId="55" priority="35808" stopIfTrue="1"/>
    <cfRule type="duplicateValues" dxfId="54" priority="35797" stopIfTrue="1"/>
  </conditionalFormatting>
  <conditionalFormatting sqref="AM488:AM492">
    <cfRule type="expression" dxfId="53" priority="2336" stopIfTrue="1">
      <formula>AND(COUNTIF($B$147:$F$155,AM488)+COUNTIF($B$157:$F$65536,AM488)+COUNTIF($B$8:$F$9,AM488)+COUNTIF($B$11:$F$26,AM488)+COUNTIF($B$28:$F$145,AM488)+COUNTIF($B$4:$F$4,AM488)+COUNTIF($B$1:$F$2,AM488)&gt;1,NOT(ISBLANK(AM488)))</formula>
    </cfRule>
    <cfRule type="expression" dxfId="52" priority="2339" stopIfTrue="1">
      <formula>AND(COUNTIF($B$8:$F$9,AM488)+COUNTIF($B$11:$F$26,AM488)+COUNTIF($B$28:$F$65536,AM488)+COUNTIF($B$4:$F$4,AM488)+COUNTIF($B$1:$F$2,AM488)&gt;1,NOT(ISBLANK(AM488)))</formula>
    </cfRule>
  </conditionalFormatting>
  <conditionalFormatting sqref="AM488:AM493">
    <cfRule type="expression" dxfId="51" priority="2335" stopIfTrue="1">
      <formula>AND(COUNTIF($B$4:$B$65536,AM488)+COUNTIF($B$1:$B$2,AM488)&gt;1,NOT(ISBLANK(AM488)))</formula>
    </cfRule>
  </conditionalFormatting>
  <conditionalFormatting sqref="AM493">
    <cfRule type="expression" dxfId="50" priority="2352" stopIfTrue="1">
      <formula>AND(COUNTIF($B$8:$F$9,AM493)+COUNTIF($B$11:$F$26,AM493)+COUNTIF($B$28:$F$65536,AM493)+COUNTIF($B$4:$F$4,AM493)+COUNTIF($B$1:$F$2,AM493)&gt;1,NOT(ISBLANK(AM493)))</formula>
    </cfRule>
    <cfRule type="expression" dxfId="49" priority="2343" stopIfTrue="1">
      <formula>AND(COUNTIF($B$134:$F$142,AM493)+COUNTIF($B$144:$F$65536,AM493)+COUNTIF($B$8:$F$9,AM493)+COUNTIF($B$11:$F$26,AM493)+COUNTIF($B$28:$F$132,AM493)+COUNTIF($B$4:$F$4,AM493)+COUNTIF($B$1:$F$2,AM493)&gt;1,NOT(ISBLANK(AM493)))</formula>
    </cfRule>
  </conditionalFormatting>
  <conditionalFormatting sqref="AM494:AM495">
    <cfRule type="expression" dxfId="48" priority="2327" stopIfTrue="1">
      <formula>AND(COUNTIF($C$147:$F$155,AM494)+COUNTIF($C$157:$F$65536,AM494)+COUNTIF($C$8:$F$9,AM494)+COUNTIF($C$11:$F$26,AM494)+COUNTIF($C$28:$F$145,AM494)+COUNTIF($C$4:$F$4,AM494)+COUNTIF($C$1:$F$2,AM494)&gt;1,NOT(ISBLANK(AM494)))</formula>
    </cfRule>
    <cfRule type="expression" dxfId="47" priority="2328" stopIfTrue="1">
      <formula>AND(COUNTIF($C$4:$C$65536,AM494)+COUNTIF($C$1:$C$2,AM494)&gt;1,NOT(ISBLANK(AM494)))</formula>
    </cfRule>
    <cfRule type="expression" dxfId="46" priority="2329" stopIfTrue="1">
      <formula>AND(COUNTIF($B$147:$F$155,AM494)+COUNTIF($B$157:$F$65536,AM494)+COUNTIF($B$8:$F$9,AM494)+COUNTIF($B$11:$F$26,AM494)+COUNTIF($B$28:$F$145,AM494)+COUNTIF($B$4:$F$4,AM494)+COUNTIF($B$1:$F$2,AM494)&gt;1,NOT(ISBLANK(AM494)))</formula>
    </cfRule>
    <cfRule type="expression" dxfId="45" priority="2332" stopIfTrue="1">
      <formula>AND(COUNTIF($B$8:$F$9,AM494)+COUNTIF($B$11:$F$26,AM494)+COUNTIF($B$28:$F$65536,AM494)+COUNTIF($B$4:$F$4,AM494)+COUNTIF($B$1:$F$2,AM494)&gt;1,NOT(ISBLANK(AM494)))</formula>
    </cfRule>
  </conditionalFormatting>
  <conditionalFormatting sqref="AM496">
    <cfRule type="duplicateValues" dxfId="44" priority="2309" stopIfTrue="1"/>
    <cfRule type="duplicateValues" dxfId="43" priority="2310" stopIfTrue="1"/>
  </conditionalFormatting>
  <conditionalFormatting sqref="AM496:AM508">
    <cfRule type="expression" dxfId="42" priority="2317" stopIfTrue="1">
      <formula>AND(COUNTIF($B$8:$F$9,AM496)+COUNTIF($B$11:$F$26,AM496)+COUNTIF($B$28:$F$65536,AM496)+COUNTIF($B$4:$F$4,AM496)+COUNTIF($B$1:$F$2,AM496)&gt;1,NOT(ISBLANK(AM496)))</formula>
    </cfRule>
    <cfRule type="expression" dxfId="41" priority="2308" stopIfTrue="1">
      <formula>AND(COUNTIF($B$4:$B$65536,AM496)+COUNTIF($B$1:$B$2,AM496)&gt;1,NOT(ISBLANK(AM496)))</formula>
    </cfRule>
    <cfRule type="expression" dxfId="40" priority="2314" stopIfTrue="1">
      <formula>AND(COUNTIF($B$147:$F$155,AM496)+COUNTIF($B$157:$F$65536,AM496)+COUNTIF($B$8:$F$9,AM496)+COUNTIF($B$11:$F$26,AM496)+COUNTIF($B$28:$F$145,AM496)+COUNTIF($B$4:$F$4,AM496)+COUNTIF($B$1:$F$2,AM496)&gt;1,NOT(ISBLANK(AM496)))</formula>
    </cfRule>
  </conditionalFormatting>
  <conditionalFormatting sqref="AM497">
    <cfRule type="duplicateValues" dxfId="39" priority="2307" stopIfTrue="1"/>
    <cfRule type="duplicateValues" dxfId="38" priority="2306" stopIfTrue="1"/>
  </conditionalFormatting>
  <conditionalFormatting sqref="AM500">
    <cfRule type="duplicateValues" dxfId="37" priority="2312" stopIfTrue="1"/>
  </conditionalFormatting>
  <conditionalFormatting sqref="AM501:AM503 AM505:AM507">
    <cfRule type="duplicateValues" dxfId="36" priority="2326" stopIfTrue="1"/>
  </conditionalFormatting>
  <conditionalFormatting sqref="AM504">
    <cfRule type="expression" dxfId="35" priority="2316" stopIfTrue="1">
      <formula>AND(COUNTIF($B$147:$F$155,AM504)+COUNTIF($B$157:$F$65536,AM504)+COUNTIF($B$8:$F$9,AM504)+COUNTIF($B$11:$F$26,AM504)+COUNTIF($B$28:$F$145,AM504)+COUNTIF($B$4:$F$4,AM504)+COUNTIF($B$1:$F$2,AM504)&gt;1,NOT(ISBLANK(AM504)))</formula>
    </cfRule>
    <cfRule type="duplicateValues" dxfId="34" priority="2313" stopIfTrue="1"/>
  </conditionalFormatting>
  <conditionalFormatting sqref="AM508">
    <cfRule type="duplicateValues" dxfId="33" priority="2311" stopIfTrue="1"/>
  </conditionalFormatting>
  <conditionalFormatting sqref="AM509">
    <cfRule type="duplicateValues" dxfId="32" priority="2305" stopIfTrue="1"/>
  </conditionalFormatting>
  <conditionalFormatting sqref="AM509:AM510">
    <cfRule type="expression" dxfId="31" priority="2302" stopIfTrue="1">
      <formula>AND(COUNTIF($B$8:$F$9,AM509)+COUNTIF($B$11:$F$26,AM509)+COUNTIF($B$28:$F$65536,AM509)+COUNTIF($B$4:$F$4,AM509)+COUNTIF($B$1:$F$2,AM509)&gt;1,NOT(ISBLANK(AM509)))</formula>
    </cfRule>
    <cfRule type="expression" dxfId="30" priority="2298" stopIfTrue="1">
      <formula>AND(COUNTIF($C$4:$C$65536,AM509)+COUNTIF($C$1:$C$2,AM509)&gt;1,NOT(ISBLANK(AM509)))</formula>
    </cfRule>
    <cfRule type="expression" dxfId="29" priority="2297" stopIfTrue="1">
      <formula>AND(COUNTIF($C$147:$F$155,AM509)+COUNTIF($C$157:$F$65536,AM509)+COUNTIF($C$8:$F$9,AM509)+COUNTIF($C$11:$F$26,AM509)+COUNTIF($C$28:$F$145,AM509)+COUNTIF($C$4:$F$4,AM509)+COUNTIF($C$1:$F$2,AM509)&gt;1,NOT(ISBLANK(AM509)))</formula>
    </cfRule>
    <cfRule type="duplicateValues" dxfId="28" priority="2296" stopIfTrue="1"/>
    <cfRule type="expression" dxfId="27" priority="2299" stopIfTrue="1">
      <formula>AND(COUNTIF($B$147:$F$155,AM509)+COUNTIF($B$157:$F$65536,AM509)+COUNTIF($B$8:$F$9,AM509)+COUNTIF($B$11:$F$26,AM509)+COUNTIF($B$28:$F$145,AM509)+COUNTIF($B$4:$F$4,AM509)+COUNTIF($B$1:$F$2,AM509)&gt;1,NOT(ISBLANK(AM509)))</formula>
    </cfRule>
    <cfRule type="duplicateValues" dxfId="26" priority="2295" stopIfTrue="1"/>
  </conditionalFormatting>
  <conditionalFormatting sqref="AM511">
    <cfRule type="duplicateValues" dxfId="25" priority="2294" stopIfTrue="1"/>
  </conditionalFormatting>
  <conditionalFormatting sqref="AM511:AM512">
    <cfRule type="duplicateValues" dxfId="24" priority="2277" stopIfTrue="1"/>
    <cfRule type="duplicateValues" dxfId="23" priority="2278" stopIfTrue="1"/>
  </conditionalFormatting>
  <conditionalFormatting sqref="AM511:AM513">
    <cfRule type="expression" dxfId="22" priority="2291" stopIfTrue="1">
      <formula>AND(COUNTIF($B$8:$F$9,AM511)+COUNTIF($B$11:$F$26,AM511)+COUNTIF($B$28:$F$65536,AM511)+COUNTIF($B$4:$F$4,AM511)+COUNTIF($B$1:$F$2,AM511)&gt;1,NOT(ISBLANK(AM511)))</formula>
    </cfRule>
    <cfRule type="expression" dxfId="21" priority="2288" stopIfTrue="1">
      <formula>AND(COUNTIF($B$147:$F$155,AM511)+COUNTIF($B$157:$F$65536,AM511)+COUNTIF($B$8:$F$9,AM511)+COUNTIF($B$11:$F$26,AM511)+COUNTIF($B$28:$F$145,AM511)+COUNTIF($B$4:$F$4,AM511)+COUNTIF($B$1:$F$2,AM511)&gt;1,NOT(ISBLANK(AM511)))</formula>
    </cfRule>
    <cfRule type="expression" dxfId="20" priority="2285" stopIfTrue="1">
      <formula>AND(COUNTIF($B$4:$B$65536,AM511)+COUNTIF($B$1:$B$2,AM511)&gt;1,NOT(ISBLANK(AM511)))</formula>
    </cfRule>
  </conditionalFormatting>
  <conditionalFormatting sqref="AM513">
    <cfRule type="duplicateValues" dxfId="19" priority="2286" stopIfTrue="1"/>
    <cfRule type="duplicateValues" dxfId="18" priority="2287" stopIfTrue="1"/>
  </conditionalFormatting>
  <conditionalFormatting sqref="AM513:AM514">
    <cfRule type="expression" dxfId="17" priority="2274" stopIfTrue="1">
      <formula>AND(COUNTIF($B$8:$F$9,AM513)+COUNTIF($B$11:$F$26,AM513)+COUNTIF($B$28:$F$65536,AM513)+COUNTIF($B$4:$F$4,AM513)+COUNTIF($B$1:$F$2,AM513)&gt;1,NOT(ISBLANK(AM513)))</formula>
    </cfRule>
    <cfRule type="expression" dxfId="16" priority="2271" stopIfTrue="1">
      <formula>AND(COUNTIF($B$147:$F$155,AM513)+COUNTIF($B$157:$F$65536,AM513)+COUNTIF($B$8:$F$9,AM513)+COUNTIF($B$11:$F$26,AM513)+COUNTIF($B$28:$F$145,AM513)+COUNTIF($B$4:$F$4,AM513)+COUNTIF($B$1:$F$2,AM513)&gt;1,NOT(ISBLANK(AM513)))</formula>
    </cfRule>
  </conditionalFormatting>
  <conditionalFormatting sqref="AM514">
    <cfRule type="duplicateValues" dxfId="15" priority="2270" stopIfTrue="1"/>
    <cfRule type="duplicateValues" dxfId="14" priority="2269" stopIfTrue="1"/>
    <cfRule type="expression" dxfId="13" priority="2268" stopIfTrue="1">
      <formula>AND(COUNTIF($C$4:$C$65536,AM514)+COUNTIF($C$1:$C$2,AM514)&gt;1,NOT(ISBLANK(AM514)))</formula>
    </cfRule>
    <cfRule type="expression" dxfId="12" priority="2267" stopIfTrue="1">
      <formula>AND(COUNTIF($C$147:$F$155,AM514)+COUNTIF($C$157:$F$65536,AM514)+COUNTIF($C$8:$F$9,AM514)+COUNTIF($C$11:$F$26,AM514)+COUNTIF($C$28:$F$145,AM514)+COUNTIF($C$4:$F$4,AM514)+COUNTIF($C$1:$F$2,AM514)&gt;1,NOT(ISBLANK(AM514)))</formula>
    </cfRule>
    <cfRule type="expression" dxfId="11" priority="2264" stopIfTrue="1">
      <formula>AND(COUNTIF($B$8:$F$9,AM514)+COUNTIF($B$11:$F$26,AM514)+COUNTIF($B$28:$F$65536,AM514)+COUNTIF($B$4:$F$4,AM514)+COUNTIF($B$1:$F$2,AM514)&gt;1,NOT(ISBLANK(AM514)))</formula>
    </cfRule>
    <cfRule type="expression" dxfId="10" priority="2261" stopIfTrue="1">
      <formula>AND(COUNTIF($B$147:$F$155,AM514)+COUNTIF($B$157:$F$65536,AM514)+COUNTIF($B$8:$F$9,AM514)+COUNTIF($B$11:$F$26,AM514)+COUNTIF($B$28:$F$145,AM514)+COUNTIF($B$4:$F$4,AM514)+COUNTIF($B$1:$F$2,AM514)&gt;1,NOT(ISBLANK(AM514)))</formula>
    </cfRule>
    <cfRule type="duplicateValues" dxfId="9" priority="2260" stopIfTrue="1"/>
  </conditionalFormatting>
  <conditionalFormatting sqref="AM515:AM516">
    <cfRule type="expression" dxfId="8" priority="2251" stopIfTrue="1">
      <formula>AND(COUNTIF($B$8:$F$9,AM515)+COUNTIF($B$11:$F$26,AM515)+COUNTIF($B$28:$F$65536,AM515)+COUNTIF($B$4:$F$4,AM515)+COUNTIF($B$1:$F$2,AM515)&gt;1,NOT(ISBLANK(AM515)))</formula>
    </cfRule>
    <cfRule type="duplicateValues" dxfId="7" priority="2247" stopIfTrue="1"/>
    <cfRule type="duplicateValues" dxfId="6" priority="2246" stopIfTrue="1"/>
  </conditionalFormatting>
  <conditionalFormatting sqref="AM515:AM517">
    <cfRule type="expression" dxfId="5" priority="2248" stopIfTrue="1">
      <formula>AND(COUNTIF($B$147:$F$155,AM515)+COUNTIF($B$157:$F$65536,AM515)+COUNTIF($B$8:$F$9,AM515)+COUNTIF($B$11:$F$26,AM515)+COUNTIF($B$28:$F$145,AM515)+COUNTIF($B$4:$F$4,AM515)+COUNTIF($B$1:$F$2,AM515)&gt;1,NOT(ISBLANK(AM515)))</formula>
    </cfRule>
    <cfRule type="expression" dxfId="4" priority="2245" stopIfTrue="1">
      <formula>AND(COUNTIF($B$4:$B$65536,AM515)+COUNTIF($B$1:$B$2,AM515)&gt;1,NOT(ISBLANK(AM515)))</formula>
    </cfRule>
  </conditionalFormatting>
  <conditionalFormatting sqref="AM516">
    <cfRule type="expression" dxfId="3" priority="2242" stopIfTrue="1">
      <formula>AND(COUNTIF($B$8:$F$9,AM516)+COUNTIF($B$11:$F$26,AM516)+COUNTIF($B$28:$F$65536,AM516)+COUNTIF($B$4:$F$4,AM516)+COUNTIF($B$1:$F$2,AM516)&gt;1,NOT(ISBLANK(AM516)))</formula>
    </cfRule>
    <cfRule type="expression" dxfId="2" priority="2239" stopIfTrue="1">
      <formula>AND(COUNTIF($B$147:$F$155,AM516)+COUNTIF($B$157:$F$65536,AM516)+COUNTIF($B$8:$F$9,AM516)+COUNTIF($B$11:$F$26,AM516)+COUNTIF($B$28:$F$145,AM516)+COUNTIF($B$4:$F$4,AM516)+COUNTIF($B$1:$F$2,AM516)&gt;1,NOT(ISBLANK(AM516)))</formula>
    </cfRule>
    <cfRule type="duplicateValues" dxfId="1" priority="2238" stopIfTrue="1"/>
  </conditionalFormatting>
  <conditionalFormatting sqref="AM517">
    <cfRule type="expression" dxfId="0" priority="2257" stopIfTrue="1">
      <formula>AND(COUNTIF($B$8:$F$9,AM517)+COUNTIF($B$11:$F$26,AM517)+COUNTIF($B$28:$F$65536,AM517)+COUNTIF($B$4:$F$4,AM517)+COUNTIF($B$1:$F$2,AM517)&gt;1,NOT(ISBLANK(AM517)))</formula>
    </cfRule>
  </conditionalFormatting>
  <pageMargins left="0.70866141732283472" right="0.70866141732283472" top="0.35433070866141736" bottom="0.35433070866141736" header="0.31496062992125984" footer="0.31496062992125984"/>
  <pageSetup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3F424-513B-4AFB-BB66-37FE31A65F9B}">
  <dimension ref="A1:C38"/>
  <sheetViews>
    <sheetView workbookViewId="0">
      <selection activeCell="B22" sqref="B22"/>
    </sheetView>
  </sheetViews>
  <sheetFormatPr defaultColWidth="8.69921875" defaultRowHeight="16.8"/>
  <cols>
    <col min="1" max="1" width="6.19921875" style="217" customWidth="1"/>
    <col min="2" max="2" width="50.69921875" style="218" customWidth="1"/>
    <col min="3" max="3" width="45.59765625" style="216" customWidth="1"/>
    <col min="4" max="30" width="9" style="216" bestFit="1" customWidth="1"/>
    <col min="31" max="16384" width="8.69921875" style="216"/>
  </cols>
  <sheetData>
    <row r="1" spans="1:3" ht="17.399999999999999">
      <c r="A1" s="219" t="s">
        <v>70</v>
      </c>
      <c r="B1" s="220" t="s">
        <v>104</v>
      </c>
      <c r="C1" s="221" t="s">
        <v>105</v>
      </c>
    </row>
    <row r="2" spans="1:3" ht="18">
      <c r="A2" s="222">
        <v>1</v>
      </c>
      <c r="B2" s="223" t="s">
        <v>106</v>
      </c>
      <c r="C2" s="221" t="s">
        <v>107</v>
      </c>
    </row>
    <row r="3" spans="1:3" ht="18">
      <c r="A3" s="222">
        <v>2</v>
      </c>
      <c r="B3" s="223" t="s">
        <v>108</v>
      </c>
      <c r="C3" s="221" t="s">
        <v>109</v>
      </c>
    </row>
    <row r="4" spans="1:3" ht="18">
      <c r="A4" s="222">
        <v>3</v>
      </c>
      <c r="B4" s="223" t="s">
        <v>110</v>
      </c>
      <c r="C4" s="221" t="s">
        <v>111</v>
      </c>
    </row>
    <row r="5" spans="1:3" ht="18">
      <c r="A5" s="222">
        <v>4</v>
      </c>
      <c r="B5" s="223" t="s">
        <v>112</v>
      </c>
      <c r="C5" s="221" t="s">
        <v>113</v>
      </c>
    </row>
    <row r="6" spans="1:3" ht="18">
      <c r="A6" s="222">
        <v>5</v>
      </c>
      <c r="B6" s="223" t="s">
        <v>114</v>
      </c>
      <c r="C6" s="221" t="s">
        <v>115</v>
      </c>
    </row>
    <row r="7" spans="1:3" ht="17.399999999999999">
      <c r="A7" s="219" t="s">
        <v>71</v>
      </c>
      <c r="B7" s="220" t="s">
        <v>116</v>
      </c>
      <c r="C7" s="221" t="s">
        <v>117</v>
      </c>
    </row>
    <row r="8" spans="1:3" ht="18">
      <c r="A8" s="222">
        <v>1</v>
      </c>
      <c r="B8" s="223" t="s">
        <v>118</v>
      </c>
      <c r="C8" s="221" t="s">
        <v>119</v>
      </c>
    </row>
    <row r="9" spans="1:3" ht="18">
      <c r="A9" s="222">
        <v>2</v>
      </c>
      <c r="B9" s="223" t="s">
        <v>120</v>
      </c>
      <c r="C9" s="221" t="s">
        <v>121</v>
      </c>
    </row>
    <row r="10" spans="1:3" ht="18">
      <c r="A10" s="222">
        <v>3</v>
      </c>
      <c r="B10" s="223" t="s">
        <v>122</v>
      </c>
      <c r="C10" s="221" t="s">
        <v>123</v>
      </c>
    </row>
    <row r="11" spans="1:3" ht="18">
      <c r="A11" s="222">
        <v>4</v>
      </c>
      <c r="B11" s="223" t="s">
        <v>124</v>
      </c>
      <c r="C11" s="221" t="s">
        <v>125</v>
      </c>
    </row>
    <row r="12" spans="1:3" ht="18">
      <c r="A12" s="222">
        <v>5</v>
      </c>
      <c r="B12" s="223" t="s">
        <v>126</v>
      </c>
      <c r="C12" s="221" t="s">
        <v>127</v>
      </c>
    </row>
    <row r="13" spans="1:3" ht="18">
      <c r="A13" s="222">
        <v>6</v>
      </c>
      <c r="B13" s="223" t="s">
        <v>128</v>
      </c>
      <c r="C13" s="221" t="s">
        <v>129</v>
      </c>
    </row>
    <row r="14" spans="1:3" ht="18">
      <c r="A14" s="222">
        <v>7</v>
      </c>
      <c r="B14" s="223" t="s">
        <v>130</v>
      </c>
      <c r="C14" s="221" t="s">
        <v>131</v>
      </c>
    </row>
    <row r="15" spans="1:3" ht="18">
      <c r="A15" s="222">
        <v>8</v>
      </c>
      <c r="B15" s="223" t="s">
        <v>132</v>
      </c>
      <c r="C15" s="221" t="s">
        <v>133</v>
      </c>
    </row>
    <row r="16" spans="1:3" ht="18">
      <c r="A16" s="222">
        <v>9</v>
      </c>
      <c r="B16" s="223" t="s">
        <v>134</v>
      </c>
      <c r="C16" s="221" t="s">
        <v>135</v>
      </c>
    </row>
    <row r="17" spans="1:3" ht="18">
      <c r="A17" s="222">
        <v>10</v>
      </c>
      <c r="B17" s="223" t="s">
        <v>136</v>
      </c>
      <c r="C17" s="221" t="s">
        <v>137</v>
      </c>
    </row>
    <row r="18" spans="1:3" s="215" customFormat="1" ht="17.399999999999999">
      <c r="A18" s="219">
        <v>11</v>
      </c>
      <c r="B18" s="220" t="s">
        <v>138</v>
      </c>
      <c r="C18" s="224" t="s">
        <v>139</v>
      </c>
    </row>
    <row r="19" spans="1:3" ht="17.399999999999999">
      <c r="A19" s="219">
        <v>12</v>
      </c>
      <c r="B19" s="225" t="s">
        <v>140</v>
      </c>
      <c r="C19" s="226" t="s">
        <v>141</v>
      </c>
    </row>
    <row r="20" spans="1:3" ht="17.399999999999999">
      <c r="A20" s="219">
        <v>13</v>
      </c>
      <c r="B20" s="225" t="s">
        <v>142</v>
      </c>
      <c r="C20" s="226" t="s">
        <v>143</v>
      </c>
    </row>
    <row r="21" spans="1:3" s="215" customFormat="1" ht="17.399999999999999">
      <c r="A21" s="219" t="s">
        <v>72</v>
      </c>
      <c r="B21" s="220" t="s">
        <v>144</v>
      </c>
      <c r="C21" s="227" t="s">
        <v>145</v>
      </c>
    </row>
    <row r="22" spans="1:3">
      <c r="B22" s="225" t="s">
        <v>146</v>
      </c>
      <c r="C22" s="228" t="s">
        <v>147</v>
      </c>
    </row>
    <row r="23" spans="1:3">
      <c r="B23" s="225" t="s">
        <v>148</v>
      </c>
      <c r="C23" s="228" t="s">
        <v>149</v>
      </c>
    </row>
    <row r="24" spans="1:3">
      <c r="B24" s="225" t="s">
        <v>150</v>
      </c>
      <c r="C24" s="228" t="s">
        <v>151</v>
      </c>
    </row>
    <row r="25" spans="1:3">
      <c r="B25" s="225" t="s">
        <v>152</v>
      </c>
      <c r="C25" s="228" t="s">
        <v>153</v>
      </c>
    </row>
    <row r="26" spans="1:3">
      <c r="B26" s="225" t="s">
        <v>154</v>
      </c>
      <c r="C26" s="228" t="s">
        <v>155</v>
      </c>
    </row>
    <row r="27" spans="1:3">
      <c r="B27" s="225" t="s">
        <v>156</v>
      </c>
      <c r="C27" s="228" t="s">
        <v>157</v>
      </c>
    </row>
    <row r="28" spans="1:3">
      <c r="B28" s="218" t="s">
        <v>158</v>
      </c>
      <c r="C28" s="228" t="s">
        <v>159</v>
      </c>
    </row>
    <row r="29" spans="1:3">
      <c r="B29" s="218" t="s">
        <v>160</v>
      </c>
      <c r="C29" s="228" t="s">
        <v>161</v>
      </c>
    </row>
    <row r="30" spans="1:3">
      <c r="B30" s="218" t="s">
        <v>162</v>
      </c>
      <c r="C30" s="228" t="s">
        <v>163</v>
      </c>
    </row>
    <row r="31" spans="1:3">
      <c r="B31" s="225" t="s">
        <v>164</v>
      </c>
      <c r="C31" s="228" t="s">
        <v>165</v>
      </c>
    </row>
    <row r="32" spans="1:3" ht="17.399999999999999">
      <c r="A32" s="229" t="s">
        <v>166</v>
      </c>
      <c r="C32" s="230" t="s">
        <v>167</v>
      </c>
    </row>
    <row r="33" spans="2:3" ht="15.6">
      <c r="B33" s="231" t="s">
        <v>168</v>
      </c>
      <c r="C33" s="228" t="s">
        <v>169</v>
      </c>
    </row>
    <row r="34" spans="2:3" ht="15.6">
      <c r="B34" s="231" t="s">
        <v>106</v>
      </c>
      <c r="C34" s="228" t="s">
        <v>107</v>
      </c>
    </row>
    <row r="35" spans="2:3" ht="15.6">
      <c r="B35" s="231" t="s">
        <v>170</v>
      </c>
      <c r="C35" s="228" t="s">
        <v>171</v>
      </c>
    </row>
    <row r="36" spans="2:3" ht="15.6">
      <c r="B36" s="231" t="s">
        <v>110</v>
      </c>
      <c r="C36" s="221" t="s">
        <v>111</v>
      </c>
    </row>
    <row r="37" spans="2:3" ht="15.6">
      <c r="B37" s="231" t="s">
        <v>172</v>
      </c>
      <c r="C37" s="228" t="s">
        <v>173</v>
      </c>
    </row>
    <row r="38" spans="2:3" ht="15.6">
      <c r="B38" s="231" t="s">
        <v>174</v>
      </c>
      <c r="C38" s="221" t="s">
        <v>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C06A2-FD2C-48D5-970D-016569BF5580}">
  <sheetPr>
    <tabColor theme="0"/>
  </sheetPr>
  <dimension ref="A1:EH518"/>
  <sheetViews>
    <sheetView topLeftCell="A4" zoomScale="70" zoomScaleNormal="70" workbookViewId="0">
      <pane xSplit="18" ySplit="5" topLeftCell="AC486" activePane="bottomRight" state="frozen"/>
      <selection activeCell="D530" sqref="D530"/>
      <selection pane="topRight" activeCell="D530" sqref="D530"/>
      <selection pane="bottomLeft" activeCell="D530" sqref="D530"/>
      <selection pane="bottomRight" activeCell="AP315" sqref="AP315"/>
    </sheetView>
  </sheetViews>
  <sheetFormatPr defaultColWidth="8.69921875" defaultRowHeight="18"/>
  <cols>
    <col min="1" max="1" width="5.3984375" style="102" customWidth="1"/>
    <col min="2" max="2" width="11" style="2" customWidth="1"/>
    <col min="3" max="5" width="8.69921875" style="2" hidden="1" customWidth="1"/>
    <col min="6" max="7" width="8.19921875" style="2" hidden="1" customWidth="1"/>
    <col min="8" max="10" width="9.19921875" style="2" hidden="1" customWidth="1"/>
    <col min="11" max="11" width="9.3984375" style="2" hidden="1" customWidth="1"/>
    <col min="12" max="15" width="8.19921875" style="2" hidden="1" customWidth="1"/>
    <col min="16" max="17" width="8.19921875" style="234" hidden="1" customWidth="1"/>
    <col min="18" max="18" width="13.19921875" style="235" hidden="1" customWidth="1"/>
    <col min="19" max="19" width="10.09765625" style="236" customWidth="1"/>
    <col min="20" max="21" width="10.59765625" style="2" customWidth="1"/>
    <col min="22" max="22" width="10.5" style="2" customWidth="1"/>
    <col min="23" max="23" width="9.69921875" style="2" customWidth="1"/>
    <col min="24" max="24" width="10" style="2" customWidth="1"/>
    <col min="25" max="25" width="9.5" style="2" customWidth="1"/>
    <col min="26" max="26" width="10.19921875" style="2" customWidth="1"/>
    <col min="27" max="27" width="9.3984375" style="2" customWidth="1"/>
    <col min="28" max="28" width="10.5" style="56" customWidth="1"/>
    <col min="29" max="29" width="10.5" style="2" customWidth="1"/>
    <col min="30" max="30" width="10.69921875" style="2" customWidth="1"/>
    <col min="31" max="31" width="10.09765625" style="28" customWidth="1"/>
    <col min="32" max="32" width="10.69921875" style="2" customWidth="1"/>
    <col min="33" max="33" width="11.09765625" style="2" customWidth="1"/>
    <col min="34" max="34" width="10.3984375" style="2" customWidth="1"/>
    <col min="35" max="38" width="5.69921875" style="2" hidden="1" customWidth="1"/>
    <col min="39" max="39" width="14.19921875" style="102" customWidth="1"/>
    <col min="40" max="40" width="13.69921875" style="102" customWidth="1"/>
    <col min="41" max="41" width="13.59765625" style="2" customWidth="1"/>
    <col min="42" max="42" width="15" style="2" customWidth="1"/>
    <col min="43" max="43" width="16" style="2" hidden="1" customWidth="1"/>
    <col min="44" max="44" width="7.69921875" style="2" hidden="1" customWidth="1"/>
    <col min="45" max="45" width="9.5" style="2" hidden="1" customWidth="1"/>
    <col min="46" max="46" width="8.5" style="2" hidden="1" customWidth="1"/>
    <col min="47" max="47" width="10.8984375" style="2" hidden="1" customWidth="1"/>
    <col min="48" max="48" width="14.5" style="2" customWidth="1"/>
    <col min="49" max="49" width="14" style="2" hidden="1" customWidth="1"/>
    <col min="50" max="50" width="13" style="234" hidden="1" customWidth="1"/>
    <col min="51" max="51" width="13.3984375" style="2" hidden="1" customWidth="1"/>
    <col min="52" max="52" width="14.19921875" style="234" hidden="1" customWidth="1"/>
    <col min="53" max="53" width="14.8984375" style="2" customWidth="1"/>
    <col min="54" max="54" width="13.09765625" style="2" hidden="1" customWidth="1"/>
    <col min="55" max="55" width="14" style="2" hidden="1" customWidth="1"/>
    <col min="56" max="56" width="9" style="234" hidden="1" customWidth="1"/>
    <col min="57" max="58" width="9" style="2" hidden="1" customWidth="1"/>
    <col min="59" max="59" width="9" style="234" hidden="1" customWidth="1"/>
    <col min="60" max="60" width="13.59765625" style="2" hidden="1" customWidth="1"/>
    <col min="61" max="61" width="11.5" style="2" hidden="1" customWidth="1"/>
    <col min="62" max="62" width="9" style="2" hidden="1" customWidth="1"/>
    <col min="63" max="82" width="5.59765625" style="2" hidden="1" customWidth="1"/>
    <col min="83" max="83" width="11.8984375" style="2" hidden="1" customWidth="1"/>
    <col min="84" max="114" width="9" style="2" hidden="1" customWidth="1"/>
    <col min="115" max="115" width="10.09765625" style="2" hidden="1" customWidth="1"/>
    <col min="116" max="116" width="9" style="2" hidden="1" customWidth="1"/>
    <col min="117" max="117" width="10.19921875" style="2" customWidth="1"/>
    <col min="118" max="118" width="17.5" style="2" customWidth="1"/>
    <col min="119" max="119" width="10.69921875" style="2" customWidth="1"/>
    <col min="120" max="120" width="17.19921875" style="236" customWidth="1"/>
    <col min="121" max="121" width="13.19921875" style="2" customWidth="1"/>
    <col min="122" max="122" width="10" style="11" bestFit="1" customWidth="1"/>
    <col min="123" max="123" width="13.59765625" style="11" hidden="1" customWidth="1"/>
    <col min="124" max="125" width="15.5" style="234" customWidth="1"/>
    <col min="126" max="126" width="15.59765625" style="234" customWidth="1"/>
    <col min="127" max="127" width="12.3984375" style="237" customWidth="1"/>
    <col min="128" max="128" width="9" style="2" bestFit="1" customWidth="1"/>
    <col min="129" max="129" width="10" style="2" customWidth="1"/>
    <col min="130" max="130" width="10.09765625" style="2" customWidth="1"/>
    <col min="131" max="131" width="9" style="2" bestFit="1" customWidth="1"/>
    <col min="132" max="132" width="12.59765625" style="2" bestFit="1" customWidth="1"/>
    <col min="133" max="134" width="9.09765625" style="2" bestFit="1" customWidth="1"/>
    <col min="135" max="135" width="10" style="2" bestFit="1" customWidth="1"/>
    <col min="136" max="137" width="9.09765625" style="2" bestFit="1" customWidth="1"/>
    <col min="138" max="162" width="9" style="2" bestFit="1" customWidth="1"/>
    <col min="163" max="16384" width="8.69921875" style="2"/>
  </cols>
  <sheetData>
    <row r="1" spans="1:138" ht="16.5" customHeight="1">
      <c r="BD1" s="234" t="s">
        <v>70</v>
      </c>
      <c r="BE1" s="2" t="s">
        <v>71</v>
      </c>
      <c r="BF1" s="2" t="s">
        <v>72</v>
      </c>
      <c r="BG1" s="234" t="s">
        <v>3</v>
      </c>
      <c r="BH1" s="2" t="s">
        <v>73</v>
      </c>
      <c r="CU1" s="2" t="s">
        <v>70</v>
      </c>
      <c r="CV1" s="2" t="s">
        <v>71</v>
      </c>
      <c r="CW1" s="2" t="s">
        <v>72</v>
      </c>
      <c r="CX1" s="2" t="s">
        <v>3</v>
      </c>
      <c r="CY1" s="2" t="s">
        <v>73</v>
      </c>
      <c r="DG1" s="26" t="e">
        <f>DG8+DG177+#REF!+#REF!+#REF!+#REF!+#REF!</f>
        <v>#REF!</v>
      </c>
      <c r="DH1" s="2" t="e">
        <f>BA6</f>
        <v>#REF!</v>
      </c>
      <c r="DI1" s="270" t="s">
        <v>74</v>
      </c>
      <c r="DK1" s="271" t="e">
        <f>#REF!</f>
        <v>#REF!</v>
      </c>
      <c r="DL1" s="271"/>
      <c r="DM1" s="271" t="e">
        <f>#REF!</f>
        <v>#REF!</v>
      </c>
      <c r="EC1" s="2" t="s">
        <v>75</v>
      </c>
      <c r="ED1" s="2" t="s">
        <v>76</v>
      </c>
      <c r="EE1" s="2" t="s">
        <v>77</v>
      </c>
      <c r="EF1" s="2" t="s">
        <v>78</v>
      </c>
    </row>
    <row r="2" spans="1:138" ht="16.5" customHeight="1">
      <c r="BC2" s="2" t="s">
        <v>1</v>
      </c>
      <c r="BD2" s="234">
        <f>AW8</f>
        <v>35596</v>
      </c>
      <c r="BE2" s="2">
        <f>AX8</f>
        <v>0</v>
      </c>
      <c r="BF2" s="2">
        <f>AY8</f>
        <v>23294</v>
      </c>
      <c r="BG2" s="234">
        <f>AZ8</f>
        <v>0</v>
      </c>
      <c r="BH2" s="2">
        <f t="shared" ref="BH2:BH7" si="0">SUM(BD2:BG2)</f>
        <v>58890</v>
      </c>
      <c r="CT2" s="2" t="s">
        <v>1</v>
      </c>
      <c r="CU2" s="2">
        <f>CM8</f>
        <v>0</v>
      </c>
      <c r="CV2" s="2">
        <f>CN8</f>
        <v>0</v>
      </c>
      <c r="CW2" s="2">
        <f>CO8</f>
        <v>0</v>
      </c>
      <c r="CX2" s="2">
        <f>CP8</f>
        <v>0</v>
      </c>
      <c r="CY2" s="2">
        <f t="shared" ref="CY2:CY7" si="1">SUM(CU2:CX2)</f>
        <v>0</v>
      </c>
      <c r="DG2" s="2" t="e">
        <f>DG1-SUM(DH1:DH2)</f>
        <v>#REF!</v>
      </c>
      <c r="DH2" s="2" t="e">
        <f>CE6</f>
        <v>#REF!</v>
      </c>
      <c r="DI2" s="270" t="s">
        <v>79</v>
      </c>
      <c r="DK2" s="271" t="e">
        <f>#REF!</f>
        <v>#REF!</v>
      </c>
      <c r="DL2" s="271"/>
      <c r="DM2" s="271" t="e">
        <f>#REF!</f>
        <v>#REF!</v>
      </c>
      <c r="EC2" s="234" t="e">
        <f>SUM(EC3:EC10)</f>
        <v>#REF!</v>
      </c>
      <c r="ED2" s="234" t="e">
        <f>SUM(ED3:ED10)</f>
        <v>#REF!</v>
      </c>
      <c r="EE2" s="234" t="e">
        <f>SUM(EE3:EE10)</f>
        <v>#REF!</v>
      </c>
      <c r="EF2" s="234" t="e">
        <f>SUM(EF3:EF10)</f>
        <v>#REF!</v>
      </c>
      <c r="EG2" s="234"/>
      <c r="EH2" s="234" t="e">
        <f>SUM(EH3:EH10)</f>
        <v>#REF!</v>
      </c>
    </row>
    <row r="3" spans="1:138" ht="16.5" customHeight="1">
      <c r="BC3" s="2" t="s">
        <v>4</v>
      </c>
      <c r="BD3" s="234">
        <f>AW177</f>
        <v>29095</v>
      </c>
      <c r="BE3" s="2">
        <f>AX177</f>
        <v>0</v>
      </c>
      <c r="BF3" s="2">
        <f>AY177</f>
        <v>0</v>
      </c>
      <c r="BG3" s="234">
        <f>AZ177</f>
        <v>0</v>
      </c>
      <c r="BH3" s="2">
        <f t="shared" si="0"/>
        <v>29095</v>
      </c>
      <c r="CT3" s="2" t="s">
        <v>4</v>
      </c>
      <c r="CU3" s="2">
        <f>CM177</f>
        <v>0</v>
      </c>
      <c r="CV3" s="2">
        <f>CN177</f>
        <v>0</v>
      </c>
      <c r="CW3" s="2">
        <f>CO177</f>
        <v>0</v>
      </c>
      <c r="CX3" s="2">
        <f>CP177</f>
        <v>0</v>
      </c>
      <c r="CY3" s="2">
        <f t="shared" si="1"/>
        <v>0</v>
      </c>
      <c r="DK3" s="271" t="e">
        <f>#REF!</f>
        <v>#REF!</v>
      </c>
      <c r="DL3" s="271"/>
      <c r="DM3" s="271" t="e">
        <f>#REF!</f>
        <v>#REF!</v>
      </c>
      <c r="EB3" s="2">
        <v>1</v>
      </c>
      <c r="EC3" s="2">
        <f>DR8</f>
        <v>0</v>
      </c>
      <c r="ED3" s="2">
        <f>DT8</f>
        <v>0</v>
      </c>
      <c r="EE3" s="2">
        <f>DV8</f>
        <v>0</v>
      </c>
      <c r="EF3" s="2">
        <f>DW8</f>
        <v>3608.1000000000013</v>
      </c>
      <c r="EH3" s="2">
        <f>DY8</f>
        <v>1218</v>
      </c>
    </row>
    <row r="4" spans="1:138" ht="16.5" customHeight="1">
      <c r="S4" s="249"/>
      <c r="T4" s="2" t="s">
        <v>71</v>
      </c>
      <c r="U4" s="2" t="s">
        <v>72</v>
      </c>
      <c r="V4" s="2" t="s">
        <v>70</v>
      </c>
      <c r="Z4" s="2" t="s">
        <v>72</v>
      </c>
      <c r="AA4" s="2" t="s">
        <v>70</v>
      </c>
      <c r="AB4" s="56" t="s">
        <v>71</v>
      </c>
      <c r="AF4" s="2" t="s">
        <v>70</v>
      </c>
      <c r="AG4" s="2" t="s">
        <v>71</v>
      </c>
      <c r="AH4" s="2" t="s">
        <v>72</v>
      </c>
      <c r="AM4" s="253">
        <v>8659.5</v>
      </c>
      <c r="AN4" s="254"/>
      <c r="AO4" s="258"/>
      <c r="AP4" s="259">
        <v>3</v>
      </c>
      <c r="AQ4" s="260"/>
      <c r="AR4" s="261"/>
      <c r="AS4" s="261"/>
      <c r="AT4" s="261"/>
      <c r="AU4" s="261"/>
      <c r="AV4" s="261">
        <v>6</v>
      </c>
      <c r="AW4" s="261">
        <v>3100</v>
      </c>
      <c r="AX4" s="265">
        <v>8</v>
      </c>
      <c r="AY4" s="261">
        <v>3080</v>
      </c>
      <c r="AZ4" s="265">
        <v>10</v>
      </c>
      <c r="BA4" s="261">
        <v>2340</v>
      </c>
      <c r="BC4" s="2" t="s">
        <v>6</v>
      </c>
      <c r="BD4" s="234" t="e">
        <f>#REF!</f>
        <v>#REF!</v>
      </c>
      <c r="BE4" s="2" t="e">
        <f>#REF!</f>
        <v>#REF!</v>
      </c>
      <c r="BF4" s="2" t="e">
        <f>#REF!</f>
        <v>#REF!</v>
      </c>
      <c r="BG4" s="234" t="e">
        <f>#REF!</f>
        <v>#REF!</v>
      </c>
      <c r="BH4" s="2" t="e">
        <f t="shared" si="0"/>
        <v>#REF!</v>
      </c>
      <c r="CT4" s="2" t="s">
        <v>6</v>
      </c>
      <c r="CU4" s="2" t="e">
        <f>#REF!</f>
        <v>#REF!</v>
      </c>
      <c r="CV4" s="2" t="e">
        <f>#REF!</f>
        <v>#REF!</v>
      </c>
      <c r="CW4" s="2" t="e">
        <f>#REF!</f>
        <v>#REF!</v>
      </c>
      <c r="CX4" s="2" t="e">
        <f>#REF!</f>
        <v>#REF!</v>
      </c>
      <c r="CY4" s="2" t="e">
        <f t="shared" si="1"/>
        <v>#REF!</v>
      </c>
      <c r="DK4" s="271" t="e">
        <f>#REF!</f>
        <v>#REF!</v>
      </c>
      <c r="DL4" s="271"/>
      <c r="DM4" s="271"/>
      <c r="EB4" s="2">
        <v>2</v>
      </c>
      <c r="EC4" s="2">
        <f>DR177</f>
        <v>0</v>
      </c>
      <c r="ED4" s="2">
        <f>DT177</f>
        <v>0</v>
      </c>
      <c r="EE4" s="2">
        <f>DV177</f>
        <v>0</v>
      </c>
      <c r="EF4" s="2">
        <f>DW177</f>
        <v>3022.5</v>
      </c>
      <c r="EH4" s="2">
        <f>DY177</f>
        <v>1216.9999999999998</v>
      </c>
    </row>
    <row r="5" spans="1:138" ht="16.5" customHeight="1">
      <c r="A5" s="991" t="s">
        <v>2057</v>
      </c>
      <c r="B5" s="991"/>
      <c r="C5" s="991"/>
      <c r="D5" s="991"/>
      <c r="E5" s="991"/>
      <c r="F5" s="991"/>
      <c r="G5" s="991"/>
      <c r="H5" s="991"/>
      <c r="I5" s="991"/>
      <c r="J5" s="991"/>
      <c r="K5" s="991"/>
      <c r="L5" s="991"/>
      <c r="M5" s="991"/>
      <c r="N5" s="991"/>
      <c r="O5" s="991"/>
      <c r="P5" s="991"/>
      <c r="Q5" s="991"/>
      <c r="R5" s="991"/>
      <c r="S5" s="991"/>
      <c r="T5" s="991"/>
      <c r="U5" s="991"/>
      <c r="V5" s="991"/>
      <c r="W5" s="991"/>
      <c r="X5" s="991"/>
      <c r="Y5" s="991"/>
      <c r="Z5" s="991"/>
      <c r="AA5" s="991"/>
      <c r="AB5" s="991"/>
      <c r="AC5" s="991"/>
      <c r="AD5" s="991"/>
      <c r="AE5" s="991"/>
      <c r="AF5" s="991"/>
      <c r="AG5" s="991"/>
      <c r="AH5" s="991"/>
      <c r="AI5" s="991"/>
      <c r="AJ5" s="991"/>
      <c r="AK5" s="991"/>
      <c r="AL5" s="991"/>
      <c r="AM5" s="95"/>
      <c r="AN5" s="255">
        <v>4</v>
      </c>
      <c r="AO5" s="255"/>
      <c r="AP5" s="262">
        <v>2</v>
      </c>
      <c r="AQ5" s="260"/>
      <c r="AR5" s="261"/>
      <c r="AS5" s="261"/>
      <c r="AT5" s="261"/>
      <c r="AU5" s="261"/>
      <c r="AV5" s="261">
        <v>5</v>
      </c>
      <c r="AW5" s="261">
        <v>2880</v>
      </c>
      <c r="AX5" s="265">
        <v>7</v>
      </c>
      <c r="AY5" s="261">
        <v>2700</v>
      </c>
      <c r="AZ5" s="265">
        <v>9</v>
      </c>
      <c r="BA5" s="261">
        <v>2720</v>
      </c>
      <c r="BC5" s="2" t="s">
        <v>21</v>
      </c>
      <c r="BD5" s="234" t="e">
        <f>#REF!</f>
        <v>#REF!</v>
      </c>
      <c r="BE5" s="2" t="e">
        <f>#REF!</f>
        <v>#REF!</v>
      </c>
      <c r="BF5" s="2" t="e">
        <f>#REF!</f>
        <v>#REF!</v>
      </c>
      <c r="BG5" s="234" t="e">
        <f>#REF!</f>
        <v>#REF!</v>
      </c>
      <c r="BH5" s="2" t="e">
        <f t="shared" si="0"/>
        <v>#REF!</v>
      </c>
      <c r="BK5" s="991" t="str">
        <f>A5</f>
        <v>SẢN LƯỢNG THÁNG 01/2026 đ2</v>
      </c>
      <c r="BL5" s="991"/>
      <c r="BM5" s="991"/>
      <c r="BN5" s="991"/>
      <c r="BO5" s="991"/>
      <c r="BP5" s="991"/>
      <c r="BQ5" s="991"/>
      <c r="BR5" s="991"/>
      <c r="BS5" s="991"/>
      <c r="BT5" s="991"/>
      <c r="BU5" s="991"/>
      <c r="BV5" s="991"/>
      <c r="BW5" s="991"/>
      <c r="BX5" s="991"/>
      <c r="BY5" s="991"/>
      <c r="BZ5" s="991"/>
      <c r="CA5" s="991"/>
      <c r="CB5" s="991"/>
      <c r="CC5" s="991"/>
      <c r="CD5" s="991"/>
      <c r="CE5" s="238"/>
      <c r="CT5" s="2" t="s">
        <v>21</v>
      </c>
      <c r="CU5" s="2" t="e">
        <f>#REF!</f>
        <v>#REF!</v>
      </c>
      <c r="CV5" s="2" t="e">
        <f>#REF!</f>
        <v>#REF!</v>
      </c>
      <c r="CW5" s="2" t="e">
        <f>#REF!</f>
        <v>#REF!</v>
      </c>
      <c r="CX5" s="2" t="e">
        <f>#REF!</f>
        <v>#REF!</v>
      </c>
      <c r="CY5" s="2" t="e">
        <f t="shared" si="1"/>
        <v>#REF!</v>
      </c>
      <c r="DK5" s="271" t="e">
        <f>#REF!</f>
        <v>#REF!</v>
      </c>
      <c r="DL5" s="271"/>
      <c r="DM5" s="271"/>
      <c r="EB5" s="2">
        <v>3</v>
      </c>
      <c r="EC5" s="2" t="e">
        <f>#REF!</f>
        <v>#REF!</v>
      </c>
      <c r="ED5" s="2" t="e">
        <f>#REF!</f>
        <v>#REF!</v>
      </c>
      <c r="EE5" s="2" t="e">
        <f>#REF!</f>
        <v>#REF!</v>
      </c>
      <c r="EF5" s="2" t="e">
        <f>#REF!</f>
        <v>#REF!</v>
      </c>
      <c r="EH5" s="2" t="e">
        <f>#REF!</f>
        <v>#REF!</v>
      </c>
    </row>
    <row r="6" spans="1:138" ht="16.5" customHeight="1">
      <c r="C6" s="56">
        <v>1</v>
      </c>
      <c r="D6" s="56">
        <v>2</v>
      </c>
      <c r="E6" s="56">
        <v>3</v>
      </c>
      <c r="F6" s="56">
        <v>4</v>
      </c>
      <c r="G6" s="56">
        <v>5</v>
      </c>
      <c r="H6" s="56">
        <v>6</v>
      </c>
      <c r="I6" s="56">
        <v>7</v>
      </c>
      <c r="J6" s="56">
        <v>8</v>
      </c>
      <c r="K6" s="56">
        <v>9</v>
      </c>
      <c r="L6" s="56">
        <v>10</v>
      </c>
      <c r="M6" s="56">
        <v>11</v>
      </c>
      <c r="N6" s="56">
        <v>12</v>
      </c>
      <c r="O6" s="56">
        <v>13</v>
      </c>
      <c r="P6" s="242">
        <v>14</v>
      </c>
      <c r="Q6" s="242">
        <v>15</v>
      </c>
      <c r="R6" s="244" t="s">
        <v>80</v>
      </c>
      <c r="S6" s="236">
        <v>16</v>
      </c>
      <c r="T6" s="56">
        <v>17</v>
      </c>
      <c r="U6" s="56">
        <v>18</v>
      </c>
      <c r="V6" s="56">
        <v>19</v>
      </c>
      <c r="W6" s="56">
        <v>20</v>
      </c>
      <c r="X6" s="56">
        <v>21</v>
      </c>
      <c r="Y6" s="56">
        <v>22</v>
      </c>
      <c r="Z6" s="56">
        <v>23</v>
      </c>
      <c r="AA6" s="56">
        <v>24</v>
      </c>
      <c r="AB6" s="56">
        <v>25</v>
      </c>
      <c r="AC6" s="56">
        <v>26</v>
      </c>
      <c r="AD6" s="56">
        <v>27</v>
      </c>
      <c r="AE6" s="28">
        <v>28</v>
      </c>
      <c r="AF6" s="2">
        <v>29</v>
      </c>
      <c r="AG6" s="56">
        <v>30</v>
      </c>
      <c r="AH6" s="2">
        <v>31</v>
      </c>
      <c r="AI6" s="56"/>
      <c r="AK6" s="56"/>
      <c r="AM6" s="102">
        <f>AM500/2</f>
        <v>402704.5</v>
      </c>
      <c r="AN6" s="988" t="s">
        <v>81</v>
      </c>
      <c r="AP6" s="260">
        <v>1</v>
      </c>
      <c r="AQ6" s="260"/>
      <c r="AR6" s="986" t="s">
        <v>82</v>
      </c>
      <c r="AS6" s="986"/>
      <c r="AT6" s="986"/>
      <c r="AU6" s="986"/>
      <c r="AW6" s="986" t="s">
        <v>83</v>
      </c>
      <c r="AX6" s="986"/>
      <c r="AY6" s="986"/>
      <c r="AZ6" s="986"/>
      <c r="BA6" s="2" t="e">
        <f>BA8+BA177+#REF!+#REF!+#REF!+#REF!+#REF!+#REF!</f>
        <v>#REF!</v>
      </c>
      <c r="BC6" s="2" t="s">
        <v>41</v>
      </c>
      <c r="BD6" s="234" t="e">
        <f>#REF!</f>
        <v>#REF!</v>
      </c>
      <c r="BE6" s="2" t="e">
        <f>#REF!</f>
        <v>#REF!</v>
      </c>
      <c r="BF6" s="2" t="e">
        <f>#REF!</f>
        <v>#REF!</v>
      </c>
      <c r="BG6" s="234" t="e">
        <f>#REF!</f>
        <v>#REF!</v>
      </c>
      <c r="BH6" s="2" t="e">
        <f t="shared" si="0"/>
        <v>#REF!</v>
      </c>
      <c r="BK6" s="28"/>
      <c r="BL6" s="28"/>
      <c r="BM6" s="28"/>
      <c r="BN6" s="28"/>
      <c r="BO6" s="245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E6" s="2" t="e">
        <f>CE8+CE177+#REF!+#REF!+#REF!+#REF!+#REF!+#REF!</f>
        <v>#REF!</v>
      </c>
      <c r="CG6" s="986" t="s">
        <v>84</v>
      </c>
      <c r="CH6" s="986"/>
      <c r="CI6" s="986"/>
      <c r="CJ6" s="986"/>
      <c r="CK6" s="56"/>
      <c r="CM6" s="986" t="s">
        <v>85</v>
      </c>
      <c r="CN6" s="986"/>
      <c r="CO6" s="986"/>
      <c r="CP6" s="986"/>
      <c r="CQ6" s="2" t="e">
        <f>CQ8+CQ177+#REF!+#REF!+#REF!+#REF!+#REF!+#REF!</f>
        <v>#REF!</v>
      </c>
      <c r="CS6" s="269" t="e">
        <f>CS8+CS177+#REF!+#REF!+#REF!+#REF!+#REF!+#REF!</f>
        <v>#REF!</v>
      </c>
      <c r="CT6" s="2" t="s">
        <v>41</v>
      </c>
      <c r="CU6" s="2" t="e">
        <f>#REF!</f>
        <v>#REF!</v>
      </c>
      <c r="CV6" s="2" t="e">
        <f>#REF!</f>
        <v>#REF!</v>
      </c>
      <c r="CW6" s="2" t="e">
        <f>#REF!</f>
        <v>#REF!</v>
      </c>
      <c r="CX6" s="2" t="e">
        <f>#REF!</f>
        <v>#REF!</v>
      </c>
      <c r="CY6" s="2" t="e">
        <f t="shared" si="1"/>
        <v>#REF!</v>
      </c>
      <c r="DC6" s="986" t="s">
        <v>86</v>
      </c>
      <c r="DD6" s="986"/>
      <c r="DE6" s="986"/>
      <c r="DF6" s="986"/>
      <c r="DR6" s="11" t="s">
        <v>87</v>
      </c>
      <c r="DS6" s="234" t="s">
        <v>88</v>
      </c>
      <c r="DW6" s="237">
        <v>1</v>
      </c>
      <c r="DY6" s="986"/>
      <c r="DZ6" s="986"/>
      <c r="EB6" s="2">
        <v>4</v>
      </c>
      <c r="EC6" s="2" t="e">
        <f>#REF!</f>
        <v>#REF!</v>
      </c>
      <c r="ED6" s="2" t="e">
        <f>#REF!</f>
        <v>#REF!</v>
      </c>
      <c r="EE6" s="2" t="e">
        <f>#REF!</f>
        <v>#REF!</v>
      </c>
      <c r="EF6" s="2" t="e">
        <f>#REF!</f>
        <v>#REF!</v>
      </c>
      <c r="EH6" s="2" t="e">
        <f>#REF!</f>
        <v>#REF!</v>
      </c>
    </row>
    <row r="7" spans="1:138" ht="16.5" customHeight="1">
      <c r="A7" s="102" t="s">
        <v>89</v>
      </c>
      <c r="H7" s="2" t="s">
        <v>70</v>
      </c>
      <c r="I7" s="2" t="s">
        <v>71</v>
      </c>
      <c r="J7" s="2" t="s">
        <v>72</v>
      </c>
      <c r="S7" s="236" t="s">
        <v>2070</v>
      </c>
      <c r="T7" s="56" t="s">
        <v>2071</v>
      </c>
      <c r="V7" s="245"/>
      <c r="W7" s="246"/>
      <c r="X7" s="245"/>
      <c r="Y7" s="28" t="s">
        <v>3</v>
      </c>
      <c r="Z7" s="28" t="s">
        <v>70</v>
      </c>
      <c r="AA7" s="28" t="s">
        <v>71</v>
      </c>
      <c r="AB7" s="245" t="s">
        <v>72</v>
      </c>
      <c r="AC7" s="245"/>
      <c r="AD7" s="245"/>
      <c r="AF7" s="28"/>
      <c r="AG7" s="28" t="s">
        <v>2072</v>
      </c>
      <c r="AH7" s="28" t="s">
        <v>2073</v>
      </c>
      <c r="AN7" s="988"/>
      <c r="AO7" s="436">
        <v>505</v>
      </c>
      <c r="AP7" s="436">
        <v>455</v>
      </c>
      <c r="AQ7" s="2" t="s">
        <v>90</v>
      </c>
      <c r="AR7" s="26" t="s">
        <v>70</v>
      </c>
      <c r="AS7" s="26" t="s">
        <v>71</v>
      </c>
      <c r="AT7" s="26" t="s">
        <v>72</v>
      </c>
      <c r="AU7" s="26" t="s">
        <v>3</v>
      </c>
      <c r="AV7" s="437">
        <v>555</v>
      </c>
      <c r="AW7" s="26" t="s">
        <v>70</v>
      </c>
      <c r="AX7" s="266" t="s">
        <v>71</v>
      </c>
      <c r="AY7" s="26" t="s">
        <v>72</v>
      </c>
      <c r="AZ7" s="266" t="s">
        <v>3</v>
      </c>
      <c r="BC7" s="2" t="s">
        <v>48</v>
      </c>
      <c r="BD7" s="234" t="e">
        <f>#REF!</f>
        <v>#REF!</v>
      </c>
      <c r="BE7" s="2" t="e">
        <f>#REF!</f>
        <v>#REF!</v>
      </c>
      <c r="BF7" s="2" t="e">
        <f>#REF!</f>
        <v>#REF!</v>
      </c>
      <c r="BG7" s="234" t="e">
        <f>#REF!</f>
        <v>#REF!</v>
      </c>
      <c r="BH7" s="2" t="e">
        <f t="shared" si="0"/>
        <v>#REF!</v>
      </c>
      <c r="BK7" s="268" t="s">
        <v>70</v>
      </c>
      <c r="BL7" s="268" t="s">
        <v>71</v>
      </c>
      <c r="BM7" s="268" t="s">
        <v>72</v>
      </c>
      <c r="BN7" s="268" t="s">
        <v>3</v>
      </c>
      <c r="BO7" s="268" t="s">
        <v>70</v>
      </c>
      <c r="BP7" s="268" t="s">
        <v>71</v>
      </c>
      <c r="BQ7" s="268" t="s">
        <v>72</v>
      </c>
      <c r="BR7" s="268" t="s">
        <v>3</v>
      </c>
      <c r="BS7" s="268" t="s">
        <v>70</v>
      </c>
      <c r="BT7" s="268" t="s">
        <v>71</v>
      </c>
      <c r="BU7" s="268" t="s">
        <v>72</v>
      </c>
      <c r="BV7" s="268" t="s">
        <v>3</v>
      </c>
      <c r="BW7" s="268" t="s">
        <v>70</v>
      </c>
      <c r="BX7" s="268" t="s">
        <v>71</v>
      </c>
      <c r="BY7" s="268" t="s">
        <v>72</v>
      </c>
      <c r="BZ7" s="268" t="s">
        <v>3</v>
      </c>
      <c r="CA7" s="268" t="s">
        <v>70</v>
      </c>
      <c r="CE7" s="2" t="s">
        <v>73</v>
      </c>
      <c r="CG7" s="26" t="s">
        <v>91</v>
      </c>
      <c r="CH7" s="26" t="s">
        <v>71</v>
      </c>
      <c r="CI7" s="26" t="s">
        <v>72</v>
      </c>
      <c r="CJ7" s="26" t="s">
        <v>3</v>
      </c>
      <c r="CK7" s="26"/>
      <c r="CM7" s="26" t="s">
        <v>70</v>
      </c>
      <c r="CN7" s="26" t="s">
        <v>71</v>
      </c>
      <c r="CO7" s="26" t="s">
        <v>72</v>
      </c>
      <c r="CP7" s="26" t="s">
        <v>3</v>
      </c>
      <c r="CS7" s="26" t="s">
        <v>78</v>
      </c>
      <c r="CT7" s="2" t="s">
        <v>48</v>
      </c>
      <c r="CU7" s="2" t="e">
        <f>#REF!</f>
        <v>#REF!</v>
      </c>
      <c r="CV7" s="2" t="e">
        <f>#REF!</f>
        <v>#REF!</v>
      </c>
      <c r="CW7" s="2" t="e">
        <f>#REF!</f>
        <v>#REF!</v>
      </c>
      <c r="CX7" s="2" t="e">
        <f>#REF!</f>
        <v>#REF!</v>
      </c>
      <c r="CY7" s="2" t="e">
        <f t="shared" si="1"/>
        <v>#REF!</v>
      </c>
      <c r="DC7" s="26" t="s">
        <v>70</v>
      </c>
      <c r="DD7" s="26" t="s">
        <v>71</v>
      </c>
      <c r="DE7" s="26" t="s">
        <v>72</v>
      </c>
      <c r="DF7" s="26" t="s">
        <v>3</v>
      </c>
      <c r="DH7" s="2" t="s">
        <v>92</v>
      </c>
      <c r="DL7" s="25" t="s">
        <v>93</v>
      </c>
      <c r="DM7" s="272" t="s">
        <v>94</v>
      </c>
      <c r="DN7" s="272" t="s">
        <v>95</v>
      </c>
      <c r="DO7" s="272"/>
      <c r="DP7" s="703" t="s">
        <v>1965</v>
      </c>
      <c r="DQ7" s="261" t="s">
        <v>96</v>
      </c>
      <c r="DR7" s="275" t="s">
        <v>75</v>
      </c>
      <c r="DS7" s="275" t="s">
        <v>75</v>
      </c>
      <c r="DT7" s="275" t="s">
        <v>76</v>
      </c>
      <c r="DU7" s="275" t="s">
        <v>97</v>
      </c>
      <c r="DV7" s="276" t="s">
        <v>77</v>
      </c>
      <c r="DW7" s="277" t="s">
        <v>78</v>
      </c>
      <c r="EB7" s="2">
        <v>5</v>
      </c>
      <c r="EC7" s="2" t="e">
        <f>#REF!</f>
        <v>#REF!</v>
      </c>
      <c r="ED7" s="2" t="e">
        <f>#REF!</f>
        <v>#REF!</v>
      </c>
      <c r="EE7" s="2" t="e">
        <f>#REF!</f>
        <v>#REF!</v>
      </c>
      <c r="EF7" s="2" t="e">
        <f>#REF!</f>
        <v>#REF!</v>
      </c>
      <c r="EH7" s="2" t="e">
        <f>#REF!</f>
        <v>#REF!</v>
      </c>
    </row>
    <row r="8" spans="1:138" s="102" customFormat="1" ht="16.5" customHeight="1">
      <c r="A8" s="989" t="s">
        <v>1694</v>
      </c>
      <c r="B8" s="989"/>
      <c r="C8" s="239">
        <f t="shared" ref="C8:R8" si="2">SUM(C9:C175)</f>
        <v>0</v>
      </c>
      <c r="D8" s="239">
        <f t="shared" si="2"/>
        <v>0</v>
      </c>
      <c r="E8" s="239">
        <f t="shared" si="2"/>
        <v>0</v>
      </c>
      <c r="F8" s="239">
        <f t="shared" si="2"/>
        <v>0</v>
      </c>
      <c r="G8" s="239">
        <f t="shared" si="2"/>
        <v>0</v>
      </c>
      <c r="H8" s="239">
        <f t="shared" si="2"/>
        <v>0</v>
      </c>
      <c r="I8" s="239">
        <f t="shared" si="2"/>
        <v>0</v>
      </c>
      <c r="J8" s="239">
        <f t="shared" si="2"/>
        <v>0</v>
      </c>
      <c r="K8" s="239">
        <f t="shared" si="2"/>
        <v>0</v>
      </c>
      <c r="L8" s="239">
        <f t="shared" si="2"/>
        <v>0</v>
      </c>
      <c r="M8" s="239">
        <f t="shared" si="2"/>
        <v>0</v>
      </c>
      <c r="N8" s="239">
        <f t="shared" si="2"/>
        <v>0</v>
      </c>
      <c r="O8" s="239">
        <f t="shared" si="2"/>
        <v>0</v>
      </c>
      <c r="P8" s="239">
        <f t="shared" si="2"/>
        <v>0</v>
      </c>
      <c r="Q8" s="239">
        <f t="shared" si="2"/>
        <v>0</v>
      </c>
      <c r="R8" s="247">
        <f t="shared" si="2"/>
        <v>0</v>
      </c>
      <c r="S8" s="403">
        <f>SUM(S9:S175)</f>
        <v>23294</v>
      </c>
      <c r="T8" s="403">
        <f t="shared" ref="T8:CE8" si="3">SUM(T9:T175)</f>
        <v>35596</v>
      </c>
      <c r="U8" s="403">
        <f t="shared" si="3"/>
        <v>7620</v>
      </c>
      <c r="V8" s="403">
        <f t="shared" si="3"/>
        <v>11166</v>
      </c>
      <c r="W8" s="403">
        <f t="shared" si="3"/>
        <v>0</v>
      </c>
      <c r="X8" s="403">
        <f t="shared" si="3"/>
        <v>0</v>
      </c>
      <c r="Y8" s="403">
        <f t="shared" si="3"/>
        <v>25478</v>
      </c>
      <c r="Z8" s="403">
        <f t="shared" si="3"/>
        <v>30408</v>
      </c>
      <c r="AA8" s="403">
        <f t="shared" si="3"/>
        <v>40556</v>
      </c>
      <c r="AB8" s="403">
        <f t="shared" si="3"/>
        <v>42456</v>
      </c>
      <c r="AC8" s="403">
        <f t="shared" si="3"/>
        <v>0</v>
      </c>
      <c r="AD8" s="403">
        <f t="shared" si="3"/>
        <v>0</v>
      </c>
      <c r="AE8" s="403">
        <f t="shared" si="3"/>
        <v>0</v>
      </c>
      <c r="AF8" s="403">
        <f t="shared" si="3"/>
        <v>4550</v>
      </c>
      <c r="AG8" s="403">
        <f t="shared" si="3"/>
        <v>28310</v>
      </c>
      <c r="AH8" s="403">
        <f t="shared" si="3"/>
        <v>28578</v>
      </c>
      <c r="AI8" s="403">
        <f t="shared" si="3"/>
        <v>0</v>
      </c>
      <c r="AJ8" s="403">
        <f t="shared" si="3"/>
        <v>0</v>
      </c>
      <c r="AK8" s="403">
        <f t="shared" si="3"/>
        <v>0</v>
      </c>
      <c r="AL8" s="403">
        <f t="shared" si="3"/>
        <v>0</v>
      </c>
      <c r="AM8" s="403">
        <f>SUM(AM9:AM175)</f>
        <v>278012</v>
      </c>
      <c r="AN8" s="403">
        <f t="shared" si="3"/>
        <v>278012</v>
      </c>
      <c r="AO8" s="403">
        <f t="shared" si="3"/>
        <v>47912</v>
      </c>
      <c r="AP8" s="403">
        <f t="shared" si="3"/>
        <v>163190</v>
      </c>
      <c r="AQ8" s="403" t="e">
        <f t="shared" si="3"/>
        <v>#N/A</v>
      </c>
      <c r="AR8" s="403">
        <f t="shared" si="3"/>
        <v>0</v>
      </c>
      <c r="AS8" s="403">
        <f t="shared" si="3"/>
        <v>0</v>
      </c>
      <c r="AT8" s="403">
        <f t="shared" si="3"/>
        <v>0</v>
      </c>
      <c r="AU8" s="403">
        <f t="shared" si="3"/>
        <v>0</v>
      </c>
      <c r="AV8" s="435">
        <f t="shared" si="3"/>
        <v>66910</v>
      </c>
      <c r="AW8" s="403">
        <f t="shared" si="3"/>
        <v>35596</v>
      </c>
      <c r="AX8" s="403">
        <f t="shared" si="3"/>
        <v>0</v>
      </c>
      <c r="AY8" s="403">
        <f t="shared" si="3"/>
        <v>23294</v>
      </c>
      <c r="AZ8" s="403">
        <f t="shared" si="3"/>
        <v>0</v>
      </c>
      <c r="BA8" s="403">
        <f t="shared" si="3"/>
        <v>0</v>
      </c>
      <c r="BB8" s="403">
        <f t="shared" si="3"/>
        <v>0</v>
      </c>
      <c r="BC8" s="403">
        <f t="shared" si="3"/>
        <v>0</v>
      </c>
      <c r="BD8" s="403">
        <f t="shared" si="3"/>
        <v>0</v>
      </c>
      <c r="BE8" s="403">
        <f t="shared" si="3"/>
        <v>0</v>
      </c>
      <c r="BF8" s="403">
        <f t="shared" si="3"/>
        <v>0</v>
      </c>
      <c r="BG8" s="403">
        <f t="shared" si="3"/>
        <v>0</v>
      </c>
      <c r="BH8" s="403">
        <f t="shared" si="3"/>
        <v>0</v>
      </c>
      <c r="BI8" s="403">
        <f t="shared" si="3"/>
        <v>0</v>
      </c>
      <c r="BJ8" s="403">
        <f t="shared" si="3"/>
        <v>0</v>
      </c>
      <c r="BK8" s="403">
        <f t="shared" si="3"/>
        <v>0</v>
      </c>
      <c r="BL8" s="403">
        <f t="shared" si="3"/>
        <v>0</v>
      </c>
      <c r="BM8" s="403">
        <f t="shared" si="3"/>
        <v>0</v>
      </c>
      <c r="BN8" s="403">
        <f t="shared" si="3"/>
        <v>0</v>
      </c>
      <c r="BO8" s="403">
        <f t="shared" si="3"/>
        <v>0</v>
      </c>
      <c r="BP8" s="403">
        <f t="shared" si="3"/>
        <v>0</v>
      </c>
      <c r="BQ8" s="403">
        <f t="shared" si="3"/>
        <v>0</v>
      </c>
      <c r="BR8" s="403">
        <f t="shared" si="3"/>
        <v>0</v>
      </c>
      <c r="BS8" s="403">
        <f t="shared" si="3"/>
        <v>0</v>
      </c>
      <c r="BT8" s="403">
        <f t="shared" si="3"/>
        <v>0</v>
      </c>
      <c r="BU8" s="403">
        <f t="shared" si="3"/>
        <v>0</v>
      </c>
      <c r="BV8" s="403">
        <f t="shared" si="3"/>
        <v>0</v>
      </c>
      <c r="BW8" s="403">
        <f t="shared" si="3"/>
        <v>0</v>
      </c>
      <c r="BX8" s="403">
        <f t="shared" si="3"/>
        <v>0</v>
      </c>
      <c r="BY8" s="403">
        <f t="shared" si="3"/>
        <v>0</v>
      </c>
      <c r="BZ8" s="403">
        <f t="shared" si="3"/>
        <v>0</v>
      </c>
      <c r="CA8" s="403">
        <f t="shared" si="3"/>
        <v>0</v>
      </c>
      <c r="CB8" s="403">
        <f t="shared" si="3"/>
        <v>0</v>
      </c>
      <c r="CC8" s="403">
        <f t="shared" si="3"/>
        <v>0</v>
      </c>
      <c r="CD8" s="403">
        <f t="shared" si="3"/>
        <v>0</v>
      </c>
      <c r="CE8" s="403">
        <f t="shared" si="3"/>
        <v>0</v>
      </c>
      <c r="CF8" s="403">
        <f t="shared" ref="CF8:DW8" si="4">SUM(CF9:CF175)</f>
        <v>0</v>
      </c>
      <c r="CG8" s="403">
        <f t="shared" si="4"/>
        <v>0</v>
      </c>
      <c r="CH8" s="403">
        <f t="shared" si="4"/>
        <v>0</v>
      </c>
      <c r="CI8" s="403">
        <f t="shared" si="4"/>
        <v>0</v>
      </c>
      <c r="CJ8" s="403">
        <f t="shared" si="4"/>
        <v>0</v>
      </c>
      <c r="CK8" s="403">
        <f t="shared" si="4"/>
        <v>0</v>
      </c>
      <c r="CL8" s="403">
        <f t="shared" si="4"/>
        <v>0</v>
      </c>
      <c r="CM8" s="403">
        <f t="shared" si="4"/>
        <v>0</v>
      </c>
      <c r="CN8" s="403">
        <f t="shared" si="4"/>
        <v>0</v>
      </c>
      <c r="CO8" s="403">
        <f t="shared" si="4"/>
        <v>0</v>
      </c>
      <c r="CP8" s="403">
        <f t="shared" si="4"/>
        <v>0</v>
      </c>
      <c r="CQ8" s="403">
        <f t="shared" si="4"/>
        <v>0</v>
      </c>
      <c r="CR8" s="403">
        <f t="shared" si="4"/>
        <v>0</v>
      </c>
      <c r="CS8" s="403">
        <f t="shared" si="4"/>
        <v>0</v>
      </c>
      <c r="CT8" s="403">
        <f t="shared" si="4"/>
        <v>0</v>
      </c>
      <c r="CU8" s="403">
        <f t="shared" si="4"/>
        <v>0</v>
      </c>
      <c r="CV8" s="403">
        <f t="shared" si="4"/>
        <v>0</v>
      </c>
      <c r="CW8" s="403">
        <f t="shared" si="4"/>
        <v>0</v>
      </c>
      <c r="CX8" s="403">
        <f t="shared" si="4"/>
        <v>0</v>
      </c>
      <c r="CY8" s="403">
        <f t="shared" si="4"/>
        <v>0</v>
      </c>
      <c r="CZ8" s="403">
        <f t="shared" si="4"/>
        <v>0</v>
      </c>
      <c r="DA8" s="403">
        <f t="shared" si="4"/>
        <v>0</v>
      </c>
      <c r="DB8" s="403">
        <f t="shared" si="4"/>
        <v>0</v>
      </c>
      <c r="DC8" s="403">
        <f t="shared" si="4"/>
        <v>0</v>
      </c>
      <c r="DD8" s="403">
        <f t="shared" si="4"/>
        <v>0</v>
      </c>
      <c r="DE8" s="403">
        <f t="shared" si="4"/>
        <v>0</v>
      </c>
      <c r="DF8" s="403">
        <f t="shared" si="4"/>
        <v>0</v>
      </c>
      <c r="DG8" s="403">
        <f t="shared" si="4"/>
        <v>0</v>
      </c>
      <c r="DH8" s="403">
        <f t="shared" si="4"/>
        <v>0</v>
      </c>
      <c r="DI8" s="403">
        <f t="shared" si="4"/>
        <v>0</v>
      </c>
      <c r="DJ8" s="403">
        <f t="shared" si="4"/>
        <v>0</v>
      </c>
      <c r="DK8" s="403">
        <f t="shared" si="4"/>
        <v>0</v>
      </c>
      <c r="DL8" s="403">
        <f t="shared" si="4"/>
        <v>0</v>
      </c>
      <c r="DM8" s="403">
        <f t="shared" si="4"/>
        <v>594</v>
      </c>
      <c r="DN8" s="403">
        <f t="shared" si="4"/>
        <v>0</v>
      </c>
      <c r="DO8" s="403">
        <f t="shared" si="4"/>
        <v>0</v>
      </c>
      <c r="DP8" s="403">
        <f t="shared" si="4"/>
        <v>0</v>
      </c>
      <c r="DQ8" s="403">
        <f t="shared" si="4"/>
        <v>0</v>
      </c>
      <c r="DR8" s="403">
        <f t="shared" si="4"/>
        <v>0</v>
      </c>
      <c r="DS8" s="403">
        <f t="shared" si="4"/>
        <v>0</v>
      </c>
      <c r="DT8" s="403">
        <f t="shared" si="4"/>
        <v>0</v>
      </c>
      <c r="DU8" s="403">
        <f t="shared" si="4"/>
        <v>0</v>
      </c>
      <c r="DV8" s="403">
        <f t="shared" si="4"/>
        <v>0</v>
      </c>
      <c r="DW8" s="432">
        <f t="shared" si="4"/>
        <v>3608.1000000000013</v>
      </c>
      <c r="DX8" s="102" t="s">
        <v>1831</v>
      </c>
      <c r="DY8" s="489">
        <f>SUM(DW9:DW55)</f>
        <v>1218</v>
      </c>
      <c r="EB8" s="102">
        <v>6</v>
      </c>
      <c r="EC8" s="102" t="e">
        <f>#REF!</f>
        <v>#REF!</v>
      </c>
      <c r="ED8" s="102" t="e">
        <f>#REF!</f>
        <v>#REF!</v>
      </c>
      <c r="EE8" s="102" t="e">
        <f>#REF!</f>
        <v>#REF!</v>
      </c>
      <c r="EF8" s="102" t="e">
        <f>#REF!</f>
        <v>#REF!</v>
      </c>
      <c r="EH8" s="102" t="e">
        <f>#REF!</f>
        <v>#REF!</v>
      </c>
    </row>
    <row r="9" spans="1:138">
      <c r="A9" s="102">
        <v>1</v>
      </c>
      <c r="B9" s="56">
        <v>1</v>
      </c>
      <c r="C9" s="240"/>
      <c r="D9" s="240"/>
      <c r="E9" s="240"/>
      <c r="F9" s="240"/>
      <c r="G9" s="240"/>
      <c r="H9" s="240"/>
      <c r="I9" s="240"/>
      <c r="J9" s="240"/>
      <c r="K9" s="240"/>
      <c r="L9" s="240"/>
      <c r="M9" s="240"/>
      <c r="N9" s="240"/>
      <c r="O9" s="240"/>
      <c r="P9" s="243"/>
      <c r="Q9" s="243"/>
      <c r="R9" s="10">
        <f t="shared" ref="R9:R54" si="5">SUM(C9:Q9)</f>
        <v>0</v>
      </c>
      <c r="S9" s="249"/>
      <c r="T9" s="56">
        <v>187</v>
      </c>
      <c r="U9" s="56">
        <v>177</v>
      </c>
      <c r="V9" s="56">
        <v>126</v>
      </c>
      <c r="W9" s="56"/>
      <c r="X9" s="56"/>
      <c r="Y9" s="56"/>
      <c r="Z9" s="56">
        <v>85</v>
      </c>
      <c r="AA9" s="56">
        <v>120</v>
      </c>
      <c r="AB9" s="56">
        <v>256</v>
      </c>
      <c r="AC9" s="56"/>
      <c r="AD9" s="56"/>
      <c r="AF9" s="56">
        <v>54</v>
      </c>
      <c r="AG9" s="56">
        <v>130</v>
      </c>
      <c r="AH9" s="56">
        <v>108</v>
      </c>
      <c r="AM9" s="102">
        <f t="shared" ref="AM9:AM39" si="6">SUM(S9:AL9)</f>
        <v>1243</v>
      </c>
      <c r="AN9" s="257">
        <f t="shared" ref="AN9:AN39" si="7">R9+AM9</f>
        <v>1243</v>
      </c>
      <c r="AO9" s="8"/>
      <c r="AP9" s="8"/>
      <c r="AR9" s="264"/>
      <c r="AS9" s="264"/>
      <c r="AT9" s="264"/>
      <c r="AU9" s="264"/>
      <c r="AV9" s="22">
        <f>AN9</f>
        <v>1243</v>
      </c>
      <c r="AW9" s="8">
        <f t="shared" ref="AW9:AW39" si="8">T9+AC9</f>
        <v>187</v>
      </c>
      <c r="AX9" s="11">
        <f t="shared" ref="AX9:AX39" si="9">AD9</f>
        <v>0</v>
      </c>
      <c r="AY9" s="8">
        <f t="shared" ref="AY9:AY39" si="10">S9+AE9</f>
        <v>0</v>
      </c>
      <c r="AZ9" s="11"/>
      <c r="BD9" s="11"/>
      <c r="BG9" s="11"/>
      <c r="CG9" s="264"/>
      <c r="CH9" s="264"/>
      <c r="CI9" s="264"/>
      <c r="CJ9" s="264"/>
      <c r="CK9" s="264"/>
      <c r="DK9" s="12"/>
      <c r="DM9" s="2">
        <v>3</v>
      </c>
      <c r="DP9" s="249"/>
      <c r="DT9" s="11"/>
      <c r="DU9" s="11"/>
      <c r="DV9" s="11"/>
      <c r="DW9" s="3">
        <v>20</v>
      </c>
      <c r="EB9" s="2">
        <v>7</v>
      </c>
      <c r="EC9" s="2" t="e">
        <f>#REF!</f>
        <v>#REF!</v>
      </c>
      <c r="ED9" s="2" t="e">
        <f>#REF!</f>
        <v>#REF!</v>
      </c>
      <c r="EE9" s="2" t="e">
        <f>#REF!</f>
        <v>#REF!</v>
      </c>
      <c r="EF9" s="2" t="e">
        <f>#REF!</f>
        <v>#REF!</v>
      </c>
      <c r="EH9" s="2" t="e">
        <f>#REF!</f>
        <v>#REF!</v>
      </c>
    </row>
    <row r="10" spans="1:138">
      <c r="A10" s="102">
        <v>2</v>
      </c>
      <c r="B10" s="56">
        <v>1</v>
      </c>
      <c r="C10" s="240"/>
      <c r="D10" s="240"/>
      <c r="E10" s="240"/>
      <c r="F10" s="240"/>
      <c r="G10" s="240"/>
      <c r="H10" s="240"/>
      <c r="I10" s="240"/>
      <c r="J10" s="240"/>
      <c r="K10" s="240"/>
      <c r="L10" s="240"/>
      <c r="M10" s="240"/>
      <c r="N10" s="240"/>
      <c r="O10" s="240"/>
      <c r="P10" s="243"/>
      <c r="Q10" s="243"/>
      <c r="R10" s="10">
        <f t="shared" si="5"/>
        <v>0</v>
      </c>
      <c r="S10" s="249"/>
      <c r="T10" s="56">
        <v>172</v>
      </c>
      <c r="U10" s="56">
        <v>155</v>
      </c>
      <c r="V10" s="56">
        <v>174</v>
      </c>
      <c r="W10" s="56"/>
      <c r="X10" s="56"/>
      <c r="Y10" s="56"/>
      <c r="Z10" s="56">
        <v>80</v>
      </c>
      <c r="AA10" s="56">
        <v>72</v>
      </c>
      <c r="AB10" s="56">
        <v>158</v>
      </c>
      <c r="AC10" s="56"/>
      <c r="AD10" s="56"/>
      <c r="AF10" s="56">
        <v>74</v>
      </c>
      <c r="AG10" s="56">
        <v>145</v>
      </c>
      <c r="AH10" s="56">
        <v>129</v>
      </c>
      <c r="AM10" s="102">
        <f t="shared" si="6"/>
        <v>1159</v>
      </c>
      <c r="AN10" s="257">
        <f t="shared" si="7"/>
        <v>1159</v>
      </c>
      <c r="AO10" s="8"/>
      <c r="AP10" s="8"/>
      <c r="AQ10" s="2" t="e">
        <f>#N/A</f>
        <v>#N/A</v>
      </c>
      <c r="AR10" s="264"/>
      <c r="AS10" s="264"/>
      <c r="AT10" s="264"/>
      <c r="AU10" s="264"/>
      <c r="AV10" s="22">
        <f t="shared" ref="AV10:AV55" si="11">AN10</f>
        <v>1159</v>
      </c>
      <c r="AW10" s="8">
        <f t="shared" si="8"/>
        <v>172</v>
      </c>
      <c r="AX10" s="11">
        <f t="shared" si="9"/>
        <v>0</v>
      </c>
      <c r="AY10" s="8">
        <f t="shared" si="10"/>
        <v>0</v>
      </c>
      <c r="AZ10" s="11"/>
      <c r="BD10" s="11"/>
      <c r="BG10" s="11"/>
      <c r="CG10" s="264"/>
      <c r="CH10" s="264"/>
      <c r="CI10" s="264"/>
      <c r="CJ10" s="264"/>
      <c r="CK10" s="264"/>
      <c r="DK10" s="12"/>
      <c r="DM10" s="2">
        <v>3</v>
      </c>
      <c r="DP10" s="249"/>
      <c r="DR10" s="279"/>
      <c r="DS10" s="279"/>
      <c r="DT10" s="279"/>
      <c r="DU10" s="279"/>
      <c r="DV10" s="11"/>
      <c r="DW10" s="3">
        <v>15</v>
      </c>
      <c r="EB10" s="2">
        <v>8</v>
      </c>
      <c r="EC10" s="2" t="e">
        <f>#REF!</f>
        <v>#REF!</v>
      </c>
      <c r="ED10" s="2" t="e">
        <f>#REF!</f>
        <v>#REF!</v>
      </c>
      <c r="EE10" s="2" t="e">
        <f>#REF!</f>
        <v>#REF!</v>
      </c>
      <c r="EF10" s="2" t="e">
        <f>#REF!</f>
        <v>#REF!</v>
      </c>
      <c r="EH10" s="2" t="e">
        <f>#REF!</f>
        <v>#REF!</v>
      </c>
    </row>
    <row r="11" spans="1:138">
      <c r="A11" s="102">
        <v>3</v>
      </c>
      <c r="B11" s="56">
        <v>1</v>
      </c>
      <c r="C11" s="240"/>
      <c r="D11" s="240"/>
      <c r="E11" s="240"/>
      <c r="F11" s="240"/>
      <c r="G11" s="240"/>
      <c r="H11" s="240"/>
      <c r="I11" s="240"/>
      <c r="J11" s="240"/>
      <c r="K11" s="240"/>
      <c r="L11" s="240"/>
      <c r="M11" s="240"/>
      <c r="N11" s="240"/>
      <c r="O11" s="240"/>
      <c r="P11" s="243"/>
      <c r="Q11" s="243"/>
      <c r="R11" s="10">
        <f t="shared" si="5"/>
        <v>0</v>
      </c>
      <c r="S11" s="249"/>
      <c r="T11" s="56">
        <v>223</v>
      </c>
      <c r="U11" s="56">
        <v>188</v>
      </c>
      <c r="V11" s="56">
        <v>181</v>
      </c>
      <c r="W11" s="56"/>
      <c r="X11" s="56"/>
      <c r="Y11" s="56"/>
      <c r="Z11" s="56">
        <v>0</v>
      </c>
      <c r="AA11" s="56">
        <v>164</v>
      </c>
      <c r="AB11" s="56">
        <v>286</v>
      </c>
      <c r="AC11" s="56"/>
      <c r="AD11" s="56"/>
      <c r="AF11" s="56">
        <v>81</v>
      </c>
      <c r="AG11" s="56">
        <v>167</v>
      </c>
      <c r="AH11" s="56">
        <v>113</v>
      </c>
      <c r="AM11" s="102">
        <f t="shared" si="6"/>
        <v>1403</v>
      </c>
      <c r="AN11" s="257">
        <f t="shared" si="7"/>
        <v>1403</v>
      </c>
      <c r="AO11" s="8"/>
      <c r="AP11" s="8"/>
      <c r="AQ11" s="2" t="e">
        <f>#N/A</f>
        <v>#N/A</v>
      </c>
      <c r="AR11" s="264"/>
      <c r="AS11" s="264"/>
      <c r="AT11" s="264"/>
      <c r="AU11" s="264"/>
      <c r="AV11" s="22">
        <f t="shared" si="11"/>
        <v>1403</v>
      </c>
      <c r="AW11" s="8">
        <f t="shared" si="8"/>
        <v>223</v>
      </c>
      <c r="AX11" s="11">
        <f t="shared" si="9"/>
        <v>0</v>
      </c>
      <c r="AY11" s="8">
        <f t="shared" si="10"/>
        <v>0</v>
      </c>
      <c r="AZ11" s="11"/>
      <c r="BD11" s="11"/>
      <c r="BG11" s="11"/>
      <c r="CG11" s="264"/>
      <c r="CH11" s="264"/>
      <c r="CI11" s="264"/>
      <c r="CJ11" s="264"/>
      <c r="CK11" s="264"/>
      <c r="DK11" s="12"/>
      <c r="DM11" s="2">
        <v>3</v>
      </c>
      <c r="DP11" s="249"/>
      <c r="DR11" s="279"/>
      <c r="DS11" s="279"/>
      <c r="DT11" s="279"/>
      <c r="DU11" s="279"/>
      <c r="DV11" s="279"/>
      <c r="DW11" s="3">
        <v>36</v>
      </c>
    </row>
    <row r="12" spans="1:138">
      <c r="A12" s="102">
        <v>4</v>
      </c>
      <c r="B12" s="56">
        <v>1</v>
      </c>
      <c r="C12" s="240"/>
      <c r="D12" s="240"/>
      <c r="E12" s="240"/>
      <c r="F12" s="240"/>
      <c r="G12" s="240"/>
      <c r="H12" s="240"/>
      <c r="I12" s="240"/>
      <c r="J12" s="240"/>
      <c r="K12" s="240"/>
      <c r="L12" s="240"/>
      <c r="M12" s="240"/>
      <c r="N12" s="240"/>
      <c r="O12" s="240"/>
      <c r="P12" s="243"/>
      <c r="Q12" s="243"/>
      <c r="R12" s="10">
        <f t="shared" si="5"/>
        <v>0</v>
      </c>
      <c r="S12" s="249"/>
      <c r="T12" s="56">
        <v>173</v>
      </c>
      <c r="U12" s="56">
        <v>158</v>
      </c>
      <c r="V12" s="56">
        <v>170</v>
      </c>
      <c r="W12" s="56"/>
      <c r="X12" s="56"/>
      <c r="Y12" s="56"/>
      <c r="Z12" s="56">
        <v>75</v>
      </c>
      <c r="AA12" s="56">
        <v>66</v>
      </c>
      <c r="AB12" s="56">
        <v>154</v>
      </c>
      <c r="AC12" s="56"/>
      <c r="AD12" s="56"/>
      <c r="AF12" s="56">
        <v>92</v>
      </c>
      <c r="AG12" s="56">
        <v>145</v>
      </c>
      <c r="AH12" s="56">
        <v>130</v>
      </c>
      <c r="AM12" s="102">
        <f t="shared" si="6"/>
        <v>1163</v>
      </c>
      <c r="AN12" s="257">
        <f t="shared" si="7"/>
        <v>1163</v>
      </c>
      <c r="AO12" s="8"/>
      <c r="AP12" s="8"/>
      <c r="AQ12" s="2" t="e">
        <f>#N/A</f>
        <v>#N/A</v>
      </c>
      <c r="AR12" s="264"/>
      <c r="AS12" s="264"/>
      <c r="AT12" s="264"/>
      <c r="AU12" s="264"/>
      <c r="AV12" s="22">
        <f t="shared" si="11"/>
        <v>1163</v>
      </c>
      <c r="AW12" s="8">
        <f t="shared" si="8"/>
        <v>173</v>
      </c>
      <c r="AX12" s="11">
        <f t="shared" si="9"/>
        <v>0</v>
      </c>
      <c r="AY12" s="8">
        <f t="shared" si="10"/>
        <v>0</v>
      </c>
      <c r="AZ12" s="11"/>
      <c r="BD12" s="11"/>
      <c r="BG12" s="11"/>
      <c r="CG12" s="264"/>
      <c r="CH12" s="264"/>
      <c r="CI12" s="264"/>
      <c r="CJ12" s="264"/>
      <c r="CK12" s="264"/>
      <c r="DK12" s="12"/>
      <c r="DM12" s="2">
        <v>3</v>
      </c>
      <c r="DP12" s="249"/>
      <c r="DR12" s="279"/>
      <c r="DS12" s="279"/>
      <c r="DT12" s="279"/>
      <c r="DU12" s="279"/>
      <c r="DV12" s="279"/>
      <c r="DW12" s="3">
        <v>14</v>
      </c>
    </row>
    <row r="13" spans="1:138">
      <c r="A13" s="102">
        <v>5</v>
      </c>
      <c r="B13" s="56">
        <v>1</v>
      </c>
      <c r="C13" s="240"/>
      <c r="D13" s="240"/>
      <c r="E13" s="240"/>
      <c r="F13" s="240"/>
      <c r="G13" s="240"/>
      <c r="H13" s="240"/>
      <c r="I13" s="240"/>
      <c r="J13" s="240"/>
      <c r="K13" s="240"/>
      <c r="L13" s="240"/>
      <c r="M13" s="240"/>
      <c r="N13" s="240"/>
      <c r="O13" s="240"/>
      <c r="P13" s="243"/>
      <c r="Q13" s="243"/>
      <c r="R13" s="10">
        <f t="shared" si="5"/>
        <v>0</v>
      </c>
      <c r="S13" s="249"/>
      <c r="T13" s="56">
        <v>196</v>
      </c>
      <c r="U13" s="56">
        <v>214</v>
      </c>
      <c r="V13" s="56">
        <v>256</v>
      </c>
      <c r="W13" s="56"/>
      <c r="X13" s="56"/>
      <c r="Y13" s="56"/>
      <c r="Z13" s="56">
        <v>124</v>
      </c>
      <c r="AA13" s="56">
        <v>172</v>
      </c>
      <c r="AB13" s="56">
        <v>266</v>
      </c>
      <c r="AC13" s="56"/>
      <c r="AD13" s="56"/>
      <c r="AF13" s="56">
        <v>91</v>
      </c>
      <c r="AG13" s="56">
        <v>158</v>
      </c>
      <c r="AH13" s="56">
        <v>216</v>
      </c>
      <c r="AM13" s="102">
        <f t="shared" si="6"/>
        <v>1693</v>
      </c>
      <c r="AN13" s="257">
        <f t="shared" si="7"/>
        <v>1693</v>
      </c>
      <c r="AO13" s="8"/>
      <c r="AP13" s="8"/>
      <c r="AQ13" s="2" t="e">
        <f>#N/A</f>
        <v>#N/A</v>
      </c>
      <c r="AR13" s="264"/>
      <c r="AS13" s="264"/>
      <c r="AT13" s="264"/>
      <c r="AU13" s="264"/>
      <c r="AV13" s="22">
        <f t="shared" si="11"/>
        <v>1693</v>
      </c>
      <c r="AW13" s="8">
        <f t="shared" si="8"/>
        <v>196</v>
      </c>
      <c r="AX13" s="11">
        <f t="shared" si="9"/>
        <v>0</v>
      </c>
      <c r="AY13" s="8">
        <f t="shared" si="10"/>
        <v>0</v>
      </c>
      <c r="AZ13" s="11"/>
      <c r="BD13" s="11"/>
      <c r="BG13" s="11"/>
      <c r="CG13" s="264"/>
      <c r="CH13" s="264"/>
      <c r="CI13" s="264"/>
      <c r="CJ13" s="264"/>
      <c r="CK13" s="264"/>
      <c r="DK13" s="12"/>
      <c r="DM13" s="2">
        <v>3</v>
      </c>
      <c r="DP13" s="249"/>
      <c r="DR13" s="279"/>
      <c r="DS13" s="279"/>
      <c r="DT13" s="279"/>
      <c r="DU13" s="279"/>
      <c r="DV13" s="279"/>
      <c r="DW13" s="3">
        <v>58</v>
      </c>
    </row>
    <row r="14" spans="1:138">
      <c r="A14" s="102">
        <v>6</v>
      </c>
      <c r="B14" s="56">
        <v>1</v>
      </c>
      <c r="C14" s="240"/>
      <c r="D14" s="240"/>
      <c r="E14" s="240"/>
      <c r="F14" s="240"/>
      <c r="G14" s="240"/>
      <c r="H14" s="240"/>
      <c r="I14" s="240"/>
      <c r="J14" s="240"/>
      <c r="K14" s="240"/>
      <c r="L14" s="240"/>
      <c r="M14" s="240"/>
      <c r="N14" s="240"/>
      <c r="O14" s="240"/>
      <c r="P14" s="243"/>
      <c r="Q14" s="243"/>
      <c r="R14" s="10">
        <f t="shared" si="5"/>
        <v>0</v>
      </c>
      <c r="S14" s="249"/>
      <c r="T14" s="56">
        <v>227</v>
      </c>
      <c r="U14" s="56">
        <v>209</v>
      </c>
      <c r="V14" s="56">
        <v>195</v>
      </c>
      <c r="W14" s="56"/>
      <c r="X14" s="56"/>
      <c r="Y14" s="56"/>
      <c r="Z14" s="56">
        <v>69</v>
      </c>
      <c r="AA14" s="56">
        <v>91</v>
      </c>
      <c r="AB14" s="56">
        <v>223</v>
      </c>
      <c r="AC14" s="56"/>
      <c r="AD14" s="56"/>
      <c r="AF14" s="56">
        <v>90</v>
      </c>
      <c r="AG14" s="56">
        <v>186</v>
      </c>
      <c r="AH14" s="56">
        <v>196</v>
      </c>
      <c r="AM14" s="102">
        <f t="shared" si="6"/>
        <v>1486</v>
      </c>
      <c r="AN14" s="257">
        <f t="shared" si="7"/>
        <v>1486</v>
      </c>
      <c r="AO14" s="8"/>
      <c r="AP14" s="8"/>
      <c r="AQ14" s="2" t="e">
        <f>#N/A</f>
        <v>#N/A</v>
      </c>
      <c r="AR14" s="264"/>
      <c r="AS14" s="264"/>
      <c r="AT14" s="264"/>
      <c r="AU14" s="264"/>
      <c r="AV14" s="22">
        <f t="shared" si="11"/>
        <v>1486</v>
      </c>
      <c r="AW14" s="8">
        <f t="shared" si="8"/>
        <v>227</v>
      </c>
      <c r="AX14" s="11">
        <f t="shared" si="9"/>
        <v>0</v>
      </c>
      <c r="AY14" s="8">
        <f t="shared" si="10"/>
        <v>0</v>
      </c>
      <c r="AZ14" s="11"/>
      <c r="BD14" s="11"/>
      <c r="BG14" s="11"/>
      <c r="CG14" s="264"/>
      <c r="CH14" s="264"/>
      <c r="CI14" s="264"/>
      <c r="CJ14" s="264"/>
      <c r="CK14" s="264"/>
      <c r="DK14" s="12"/>
      <c r="DM14" s="2">
        <v>3</v>
      </c>
      <c r="DP14" s="249"/>
      <c r="DR14" s="279"/>
      <c r="DS14" s="279"/>
      <c r="DT14" s="279"/>
      <c r="DU14" s="279"/>
      <c r="DV14" s="279"/>
      <c r="DW14" s="3">
        <v>27</v>
      </c>
    </row>
    <row r="15" spans="1:138" ht="13.8">
      <c r="A15" s="102">
        <v>7</v>
      </c>
      <c r="B15" s="56">
        <v>1</v>
      </c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>
        <f t="shared" si="5"/>
        <v>0</v>
      </c>
      <c r="S15" s="708"/>
      <c r="T15" s="708">
        <v>187</v>
      </c>
      <c r="U15" s="708">
        <v>129</v>
      </c>
      <c r="V15" s="708">
        <v>199</v>
      </c>
      <c r="W15" s="708"/>
      <c r="X15" s="708"/>
      <c r="Y15" s="708"/>
      <c r="Z15" s="708">
        <v>62</v>
      </c>
      <c r="AA15" s="708">
        <v>172</v>
      </c>
      <c r="AB15" s="708">
        <v>217</v>
      </c>
      <c r="AC15" s="56"/>
      <c r="AD15" s="56"/>
      <c r="AF15" s="56">
        <v>94</v>
      </c>
      <c r="AG15" s="56">
        <v>80</v>
      </c>
      <c r="AH15" s="56">
        <v>86</v>
      </c>
      <c r="AM15" s="102">
        <f t="shared" si="6"/>
        <v>1226</v>
      </c>
      <c r="AN15" s="257">
        <f t="shared" si="7"/>
        <v>1226</v>
      </c>
      <c r="AO15" s="8"/>
      <c r="AP15" s="8"/>
      <c r="AQ15" s="2" t="e">
        <f>#N/A</f>
        <v>#N/A</v>
      </c>
      <c r="AR15" s="264"/>
      <c r="AS15" s="264"/>
      <c r="AT15" s="264"/>
      <c r="AU15" s="264"/>
      <c r="AV15" s="22">
        <f t="shared" si="11"/>
        <v>1226</v>
      </c>
      <c r="AW15" s="8">
        <f t="shared" si="8"/>
        <v>187</v>
      </c>
      <c r="AX15" s="11">
        <f t="shared" si="9"/>
        <v>0</v>
      </c>
      <c r="AY15" s="8">
        <f t="shared" si="10"/>
        <v>0</v>
      </c>
      <c r="AZ15" s="11"/>
      <c r="BD15" s="11"/>
      <c r="BG15" s="11"/>
      <c r="CG15" s="264"/>
      <c r="CH15" s="264"/>
      <c r="CI15" s="264"/>
      <c r="CJ15" s="264"/>
      <c r="CK15" s="264"/>
      <c r="DK15" s="12"/>
      <c r="DM15" s="2">
        <v>3</v>
      </c>
      <c r="DP15" s="249"/>
      <c r="DR15" s="279"/>
      <c r="DS15" s="279"/>
      <c r="DT15" s="279"/>
      <c r="DU15" s="279"/>
      <c r="DV15" s="279"/>
      <c r="DW15" s="3">
        <v>15</v>
      </c>
    </row>
    <row r="16" spans="1:138">
      <c r="A16" s="102">
        <v>8</v>
      </c>
      <c r="B16" s="56">
        <v>1</v>
      </c>
      <c r="C16" s="240"/>
      <c r="D16" s="240"/>
      <c r="E16" s="240"/>
      <c r="F16" s="240"/>
      <c r="G16" s="240"/>
      <c r="H16" s="240"/>
      <c r="I16" s="240"/>
      <c r="J16" s="240"/>
      <c r="K16" s="240"/>
      <c r="L16" s="240"/>
      <c r="M16" s="240"/>
      <c r="N16" s="240"/>
      <c r="O16" s="240"/>
      <c r="P16" s="243"/>
      <c r="Q16" s="243"/>
      <c r="R16" s="10">
        <f t="shared" si="5"/>
        <v>0</v>
      </c>
      <c r="S16" s="249"/>
      <c r="T16" s="56">
        <v>175</v>
      </c>
      <c r="U16" s="56">
        <v>83</v>
      </c>
      <c r="V16" s="56">
        <v>169</v>
      </c>
      <c r="W16" s="56"/>
      <c r="X16" s="56"/>
      <c r="Y16" s="56"/>
      <c r="Z16" s="56">
        <v>91</v>
      </c>
      <c r="AA16" s="56">
        <v>166</v>
      </c>
      <c r="AB16" s="56">
        <v>190</v>
      </c>
      <c r="AC16" s="56"/>
      <c r="AD16" s="56"/>
      <c r="AF16" s="56">
        <v>82</v>
      </c>
      <c r="AG16" s="56">
        <v>144</v>
      </c>
      <c r="AH16" s="56">
        <v>176</v>
      </c>
      <c r="AM16" s="102">
        <f t="shared" si="6"/>
        <v>1276</v>
      </c>
      <c r="AN16" s="257">
        <f t="shared" si="7"/>
        <v>1276</v>
      </c>
      <c r="AO16" s="8"/>
      <c r="AP16" s="8"/>
      <c r="AQ16" s="2" t="e">
        <f>#N/A</f>
        <v>#N/A</v>
      </c>
      <c r="AR16" s="264"/>
      <c r="AS16" s="264"/>
      <c r="AT16" s="264"/>
      <c r="AU16" s="264"/>
      <c r="AV16" s="22">
        <f t="shared" si="11"/>
        <v>1276</v>
      </c>
      <c r="AW16" s="8">
        <f t="shared" si="8"/>
        <v>175</v>
      </c>
      <c r="AX16" s="11">
        <f t="shared" si="9"/>
        <v>0</v>
      </c>
      <c r="AY16" s="8">
        <f t="shared" si="10"/>
        <v>0</v>
      </c>
      <c r="AZ16" s="11"/>
      <c r="BD16" s="11"/>
      <c r="BG16" s="11"/>
      <c r="CG16" s="264"/>
      <c r="CH16" s="264"/>
      <c r="CI16" s="264"/>
      <c r="CJ16" s="264"/>
      <c r="CK16" s="264"/>
      <c r="DK16" s="12"/>
      <c r="DM16" s="2">
        <v>3</v>
      </c>
      <c r="DP16" s="249"/>
      <c r="DR16" s="279"/>
      <c r="DS16" s="279"/>
      <c r="DT16" s="279"/>
      <c r="DU16" s="279"/>
      <c r="DV16" s="279"/>
      <c r="DW16" s="3">
        <v>18</v>
      </c>
    </row>
    <row r="17" spans="1:128">
      <c r="A17" s="102">
        <v>9</v>
      </c>
      <c r="B17" s="56">
        <v>1</v>
      </c>
      <c r="C17" s="240"/>
      <c r="D17" s="240"/>
      <c r="E17" s="240"/>
      <c r="F17" s="240"/>
      <c r="G17" s="240"/>
      <c r="H17" s="240"/>
      <c r="I17" s="240"/>
      <c r="J17" s="240"/>
      <c r="K17" s="240"/>
      <c r="L17" s="240"/>
      <c r="M17" s="240"/>
      <c r="N17" s="240"/>
      <c r="O17" s="240"/>
      <c r="P17" s="243"/>
      <c r="Q17" s="243"/>
      <c r="R17" s="10">
        <f t="shared" si="5"/>
        <v>0</v>
      </c>
      <c r="S17" s="249"/>
      <c r="T17" s="56">
        <v>0</v>
      </c>
      <c r="U17" s="56">
        <v>252</v>
      </c>
      <c r="V17" s="56">
        <v>68</v>
      </c>
      <c r="W17" s="56"/>
      <c r="X17" s="56"/>
      <c r="Y17" s="56"/>
      <c r="Z17" s="56">
        <v>51</v>
      </c>
      <c r="AA17" s="56">
        <v>85</v>
      </c>
      <c r="AB17" s="56">
        <v>207</v>
      </c>
      <c r="AC17" s="56"/>
      <c r="AD17" s="56"/>
      <c r="AF17" s="56">
        <v>49</v>
      </c>
      <c r="AG17" s="56">
        <v>114</v>
      </c>
      <c r="AH17" s="56">
        <v>72</v>
      </c>
      <c r="AM17" s="102">
        <f t="shared" si="6"/>
        <v>898</v>
      </c>
      <c r="AN17" s="257">
        <f t="shared" si="7"/>
        <v>898</v>
      </c>
      <c r="AO17" s="8"/>
      <c r="AP17" s="8"/>
      <c r="AQ17" s="2" t="e">
        <f>#N/A</f>
        <v>#N/A</v>
      </c>
      <c r="AR17" s="264"/>
      <c r="AS17" s="264"/>
      <c r="AT17" s="264"/>
      <c r="AU17" s="264"/>
      <c r="AV17" s="22">
        <f t="shared" si="11"/>
        <v>898</v>
      </c>
      <c r="AW17" s="8">
        <f t="shared" si="8"/>
        <v>0</v>
      </c>
      <c r="AX17" s="11">
        <f t="shared" si="9"/>
        <v>0</v>
      </c>
      <c r="AY17" s="8">
        <f t="shared" si="10"/>
        <v>0</v>
      </c>
      <c r="AZ17" s="11"/>
      <c r="BD17" s="11"/>
      <c r="BG17" s="11"/>
      <c r="CG17" s="264"/>
      <c r="CH17" s="264"/>
      <c r="CI17" s="264"/>
      <c r="CJ17" s="264"/>
      <c r="CK17" s="264"/>
      <c r="DK17" s="12"/>
      <c r="DM17" s="2">
        <v>2</v>
      </c>
      <c r="DP17" s="249"/>
      <c r="DR17" s="279"/>
      <c r="DS17" s="279"/>
      <c r="DT17" s="279"/>
      <c r="DU17" s="279"/>
      <c r="DV17" s="279"/>
      <c r="DW17" s="3">
        <v>42</v>
      </c>
      <c r="DX17" s="25"/>
    </row>
    <row r="18" spans="1:128">
      <c r="A18" s="102">
        <v>10</v>
      </c>
      <c r="B18" s="56">
        <v>1</v>
      </c>
      <c r="C18" s="240"/>
      <c r="D18" s="240"/>
      <c r="E18" s="240"/>
      <c r="F18" s="240"/>
      <c r="G18" s="240"/>
      <c r="H18" s="240"/>
      <c r="I18" s="240"/>
      <c r="J18" s="240"/>
      <c r="K18" s="240"/>
      <c r="L18" s="240"/>
      <c r="M18" s="240"/>
      <c r="N18" s="240"/>
      <c r="O18" s="240"/>
      <c r="P18" s="243"/>
      <c r="Q18" s="243"/>
      <c r="R18" s="10">
        <f t="shared" si="5"/>
        <v>0</v>
      </c>
      <c r="S18" s="249"/>
      <c r="T18" s="56">
        <v>218</v>
      </c>
      <c r="U18" s="56">
        <v>101</v>
      </c>
      <c r="V18" s="56">
        <v>212</v>
      </c>
      <c r="W18" s="56"/>
      <c r="X18" s="56"/>
      <c r="Y18" s="56"/>
      <c r="Z18" s="56">
        <v>103</v>
      </c>
      <c r="AA18" s="56">
        <v>144</v>
      </c>
      <c r="AB18" s="56">
        <v>274</v>
      </c>
      <c r="AC18" s="56"/>
      <c r="AD18" s="56"/>
      <c r="AF18" s="56">
        <v>42</v>
      </c>
      <c r="AG18" s="56">
        <v>50</v>
      </c>
      <c r="AH18" s="56">
        <v>150</v>
      </c>
      <c r="AM18" s="102">
        <f t="shared" si="6"/>
        <v>1294</v>
      </c>
      <c r="AN18" s="257">
        <f t="shared" si="7"/>
        <v>1294</v>
      </c>
      <c r="AO18" s="8"/>
      <c r="AP18" s="8"/>
      <c r="AQ18" s="2" t="e">
        <f>#N/A</f>
        <v>#N/A</v>
      </c>
      <c r="AR18" s="264"/>
      <c r="AS18" s="264"/>
      <c r="AT18" s="264"/>
      <c r="AU18" s="264"/>
      <c r="AV18" s="22">
        <f t="shared" si="11"/>
        <v>1294</v>
      </c>
      <c r="AW18" s="8">
        <f t="shared" si="8"/>
        <v>218</v>
      </c>
      <c r="AX18" s="11">
        <f t="shared" si="9"/>
        <v>0</v>
      </c>
      <c r="AY18" s="8">
        <f t="shared" si="10"/>
        <v>0</v>
      </c>
      <c r="AZ18" s="11"/>
      <c r="BD18" s="11"/>
      <c r="BG18" s="11"/>
      <c r="CG18" s="264"/>
      <c r="CH18" s="264"/>
      <c r="CI18" s="264"/>
      <c r="CJ18" s="264"/>
      <c r="CK18" s="264"/>
      <c r="DK18" s="12"/>
      <c r="DM18" s="2">
        <v>3</v>
      </c>
      <c r="DP18" s="249"/>
      <c r="DR18" s="279"/>
      <c r="DS18" s="279"/>
      <c r="DT18" s="279"/>
      <c r="DU18" s="279"/>
      <c r="DV18" s="11"/>
      <c r="DW18" s="3">
        <v>20</v>
      </c>
    </row>
    <row r="19" spans="1:128">
      <c r="A19" s="102">
        <v>11</v>
      </c>
      <c r="B19" s="56">
        <v>1</v>
      </c>
      <c r="C19" s="240"/>
      <c r="D19" s="240"/>
      <c r="E19" s="240"/>
      <c r="F19" s="240"/>
      <c r="G19" s="240"/>
      <c r="H19" s="240"/>
      <c r="I19" s="240"/>
      <c r="J19" s="240"/>
      <c r="K19" s="240"/>
      <c r="L19" s="240"/>
      <c r="M19" s="240"/>
      <c r="N19" s="240"/>
      <c r="O19" s="240"/>
      <c r="P19" s="243"/>
      <c r="Q19" s="243"/>
      <c r="R19" s="10">
        <f t="shared" si="5"/>
        <v>0</v>
      </c>
      <c r="S19" s="249"/>
      <c r="T19" s="56">
        <v>180</v>
      </c>
      <c r="U19" s="56">
        <v>124</v>
      </c>
      <c r="V19" s="56">
        <v>183</v>
      </c>
      <c r="W19" s="56"/>
      <c r="X19" s="56"/>
      <c r="Y19" s="56"/>
      <c r="Z19" s="56">
        <v>100</v>
      </c>
      <c r="AA19" s="56">
        <v>166</v>
      </c>
      <c r="AB19" s="56">
        <v>132</v>
      </c>
      <c r="AC19" s="56"/>
      <c r="AD19" s="56"/>
      <c r="AF19" s="56">
        <v>100</v>
      </c>
      <c r="AG19" s="56">
        <v>178</v>
      </c>
      <c r="AH19" s="56">
        <v>139</v>
      </c>
      <c r="AM19" s="102">
        <f t="shared" si="6"/>
        <v>1302</v>
      </c>
      <c r="AN19" s="257">
        <f t="shared" si="7"/>
        <v>1302</v>
      </c>
      <c r="AO19" s="8"/>
      <c r="AP19" s="8"/>
      <c r="AQ19" s="2" t="e">
        <f>#N/A</f>
        <v>#N/A</v>
      </c>
      <c r="AR19" s="264"/>
      <c r="AS19" s="264"/>
      <c r="AT19" s="264"/>
      <c r="AU19" s="264"/>
      <c r="AV19" s="22">
        <f t="shared" si="11"/>
        <v>1302</v>
      </c>
      <c r="AW19" s="8">
        <f t="shared" si="8"/>
        <v>180</v>
      </c>
      <c r="AX19" s="11">
        <f t="shared" si="9"/>
        <v>0</v>
      </c>
      <c r="AY19" s="8">
        <f t="shared" si="10"/>
        <v>0</v>
      </c>
      <c r="AZ19" s="11"/>
      <c r="BD19" s="11"/>
      <c r="BG19" s="11"/>
      <c r="CG19" s="264"/>
      <c r="CH19" s="264"/>
      <c r="CI19" s="264"/>
      <c r="CJ19" s="264"/>
      <c r="CK19" s="264"/>
      <c r="DK19" s="12"/>
      <c r="DM19" s="2">
        <v>3</v>
      </c>
      <c r="DP19" s="249"/>
      <c r="DR19" s="279"/>
      <c r="DS19" s="279"/>
      <c r="DT19" s="279"/>
      <c r="DU19" s="279"/>
      <c r="DV19" s="11"/>
      <c r="DW19" s="3">
        <v>18</v>
      </c>
    </row>
    <row r="20" spans="1:128">
      <c r="A20" s="102">
        <v>12</v>
      </c>
      <c r="B20" s="56">
        <v>1</v>
      </c>
      <c r="C20" s="240"/>
      <c r="D20" s="240"/>
      <c r="E20" s="240"/>
      <c r="F20" s="240"/>
      <c r="G20" s="240"/>
      <c r="H20" s="240"/>
      <c r="I20" s="240"/>
      <c r="J20" s="240"/>
      <c r="K20" s="240"/>
      <c r="L20" s="240"/>
      <c r="M20" s="240"/>
      <c r="N20" s="240"/>
      <c r="O20" s="240"/>
      <c r="P20" s="243"/>
      <c r="Q20" s="243"/>
      <c r="R20" s="10">
        <f t="shared" si="5"/>
        <v>0</v>
      </c>
      <c r="S20" s="249"/>
      <c r="T20" s="56">
        <v>59</v>
      </c>
      <c r="U20" s="56">
        <v>110</v>
      </c>
      <c r="V20" s="56">
        <v>121</v>
      </c>
      <c r="W20" s="56"/>
      <c r="X20" s="56"/>
      <c r="Y20" s="56"/>
      <c r="Z20" s="56">
        <v>46</v>
      </c>
      <c r="AA20" s="56">
        <v>57</v>
      </c>
      <c r="AB20" s="56">
        <v>140</v>
      </c>
      <c r="AC20" s="56"/>
      <c r="AD20" s="56"/>
      <c r="AF20" s="56">
        <v>58</v>
      </c>
      <c r="AG20" s="56">
        <v>90</v>
      </c>
      <c r="AH20" s="56">
        <v>86</v>
      </c>
      <c r="AM20" s="102">
        <f t="shared" si="6"/>
        <v>767</v>
      </c>
      <c r="AN20" s="257">
        <f t="shared" si="7"/>
        <v>767</v>
      </c>
      <c r="AO20" s="8"/>
      <c r="AP20" s="8"/>
      <c r="AQ20" s="2" t="e">
        <f>#N/A</f>
        <v>#N/A</v>
      </c>
      <c r="AR20" s="264"/>
      <c r="AS20" s="264"/>
      <c r="AT20" s="264"/>
      <c r="AU20" s="264"/>
      <c r="AV20" s="22">
        <f t="shared" si="11"/>
        <v>767</v>
      </c>
      <c r="AW20" s="8">
        <f t="shared" si="8"/>
        <v>59</v>
      </c>
      <c r="AX20" s="11">
        <f t="shared" si="9"/>
        <v>0</v>
      </c>
      <c r="AY20" s="8">
        <f t="shared" si="10"/>
        <v>0</v>
      </c>
      <c r="AZ20" s="11"/>
      <c r="BD20" s="11"/>
      <c r="BG20" s="11"/>
      <c r="CG20" s="264"/>
      <c r="CH20" s="264"/>
      <c r="CI20" s="264"/>
      <c r="CJ20" s="264"/>
      <c r="CK20" s="264"/>
      <c r="DK20" s="12"/>
      <c r="DM20" s="2">
        <v>3</v>
      </c>
      <c r="DP20" s="249"/>
      <c r="DR20" s="279"/>
      <c r="DS20" s="279"/>
      <c r="DT20" s="279"/>
      <c r="DU20" s="279"/>
      <c r="DV20" s="11"/>
      <c r="DW20" s="3">
        <v>25</v>
      </c>
    </row>
    <row r="21" spans="1:128">
      <c r="A21" s="102">
        <v>13</v>
      </c>
      <c r="B21" s="56">
        <v>1</v>
      </c>
      <c r="C21" s="240"/>
      <c r="D21" s="240"/>
      <c r="E21" s="240"/>
      <c r="F21" s="240"/>
      <c r="G21" s="240"/>
      <c r="H21" s="240"/>
      <c r="I21" s="240"/>
      <c r="J21" s="240"/>
      <c r="K21" s="240"/>
      <c r="L21" s="240"/>
      <c r="M21" s="240"/>
      <c r="N21" s="240"/>
      <c r="O21" s="240"/>
      <c r="P21" s="243"/>
      <c r="Q21" s="243"/>
      <c r="R21" s="10">
        <f t="shared" si="5"/>
        <v>0</v>
      </c>
      <c r="S21" s="249"/>
      <c r="T21" s="56">
        <v>213</v>
      </c>
      <c r="U21" s="56">
        <v>203</v>
      </c>
      <c r="V21" s="56">
        <v>230</v>
      </c>
      <c r="W21" s="56"/>
      <c r="X21" s="56"/>
      <c r="Y21" s="56"/>
      <c r="Z21" s="56">
        <v>90</v>
      </c>
      <c r="AA21" s="56">
        <v>180</v>
      </c>
      <c r="AB21" s="56">
        <v>247</v>
      </c>
      <c r="AC21" s="56"/>
      <c r="AD21" s="56"/>
      <c r="AF21" s="56">
        <v>73</v>
      </c>
      <c r="AG21" s="56">
        <v>94</v>
      </c>
      <c r="AH21" s="56">
        <v>164</v>
      </c>
      <c r="AM21" s="102">
        <f t="shared" si="6"/>
        <v>1494</v>
      </c>
      <c r="AN21" s="257">
        <f t="shared" si="7"/>
        <v>1494</v>
      </c>
      <c r="AO21" s="8"/>
      <c r="AP21" s="8"/>
      <c r="AQ21" s="2" t="e">
        <f>#N/A</f>
        <v>#N/A</v>
      </c>
      <c r="AR21" s="264"/>
      <c r="AS21" s="264"/>
      <c r="AT21" s="264"/>
      <c r="AU21" s="264"/>
      <c r="AV21" s="22">
        <f t="shared" si="11"/>
        <v>1494</v>
      </c>
      <c r="AW21" s="8">
        <f t="shared" si="8"/>
        <v>213</v>
      </c>
      <c r="AX21" s="11">
        <f t="shared" si="9"/>
        <v>0</v>
      </c>
      <c r="AY21" s="8">
        <f t="shared" si="10"/>
        <v>0</v>
      </c>
      <c r="AZ21" s="11"/>
      <c r="BD21" s="11"/>
      <c r="BG21" s="11"/>
      <c r="CG21" s="264"/>
      <c r="CH21" s="264"/>
      <c r="CI21" s="264"/>
      <c r="CJ21" s="264"/>
      <c r="CK21" s="264"/>
      <c r="DK21" s="12"/>
      <c r="DM21" s="2">
        <v>3</v>
      </c>
      <c r="DP21" s="249"/>
      <c r="DR21" s="279"/>
      <c r="DS21" s="279"/>
      <c r="DT21" s="279"/>
      <c r="DU21" s="279"/>
      <c r="DV21" s="279"/>
      <c r="DW21" s="3">
        <v>17</v>
      </c>
    </row>
    <row r="22" spans="1:128">
      <c r="A22" s="102">
        <v>14</v>
      </c>
      <c r="B22" s="56">
        <v>1</v>
      </c>
      <c r="C22" s="240"/>
      <c r="D22" s="240"/>
      <c r="E22" s="240"/>
      <c r="F22" s="240"/>
      <c r="G22" s="240"/>
      <c r="H22" s="240"/>
      <c r="I22" s="240"/>
      <c r="J22" s="240"/>
      <c r="K22" s="240"/>
      <c r="L22" s="240"/>
      <c r="M22" s="240"/>
      <c r="N22" s="240"/>
      <c r="O22" s="240"/>
      <c r="P22" s="243"/>
      <c r="Q22" s="243"/>
      <c r="R22" s="10">
        <f t="shared" si="5"/>
        <v>0</v>
      </c>
      <c r="S22" s="249"/>
      <c r="T22" s="56">
        <v>176</v>
      </c>
      <c r="U22" s="56">
        <v>167</v>
      </c>
      <c r="V22" s="56">
        <v>160</v>
      </c>
      <c r="W22" s="56"/>
      <c r="X22" s="56"/>
      <c r="Y22" s="56"/>
      <c r="Z22" s="56">
        <v>82</v>
      </c>
      <c r="AA22" s="56">
        <v>134</v>
      </c>
      <c r="AB22" s="56">
        <v>225</v>
      </c>
      <c r="AC22" s="56"/>
      <c r="AD22" s="56"/>
      <c r="AF22" s="56">
        <v>62</v>
      </c>
      <c r="AG22" s="56">
        <v>128</v>
      </c>
      <c r="AH22" s="56">
        <v>107</v>
      </c>
      <c r="AM22" s="102">
        <f t="shared" si="6"/>
        <v>1241</v>
      </c>
      <c r="AN22" s="257">
        <f t="shared" si="7"/>
        <v>1241</v>
      </c>
      <c r="AO22" s="8"/>
      <c r="AP22" s="8"/>
      <c r="AQ22" s="2" t="e">
        <f>#N/A</f>
        <v>#N/A</v>
      </c>
      <c r="AR22" s="264"/>
      <c r="AS22" s="264"/>
      <c r="AT22" s="264"/>
      <c r="AU22" s="264"/>
      <c r="AV22" s="22">
        <f t="shared" si="11"/>
        <v>1241</v>
      </c>
      <c r="AW22" s="8">
        <f t="shared" si="8"/>
        <v>176</v>
      </c>
      <c r="AX22" s="11">
        <f t="shared" si="9"/>
        <v>0</v>
      </c>
      <c r="AY22" s="8">
        <f t="shared" si="10"/>
        <v>0</v>
      </c>
      <c r="AZ22" s="11"/>
      <c r="BD22" s="11"/>
      <c r="BG22" s="11"/>
      <c r="CG22" s="264"/>
      <c r="CH22" s="264"/>
      <c r="CI22" s="264"/>
      <c r="CJ22" s="264"/>
      <c r="CK22" s="264"/>
      <c r="DK22" s="12"/>
      <c r="DM22" s="2">
        <v>3</v>
      </c>
      <c r="DP22" s="249"/>
      <c r="DR22" s="279"/>
      <c r="DS22" s="279"/>
      <c r="DT22" s="279"/>
      <c r="DU22" s="279"/>
      <c r="DV22" s="279"/>
      <c r="DW22" s="3">
        <v>21</v>
      </c>
    </row>
    <row r="23" spans="1:128">
      <c r="A23" s="102">
        <v>15</v>
      </c>
      <c r="B23" s="56">
        <v>1</v>
      </c>
      <c r="C23" s="240"/>
      <c r="D23" s="240"/>
      <c r="E23" s="240"/>
      <c r="F23" s="240"/>
      <c r="G23" s="240"/>
      <c r="H23" s="240"/>
      <c r="I23" s="240"/>
      <c r="J23" s="240"/>
      <c r="K23" s="240"/>
      <c r="L23" s="240"/>
      <c r="M23" s="240"/>
      <c r="N23" s="240"/>
      <c r="O23" s="240"/>
      <c r="P23" s="243"/>
      <c r="Q23" s="243"/>
      <c r="R23" s="10">
        <f t="shared" si="5"/>
        <v>0</v>
      </c>
      <c r="S23" s="249"/>
      <c r="T23" s="56">
        <v>240</v>
      </c>
      <c r="U23" s="56">
        <v>226</v>
      </c>
      <c r="V23" s="56">
        <v>180</v>
      </c>
      <c r="W23" s="56"/>
      <c r="X23" s="56"/>
      <c r="Y23" s="56"/>
      <c r="Z23" s="56">
        <v>108</v>
      </c>
      <c r="AA23" s="56">
        <v>179</v>
      </c>
      <c r="AB23" s="56">
        <v>305</v>
      </c>
      <c r="AC23" s="56"/>
      <c r="AD23" s="56"/>
      <c r="AF23" s="56">
        <v>90</v>
      </c>
      <c r="AG23" s="56">
        <v>186</v>
      </c>
      <c r="AH23" s="56">
        <v>165</v>
      </c>
      <c r="AM23" s="102">
        <f t="shared" si="6"/>
        <v>1679</v>
      </c>
      <c r="AN23" s="257">
        <f t="shared" si="7"/>
        <v>1679</v>
      </c>
      <c r="AO23" s="8"/>
      <c r="AP23" s="8"/>
      <c r="AQ23" s="2" t="e">
        <f>#N/A</f>
        <v>#N/A</v>
      </c>
      <c r="AR23" s="264"/>
      <c r="AS23" s="264"/>
      <c r="AT23" s="264"/>
      <c r="AU23" s="264"/>
      <c r="AV23" s="22">
        <f t="shared" si="11"/>
        <v>1679</v>
      </c>
      <c r="AW23" s="8">
        <f t="shared" si="8"/>
        <v>240</v>
      </c>
      <c r="AX23" s="11">
        <f t="shared" si="9"/>
        <v>0</v>
      </c>
      <c r="AY23" s="8">
        <f t="shared" si="10"/>
        <v>0</v>
      </c>
      <c r="AZ23" s="11"/>
      <c r="BD23" s="11"/>
      <c r="BG23" s="11"/>
      <c r="CG23" s="264"/>
      <c r="CH23" s="264"/>
      <c r="CI23" s="264"/>
      <c r="CJ23" s="264"/>
      <c r="CK23" s="264"/>
      <c r="DK23" s="12"/>
      <c r="DM23" s="2">
        <v>3</v>
      </c>
      <c r="DP23" s="249"/>
      <c r="DR23" s="279"/>
      <c r="DS23" s="279"/>
      <c r="DT23" s="279"/>
      <c r="DU23" s="279"/>
      <c r="DV23" s="279"/>
      <c r="DW23" s="3">
        <v>19</v>
      </c>
    </row>
    <row r="24" spans="1:128">
      <c r="A24" s="102">
        <v>16</v>
      </c>
      <c r="B24" s="56">
        <v>1</v>
      </c>
      <c r="C24" s="240"/>
      <c r="D24" s="240"/>
      <c r="E24" s="240"/>
      <c r="F24" s="240"/>
      <c r="G24" s="240"/>
      <c r="H24" s="240"/>
      <c r="I24" s="240"/>
      <c r="J24" s="240"/>
      <c r="K24" s="240"/>
      <c r="L24" s="240"/>
      <c r="M24" s="240"/>
      <c r="N24" s="240"/>
      <c r="O24" s="240"/>
      <c r="P24" s="243"/>
      <c r="Q24" s="243"/>
      <c r="R24" s="10">
        <f t="shared" si="5"/>
        <v>0</v>
      </c>
      <c r="S24" s="249"/>
      <c r="T24" s="56">
        <v>274</v>
      </c>
      <c r="U24" s="56">
        <v>217</v>
      </c>
      <c r="V24" s="56">
        <v>336</v>
      </c>
      <c r="W24" s="56"/>
      <c r="X24" s="56"/>
      <c r="Y24" s="56"/>
      <c r="Z24" s="56">
        <v>192</v>
      </c>
      <c r="AA24" s="56">
        <v>227</v>
      </c>
      <c r="AB24" s="56">
        <v>353</v>
      </c>
      <c r="AC24" s="56"/>
      <c r="AD24" s="56"/>
      <c r="AF24" s="56">
        <v>245</v>
      </c>
      <c r="AG24" s="56">
        <v>230</v>
      </c>
      <c r="AH24" s="56">
        <v>243</v>
      </c>
      <c r="AM24" s="102">
        <f t="shared" si="6"/>
        <v>2317</v>
      </c>
      <c r="AN24" s="257">
        <f t="shared" si="7"/>
        <v>2317</v>
      </c>
      <c r="AO24" s="8"/>
      <c r="AP24" s="8"/>
      <c r="AQ24" s="2" t="e">
        <f>#N/A</f>
        <v>#N/A</v>
      </c>
      <c r="AR24" s="264"/>
      <c r="AS24" s="264"/>
      <c r="AT24" s="264"/>
      <c r="AU24" s="264"/>
      <c r="AV24" s="22">
        <f t="shared" si="11"/>
        <v>2317</v>
      </c>
      <c r="AW24" s="8">
        <f t="shared" si="8"/>
        <v>274</v>
      </c>
      <c r="AX24" s="11">
        <f t="shared" si="9"/>
        <v>0</v>
      </c>
      <c r="AY24" s="8">
        <f t="shared" si="10"/>
        <v>0</v>
      </c>
      <c r="AZ24" s="11"/>
      <c r="BD24" s="11"/>
      <c r="BG24" s="11"/>
      <c r="CG24" s="264"/>
      <c r="CH24" s="264"/>
      <c r="CI24" s="264"/>
      <c r="CJ24" s="264"/>
      <c r="CK24" s="264"/>
      <c r="DK24" s="12"/>
      <c r="DM24" s="2">
        <v>3</v>
      </c>
      <c r="DP24" s="249"/>
      <c r="DR24" s="279"/>
      <c r="DS24" s="279"/>
      <c r="DT24" s="279"/>
      <c r="DU24" s="279"/>
      <c r="DV24" s="279"/>
      <c r="DW24" s="3">
        <v>40</v>
      </c>
    </row>
    <row r="25" spans="1:128">
      <c r="A25" s="102">
        <v>17</v>
      </c>
      <c r="B25" s="56">
        <v>1</v>
      </c>
      <c r="C25" s="240"/>
      <c r="D25" s="240"/>
      <c r="E25" s="240"/>
      <c r="F25" s="240"/>
      <c r="G25" s="240"/>
      <c r="H25" s="240"/>
      <c r="I25" s="240"/>
      <c r="J25" s="240"/>
      <c r="K25" s="240"/>
      <c r="L25" s="240"/>
      <c r="M25" s="240"/>
      <c r="N25" s="240"/>
      <c r="O25" s="240"/>
      <c r="P25" s="243"/>
      <c r="Q25" s="243"/>
      <c r="R25" s="10">
        <f t="shared" si="5"/>
        <v>0</v>
      </c>
      <c r="S25" s="249"/>
      <c r="T25" s="56">
        <v>145</v>
      </c>
      <c r="U25" s="56">
        <v>191</v>
      </c>
      <c r="V25" s="56">
        <v>238</v>
      </c>
      <c r="W25" s="56"/>
      <c r="X25" s="56"/>
      <c r="Y25" s="56"/>
      <c r="Z25" s="56">
        <v>88</v>
      </c>
      <c r="AA25" s="56">
        <v>190</v>
      </c>
      <c r="AB25" s="56">
        <v>342</v>
      </c>
      <c r="AC25" s="56"/>
      <c r="AD25" s="56"/>
      <c r="AF25" s="56">
        <v>105</v>
      </c>
      <c r="AG25" s="56">
        <v>206</v>
      </c>
      <c r="AH25" s="56">
        <v>153</v>
      </c>
      <c r="AM25" s="102">
        <f t="shared" si="6"/>
        <v>1658</v>
      </c>
      <c r="AN25" s="257">
        <f t="shared" si="7"/>
        <v>1658</v>
      </c>
      <c r="AO25" s="8"/>
      <c r="AP25" s="8"/>
      <c r="AQ25" s="2" t="e">
        <f>#N/A</f>
        <v>#N/A</v>
      </c>
      <c r="AR25" s="264"/>
      <c r="AS25" s="264"/>
      <c r="AT25" s="264"/>
      <c r="AU25" s="264"/>
      <c r="AV25" s="22">
        <f t="shared" si="11"/>
        <v>1658</v>
      </c>
      <c r="AW25" s="8">
        <f t="shared" si="8"/>
        <v>145</v>
      </c>
      <c r="AX25" s="11">
        <f t="shared" si="9"/>
        <v>0</v>
      </c>
      <c r="AY25" s="8">
        <f t="shared" si="10"/>
        <v>0</v>
      </c>
      <c r="AZ25" s="11"/>
      <c r="BD25" s="11"/>
      <c r="BG25" s="11"/>
      <c r="CG25" s="264"/>
      <c r="CH25" s="264"/>
      <c r="CI25" s="264"/>
      <c r="CJ25" s="264"/>
      <c r="CK25" s="264"/>
      <c r="DK25" s="12"/>
      <c r="DM25" s="2">
        <v>3</v>
      </c>
      <c r="DP25" s="249"/>
      <c r="DR25" s="279"/>
      <c r="DS25" s="279"/>
      <c r="DT25" s="279"/>
      <c r="DU25" s="279"/>
      <c r="DV25" s="279"/>
      <c r="DW25" s="3">
        <v>24</v>
      </c>
    </row>
    <row r="26" spans="1:128">
      <c r="A26" s="102">
        <v>18</v>
      </c>
      <c r="B26" s="56">
        <v>1</v>
      </c>
      <c r="C26" s="240"/>
      <c r="D26" s="240"/>
      <c r="E26" s="240"/>
      <c r="F26" s="240"/>
      <c r="G26" s="240"/>
      <c r="H26" s="240"/>
      <c r="I26" s="240"/>
      <c r="J26" s="240"/>
      <c r="K26" s="240"/>
      <c r="L26" s="240"/>
      <c r="M26" s="240"/>
      <c r="N26" s="240"/>
      <c r="O26" s="240"/>
      <c r="P26" s="243"/>
      <c r="Q26" s="243"/>
      <c r="R26" s="10">
        <f t="shared" si="5"/>
        <v>0</v>
      </c>
      <c r="S26" s="249"/>
      <c r="T26" s="56">
        <v>207</v>
      </c>
      <c r="U26" s="56">
        <v>112</v>
      </c>
      <c r="V26" s="56">
        <v>235</v>
      </c>
      <c r="W26" s="56"/>
      <c r="X26" s="56"/>
      <c r="Y26" s="56"/>
      <c r="Z26" s="56">
        <v>106</v>
      </c>
      <c r="AA26" s="56">
        <v>186</v>
      </c>
      <c r="AB26" s="56">
        <v>253</v>
      </c>
      <c r="AC26" s="56"/>
      <c r="AD26" s="56"/>
      <c r="AF26" s="56">
        <v>93</v>
      </c>
      <c r="AG26" s="56">
        <v>147</v>
      </c>
      <c r="AH26" s="56">
        <v>148</v>
      </c>
      <c r="AM26" s="102">
        <f t="shared" si="6"/>
        <v>1487</v>
      </c>
      <c r="AN26" s="257">
        <f t="shared" si="7"/>
        <v>1487</v>
      </c>
      <c r="AO26" s="8"/>
      <c r="AP26" s="8"/>
      <c r="AQ26" s="2" t="e">
        <f>#N/A</f>
        <v>#N/A</v>
      </c>
      <c r="AR26" s="264"/>
      <c r="AS26" s="264"/>
      <c r="AT26" s="264"/>
      <c r="AU26" s="264"/>
      <c r="AV26" s="22">
        <f t="shared" si="11"/>
        <v>1487</v>
      </c>
      <c r="AW26" s="8">
        <f t="shared" si="8"/>
        <v>207</v>
      </c>
      <c r="AX26" s="11">
        <f t="shared" si="9"/>
        <v>0</v>
      </c>
      <c r="AY26" s="8">
        <f t="shared" si="10"/>
        <v>0</v>
      </c>
      <c r="AZ26" s="11"/>
      <c r="BD26" s="11"/>
      <c r="BG26" s="11"/>
      <c r="CG26" s="264"/>
      <c r="CH26" s="264"/>
      <c r="CI26" s="264"/>
      <c r="CJ26" s="264"/>
      <c r="CK26" s="264"/>
      <c r="DK26" s="12"/>
      <c r="DM26" s="2">
        <v>3</v>
      </c>
      <c r="DP26" s="249"/>
      <c r="DR26" s="279"/>
      <c r="DS26" s="279"/>
      <c r="DT26" s="279"/>
      <c r="DU26" s="279"/>
      <c r="DV26" s="279"/>
      <c r="DW26" s="3">
        <v>34</v>
      </c>
    </row>
    <row r="27" spans="1:128">
      <c r="A27" s="102">
        <v>19</v>
      </c>
      <c r="B27" s="56">
        <v>1</v>
      </c>
      <c r="C27" s="240"/>
      <c r="D27" s="240"/>
      <c r="E27" s="240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3"/>
      <c r="Q27" s="243"/>
      <c r="R27" s="10">
        <f t="shared" si="5"/>
        <v>0</v>
      </c>
      <c r="S27" s="249"/>
      <c r="T27" s="56">
        <v>214</v>
      </c>
      <c r="U27" s="56">
        <v>230</v>
      </c>
      <c r="V27" s="56">
        <v>329</v>
      </c>
      <c r="W27" s="56"/>
      <c r="X27" s="56"/>
      <c r="Y27" s="56"/>
      <c r="Z27" s="56">
        <v>105</v>
      </c>
      <c r="AA27" s="56">
        <v>240</v>
      </c>
      <c r="AB27" s="56">
        <v>304</v>
      </c>
      <c r="AC27" s="56"/>
      <c r="AD27" s="56"/>
      <c r="AF27" s="56">
        <v>130</v>
      </c>
      <c r="AG27" s="56">
        <v>154</v>
      </c>
      <c r="AH27" s="56">
        <v>176</v>
      </c>
      <c r="AM27" s="102">
        <f t="shared" si="6"/>
        <v>1882</v>
      </c>
      <c r="AN27" s="257">
        <f t="shared" si="7"/>
        <v>1882</v>
      </c>
      <c r="AO27" s="8"/>
      <c r="AP27" s="8"/>
      <c r="AQ27" s="2" t="e">
        <f>#N/A</f>
        <v>#N/A</v>
      </c>
      <c r="AR27" s="264"/>
      <c r="AS27" s="264"/>
      <c r="AT27" s="264"/>
      <c r="AU27" s="264"/>
      <c r="AV27" s="22">
        <f t="shared" si="11"/>
        <v>1882</v>
      </c>
      <c r="AW27" s="8">
        <f t="shared" si="8"/>
        <v>214</v>
      </c>
      <c r="AX27" s="11">
        <f t="shared" si="9"/>
        <v>0</v>
      </c>
      <c r="AY27" s="8">
        <f t="shared" si="10"/>
        <v>0</v>
      </c>
      <c r="AZ27" s="11"/>
      <c r="BD27" s="11"/>
      <c r="BG27" s="11"/>
      <c r="CG27" s="264"/>
      <c r="CH27" s="264"/>
      <c r="CI27" s="264"/>
      <c r="CJ27" s="264"/>
      <c r="CK27" s="264"/>
      <c r="DK27" s="12"/>
      <c r="DM27" s="2">
        <v>3</v>
      </c>
      <c r="DP27" s="249"/>
      <c r="DR27" s="279"/>
      <c r="DS27" s="279"/>
      <c r="DT27" s="279"/>
      <c r="DU27" s="279"/>
      <c r="DV27" s="279"/>
      <c r="DW27" s="3">
        <v>21</v>
      </c>
    </row>
    <row r="28" spans="1:128">
      <c r="A28" s="102">
        <v>20</v>
      </c>
      <c r="B28" s="56">
        <v>1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0"/>
      <c r="M28" s="240"/>
      <c r="N28" s="240"/>
      <c r="O28" s="240"/>
      <c r="P28" s="243"/>
      <c r="Q28" s="243"/>
      <c r="R28" s="10">
        <f t="shared" si="5"/>
        <v>0</v>
      </c>
      <c r="S28" s="249"/>
      <c r="T28" s="56">
        <v>123</v>
      </c>
      <c r="U28" s="56">
        <v>205</v>
      </c>
      <c r="V28" s="56">
        <v>276</v>
      </c>
      <c r="W28" s="56"/>
      <c r="X28" s="56"/>
      <c r="Y28" s="56"/>
      <c r="Z28" s="56">
        <v>124</v>
      </c>
      <c r="AA28" s="56">
        <v>111</v>
      </c>
      <c r="AB28" s="56">
        <v>179</v>
      </c>
      <c r="AC28" s="56"/>
      <c r="AD28" s="56"/>
      <c r="AF28" s="56">
        <v>113</v>
      </c>
      <c r="AG28" s="56">
        <v>75</v>
      </c>
      <c r="AH28" s="56">
        <v>194</v>
      </c>
      <c r="AM28" s="102">
        <f t="shared" si="6"/>
        <v>1400</v>
      </c>
      <c r="AN28" s="257">
        <f t="shared" si="7"/>
        <v>1400</v>
      </c>
      <c r="AO28" s="8"/>
      <c r="AP28" s="8"/>
      <c r="AQ28" s="2" t="e">
        <f>#N/A</f>
        <v>#N/A</v>
      </c>
      <c r="AR28" s="264"/>
      <c r="AS28" s="264"/>
      <c r="AT28" s="264"/>
      <c r="AU28" s="264"/>
      <c r="AV28" s="22">
        <f t="shared" si="11"/>
        <v>1400</v>
      </c>
      <c r="AW28" s="8">
        <f t="shared" si="8"/>
        <v>123</v>
      </c>
      <c r="AX28" s="11">
        <f t="shared" si="9"/>
        <v>0</v>
      </c>
      <c r="AY28" s="8">
        <f t="shared" si="10"/>
        <v>0</v>
      </c>
      <c r="AZ28" s="11"/>
      <c r="BD28" s="11"/>
      <c r="BG28" s="11"/>
      <c r="CG28" s="264"/>
      <c r="CH28" s="264"/>
      <c r="CI28" s="264"/>
      <c r="CJ28" s="264"/>
      <c r="CK28" s="264"/>
      <c r="DK28" s="12"/>
      <c r="DM28" s="2">
        <v>3</v>
      </c>
      <c r="DP28" s="249"/>
      <c r="DR28" s="279"/>
      <c r="DS28" s="279"/>
      <c r="DT28" s="279"/>
      <c r="DU28" s="279"/>
      <c r="DV28" s="279"/>
      <c r="DW28" s="3">
        <v>14</v>
      </c>
    </row>
    <row r="29" spans="1:128">
      <c r="A29" s="102">
        <v>21</v>
      </c>
      <c r="B29" s="56">
        <v>1</v>
      </c>
      <c r="C29" s="240"/>
      <c r="D29" s="240"/>
      <c r="E29" s="240"/>
      <c r="F29" s="240"/>
      <c r="G29" s="240"/>
      <c r="H29" s="240"/>
      <c r="I29" s="240"/>
      <c r="J29" s="240"/>
      <c r="K29" s="240"/>
      <c r="L29" s="240"/>
      <c r="M29" s="240"/>
      <c r="N29" s="240"/>
      <c r="O29" s="240"/>
      <c r="P29" s="243"/>
      <c r="Q29" s="243"/>
      <c r="R29" s="10">
        <f t="shared" si="5"/>
        <v>0</v>
      </c>
      <c r="S29" s="249"/>
      <c r="T29" s="56">
        <v>320</v>
      </c>
      <c r="U29" s="56">
        <v>244</v>
      </c>
      <c r="V29" s="56">
        <v>371</v>
      </c>
      <c r="W29" s="56"/>
      <c r="X29" s="56"/>
      <c r="Y29" s="56"/>
      <c r="Z29" s="56">
        <v>150</v>
      </c>
      <c r="AA29" s="56">
        <v>173</v>
      </c>
      <c r="AB29" s="56">
        <v>361</v>
      </c>
      <c r="AC29" s="56"/>
      <c r="AD29" s="56"/>
      <c r="AF29" s="56">
        <v>150</v>
      </c>
      <c r="AG29" s="56">
        <v>232</v>
      </c>
      <c r="AH29" s="56">
        <v>214</v>
      </c>
      <c r="AM29" s="102">
        <f t="shared" si="6"/>
        <v>2215</v>
      </c>
      <c r="AN29" s="257">
        <f t="shared" si="7"/>
        <v>2215</v>
      </c>
      <c r="AO29" s="8"/>
      <c r="AP29" s="8"/>
      <c r="AQ29" s="2" t="e">
        <f>#N/A</f>
        <v>#N/A</v>
      </c>
      <c r="AR29" s="264"/>
      <c r="AS29" s="264"/>
      <c r="AT29" s="264"/>
      <c r="AU29" s="264"/>
      <c r="AV29" s="22">
        <f t="shared" si="11"/>
        <v>2215</v>
      </c>
      <c r="AW29" s="8">
        <f t="shared" si="8"/>
        <v>320</v>
      </c>
      <c r="AX29" s="11">
        <f t="shared" si="9"/>
        <v>0</v>
      </c>
      <c r="AY29" s="8">
        <f t="shared" si="10"/>
        <v>0</v>
      </c>
      <c r="AZ29" s="11"/>
      <c r="BD29" s="11"/>
      <c r="BG29" s="11"/>
      <c r="CG29" s="264"/>
      <c r="CH29" s="264"/>
      <c r="CI29" s="264"/>
      <c r="CJ29" s="264"/>
      <c r="CK29" s="264"/>
      <c r="DK29" s="12"/>
      <c r="DM29" s="2">
        <v>3</v>
      </c>
      <c r="DP29" s="249"/>
      <c r="DR29" s="279"/>
      <c r="DS29" s="279"/>
      <c r="DT29" s="279"/>
      <c r="DU29" s="279"/>
      <c r="DV29" s="279"/>
      <c r="DW29" s="3">
        <v>22</v>
      </c>
    </row>
    <row r="30" spans="1:128">
      <c r="A30" s="102">
        <v>22</v>
      </c>
      <c r="B30" s="56">
        <v>1</v>
      </c>
      <c r="C30" s="240"/>
      <c r="D30" s="240"/>
      <c r="E30" s="240"/>
      <c r="F30" s="240"/>
      <c r="G30" s="240"/>
      <c r="H30" s="240"/>
      <c r="I30" s="240"/>
      <c r="J30" s="240"/>
      <c r="K30" s="240"/>
      <c r="L30" s="240"/>
      <c r="M30" s="240"/>
      <c r="N30" s="240"/>
      <c r="O30" s="240"/>
      <c r="P30" s="243"/>
      <c r="Q30" s="243"/>
      <c r="R30" s="10">
        <f t="shared" si="5"/>
        <v>0</v>
      </c>
      <c r="S30" s="249"/>
      <c r="T30" s="56">
        <v>0</v>
      </c>
      <c r="U30" s="56">
        <v>0</v>
      </c>
      <c r="V30" s="56">
        <v>0</v>
      </c>
      <c r="W30" s="56"/>
      <c r="X30" s="56"/>
      <c r="Y30" s="56"/>
      <c r="Z30" s="56">
        <v>0</v>
      </c>
      <c r="AA30" s="56">
        <v>0</v>
      </c>
      <c r="AB30" s="56">
        <v>0</v>
      </c>
      <c r="AC30" s="56"/>
      <c r="AD30" s="56"/>
      <c r="AF30" s="56">
        <v>0</v>
      </c>
      <c r="AG30" s="56">
        <v>0</v>
      </c>
      <c r="AH30" s="56">
        <v>0</v>
      </c>
      <c r="AM30" s="102">
        <f t="shared" si="6"/>
        <v>0</v>
      </c>
      <c r="AN30" s="257">
        <f t="shared" si="7"/>
        <v>0</v>
      </c>
      <c r="AO30" s="8"/>
      <c r="AP30" s="8"/>
      <c r="AQ30" s="2" t="e">
        <f>#N/A</f>
        <v>#N/A</v>
      </c>
      <c r="AR30" s="264"/>
      <c r="AS30" s="264"/>
      <c r="AT30" s="264"/>
      <c r="AU30" s="264"/>
      <c r="AV30" s="22">
        <f t="shared" si="11"/>
        <v>0</v>
      </c>
      <c r="AW30" s="8">
        <f t="shared" si="8"/>
        <v>0</v>
      </c>
      <c r="AX30" s="11">
        <f t="shared" si="9"/>
        <v>0</v>
      </c>
      <c r="AY30" s="8">
        <f t="shared" si="10"/>
        <v>0</v>
      </c>
      <c r="AZ30" s="11"/>
      <c r="BD30" s="11"/>
      <c r="BG30" s="11"/>
      <c r="CG30" s="264"/>
      <c r="CH30" s="264"/>
      <c r="CI30" s="264"/>
      <c r="CJ30" s="264"/>
      <c r="CK30" s="264"/>
      <c r="DK30" s="12"/>
      <c r="DM30" s="2">
        <v>0</v>
      </c>
      <c r="DP30" s="249"/>
      <c r="DR30" s="279"/>
      <c r="DS30" s="279"/>
      <c r="DT30" s="279"/>
      <c r="DU30" s="279"/>
      <c r="DV30" s="279"/>
      <c r="DW30" s="3">
        <v>5</v>
      </c>
    </row>
    <row r="31" spans="1:128">
      <c r="A31" s="102">
        <v>23</v>
      </c>
      <c r="B31" s="56">
        <v>1</v>
      </c>
      <c r="C31" s="240"/>
      <c r="D31" s="240"/>
      <c r="E31" s="240"/>
      <c r="F31" s="240"/>
      <c r="G31" s="240"/>
      <c r="H31" s="240"/>
      <c r="I31" s="240"/>
      <c r="J31" s="240"/>
      <c r="K31" s="240"/>
      <c r="L31" s="240"/>
      <c r="M31" s="240"/>
      <c r="N31" s="240"/>
      <c r="O31" s="240"/>
      <c r="P31" s="243"/>
      <c r="Q31" s="243"/>
      <c r="R31" s="10">
        <f t="shared" si="5"/>
        <v>0</v>
      </c>
      <c r="S31" s="249"/>
      <c r="T31" s="56">
        <v>172</v>
      </c>
      <c r="U31" s="56">
        <v>193</v>
      </c>
      <c r="V31" s="56">
        <v>253</v>
      </c>
      <c r="W31" s="56"/>
      <c r="X31" s="56"/>
      <c r="Y31" s="56"/>
      <c r="Z31" s="56">
        <v>104</v>
      </c>
      <c r="AA31" s="56">
        <v>234</v>
      </c>
      <c r="AB31" s="56">
        <v>228</v>
      </c>
      <c r="AC31" s="56"/>
      <c r="AD31" s="56"/>
      <c r="AF31" s="56">
        <v>149</v>
      </c>
      <c r="AG31" s="56">
        <v>141</v>
      </c>
      <c r="AH31" s="56">
        <v>194</v>
      </c>
      <c r="AM31" s="102">
        <f t="shared" si="6"/>
        <v>1668</v>
      </c>
      <c r="AN31" s="257">
        <f t="shared" si="7"/>
        <v>1668</v>
      </c>
      <c r="AO31" s="8"/>
      <c r="AP31" s="8"/>
      <c r="AQ31" s="2" t="e">
        <f>#N/A</f>
        <v>#N/A</v>
      </c>
      <c r="AR31" s="264"/>
      <c r="AS31" s="264"/>
      <c r="AT31" s="264"/>
      <c r="AU31" s="264"/>
      <c r="AV31" s="22">
        <f t="shared" si="11"/>
        <v>1668</v>
      </c>
      <c r="AW31" s="8">
        <f t="shared" si="8"/>
        <v>172</v>
      </c>
      <c r="AX31" s="11">
        <f t="shared" si="9"/>
        <v>0</v>
      </c>
      <c r="AY31" s="8">
        <f t="shared" si="10"/>
        <v>0</v>
      </c>
      <c r="AZ31" s="11"/>
      <c r="BD31" s="11"/>
      <c r="BG31" s="11"/>
      <c r="CG31" s="264"/>
      <c r="CH31" s="264"/>
      <c r="CI31" s="264"/>
      <c r="CJ31" s="264"/>
      <c r="CK31" s="264"/>
      <c r="DK31" s="12"/>
      <c r="DM31" s="2">
        <v>3</v>
      </c>
      <c r="DP31" s="249"/>
      <c r="DR31" s="279"/>
      <c r="DS31" s="279"/>
      <c r="DT31" s="279"/>
      <c r="DU31" s="279"/>
      <c r="DV31" s="279"/>
      <c r="DW31" s="3">
        <v>28</v>
      </c>
    </row>
    <row r="32" spans="1:128">
      <c r="A32" s="102">
        <v>24</v>
      </c>
      <c r="B32" s="56">
        <v>1</v>
      </c>
      <c r="C32" s="240"/>
      <c r="D32" s="240"/>
      <c r="E32" s="240"/>
      <c r="F32" s="240"/>
      <c r="G32" s="240"/>
      <c r="H32" s="240"/>
      <c r="I32" s="240"/>
      <c r="J32" s="240"/>
      <c r="K32" s="240"/>
      <c r="L32" s="240"/>
      <c r="M32" s="240"/>
      <c r="N32" s="240"/>
      <c r="O32" s="240"/>
      <c r="P32" s="243"/>
      <c r="Q32" s="243"/>
      <c r="R32" s="10">
        <f t="shared" si="5"/>
        <v>0</v>
      </c>
      <c r="S32" s="249"/>
      <c r="T32" s="56">
        <v>171</v>
      </c>
      <c r="U32" s="56">
        <v>71</v>
      </c>
      <c r="V32" s="56">
        <v>382</v>
      </c>
      <c r="W32" s="56"/>
      <c r="X32" s="56"/>
      <c r="Y32" s="56"/>
      <c r="Z32" s="56">
        <v>73</v>
      </c>
      <c r="AA32" s="56">
        <v>214</v>
      </c>
      <c r="AB32" s="56">
        <v>231</v>
      </c>
      <c r="AC32" s="56"/>
      <c r="AD32" s="56"/>
      <c r="AF32" s="56">
        <v>148</v>
      </c>
      <c r="AG32" s="56">
        <v>145</v>
      </c>
      <c r="AH32" s="56">
        <v>144</v>
      </c>
      <c r="AM32" s="102">
        <f t="shared" si="6"/>
        <v>1579</v>
      </c>
      <c r="AN32" s="257">
        <f t="shared" si="7"/>
        <v>1579</v>
      </c>
      <c r="AO32" s="8"/>
      <c r="AP32" s="8"/>
      <c r="AQ32" s="2" t="e">
        <f>#N/A</f>
        <v>#N/A</v>
      </c>
      <c r="AR32" s="264"/>
      <c r="AS32" s="264"/>
      <c r="AT32" s="264"/>
      <c r="AU32" s="264"/>
      <c r="AV32" s="22">
        <f t="shared" si="11"/>
        <v>1579</v>
      </c>
      <c r="AW32" s="8">
        <f t="shared" si="8"/>
        <v>171</v>
      </c>
      <c r="AX32" s="11">
        <f t="shared" si="9"/>
        <v>0</v>
      </c>
      <c r="AY32" s="8">
        <f t="shared" si="10"/>
        <v>0</v>
      </c>
      <c r="AZ32" s="11"/>
      <c r="BD32" s="11"/>
      <c r="BG32" s="11"/>
      <c r="CG32" s="264"/>
      <c r="CH32" s="264"/>
      <c r="CI32" s="264"/>
      <c r="CJ32" s="264"/>
      <c r="CK32" s="264"/>
      <c r="DK32" s="12"/>
      <c r="DM32" s="2">
        <v>3</v>
      </c>
      <c r="DP32" s="249"/>
      <c r="DR32" s="279"/>
      <c r="DS32" s="279"/>
      <c r="DT32" s="279"/>
      <c r="DU32" s="279"/>
      <c r="DV32" s="279"/>
      <c r="DW32" s="3">
        <v>15</v>
      </c>
      <c r="DX32" s="24"/>
    </row>
    <row r="33" spans="1:128">
      <c r="A33" s="102">
        <v>25</v>
      </c>
      <c r="B33" s="56">
        <v>1</v>
      </c>
      <c r="C33" s="240"/>
      <c r="D33" s="240"/>
      <c r="E33" s="240"/>
      <c r="F33" s="240"/>
      <c r="G33" s="240"/>
      <c r="H33" s="240"/>
      <c r="I33" s="240"/>
      <c r="J33" s="240"/>
      <c r="K33" s="240"/>
      <c r="L33" s="240"/>
      <c r="M33" s="240"/>
      <c r="N33" s="240"/>
      <c r="O33" s="240"/>
      <c r="P33" s="243"/>
      <c r="Q33" s="243"/>
      <c r="R33" s="10">
        <f t="shared" si="5"/>
        <v>0</v>
      </c>
      <c r="S33" s="249"/>
      <c r="T33" s="56">
        <v>176</v>
      </c>
      <c r="U33" s="56">
        <v>186</v>
      </c>
      <c r="V33" s="56">
        <v>238</v>
      </c>
      <c r="W33" s="56"/>
      <c r="X33" s="56"/>
      <c r="Y33" s="56"/>
      <c r="Z33" s="56">
        <v>102</v>
      </c>
      <c r="AA33" s="56">
        <v>228</v>
      </c>
      <c r="AB33" s="56">
        <v>228</v>
      </c>
      <c r="AC33" s="56"/>
      <c r="AD33" s="56"/>
      <c r="AF33" s="56">
        <v>150</v>
      </c>
      <c r="AG33" s="56">
        <v>138</v>
      </c>
      <c r="AH33" s="56">
        <v>207</v>
      </c>
      <c r="AM33" s="102">
        <f t="shared" si="6"/>
        <v>1653</v>
      </c>
      <c r="AN33" s="257">
        <f t="shared" si="7"/>
        <v>1653</v>
      </c>
      <c r="AO33" s="8"/>
      <c r="AP33" s="8"/>
      <c r="AQ33" s="2" t="e">
        <f>#N/A</f>
        <v>#N/A</v>
      </c>
      <c r="AR33" s="264"/>
      <c r="AS33" s="264"/>
      <c r="AT33" s="264"/>
      <c r="AU33" s="264"/>
      <c r="AV33" s="22">
        <f t="shared" si="11"/>
        <v>1653</v>
      </c>
      <c r="AW33" s="8">
        <f t="shared" si="8"/>
        <v>176</v>
      </c>
      <c r="AX33" s="11">
        <f t="shared" si="9"/>
        <v>0</v>
      </c>
      <c r="AY33" s="8">
        <f t="shared" si="10"/>
        <v>0</v>
      </c>
      <c r="AZ33" s="11"/>
      <c r="BD33" s="11"/>
      <c r="BG33" s="11"/>
      <c r="CG33" s="264"/>
      <c r="CH33" s="264"/>
      <c r="CI33" s="264"/>
      <c r="CJ33" s="264"/>
      <c r="CK33" s="264"/>
      <c r="DK33" s="12"/>
      <c r="DM33" s="2">
        <v>3</v>
      </c>
      <c r="DP33" s="249"/>
      <c r="DR33" s="279"/>
      <c r="DS33" s="279"/>
      <c r="DT33" s="279"/>
      <c r="DU33" s="279"/>
      <c r="DV33" s="279"/>
      <c r="DW33" s="3">
        <v>27</v>
      </c>
    </row>
    <row r="34" spans="1:128">
      <c r="A34" s="102">
        <v>26</v>
      </c>
      <c r="B34" s="56">
        <v>1</v>
      </c>
      <c r="C34" s="240"/>
      <c r="D34" s="240"/>
      <c r="E34" s="240"/>
      <c r="F34" s="240"/>
      <c r="G34" s="240"/>
      <c r="H34" s="240"/>
      <c r="I34" s="240"/>
      <c r="J34" s="240"/>
      <c r="K34" s="240"/>
      <c r="L34" s="240"/>
      <c r="M34" s="240"/>
      <c r="N34" s="240"/>
      <c r="O34" s="240"/>
      <c r="P34" s="243"/>
      <c r="Q34" s="243"/>
      <c r="R34" s="10">
        <f t="shared" si="5"/>
        <v>0</v>
      </c>
      <c r="S34" s="249"/>
      <c r="T34" s="56">
        <v>179</v>
      </c>
      <c r="U34" s="56">
        <v>191</v>
      </c>
      <c r="V34" s="56">
        <v>358</v>
      </c>
      <c r="W34" s="56"/>
      <c r="X34" s="56"/>
      <c r="Y34" s="56"/>
      <c r="Z34" s="56">
        <v>82</v>
      </c>
      <c r="AA34" s="56">
        <v>250</v>
      </c>
      <c r="AB34" s="56">
        <v>226</v>
      </c>
      <c r="AC34" s="56"/>
      <c r="AD34" s="56"/>
      <c r="AF34" s="56">
        <v>107</v>
      </c>
      <c r="AG34" s="56">
        <v>140</v>
      </c>
      <c r="AH34" s="56">
        <v>214</v>
      </c>
      <c r="AM34" s="102">
        <f t="shared" si="6"/>
        <v>1747</v>
      </c>
      <c r="AN34" s="257">
        <f t="shared" si="7"/>
        <v>1747</v>
      </c>
      <c r="AO34" s="8"/>
      <c r="AP34" s="8"/>
      <c r="AQ34" s="2" t="e">
        <f>#N/A</f>
        <v>#N/A</v>
      </c>
      <c r="AR34" s="264"/>
      <c r="AS34" s="264"/>
      <c r="AT34" s="264"/>
      <c r="AU34" s="264"/>
      <c r="AV34" s="22">
        <f t="shared" si="11"/>
        <v>1747</v>
      </c>
      <c r="AW34" s="8">
        <f t="shared" si="8"/>
        <v>179</v>
      </c>
      <c r="AX34" s="11">
        <f t="shared" si="9"/>
        <v>0</v>
      </c>
      <c r="AY34" s="8">
        <f t="shared" si="10"/>
        <v>0</v>
      </c>
      <c r="AZ34" s="11"/>
      <c r="BD34" s="11"/>
      <c r="BG34" s="11"/>
      <c r="CG34" s="264"/>
      <c r="CH34" s="264"/>
      <c r="CI34" s="264"/>
      <c r="CJ34" s="264"/>
      <c r="CK34" s="264"/>
      <c r="DK34" s="12"/>
      <c r="DM34" s="2">
        <v>3</v>
      </c>
      <c r="DP34" s="249"/>
      <c r="DR34" s="279"/>
      <c r="DS34" s="279"/>
      <c r="DT34" s="279"/>
      <c r="DU34" s="279"/>
      <c r="DV34" s="279"/>
      <c r="DW34" s="3">
        <v>28</v>
      </c>
      <c r="DX34" s="25"/>
    </row>
    <row r="35" spans="1:128">
      <c r="A35" s="102">
        <v>27</v>
      </c>
      <c r="B35" s="56">
        <v>1</v>
      </c>
      <c r="C35" s="240"/>
      <c r="D35" s="240"/>
      <c r="E35" s="240"/>
      <c r="F35" s="240"/>
      <c r="G35" s="240"/>
      <c r="H35" s="240"/>
      <c r="I35" s="240"/>
      <c r="J35" s="240"/>
      <c r="K35" s="240"/>
      <c r="L35" s="240"/>
      <c r="M35" s="240"/>
      <c r="N35" s="240"/>
      <c r="O35" s="240"/>
      <c r="P35" s="243"/>
      <c r="Q35" s="243"/>
      <c r="R35" s="10">
        <f t="shared" si="5"/>
        <v>0</v>
      </c>
      <c r="S35" s="249"/>
      <c r="T35" s="56">
        <v>189</v>
      </c>
      <c r="U35" s="56">
        <v>186</v>
      </c>
      <c r="V35" s="56">
        <v>333</v>
      </c>
      <c r="W35" s="56"/>
      <c r="X35" s="56"/>
      <c r="Y35" s="56"/>
      <c r="Z35" s="56">
        <v>80</v>
      </c>
      <c r="AA35" s="56">
        <v>245</v>
      </c>
      <c r="AB35" s="56">
        <v>231</v>
      </c>
      <c r="AC35" s="56"/>
      <c r="AD35" s="56"/>
      <c r="AF35" s="56">
        <v>104</v>
      </c>
      <c r="AG35" s="56">
        <v>145</v>
      </c>
      <c r="AH35" s="56">
        <v>205</v>
      </c>
      <c r="AM35" s="102">
        <f t="shared" si="6"/>
        <v>1718</v>
      </c>
      <c r="AN35" s="257">
        <f t="shared" si="7"/>
        <v>1718</v>
      </c>
      <c r="AO35" s="8"/>
      <c r="AP35" s="8"/>
      <c r="AQ35" s="2" t="e">
        <f>#N/A</f>
        <v>#N/A</v>
      </c>
      <c r="AR35" s="264"/>
      <c r="AS35" s="264"/>
      <c r="AT35" s="264"/>
      <c r="AU35" s="264"/>
      <c r="AV35" s="22">
        <f t="shared" si="11"/>
        <v>1718</v>
      </c>
      <c r="AW35" s="8">
        <f t="shared" si="8"/>
        <v>189</v>
      </c>
      <c r="AX35" s="11">
        <f t="shared" si="9"/>
        <v>0</v>
      </c>
      <c r="AY35" s="8">
        <f t="shared" si="10"/>
        <v>0</v>
      </c>
      <c r="AZ35" s="11"/>
      <c r="BD35" s="11"/>
      <c r="BG35" s="11"/>
      <c r="CG35" s="264"/>
      <c r="CH35" s="264"/>
      <c r="CI35" s="264"/>
      <c r="CJ35" s="264"/>
      <c r="CK35" s="264"/>
      <c r="DK35" s="12"/>
      <c r="DM35" s="2">
        <v>3</v>
      </c>
      <c r="DP35" s="249"/>
      <c r="DR35" s="279"/>
      <c r="DS35" s="279"/>
      <c r="DT35" s="279"/>
      <c r="DU35" s="279"/>
      <c r="DV35" s="279"/>
      <c r="DW35" s="3">
        <v>26</v>
      </c>
    </row>
    <row r="36" spans="1:128">
      <c r="A36" s="102">
        <v>28</v>
      </c>
      <c r="B36" s="56">
        <v>1</v>
      </c>
      <c r="C36" s="240"/>
      <c r="D36" s="240"/>
      <c r="E36" s="240"/>
      <c r="F36" s="240"/>
      <c r="G36" s="240"/>
      <c r="H36" s="240"/>
      <c r="I36" s="240"/>
      <c r="J36" s="240"/>
      <c r="K36" s="240"/>
      <c r="L36" s="240"/>
      <c r="M36" s="240"/>
      <c r="N36" s="240"/>
      <c r="O36" s="240"/>
      <c r="P36" s="243"/>
      <c r="Q36" s="243"/>
      <c r="R36" s="10">
        <f t="shared" si="5"/>
        <v>0</v>
      </c>
      <c r="S36" s="249"/>
      <c r="T36" s="56">
        <v>87</v>
      </c>
      <c r="U36" s="56">
        <v>116</v>
      </c>
      <c r="V36" s="56">
        <v>231</v>
      </c>
      <c r="W36" s="56"/>
      <c r="X36" s="56"/>
      <c r="Y36" s="56"/>
      <c r="Z36" s="56">
        <v>47</v>
      </c>
      <c r="AA36" s="56">
        <v>85</v>
      </c>
      <c r="AB36" s="56">
        <v>182</v>
      </c>
      <c r="AC36" s="56"/>
      <c r="AD36" s="56"/>
      <c r="AF36" s="56">
        <v>76</v>
      </c>
      <c r="AG36" s="56">
        <v>142</v>
      </c>
      <c r="AH36" s="56">
        <v>89</v>
      </c>
      <c r="AM36" s="102">
        <f t="shared" si="6"/>
        <v>1055</v>
      </c>
      <c r="AN36" s="257">
        <f t="shared" si="7"/>
        <v>1055</v>
      </c>
      <c r="AO36" s="8"/>
      <c r="AP36" s="8"/>
      <c r="AQ36" s="2" t="e">
        <f>#N/A</f>
        <v>#N/A</v>
      </c>
      <c r="AR36" s="264"/>
      <c r="AS36" s="264"/>
      <c r="AT36" s="264"/>
      <c r="AU36" s="264"/>
      <c r="AV36" s="22">
        <f t="shared" si="11"/>
        <v>1055</v>
      </c>
      <c r="AW36" s="8">
        <f t="shared" si="8"/>
        <v>87</v>
      </c>
      <c r="AX36" s="11">
        <f t="shared" si="9"/>
        <v>0</v>
      </c>
      <c r="AY36" s="8">
        <f t="shared" si="10"/>
        <v>0</v>
      </c>
      <c r="AZ36" s="11"/>
      <c r="BD36" s="11"/>
      <c r="BG36" s="11"/>
      <c r="CG36" s="264"/>
      <c r="CH36" s="264"/>
      <c r="CI36" s="264"/>
      <c r="CJ36" s="264"/>
      <c r="CK36" s="264"/>
      <c r="DK36" s="12"/>
      <c r="DM36" s="2">
        <v>3</v>
      </c>
      <c r="DP36" s="249"/>
      <c r="DR36" s="279"/>
      <c r="DS36" s="279"/>
      <c r="DT36" s="279"/>
      <c r="DU36" s="279"/>
      <c r="DV36" s="279"/>
      <c r="DW36" s="3">
        <v>20</v>
      </c>
    </row>
    <row r="37" spans="1:128">
      <c r="A37" s="102">
        <v>29</v>
      </c>
      <c r="B37" s="56">
        <v>1</v>
      </c>
      <c r="C37" s="240"/>
      <c r="D37" s="240"/>
      <c r="E37" s="240"/>
      <c r="F37" s="240"/>
      <c r="G37" s="240"/>
      <c r="H37" s="240"/>
      <c r="I37" s="240"/>
      <c r="J37" s="240"/>
      <c r="K37" s="240"/>
      <c r="L37" s="240"/>
      <c r="M37" s="240"/>
      <c r="N37" s="240"/>
      <c r="O37" s="240"/>
      <c r="P37" s="243"/>
      <c r="Q37" s="243"/>
      <c r="R37" s="10">
        <f t="shared" si="5"/>
        <v>0</v>
      </c>
      <c r="S37" s="249"/>
      <c r="T37" s="56">
        <v>137</v>
      </c>
      <c r="U37" s="56">
        <v>104</v>
      </c>
      <c r="V37" s="56">
        <v>279</v>
      </c>
      <c r="W37" s="56"/>
      <c r="X37" s="56"/>
      <c r="Y37" s="56"/>
      <c r="Z37" s="56">
        <v>96</v>
      </c>
      <c r="AA37" s="56">
        <v>99</v>
      </c>
      <c r="AB37" s="56">
        <v>129</v>
      </c>
      <c r="AC37" s="56"/>
      <c r="AD37" s="56"/>
      <c r="AF37" s="56">
        <v>109</v>
      </c>
      <c r="AG37" s="56">
        <v>126</v>
      </c>
      <c r="AH37" s="56">
        <v>254</v>
      </c>
      <c r="AM37" s="102">
        <f t="shared" si="6"/>
        <v>1333</v>
      </c>
      <c r="AN37" s="257">
        <f t="shared" si="7"/>
        <v>1333</v>
      </c>
      <c r="AO37" s="8"/>
      <c r="AP37" s="8"/>
      <c r="AQ37" s="2" t="e">
        <f>#N/A</f>
        <v>#N/A</v>
      </c>
      <c r="AR37" s="264"/>
      <c r="AS37" s="264"/>
      <c r="AT37" s="264"/>
      <c r="AU37" s="264"/>
      <c r="AV37" s="22">
        <f t="shared" si="11"/>
        <v>1333</v>
      </c>
      <c r="AW37" s="8">
        <f t="shared" si="8"/>
        <v>137</v>
      </c>
      <c r="AX37" s="11">
        <f t="shared" si="9"/>
        <v>0</v>
      </c>
      <c r="AY37" s="8">
        <f t="shared" si="10"/>
        <v>0</v>
      </c>
      <c r="AZ37" s="11"/>
      <c r="BD37" s="11"/>
      <c r="BG37" s="11"/>
      <c r="CG37" s="264"/>
      <c r="CH37" s="264"/>
      <c r="CI37" s="264"/>
      <c r="CJ37" s="264"/>
      <c r="CK37" s="264"/>
      <c r="DK37" s="12"/>
      <c r="DM37" s="2">
        <v>3</v>
      </c>
      <c r="DP37" s="249"/>
      <c r="DR37" s="279"/>
      <c r="DS37" s="279"/>
      <c r="DT37" s="279"/>
      <c r="DU37" s="279"/>
      <c r="DV37" s="279"/>
      <c r="DW37" s="3">
        <v>16</v>
      </c>
    </row>
    <row r="38" spans="1:128">
      <c r="A38" s="102">
        <v>30</v>
      </c>
      <c r="B38" s="56">
        <v>1</v>
      </c>
      <c r="C38" s="240"/>
      <c r="D38" s="240"/>
      <c r="E38" s="240"/>
      <c r="F38" s="240"/>
      <c r="G38" s="240"/>
      <c r="H38" s="240"/>
      <c r="I38" s="240"/>
      <c r="J38" s="240"/>
      <c r="K38" s="240"/>
      <c r="L38" s="240"/>
      <c r="M38" s="240"/>
      <c r="N38" s="240"/>
      <c r="O38" s="240"/>
      <c r="P38" s="243"/>
      <c r="Q38" s="243"/>
      <c r="R38" s="10">
        <f t="shared" si="5"/>
        <v>0</v>
      </c>
      <c r="S38" s="249"/>
      <c r="T38" s="56">
        <v>200</v>
      </c>
      <c r="U38" s="56">
        <v>223</v>
      </c>
      <c r="V38" s="56">
        <v>325</v>
      </c>
      <c r="W38" s="56"/>
      <c r="X38" s="56"/>
      <c r="Y38" s="56"/>
      <c r="Z38" s="56">
        <v>120</v>
      </c>
      <c r="AA38" s="56">
        <v>176</v>
      </c>
      <c r="AB38" s="56">
        <v>272</v>
      </c>
      <c r="AC38" s="56"/>
      <c r="AD38" s="56"/>
      <c r="AF38" s="56">
        <v>148</v>
      </c>
      <c r="AG38" s="56">
        <v>98</v>
      </c>
      <c r="AH38" s="56">
        <v>277</v>
      </c>
      <c r="AM38" s="102">
        <f t="shared" si="6"/>
        <v>1839</v>
      </c>
      <c r="AN38" s="257">
        <f t="shared" si="7"/>
        <v>1839</v>
      </c>
      <c r="AO38" s="8"/>
      <c r="AP38" s="8"/>
      <c r="AQ38" s="2" t="e">
        <f>#N/A</f>
        <v>#N/A</v>
      </c>
      <c r="AR38" s="264"/>
      <c r="AS38" s="264"/>
      <c r="AT38" s="264"/>
      <c r="AU38" s="264"/>
      <c r="AV38" s="22">
        <f t="shared" si="11"/>
        <v>1839</v>
      </c>
      <c r="AW38" s="8">
        <f t="shared" si="8"/>
        <v>200</v>
      </c>
      <c r="AX38" s="11">
        <f t="shared" si="9"/>
        <v>0</v>
      </c>
      <c r="AY38" s="8">
        <f t="shared" si="10"/>
        <v>0</v>
      </c>
      <c r="AZ38" s="11"/>
      <c r="BD38" s="11"/>
      <c r="BG38" s="11"/>
      <c r="CG38" s="264"/>
      <c r="CH38" s="264"/>
      <c r="CI38" s="264"/>
      <c r="CJ38" s="264"/>
      <c r="CK38" s="264"/>
      <c r="DK38" s="12"/>
      <c r="DM38" s="2">
        <v>3</v>
      </c>
      <c r="DP38" s="249"/>
      <c r="DR38" s="279"/>
      <c r="DS38" s="279"/>
      <c r="DT38" s="279"/>
      <c r="DU38" s="279"/>
      <c r="DV38" s="279"/>
      <c r="DW38" s="3">
        <v>40</v>
      </c>
    </row>
    <row r="39" spans="1:128">
      <c r="A39" s="102">
        <v>31</v>
      </c>
      <c r="B39" s="56">
        <v>1</v>
      </c>
      <c r="C39" s="240"/>
      <c r="D39" s="240"/>
      <c r="E39" s="240"/>
      <c r="F39" s="240"/>
      <c r="G39" s="240"/>
      <c r="H39" s="240"/>
      <c r="I39" s="240"/>
      <c r="J39" s="240"/>
      <c r="K39" s="240"/>
      <c r="L39" s="240"/>
      <c r="M39" s="240"/>
      <c r="N39" s="240"/>
      <c r="O39" s="240"/>
      <c r="P39" s="243"/>
      <c r="Q39" s="243"/>
      <c r="R39" s="10">
        <f t="shared" si="5"/>
        <v>0</v>
      </c>
      <c r="S39" s="249"/>
      <c r="T39" s="56">
        <v>175</v>
      </c>
      <c r="U39" s="56">
        <v>211</v>
      </c>
      <c r="V39" s="56">
        <v>265</v>
      </c>
      <c r="W39" s="56"/>
      <c r="X39" s="56"/>
      <c r="Y39" s="56"/>
      <c r="Z39" s="56">
        <v>91</v>
      </c>
      <c r="AA39" s="56">
        <v>121</v>
      </c>
      <c r="AB39" s="56">
        <v>203</v>
      </c>
      <c r="AC39" s="56"/>
      <c r="AD39" s="56"/>
      <c r="AF39" s="56">
        <v>128</v>
      </c>
      <c r="AG39" s="56">
        <v>72</v>
      </c>
      <c r="AH39" s="56">
        <v>245</v>
      </c>
      <c r="AM39" s="102">
        <f t="shared" si="6"/>
        <v>1511</v>
      </c>
      <c r="AN39" s="257">
        <f t="shared" si="7"/>
        <v>1511</v>
      </c>
      <c r="AO39" s="8"/>
      <c r="AP39" s="8"/>
      <c r="AQ39" s="2" t="e">
        <f>#N/A</f>
        <v>#N/A</v>
      </c>
      <c r="AR39" s="264"/>
      <c r="AS39" s="264"/>
      <c r="AT39" s="264"/>
      <c r="AU39" s="264"/>
      <c r="AV39" s="22">
        <f t="shared" si="11"/>
        <v>1511</v>
      </c>
      <c r="AW39" s="8">
        <f t="shared" si="8"/>
        <v>175</v>
      </c>
      <c r="AX39" s="11">
        <f t="shared" si="9"/>
        <v>0</v>
      </c>
      <c r="AY39" s="8">
        <f t="shared" si="10"/>
        <v>0</v>
      </c>
      <c r="AZ39" s="11"/>
      <c r="BD39" s="11"/>
      <c r="BG39" s="11"/>
      <c r="CG39" s="264"/>
      <c r="CH39" s="264"/>
      <c r="CI39" s="264"/>
      <c r="CJ39" s="264"/>
      <c r="CK39" s="264"/>
      <c r="DK39" s="12"/>
      <c r="DM39" s="2">
        <v>3</v>
      </c>
      <c r="DP39" s="249"/>
      <c r="DR39" s="279"/>
      <c r="DS39" s="279"/>
      <c r="DT39" s="279"/>
      <c r="DU39" s="279"/>
      <c r="DV39" s="279"/>
      <c r="DW39" s="3">
        <v>15</v>
      </c>
    </row>
    <row r="40" spans="1:128">
      <c r="A40" s="102">
        <v>32</v>
      </c>
      <c r="B40" s="56">
        <v>1</v>
      </c>
      <c r="C40" s="240"/>
      <c r="D40" s="240"/>
      <c r="E40" s="240"/>
      <c r="F40" s="240"/>
      <c r="G40" s="240"/>
      <c r="H40" s="240"/>
      <c r="I40" s="240"/>
      <c r="J40" s="240"/>
      <c r="K40" s="240"/>
      <c r="L40" s="240"/>
      <c r="M40" s="240"/>
      <c r="N40" s="240"/>
      <c r="O40" s="240"/>
      <c r="P40" s="243"/>
      <c r="Q40" s="243"/>
      <c r="R40" s="10">
        <f t="shared" si="5"/>
        <v>0</v>
      </c>
      <c r="S40" s="249"/>
      <c r="T40" s="56">
        <v>206</v>
      </c>
      <c r="U40" s="56">
        <v>133</v>
      </c>
      <c r="V40" s="56">
        <v>226</v>
      </c>
      <c r="W40" s="56"/>
      <c r="X40" s="56"/>
      <c r="Y40" s="56"/>
      <c r="Z40" s="56">
        <v>75</v>
      </c>
      <c r="AA40" s="56">
        <v>185</v>
      </c>
      <c r="AB40" s="56">
        <v>230</v>
      </c>
      <c r="AC40" s="56"/>
      <c r="AD40" s="56"/>
      <c r="AF40" s="56">
        <v>0</v>
      </c>
      <c r="AG40" s="56">
        <v>144</v>
      </c>
      <c r="AH40" s="56">
        <v>174</v>
      </c>
      <c r="AM40" s="102">
        <f t="shared" ref="AM40:AM103" si="12">SUM(S40:AL40)</f>
        <v>1373</v>
      </c>
      <c r="AN40" s="257">
        <f t="shared" ref="AN40:AN103" si="13">R40+AM40</f>
        <v>1373</v>
      </c>
      <c r="AO40" s="8"/>
      <c r="AP40" s="8"/>
      <c r="AQ40" s="2">
        <f t="shared" ref="AQ40:AQ103" si="14">IF(AN40&gt;=$AQ$6,1,0)</f>
        <v>1</v>
      </c>
      <c r="AR40" s="264"/>
      <c r="AS40" s="264"/>
      <c r="AT40" s="264"/>
      <c r="AU40" s="264"/>
      <c r="AV40" s="22">
        <f t="shared" si="11"/>
        <v>1373</v>
      </c>
      <c r="AW40" s="8">
        <f t="shared" ref="AW40:AW103" si="15">T40+AC40</f>
        <v>206</v>
      </c>
      <c r="AX40" s="11">
        <f t="shared" ref="AX40:AX103" si="16">AD40</f>
        <v>0</v>
      </c>
      <c r="AY40" s="8">
        <f t="shared" ref="AY40:AY103" si="17">S40+AE40</f>
        <v>0</v>
      </c>
      <c r="AZ40" s="11"/>
      <c r="BD40" s="11"/>
      <c r="BG40" s="11"/>
      <c r="CG40" s="264"/>
      <c r="CH40" s="264"/>
      <c r="CI40" s="264"/>
      <c r="CJ40" s="264"/>
      <c r="CK40" s="264"/>
      <c r="DK40" s="12"/>
      <c r="DM40" s="2">
        <v>3</v>
      </c>
      <c r="DP40" s="249"/>
      <c r="DR40" s="279"/>
      <c r="DS40" s="279"/>
      <c r="DT40" s="279"/>
      <c r="DU40" s="279"/>
      <c r="DV40" s="279"/>
      <c r="DW40" s="3">
        <v>31</v>
      </c>
    </row>
    <row r="41" spans="1:128">
      <c r="A41" s="102">
        <v>33</v>
      </c>
      <c r="B41" s="56">
        <v>1</v>
      </c>
      <c r="C41" s="240"/>
      <c r="D41" s="240"/>
      <c r="E41" s="240"/>
      <c r="F41" s="240"/>
      <c r="G41" s="240"/>
      <c r="H41" s="240"/>
      <c r="I41" s="240"/>
      <c r="J41" s="240"/>
      <c r="K41" s="240"/>
      <c r="L41" s="240"/>
      <c r="M41" s="240"/>
      <c r="N41" s="240"/>
      <c r="O41" s="240"/>
      <c r="P41" s="243"/>
      <c r="Q41" s="243"/>
      <c r="R41" s="10">
        <f t="shared" si="5"/>
        <v>0</v>
      </c>
      <c r="S41" s="249"/>
      <c r="T41" s="56">
        <v>228</v>
      </c>
      <c r="U41" s="56">
        <v>173</v>
      </c>
      <c r="V41" s="56">
        <v>277</v>
      </c>
      <c r="W41" s="56"/>
      <c r="X41" s="56"/>
      <c r="Y41" s="56"/>
      <c r="Z41" s="56">
        <v>83</v>
      </c>
      <c r="AA41" s="56">
        <v>132</v>
      </c>
      <c r="AB41" s="56">
        <v>299</v>
      </c>
      <c r="AC41" s="56"/>
      <c r="AD41" s="56"/>
      <c r="AF41" s="56">
        <v>139</v>
      </c>
      <c r="AG41" s="56">
        <v>170</v>
      </c>
      <c r="AH41" s="56">
        <v>150</v>
      </c>
      <c r="AM41" s="102">
        <f t="shared" si="12"/>
        <v>1651</v>
      </c>
      <c r="AN41" s="257">
        <f t="shared" si="13"/>
        <v>1651</v>
      </c>
      <c r="AO41" s="8"/>
      <c r="AP41" s="8"/>
      <c r="AQ41" s="2">
        <f t="shared" si="14"/>
        <v>1</v>
      </c>
      <c r="AR41" s="264"/>
      <c r="AS41" s="264"/>
      <c r="AT41" s="264"/>
      <c r="AU41" s="264"/>
      <c r="AV41" s="22">
        <f t="shared" si="11"/>
        <v>1651</v>
      </c>
      <c r="AW41" s="8">
        <f t="shared" si="15"/>
        <v>228</v>
      </c>
      <c r="AX41" s="11">
        <f t="shared" si="16"/>
        <v>0</v>
      </c>
      <c r="AY41" s="8">
        <f t="shared" si="17"/>
        <v>0</v>
      </c>
      <c r="AZ41" s="11"/>
      <c r="BD41" s="11"/>
      <c r="BG41" s="11"/>
      <c r="CG41" s="264"/>
      <c r="CH41" s="264"/>
      <c r="CI41" s="264"/>
      <c r="CJ41" s="264"/>
      <c r="CK41" s="264"/>
      <c r="DK41" s="12"/>
      <c r="DM41" s="2">
        <v>3</v>
      </c>
      <c r="DP41" s="249"/>
      <c r="DR41" s="279"/>
      <c r="DS41" s="279"/>
      <c r="DT41" s="279"/>
      <c r="DU41" s="279"/>
      <c r="DV41" s="279"/>
      <c r="DW41" s="3">
        <v>31</v>
      </c>
    </row>
    <row r="42" spans="1:128">
      <c r="A42" s="102">
        <v>34</v>
      </c>
      <c r="B42" s="56">
        <v>1</v>
      </c>
      <c r="C42" s="240"/>
      <c r="D42" s="240"/>
      <c r="E42" s="240"/>
      <c r="F42" s="240"/>
      <c r="G42" s="240"/>
      <c r="H42" s="240"/>
      <c r="I42" s="240"/>
      <c r="J42" s="240"/>
      <c r="K42" s="240"/>
      <c r="L42" s="240"/>
      <c r="M42" s="240"/>
      <c r="N42" s="240"/>
      <c r="O42" s="240"/>
      <c r="P42" s="243"/>
      <c r="Q42" s="243"/>
      <c r="R42" s="10">
        <f t="shared" si="5"/>
        <v>0</v>
      </c>
      <c r="S42" s="249"/>
      <c r="T42" s="56">
        <v>182</v>
      </c>
      <c r="U42" s="56">
        <v>168</v>
      </c>
      <c r="V42" s="56">
        <v>234</v>
      </c>
      <c r="W42" s="56"/>
      <c r="X42" s="56"/>
      <c r="Y42" s="56"/>
      <c r="Z42" s="56">
        <v>83</v>
      </c>
      <c r="AA42" s="56">
        <v>212</v>
      </c>
      <c r="AB42" s="56">
        <v>227</v>
      </c>
      <c r="AC42" s="56"/>
      <c r="AD42" s="56"/>
      <c r="AF42" s="56">
        <v>110</v>
      </c>
      <c r="AG42" s="56">
        <v>150</v>
      </c>
      <c r="AH42" s="56">
        <v>180</v>
      </c>
      <c r="AM42" s="102">
        <f t="shared" si="12"/>
        <v>1546</v>
      </c>
      <c r="AN42" s="257">
        <f t="shared" si="13"/>
        <v>1546</v>
      </c>
      <c r="AO42" s="8"/>
      <c r="AP42" s="8"/>
      <c r="AQ42" s="2">
        <f t="shared" si="14"/>
        <v>1</v>
      </c>
      <c r="AR42" s="264"/>
      <c r="AS42" s="264"/>
      <c r="AT42" s="264"/>
      <c r="AU42" s="264"/>
      <c r="AV42" s="22">
        <f t="shared" si="11"/>
        <v>1546</v>
      </c>
      <c r="AW42" s="8">
        <f t="shared" si="15"/>
        <v>182</v>
      </c>
      <c r="AX42" s="11">
        <f t="shared" si="16"/>
        <v>0</v>
      </c>
      <c r="AY42" s="8">
        <f t="shared" si="17"/>
        <v>0</v>
      </c>
      <c r="AZ42" s="11"/>
      <c r="BD42" s="11"/>
      <c r="BG42" s="11"/>
      <c r="CG42" s="264"/>
      <c r="CH42" s="264"/>
      <c r="CI42" s="264"/>
      <c r="CJ42" s="264"/>
      <c r="CK42" s="264"/>
      <c r="DK42" s="12"/>
      <c r="DM42" s="2">
        <v>3</v>
      </c>
      <c r="DP42" s="249"/>
      <c r="DR42" s="279"/>
      <c r="DS42" s="279"/>
      <c r="DT42" s="279"/>
      <c r="DU42" s="279"/>
      <c r="DV42" s="279"/>
      <c r="DW42" s="3">
        <v>38</v>
      </c>
    </row>
    <row r="43" spans="1:128">
      <c r="A43" s="102">
        <v>35</v>
      </c>
      <c r="B43" s="56">
        <v>1</v>
      </c>
      <c r="C43" s="240"/>
      <c r="D43" s="240"/>
      <c r="E43" s="240"/>
      <c r="F43" s="240"/>
      <c r="G43" s="240"/>
      <c r="H43" s="240"/>
      <c r="I43" s="240"/>
      <c r="J43" s="240"/>
      <c r="K43" s="240"/>
      <c r="L43" s="240"/>
      <c r="M43" s="240"/>
      <c r="N43" s="240"/>
      <c r="O43" s="240"/>
      <c r="P43" s="243"/>
      <c r="Q43" s="243"/>
      <c r="R43" s="10">
        <f t="shared" si="5"/>
        <v>0</v>
      </c>
      <c r="S43" s="249"/>
      <c r="T43" s="56">
        <v>198</v>
      </c>
      <c r="U43" s="56">
        <v>139</v>
      </c>
      <c r="V43" s="56">
        <v>246</v>
      </c>
      <c r="W43" s="56"/>
      <c r="X43" s="56"/>
      <c r="Y43" s="56"/>
      <c r="Z43" s="56">
        <v>53</v>
      </c>
      <c r="AA43" s="56">
        <v>185</v>
      </c>
      <c r="AB43" s="56">
        <v>225</v>
      </c>
      <c r="AC43" s="56"/>
      <c r="AD43" s="56"/>
      <c r="AF43" s="56">
        <v>0</v>
      </c>
      <c r="AG43" s="56">
        <v>135</v>
      </c>
      <c r="AH43" s="56">
        <v>112</v>
      </c>
      <c r="AM43" s="102">
        <f t="shared" si="12"/>
        <v>1293</v>
      </c>
      <c r="AN43" s="257">
        <f t="shared" si="13"/>
        <v>1293</v>
      </c>
      <c r="AO43" s="8"/>
      <c r="AP43" s="8"/>
      <c r="AQ43" s="2">
        <f t="shared" si="14"/>
        <v>1</v>
      </c>
      <c r="AR43" s="264"/>
      <c r="AS43" s="264"/>
      <c r="AT43" s="264"/>
      <c r="AU43" s="264"/>
      <c r="AV43" s="22">
        <f t="shared" si="11"/>
        <v>1293</v>
      </c>
      <c r="AW43" s="8">
        <f t="shared" si="15"/>
        <v>198</v>
      </c>
      <c r="AX43" s="11">
        <f t="shared" si="16"/>
        <v>0</v>
      </c>
      <c r="AY43" s="8">
        <f t="shared" si="17"/>
        <v>0</v>
      </c>
      <c r="AZ43" s="11"/>
      <c r="BD43" s="11"/>
      <c r="BG43" s="11"/>
      <c r="CG43" s="264"/>
      <c r="CH43" s="264"/>
      <c r="CI43" s="264"/>
      <c r="CJ43" s="264"/>
      <c r="CK43" s="264"/>
      <c r="DK43" s="12"/>
      <c r="DM43" s="2">
        <v>3</v>
      </c>
      <c r="DP43" s="249"/>
      <c r="DR43" s="279"/>
      <c r="DS43" s="279"/>
      <c r="DT43" s="279"/>
      <c r="DU43" s="279"/>
      <c r="DV43" s="279"/>
      <c r="DW43" s="3">
        <v>39</v>
      </c>
    </row>
    <row r="44" spans="1:128">
      <c r="A44" s="102">
        <v>36</v>
      </c>
      <c r="B44" s="56">
        <v>1</v>
      </c>
      <c r="C44" s="240"/>
      <c r="D44" s="240"/>
      <c r="E44" s="240"/>
      <c r="F44" s="240"/>
      <c r="G44" s="240"/>
      <c r="H44" s="240"/>
      <c r="I44" s="240"/>
      <c r="J44" s="240"/>
      <c r="K44" s="240"/>
      <c r="L44" s="240"/>
      <c r="M44" s="240"/>
      <c r="N44" s="240"/>
      <c r="O44" s="240"/>
      <c r="P44" s="243"/>
      <c r="Q44" s="243"/>
      <c r="R44" s="10">
        <f t="shared" si="5"/>
        <v>0</v>
      </c>
      <c r="S44" s="249"/>
      <c r="T44" s="56">
        <v>185</v>
      </c>
      <c r="U44" s="56">
        <v>147</v>
      </c>
      <c r="V44" s="56">
        <v>267</v>
      </c>
      <c r="W44" s="56"/>
      <c r="X44" s="56"/>
      <c r="Y44" s="56"/>
      <c r="Z44" s="56">
        <v>72</v>
      </c>
      <c r="AA44" s="56">
        <v>130</v>
      </c>
      <c r="AB44" s="56">
        <v>218</v>
      </c>
      <c r="AC44" s="56"/>
      <c r="AD44" s="56"/>
      <c r="AF44" s="56">
        <v>122</v>
      </c>
      <c r="AG44" s="56">
        <v>129</v>
      </c>
      <c r="AH44" s="56">
        <v>169</v>
      </c>
      <c r="AM44" s="102">
        <f t="shared" si="12"/>
        <v>1439</v>
      </c>
      <c r="AN44" s="257">
        <f t="shared" si="13"/>
        <v>1439</v>
      </c>
      <c r="AO44" s="8"/>
      <c r="AP44" s="8"/>
      <c r="AQ44" s="2">
        <f t="shared" si="14"/>
        <v>1</v>
      </c>
      <c r="AR44" s="264"/>
      <c r="AS44" s="264"/>
      <c r="AT44" s="264"/>
      <c r="AU44" s="264"/>
      <c r="AV44" s="22">
        <f t="shared" si="11"/>
        <v>1439</v>
      </c>
      <c r="AW44" s="8">
        <f t="shared" si="15"/>
        <v>185</v>
      </c>
      <c r="AX44" s="11">
        <f t="shared" si="16"/>
        <v>0</v>
      </c>
      <c r="AY44" s="8">
        <f t="shared" si="17"/>
        <v>0</v>
      </c>
      <c r="AZ44" s="11"/>
      <c r="BD44" s="11"/>
      <c r="BG44" s="11"/>
      <c r="CG44" s="264"/>
      <c r="CH44" s="264"/>
      <c r="CI44" s="264"/>
      <c r="CJ44" s="264"/>
      <c r="CK44" s="264"/>
      <c r="DK44" s="12"/>
      <c r="DM44" s="2">
        <v>3</v>
      </c>
      <c r="DP44" s="249"/>
      <c r="DR44" s="279"/>
      <c r="DS44" s="279"/>
      <c r="DT44" s="279"/>
      <c r="DU44" s="279"/>
      <c r="DV44" s="279"/>
      <c r="DW44" s="3">
        <v>24</v>
      </c>
    </row>
    <row r="45" spans="1:128">
      <c r="A45" s="102">
        <v>37</v>
      </c>
      <c r="B45" s="56">
        <v>1</v>
      </c>
      <c r="C45" s="240"/>
      <c r="D45" s="240"/>
      <c r="E45" s="240"/>
      <c r="F45" s="240"/>
      <c r="G45" s="240"/>
      <c r="H45" s="240"/>
      <c r="I45" s="240"/>
      <c r="J45" s="240"/>
      <c r="K45" s="240"/>
      <c r="L45" s="240"/>
      <c r="M45" s="240"/>
      <c r="N45" s="240"/>
      <c r="O45" s="240"/>
      <c r="P45" s="243"/>
      <c r="Q45" s="243"/>
      <c r="R45" s="10">
        <f t="shared" si="5"/>
        <v>0</v>
      </c>
      <c r="S45" s="249"/>
      <c r="T45" s="56">
        <v>182</v>
      </c>
      <c r="U45" s="56">
        <v>154</v>
      </c>
      <c r="V45" s="56">
        <v>247</v>
      </c>
      <c r="W45" s="56"/>
      <c r="X45" s="56"/>
      <c r="Y45" s="56"/>
      <c r="Z45" s="56">
        <v>70</v>
      </c>
      <c r="AA45" s="56">
        <v>204</v>
      </c>
      <c r="AB45" s="56">
        <v>232</v>
      </c>
      <c r="AC45" s="56"/>
      <c r="AD45" s="56"/>
      <c r="AF45" s="56">
        <v>99</v>
      </c>
      <c r="AG45" s="56">
        <v>132</v>
      </c>
      <c r="AH45" s="56">
        <v>155</v>
      </c>
      <c r="AM45" s="102">
        <f t="shared" si="12"/>
        <v>1475</v>
      </c>
      <c r="AN45" s="257">
        <f t="shared" si="13"/>
        <v>1475</v>
      </c>
      <c r="AO45" s="8"/>
      <c r="AP45" s="8"/>
      <c r="AQ45" s="2">
        <f t="shared" si="14"/>
        <v>1</v>
      </c>
      <c r="AR45" s="264"/>
      <c r="AS45" s="264"/>
      <c r="AT45" s="264"/>
      <c r="AU45" s="264"/>
      <c r="AV45" s="22">
        <f t="shared" si="11"/>
        <v>1475</v>
      </c>
      <c r="AW45" s="8">
        <f t="shared" si="15"/>
        <v>182</v>
      </c>
      <c r="AX45" s="11">
        <f t="shared" si="16"/>
        <v>0</v>
      </c>
      <c r="AY45" s="8">
        <f t="shared" si="17"/>
        <v>0</v>
      </c>
      <c r="AZ45" s="11"/>
      <c r="BD45" s="11"/>
      <c r="BG45" s="11"/>
      <c r="CG45" s="264"/>
      <c r="CH45" s="264"/>
      <c r="CI45" s="264"/>
      <c r="CJ45" s="264"/>
      <c r="CK45" s="264"/>
      <c r="DK45" s="12"/>
      <c r="DM45" s="2">
        <v>3</v>
      </c>
      <c r="DP45" s="249"/>
      <c r="DR45" s="279"/>
      <c r="DS45" s="279"/>
      <c r="DT45" s="279"/>
      <c r="DU45" s="279"/>
      <c r="DV45" s="279"/>
      <c r="DW45" s="3">
        <v>26</v>
      </c>
    </row>
    <row r="46" spans="1:128">
      <c r="A46" s="102">
        <v>38</v>
      </c>
      <c r="B46" s="56">
        <v>1</v>
      </c>
      <c r="C46" s="240"/>
      <c r="D46" s="240"/>
      <c r="E46" s="240"/>
      <c r="F46" s="240"/>
      <c r="G46" s="240"/>
      <c r="H46" s="240"/>
      <c r="I46" s="240"/>
      <c r="J46" s="240"/>
      <c r="K46" s="240"/>
      <c r="L46" s="240"/>
      <c r="M46" s="240"/>
      <c r="N46" s="240"/>
      <c r="O46" s="240"/>
      <c r="P46" s="243"/>
      <c r="Q46" s="243"/>
      <c r="R46" s="10">
        <f t="shared" si="5"/>
        <v>0</v>
      </c>
      <c r="S46" s="249"/>
      <c r="T46" s="56">
        <v>180</v>
      </c>
      <c r="U46" s="56">
        <v>152</v>
      </c>
      <c r="V46" s="56">
        <v>241</v>
      </c>
      <c r="W46" s="56"/>
      <c r="X46" s="56"/>
      <c r="Y46" s="56"/>
      <c r="Z46" s="56">
        <v>71</v>
      </c>
      <c r="AA46" s="56">
        <v>236</v>
      </c>
      <c r="AB46" s="56">
        <v>218</v>
      </c>
      <c r="AC46" s="56"/>
      <c r="AD46" s="56"/>
      <c r="AF46" s="56">
        <v>119</v>
      </c>
      <c r="AG46" s="56">
        <v>99</v>
      </c>
      <c r="AH46" s="56">
        <v>162</v>
      </c>
      <c r="AM46" s="102">
        <f t="shared" si="12"/>
        <v>1478</v>
      </c>
      <c r="AN46" s="257">
        <f t="shared" si="13"/>
        <v>1478</v>
      </c>
      <c r="AO46" s="8"/>
      <c r="AP46" s="8"/>
      <c r="AQ46" s="2">
        <f t="shared" si="14"/>
        <v>1</v>
      </c>
      <c r="AR46" s="264"/>
      <c r="AS46" s="264"/>
      <c r="AT46" s="264"/>
      <c r="AU46" s="264"/>
      <c r="AV46" s="22">
        <f t="shared" si="11"/>
        <v>1478</v>
      </c>
      <c r="AW46" s="8">
        <f t="shared" si="15"/>
        <v>180</v>
      </c>
      <c r="AX46" s="11">
        <f t="shared" si="16"/>
        <v>0</v>
      </c>
      <c r="AY46" s="8">
        <f t="shared" si="17"/>
        <v>0</v>
      </c>
      <c r="AZ46" s="11"/>
      <c r="BD46" s="11"/>
      <c r="BG46" s="11"/>
      <c r="CG46" s="264"/>
      <c r="CH46" s="264"/>
      <c r="CI46" s="264"/>
      <c r="CJ46" s="264"/>
      <c r="CK46" s="264"/>
      <c r="DK46" s="12"/>
      <c r="DM46" s="2">
        <v>3</v>
      </c>
      <c r="DP46" s="249"/>
      <c r="DR46" s="279"/>
      <c r="DS46" s="279"/>
      <c r="DT46" s="279"/>
      <c r="DU46" s="279"/>
      <c r="DV46" s="279"/>
      <c r="DW46" s="3">
        <v>28</v>
      </c>
    </row>
    <row r="47" spans="1:128">
      <c r="A47" s="102">
        <v>39</v>
      </c>
      <c r="B47" s="56">
        <v>1</v>
      </c>
      <c r="C47" s="240"/>
      <c r="D47" s="240"/>
      <c r="E47" s="240"/>
      <c r="F47" s="240"/>
      <c r="G47" s="240"/>
      <c r="H47" s="240"/>
      <c r="I47" s="240"/>
      <c r="J47" s="240"/>
      <c r="K47" s="240"/>
      <c r="L47" s="240"/>
      <c r="M47" s="240"/>
      <c r="N47" s="240"/>
      <c r="O47" s="240"/>
      <c r="P47" s="243"/>
      <c r="Q47" s="243"/>
      <c r="R47" s="10">
        <f t="shared" si="5"/>
        <v>0</v>
      </c>
      <c r="S47" s="249"/>
      <c r="T47" s="56">
        <v>178</v>
      </c>
      <c r="U47" s="56">
        <v>188</v>
      </c>
      <c r="V47" s="56">
        <v>247</v>
      </c>
      <c r="W47" s="56"/>
      <c r="X47" s="56"/>
      <c r="Y47" s="56"/>
      <c r="Z47" s="56">
        <v>0</v>
      </c>
      <c r="AA47" s="56">
        <v>0</v>
      </c>
      <c r="AB47" s="56">
        <v>0</v>
      </c>
      <c r="AC47" s="56"/>
      <c r="AD47" s="56"/>
      <c r="AF47" s="56">
        <v>112</v>
      </c>
      <c r="AG47" s="56">
        <v>121</v>
      </c>
      <c r="AH47" s="56">
        <v>107</v>
      </c>
      <c r="AM47" s="102">
        <f t="shared" si="12"/>
        <v>953</v>
      </c>
      <c r="AN47" s="257">
        <f t="shared" si="13"/>
        <v>953</v>
      </c>
      <c r="AO47" s="8"/>
      <c r="AP47" s="8"/>
      <c r="AQ47" s="2">
        <f t="shared" si="14"/>
        <v>1</v>
      </c>
      <c r="AR47" s="264"/>
      <c r="AS47" s="264"/>
      <c r="AT47" s="264"/>
      <c r="AU47" s="264"/>
      <c r="AV47" s="22">
        <f t="shared" si="11"/>
        <v>953</v>
      </c>
      <c r="AW47" s="8">
        <f t="shared" si="15"/>
        <v>178</v>
      </c>
      <c r="AX47" s="11">
        <f t="shared" si="16"/>
        <v>0</v>
      </c>
      <c r="AY47" s="8">
        <f t="shared" si="17"/>
        <v>0</v>
      </c>
      <c r="AZ47" s="11"/>
      <c r="BD47" s="11"/>
      <c r="BG47" s="11"/>
      <c r="CG47" s="264"/>
      <c r="CH47" s="264"/>
      <c r="CI47" s="264"/>
      <c r="CJ47" s="264"/>
      <c r="CK47" s="264"/>
      <c r="DK47" s="12"/>
      <c r="DM47" s="2">
        <v>3</v>
      </c>
      <c r="DP47" s="249"/>
      <c r="DR47" s="279"/>
      <c r="DS47" s="279"/>
      <c r="DT47" s="279"/>
      <c r="DU47" s="279"/>
      <c r="DV47" s="279"/>
      <c r="DW47" s="3">
        <v>32</v>
      </c>
    </row>
    <row r="48" spans="1:128">
      <c r="A48" s="102">
        <v>40</v>
      </c>
      <c r="B48" s="56">
        <v>1</v>
      </c>
      <c r="C48" s="240"/>
      <c r="D48" s="240"/>
      <c r="E48" s="240"/>
      <c r="F48" s="240"/>
      <c r="G48" s="240"/>
      <c r="H48" s="240"/>
      <c r="I48" s="240"/>
      <c r="J48" s="240"/>
      <c r="K48" s="240"/>
      <c r="L48" s="240"/>
      <c r="M48" s="240"/>
      <c r="N48" s="240"/>
      <c r="O48" s="240"/>
      <c r="P48" s="243"/>
      <c r="Q48" s="243"/>
      <c r="R48" s="10">
        <f t="shared" si="5"/>
        <v>0</v>
      </c>
      <c r="S48" s="249"/>
      <c r="T48" s="56">
        <v>182</v>
      </c>
      <c r="U48" s="56">
        <v>166</v>
      </c>
      <c r="V48" s="56">
        <v>320</v>
      </c>
      <c r="W48" s="56"/>
      <c r="X48" s="56"/>
      <c r="Y48" s="56"/>
      <c r="Z48" s="56">
        <v>83</v>
      </c>
      <c r="AA48" s="56">
        <v>107</v>
      </c>
      <c r="AB48" s="56">
        <v>208</v>
      </c>
      <c r="AC48" s="56"/>
      <c r="AD48" s="56"/>
      <c r="AF48" s="56">
        <v>162</v>
      </c>
      <c r="AG48" s="56">
        <v>125</v>
      </c>
      <c r="AH48" s="56">
        <v>149</v>
      </c>
      <c r="AM48" s="102">
        <f t="shared" si="12"/>
        <v>1502</v>
      </c>
      <c r="AN48" s="257">
        <f t="shared" si="13"/>
        <v>1502</v>
      </c>
      <c r="AO48" s="8"/>
      <c r="AP48" s="8"/>
      <c r="AQ48" s="2">
        <f t="shared" si="14"/>
        <v>1</v>
      </c>
      <c r="AR48" s="264"/>
      <c r="AS48" s="264"/>
      <c r="AT48" s="264"/>
      <c r="AU48" s="264"/>
      <c r="AV48" s="22">
        <f t="shared" si="11"/>
        <v>1502</v>
      </c>
      <c r="AW48" s="8">
        <f t="shared" si="15"/>
        <v>182</v>
      </c>
      <c r="AX48" s="11">
        <f t="shared" si="16"/>
        <v>0</v>
      </c>
      <c r="AY48" s="8">
        <f t="shared" si="17"/>
        <v>0</v>
      </c>
      <c r="AZ48" s="11"/>
      <c r="BD48" s="11"/>
      <c r="BG48" s="11"/>
      <c r="CG48" s="264"/>
      <c r="CH48" s="264"/>
      <c r="CI48" s="264"/>
      <c r="CJ48" s="264"/>
      <c r="CK48" s="264"/>
      <c r="DK48" s="12"/>
      <c r="DM48" s="2">
        <v>3</v>
      </c>
      <c r="DP48" s="249"/>
      <c r="DR48" s="279"/>
      <c r="DS48" s="279"/>
      <c r="DT48" s="279"/>
      <c r="DU48" s="279"/>
      <c r="DV48" s="279"/>
      <c r="DW48" s="3">
        <v>15</v>
      </c>
    </row>
    <row r="49" spans="1:129">
      <c r="A49" s="102">
        <v>41</v>
      </c>
      <c r="B49" s="56">
        <v>1</v>
      </c>
      <c r="C49" s="240"/>
      <c r="D49" s="240"/>
      <c r="E49" s="240"/>
      <c r="F49" s="240"/>
      <c r="G49" s="240"/>
      <c r="H49" s="240"/>
      <c r="I49" s="240"/>
      <c r="J49" s="240"/>
      <c r="K49" s="240"/>
      <c r="L49" s="240"/>
      <c r="M49" s="240"/>
      <c r="N49" s="240"/>
      <c r="O49" s="240"/>
      <c r="P49" s="243"/>
      <c r="Q49" s="243"/>
      <c r="R49" s="10">
        <f t="shared" si="5"/>
        <v>0</v>
      </c>
      <c r="S49" s="249"/>
      <c r="T49" s="56">
        <v>179</v>
      </c>
      <c r="U49" s="56">
        <v>184</v>
      </c>
      <c r="V49" s="56">
        <v>247</v>
      </c>
      <c r="W49" s="56"/>
      <c r="X49" s="56"/>
      <c r="Y49" s="56"/>
      <c r="Z49" s="56">
        <v>81</v>
      </c>
      <c r="AA49" s="56">
        <v>87</v>
      </c>
      <c r="AB49" s="56">
        <v>217</v>
      </c>
      <c r="AC49" s="56"/>
      <c r="AD49" s="56"/>
      <c r="AF49" s="56">
        <v>147</v>
      </c>
      <c r="AG49" s="56">
        <v>116</v>
      </c>
      <c r="AH49" s="56">
        <v>160</v>
      </c>
      <c r="AM49" s="102">
        <f t="shared" si="12"/>
        <v>1418</v>
      </c>
      <c r="AN49" s="257">
        <f t="shared" si="13"/>
        <v>1418</v>
      </c>
      <c r="AO49" s="8"/>
      <c r="AP49" s="8"/>
      <c r="AQ49" s="2">
        <f>IF(AN49&gt;=$AQ$6,1,0)</f>
        <v>1</v>
      </c>
      <c r="AR49" s="264"/>
      <c r="AS49" s="264"/>
      <c r="AT49" s="264"/>
      <c r="AU49" s="264"/>
      <c r="AV49" s="22">
        <f t="shared" si="11"/>
        <v>1418</v>
      </c>
      <c r="AW49" s="8">
        <f t="shared" si="15"/>
        <v>179</v>
      </c>
      <c r="AX49" s="11">
        <f t="shared" si="16"/>
        <v>0</v>
      </c>
      <c r="AY49" s="8">
        <f t="shared" si="17"/>
        <v>0</v>
      </c>
      <c r="AZ49" s="11"/>
      <c r="BD49" s="11"/>
      <c r="BG49" s="11"/>
      <c r="CG49" s="264"/>
      <c r="CH49" s="264"/>
      <c r="CI49" s="264"/>
      <c r="CJ49" s="264"/>
      <c r="CK49" s="264"/>
      <c r="DK49" s="12"/>
      <c r="DM49" s="2">
        <v>3</v>
      </c>
      <c r="DP49" s="249"/>
      <c r="DR49" s="279"/>
      <c r="DS49" s="279"/>
      <c r="DT49" s="279"/>
      <c r="DU49" s="279"/>
      <c r="DV49" s="279"/>
      <c r="DW49" s="3">
        <v>15</v>
      </c>
    </row>
    <row r="50" spans="1:129">
      <c r="A50" s="102">
        <v>42</v>
      </c>
      <c r="B50" s="56">
        <v>1</v>
      </c>
      <c r="C50" s="240"/>
      <c r="D50" s="240"/>
      <c r="E50" s="240"/>
      <c r="F50" s="240"/>
      <c r="G50" s="240"/>
      <c r="H50" s="240"/>
      <c r="I50" s="240"/>
      <c r="J50" s="240"/>
      <c r="K50" s="240"/>
      <c r="L50" s="240"/>
      <c r="M50" s="240"/>
      <c r="N50" s="240"/>
      <c r="O50" s="240"/>
      <c r="P50" s="243"/>
      <c r="Q50" s="243"/>
      <c r="R50" s="10">
        <f t="shared" si="5"/>
        <v>0</v>
      </c>
      <c r="S50" s="249"/>
      <c r="T50" s="56">
        <v>232</v>
      </c>
      <c r="U50" s="56">
        <v>124</v>
      </c>
      <c r="V50" s="56">
        <v>360</v>
      </c>
      <c r="W50" s="56"/>
      <c r="X50" s="56"/>
      <c r="Y50" s="56"/>
      <c r="Z50" s="56">
        <v>235</v>
      </c>
      <c r="AA50" s="56">
        <v>232</v>
      </c>
      <c r="AB50" s="56">
        <v>303</v>
      </c>
      <c r="AC50" s="56"/>
      <c r="AD50" s="56"/>
      <c r="AF50" s="56">
        <v>113</v>
      </c>
      <c r="AG50" s="56">
        <v>187</v>
      </c>
      <c r="AH50" s="56">
        <v>253</v>
      </c>
      <c r="AM50" s="102">
        <f t="shared" si="12"/>
        <v>2039</v>
      </c>
      <c r="AN50" s="257">
        <f t="shared" si="13"/>
        <v>2039</v>
      </c>
      <c r="AO50" s="8"/>
      <c r="AP50" s="8"/>
      <c r="AQ50" s="2">
        <f t="shared" si="14"/>
        <v>1</v>
      </c>
      <c r="AR50" s="264"/>
      <c r="AS50" s="264"/>
      <c r="AT50" s="264"/>
      <c r="AU50" s="264"/>
      <c r="AV50" s="22">
        <f t="shared" si="11"/>
        <v>2039</v>
      </c>
      <c r="AW50" s="8">
        <f t="shared" si="15"/>
        <v>232</v>
      </c>
      <c r="AX50" s="11">
        <f t="shared" si="16"/>
        <v>0</v>
      </c>
      <c r="AY50" s="8">
        <f t="shared" si="17"/>
        <v>0</v>
      </c>
      <c r="AZ50" s="11"/>
      <c r="BD50" s="11"/>
      <c r="BG50" s="11"/>
      <c r="CG50" s="264"/>
      <c r="CH50" s="264"/>
      <c r="CI50" s="264"/>
      <c r="CJ50" s="264"/>
      <c r="CK50" s="264"/>
      <c r="DK50" s="12"/>
      <c r="DM50" s="2">
        <v>3</v>
      </c>
      <c r="DP50" s="249"/>
      <c r="DR50" s="279"/>
      <c r="DS50" s="279"/>
      <c r="DT50" s="279"/>
      <c r="DU50" s="279"/>
      <c r="DV50" s="279"/>
      <c r="DW50" s="3">
        <v>33</v>
      </c>
    </row>
    <row r="51" spans="1:129">
      <c r="A51" s="102">
        <v>43</v>
      </c>
      <c r="B51" s="56">
        <v>1</v>
      </c>
      <c r="C51" s="240"/>
      <c r="D51" s="240"/>
      <c r="E51" s="240"/>
      <c r="F51" s="240"/>
      <c r="G51" s="240"/>
      <c r="H51" s="240"/>
      <c r="I51" s="240"/>
      <c r="J51" s="240"/>
      <c r="K51" s="240"/>
      <c r="L51" s="240"/>
      <c r="M51" s="240"/>
      <c r="N51" s="240"/>
      <c r="O51" s="240"/>
      <c r="P51" s="243"/>
      <c r="Q51" s="243"/>
      <c r="R51" s="10">
        <f t="shared" si="5"/>
        <v>0</v>
      </c>
      <c r="S51" s="249"/>
      <c r="T51" s="56">
        <v>202</v>
      </c>
      <c r="U51" s="56">
        <v>102</v>
      </c>
      <c r="V51" s="56">
        <v>187</v>
      </c>
      <c r="W51" s="56"/>
      <c r="X51" s="56"/>
      <c r="Y51" s="56"/>
      <c r="Z51" s="56">
        <v>97</v>
      </c>
      <c r="AA51" s="56">
        <v>89</v>
      </c>
      <c r="AB51" s="56">
        <v>259</v>
      </c>
      <c r="AC51" s="56"/>
      <c r="AD51" s="56"/>
      <c r="AF51" s="56">
        <v>80</v>
      </c>
      <c r="AG51" s="56">
        <v>151</v>
      </c>
      <c r="AH51" s="56">
        <v>204</v>
      </c>
      <c r="AM51" s="102">
        <f t="shared" si="12"/>
        <v>1371</v>
      </c>
      <c r="AN51" s="257">
        <f t="shared" si="13"/>
        <v>1371</v>
      </c>
      <c r="AO51" s="8"/>
      <c r="AP51" s="8"/>
      <c r="AQ51" s="2">
        <f>IF(AN51&gt;=$AQ$6,1,0)</f>
        <v>1</v>
      </c>
      <c r="AR51" s="264"/>
      <c r="AS51" s="264"/>
      <c r="AT51" s="264"/>
      <c r="AU51" s="264"/>
      <c r="AV51" s="22">
        <f t="shared" si="11"/>
        <v>1371</v>
      </c>
      <c r="AW51" s="8">
        <f t="shared" si="15"/>
        <v>202</v>
      </c>
      <c r="AX51" s="11">
        <f t="shared" si="16"/>
        <v>0</v>
      </c>
      <c r="AY51" s="8">
        <f t="shared" si="17"/>
        <v>0</v>
      </c>
      <c r="AZ51" s="11"/>
      <c r="BD51" s="11"/>
      <c r="BG51" s="11"/>
      <c r="CG51" s="264"/>
      <c r="CH51" s="264"/>
      <c r="CI51" s="264"/>
      <c r="CJ51" s="264"/>
      <c r="CK51" s="264"/>
      <c r="DK51" s="12"/>
      <c r="DM51" s="2">
        <v>3</v>
      </c>
      <c r="DP51" s="249"/>
      <c r="DR51" s="279"/>
      <c r="DS51" s="279"/>
      <c r="DT51" s="279"/>
      <c r="DU51" s="279"/>
      <c r="DV51" s="279"/>
      <c r="DW51" s="3">
        <v>32</v>
      </c>
    </row>
    <row r="52" spans="1:129">
      <c r="A52" s="102">
        <v>44</v>
      </c>
      <c r="B52" s="56">
        <v>1</v>
      </c>
      <c r="C52" s="240"/>
      <c r="D52" s="240"/>
      <c r="E52" s="240"/>
      <c r="F52" s="240"/>
      <c r="G52" s="240"/>
      <c r="H52" s="240"/>
      <c r="I52" s="240"/>
      <c r="J52" s="240"/>
      <c r="K52" s="240"/>
      <c r="L52" s="240"/>
      <c r="M52" s="240"/>
      <c r="N52" s="240"/>
      <c r="O52" s="240"/>
      <c r="P52" s="243"/>
      <c r="Q52" s="243"/>
      <c r="R52" s="10">
        <f t="shared" si="5"/>
        <v>0</v>
      </c>
      <c r="S52" s="249"/>
      <c r="T52" s="56">
        <v>183</v>
      </c>
      <c r="U52" s="56">
        <v>167</v>
      </c>
      <c r="V52" s="56">
        <v>277</v>
      </c>
      <c r="W52" s="56"/>
      <c r="X52" s="56"/>
      <c r="Y52" s="56"/>
      <c r="Z52" s="56">
        <v>88</v>
      </c>
      <c r="AA52" s="56">
        <v>189</v>
      </c>
      <c r="AB52" s="56">
        <v>149</v>
      </c>
      <c r="AC52" s="56"/>
      <c r="AD52" s="56"/>
      <c r="AF52" s="56">
        <v>102</v>
      </c>
      <c r="AG52" s="56">
        <v>77</v>
      </c>
      <c r="AH52" s="56">
        <v>145</v>
      </c>
      <c r="AM52" s="102">
        <f t="shared" si="12"/>
        <v>1377</v>
      </c>
      <c r="AN52" s="257">
        <f t="shared" si="13"/>
        <v>1377</v>
      </c>
      <c r="AO52" s="8"/>
      <c r="AP52" s="8"/>
      <c r="AQ52" s="2">
        <f t="shared" si="14"/>
        <v>1</v>
      </c>
      <c r="AR52" s="264"/>
      <c r="AS52" s="264"/>
      <c r="AT52" s="264"/>
      <c r="AU52" s="264"/>
      <c r="AV52" s="22">
        <f t="shared" si="11"/>
        <v>1377</v>
      </c>
      <c r="AW52" s="8">
        <f t="shared" si="15"/>
        <v>183</v>
      </c>
      <c r="AX52" s="11">
        <f t="shared" si="16"/>
        <v>0</v>
      </c>
      <c r="AY52" s="8">
        <f t="shared" si="17"/>
        <v>0</v>
      </c>
      <c r="AZ52" s="11"/>
      <c r="BD52" s="11"/>
      <c r="BG52" s="11"/>
      <c r="CG52" s="264"/>
      <c r="CH52" s="264"/>
      <c r="CI52" s="264"/>
      <c r="CJ52" s="264"/>
      <c r="CK52" s="264"/>
      <c r="DK52" s="12"/>
      <c r="DM52" s="2">
        <v>3</v>
      </c>
      <c r="DP52" s="249"/>
      <c r="DR52" s="279"/>
      <c r="DS52" s="279"/>
      <c r="DT52" s="279"/>
      <c r="DU52" s="279"/>
      <c r="DV52" s="279"/>
      <c r="DW52" s="3">
        <v>47</v>
      </c>
    </row>
    <row r="53" spans="1:129">
      <c r="A53" s="102">
        <v>45</v>
      </c>
      <c r="B53" s="56">
        <v>1</v>
      </c>
      <c r="C53" s="240"/>
      <c r="D53" s="240"/>
      <c r="E53" s="240"/>
      <c r="F53" s="240"/>
      <c r="G53" s="240"/>
      <c r="H53" s="240"/>
      <c r="I53" s="240"/>
      <c r="J53" s="240"/>
      <c r="K53" s="240"/>
      <c r="L53" s="240"/>
      <c r="M53" s="240"/>
      <c r="N53" s="240"/>
      <c r="O53" s="240"/>
      <c r="P53" s="243"/>
      <c r="Q53" s="243"/>
      <c r="R53" s="10">
        <f t="shared" si="5"/>
        <v>0</v>
      </c>
      <c r="S53" s="249"/>
      <c r="T53" s="56">
        <v>157</v>
      </c>
      <c r="U53" s="56">
        <v>104</v>
      </c>
      <c r="V53" s="56">
        <v>363</v>
      </c>
      <c r="W53" s="56"/>
      <c r="X53" s="56"/>
      <c r="Y53" s="56"/>
      <c r="Z53" s="56">
        <v>80</v>
      </c>
      <c r="AA53" s="56">
        <v>122</v>
      </c>
      <c r="AB53" s="56">
        <v>147</v>
      </c>
      <c r="AC53" s="56"/>
      <c r="AD53" s="56"/>
      <c r="AF53" s="56">
        <v>0</v>
      </c>
      <c r="AG53" s="56">
        <v>144</v>
      </c>
      <c r="AH53" s="56">
        <v>55</v>
      </c>
      <c r="AM53" s="102">
        <f t="shared" si="12"/>
        <v>1172</v>
      </c>
      <c r="AN53" s="257">
        <f t="shared" si="13"/>
        <v>1172</v>
      </c>
      <c r="AO53" s="8"/>
      <c r="AP53" s="8"/>
      <c r="AQ53" s="2">
        <f t="shared" si="14"/>
        <v>1</v>
      </c>
      <c r="AR53" s="264"/>
      <c r="AS53" s="264"/>
      <c r="AT53" s="264"/>
      <c r="AU53" s="264"/>
      <c r="AV53" s="22">
        <f t="shared" si="11"/>
        <v>1172</v>
      </c>
      <c r="AW53" s="8">
        <f t="shared" si="15"/>
        <v>157</v>
      </c>
      <c r="AX53" s="11">
        <f t="shared" si="16"/>
        <v>0</v>
      </c>
      <c r="AY53" s="8">
        <f t="shared" si="17"/>
        <v>0</v>
      </c>
      <c r="AZ53" s="11"/>
      <c r="BD53" s="11"/>
      <c r="BG53" s="11"/>
      <c r="CG53" s="264"/>
      <c r="CH53" s="264"/>
      <c r="CI53" s="264"/>
      <c r="CJ53" s="264"/>
      <c r="CK53" s="264"/>
      <c r="DK53" s="12"/>
      <c r="DM53" s="2">
        <v>3</v>
      </c>
      <c r="DP53" s="249"/>
      <c r="DR53" s="279"/>
      <c r="DS53" s="279"/>
      <c r="DT53" s="279"/>
      <c r="DU53" s="279"/>
      <c r="DV53" s="279"/>
      <c r="DW53" s="3">
        <v>31</v>
      </c>
    </row>
    <row r="54" spans="1:129">
      <c r="A54" s="102">
        <v>46</v>
      </c>
      <c r="B54" s="56">
        <v>1</v>
      </c>
      <c r="C54" s="240"/>
      <c r="D54" s="240"/>
      <c r="E54" s="240"/>
      <c r="F54" s="240"/>
      <c r="G54" s="240"/>
      <c r="H54" s="240"/>
      <c r="I54" s="240"/>
      <c r="J54" s="240"/>
      <c r="K54" s="240"/>
      <c r="L54" s="240"/>
      <c r="M54" s="240"/>
      <c r="N54" s="240"/>
      <c r="O54" s="240"/>
      <c r="P54" s="243"/>
      <c r="Q54" s="243"/>
      <c r="R54" s="10">
        <f t="shared" si="5"/>
        <v>0</v>
      </c>
      <c r="S54" s="249"/>
      <c r="T54" s="56">
        <v>187</v>
      </c>
      <c r="U54" s="56">
        <v>240</v>
      </c>
      <c r="V54" s="56">
        <v>242</v>
      </c>
      <c r="W54" s="56"/>
      <c r="X54" s="56"/>
      <c r="Y54" s="56"/>
      <c r="Z54" s="56">
        <v>108</v>
      </c>
      <c r="AA54" s="56">
        <v>234</v>
      </c>
      <c r="AB54" s="56">
        <v>112</v>
      </c>
      <c r="AC54" s="56"/>
      <c r="AD54" s="56"/>
      <c r="AF54" s="56">
        <v>114</v>
      </c>
      <c r="AG54" s="56">
        <v>88</v>
      </c>
      <c r="AH54" s="56">
        <v>214</v>
      </c>
      <c r="AM54" s="102">
        <f t="shared" si="12"/>
        <v>1539</v>
      </c>
      <c r="AN54" s="257">
        <f t="shared" si="13"/>
        <v>1539</v>
      </c>
      <c r="AO54" s="8"/>
      <c r="AP54" s="8"/>
      <c r="AQ54" s="2">
        <f t="shared" si="14"/>
        <v>1</v>
      </c>
      <c r="AR54" s="264"/>
      <c r="AS54" s="264"/>
      <c r="AT54" s="264"/>
      <c r="AU54" s="264"/>
      <c r="AV54" s="22">
        <f t="shared" si="11"/>
        <v>1539</v>
      </c>
      <c r="AW54" s="8">
        <f t="shared" si="15"/>
        <v>187</v>
      </c>
      <c r="AX54" s="11">
        <f t="shared" si="16"/>
        <v>0</v>
      </c>
      <c r="AY54" s="8">
        <f t="shared" si="17"/>
        <v>0</v>
      </c>
      <c r="AZ54" s="11"/>
      <c r="BD54" s="11"/>
      <c r="BG54" s="11"/>
      <c r="CG54" s="264"/>
      <c r="CH54" s="264"/>
      <c r="CI54" s="264"/>
      <c r="CJ54" s="264"/>
      <c r="CK54" s="264"/>
      <c r="DK54" s="12"/>
      <c r="DM54" s="2">
        <v>3</v>
      </c>
      <c r="DP54" s="249"/>
      <c r="DR54" s="279"/>
      <c r="DS54" s="279"/>
      <c r="DT54" s="279"/>
      <c r="DU54" s="279"/>
      <c r="DV54" s="279"/>
      <c r="DW54" s="3">
        <v>32</v>
      </c>
    </row>
    <row r="55" spans="1:129" s="406" customFormat="1">
      <c r="A55" s="404">
        <v>47</v>
      </c>
      <c r="B55" s="415">
        <v>1</v>
      </c>
      <c r="C55" s="420"/>
      <c r="D55" s="420"/>
      <c r="E55" s="420"/>
      <c r="F55" s="420"/>
      <c r="G55" s="420"/>
      <c r="H55" s="420"/>
      <c r="I55" s="420"/>
      <c r="J55" s="420"/>
      <c r="K55" s="420"/>
      <c r="L55" s="420"/>
      <c r="M55" s="420"/>
      <c r="N55" s="420"/>
      <c r="O55" s="420"/>
      <c r="P55" s="421"/>
      <c r="Q55" s="421"/>
      <c r="R55" s="408"/>
      <c r="S55" s="409"/>
      <c r="T55" s="415">
        <v>144</v>
      </c>
      <c r="U55" s="415">
        <v>103</v>
      </c>
      <c r="V55" s="415">
        <v>112</v>
      </c>
      <c r="W55" s="415"/>
      <c r="X55" s="415"/>
      <c r="Y55" s="415"/>
      <c r="Z55" s="415">
        <v>50</v>
      </c>
      <c r="AA55" s="415">
        <v>50</v>
      </c>
      <c r="AB55" s="415">
        <v>237</v>
      </c>
      <c r="AC55" s="415"/>
      <c r="AD55" s="415"/>
      <c r="AE55" s="410"/>
      <c r="AF55" s="415">
        <v>44</v>
      </c>
      <c r="AG55" s="415">
        <v>81</v>
      </c>
      <c r="AH55" s="415">
        <v>77</v>
      </c>
      <c r="AM55" s="404">
        <f t="shared" si="12"/>
        <v>898</v>
      </c>
      <c r="AN55" s="411">
        <f t="shared" si="13"/>
        <v>898</v>
      </c>
      <c r="AO55" s="412"/>
      <c r="AP55" s="434"/>
      <c r="AQ55" s="406">
        <f t="shared" si="14"/>
        <v>1</v>
      </c>
      <c r="AR55" s="416"/>
      <c r="AS55" s="416"/>
      <c r="AT55" s="416"/>
      <c r="AU55" s="416"/>
      <c r="AV55" s="22">
        <f t="shared" si="11"/>
        <v>898</v>
      </c>
      <c r="AW55" s="412">
        <f t="shared" si="15"/>
        <v>144</v>
      </c>
      <c r="AX55" s="407">
        <f t="shared" si="16"/>
        <v>0</v>
      </c>
      <c r="AY55" s="412">
        <f t="shared" si="17"/>
        <v>0</v>
      </c>
      <c r="AZ55" s="407"/>
      <c r="BD55" s="407"/>
      <c r="BG55" s="407"/>
      <c r="CG55" s="416"/>
      <c r="CH55" s="416"/>
      <c r="CI55" s="416"/>
      <c r="CJ55" s="416"/>
      <c r="CK55" s="416"/>
      <c r="DK55" s="418"/>
      <c r="DM55" s="406">
        <v>3</v>
      </c>
      <c r="DP55" s="409"/>
      <c r="DR55" s="422"/>
      <c r="DS55" s="422"/>
      <c r="DT55" s="422"/>
      <c r="DU55" s="422"/>
      <c r="DV55" s="422"/>
      <c r="DW55" s="414">
        <v>24</v>
      </c>
      <c r="DX55" s="406" t="s">
        <v>1983</v>
      </c>
      <c r="DY55" s="434">
        <f>SUM(DW56:DW94)</f>
        <v>717.30000000000007</v>
      </c>
    </row>
    <row r="56" spans="1:129">
      <c r="A56" s="102">
        <v>137</v>
      </c>
      <c r="B56" s="56">
        <v>4</v>
      </c>
      <c r="C56" s="240"/>
      <c r="D56" s="240"/>
      <c r="E56" s="240"/>
      <c r="F56" s="240"/>
      <c r="G56" s="240"/>
      <c r="H56" s="240"/>
      <c r="I56" s="240"/>
      <c r="J56" s="240"/>
      <c r="K56" s="240"/>
      <c r="L56" s="240"/>
      <c r="M56" s="240"/>
      <c r="N56" s="240"/>
      <c r="O56" s="240"/>
      <c r="P56" s="243"/>
      <c r="Q56" s="243"/>
      <c r="R56" s="10"/>
      <c r="S56" s="249">
        <v>204</v>
      </c>
      <c r="T56" s="56">
        <v>186</v>
      </c>
      <c r="U56" s="56"/>
      <c r="V56" s="56"/>
      <c r="W56" s="56"/>
      <c r="X56" s="56"/>
      <c r="Y56" s="56">
        <v>220</v>
      </c>
      <c r="Z56" s="56">
        <v>184</v>
      </c>
      <c r="AA56" s="56">
        <v>281</v>
      </c>
      <c r="AB56" s="56">
        <v>324</v>
      </c>
      <c r="AC56" s="56"/>
      <c r="AD56" s="56"/>
      <c r="AF56" s="56"/>
      <c r="AG56" s="56">
        <v>184</v>
      </c>
      <c r="AH56" s="56">
        <v>175</v>
      </c>
      <c r="AM56" s="102">
        <f t="shared" si="12"/>
        <v>1758</v>
      </c>
      <c r="AN56" s="257">
        <f t="shared" si="13"/>
        <v>1758</v>
      </c>
      <c r="AO56" s="8"/>
      <c r="AP56" s="3">
        <f>AM56</f>
        <v>1758</v>
      </c>
      <c r="AQ56" s="2">
        <f t="shared" si="14"/>
        <v>1</v>
      </c>
      <c r="AR56" s="264"/>
      <c r="AS56" s="264"/>
      <c r="AT56" s="264"/>
      <c r="AU56" s="264"/>
      <c r="AW56" s="8">
        <f t="shared" si="15"/>
        <v>186</v>
      </c>
      <c r="AX56" s="11">
        <f t="shared" si="16"/>
        <v>0</v>
      </c>
      <c r="AY56" s="8">
        <f t="shared" si="17"/>
        <v>204</v>
      </c>
      <c r="AZ56" s="11"/>
      <c r="BD56" s="11"/>
      <c r="BG56" s="11"/>
      <c r="CG56" s="264"/>
      <c r="CH56" s="264"/>
      <c r="CI56" s="264"/>
      <c r="CJ56" s="264"/>
      <c r="CK56" s="264"/>
      <c r="DK56" s="12"/>
      <c r="DM56" s="2">
        <v>4</v>
      </c>
      <c r="DP56" s="249"/>
      <c r="DR56" s="279"/>
      <c r="DS56" s="279"/>
      <c r="DT56" s="279"/>
      <c r="DU56" s="279"/>
      <c r="DV56" s="279"/>
      <c r="DW56" s="3">
        <v>11.2</v>
      </c>
    </row>
    <row r="57" spans="1:129">
      <c r="A57" s="102">
        <v>138</v>
      </c>
      <c r="B57" s="56">
        <v>4</v>
      </c>
      <c r="C57" s="240"/>
      <c r="D57" s="240"/>
      <c r="E57" s="240"/>
      <c r="F57" s="240"/>
      <c r="G57" s="240"/>
      <c r="H57" s="240"/>
      <c r="I57" s="240"/>
      <c r="J57" s="240"/>
      <c r="K57" s="240"/>
      <c r="L57" s="240"/>
      <c r="M57" s="240"/>
      <c r="N57" s="240"/>
      <c r="O57" s="240"/>
      <c r="P57" s="243"/>
      <c r="Q57" s="243"/>
      <c r="R57" s="10"/>
      <c r="S57" s="249">
        <v>331</v>
      </c>
      <c r="T57" s="56">
        <v>250</v>
      </c>
      <c r="U57" s="56"/>
      <c r="V57" s="56"/>
      <c r="W57" s="56"/>
      <c r="X57" s="56"/>
      <c r="Y57" s="56">
        <v>328</v>
      </c>
      <c r="Z57" s="56">
        <v>240</v>
      </c>
      <c r="AA57" s="56">
        <v>335</v>
      </c>
      <c r="AB57" s="56">
        <v>338</v>
      </c>
      <c r="AC57" s="56"/>
      <c r="AD57" s="56"/>
      <c r="AF57" s="56"/>
      <c r="AG57" s="56">
        <v>183</v>
      </c>
      <c r="AH57" s="56">
        <v>193</v>
      </c>
      <c r="AM57" s="102">
        <f t="shared" si="12"/>
        <v>2198</v>
      </c>
      <c r="AN57" s="257">
        <f t="shared" si="13"/>
        <v>2198</v>
      </c>
      <c r="AO57" s="8"/>
      <c r="AP57" s="3">
        <f t="shared" ref="AP57:AP120" si="18">AM57</f>
        <v>2198</v>
      </c>
      <c r="AQ57" s="2">
        <f t="shared" si="14"/>
        <v>1</v>
      </c>
      <c r="AR57" s="264"/>
      <c r="AS57" s="264"/>
      <c r="AT57" s="264"/>
      <c r="AU57" s="264"/>
      <c r="AW57" s="8">
        <f t="shared" si="15"/>
        <v>250</v>
      </c>
      <c r="AX57" s="11">
        <f t="shared" si="16"/>
        <v>0</v>
      </c>
      <c r="AY57" s="8">
        <f t="shared" si="17"/>
        <v>331</v>
      </c>
      <c r="AZ57" s="11"/>
      <c r="BD57" s="11"/>
      <c r="BG57" s="11"/>
      <c r="CG57" s="264"/>
      <c r="CH57" s="264"/>
      <c r="CI57" s="264"/>
      <c r="CJ57" s="264"/>
      <c r="CK57" s="264"/>
      <c r="DK57" s="12"/>
      <c r="DM57" s="2">
        <v>4</v>
      </c>
      <c r="DP57" s="249"/>
      <c r="DR57" s="279"/>
      <c r="DS57" s="279"/>
      <c r="DT57" s="279"/>
      <c r="DU57" s="279"/>
      <c r="DV57" s="279"/>
      <c r="DW57" s="3">
        <v>12</v>
      </c>
    </row>
    <row r="58" spans="1:129">
      <c r="A58" s="102">
        <v>139</v>
      </c>
      <c r="B58" s="56">
        <v>4</v>
      </c>
      <c r="C58" s="240"/>
      <c r="D58" s="240"/>
      <c r="E58" s="240"/>
      <c r="F58" s="240"/>
      <c r="G58" s="240"/>
      <c r="H58" s="240"/>
      <c r="I58" s="240"/>
      <c r="J58" s="240"/>
      <c r="K58" s="240"/>
      <c r="L58" s="240"/>
      <c r="M58" s="240"/>
      <c r="N58" s="240"/>
      <c r="O58" s="240"/>
      <c r="P58" s="243"/>
      <c r="Q58" s="243"/>
      <c r="R58" s="10"/>
      <c r="S58" s="249">
        <v>291</v>
      </c>
      <c r="T58" s="56">
        <v>152</v>
      </c>
      <c r="U58" s="56"/>
      <c r="V58" s="56"/>
      <c r="W58" s="56"/>
      <c r="X58" s="56"/>
      <c r="Y58" s="56">
        <v>236</v>
      </c>
      <c r="Z58" s="56">
        <v>192</v>
      </c>
      <c r="AA58" s="56">
        <v>282</v>
      </c>
      <c r="AB58" s="56">
        <v>344</v>
      </c>
      <c r="AC58" s="56"/>
      <c r="AD58" s="56"/>
      <c r="AF58" s="56"/>
      <c r="AG58" s="56">
        <v>237</v>
      </c>
      <c r="AH58" s="56">
        <v>145</v>
      </c>
      <c r="AM58" s="102">
        <f t="shared" si="12"/>
        <v>1879</v>
      </c>
      <c r="AN58" s="257">
        <f t="shared" si="13"/>
        <v>1879</v>
      </c>
      <c r="AO58" s="8"/>
      <c r="AP58" s="3">
        <f t="shared" si="18"/>
        <v>1879</v>
      </c>
      <c r="AQ58" s="2">
        <f t="shared" si="14"/>
        <v>1</v>
      </c>
      <c r="AR58" s="264"/>
      <c r="AS58" s="264"/>
      <c r="AT58" s="264"/>
      <c r="AU58" s="264"/>
      <c r="AW58" s="8">
        <f t="shared" si="15"/>
        <v>152</v>
      </c>
      <c r="AX58" s="11">
        <f t="shared" si="16"/>
        <v>0</v>
      </c>
      <c r="AY58" s="8">
        <f t="shared" si="17"/>
        <v>291</v>
      </c>
      <c r="AZ58" s="11"/>
      <c r="BD58" s="11"/>
      <c r="BG58" s="11"/>
      <c r="CG58" s="264"/>
      <c r="CH58" s="264"/>
      <c r="CI58" s="264"/>
      <c r="CJ58" s="264"/>
      <c r="CK58" s="264"/>
      <c r="DK58" s="12"/>
      <c r="DM58" s="2">
        <v>4</v>
      </c>
      <c r="DP58" s="249"/>
      <c r="DR58" s="279"/>
      <c r="DS58" s="279"/>
      <c r="DT58" s="279"/>
      <c r="DU58" s="279"/>
      <c r="DV58" s="279"/>
      <c r="DW58" s="3">
        <v>20</v>
      </c>
    </row>
    <row r="59" spans="1:129">
      <c r="A59" s="102">
        <v>140</v>
      </c>
      <c r="B59" s="56">
        <v>4</v>
      </c>
      <c r="C59" s="240"/>
      <c r="D59" s="240"/>
      <c r="E59" s="240"/>
      <c r="F59" s="240"/>
      <c r="G59" s="240"/>
      <c r="H59" s="240"/>
      <c r="I59" s="240"/>
      <c r="J59" s="240"/>
      <c r="K59" s="240"/>
      <c r="L59" s="240"/>
      <c r="M59" s="240"/>
      <c r="N59" s="240"/>
      <c r="O59" s="240"/>
      <c r="P59" s="243"/>
      <c r="Q59" s="243"/>
      <c r="R59" s="10"/>
      <c r="S59" s="249">
        <v>286</v>
      </c>
      <c r="T59" s="56">
        <v>177</v>
      </c>
      <c r="U59" s="56"/>
      <c r="V59" s="56"/>
      <c r="W59" s="56"/>
      <c r="X59" s="56"/>
      <c r="Y59" s="56">
        <v>291</v>
      </c>
      <c r="Z59" s="56">
        <v>196</v>
      </c>
      <c r="AA59" s="56">
        <v>278</v>
      </c>
      <c r="AB59" s="56">
        <v>292</v>
      </c>
      <c r="AC59" s="56"/>
      <c r="AD59" s="56"/>
      <c r="AF59" s="56"/>
      <c r="AG59" s="56">
        <v>100</v>
      </c>
      <c r="AH59" s="56">
        <v>161</v>
      </c>
      <c r="AM59" s="102">
        <f t="shared" si="12"/>
        <v>1781</v>
      </c>
      <c r="AN59" s="257">
        <f t="shared" si="13"/>
        <v>1781</v>
      </c>
      <c r="AO59" s="8"/>
      <c r="AP59" s="3">
        <f t="shared" si="18"/>
        <v>1781</v>
      </c>
      <c r="AQ59" s="2">
        <f t="shared" si="14"/>
        <v>1</v>
      </c>
      <c r="AR59" s="264"/>
      <c r="AS59" s="264"/>
      <c r="AT59" s="264"/>
      <c r="AU59" s="264"/>
      <c r="AW59" s="8">
        <f t="shared" si="15"/>
        <v>177</v>
      </c>
      <c r="AX59" s="11">
        <f t="shared" si="16"/>
        <v>0</v>
      </c>
      <c r="AY59" s="8">
        <f t="shared" si="17"/>
        <v>286</v>
      </c>
      <c r="AZ59" s="11"/>
      <c r="BD59" s="11"/>
      <c r="BG59" s="11"/>
      <c r="CG59" s="264"/>
      <c r="CH59" s="264"/>
      <c r="CI59" s="264"/>
      <c r="CJ59" s="264"/>
      <c r="CK59" s="264"/>
      <c r="DK59" s="12"/>
      <c r="DM59" s="2">
        <v>4</v>
      </c>
      <c r="DP59" s="249"/>
      <c r="DR59" s="279"/>
      <c r="DS59" s="279"/>
      <c r="DT59" s="279"/>
      <c r="DU59" s="279"/>
      <c r="DV59" s="279"/>
      <c r="DW59" s="3">
        <v>22</v>
      </c>
    </row>
    <row r="60" spans="1:129">
      <c r="A60" s="102">
        <v>141</v>
      </c>
      <c r="B60" s="56">
        <v>4</v>
      </c>
      <c r="C60" s="240"/>
      <c r="D60" s="240"/>
      <c r="E60" s="240"/>
      <c r="F60" s="240"/>
      <c r="G60" s="240"/>
      <c r="H60" s="240"/>
      <c r="I60" s="240"/>
      <c r="J60" s="240"/>
      <c r="K60" s="240"/>
      <c r="L60" s="240"/>
      <c r="M60" s="240"/>
      <c r="N60" s="240"/>
      <c r="O60" s="240"/>
      <c r="P60" s="243"/>
      <c r="Q60" s="243"/>
      <c r="R60" s="10"/>
      <c r="S60" s="249">
        <v>292</v>
      </c>
      <c r="T60" s="56">
        <v>170</v>
      </c>
      <c r="U60" s="56"/>
      <c r="V60" s="56"/>
      <c r="W60" s="56"/>
      <c r="X60" s="56"/>
      <c r="Y60" s="56">
        <v>247</v>
      </c>
      <c r="Z60" s="56">
        <v>143</v>
      </c>
      <c r="AA60" s="56">
        <v>230</v>
      </c>
      <c r="AB60" s="56">
        <v>104</v>
      </c>
      <c r="AC60" s="56"/>
      <c r="AD60" s="56"/>
      <c r="AF60" s="56"/>
      <c r="AG60" s="56">
        <v>128</v>
      </c>
      <c r="AH60" s="56">
        <v>60</v>
      </c>
      <c r="AM60" s="102">
        <f t="shared" si="12"/>
        <v>1374</v>
      </c>
      <c r="AN60" s="257">
        <f t="shared" si="13"/>
        <v>1374</v>
      </c>
      <c r="AO60" s="8"/>
      <c r="AP60" s="3">
        <f t="shared" si="18"/>
        <v>1374</v>
      </c>
      <c r="AQ60" s="2">
        <f t="shared" si="14"/>
        <v>1</v>
      </c>
      <c r="AR60" s="264"/>
      <c r="AS60" s="264"/>
      <c r="AT60" s="264"/>
      <c r="AU60" s="264"/>
      <c r="AW60" s="8">
        <f t="shared" si="15"/>
        <v>170</v>
      </c>
      <c r="AX60" s="11">
        <f t="shared" si="16"/>
        <v>0</v>
      </c>
      <c r="AY60" s="8">
        <f t="shared" si="17"/>
        <v>292</v>
      </c>
      <c r="AZ60" s="11"/>
      <c r="BD60" s="11"/>
      <c r="BG60" s="11"/>
      <c r="CG60" s="264"/>
      <c r="CH60" s="264"/>
      <c r="CI60" s="264"/>
      <c r="CJ60" s="264"/>
      <c r="CK60" s="264"/>
      <c r="DK60" s="12"/>
      <c r="DM60" s="2">
        <v>4</v>
      </c>
      <c r="DP60" s="249"/>
      <c r="DR60" s="279"/>
      <c r="DS60" s="279"/>
      <c r="DT60" s="279"/>
      <c r="DU60" s="279"/>
      <c r="DV60" s="279"/>
      <c r="DW60" s="3">
        <v>9</v>
      </c>
    </row>
    <row r="61" spans="1:129">
      <c r="A61" s="102">
        <v>142</v>
      </c>
      <c r="B61" s="56">
        <v>4</v>
      </c>
      <c r="C61" s="240"/>
      <c r="D61" s="240"/>
      <c r="E61" s="240"/>
      <c r="F61" s="240"/>
      <c r="G61" s="240"/>
      <c r="H61" s="240"/>
      <c r="I61" s="240"/>
      <c r="J61" s="240"/>
      <c r="K61" s="240"/>
      <c r="L61" s="240"/>
      <c r="M61" s="240"/>
      <c r="N61" s="240"/>
      <c r="O61" s="240"/>
      <c r="P61" s="243"/>
      <c r="Q61" s="243"/>
      <c r="R61" s="10"/>
      <c r="S61" s="249">
        <v>257</v>
      </c>
      <c r="T61" s="56">
        <v>171</v>
      </c>
      <c r="U61" s="56"/>
      <c r="V61" s="56"/>
      <c r="W61" s="56"/>
      <c r="X61" s="56"/>
      <c r="Y61" s="56">
        <v>231</v>
      </c>
      <c r="Z61" s="56">
        <v>94</v>
      </c>
      <c r="AA61" s="56">
        <v>144</v>
      </c>
      <c r="AB61" s="56">
        <v>91</v>
      </c>
      <c r="AC61" s="56"/>
      <c r="AD61" s="56"/>
      <c r="AF61" s="56"/>
      <c r="AG61" s="56">
        <v>141</v>
      </c>
      <c r="AH61" s="56">
        <v>88</v>
      </c>
      <c r="AM61" s="102">
        <f t="shared" si="12"/>
        <v>1217</v>
      </c>
      <c r="AN61" s="257">
        <f t="shared" si="13"/>
        <v>1217</v>
      </c>
      <c r="AO61" s="8"/>
      <c r="AP61" s="3">
        <f t="shared" si="18"/>
        <v>1217</v>
      </c>
      <c r="AQ61" s="2">
        <f t="shared" si="14"/>
        <v>1</v>
      </c>
      <c r="AR61" s="264"/>
      <c r="AS61" s="264"/>
      <c r="AT61" s="264"/>
      <c r="AU61" s="264"/>
      <c r="AW61" s="8">
        <f t="shared" si="15"/>
        <v>171</v>
      </c>
      <c r="AX61" s="11">
        <f t="shared" si="16"/>
        <v>0</v>
      </c>
      <c r="AY61" s="8">
        <f t="shared" si="17"/>
        <v>257</v>
      </c>
      <c r="AZ61" s="11"/>
      <c r="BD61" s="11"/>
      <c r="BG61" s="11"/>
      <c r="CG61" s="264"/>
      <c r="CH61" s="264"/>
      <c r="CI61" s="264"/>
      <c r="CJ61" s="264"/>
      <c r="CK61" s="264"/>
      <c r="DK61" s="12"/>
      <c r="DM61" s="2">
        <v>4</v>
      </c>
      <c r="DP61" s="249"/>
      <c r="DR61" s="279"/>
      <c r="DS61" s="279"/>
      <c r="DT61" s="279"/>
      <c r="DU61" s="279"/>
      <c r="DV61" s="279"/>
      <c r="DW61" s="3">
        <v>12</v>
      </c>
    </row>
    <row r="62" spans="1:129">
      <c r="A62" s="102">
        <v>143</v>
      </c>
      <c r="B62" s="56">
        <v>4</v>
      </c>
      <c r="C62" s="240"/>
      <c r="D62" s="240"/>
      <c r="E62" s="240"/>
      <c r="F62" s="240"/>
      <c r="G62" s="240"/>
      <c r="H62" s="240"/>
      <c r="I62" s="240"/>
      <c r="J62" s="240"/>
      <c r="K62" s="240"/>
      <c r="L62" s="240"/>
      <c r="M62" s="240"/>
      <c r="N62" s="240"/>
      <c r="O62" s="240"/>
      <c r="P62" s="243"/>
      <c r="Q62" s="243"/>
      <c r="R62" s="10"/>
      <c r="S62" s="249">
        <v>235</v>
      </c>
      <c r="T62" s="56">
        <v>155</v>
      </c>
      <c r="U62" s="56"/>
      <c r="V62" s="56"/>
      <c r="W62" s="56"/>
      <c r="X62" s="56"/>
      <c r="Y62" s="56">
        <v>170</v>
      </c>
      <c r="Z62" s="56">
        <v>148</v>
      </c>
      <c r="AA62" s="56">
        <v>360</v>
      </c>
      <c r="AB62" s="56">
        <v>170</v>
      </c>
      <c r="AC62" s="56"/>
      <c r="AD62" s="56"/>
      <c r="AF62" s="56"/>
      <c r="AG62" s="56">
        <v>182</v>
      </c>
      <c r="AH62" s="56">
        <v>110</v>
      </c>
      <c r="AM62" s="102">
        <f t="shared" si="12"/>
        <v>1530</v>
      </c>
      <c r="AN62" s="257">
        <f t="shared" si="13"/>
        <v>1530</v>
      </c>
      <c r="AO62" s="8"/>
      <c r="AP62" s="3">
        <f t="shared" si="18"/>
        <v>1530</v>
      </c>
      <c r="AQ62" s="2">
        <f t="shared" si="14"/>
        <v>1</v>
      </c>
      <c r="AR62" s="264"/>
      <c r="AS62" s="264"/>
      <c r="AT62" s="264"/>
      <c r="AU62" s="264"/>
      <c r="AW62" s="8">
        <f t="shared" si="15"/>
        <v>155</v>
      </c>
      <c r="AX62" s="11">
        <f t="shared" si="16"/>
        <v>0</v>
      </c>
      <c r="AY62" s="8">
        <f t="shared" si="17"/>
        <v>235</v>
      </c>
      <c r="AZ62" s="11"/>
      <c r="BD62" s="11"/>
      <c r="BG62" s="11"/>
      <c r="CG62" s="264"/>
      <c r="CH62" s="264"/>
      <c r="CI62" s="264"/>
      <c r="CJ62" s="264"/>
      <c r="CK62" s="264"/>
      <c r="DK62" s="12"/>
      <c r="DM62" s="2">
        <v>4</v>
      </c>
      <c r="DP62" s="249"/>
      <c r="DR62" s="279"/>
      <c r="DS62" s="279"/>
      <c r="DT62" s="279"/>
      <c r="DU62" s="279"/>
      <c r="DV62" s="279"/>
      <c r="DW62" s="3">
        <v>28</v>
      </c>
    </row>
    <row r="63" spans="1:129">
      <c r="A63" s="102">
        <v>144</v>
      </c>
      <c r="B63" s="56">
        <v>4</v>
      </c>
      <c r="C63" s="240"/>
      <c r="D63" s="240"/>
      <c r="E63" s="240"/>
      <c r="F63" s="240"/>
      <c r="G63" s="240"/>
      <c r="H63" s="240"/>
      <c r="I63" s="240"/>
      <c r="J63" s="240"/>
      <c r="K63" s="240"/>
      <c r="L63" s="240"/>
      <c r="M63" s="240"/>
      <c r="N63" s="240"/>
      <c r="O63" s="240"/>
      <c r="P63" s="243"/>
      <c r="Q63" s="243"/>
      <c r="R63" s="10"/>
      <c r="S63" s="249">
        <v>326</v>
      </c>
      <c r="T63" s="56">
        <v>293</v>
      </c>
      <c r="U63" s="56"/>
      <c r="V63" s="56"/>
      <c r="W63" s="56"/>
      <c r="X63" s="56"/>
      <c r="Y63" s="56">
        <v>341</v>
      </c>
      <c r="Z63" s="56">
        <v>236</v>
      </c>
      <c r="AA63" s="56">
        <v>345</v>
      </c>
      <c r="AB63" s="56">
        <v>278</v>
      </c>
      <c r="AC63" s="56"/>
      <c r="AD63" s="56"/>
      <c r="AF63" s="56"/>
      <c r="AG63" s="56">
        <v>237</v>
      </c>
      <c r="AH63" s="56">
        <v>156</v>
      </c>
      <c r="AM63" s="102">
        <f t="shared" si="12"/>
        <v>2212</v>
      </c>
      <c r="AN63" s="257">
        <f t="shared" si="13"/>
        <v>2212</v>
      </c>
      <c r="AO63" s="8"/>
      <c r="AP63" s="3">
        <f t="shared" si="18"/>
        <v>2212</v>
      </c>
      <c r="AQ63" s="2">
        <f t="shared" si="14"/>
        <v>1</v>
      </c>
      <c r="AR63" s="264"/>
      <c r="AS63" s="264"/>
      <c r="AT63" s="264"/>
      <c r="AU63" s="264"/>
      <c r="AW63" s="8">
        <f t="shared" si="15"/>
        <v>293</v>
      </c>
      <c r="AX63" s="11">
        <f t="shared" si="16"/>
        <v>0</v>
      </c>
      <c r="AY63" s="8">
        <f t="shared" si="17"/>
        <v>326</v>
      </c>
      <c r="AZ63" s="11"/>
      <c r="BD63" s="11"/>
      <c r="BG63" s="11"/>
      <c r="CG63" s="264"/>
      <c r="CH63" s="264"/>
      <c r="CI63" s="264"/>
      <c r="CJ63" s="264"/>
      <c r="CK63" s="264"/>
      <c r="DK63" s="12"/>
      <c r="DM63" s="2">
        <v>4</v>
      </c>
      <c r="DP63" s="249"/>
      <c r="DR63" s="279"/>
      <c r="DS63" s="279"/>
      <c r="DT63" s="279"/>
      <c r="DU63" s="279"/>
      <c r="DV63" s="279"/>
      <c r="DW63" s="3">
        <v>23</v>
      </c>
    </row>
    <row r="64" spans="1:129">
      <c r="A64" s="102">
        <v>145</v>
      </c>
      <c r="B64" s="56">
        <v>4</v>
      </c>
      <c r="C64" s="240"/>
      <c r="D64" s="240"/>
      <c r="E64" s="240"/>
      <c r="F64" s="240"/>
      <c r="G64" s="240"/>
      <c r="H64" s="240"/>
      <c r="I64" s="240"/>
      <c r="J64" s="240"/>
      <c r="K64" s="240"/>
      <c r="L64" s="240"/>
      <c r="M64" s="240"/>
      <c r="N64" s="240"/>
      <c r="O64" s="240"/>
      <c r="P64" s="243"/>
      <c r="Q64" s="243"/>
      <c r="R64" s="10"/>
      <c r="S64" s="249">
        <v>256</v>
      </c>
      <c r="T64" s="56">
        <v>242</v>
      </c>
      <c r="U64" s="56"/>
      <c r="V64" s="56"/>
      <c r="W64" s="56"/>
      <c r="X64" s="56"/>
      <c r="Y64" s="56">
        <v>116</v>
      </c>
      <c r="Z64" s="56">
        <v>102</v>
      </c>
      <c r="AA64" s="56">
        <v>189</v>
      </c>
      <c r="AB64" s="56">
        <v>207</v>
      </c>
      <c r="AC64" s="56"/>
      <c r="AD64" s="56"/>
      <c r="AF64" s="56"/>
      <c r="AG64" s="56">
        <v>134</v>
      </c>
      <c r="AH64" s="56">
        <v>116</v>
      </c>
      <c r="AM64" s="102">
        <f t="shared" si="12"/>
        <v>1362</v>
      </c>
      <c r="AN64" s="257">
        <f t="shared" si="13"/>
        <v>1362</v>
      </c>
      <c r="AO64" s="8"/>
      <c r="AP64" s="3">
        <f t="shared" si="18"/>
        <v>1362</v>
      </c>
      <c r="AQ64" s="2">
        <f t="shared" si="14"/>
        <v>1</v>
      </c>
      <c r="AR64" s="264"/>
      <c r="AS64" s="264"/>
      <c r="AT64" s="264"/>
      <c r="AU64" s="264"/>
      <c r="AW64" s="8">
        <f t="shared" si="15"/>
        <v>242</v>
      </c>
      <c r="AX64" s="11">
        <f t="shared" si="16"/>
        <v>0</v>
      </c>
      <c r="AY64" s="8">
        <f t="shared" si="17"/>
        <v>256</v>
      </c>
      <c r="AZ64" s="11"/>
      <c r="BD64" s="11"/>
      <c r="BG64" s="11"/>
      <c r="CG64" s="264"/>
      <c r="CH64" s="264"/>
      <c r="CI64" s="264"/>
      <c r="CJ64" s="264"/>
      <c r="CK64" s="264"/>
      <c r="DK64" s="12"/>
      <c r="DM64" s="2">
        <v>4</v>
      </c>
      <c r="DP64" s="249"/>
      <c r="DR64" s="279"/>
      <c r="DS64" s="279"/>
      <c r="DT64" s="279"/>
      <c r="DU64" s="279"/>
      <c r="DV64" s="279"/>
      <c r="DW64" s="3">
        <v>11</v>
      </c>
    </row>
    <row r="65" spans="1:127">
      <c r="A65" s="102">
        <v>146</v>
      </c>
      <c r="B65" s="56">
        <v>4</v>
      </c>
      <c r="C65" s="240"/>
      <c r="D65" s="240"/>
      <c r="E65" s="240"/>
      <c r="F65" s="240"/>
      <c r="G65" s="240"/>
      <c r="H65" s="240"/>
      <c r="I65" s="240"/>
      <c r="J65" s="240"/>
      <c r="K65" s="240"/>
      <c r="L65" s="240"/>
      <c r="M65" s="240"/>
      <c r="N65" s="240"/>
      <c r="O65" s="240"/>
      <c r="P65" s="243"/>
      <c r="Q65" s="243"/>
      <c r="R65" s="10"/>
      <c r="S65" s="249">
        <v>326</v>
      </c>
      <c r="T65" s="56">
        <v>296</v>
      </c>
      <c r="U65" s="56"/>
      <c r="V65" s="56"/>
      <c r="W65" s="56"/>
      <c r="X65" s="56"/>
      <c r="Y65" s="56">
        <v>347</v>
      </c>
      <c r="Z65" s="56">
        <v>329</v>
      </c>
      <c r="AA65" s="56">
        <v>300</v>
      </c>
      <c r="AB65" s="56">
        <v>383</v>
      </c>
      <c r="AC65" s="56"/>
      <c r="AD65" s="56"/>
      <c r="AF65" s="56"/>
      <c r="AG65" s="56">
        <v>166</v>
      </c>
      <c r="AH65" s="56">
        <v>206</v>
      </c>
      <c r="AM65" s="102">
        <f t="shared" si="12"/>
        <v>2353</v>
      </c>
      <c r="AN65" s="257">
        <f t="shared" si="13"/>
        <v>2353</v>
      </c>
      <c r="AO65" s="8"/>
      <c r="AP65" s="3">
        <f t="shared" si="18"/>
        <v>2353</v>
      </c>
      <c r="AQ65" s="2">
        <f t="shared" si="14"/>
        <v>1</v>
      </c>
      <c r="AR65" s="264"/>
      <c r="AS65" s="264"/>
      <c r="AT65" s="264"/>
      <c r="AU65" s="264"/>
      <c r="AW65" s="8">
        <f t="shared" si="15"/>
        <v>296</v>
      </c>
      <c r="AX65" s="11">
        <f t="shared" si="16"/>
        <v>0</v>
      </c>
      <c r="AY65" s="8">
        <f t="shared" si="17"/>
        <v>326</v>
      </c>
      <c r="AZ65" s="11"/>
      <c r="BD65" s="11"/>
      <c r="BG65" s="11"/>
      <c r="CG65" s="264"/>
      <c r="CH65" s="264"/>
      <c r="CI65" s="264"/>
      <c r="CJ65" s="264"/>
      <c r="CK65" s="264"/>
      <c r="DK65" s="12"/>
      <c r="DM65" s="2">
        <v>4</v>
      </c>
      <c r="DP65" s="249"/>
      <c r="DR65" s="279"/>
      <c r="DS65" s="279"/>
      <c r="DT65" s="279"/>
      <c r="DU65" s="279"/>
      <c r="DV65" s="279"/>
      <c r="DW65" s="3">
        <v>22.5</v>
      </c>
    </row>
    <row r="66" spans="1:127">
      <c r="A66" s="102">
        <v>147</v>
      </c>
      <c r="B66" s="56">
        <v>4</v>
      </c>
      <c r="C66" s="240"/>
      <c r="D66" s="240"/>
      <c r="E66" s="240"/>
      <c r="F66" s="240"/>
      <c r="G66" s="240"/>
      <c r="H66" s="240"/>
      <c r="I66" s="240"/>
      <c r="J66" s="240"/>
      <c r="K66" s="240"/>
      <c r="L66" s="240"/>
      <c r="M66" s="240"/>
      <c r="N66" s="240"/>
      <c r="O66" s="240"/>
      <c r="P66" s="243"/>
      <c r="Q66" s="243"/>
      <c r="R66" s="10"/>
      <c r="S66" s="249">
        <v>373</v>
      </c>
      <c r="T66" s="56">
        <v>280</v>
      </c>
      <c r="U66" s="56"/>
      <c r="V66" s="56"/>
      <c r="W66" s="56"/>
      <c r="X66" s="56"/>
      <c r="Y66" s="56">
        <v>365</v>
      </c>
      <c r="Z66" s="56">
        <v>302</v>
      </c>
      <c r="AA66" s="56">
        <v>437</v>
      </c>
      <c r="AB66" s="56">
        <v>398</v>
      </c>
      <c r="AC66" s="56"/>
      <c r="AD66" s="56"/>
      <c r="AF66" s="56"/>
      <c r="AG66" s="56">
        <v>217</v>
      </c>
      <c r="AH66" s="56">
        <v>220</v>
      </c>
      <c r="AM66" s="102">
        <f t="shared" si="12"/>
        <v>2592</v>
      </c>
      <c r="AN66" s="257">
        <f t="shared" si="13"/>
        <v>2592</v>
      </c>
      <c r="AO66" s="8"/>
      <c r="AP66" s="3">
        <f t="shared" si="18"/>
        <v>2592</v>
      </c>
      <c r="AQ66" s="2">
        <f t="shared" si="14"/>
        <v>1</v>
      </c>
      <c r="AR66" s="264"/>
      <c r="AS66" s="264"/>
      <c r="AT66" s="264"/>
      <c r="AU66" s="264"/>
      <c r="AW66" s="8">
        <f t="shared" si="15"/>
        <v>280</v>
      </c>
      <c r="AX66" s="11">
        <f t="shared" si="16"/>
        <v>0</v>
      </c>
      <c r="AY66" s="8">
        <f t="shared" si="17"/>
        <v>373</v>
      </c>
      <c r="AZ66" s="11"/>
      <c r="BD66" s="11"/>
      <c r="BG66" s="11"/>
      <c r="CG66" s="264"/>
      <c r="CH66" s="264"/>
      <c r="CI66" s="264"/>
      <c r="CJ66" s="264"/>
      <c r="CK66" s="264"/>
      <c r="DK66" s="12"/>
      <c r="DM66" s="2">
        <v>4</v>
      </c>
      <c r="DP66" s="249"/>
      <c r="DR66" s="279"/>
      <c r="DS66" s="279"/>
      <c r="DT66" s="279"/>
      <c r="DU66" s="279"/>
      <c r="DV66" s="279"/>
      <c r="DW66" s="3">
        <v>25</v>
      </c>
    </row>
    <row r="67" spans="1:127">
      <c r="A67" s="102">
        <v>148</v>
      </c>
      <c r="B67" s="56">
        <v>4</v>
      </c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3"/>
      <c r="Q67" s="243"/>
      <c r="R67" s="10"/>
      <c r="S67" s="249">
        <v>305</v>
      </c>
      <c r="T67" s="56">
        <v>225</v>
      </c>
      <c r="U67" s="56"/>
      <c r="V67" s="56"/>
      <c r="W67" s="56"/>
      <c r="X67" s="56"/>
      <c r="Y67" s="56">
        <v>284</v>
      </c>
      <c r="Z67" s="56">
        <v>229</v>
      </c>
      <c r="AA67" s="56">
        <v>389</v>
      </c>
      <c r="AB67" s="56">
        <v>385</v>
      </c>
      <c r="AC67" s="56"/>
      <c r="AD67" s="56"/>
      <c r="AF67" s="56"/>
      <c r="AG67" s="56">
        <v>256</v>
      </c>
      <c r="AH67" s="56">
        <v>226</v>
      </c>
      <c r="AM67" s="102">
        <f t="shared" si="12"/>
        <v>2299</v>
      </c>
      <c r="AN67" s="257">
        <f t="shared" si="13"/>
        <v>2299</v>
      </c>
      <c r="AO67" s="8"/>
      <c r="AP67" s="3">
        <f t="shared" si="18"/>
        <v>2299</v>
      </c>
      <c r="AQ67" s="2">
        <f t="shared" si="14"/>
        <v>1</v>
      </c>
      <c r="AR67" s="264"/>
      <c r="AS67" s="264"/>
      <c r="AT67" s="264"/>
      <c r="AU67" s="264"/>
      <c r="AW67" s="8">
        <f t="shared" si="15"/>
        <v>225</v>
      </c>
      <c r="AX67" s="11">
        <f t="shared" si="16"/>
        <v>0</v>
      </c>
      <c r="AY67" s="8">
        <f t="shared" si="17"/>
        <v>305</v>
      </c>
      <c r="AZ67" s="11"/>
      <c r="BD67" s="11"/>
      <c r="BG67" s="11"/>
      <c r="CG67" s="264"/>
      <c r="CH67" s="264"/>
      <c r="CI67" s="264"/>
      <c r="CJ67" s="264"/>
      <c r="CK67" s="264"/>
      <c r="DK67" s="12"/>
      <c r="DM67" s="2">
        <v>4</v>
      </c>
      <c r="DP67" s="249"/>
      <c r="DR67" s="279"/>
      <c r="DS67" s="279"/>
      <c r="DT67" s="279"/>
      <c r="DU67" s="279"/>
      <c r="DV67" s="279"/>
      <c r="DW67" s="3">
        <v>93</v>
      </c>
    </row>
    <row r="68" spans="1:127">
      <c r="A68" s="102">
        <v>149</v>
      </c>
      <c r="B68" s="56">
        <v>4</v>
      </c>
      <c r="C68" s="240"/>
      <c r="D68" s="240"/>
      <c r="E68" s="240"/>
      <c r="F68" s="240"/>
      <c r="G68" s="240"/>
      <c r="H68" s="240"/>
      <c r="I68" s="240"/>
      <c r="J68" s="240"/>
      <c r="K68" s="240"/>
      <c r="L68" s="240"/>
      <c r="M68" s="240"/>
      <c r="N68" s="240"/>
      <c r="O68" s="240"/>
      <c r="P68" s="243"/>
      <c r="Q68" s="243"/>
      <c r="R68" s="10"/>
      <c r="S68" s="249">
        <v>359</v>
      </c>
      <c r="T68" s="56">
        <v>218</v>
      </c>
      <c r="U68" s="56"/>
      <c r="V68" s="56"/>
      <c r="W68" s="56"/>
      <c r="X68" s="56"/>
      <c r="Y68" s="56">
        <v>395</v>
      </c>
      <c r="Z68" s="56">
        <v>246</v>
      </c>
      <c r="AA68" s="56">
        <v>292</v>
      </c>
      <c r="AB68" s="56">
        <v>406</v>
      </c>
      <c r="AC68" s="56"/>
      <c r="AD68" s="56"/>
      <c r="AF68" s="56"/>
      <c r="AG68" s="56">
        <v>250</v>
      </c>
      <c r="AH68" s="56">
        <v>200</v>
      </c>
      <c r="AM68" s="102">
        <f t="shared" si="12"/>
        <v>2366</v>
      </c>
      <c r="AN68" s="257">
        <f t="shared" si="13"/>
        <v>2366</v>
      </c>
      <c r="AO68" s="8"/>
      <c r="AP68" s="3">
        <f t="shared" si="18"/>
        <v>2366</v>
      </c>
      <c r="AQ68" s="2">
        <f t="shared" si="14"/>
        <v>1</v>
      </c>
      <c r="AR68" s="264"/>
      <c r="AS68" s="264"/>
      <c r="AT68" s="264"/>
      <c r="AU68" s="264"/>
      <c r="AW68" s="8">
        <f t="shared" si="15"/>
        <v>218</v>
      </c>
      <c r="AX68" s="11">
        <f t="shared" si="16"/>
        <v>0</v>
      </c>
      <c r="AY68" s="8">
        <f t="shared" si="17"/>
        <v>359</v>
      </c>
      <c r="AZ68" s="11"/>
      <c r="BD68" s="11"/>
      <c r="BG68" s="11"/>
      <c r="CG68" s="264"/>
      <c r="CH68" s="264"/>
      <c r="CI68" s="264"/>
      <c r="CJ68" s="264"/>
      <c r="CK68" s="264"/>
      <c r="DK68" s="12"/>
      <c r="DM68" s="2">
        <v>4</v>
      </c>
      <c r="DP68" s="249"/>
      <c r="DR68" s="279"/>
      <c r="DS68" s="279"/>
      <c r="DT68" s="279"/>
      <c r="DU68" s="279"/>
      <c r="DV68" s="279"/>
      <c r="DW68" s="3">
        <v>8.9</v>
      </c>
    </row>
    <row r="69" spans="1:127">
      <c r="A69" s="102">
        <v>150</v>
      </c>
      <c r="B69" s="56">
        <v>4</v>
      </c>
      <c r="C69" s="240"/>
      <c r="D69" s="240"/>
      <c r="E69" s="240"/>
      <c r="F69" s="240"/>
      <c r="G69" s="240"/>
      <c r="H69" s="240"/>
      <c r="I69" s="240"/>
      <c r="J69" s="240"/>
      <c r="K69" s="240"/>
      <c r="L69" s="240"/>
      <c r="M69" s="240"/>
      <c r="N69" s="240"/>
      <c r="O69" s="240"/>
      <c r="P69" s="243"/>
      <c r="Q69" s="243"/>
      <c r="R69" s="10"/>
      <c r="S69" s="249">
        <v>207</v>
      </c>
      <c r="T69" s="56">
        <v>246</v>
      </c>
      <c r="U69" s="56"/>
      <c r="V69" s="56"/>
      <c r="W69" s="56"/>
      <c r="X69" s="56"/>
      <c r="Y69" s="56">
        <v>197</v>
      </c>
      <c r="Z69" s="56">
        <v>235</v>
      </c>
      <c r="AA69" s="56">
        <v>307</v>
      </c>
      <c r="AB69" s="56">
        <v>262</v>
      </c>
      <c r="AC69" s="56"/>
      <c r="AD69" s="56"/>
      <c r="AF69" s="56"/>
      <c r="AG69" s="56">
        <v>373</v>
      </c>
      <c r="AH69" s="56">
        <v>0</v>
      </c>
      <c r="AM69" s="102">
        <f t="shared" si="12"/>
        <v>1827</v>
      </c>
      <c r="AN69" s="257">
        <f t="shared" si="13"/>
        <v>1827</v>
      </c>
      <c r="AO69" s="8"/>
      <c r="AP69" s="3">
        <f t="shared" si="18"/>
        <v>1827</v>
      </c>
      <c r="AQ69" s="2">
        <f t="shared" si="14"/>
        <v>1</v>
      </c>
      <c r="AR69" s="264"/>
      <c r="AS69" s="264"/>
      <c r="AT69" s="264"/>
      <c r="AU69" s="264"/>
      <c r="AW69" s="8">
        <f t="shared" si="15"/>
        <v>246</v>
      </c>
      <c r="AX69" s="11">
        <f t="shared" si="16"/>
        <v>0</v>
      </c>
      <c r="AY69" s="8">
        <f t="shared" si="17"/>
        <v>207</v>
      </c>
      <c r="AZ69" s="11"/>
      <c r="BD69" s="11"/>
      <c r="BG69" s="11"/>
      <c r="CG69" s="264"/>
      <c r="CH69" s="264"/>
      <c r="CI69" s="264"/>
      <c r="CJ69" s="264"/>
      <c r="CK69" s="264"/>
      <c r="DK69" s="12"/>
      <c r="DM69" s="2">
        <v>4</v>
      </c>
      <c r="DP69" s="249"/>
      <c r="DR69" s="279"/>
      <c r="DS69" s="279"/>
      <c r="DT69" s="279"/>
      <c r="DU69" s="279"/>
      <c r="DV69" s="279"/>
      <c r="DW69" s="3">
        <v>24</v>
      </c>
    </row>
    <row r="70" spans="1:127">
      <c r="A70" s="102">
        <v>151</v>
      </c>
      <c r="B70" s="56">
        <v>4</v>
      </c>
      <c r="C70" s="240"/>
      <c r="D70" s="240"/>
      <c r="E70" s="240"/>
      <c r="F70" s="240"/>
      <c r="G70" s="240"/>
      <c r="H70" s="240"/>
      <c r="I70" s="240"/>
      <c r="J70" s="240"/>
      <c r="K70" s="240"/>
      <c r="L70" s="240"/>
      <c r="M70" s="240"/>
      <c r="N70" s="240"/>
      <c r="O70" s="240"/>
      <c r="P70" s="243"/>
      <c r="Q70" s="243"/>
      <c r="R70" s="10"/>
      <c r="S70" s="249">
        <v>258</v>
      </c>
      <c r="T70" s="56">
        <v>227</v>
      </c>
      <c r="U70" s="56"/>
      <c r="V70" s="56"/>
      <c r="W70" s="56"/>
      <c r="X70" s="56"/>
      <c r="Y70" s="56">
        <v>251</v>
      </c>
      <c r="Z70" s="56">
        <v>196</v>
      </c>
      <c r="AA70" s="56">
        <v>315</v>
      </c>
      <c r="AB70" s="56">
        <v>414</v>
      </c>
      <c r="AC70" s="56"/>
      <c r="AD70" s="56"/>
      <c r="AF70" s="56"/>
      <c r="AG70" s="56">
        <v>212</v>
      </c>
      <c r="AH70" s="56">
        <v>142</v>
      </c>
      <c r="AM70" s="102">
        <f t="shared" si="12"/>
        <v>2015</v>
      </c>
      <c r="AN70" s="257">
        <f t="shared" si="13"/>
        <v>2015</v>
      </c>
      <c r="AO70" s="8"/>
      <c r="AP70" s="3">
        <f t="shared" si="18"/>
        <v>2015</v>
      </c>
      <c r="AQ70" s="2">
        <f t="shared" si="14"/>
        <v>1</v>
      </c>
      <c r="AR70" s="264"/>
      <c r="AS70" s="264"/>
      <c r="AT70" s="264"/>
      <c r="AU70" s="264"/>
      <c r="AW70" s="8">
        <f t="shared" si="15"/>
        <v>227</v>
      </c>
      <c r="AX70" s="11">
        <f t="shared" si="16"/>
        <v>0</v>
      </c>
      <c r="AY70" s="8">
        <f t="shared" si="17"/>
        <v>258</v>
      </c>
      <c r="AZ70" s="11"/>
      <c r="BD70" s="11"/>
      <c r="BG70" s="11"/>
      <c r="CG70" s="264"/>
      <c r="CH70" s="264"/>
      <c r="CI70" s="264"/>
      <c r="CJ70" s="264"/>
      <c r="CK70" s="264"/>
      <c r="DK70" s="12"/>
      <c r="DM70" s="2">
        <v>4</v>
      </c>
      <c r="DP70" s="249"/>
      <c r="DR70" s="279"/>
      <c r="DS70" s="279"/>
      <c r="DT70" s="279"/>
      <c r="DU70" s="279"/>
      <c r="DV70" s="279"/>
      <c r="DW70" s="3">
        <v>8.8000000000000007</v>
      </c>
    </row>
    <row r="71" spans="1:127">
      <c r="A71" s="102">
        <v>152</v>
      </c>
      <c r="B71" s="56">
        <v>4</v>
      </c>
      <c r="C71" s="240"/>
      <c r="D71" s="240"/>
      <c r="E71" s="240"/>
      <c r="F71" s="240"/>
      <c r="G71" s="240"/>
      <c r="H71" s="240"/>
      <c r="I71" s="240"/>
      <c r="J71" s="240"/>
      <c r="K71" s="240"/>
      <c r="L71" s="240"/>
      <c r="M71" s="240"/>
      <c r="N71" s="240"/>
      <c r="O71" s="240"/>
      <c r="P71" s="243"/>
      <c r="Q71" s="243"/>
      <c r="R71" s="10"/>
      <c r="S71" s="249">
        <v>242</v>
      </c>
      <c r="T71" s="56">
        <v>192</v>
      </c>
      <c r="U71" s="56"/>
      <c r="V71" s="56"/>
      <c r="W71" s="56"/>
      <c r="X71" s="56"/>
      <c r="Y71" s="56">
        <v>242</v>
      </c>
      <c r="Z71" s="56">
        <v>246</v>
      </c>
      <c r="AA71" s="56">
        <v>455</v>
      </c>
      <c r="AB71" s="56">
        <v>414</v>
      </c>
      <c r="AC71" s="56"/>
      <c r="AD71" s="56"/>
      <c r="AF71" s="56"/>
      <c r="AG71" s="56">
        <v>208</v>
      </c>
      <c r="AH71" s="56">
        <v>299</v>
      </c>
      <c r="AM71" s="102">
        <f t="shared" si="12"/>
        <v>2298</v>
      </c>
      <c r="AN71" s="257">
        <f t="shared" si="13"/>
        <v>2298</v>
      </c>
      <c r="AO71" s="8"/>
      <c r="AP71" s="3">
        <f t="shared" si="18"/>
        <v>2298</v>
      </c>
      <c r="AQ71" s="2">
        <f t="shared" si="14"/>
        <v>1</v>
      </c>
      <c r="AR71" s="264"/>
      <c r="AS71" s="264"/>
      <c r="AT71" s="264"/>
      <c r="AU71" s="264"/>
      <c r="AW71" s="8">
        <f t="shared" si="15"/>
        <v>192</v>
      </c>
      <c r="AX71" s="11">
        <f t="shared" si="16"/>
        <v>0</v>
      </c>
      <c r="AY71" s="8">
        <f t="shared" si="17"/>
        <v>242</v>
      </c>
      <c r="AZ71" s="11"/>
      <c r="BD71" s="11"/>
      <c r="BG71" s="11"/>
      <c r="CG71" s="264"/>
      <c r="CH71" s="264"/>
      <c r="CI71" s="264"/>
      <c r="CJ71" s="264"/>
      <c r="CK71" s="264"/>
      <c r="DK71" s="12"/>
      <c r="DM71" s="2">
        <v>4</v>
      </c>
      <c r="DP71" s="249"/>
      <c r="DR71" s="279"/>
      <c r="DS71" s="279"/>
      <c r="DT71" s="279"/>
      <c r="DU71" s="279"/>
      <c r="DV71" s="279"/>
      <c r="DW71" s="3">
        <v>7.6</v>
      </c>
    </row>
    <row r="72" spans="1:127">
      <c r="A72" s="102">
        <v>153</v>
      </c>
      <c r="B72" s="56">
        <v>4</v>
      </c>
      <c r="C72" s="240"/>
      <c r="D72" s="240"/>
      <c r="E72" s="240"/>
      <c r="F72" s="240"/>
      <c r="G72" s="240"/>
      <c r="H72" s="240"/>
      <c r="I72" s="240"/>
      <c r="J72" s="240"/>
      <c r="K72" s="240"/>
      <c r="L72" s="240"/>
      <c r="M72" s="240"/>
      <c r="N72" s="240"/>
      <c r="O72" s="240"/>
      <c r="P72" s="243"/>
      <c r="Q72" s="243"/>
      <c r="R72" s="10"/>
      <c r="S72" s="249">
        <v>242</v>
      </c>
      <c r="T72" s="56">
        <v>222</v>
      </c>
      <c r="U72" s="56"/>
      <c r="V72" s="56"/>
      <c r="W72" s="56"/>
      <c r="X72" s="56"/>
      <c r="Y72" s="56">
        <v>206</v>
      </c>
      <c r="Z72" s="56">
        <v>194</v>
      </c>
      <c r="AA72" s="56">
        <v>298</v>
      </c>
      <c r="AB72" s="56">
        <v>354</v>
      </c>
      <c r="AC72" s="56"/>
      <c r="AD72" s="56"/>
      <c r="AF72" s="56"/>
      <c r="AG72" s="56">
        <v>161</v>
      </c>
      <c r="AH72" s="56">
        <v>202</v>
      </c>
      <c r="AM72" s="102">
        <f t="shared" si="12"/>
        <v>1879</v>
      </c>
      <c r="AN72" s="257">
        <f t="shared" si="13"/>
        <v>1879</v>
      </c>
      <c r="AO72" s="8"/>
      <c r="AP72" s="3">
        <f t="shared" si="18"/>
        <v>1879</v>
      </c>
      <c r="AQ72" s="2">
        <f t="shared" si="14"/>
        <v>1</v>
      </c>
      <c r="AR72" s="264"/>
      <c r="AS72" s="264"/>
      <c r="AT72" s="264"/>
      <c r="AU72" s="264"/>
      <c r="AW72" s="8">
        <f t="shared" si="15"/>
        <v>222</v>
      </c>
      <c r="AX72" s="11">
        <f t="shared" si="16"/>
        <v>0</v>
      </c>
      <c r="AY72" s="8">
        <f t="shared" si="17"/>
        <v>242</v>
      </c>
      <c r="AZ72" s="11"/>
      <c r="BD72" s="11"/>
      <c r="BG72" s="11"/>
      <c r="CG72" s="264"/>
      <c r="CH72" s="264"/>
      <c r="CI72" s="264"/>
      <c r="CJ72" s="264"/>
      <c r="CK72" s="264"/>
      <c r="DK72" s="12"/>
      <c r="DM72" s="2">
        <v>4</v>
      </c>
      <c r="DP72" s="249"/>
      <c r="DR72" s="279"/>
      <c r="DS72" s="279"/>
      <c r="DT72" s="279"/>
      <c r="DU72" s="279"/>
      <c r="DV72" s="279"/>
      <c r="DW72" s="3">
        <v>9</v>
      </c>
    </row>
    <row r="73" spans="1:127">
      <c r="A73" s="102">
        <v>154</v>
      </c>
      <c r="B73" s="56">
        <v>4</v>
      </c>
      <c r="C73" s="240"/>
      <c r="D73" s="240"/>
      <c r="E73" s="240"/>
      <c r="F73" s="240"/>
      <c r="G73" s="240"/>
      <c r="H73" s="240"/>
      <c r="I73" s="240"/>
      <c r="J73" s="240"/>
      <c r="K73" s="240"/>
      <c r="L73" s="240"/>
      <c r="M73" s="240"/>
      <c r="N73" s="240"/>
      <c r="O73" s="240"/>
      <c r="P73" s="243"/>
      <c r="Q73" s="243"/>
      <c r="R73" s="10"/>
      <c r="S73" s="249">
        <v>260</v>
      </c>
      <c r="T73" s="56">
        <v>248</v>
      </c>
      <c r="U73" s="56"/>
      <c r="V73" s="56"/>
      <c r="W73" s="56"/>
      <c r="X73" s="56"/>
      <c r="Y73" s="56">
        <v>274</v>
      </c>
      <c r="Z73" s="56">
        <v>244</v>
      </c>
      <c r="AA73" s="56">
        <v>449</v>
      </c>
      <c r="AB73" s="56">
        <v>426</v>
      </c>
      <c r="AC73" s="56"/>
      <c r="AD73" s="56"/>
      <c r="AF73" s="56"/>
      <c r="AG73" s="56">
        <v>254</v>
      </c>
      <c r="AH73" s="56">
        <v>249</v>
      </c>
      <c r="AM73" s="102">
        <f t="shared" si="12"/>
        <v>2404</v>
      </c>
      <c r="AN73" s="257">
        <f t="shared" si="13"/>
        <v>2404</v>
      </c>
      <c r="AO73" s="8"/>
      <c r="AP73" s="3">
        <f t="shared" si="18"/>
        <v>2404</v>
      </c>
      <c r="AQ73" s="2">
        <f t="shared" si="14"/>
        <v>1</v>
      </c>
      <c r="AR73" s="264"/>
      <c r="AS73" s="264"/>
      <c r="AT73" s="264"/>
      <c r="AU73" s="264"/>
      <c r="AW73" s="8">
        <f t="shared" si="15"/>
        <v>248</v>
      </c>
      <c r="AX73" s="11">
        <f t="shared" si="16"/>
        <v>0</v>
      </c>
      <c r="AY73" s="8">
        <f t="shared" si="17"/>
        <v>260</v>
      </c>
      <c r="AZ73" s="11"/>
      <c r="BD73" s="11"/>
      <c r="BG73" s="11"/>
      <c r="CG73" s="264"/>
      <c r="CH73" s="264"/>
      <c r="CI73" s="264"/>
      <c r="CJ73" s="264"/>
      <c r="CK73" s="264"/>
      <c r="DK73" s="12"/>
      <c r="DM73" s="2">
        <v>4</v>
      </c>
      <c r="DP73" s="249"/>
      <c r="DR73" s="279"/>
      <c r="DS73" s="279"/>
      <c r="DT73" s="279"/>
      <c r="DU73" s="279"/>
      <c r="DV73" s="279"/>
      <c r="DW73" s="3">
        <v>8.1999999999999993</v>
      </c>
    </row>
    <row r="74" spans="1:127">
      <c r="A74" s="102">
        <v>155</v>
      </c>
      <c r="B74" s="56">
        <v>4</v>
      </c>
      <c r="C74" s="240"/>
      <c r="D74" s="240"/>
      <c r="E74" s="240"/>
      <c r="F74" s="240"/>
      <c r="G74" s="240"/>
      <c r="H74" s="240"/>
      <c r="I74" s="240"/>
      <c r="J74" s="240"/>
      <c r="K74" s="240"/>
      <c r="L74" s="240"/>
      <c r="M74" s="240"/>
      <c r="N74" s="240"/>
      <c r="O74" s="240"/>
      <c r="P74" s="243"/>
      <c r="Q74" s="243"/>
      <c r="R74" s="10"/>
      <c r="S74" s="249">
        <v>186</v>
      </c>
      <c r="T74" s="56">
        <v>234</v>
      </c>
      <c r="U74" s="56"/>
      <c r="V74" s="56"/>
      <c r="W74" s="56"/>
      <c r="X74" s="56"/>
      <c r="Y74" s="56">
        <v>216</v>
      </c>
      <c r="Z74" s="56">
        <v>236</v>
      </c>
      <c r="AA74" s="56">
        <v>456</v>
      </c>
      <c r="AB74" s="56">
        <v>478</v>
      </c>
      <c r="AC74" s="56"/>
      <c r="AD74" s="56"/>
      <c r="AF74" s="56"/>
      <c r="AG74" s="56">
        <v>241</v>
      </c>
      <c r="AH74" s="56">
        <v>250</v>
      </c>
      <c r="AM74" s="102">
        <f t="shared" si="12"/>
        <v>2297</v>
      </c>
      <c r="AN74" s="257">
        <f t="shared" si="13"/>
        <v>2297</v>
      </c>
      <c r="AO74" s="8"/>
      <c r="AP74" s="3">
        <f t="shared" si="18"/>
        <v>2297</v>
      </c>
      <c r="AQ74" s="2">
        <f t="shared" si="14"/>
        <v>1</v>
      </c>
      <c r="AR74" s="264"/>
      <c r="AS74" s="264"/>
      <c r="AT74" s="264"/>
      <c r="AU74" s="264"/>
      <c r="AW74" s="8">
        <f t="shared" si="15"/>
        <v>234</v>
      </c>
      <c r="AX74" s="11">
        <f t="shared" si="16"/>
        <v>0</v>
      </c>
      <c r="AY74" s="8">
        <f t="shared" si="17"/>
        <v>186</v>
      </c>
      <c r="AZ74" s="11"/>
      <c r="BD74" s="11"/>
      <c r="BG74" s="11"/>
      <c r="CG74" s="264"/>
      <c r="CH74" s="264"/>
      <c r="CI74" s="264"/>
      <c r="CJ74" s="264"/>
      <c r="CK74" s="264"/>
      <c r="DK74" s="12"/>
      <c r="DM74" s="2">
        <v>4</v>
      </c>
      <c r="DP74" s="249"/>
      <c r="DR74" s="279"/>
      <c r="DS74" s="279"/>
      <c r="DT74" s="279"/>
      <c r="DU74" s="279"/>
      <c r="DV74" s="279"/>
      <c r="DW74" s="3">
        <v>8.6999999999999993</v>
      </c>
    </row>
    <row r="75" spans="1:127">
      <c r="A75" s="102">
        <v>156</v>
      </c>
      <c r="B75" s="56">
        <v>4</v>
      </c>
      <c r="C75" s="240"/>
      <c r="D75" s="240"/>
      <c r="E75" s="240"/>
      <c r="F75" s="240"/>
      <c r="G75" s="240"/>
      <c r="H75" s="240"/>
      <c r="I75" s="240"/>
      <c r="J75" s="240"/>
      <c r="K75" s="240"/>
      <c r="L75" s="240"/>
      <c r="M75" s="240"/>
      <c r="N75" s="240"/>
      <c r="O75" s="240"/>
      <c r="P75" s="243"/>
      <c r="Q75" s="243"/>
      <c r="R75" s="10"/>
      <c r="S75" s="249">
        <v>256</v>
      </c>
      <c r="T75" s="56">
        <v>215</v>
      </c>
      <c r="U75" s="56"/>
      <c r="V75" s="56"/>
      <c r="W75" s="56"/>
      <c r="X75" s="56"/>
      <c r="Y75" s="56">
        <v>283</v>
      </c>
      <c r="Z75" s="56">
        <v>222</v>
      </c>
      <c r="AA75" s="56">
        <v>433</v>
      </c>
      <c r="AB75" s="56">
        <v>516</v>
      </c>
      <c r="AC75" s="56"/>
      <c r="AD75" s="56"/>
      <c r="AF75" s="56"/>
      <c r="AG75" s="56">
        <v>212</v>
      </c>
      <c r="AH75" s="56">
        <v>232</v>
      </c>
      <c r="AM75" s="102">
        <f t="shared" si="12"/>
        <v>2369</v>
      </c>
      <c r="AN75" s="257">
        <f t="shared" si="13"/>
        <v>2369</v>
      </c>
      <c r="AO75" s="8"/>
      <c r="AP75" s="3">
        <f t="shared" si="18"/>
        <v>2369</v>
      </c>
      <c r="AQ75" s="2">
        <f t="shared" si="14"/>
        <v>1</v>
      </c>
      <c r="AR75" s="264"/>
      <c r="AS75" s="264"/>
      <c r="AT75" s="264"/>
      <c r="AU75" s="264"/>
      <c r="AW75" s="8">
        <f t="shared" si="15"/>
        <v>215</v>
      </c>
      <c r="AX75" s="11">
        <f t="shared" si="16"/>
        <v>0</v>
      </c>
      <c r="AY75" s="8">
        <f t="shared" si="17"/>
        <v>256</v>
      </c>
      <c r="AZ75" s="11"/>
      <c r="BD75" s="11"/>
      <c r="BG75" s="11"/>
      <c r="CG75" s="264"/>
      <c r="CH75" s="264"/>
      <c r="CI75" s="264"/>
      <c r="CJ75" s="264"/>
      <c r="CK75" s="264"/>
      <c r="DK75" s="12"/>
      <c r="DM75" s="2">
        <v>4</v>
      </c>
      <c r="DP75" s="249"/>
      <c r="DR75" s="279"/>
      <c r="DS75" s="279"/>
      <c r="DT75" s="279"/>
      <c r="DU75" s="279"/>
      <c r="DV75" s="279"/>
      <c r="DW75" s="3">
        <v>15</v>
      </c>
    </row>
    <row r="76" spans="1:127">
      <c r="A76" s="102">
        <v>157</v>
      </c>
      <c r="B76" s="56">
        <v>4</v>
      </c>
      <c r="C76" s="240"/>
      <c r="D76" s="240"/>
      <c r="E76" s="240"/>
      <c r="F76" s="240"/>
      <c r="G76" s="240"/>
      <c r="H76" s="240"/>
      <c r="I76" s="240"/>
      <c r="J76" s="240"/>
      <c r="K76" s="240"/>
      <c r="L76" s="240"/>
      <c r="M76" s="240"/>
      <c r="N76" s="240"/>
      <c r="O76" s="240"/>
      <c r="P76" s="243"/>
      <c r="Q76" s="243"/>
      <c r="R76" s="10"/>
      <c r="S76" s="249">
        <v>248</v>
      </c>
      <c r="T76" s="56">
        <v>208</v>
      </c>
      <c r="U76" s="56"/>
      <c r="V76" s="56"/>
      <c r="W76" s="56"/>
      <c r="X76" s="56"/>
      <c r="Y76" s="56">
        <v>279</v>
      </c>
      <c r="Z76" s="56">
        <v>216</v>
      </c>
      <c r="AA76" s="56">
        <v>442</v>
      </c>
      <c r="AB76" s="56">
        <v>466</v>
      </c>
      <c r="AC76" s="56"/>
      <c r="AD76" s="56"/>
      <c r="AF76" s="56"/>
      <c r="AG76" s="56">
        <v>212</v>
      </c>
      <c r="AH76" s="56">
        <v>258</v>
      </c>
      <c r="AM76" s="102">
        <f t="shared" si="12"/>
        <v>2329</v>
      </c>
      <c r="AN76" s="257">
        <f t="shared" si="13"/>
        <v>2329</v>
      </c>
      <c r="AO76" s="8"/>
      <c r="AP76" s="3">
        <f t="shared" si="18"/>
        <v>2329</v>
      </c>
      <c r="AQ76" s="2">
        <f t="shared" si="14"/>
        <v>1</v>
      </c>
      <c r="AR76" s="264"/>
      <c r="AS76" s="264"/>
      <c r="AT76" s="264"/>
      <c r="AU76" s="264"/>
      <c r="AW76" s="8">
        <f t="shared" si="15"/>
        <v>208</v>
      </c>
      <c r="AX76" s="11">
        <f t="shared" si="16"/>
        <v>0</v>
      </c>
      <c r="AY76" s="8">
        <f t="shared" si="17"/>
        <v>248</v>
      </c>
      <c r="AZ76" s="11"/>
      <c r="BD76" s="11"/>
      <c r="BG76" s="11"/>
      <c r="CG76" s="264"/>
      <c r="CH76" s="264"/>
      <c r="CI76" s="264"/>
      <c r="CJ76" s="264"/>
      <c r="CK76" s="264"/>
      <c r="DK76" s="12"/>
      <c r="DM76" s="2">
        <v>4</v>
      </c>
      <c r="DP76" s="249"/>
      <c r="DR76" s="279"/>
      <c r="DS76" s="279"/>
      <c r="DT76" s="279"/>
      <c r="DU76" s="279"/>
      <c r="DV76" s="279"/>
      <c r="DW76" s="3">
        <v>14.1</v>
      </c>
    </row>
    <row r="77" spans="1:127">
      <c r="A77" s="102">
        <v>158</v>
      </c>
      <c r="B77" s="56">
        <v>4</v>
      </c>
      <c r="C77" s="240"/>
      <c r="D77" s="240"/>
      <c r="E77" s="240"/>
      <c r="F77" s="240"/>
      <c r="G77" s="240"/>
      <c r="H77" s="240"/>
      <c r="I77" s="240"/>
      <c r="J77" s="240"/>
      <c r="K77" s="240"/>
      <c r="L77" s="240"/>
      <c r="M77" s="240"/>
      <c r="N77" s="240"/>
      <c r="O77" s="240"/>
      <c r="P77" s="243"/>
      <c r="Q77" s="243"/>
      <c r="R77" s="10"/>
      <c r="S77" s="249">
        <v>279</v>
      </c>
      <c r="T77" s="56">
        <v>317</v>
      </c>
      <c r="U77" s="56"/>
      <c r="V77" s="56"/>
      <c r="W77" s="56"/>
      <c r="X77" s="56"/>
      <c r="Y77" s="56">
        <v>281</v>
      </c>
      <c r="Z77" s="56">
        <v>309</v>
      </c>
      <c r="AA77" s="56">
        <v>450</v>
      </c>
      <c r="AB77" s="56">
        <v>385</v>
      </c>
      <c r="AC77" s="56"/>
      <c r="AD77" s="56"/>
      <c r="AF77" s="56"/>
      <c r="AG77" s="56">
        <v>269</v>
      </c>
      <c r="AH77" s="56">
        <v>304</v>
      </c>
      <c r="AM77" s="102">
        <f t="shared" si="12"/>
        <v>2594</v>
      </c>
      <c r="AN77" s="257">
        <f t="shared" si="13"/>
        <v>2594</v>
      </c>
      <c r="AO77" s="8"/>
      <c r="AP77" s="3">
        <f t="shared" si="18"/>
        <v>2594</v>
      </c>
      <c r="AQ77" s="2">
        <f t="shared" si="14"/>
        <v>1</v>
      </c>
      <c r="AR77" s="264"/>
      <c r="AS77" s="264"/>
      <c r="AT77" s="264"/>
      <c r="AU77" s="264"/>
      <c r="AW77" s="8">
        <f t="shared" si="15"/>
        <v>317</v>
      </c>
      <c r="AX77" s="11">
        <f t="shared" si="16"/>
        <v>0</v>
      </c>
      <c r="AY77" s="8">
        <f t="shared" si="17"/>
        <v>279</v>
      </c>
      <c r="AZ77" s="11"/>
      <c r="BD77" s="11"/>
      <c r="BG77" s="11"/>
      <c r="CG77" s="264"/>
      <c r="CH77" s="264"/>
      <c r="CI77" s="264"/>
      <c r="CJ77" s="264"/>
      <c r="CK77" s="264"/>
      <c r="DK77" s="12"/>
      <c r="DM77" s="2">
        <v>4</v>
      </c>
      <c r="DP77" s="249"/>
      <c r="DR77" s="279"/>
      <c r="DS77" s="279"/>
      <c r="DT77" s="279"/>
      <c r="DU77" s="279"/>
      <c r="DV77" s="279"/>
      <c r="DW77" s="3">
        <v>12.5</v>
      </c>
    </row>
    <row r="78" spans="1:127">
      <c r="A78" s="102">
        <v>159</v>
      </c>
      <c r="B78" s="56">
        <v>4</v>
      </c>
      <c r="C78" s="240"/>
      <c r="D78" s="240"/>
      <c r="E78" s="240"/>
      <c r="F78" s="240"/>
      <c r="G78" s="240"/>
      <c r="H78" s="240"/>
      <c r="I78" s="240"/>
      <c r="J78" s="240"/>
      <c r="K78" s="240"/>
      <c r="L78" s="240"/>
      <c r="M78" s="240"/>
      <c r="N78" s="240"/>
      <c r="O78" s="240"/>
      <c r="P78" s="243"/>
      <c r="Q78" s="243"/>
      <c r="R78" s="10"/>
      <c r="S78" s="249">
        <v>306</v>
      </c>
      <c r="T78" s="56">
        <v>347</v>
      </c>
      <c r="U78" s="56"/>
      <c r="V78" s="56"/>
      <c r="W78" s="56"/>
      <c r="X78" s="56"/>
      <c r="Y78" s="56">
        <v>290</v>
      </c>
      <c r="Z78" s="56">
        <v>349</v>
      </c>
      <c r="AA78" s="56">
        <v>469</v>
      </c>
      <c r="AB78" s="56">
        <v>508</v>
      </c>
      <c r="AC78" s="56"/>
      <c r="AD78" s="56"/>
      <c r="AF78" s="56"/>
      <c r="AG78" s="56">
        <v>230</v>
      </c>
      <c r="AH78" s="56">
        <v>268</v>
      </c>
      <c r="AM78" s="102">
        <f t="shared" si="12"/>
        <v>2767</v>
      </c>
      <c r="AN78" s="257">
        <f t="shared" si="13"/>
        <v>2767</v>
      </c>
      <c r="AO78" s="8"/>
      <c r="AP78" s="3">
        <f t="shared" si="18"/>
        <v>2767</v>
      </c>
      <c r="AQ78" s="2">
        <f t="shared" si="14"/>
        <v>1</v>
      </c>
      <c r="AR78" s="264"/>
      <c r="AS78" s="264"/>
      <c r="AT78" s="264"/>
      <c r="AU78" s="264"/>
      <c r="AW78" s="8">
        <f t="shared" si="15"/>
        <v>347</v>
      </c>
      <c r="AX78" s="11">
        <f t="shared" si="16"/>
        <v>0</v>
      </c>
      <c r="AY78" s="8">
        <f t="shared" si="17"/>
        <v>306</v>
      </c>
      <c r="AZ78" s="11"/>
      <c r="BD78" s="11"/>
      <c r="BG78" s="11"/>
      <c r="CG78" s="264"/>
      <c r="CH78" s="264"/>
      <c r="CI78" s="264"/>
      <c r="CJ78" s="264"/>
      <c r="CK78" s="264"/>
      <c r="DK78" s="12"/>
      <c r="DM78" s="2">
        <v>4</v>
      </c>
      <c r="DP78" s="249"/>
      <c r="DR78" s="279"/>
      <c r="DS78" s="279"/>
      <c r="DT78" s="279"/>
      <c r="DU78" s="279"/>
      <c r="DV78" s="279"/>
      <c r="DW78" s="3">
        <v>13.5</v>
      </c>
    </row>
    <row r="79" spans="1:127">
      <c r="A79" s="102">
        <v>160</v>
      </c>
      <c r="B79" s="56">
        <v>4</v>
      </c>
      <c r="C79" s="240"/>
      <c r="D79" s="240"/>
      <c r="E79" s="240"/>
      <c r="F79" s="240"/>
      <c r="G79" s="240"/>
      <c r="H79" s="240"/>
      <c r="I79" s="240"/>
      <c r="J79" s="240"/>
      <c r="K79" s="240"/>
      <c r="L79" s="240"/>
      <c r="M79" s="240"/>
      <c r="N79" s="240"/>
      <c r="O79" s="240"/>
      <c r="P79" s="243"/>
      <c r="Q79" s="243"/>
      <c r="R79" s="10"/>
      <c r="S79" s="249">
        <v>230</v>
      </c>
      <c r="T79" s="56">
        <v>273</v>
      </c>
      <c r="U79" s="56"/>
      <c r="V79" s="56"/>
      <c r="W79" s="56"/>
      <c r="X79" s="56"/>
      <c r="Y79" s="56">
        <v>286</v>
      </c>
      <c r="Z79" s="56">
        <v>335</v>
      </c>
      <c r="AA79" s="56">
        <v>402</v>
      </c>
      <c r="AB79" s="56">
        <v>436</v>
      </c>
      <c r="AC79" s="56"/>
      <c r="AD79" s="56"/>
      <c r="AF79" s="56"/>
      <c r="AG79" s="56">
        <v>210</v>
      </c>
      <c r="AH79" s="56">
        <v>206</v>
      </c>
      <c r="AM79" s="102">
        <f t="shared" si="12"/>
        <v>2378</v>
      </c>
      <c r="AN79" s="257">
        <f t="shared" si="13"/>
        <v>2378</v>
      </c>
      <c r="AO79" s="8"/>
      <c r="AP79" s="3">
        <f t="shared" si="18"/>
        <v>2378</v>
      </c>
      <c r="AQ79" s="2">
        <f t="shared" si="14"/>
        <v>1</v>
      </c>
      <c r="AR79" s="264"/>
      <c r="AS79" s="264"/>
      <c r="AT79" s="264"/>
      <c r="AU79" s="264"/>
      <c r="AW79" s="8">
        <f t="shared" si="15"/>
        <v>273</v>
      </c>
      <c r="AX79" s="11">
        <f t="shared" si="16"/>
        <v>0</v>
      </c>
      <c r="AY79" s="8">
        <f t="shared" si="17"/>
        <v>230</v>
      </c>
      <c r="AZ79" s="11"/>
      <c r="BD79" s="11"/>
      <c r="BG79" s="11"/>
      <c r="CG79" s="264"/>
      <c r="CH79" s="264"/>
      <c r="CI79" s="264"/>
      <c r="CJ79" s="264"/>
      <c r="CK79" s="264"/>
      <c r="DK79" s="12"/>
      <c r="DM79" s="2">
        <v>4</v>
      </c>
      <c r="DP79" s="249"/>
      <c r="DR79" s="279"/>
      <c r="DS79" s="279"/>
      <c r="DT79" s="279"/>
      <c r="DU79" s="279"/>
      <c r="DV79" s="279"/>
      <c r="DW79" s="3">
        <v>13.4</v>
      </c>
    </row>
    <row r="80" spans="1:127">
      <c r="A80" s="102">
        <v>161</v>
      </c>
      <c r="B80" s="56">
        <v>4</v>
      </c>
      <c r="C80" s="240"/>
      <c r="D80" s="240"/>
      <c r="E80" s="240"/>
      <c r="F80" s="240"/>
      <c r="G80" s="240"/>
      <c r="H80" s="240"/>
      <c r="I80" s="240"/>
      <c r="J80" s="240"/>
      <c r="K80" s="240"/>
      <c r="L80" s="240"/>
      <c r="M80" s="240"/>
      <c r="N80" s="240"/>
      <c r="O80" s="240"/>
      <c r="P80" s="243"/>
      <c r="Q80" s="243"/>
      <c r="R80" s="10"/>
      <c r="S80" s="249">
        <v>293</v>
      </c>
      <c r="T80" s="56">
        <v>279</v>
      </c>
      <c r="U80" s="56"/>
      <c r="V80" s="56"/>
      <c r="W80" s="56"/>
      <c r="X80" s="56"/>
      <c r="Y80" s="56">
        <v>177</v>
      </c>
      <c r="Z80" s="56">
        <v>245</v>
      </c>
      <c r="AA80" s="56">
        <v>315</v>
      </c>
      <c r="AB80" s="56">
        <v>379</v>
      </c>
      <c r="AC80" s="56"/>
      <c r="AD80" s="56"/>
      <c r="AF80" s="56"/>
      <c r="AG80" s="56">
        <v>249</v>
      </c>
      <c r="AH80" s="56">
        <v>250</v>
      </c>
      <c r="AM80" s="102">
        <f t="shared" si="12"/>
        <v>2187</v>
      </c>
      <c r="AN80" s="257">
        <f t="shared" si="13"/>
        <v>2187</v>
      </c>
      <c r="AO80" s="8"/>
      <c r="AP80" s="3">
        <f t="shared" si="18"/>
        <v>2187</v>
      </c>
      <c r="AQ80" s="2">
        <f t="shared" si="14"/>
        <v>1</v>
      </c>
      <c r="AR80" s="264"/>
      <c r="AS80" s="264"/>
      <c r="AT80" s="264"/>
      <c r="AU80" s="264"/>
      <c r="AW80" s="8">
        <f t="shared" si="15"/>
        <v>279</v>
      </c>
      <c r="AX80" s="11">
        <f t="shared" si="16"/>
        <v>0</v>
      </c>
      <c r="AY80" s="8">
        <f t="shared" si="17"/>
        <v>293</v>
      </c>
      <c r="AZ80" s="11"/>
      <c r="BD80" s="11"/>
      <c r="BG80" s="11"/>
      <c r="CG80" s="264"/>
      <c r="CH80" s="264"/>
      <c r="CI80" s="264"/>
      <c r="CJ80" s="264"/>
      <c r="CK80" s="264"/>
      <c r="DK80" s="12"/>
      <c r="DM80" s="2">
        <v>4</v>
      </c>
      <c r="DP80" s="249"/>
      <c r="DR80" s="279"/>
      <c r="DS80" s="279"/>
      <c r="DT80" s="279"/>
      <c r="DU80" s="279"/>
      <c r="DV80" s="279"/>
      <c r="DW80" s="3">
        <v>22.1</v>
      </c>
    </row>
    <row r="81" spans="1:129">
      <c r="A81" s="102">
        <v>162</v>
      </c>
      <c r="B81" s="56">
        <v>4</v>
      </c>
      <c r="C81" s="240"/>
      <c r="D81" s="240"/>
      <c r="E81" s="240"/>
      <c r="F81" s="240"/>
      <c r="G81" s="240"/>
      <c r="H81" s="240"/>
      <c r="I81" s="240"/>
      <c r="J81" s="240"/>
      <c r="K81" s="240"/>
      <c r="L81" s="240"/>
      <c r="M81" s="240"/>
      <c r="N81" s="240"/>
      <c r="O81" s="240"/>
      <c r="P81" s="243"/>
      <c r="Q81" s="243"/>
      <c r="R81" s="10"/>
      <c r="S81" s="249">
        <v>191</v>
      </c>
      <c r="T81" s="56">
        <v>255</v>
      </c>
      <c r="U81" s="56"/>
      <c r="V81" s="56"/>
      <c r="W81" s="56"/>
      <c r="X81" s="56"/>
      <c r="Y81" s="56">
        <v>231</v>
      </c>
      <c r="Z81" s="56">
        <v>288</v>
      </c>
      <c r="AA81" s="56">
        <v>431</v>
      </c>
      <c r="AB81" s="56">
        <v>518</v>
      </c>
      <c r="AC81" s="56"/>
      <c r="AD81" s="56"/>
      <c r="AF81" s="56"/>
      <c r="AG81" s="56">
        <v>246</v>
      </c>
      <c r="AH81" s="56">
        <v>297</v>
      </c>
      <c r="AM81" s="102">
        <f t="shared" si="12"/>
        <v>2457</v>
      </c>
      <c r="AN81" s="257">
        <f t="shared" si="13"/>
        <v>2457</v>
      </c>
      <c r="AO81" s="8"/>
      <c r="AP81" s="3">
        <f t="shared" si="18"/>
        <v>2457</v>
      </c>
      <c r="AQ81" s="2">
        <f t="shared" si="14"/>
        <v>1</v>
      </c>
      <c r="AR81" s="264"/>
      <c r="AS81" s="264"/>
      <c r="AT81" s="264"/>
      <c r="AU81" s="264"/>
      <c r="AW81" s="8">
        <f t="shared" si="15"/>
        <v>255</v>
      </c>
      <c r="AX81" s="11">
        <f t="shared" si="16"/>
        <v>0</v>
      </c>
      <c r="AY81" s="8">
        <f t="shared" si="17"/>
        <v>191</v>
      </c>
      <c r="AZ81" s="11"/>
      <c r="BD81" s="11"/>
      <c r="BG81" s="11"/>
      <c r="CG81" s="264"/>
      <c r="CH81" s="264"/>
      <c r="CI81" s="264"/>
      <c r="CJ81" s="264"/>
      <c r="CK81" s="264"/>
      <c r="DK81" s="12"/>
      <c r="DM81" s="2">
        <v>4</v>
      </c>
      <c r="DP81" s="249"/>
      <c r="DR81" s="279"/>
      <c r="DS81" s="279"/>
      <c r="DT81" s="279"/>
      <c r="DU81" s="279"/>
      <c r="DV81" s="279"/>
      <c r="DW81" s="3">
        <v>23</v>
      </c>
    </row>
    <row r="82" spans="1:129">
      <c r="A82" s="102">
        <v>163</v>
      </c>
      <c r="B82" s="56">
        <v>4</v>
      </c>
      <c r="C82" s="240"/>
      <c r="D82" s="240"/>
      <c r="E82" s="240"/>
      <c r="F82" s="240"/>
      <c r="G82" s="240"/>
      <c r="H82" s="240"/>
      <c r="I82" s="240"/>
      <c r="J82" s="240"/>
      <c r="K82" s="240"/>
      <c r="L82" s="240"/>
      <c r="M82" s="240"/>
      <c r="N82" s="240"/>
      <c r="O82" s="240"/>
      <c r="P82" s="243"/>
      <c r="Q82" s="243"/>
      <c r="R82" s="10"/>
      <c r="S82" s="249">
        <v>261</v>
      </c>
      <c r="T82" s="56">
        <v>233</v>
      </c>
      <c r="U82" s="56"/>
      <c r="V82" s="56"/>
      <c r="W82" s="56"/>
      <c r="X82" s="56"/>
      <c r="Y82" s="56">
        <v>281</v>
      </c>
      <c r="Z82" s="56">
        <v>210</v>
      </c>
      <c r="AA82" s="56">
        <v>279</v>
      </c>
      <c r="AB82" s="56">
        <v>556</v>
      </c>
      <c r="AC82" s="56"/>
      <c r="AD82" s="56"/>
      <c r="AF82" s="56"/>
      <c r="AG82" s="56">
        <v>187</v>
      </c>
      <c r="AH82" s="56">
        <v>304</v>
      </c>
      <c r="AM82" s="102">
        <f t="shared" si="12"/>
        <v>2311</v>
      </c>
      <c r="AN82" s="257">
        <f t="shared" si="13"/>
        <v>2311</v>
      </c>
      <c r="AO82" s="8"/>
      <c r="AP82" s="3">
        <f t="shared" si="18"/>
        <v>2311</v>
      </c>
      <c r="AQ82" s="2">
        <f t="shared" si="14"/>
        <v>1</v>
      </c>
      <c r="AR82" s="264"/>
      <c r="AS82" s="264"/>
      <c r="AT82" s="264"/>
      <c r="AU82" s="264"/>
      <c r="AW82" s="8">
        <f t="shared" si="15"/>
        <v>233</v>
      </c>
      <c r="AX82" s="11">
        <f t="shared" si="16"/>
        <v>0</v>
      </c>
      <c r="AY82" s="8">
        <f t="shared" si="17"/>
        <v>261</v>
      </c>
      <c r="AZ82" s="11"/>
      <c r="BD82" s="11"/>
      <c r="BG82" s="11"/>
      <c r="CG82" s="264"/>
      <c r="CH82" s="264"/>
      <c r="CI82" s="264"/>
      <c r="CJ82" s="264"/>
      <c r="CK82" s="264"/>
      <c r="DK82" s="12"/>
      <c r="DM82" s="2">
        <v>4</v>
      </c>
      <c r="DP82" s="249"/>
      <c r="DR82" s="279"/>
      <c r="DS82" s="279"/>
      <c r="DT82" s="279"/>
      <c r="DU82" s="279"/>
      <c r="DV82" s="279"/>
      <c r="DW82" s="3">
        <v>16</v>
      </c>
    </row>
    <row r="83" spans="1:129">
      <c r="A83" s="102">
        <v>164</v>
      </c>
      <c r="B83" s="56">
        <v>4</v>
      </c>
      <c r="C83" s="240"/>
      <c r="D83" s="240"/>
      <c r="E83" s="240"/>
      <c r="F83" s="240"/>
      <c r="G83" s="240"/>
      <c r="H83" s="240"/>
      <c r="I83" s="240"/>
      <c r="J83" s="240"/>
      <c r="K83" s="240"/>
      <c r="L83" s="240"/>
      <c r="M83" s="240"/>
      <c r="N83" s="240"/>
      <c r="O83" s="240"/>
      <c r="P83" s="243"/>
      <c r="Q83" s="243"/>
      <c r="R83" s="10"/>
      <c r="S83" s="249">
        <v>269</v>
      </c>
      <c r="T83" s="56">
        <v>267</v>
      </c>
      <c r="U83" s="56"/>
      <c r="V83" s="56"/>
      <c r="W83" s="56"/>
      <c r="X83" s="56"/>
      <c r="Y83" s="56">
        <v>278</v>
      </c>
      <c r="Z83" s="56">
        <v>278</v>
      </c>
      <c r="AA83" s="56">
        <v>503</v>
      </c>
      <c r="AB83" s="56">
        <v>412</v>
      </c>
      <c r="AC83" s="56"/>
      <c r="AD83" s="56"/>
      <c r="AF83" s="56"/>
      <c r="AG83" s="56">
        <v>220</v>
      </c>
      <c r="AH83" s="56">
        <v>216</v>
      </c>
      <c r="AM83" s="102">
        <f t="shared" si="12"/>
        <v>2443</v>
      </c>
      <c r="AN83" s="257">
        <f t="shared" si="13"/>
        <v>2443</v>
      </c>
      <c r="AO83" s="8"/>
      <c r="AP83" s="3">
        <f t="shared" si="18"/>
        <v>2443</v>
      </c>
      <c r="AQ83" s="2">
        <f t="shared" si="14"/>
        <v>1</v>
      </c>
      <c r="AR83" s="264"/>
      <c r="AS83" s="264"/>
      <c r="AT83" s="264"/>
      <c r="AU83" s="264"/>
      <c r="AW83" s="8">
        <f t="shared" si="15"/>
        <v>267</v>
      </c>
      <c r="AX83" s="11">
        <f t="shared" si="16"/>
        <v>0</v>
      </c>
      <c r="AY83" s="8">
        <f t="shared" si="17"/>
        <v>269</v>
      </c>
      <c r="AZ83" s="11"/>
      <c r="BD83" s="11"/>
      <c r="BG83" s="11"/>
      <c r="CG83" s="264"/>
      <c r="CH83" s="264"/>
      <c r="CI83" s="264"/>
      <c r="CJ83" s="264"/>
      <c r="CK83" s="264"/>
      <c r="DK83" s="12"/>
      <c r="DM83" s="2">
        <v>4</v>
      </c>
      <c r="DP83" s="249"/>
      <c r="DR83" s="279"/>
      <c r="DS83" s="279"/>
      <c r="DT83" s="279"/>
      <c r="DU83" s="279"/>
      <c r="DV83" s="279"/>
      <c r="DW83" s="3">
        <v>13</v>
      </c>
    </row>
    <row r="84" spans="1:129">
      <c r="A84" s="102">
        <v>165</v>
      </c>
      <c r="B84" s="56">
        <v>4</v>
      </c>
      <c r="C84" s="240"/>
      <c r="D84" s="240"/>
      <c r="E84" s="240"/>
      <c r="F84" s="240"/>
      <c r="G84" s="240"/>
      <c r="H84" s="240"/>
      <c r="I84" s="240"/>
      <c r="J84" s="240"/>
      <c r="K84" s="240"/>
      <c r="L84" s="240"/>
      <c r="M84" s="240"/>
      <c r="N84" s="240"/>
      <c r="O84" s="240"/>
      <c r="P84" s="243"/>
      <c r="Q84" s="243"/>
      <c r="R84" s="10"/>
      <c r="S84" s="249">
        <v>261</v>
      </c>
      <c r="T84" s="56">
        <v>260</v>
      </c>
      <c r="U84" s="56"/>
      <c r="V84" s="56"/>
      <c r="W84" s="56"/>
      <c r="X84" s="56"/>
      <c r="Y84" s="56">
        <v>270</v>
      </c>
      <c r="Z84" s="56">
        <v>266</v>
      </c>
      <c r="AA84" s="56">
        <v>501</v>
      </c>
      <c r="AB84" s="56">
        <v>433</v>
      </c>
      <c r="AC84" s="56"/>
      <c r="AD84" s="56"/>
      <c r="AF84" s="56"/>
      <c r="AG84" s="56">
        <v>226</v>
      </c>
      <c r="AH84" s="56">
        <v>272</v>
      </c>
      <c r="AM84" s="102">
        <f t="shared" si="12"/>
        <v>2489</v>
      </c>
      <c r="AN84" s="257">
        <f t="shared" si="13"/>
        <v>2489</v>
      </c>
      <c r="AO84" s="8"/>
      <c r="AP84" s="3">
        <f t="shared" si="18"/>
        <v>2489</v>
      </c>
      <c r="AQ84" s="2">
        <f t="shared" si="14"/>
        <v>1</v>
      </c>
      <c r="AR84" s="264"/>
      <c r="AS84" s="264"/>
      <c r="AT84" s="264"/>
      <c r="AU84" s="264"/>
      <c r="AW84" s="8">
        <f t="shared" si="15"/>
        <v>260</v>
      </c>
      <c r="AX84" s="11">
        <f t="shared" si="16"/>
        <v>0</v>
      </c>
      <c r="AY84" s="8">
        <f t="shared" si="17"/>
        <v>261</v>
      </c>
      <c r="AZ84" s="11"/>
      <c r="BD84" s="11"/>
      <c r="BG84" s="11"/>
      <c r="CG84" s="264"/>
      <c r="CH84" s="264"/>
      <c r="CI84" s="264"/>
      <c r="CJ84" s="264"/>
      <c r="CK84" s="264"/>
      <c r="DK84" s="12"/>
      <c r="DM84" s="2">
        <v>4</v>
      </c>
      <c r="DP84" s="249"/>
      <c r="DR84" s="279"/>
      <c r="DS84" s="279"/>
      <c r="DT84" s="279"/>
      <c r="DU84" s="279"/>
      <c r="DV84" s="279"/>
      <c r="DW84" s="3">
        <v>13</v>
      </c>
    </row>
    <row r="85" spans="1:129">
      <c r="A85" s="102">
        <v>166</v>
      </c>
      <c r="B85" s="56">
        <v>4</v>
      </c>
      <c r="C85" s="240"/>
      <c r="D85" s="240"/>
      <c r="E85" s="240"/>
      <c r="F85" s="240"/>
      <c r="G85" s="240"/>
      <c r="H85" s="240"/>
      <c r="I85" s="240"/>
      <c r="J85" s="240"/>
      <c r="K85" s="240"/>
      <c r="L85" s="240"/>
      <c r="M85" s="240"/>
      <c r="N85" s="240"/>
      <c r="O85" s="240"/>
      <c r="P85" s="243"/>
      <c r="Q85" s="243"/>
      <c r="R85" s="10"/>
      <c r="S85" s="249">
        <v>253</v>
      </c>
      <c r="T85" s="56">
        <v>227</v>
      </c>
      <c r="U85" s="56"/>
      <c r="V85" s="56"/>
      <c r="W85" s="56"/>
      <c r="X85" s="56"/>
      <c r="Y85" s="56">
        <v>273</v>
      </c>
      <c r="Z85" s="56">
        <v>241</v>
      </c>
      <c r="AA85" s="56">
        <v>313</v>
      </c>
      <c r="AB85" s="56">
        <v>331</v>
      </c>
      <c r="AC85" s="56"/>
      <c r="AD85" s="56"/>
      <c r="AF85" s="56"/>
      <c r="AG85" s="56">
        <v>195</v>
      </c>
      <c r="AH85" s="56">
        <v>261</v>
      </c>
      <c r="AM85" s="102">
        <f t="shared" si="12"/>
        <v>2094</v>
      </c>
      <c r="AN85" s="257">
        <f t="shared" si="13"/>
        <v>2094</v>
      </c>
      <c r="AO85" s="8"/>
      <c r="AP85" s="3">
        <f t="shared" si="18"/>
        <v>2094</v>
      </c>
      <c r="AQ85" s="2">
        <f t="shared" si="14"/>
        <v>1</v>
      </c>
      <c r="AR85" s="264"/>
      <c r="AS85" s="264"/>
      <c r="AT85" s="264"/>
      <c r="AU85" s="264"/>
      <c r="AW85" s="8">
        <f t="shared" si="15"/>
        <v>227</v>
      </c>
      <c r="AX85" s="11">
        <f t="shared" si="16"/>
        <v>0</v>
      </c>
      <c r="AY85" s="8">
        <f t="shared" si="17"/>
        <v>253</v>
      </c>
      <c r="AZ85" s="11"/>
      <c r="BD85" s="11"/>
      <c r="BG85" s="11"/>
      <c r="CG85" s="264"/>
      <c r="CH85" s="264"/>
      <c r="CI85" s="264"/>
      <c r="CJ85" s="264"/>
      <c r="CK85" s="264"/>
      <c r="DK85" s="12"/>
      <c r="DM85" s="2">
        <v>4</v>
      </c>
      <c r="DP85" s="249"/>
      <c r="DR85" s="279"/>
      <c r="DS85" s="279"/>
      <c r="DT85" s="279"/>
      <c r="DU85" s="279"/>
      <c r="DV85" s="279"/>
      <c r="DW85" s="3">
        <v>10.5</v>
      </c>
    </row>
    <row r="86" spans="1:129">
      <c r="A86" s="102">
        <v>167</v>
      </c>
      <c r="B86" s="56">
        <v>4</v>
      </c>
      <c r="C86" s="240"/>
      <c r="D86" s="240"/>
      <c r="E86" s="240"/>
      <c r="F86" s="240"/>
      <c r="G86" s="240"/>
      <c r="H86" s="240"/>
      <c r="I86" s="240"/>
      <c r="J86" s="240"/>
      <c r="K86" s="240"/>
      <c r="L86" s="240"/>
      <c r="M86" s="240"/>
      <c r="N86" s="240"/>
      <c r="O86" s="240"/>
      <c r="P86" s="243"/>
      <c r="Q86" s="243"/>
      <c r="R86" s="10"/>
      <c r="S86" s="249">
        <v>280</v>
      </c>
      <c r="T86" s="56">
        <v>271</v>
      </c>
      <c r="U86" s="56"/>
      <c r="V86" s="56"/>
      <c r="W86" s="56"/>
      <c r="X86" s="56"/>
      <c r="Y86" s="56">
        <v>298</v>
      </c>
      <c r="Z86" s="56">
        <v>282</v>
      </c>
      <c r="AA86" s="56">
        <v>493</v>
      </c>
      <c r="AB86" s="56">
        <v>372</v>
      </c>
      <c r="AC86" s="56"/>
      <c r="AD86" s="56"/>
      <c r="AF86" s="56"/>
      <c r="AG86" s="56">
        <v>290</v>
      </c>
      <c r="AH86" s="56">
        <v>217</v>
      </c>
      <c r="AM86" s="102">
        <f t="shared" si="12"/>
        <v>2503</v>
      </c>
      <c r="AN86" s="257">
        <f t="shared" si="13"/>
        <v>2503</v>
      </c>
      <c r="AO86" s="8"/>
      <c r="AP86" s="3">
        <f t="shared" si="18"/>
        <v>2503</v>
      </c>
      <c r="AQ86" s="2">
        <f t="shared" si="14"/>
        <v>1</v>
      </c>
      <c r="AR86" s="264"/>
      <c r="AS86" s="264"/>
      <c r="AT86" s="264"/>
      <c r="AU86" s="264"/>
      <c r="AW86" s="8">
        <f t="shared" si="15"/>
        <v>271</v>
      </c>
      <c r="AX86" s="11">
        <f t="shared" si="16"/>
        <v>0</v>
      </c>
      <c r="AY86" s="8">
        <f t="shared" si="17"/>
        <v>280</v>
      </c>
      <c r="AZ86" s="11"/>
      <c r="BD86" s="11"/>
      <c r="BG86" s="11"/>
      <c r="CG86" s="264"/>
      <c r="CH86" s="264"/>
      <c r="CI86" s="264"/>
      <c r="CJ86" s="264"/>
      <c r="CK86" s="264"/>
      <c r="DK86" s="12"/>
      <c r="DM86" s="2">
        <v>4</v>
      </c>
      <c r="DP86" s="249"/>
      <c r="DR86" s="279"/>
      <c r="DS86" s="279"/>
      <c r="DT86" s="279"/>
      <c r="DU86" s="279"/>
      <c r="DV86" s="279"/>
      <c r="DW86" s="3">
        <v>13.2</v>
      </c>
    </row>
    <row r="87" spans="1:129">
      <c r="A87" s="102">
        <v>168</v>
      </c>
      <c r="B87" s="56">
        <v>4</v>
      </c>
      <c r="C87" s="240"/>
      <c r="D87" s="240"/>
      <c r="E87" s="240"/>
      <c r="F87" s="240"/>
      <c r="G87" s="240"/>
      <c r="H87" s="240"/>
      <c r="I87" s="240"/>
      <c r="J87" s="240"/>
      <c r="K87" s="240"/>
      <c r="L87" s="240"/>
      <c r="M87" s="240"/>
      <c r="N87" s="240"/>
      <c r="O87" s="240"/>
      <c r="P87" s="243"/>
      <c r="Q87" s="243"/>
      <c r="R87" s="10"/>
      <c r="S87" s="249">
        <v>246</v>
      </c>
      <c r="T87" s="56">
        <v>278</v>
      </c>
      <c r="U87" s="56"/>
      <c r="V87" s="56"/>
      <c r="W87" s="56"/>
      <c r="X87" s="56"/>
      <c r="Y87" s="56">
        <v>239</v>
      </c>
      <c r="Z87" s="56">
        <v>290</v>
      </c>
      <c r="AA87" s="56">
        <v>523</v>
      </c>
      <c r="AB87" s="56">
        <v>401</v>
      </c>
      <c r="AC87" s="56"/>
      <c r="AD87" s="56"/>
      <c r="AF87" s="56"/>
      <c r="AG87" s="56">
        <v>233</v>
      </c>
      <c r="AH87" s="56">
        <v>247</v>
      </c>
      <c r="AM87" s="102">
        <f t="shared" si="12"/>
        <v>2457</v>
      </c>
      <c r="AN87" s="257">
        <f t="shared" si="13"/>
        <v>2457</v>
      </c>
      <c r="AO87" s="8"/>
      <c r="AP87" s="3">
        <f t="shared" si="18"/>
        <v>2457</v>
      </c>
      <c r="AQ87" s="2">
        <f t="shared" si="14"/>
        <v>1</v>
      </c>
      <c r="AR87" s="264"/>
      <c r="AS87" s="264"/>
      <c r="AT87" s="264"/>
      <c r="AU87" s="264"/>
      <c r="AW87" s="8">
        <f t="shared" si="15"/>
        <v>278</v>
      </c>
      <c r="AX87" s="11">
        <f t="shared" si="16"/>
        <v>0</v>
      </c>
      <c r="AY87" s="8">
        <f t="shared" si="17"/>
        <v>246</v>
      </c>
      <c r="AZ87" s="11"/>
      <c r="BD87" s="11"/>
      <c r="BG87" s="11"/>
      <c r="CG87" s="264"/>
      <c r="CH87" s="264"/>
      <c r="CI87" s="264"/>
      <c r="CJ87" s="264"/>
      <c r="CK87" s="264"/>
      <c r="DK87" s="12"/>
      <c r="DM87" s="2">
        <v>4</v>
      </c>
      <c r="DP87" s="249"/>
      <c r="DR87" s="279"/>
      <c r="DS87" s="279"/>
      <c r="DT87" s="279"/>
      <c r="DU87" s="279"/>
      <c r="DV87" s="279"/>
      <c r="DW87" s="3">
        <v>13.3</v>
      </c>
    </row>
    <row r="88" spans="1:129">
      <c r="A88" s="102">
        <v>169</v>
      </c>
      <c r="B88" s="56">
        <v>4</v>
      </c>
      <c r="C88" s="240"/>
      <c r="D88" s="240"/>
      <c r="E88" s="240"/>
      <c r="F88" s="240"/>
      <c r="G88" s="240"/>
      <c r="H88" s="240"/>
      <c r="I88" s="240"/>
      <c r="J88" s="240"/>
      <c r="K88" s="240"/>
      <c r="L88" s="240"/>
      <c r="M88" s="240"/>
      <c r="N88" s="240"/>
      <c r="O88" s="240"/>
      <c r="P88" s="243"/>
      <c r="Q88" s="243"/>
      <c r="R88" s="10"/>
      <c r="S88" s="249">
        <v>254</v>
      </c>
      <c r="T88" s="56">
        <v>266</v>
      </c>
      <c r="U88" s="56"/>
      <c r="V88" s="56"/>
      <c r="W88" s="56"/>
      <c r="X88" s="56"/>
      <c r="Y88" s="56">
        <v>247</v>
      </c>
      <c r="Z88" s="56">
        <v>262</v>
      </c>
      <c r="AA88" s="56">
        <v>435</v>
      </c>
      <c r="AB88" s="56">
        <v>350</v>
      </c>
      <c r="AC88" s="56"/>
      <c r="AD88" s="56"/>
      <c r="AF88" s="56"/>
      <c r="AG88" s="56">
        <v>257</v>
      </c>
      <c r="AH88" s="56">
        <v>202</v>
      </c>
      <c r="AM88" s="102">
        <f t="shared" si="12"/>
        <v>2273</v>
      </c>
      <c r="AN88" s="257">
        <f t="shared" si="13"/>
        <v>2273</v>
      </c>
      <c r="AO88" s="8"/>
      <c r="AP88" s="3">
        <f t="shared" si="18"/>
        <v>2273</v>
      </c>
      <c r="AQ88" s="2">
        <f t="shared" si="14"/>
        <v>1</v>
      </c>
      <c r="AR88" s="264"/>
      <c r="AS88" s="264"/>
      <c r="AT88" s="264"/>
      <c r="AU88" s="264"/>
      <c r="AW88" s="8">
        <f t="shared" si="15"/>
        <v>266</v>
      </c>
      <c r="AX88" s="11">
        <f t="shared" si="16"/>
        <v>0</v>
      </c>
      <c r="AY88" s="8">
        <f t="shared" si="17"/>
        <v>254</v>
      </c>
      <c r="AZ88" s="11"/>
      <c r="BD88" s="11"/>
      <c r="BG88" s="11"/>
      <c r="CG88" s="264"/>
      <c r="CH88" s="264"/>
      <c r="CI88" s="264"/>
      <c r="CJ88" s="264"/>
      <c r="CK88" s="264"/>
      <c r="DK88" s="12"/>
      <c r="DM88" s="2">
        <v>4</v>
      </c>
      <c r="DP88" s="249"/>
      <c r="DR88" s="279"/>
      <c r="DS88" s="279"/>
      <c r="DT88" s="279"/>
      <c r="DU88" s="279"/>
      <c r="DV88" s="279"/>
      <c r="DW88" s="3">
        <v>14.2</v>
      </c>
    </row>
    <row r="89" spans="1:129">
      <c r="A89" s="102">
        <v>170</v>
      </c>
      <c r="B89" s="56">
        <v>4</v>
      </c>
      <c r="C89" s="240"/>
      <c r="D89" s="240"/>
      <c r="E89" s="240"/>
      <c r="F89" s="240"/>
      <c r="G89" s="240"/>
      <c r="H89" s="240"/>
      <c r="I89" s="240"/>
      <c r="J89" s="240"/>
      <c r="K89" s="240"/>
      <c r="L89" s="240"/>
      <c r="M89" s="240"/>
      <c r="N89" s="240"/>
      <c r="O89" s="240"/>
      <c r="P89" s="243"/>
      <c r="Q89" s="243"/>
      <c r="R89" s="10"/>
      <c r="S89" s="249">
        <v>218</v>
      </c>
      <c r="T89" s="56">
        <v>267</v>
      </c>
      <c r="U89" s="56"/>
      <c r="V89" s="56"/>
      <c r="W89" s="56"/>
      <c r="X89" s="56"/>
      <c r="Y89" s="56">
        <v>221</v>
      </c>
      <c r="Z89" s="56">
        <v>267</v>
      </c>
      <c r="AA89" s="56">
        <v>388</v>
      </c>
      <c r="AB89" s="56">
        <v>429</v>
      </c>
      <c r="AC89" s="56"/>
      <c r="AD89" s="56"/>
      <c r="AF89" s="56"/>
      <c r="AG89" s="56">
        <v>239</v>
      </c>
      <c r="AH89" s="56">
        <v>140</v>
      </c>
      <c r="AM89" s="102">
        <f t="shared" si="12"/>
        <v>2169</v>
      </c>
      <c r="AN89" s="257">
        <f t="shared" si="13"/>
        <v>2169</v>
      </c>
      <c r="AO89" s="8"/>
      <c r="AP89" s="3">
        <f t="shared" si="18"/>
        <v>2169</v>
      </c>
      <c r="AQ89" s="2">
        <f t="shared" si="14"/>
        <v>1</v>
      </c>
      <c r="AR89" s="264"/>
      <c r="AS89" s="264"/>
      <c r="AT89" s="264"/>
      <c r="AU89" s="264"/>
      <c r="AW89" s="8">
        <f t="shared" si="15"/>
        <v>267</v>
      </c>
      <c r="AX89" s="11">
        <f t="shared" si="16"/>
        <v>0</v>
      </c>
      <c r="AY89" s="8">
        <f t="shared" si="17"/>
        <v>218</v>
      </c>
      <c r="AZ89" s="11"/>
      <c r="BD89" s="11"/>
      <c r="BG89" s="11"/>
      <c r="CG89" s="264"/>
      <c r="CH89" s="264"/>
      <c r="CI89" s="264"/>
      <c r="CJ89" s="264"/>
      <c r="CK89" s="264"/>
      <c r="DK89" s="12"/>
      <c r="DM89" s="2">
        <v>4</v>
      </c>
      <c r="DP89" s="249"/>
      <c r="DR89" s="279"/>
      <c r="DS89" s="279"/>
      <c r="DT89" s="279"/>
      <c r="DU89" s="279"/>
      <c r="DV89" s="279"/>
      <c r="DW89" s="3">
        <v>13</v>
      </c>
    </row>
    <row r="90" spans="1:129">
      <c r="A90" s="102">
        <v>171</v>
      </c>
      <c r="B90" s="56">
        <v>4</v>
      </c>
      <c r="C90" s="240"/>
      <c r="D90" s="240"/>
      <c r="E90" s="240"/>
      <c r="F90" s="240"/>
      <c r="G90" s="240"/>
      <c r="H90" s="240"/>
      <c r="I90" s="240"/>
      <c r="J90" s="240"/>
      <c r="K90" s="240"/>
      <c r="L90" s="240"/>
      <c r="M90" s="240"/>
      <c r="N90" s="240"/>
      <c r="O90" s="240"/>
      <c r="P90" s="243"/>
      <c r="Q90" s="243"/>
      <c r="R90" s="10"/>
      <c r="S90" s="249">
        <v>178</v>
      </c>
      <c r="T90" s="56">
        <v>263</v>
      </c>
      <c r="U90" s="56"/>
      <c r="V90" s="56"/>
      <c r="W90" s="56"/>
      <c r="X90" s="56"/>
      <c r="Y90" s="56">
        <v>163</v>
      </c>
      <c r="Z90" s="56">
        <v>263</v>
      </c>
      <c r="AA90" s="56">
        <v>369</v>
      </c>
      <c r="AB90" s="56">
        <v>352</v>
      </c>
      <c r="AC90" s="56"/>
      <c r="AD90" s="56"/>
      <c r="AF90" s="56"/>
      <c r="AG90" s="56">
        <v>169</v>
      </c>
      <c r="AH90" s="56">
        <v>207</v>
      </c>
      <c r="AM90" s="102">
        <f t="shared" si="12"/>
        <v>1964</v>
      </c>
      <c r="AN90" s="257">
        <f t="shared" si="13"/>
        <v>1964</v>
      </c>
      <c r="AO90" s="8"/>
      <c r="AP90" s="3">
        <f t="shared" si="18"/>
        <v>1964</v>
      </c>
      <c r="AQ90" s="2">
        <f t="shared" si="14"/>
        <v>1</v>
      </c>
      <c r="AR90" s="264"/>
      <c r="AS90" s="264"/>
      <c r="AT90" s="264"/>
      <c r="AU90" s="264"/>
      <c r="AW90" s="8">
        <f t="shared" si="15"/>
        <v>263</v>
      </c>
      <c r="AX90" s="11">
        <f t="shared" si="16"/>
        <v>0</v>
      </c>
      <c r="AY90" s="8">
        <f t="shared" si="17"/>
        <v>178</v>
      </c>
      <c r="AZ90" s="11"/>
      <c r="BD90" s="11"/>
      <c r="BG90" s="11"/>
      <c r="CG90" s="264"/>
      <c r="CH90" s="264"/>
      <c r="CI90" s="264"/>
      <c r="CJ90" s="264"/>
      <c r="CK90" s="264"/>
      <c r="DK90" s="12"/>
      <c r="DM90" s="2">
        <v>4</v>
      </c>
      <c r="DP90" s="249"/>
      <c r="DR90" s="279"/>
      <c r="DS90" s="279"/>
      <c r="DT90" s="279"/>
      <c r="DU90" s="279"/>
      <c r="DV90" s="279"/>
      <c r="DW90" s="3">
        <v>44.1</v>
      </c>
    </row>
    <row r="91" spans="1:129">
      <c r="A91" s="102">
        <v>172</v>
      </c>
      <c r="B91" s="56">
        <v>4</v>
      </c>
      <c r="C91" s="240"/>
      <c r="D91" s="240"/>
      <c r="E91" s="240"/>
      <c r="F91" s="240"/>
      <c r="G91" s="240"/>
      <c r="H91" s="240"/>
      <c r="I91" s="240"/>
      <c r="J91" s="240"/>
      <c r="K91" s="240"/>
      <c r="L91" s="240"/>
      <c r="M91" s="240"/>
      <c r="N91" s="240"/>
      <c r="O91" s="240"/>
      <c r="P91" s="243"/>
      <c r="Q91" s="243"/>
      <c r="R91" s="10"/>
      <c r="S91" s="249">
        <v>149</v>
      </c>
      <c r="T91" s="56">
        <v>184</v>
      </c>
      <c r="U91" s="56"/>
      <c r="V91" s="56"/>
      <c r="W91" s="56"/>
      <c r="X91" s="56"/>
      <c r="Y91" s="56">
        <v>190</v>
      </c>
      <c r="Z91" s="56">
        <v>204</v>
      </c>
      <c r="AA91" s="56">
        <v>253</v>
      </c>
      <c r="AB91" s="56">
        <v>216</v>
      </c>
      <c r="AC91" s="56"/>
      <c r="AD91" s="56"/>
      <c r="AF91" s="56"/>
      <c r="AG91" s="56">
        <v>155</v>
      </c>
      <c r="AH91" s="56">
        <v>119</v>
      </c>
      <c r="AM91" s="102">
        <f t="shared" si="12"/>
        <v>1470</v>
      </c>
      <c r="AN91" s="257">
        <f t="shared" si="13"/>
        <v>1470</v>
      </c>
      <c r="AO91" s="8"/>
      <c r="AP91" s="3">
        <f t="shared" si="18"/>
        <v>1470</v>
      </c>
      <c r="AQ91" s="2">
        <f t="shared" si="14"/>
        <v>1</v>
      </c>
      <c r="AR91" s="264"/>
      <c r="AS91" s="264"/>
      <c r="AT91" s="264"/>
      <c r="AU91" s="264"/>
      <c r="AW91" s="8">
        <f t="shared" si="15"/>
        <v>184</v>
      </c>
      <c r="AX91" s="11">
        <f t="shared" si="16"/>
        <v>0</v>
      </c>
      <c r="AY91" s="8">
        <f t="shared" si="17"/>
        <v>149</v>
      </c>
      <c r="AZ91" s="11"/>
      <c r="BD91" s="11"/>
      <c r="BG91" s="11"/>
      <c r="CG91" s="264"/>
      <c r="CH91" s="264"/>
      <c r="CI91" s="264"/>
      <c r="CJ91" s="264"/>
      <c r="CK91" s="264"/>
      <c r="DK91" s="12"/>
      <c r="DM91" s="2">
        <v>4</v>
      </c>
      <c r="DP91" s="249"/>
      <c r="DR91" s="279"/>
      <c r="DS91" s="279"/>
      <c r="DT91" s="279"/>
      <c r="DU91" s="279"/>
      <c r="DV91" s="279"/>
      <c r="DW91" s="3">
        <v>35.5</v>
      </c>
    </row>
    <row r="92" spans="1:129">
      <c r="A92" s="102">
        <v>173</v>
      </c>
      <c r="B92" s="56">
        <v>4</v>
      </c>
      <c r="C92" s="240"/>
      <c r="D92" s="240"/>
      <c r="E92" s="240"/>
      <c r="F92" s="240"/>
      <c r="G92" s="240"/>
      <c r="H92" s="240"/>
      <c r="I92" s="240"/>
      <c r="J92" s="240"/>
      <c r="K92" s="240"/>
      <c r="L92" s="240"/>
      <c r="M92" s="240"/>
      <c r="N92" s="240"/>
      <c r="O92" s="240"/>
      <c r="P92" s="243"/>
      <c r="Q92" s="243"/>
      <c r="R92" s="10"/>
      <c r="S92" s="249">
        <v>145</v>
      </c>
      <c r="T92" s="56">
        <v>115</v>
      </c>
      <c r="U92" s="56"/>
      <c r="V92" s="56"/>
      <c r="W92" s="56"/>
      <c r="X92" s="56"/>
      <c r="Y92" s="56">
        <v>112</v>
      </c>
      <c r="Z92" s="56">
        <v>175</v>
      </c>
      <c r="AA92" s="56">
        <v>247</v>
      </c>
      <c r="AB92" s="56">
        <v>172</v>
      </c>
      <c r="AC92" s="56"/>
      <c r="AD92" s="56"/>
      <c r="AF92" s="56"/>
      <c r="AG92" s="56">
        <v>0</v>
      </c>
      <c r="AH92" s="56">
        <v>202</v>
      </c>
      <c r="AM92" s="102">
        <f t="shared" si="12"/>
        <v>1168</v>
      </c>
      <c r="AN92" s="257">
        <f t="shared" si="13"/>
        <v>1168</v>
      </c>
      <c r="AO92" s="8"/>
      <c r="AP92" s="3">
        <f t="shared" si="18"/>
        <v>1168</v>
      </c>
      <c r="AQ92" s="2">
        <f t="shared" si="14"/>
        <v>1</v>
      </c>
      <c r="AR92" s="264"/>
      <c r="AS92" s="264"/>
      <c r="AT92" s="264"/>
      <c r="AU92" s="264"/>
      <c r="AW92" s="8">
        <f t="shared" si="15"/>
        <v>115</v>
      </c>
      <c r="AX92" s="11">
        <f t="shared" si="16"/>
        <v>0</v>
      </c>
      <c r="AY92" s="8">
        <f t="shared" si="17"/>
        <v>145</v>
      </c>
      <c r="AZ92" s="11"/>
      <c r="BD92" s="11"/>
      <c r="BG92" s="11"/>
      <c r="CG92" s="264"/>
      <c r="CH92" s="264"/>
      <c r="CI92" s="264"/>
      <c r="CJ92" s="264"/>
      <c r="CK92" s="264"/>
      <c r="DK92" s="12"/>
      <c r="DM92" s="2">
        <v>4</v>
      </c>
      <c r="DP92" s="249"/>
      <c r="DR92" s="279"/>
      <c r="DS92" s="279"/>
      <c r="DT92" s="279"/>
      <c r="DU92" s="279"/>
      <c r="DV92" s="279"/>
      <c r="DW92" s="3">
        <v>20</v>
      </c>
    </row>
    <row r="93" spans="1:129">
      <c r="A93" s="102">
        <v>174</v>
      </c>
      <c r="B93" s="56">
        <v>4</v>
      </c>
      <c r="C93" s="240"/>
      <c r="D93" s="240"/>
      <c r="E93" s="240"/>
      <c r="F93" s="240"/>
      <c r="G93" s="240"/>
      <c r="H93" s="240"/>
      <c r="I93" s="240"/>
      <c r="J93" s="240"/>
      <c r="K93" s="240"/>
      <c r="L93" s="240"/>
      <c r="M93" s="240"/>
      <c r="N93" s="240"/>
      <c r="O93" s="240"/>
      <c r="P93" s="243"/>
      <c r="Q93" s="243"/>
      <c r="R93" s="10"/>
      <c r="S93" s="249">
        <v>114</v>
      </c>
      <c r="T93" s="56">
        <v>104</v>
      </c>
      <c r="U93" s="56"/>
      <c r="V93" s="56"/>
      <c r="W93" s="56"/>
      <c r="X93" s="56"/>
      <c r="Y93" s="56">
        <v>80</v>
      </c>
      <c r="Z93" s="56">
        <v>117</v>
      </c>
      <c r="AA93" s="56">
        <v>268</v>
      </c>
      <c r="AB93" s="56">
        <v>202</v>
      </c>
      <c r="AC93" s="56"/>
      <c r="AD93" s="56"/>
      <c r="AF93" s="56"/>
      <c r="AG93" s="56">
        <v>0</v>
      </c>
      <c r="AH93" s="56">
        <v>217</v>
      </c>
      <c r="AM93" s="102">
        <f t="shared" si="12"/>
        <v>1102</v>
      </c>
      <c r="AN93" s="257">
        <f t="shared" si="13"/>
        <v>1102</v>
      </c>
      <c r="AO93" s="8"/>
      <c r="AP93" s="3">
        <f t="shared" si="18"/>
        <v>1102</v>
      </c>
      <c r="AQ93" s="2">
        <f t="shared" si="14"/>
        <v>1</v>
      </c>
      <c r="AR93" s="264"/>
      <c r="AS93" s="264"/>
      <c r="AT93" s="264"/>
      <c r="AU93" s="264"/>
      <c r="AW93" s="8">
        <f t="shared" si="15"/>
        <v>104</v>
      </c>
      <c r="AX93" s="11">
        <f t="shared" si="16"/>
        <v>0</v>
      </c>
      <c r="AY93" s="8">
        <f t="shared" si="17"/>
        <v>114</v>
      </c>
      <c r="AZ93" s="11"/>
      <c r="BD93" s="11"/>
      <c r="BG93" s="11"/>
      <c r="CG93" s="264"/>
      <c r="CH93" s="264"/>
      <c r="CI93" s="264"/>
      <c r="CJ93" s="264"/>
      <c r="CK93" s="264"/>
      <c r="DK93" s="12"/>
      <c r="DM93" s="2">
        <v>4</v>
      </c>
      <c r="DP93" s="249"/>
      <c r="DR93" s="279"/>
      <c r="DS93" s="279"/>
      <c r="DT93" s="279"/>
      <c r="DU93" s="279"/>
      <c r="DV93" s="279"/>
      <c r="DW93" s="3">
        <v>19</v>
      </c>
    </row>
    <row r="94" spans="1:129" s="406" customFormat="1">
      <c r="A94" s="404">
        <v>175</v>
      </c>
      <c r="B94" s="415">
        <v>4</v>
      </c>
      <c r="C94" s="420"/>
      <c r="D94" s="420"/>
      <c r="E94" s="420"/>
      <c r="F94" s="420"/>
      <c r="G94" s="420"/>
      <c r="H94" s="420"/>
      <c r="I94" s="420"/>
      <c r="J94" s="420"/>
      <c r="K94" s="420"/>
      <c r="L94" s="420"/>
      <c r="M94" s="420"/>
      <c r="N94" s="420"/>
      <c r="O94" s="420"/>
      <c r="P94" s="421"/>
      <c r="Q94" s="421"/>
      <c r="R94" s="408"/>
      <c r="S94" s="409">
        <v>193</v>
      </c>
      <c r="T94" s="415">
        <v>269</v>
      </c>
      <c r="U94" s="415"/>
      <c r="V94" s="415"/>
      <c r="W94" s="415"/>
      <c r="X94" s="415"/>
      <c r="Y94" s="415">
        <v>195</v>
      </c>
      <c r="Z94" s="415">
        <v>275</v>
      </c>
      <c r="AA94" s="415">
        <v>421</v>
      </c>
      <c r="AB94" s="415">
        <v>311</v>
      </c>
      <c r="AC94" s="415"/>
      <c r="AD94" s="415"/>
      <c r="AE94" s="410"/>
      <c r="AF94" s="415"/>
      <c r="AG94" s="415">
        <v>120</v>
      </c>
      <c r="AH94" s="415">
        <v>209</v>
      </c>
      <c r="AM94" s="404">
        <f t="shared" si="12"/>
        <v>1993</v>
      </c>
      <c r="AN94" s="411">
        <f t="shared" si="13"/>
        <v>1993</v>
      </c>
      <c r="AO94" s="412"/>
      <c r="AP94" s="3">
        <f t="shared" si="18"/>
        <v>1993</v>
      </c>
      <c r="AQ94" s="406">
        <f t="shared" si="14"/>
        <v>1</v>
      </c>
      <c r="AR94" s="416"/>
      <c r="AS94" s="416"/>
      <c r="AT94" s="416"/>
      <c r="AU94" s="416"/>
      <c r="AW94" s="412">
        <f t="shared" si="15"/>
        <v>269</v>
      </c>
      <c r="AX94" s="407">
        <f t="shared" si="16"/>
        <v>0</v>
      </c>
      <c r="AY94" s="412">
        <f t="shared" si="17"/>
        <v>193</v>
      </c>
      <c r="AZ94" s="407"/>
      <c r="BD94" s="407"/>
      <c r="BG94" s="407"/>
      <c r="CG94" s="416"/>
      <c r="CH94" s="416"/>
      <c r="CI94" s="416"/>
      <c r="CJ94" s="416"/>
      <c r="CK94" s="416"/>
      <c r="DK94" s="418"/>
      <c r="DM94" s="406">
        <v>4</v>
      </c>
      <c r="DP94" s="409"/>
      <c r="DR94" s="422"/>
      <c r="DS94" s="422"/>
      <c r="DT94" s="422"/>
      <c r="DU94" s="422"/>
      <c r="DV94" s="422"/>
      <c r="DW94" s="414">
        <v>15</v>
      </c>
      <c r="DY94" s="434">
        <f>SUM(DW95:DW133)</f>
        <v>761.8</v>
      </c>
    </row>
    <row r="95" spans="1:129">
      <c r="A95" s="102">
        <v>176</v>
      </c>
      <c r="B95" s="56">
        <v>5</v>
      </c>
      <c r="C95" s="240"/>
      <c r="D95" s="240"/>
      <c r="E95" s="240"/>
      <c r="F95" s="240"/>
      <c r="G95" s="240"/>
      <c r="H95" s="240"/>
      <c r="I95" s="240"/>
      <c r="J95" s="240"/>
      <c r="K95" s="240"/>
      <c r="L95" s="240"/>
      <c r="M95" s="240"/>
      <c r="N95" s="240"/>
      <c r="O95" s="240"/>
      <c r="P95" s="243"/>
      <c r="Q95" s="243"/>
      <c r="R95" s="10"/>
      <c r="S95" s="249">
        <v>218</v>
      </c>
      <c r="T95" s="56">
        <v>328</v>
      </c>
      <c r="U95" s="56"/>
      <c r="V95" s="56"/>
      <c r="W95" s="56"/>
      <c r="X95" s="56"/>
      <c r="Y95" s="56">
        <v>218</v>
      </c>
      <c r="Z95" s="56">
        <v>285</v>
      </c>
      <c r="AA95" s="56">
        <v>423</v>
      </c>
      <c r="AB95" s="56">
        <v>165</v>
      </c>
      <c r="AC95" s="56"/>
      <c r="AD95" s="56"/>
      <c r="AF95" s="56"/>
      <c r="AG95" s="56">
        <v>244</v>
      </c>
      <c r="AH95" s="56">
        <v>186</v>
      </c>
      <c r="AM95" s="102">
        <f t="shared" si="12"/>
        <v>2067</v>
      </c>
      <c r="AN95" s="257">
        <f t="shared" si="13"/>
        <v>2067</v>
      </c>
      <c r="AO95" s="8"/>
      <c r="AP95" s="3">
        <f t="shared" si="18"/>
        <v>2067</v>
      </c>
      <c r="AQ95" s="2">
        <f t="shared" si="14"/>
        <v>1</v>
      </c>
      <c r="AR95" s="264"/>
      <c r="AS95" s="264"/>
      <c r="AT95" s="264"/>
      <c r="AU95" s="264"/>
      <c r="AW95" s="8">
        <f t="shared" si="15"/>
        <v>328</v>
      </c>
      <c r="AX95" s="11">
        <f t="shared" si="16"/>
        <v>0</v>
      </c>
      <c r="AY95" s="8">
        <f t="shared" si="17"/>
        <v>218</v>
      </c>
      <c r="AZ95" s="11"/>
      <c r="BD95" s="11"/>
      <c r="BG95" s="11"/>
      <c r="CG95" s="264"/>
      <c r="CH95" s="264"/>
      <c r="CI95" s="264"/>
      <c r="CJ95" s="264"/>
      <c r="CK95" s="264"/>
      <c r="DK95" s="12"/>
      <c r="DM95" s="2">
        <v>4</v>
      </c>
      <c r="DP95" s="249"/>
      <c r="DR95" s="279"/>
      <c r="DS95" s="279"/>
      <c r="DT95" s="279"/>
      <c r="DU95" s="279"/>
      <c r="DV95" s="279"/>
      <c r="DW95" s="3">
        <v>12.4</v>
      </c>
    </row>
    <row r="96" spans="1:129">
      <c r="A96" s="102">
        <v>177</v>
      </c>
      <c r="B96" s="56">
        <v>5</v>
      </c>
      <c r="C96" s="240"/>
      <c r="D96" s="240"/>
      <c r="E96" s="240"/>
      <c r="F96" s="240"/>
      <c r="G96" s="240"/>
      <c r="H96" s="240"/>
      <c r="I96" s="240"/>
      <c r="J96" s="240"/>
      <c r="K96" s="240"/>
      <c r="L96" s="240"/>
      <c r="M96" s="240"/>
      <c r="N96" s="240"/>
      <c r="O96" s="240"/>
      <c r="P96" s="243"/>
      <c r="Q96" s="243"/>
      <c r="R96" s="10"/>
      <c r="S96" s="249">
        <v>186</v>
      </c>
      <c r="T96" s="56">
        <v>313</v>
      </c>
      <c r="U96" s="56"/>
      <c r="V96" s="56"/>
      <c r="W96" s="56"/>
      <c r="X96" s="56"/>
      <c r="Y96" s="56">
        <v>210</v>
      </c>
      <c r="Z96" s="56">
        <v>357</v>
      </c>
      <c r="AA96" s="56">
        <v>402</v>
      </c>
      <c r="AB96" s="56">
        <v>143</v>
      </c>
      <c r="AC96" s="56"/>
      <c r="AD96" s="56"/>
      <c r="AF96" s="56"/>
      <c r="AG96" s="56">
        <v>254</v>
      </c>
      <c r="AH96" s="56">
        <v>134</v>
      </c>
      <c r="AM96" s="102">
        <f t="shared" si="12"/>
        <v>1999</v>
      </c>
      <c r="AN96" s="257">
        <f t="shared" si="13"/>
        <v>1999</v>
      </c>
      <c r="AO96" s="8"/>
      <c r="AP96" s="3">
        <f t="shared" si="18"/>
        <v>1999</v>
      </c>
      <c r="AQ96" s="2">
        <f t="shared" si="14"/>
        <v>1</v>
      </c>
      <c r="AR96" s="264"/>
      <c r="AS96" s="264"/>
      <c r="AT96" s="264"/>
      <c r="AU96" s="264"/>
      <c r="AW96" s="8">
        <f t="shared" si="15"/>
        <v>313</v>
      </c>
      <c r="AX96" s="11">
        <f t="shared" si="16"/>
        <v>0</v>
      </c>
      <c r="AY96" s="8">
        <f t="shared" si="17"/>
        <v>186</v>
      </c>
      <c r="AZ96" s="11"/>
      <c r="BD96" s="11"/>
      <c r="BG96" s="11"/>
      <c r="CG96" s="264"/>
      <c r="CH96" s="264"/>
      <c r="CI96" s="264"/>
      <c r="CJ96" s="264"/>
      <c r="CK96" s="264"/>
      <c r="DK96" s="12"/>
      <c r="DM96" s="2">
        <v>4</v>
      </c>
      <c r="DP96" s="249"/>
      <c r="DR96" s="279"/>
      <c r="DS96" s="279"/>
      <c r="DT96" s="279"/>
      <c r="DU96" s="279"/>
      <c r="DV96" s="279"/>
      <c r="DW96" s="3">
        <v>13</v>
      </c>
    </row>
    <row r="97" spans="1:127">
      <c r="A97" s="102">
        <v>178</v>
      </c>
      <c r="B97" s="56">
        <v>5</v>
      </c>
      <c r="C97" s="240"/>
      <c r="D97" s="240"/>
      <c r="E97" s="240"/>
      <c r="F97" s="240"/>
      <c r="G97" s="240"/>
      <c r="H97" s="240"/>
      <c r="I97" s="240"/>
      <c r="J97" s="240"/>
      <c r="K97" s="240"/>
      <c r="L97" s="240"/>
      <c r="M97" s="240"/>
      <c r="N97" s="240"/>
      <c r="O97" s="240"/>
      <c r="P97" s="243"/>
      <c r="Q97" s="243"/>
      <c r="R97" s="10"/>
      <c r="S97" s="249">
        <v>129</v>
      </c>
      <c r="T97" s="56">
        <v>417</v>
      </c>
      <c r="U97" s="56"/>
      <c r="V97" s="56"/>
      <c r="W97" s="56"/>
      <c r="X97" s="56"/>
      <c r="Y97" s="56">
        <v>134</v>
      </c>
      <c r="Z97" s="56">
        <v>398</v>
      </c>
      <c r="AA97" s="56">
        <v>298</v>
      </c>
      <c r="AB97" s="56">
        <v>337</v>
      </c>
      <c r="AC97" s="56"/>
      <c r="AD97" s="56"/>
      <c r="AF97" s="56"/>
      <c r="AG97" s="56">
        <v>263</v>
      </c>
      <c r="AH97" s="56">
        <v>173</v>
      </c>
      <c r="AM97" s="102">
        <f t="shared" si="12"/>
        <v>2149</v>
      </c>
      <c r="AN97" s="257">
        <f t="shared" si="13"/>
        <v>2149</v>
      </c>
      <c r="AO97" s="8"/>
      <c r="AP97" s="3">
        <f t="shared" si="18"/>
        <v>2149</v>
      </c>
      <c r="AQ97" s="2">
        <f t="shared" si="14"/>
        <v>1</v>
      </c>
      <c r="AR97" s="264"/>
      <c r="AS97" s="264"/>
      <c r="AT97" s="264"/>
      <c r="AU97" s="264"/>
      <c r="AW97" s="8">
        <f t="shared" si="15"/>
        <v>417</v>
      </c>
      <c r="AX97" s="11">
        <f t="shared" si="16"/>
        <v>0</v>
      </c>
      <c r="AY97" s="8">
        <f t="shared" si="17"/>
        <v>129</v>
      </c>
      <c r="AZ97" s="11"/>
      <c r="BD97" s="11"/>
      <c r="BG97" s="11"/>
      <c r="CG97" s="264"/>
      <c r="CH97" s="264"/>
      <c r="CI97" s="264"/>
      <c r="CJ97" s="264"/>
      <c r="CK97" s="264"/>
      <c r="DK97" s="12"/>
      <c r="DM97" s="2">
        <v>4</v>
      </c>
      <c r="DP97" s="249"/>
      <c r="DR97" s="279"/>
      <c r="DS97" s="279"/>
      <c r="DT97" s="279"/>
      <c r="DU97" s="279"/>
      <c r="DV97" s="279"/>
      <c r="DW97" s="3">
        <v>20</v>
      </c>
    </row>
    <row r="98" spans="1:127">
      <c r="A98" s="102">
        <v>179</v>
      </c>
      <c r="B98" s="56">
        <v>5</v>
      </c>
      <c r="C98" s="240"/>
      <c r="D98" s="240"/>
      <c r="E98" s="240"/>
      <c r="F98" s="240"/>
      <c r="G98" s="240"/>
      <c r="H98" s="240"/>
      <c r="I98" s="240"/>
      <c r="J98" s="240"/>
      <c r="K98" s="240"/>
      <c r="L98" s="240"/>
      <c r="M98" s="240"/>
      <c r="N98" s="240"/>
      <c r="O98" s="240"/>
      <c r="P98" s="243"/>
      <c r="Q98" s="243"/>
      <c r="R98" s="10"/>
      <c r="S98" s="249">
        <v>142</v>
      </c>
      <c r="T98" s="56">
        <v>456</v>
      </c>
      <c r="U98" s="56"/>
      <c r="V98" s="56"/>
      <c r="W98" s="56"/>
      <c r="X98" s="56"/>
      <c r="Y98" s="56">
        <v>127</v>
      </c>
      <c r="Z98" s="56">
        <v>446</v>
      </c>
      <c r="AA98" s="56">
        <v>485</v>
      </c>
      <c r="AB98" s="56">
        <v>471</v>
      </c>
      <c r="AC98" s="56"/>
      <c r="AD98" s="56"/>
      <c r="AF98" s="56"/>
      <c r="AG98" s="56">
        <v>264</v>
      </c>
      <c r="AH98" s="56">
        <v>293</v>
      </c>
      <c r="AM98" s="102">
        <f t="shared" si="12"/>
        <v>2684</v>
      </c>
      <c r="AN98" s="257">
        <f t="shared" si="13"/>
        <v>2684</v>
      </c>
      <c r="AO98" s="8"/>
      <c r="AP98" s="3">
        <f t="shared" si="18"/>
        <v>2684</v>
      </c>
      <c r="AQ98" s="2">
        <f t="shared" si="14"/>
        <v>1</v>
      </c>
      <c r="AR98" s="264"/>
      <c r="AS98" s="264"/>
      <c r="AT98" s="264"/>
      <c r="AU98" s="264"/>
      <c r="AW98" s="8">
        <f t="shared" si="15"/>
        <v>456</v>
      </c>
      <c r="AX98" s="11">
        <f t="shared" si="16"/>
        <v>0</v>
      </c>
      <c r="AY98" s="8">
        <f t="shared" si="17"/>
        <v>142</v>
      </c>
      <c r="AZ98" s="11"/>
      <c r="BD98" s="11"/>
      <c r="BG98" s="11"/>
      <c r="CG98" s="264"/>
      <c r="CH98" s="264"/>
      <c r="CI98" s="264"/>
      <c r="CJ98" s="264"/>
      <c r="CK98" s="264"/>
      <c r="DK98" s="12"/>
      <c r="DM98" s="2">
        <v>4</v>
      </c>
      <c r="DP98" s="249"/>
      <c r="DR98" s="279"/>
      <c r="DS98" s="279"/>
      <c r="DT98" s="279"/>
      <c r="DU98" s="279"/>
      <c r="DV98" s="279"/>
      <c r="DW98" s="3">
        <v>25</v>
      </c>
    </row>
    <row r="99" spans="1:127">
      <c r="A99" s="102">
        <v>180</v>
      </c>
      <c r="B99" s="56">
        <v>5</v>
      </c>
      <c r="C99" s="240"/>
      <c r="D99" s="240"/>
      <c r="E99" s="240"/>
      <c r="F99" s="240"/>
      <c r="G99" s="240"/>
      <c r="H99" s="240"/>
      <c r="I99" s="240"/>
      <c r="J99" s="240"/>
      <c r="K99" s="240"/>
      <c r="L99" s="240"/>
      <c r="M99" s="240"/>
      <c r="N99" s="240"/>
      <c r="O99" s="240"/>
      <c r="P99" s="243"/>
      <c r="Q99" s="243"/>
      <c r="R99" s="10"/>
      <c r="S99" s="249">
        <v>123</v>
      </c>
      <c r="T99" s="56">
        <v>377</v>
      </c>
      <c r="U99" s="56"/>
      <c r="V99" s="56"/>
      <c r="W99" s="56"/>
      <c r="X99" s="56"/>
      <c r="Y99" s="56">
        <v>133</v>
      </c>
      <c r="Z99" s="56">
        <v>395</v>
      </c>
      <c r="AA99" s="56">
        <v>432</v>
      </c>
      <c r="AB99" s="56">
        <v>323</v>
      </c>
      <c r="AC99" s="56"/>
      <c r="AD99" s="56"/>
      <c r="AF99" s="56"/>
      <c r="AG99" s="56">
        <v>248</v>
      </c>
      <c r="AH99" s="56">
        <v>194</v>
      </c>
      <c r="AM99" s="102">
        <f t="shared" si="12"/>
        <v>2225</v>
      </c>
      <c r="AN99" s="257">
        <f t="shared" si="13"/>
        <v>2225</v>
      </c>
      <c r="AO99" s="8"/>
      <c r="AP99" s="3">
        <f t="shared" si="18"/>
        <v>2225</v>
      </c>
      <c r="AQ99" s="2">
        <f t="shared" si="14"/>
        <v>1</v>
      </c>
      <c r="AR99" s="264"/>
      <c r="AS99" s="264"/>
      <c r="AT99" s="264"/>
      <c r="AU99" s="264"/>
      <c r="AW99" s="8">
        <f t="shared" si="15"/>
        <v>377</v>
      </c>
      <c r="AX99" s="11">
        <f t="shared" si="16"/>
        <v>0</v>
      </c>
      <c r="AY99" s="8">
        <f t="shared" si="17"/>
        <v>123</v>
      </c>
      <c r="AZ99" s="11"/>
      <c r="BD99" s="11"/>
      <c r="BG99" s="11"/>
      <c r="CG99" s="264"/>
      <c r="CH99" s="264"/>
      <c r="CI99" s="264"/>
      <c r="CJ99" s="264"/>
      <c r="CK99" s="264"/>
      <c r="DK99" s="12"/>
      <c r="DM99" s="2">
        <v>4</v>
      </c>
      <c r="DP99" s="249"/>
      <c r="DR99" s="279"/>
      <c r="DS99" s="279"/>
      <c r="DT99" s="279"/>
      <c r="DU99" s="279"/>
      <c r="DV99" s="279"/>
      <c r="DW99" s="3">
        <v>12</v>
      </c>
    </row>
    <row r="100" spans="1:127">
      <c r="A100" s="102">
        <v>181</v>
      </c>
      <c r="B100" s="56">
        <v>5</v>
      </c>
      <c r="C100" s="240"/>
      <c r="D100" s="240"/>
      <c r="E100" s="240"/>
      <c r="F100" s="240"/>
      <c r="G100" s="240"/>
      <c r="H100" s="240"/>
      <c r="I100" s="240"/>
      <c r="J100" s="240"/>
      <c r="K100" s="240"/>
      <c r="L100" s="240"/>
      <c r="M100" s="240"/>
      <c r="N100" s="240"/>
      <c r="O100" s="240"/>
      <c r="P100" s="243"/>
      <c r="Q100" s="243"/>
      <c r="R100" s="10"/>
      <c r="S100" s="249">
        <v>155</v>
      </c>
      <c r="T100" s="56">
        <v>338</v>
      </c>
      <c r="U100" s="56"/>
      <c r="V100" s="56"/>
      <c r="W100" s="56"/>
      <c r="X100" s="56"/>
      <c r="Y100" s="56">
        <v>127</v>
      </c>
      <c r="Z100" s="56">
        <v>364</v>
      </c>
      <c r="AA100" s="56">
        <v>419</v>
      </c>
      <c r="AB100" s="56">
        <v>307</v>
      </c>
      <c r="AC100" s="56"/>
      <c r="AD100" s="56"/>
      <c r="AF100" s="56"/>
      <c r="AG100" s="56">
        <v>233</v>
      </c>
      <c r="AH100" s="56">
        <v>197</v>
      </c>
      <c r="AM100" s="102">
        <f t="shared" si="12"/>
        <v>2140</v>
      </c>
      <c r="AN100" s="257">
        <f t="shared" si="13"/>
        <v>2140</v>
      </c>
      <c r="AO100" s="8"/>
      <c r="AP100" s="3">
        <f t="shared" si="18"/>
        <v>2140</v>
      </c>
      <c r="AQ100" s="2">
        <f t="shared" si="14"/>
        <v>1</v>
      </c>
      <c r="AR100" s="264"/>
      <c r="AS100" s="264"/>
      <c r="AT100" s="264"/>
      <c r="AU100" s="264"/>
      <c r="AW100" s="8">
        <f t="shared" si="15"/>
        <v>338</v>
      </c>
      <c r="AX100" s="11">
        <f t="shared" si="16"/>
        <v>0</v>
      </c>
      <c r="AY100" s="8">
        <f t="shared" si="17"/>
        <v>155</v>
      </c>
      <c r="AZ100" s="11"/>
      <c r="BD100" s="11"/>
      <c r="BG100" s="11"/>
      <c r="CG100" s="264"/>
      <c r="CH100" s="264"/>
      <c r="CI100" s="264"/>
      <c r="CJ100" s="264"/>
      <c r="CK100" s="264"/>
      <c r="DK100" s="12"/>
      <c r="DM100" s="2">
        <v>4</v>
      </c>
      <c r="DP100" s="249"/>
      <c r="DR100" s="279"/>
      <c r="DS100" s="279"/>
      <c r="DT100" s="279"/>
      <c r="DU100" s="279"/>
      <c r="DV100" s="279"/>
      <c r="DW100" s="3">
        <v>12</v>
      </c>
    </row>
    <row r="101" spans="1:127">
      <c r="A101" s="102">
        <v>182</v>
      </c>
      <c r="B101" s="56">
        <v>5</v>
      </c>
      <c r="C101" s="240"/>
      <c r="D101" s="240"/>
      <c r="E101" s="240"/>
      <c r="F101" s="240"/>
      <c r="G101" s="240"/>
      <c r="H101" s="240"/>
      <c r="I101" s="240"/>
      <c r="J101" s="240"/>
      <c r="K101" s="240"/>
      <c r="L101" s="240"/>
      <c r="M101" s="240"/>
      <c r="N101" s="240"/>
      <c r="O101" s="240"/>
      <c r="P101" s="243"/>
      <c r="Q101" s="243"/>
      <c r="R101" s="10"/>
      <c r="S101" s="249">
        <v>152</v>
      </c>
      <c r="T101" s="56">
        <v>290</v>
      </c>
      <c r="U101" s="56"/>
      <c r="V101" s="56"/>
      <c r="W101" s="56"/>
      <c r="X101" s="56"/>
      <c r="Y101" s="56">
        <v>108</v>
      </c>
      <c r="Z101" s="56">
        <v>278</v>
      </c>
      <c r="AA101" s="56">
        <v>379</v>
      </c>
      <c r="AB101" s="56">
        <v>315</v>
      </c>
      <c r="AC101" s="56"/>
      <c r="AD101" s="56"/>
      <c r="AF101" s="56"/>
      <c r="AG101" s="56">
        <v>200</v>
      </c>
      <c r="AH101" s="56">
        <v>194</v>
      </c>
      <c r="AM101" s="102">
        <f t="shared" si="12"/>
        <v>1916</v>
      </c>
      <c r="AN101" s="257">
        <f t="shared" si="13"/>
        <v>1916</v>
      </c>
      <c r="AO101" s="8"/>
      <c r="AP101" s="3">
        <f t="shared" si="18"/>
        <v>1916</v>
      </c>
      <c r="AQ101" s="2">
        <f t="shared" si="14"/>
        <v>1</v>
      </c>
      <c r="AR101" s="264"/>
      <c r="AS101" s="264"/>
      <c r="AT101" s="264"/>
      <c r="AU101" s="264"/>
      <c r="AW101" s="8">
        <f t="shared" si="15"/>
        <v>290</v>
      </c>
      <c r="AX101" s="11">
        <f t="shared" si="16"/>
        <v>0</v>
      </c>
      <c r="AY101" s="8">
        <f t="shared" si="17"/>
        <v>152</v>
      </c>
      <c r="AZ101" s="11"/>
      <c r="BD101" s="11"/>
      <c r="BG101" s="11"/>
      <c r="CG101" s="264"/>
      <c r="CH101" s="264"/>
      <c r="CI101" s="264"/>
      <c r="CJ101" s="264"/>
      <c r="CK101" s="264"/>
      <c r="DK101" s="12"/>
      <c r="DM101" s="2">
        <v>4</v>
      </c>
      <c r="DP101" s="249"/>
      <c r="DR101" s="279"/>
      <c r="DS101" s="279"/>
      <c r="DT101" s="279"/>
      <c r="DU101" s="279"/>
      <c r="DV101" s="279"/>
      <c r="DW101" s="3">
        <v>13</v>
      </c>
    </row>
    <row r="102" spans="1:127">
      <c r="A102" s="102">
        <v>183</v>
      </c>
      <c r="B102" s="56">
        <v>5</v>
      </c>
      <c r="C102" s="240"/>
      <c r="D102" s="240"/>
      <c r="E102" s="240"/>
      <c r="F102" s="240"/>
      <c r="G102" s="240"/>
      <c r="H102" s="240"/>
      <c r="I102" s="240"/>
      <c r="J102" s="240"/>
      <c r="K102" s="240"/>
      <c r="L102" s="240"/>
      <c r="M102" s="240"/>
      <c r="N102" s="240"/>
      <c r="O102" s="240"/>
      <c r="P102" s="243"/>
      <c r="Q102" s="243"/>
      <c r="R102" s="10"/>
      <c r="S102" s="249">
        <v>122</v>
      </c>
      <c r="T102" s="56">
        <v>313</v>
      </c>
      <c r="U102" s="56"/>
      <c r="V102" s="56"/>
      <c r="W102" s="56"/>
      <c r="X102" s="56"/>
      <c r="Y102" s="56">
        <v>96</v>
      </c>
      <c r="Z102" s="56">
        <v>280</v>
      </c>
      <c r="AA102" s="56">
        <v>366</v>
      </c>
      <c r="AB102" s="56">
        <v>327</v>
      </c>
      <c r="AC102" s="56"/>
      <c r="AD102" s="56"/>
      <c r="AF102" s="56"/>
      <c r="AG102" s="56">
        <v>212</v>
      </c>
      <c r="AH102" s="56">
        <v>198</v>
      </c>
      <c r="AM102" s="102">
        <f t="shared" si="12"/>
        <v>1914</v>
      </c>
      <c r="AN102" s="257">
        <f t="shared" si="13"/>
        <v>1914</v>
      </c>
      <c r="AO102" s="8"/>
      <c r="AP102" s="3">
        <f t="shared" si="18"/>
        <v>1914</v>
      </c>
      <c r="AQ102" s="2">
        <f t="shared" si="14"/>
        <v>1</v>
      </c>
      <c r="AR102" s="264"/>
      <c r="AS102" s="264"/>
      <c r="AT102" s="264"/>
      <c r="AU102" s="264"/>
      <c r="AW102" s="8">
        <f t="shared" si="15"/>
        <v>313</v>
      </c>
      <c r="AX102" s="11">
        <f t="shared" si="16"/>
        <v>0</v>
      </c>
      <c r="AY102" s="8">
        <f t="shared" si="17"/>
        <v>122</v>
      </c>
      <c r="AZ102" s="11"/>
      <c r="BD102" s="11"/>
      <c r="BG102" s="11"/>
      <c r="CG102" s="264"/>
      <c r="CH102" s="264"/>
      <c r="CI102" s="264"/>
      <c r="CJ102" s="264"/>
      <c r="CK102" s="264"/>
      <c r="DK102" s="12"/>
      <c r="DM102" s="2">
        <v>4</v>
      </c>
      <c r="DP102" s="249"/>
      <c r="DR102" s="279"/>
      <c r="DS102" s="279"/>
      <c r="DT102" s="279"/>
      <c r="DU102" s="279"/>
      <c r="DV102" s="279"/>
      <c r="DW102" s="3">
        <v>13</v>
      </c>
    </row>
    <row r="103" spans="1:127">
      <c r="A103" s="102">
        <v>184</v>
      </c>
      <c r="B103" s="56">
        <v>5</v>
      </c>
      <c r="C103" s="240"/>
      <c r="D103" s="240"/>
      <c r="E103" s="240"/>
      <c r="F103" s="240"/>
      <c r="G103" s="240"/>
      <c r="H103" s="240"/>
      <c r="I103" s="240"/>
      <c r="J103" s="240"/>
      <c r="K103" s="240"/>
      <c r="L103" s="240"/>
      <c r="M103" s="240"/>
      <c r="N103" s="240"/>
      <c r="O103" s="240"/>
      <c r="P103" s="243"/>
      <c r="Q103" s="243"/>
      <c r="R103" s="10"/>
      <c r="S103" s="249">
        <v>113</v>
      </c>
      <c r="T103" s="56">
        <v>277</v>
      </c>
      <c r="U103" s="56"/>
      <c r="V103" s="56"/>
      <c r="W103" s="56"/>
      <c r="X103" s="56"/>
      <c r="Y103" s="56">
        <v>115</v>
      </c>
      <c r="Z103" s="56">
        <v>266</v>
      </c>
      <c r="AA103" s="56">
        <v>295</v>
      </c>
      <c r="AB103" s="56">
        <v>373</v>
      </c>
      <c r="AC103" s="56"/>
      <c r="AD103" s="56"/>
      <c r="AF103" s="56"/>
      <c r="AG103" s="56">
        <v>202</v>
      </c>
      <c r="AH103" s="56">
        <v>178</v>
      </c>
      <c r="AM103" s="102">
        <f t="shared" si="12"/>
        <v>1819</v>
      </c>
      <c r="AN103" s="257">
        <f t="shared" si="13"/>
        <v>1819</v>
      </c>
      <c r="AO103" s="8"/>
      <c r="AP103" s="3">
        <f t="shared" si="18"/>
        <v>1819</v>
      </c>
      <c r="AQ103" s="2">
        <f t="shared" si="14"/>
        <v>1</v>
      </c>
      <c r="AR103" s="264"/>
      <c r="AS103" s="264"/>
      <c r="AT103" s="264"/>
      <c r="AU103" s="264"/>
      <c r="AW103" s="8">
        <f t="shared" si="15"/>
        <v>277</v>
      </c>
      <c r="AX103" s="11">
        <f t="shared" si="16"/>
        <v>0</v>
      </c>
      <c r="AY103" s="8">
        <f t="shared" si="17"/>
        <v>113</v>
      </c>
      <c r="AZ103" s="11"/>
      <c r="BD103" s="11"/>
      <c r="BG103" s="11"/>
      <c r="CG103" s="264"/>
      <c r="CH103" s="264"/>
      <c r="CI103" s="264"/>
      <c r="CJ103" s="264"/>
      <c r="CK103" s="264"/>
      <c r="DK103" s="12"/>
      <c r="DM103" s="2">
        <v>4</v>
      </c>
      <c r="DP103" s="249"/>
      <c r="DR103" s="279"/>
      <c r="DS103" s="279"/>
      <c r="DT103" s="279"/>
      <c r="DU103" s="279"/>
      <c r="DV103" s="279"/>
      <c r="DW103" s="3">
        <v>21</v>
      </c>
    </row>
    <row r="104" spans="1:127">
      <c r="A104" s="102">
        <v>185</v>
      </c>
      <c r="B104" s="56">
        <v>5</v>
      </c>
      <c r="C104" s="240"/>
      <c r="D104" s="240"/>
      <c r="E104" s="240"/>
      <c r="F104" s="240"/>
      <c r="G104" s="240"/>
      <c r="H104" s="240"/>
      <c r="I104" s="240"/>
      <c r="J104" s="240"/>
      <c r="K104" s="240"/>
      <c r="L104" s="240"/>
      <c r="M104" s="240"/>
      <c r="N104" s="240"/>
      <c r="O104" s="240"/>
      <c r="P104" s="243"/>
      <c r="Q104" s="243"/>
      <c r="R104" s="10"/>
      <c r="S104" s="249">
        <v>100</v>
      </c>
      <c r="T104" s="56">
        <v>304</v>
      </c>
      <c r="U104" s="56"/>
      <c r="V104" s="56"/>
      <c r="W104" s="56"/>
      <c r="X104" s="56"/>
      <c r="Y104" s="56">
        <v>113</v>
      </c>
      <c r="Z104" s="56">
        <v>353</v>
      </c>
      <c r="AA104" s="56">
        <v>361</v>
      </c>
      <c r="AB104" s="56">
        <v>400</v>
      </c>
      <c r="AC104" s="56"/>
      <c r="AD104" s="56"/>
      <c r="AF104" s="56"/>
      <c r="AG104" s="56">
        <v>238</v>
      </c>
      <c r="AH104" s="56">
        <v>214</v>
      </c>
      <c r="AM104" s="102">
        <f t="shared" ref="AM104:AM167" si="19">SUM(S104:AL104)</f>
        <v>2083</v>
      </c>
      <c r="AN104" s="257">
        <f t="shared" ref="AN104:AN167" si="20">R104+AM104</f>
        <v>2083</v>
      </c>
      <c r="AO104" s="8"/>
      <c r="AP104" s="3">
        <f t="shared" si="18"/>
        <v>2083</v>
      </c>
      <c r="AQ104" s="2">
        <f t="shared" ref="AQ104:AQ167" si="21">IF(AN104&gt;=$AQ$6,1,0)</f>
        <v>1</v>
      </c>
      <c r="AR104" s="264"/>
      <c r="AS104" s="264"/>
      <c r="AT104" s="264"/>
      <c r="AU104" s="264"/>
      <c r="AW104" s="8">
        <f t="shared" ref="AW104:AW167" si="22">T104+AC104</f>
        <v>304</v>
      </c>
      <c r="AX104" s="11">
        <f t="shared" ref="AX104:AX167" si="23">AD104</f>
        <v>0</v>
      </c>
      <c r="AY104" s="8">
        <f t="shared" ref="AY104:AY167" si="24">S104+AE104</f>
        <v>100</v>
      </c>
      <c r="AZ104" s="11"/>
      <c r="BD104" s="11"/>
      <c r="BG104" s="11"/>
      <c r="CG104" s="264"/>
      <c r="CH104" s="264"/>
      <c r="CI104" s="264"/>
      <c r="CJ104" s="264"/>
      <c r="CK104" s="264"/>
      <c r="DK104" s="12"/>
      <c r="DM104" s="2">
        <v>4</v>
      </c>
      <c r="DP104" s="249"/>
      <c r="DR104" s="279"/>
      <c r="DS104" s="279"/>
      <c r="DT104" s="279"/>
      <c r="DU104" s="279"/>
      <c r="DV104" s="279"/>
      <c r="DW104" s="3">
        <v>21</v>
      </c>
    </row>
    <row r="105" spans="1:127">
      <c r="A105" s="102">
        <v>186</v>
      </c>
      <c r="B105" s="56">
        <v>5</v>
      </c>
      <c r="C105" s="240"/>
      <c r="D105" s="240"/>
      <c r="E105" s="240"/>
      <c r="F105" s="240"/>
      <c r="G105" s="240"/>
      <c r="H105" s="240"/>
      <c r="I105" s="240"/>
      <c r="J105" s="240"/>
      <c r="K105" s="240"/>
      <c r="L105" s="240"/>
      <c r="M105" s="240"/>
      <c r="N105" s="240"/>
      <c r="O105" s="240"/>
      <c r="P105" s="243"/>
      <c r="Q105" s="243"/>
      <c r="R105" s="10"/>
      <c r="S105" s="249">
        <v>285</v>
      </c>
      <c r="T105" s="56">
        <v>334</v>
      </c>
      <c r="U105" s="56"/>
      <c r="V105" s="56"/>
      <c r="W105" s="56"/>
      <c r="X105" s="56"/>
      <c r="Y105" s="56">
        <v>283</v>
      </c>
      <c r="Z105" s="56">
        <v>310</v>
      </c>
      <c r="AA105" s="56">
        <v>538</v>
      </c>
      <c r="AB105" s="56">
        <v>451</v>
      </c>
      <c r="AC105" s="56"/>
      <c r="AD105" s="56"/>
      <c r="AF105" s="56"/>
      <c r="AG105" s="56">
        <v>293</v>
      </c>
      <c r="AH105" s="56">
        <v>300</v>
      </c>
      <c r="AM105" s="102">
        <f t="shared" si="19"/>
        <v>2794</v>
      </c>
      <c r="AN105" s="257">
        <f t="shared" si="20"/>
        <v>2794</v>
      </c>
      <c r="AO105" s="8"/>
      <c r="AP105" s="3">
        <f t="shared" si="18"/>
        <v>2794</v>
      </c>
      <c r="AQ105" s="2">
        <f t="shared" si="21"/>
        <v>1</v>
      </c>
      <c r="AR105" s="264"/>
      <c r="AS105" s="264"/>
      <c r="AT105" s="264"/>
      <c r="AU105" s="264"/>
      <c r="AW105" s="8">
        <f t="shared" si="22"/>
        <v>334</v>
      </c>
      <c r="AX105" s="11">
        <f t="shared" si="23"/>
        <v>0</v>
      </c>
      <c r="AY105" s="8">
        <f t="shared" si="24"/>
        <v>285</v>
      </c>
      <c r="AZ105" s="11"/>
      <c r="BD105" s="11"/>
      <c r="BG105" s="11"/>
      <c r="CG105" s="264"/>
      <c r="CH105" s="264"/>
      <c r="CI105" s="264"/>
      <c r="CJ105" s="264"/>
      <c r="CK105" s="264"/>
      <c r="DK105" s="12"/>
      <c r="DM105" s="2">
        <v>4</v>
      </c>
      <c r="DP105" s="249"/>
      <c r="DR105" s="279"/>
      <c r="DS105" s="279"/>
      <c r="DT105" s="279"/>
      <c r="DU105" s="279"/>
      <c r="DV105" s="279"/>
      <c r="DW105" s="3">
        <v>25</v>
      </c>
    </row>
    <row r="106" spans="1:127">
      <c r="A106" s="102">
        <v>187</v>
      </c>
      <c r="B106" s="56">
        <v>5</v>
      </c>
      <c r="C106" s="240"/>
      <c r="D106" s="240"/>
      <c r="E106" s="240"/>
      <c r="F106" s="240"/>
      <c r="G106" s="240"/>
      <c r="H106" s="240"/>
      <c r="I106" s="240"/>
      <c r="J106" s="240"/>
      <c r="K106" s="240"/>
      <c r="L106" s="240"/>
      <c r="M106" s="240"/>
      <c r="N106" s="240"/>
      <c r="O106" s="240"/>
      <c r="P106" s="243"/>
      <c r="Q106" s="243"/>
      <c r="R106" s="10"/>
      <c r="S106" s="249">
        <v>217</v>
      </c>
      <c r="T106" s="56">
        <v>340</v>
      </c>
      <c r="U106" s="56"/>
      <c r="V106" s="56"/>
      <c r="W106" s="56"/>
      <c r="X106" s="56"/>
      <c r="Y106" s="56">
        <v>235</v>
      </c>
      <c r="Z106" s="56">
        <v>367</v>
      </c>
      <c r="AA106" s="56">
        <v>512</v>
      </c>
      <c r="AB106" s="56">
        <v>417</v>
      </c>
      <c r="AC106" s="56"/>
      <c r="AD106" s="56"/>
      <c r="AF106" s="56"/>
      <c r="AG106" s="56">
        <v>312</v>
      </c>
      <c r="AH106" s="56">
        <v>255</v>
      </c>
      <c r="AM106" s="102">
        <f t="shared" si="19"/>
        <v>2655</v>
      </c>
      <c r="AN106" s="257">
        <f t="shared" si="20"/>
        <v>2655</v>
      </c>
      <c r="AO106" s="8"/>
      <c r="AP106" s="3">
        <f t="shared" si="18"/>
        <v>2655</v>
      </c>
      <c r="AQ106" s="2">
        <f t="shared" si="21"/>
        <v>1</v>
      </c>
      <c r="AR106" s="264"/>
      <c r="AS106" s="264"/>
      <c r="AT106" s="264"/>
      <c r="AU106" s="264"/>
      <c r="AW106" s="8">
        <f t="shared" si="22"/>
        <v>340</v>
      </c>
      <c r="AX106" s="11">
        <f t="shared" si="23"/>
        <v>0</v>
      </c>
      <c r="AY106" s="8">
        <f t="shared" si="24"/>
        <v>217</v>
      </c>
      <c r="AZ106" s="11"/>
      <c r="BD106" s="11"/>
      <c r="BG106" s="11"/>
      <c r="CG106" s="264"/>
      <c r="CH106" s="264"/>
      <c r="CI106" s="264"/>
      <c r="CJ106" s="264"/>
      <c r="CK106" s="264"/>
      <c r="DK106" s="12"/>
      <c r="DM106" s="2">
        <v>4</v>
      </c>
      <c r="DP106" s="249"/>
      <c r="DR106" s="279"/>
      <c r="DS106" s="279"/>
      <c r="DT106" s="279"/>
      <c r="DU106" s="279"/>
      <c r="DV106" s="279"/>
      <c r="DW106" s="3">
        <v>24</v>
      </c>
    </row>
    <row r="107" spans="1:127">
      <c r="A107" s="102">
        <v>188</v>
      </c>
      <c r="B107" s="56">
        <v>5</v>
      </c>
      <c r="C107" s="240"/>
      <c r="D107" s="240"/>
      <c r="E107" s="240"/>
      <c r="F107" s="240"/>
      <c r="G107" s="240"/>
      <c r="H107" s="240"/>
      <c r="I107" s="240"/>
      <c r="J107" s="240"/>
      <c r="K107" s="240"/>
      <c r="L107" s="240"/>
      <c r="M107" s="240"/>
      <c r="N107" s="240"/>
      <c r="O107" s="240"/>
      <c r="P107" s="243"/>
      <c r="Q107" s="243"/>
      <c r="R107" s="10"/>
      <c r="S107" s="249">
        <v>279</v>
      </c>
      <c r="T107" s="56">
        <v>273</v>
      </c>
      <c r="U107" s="56"/>
      <c r="V107" s="56"/>
      <c r="W107" s="56"/>
      <c r="X107" s="56"/>
      <c r="Y107" s="56">
        <v>257</v>
      </c>
      <c r="Z107" s="56">
        <v>279</v>
      </c>
      <c r="AA107" s="56">
        <v>292</v>
      </c>
      <c r="AB107" s="56">
        <v>483</v>
      </c>
      <c r="AC107" s="56"/>
      <c r="AD107" s="56"/>
      <c r="AF107" s="56"/>
      <c r="AG107" s="56">
        <v>209</v>
      </c>
      <c r="AH107" s="56">
        <v>341</v>
      </c>
      <c r="AM107" s="102">
        <f t="shared" si="19"/>
        <v>2413</v>
      </c>
      <c r="AN107" s="257">
        <f t="shared" si="20"/>
        <v>2413</v>
      </c>
      <c r="AO107" s="8"/>
      <c r="AP107" s="3">
        <f t="shared" si="18"/>
        <v>2413</v>
      </c>
      <c r="AQ107" s="2">
        <f t="shared" si="21"/>
        <v>1</v>
      </c>
      <c r="AR107" s="264"/>
      <c r="AS107" s="264"/>
      <c r="AT107" s="264"/>
      <c r="AU107" s="264"/>
      <c r="AW107" s="8">
        <f t="shared" si="22"/>
        <v>273</v>
      </c>
      <c r="AX107" s="11">
        <f t="shared" si="23"/>
        <v>0</v>
      </c>
      <c r="AY107" s="8">
        <f t="shared" si="24"/>
        <v>279</v>
      </c>
      <c r="AZ107" s="11"/>
      <c r="BD107" s="11"/>
      <c r="BG107" s="11"/>
      <c r="CG107" s="264"/>
      <c r="CH107" s="264"/>
      <c r="CI107" s="264"/>
      <c r="CJ107" s="264"/>
      <c r="CK107" s="264"/>
      <c r="DK107" s="12"/>
      <c r="DM107" s="2">
        <v>4</v>
      </c>
      <c r="DP107" s="249"/>
      <c r="DR107" s="279"/>
      <c r="DS107" s="279"/>
      <c r="DT107" s="279"/>
      <c r="DU107" s="279"/>
      <c r="DV107" s="279"/>
      <c r="DW107" s="3">
        <v>31</v>
      </c>
    </row>
    <row r="108" spans="1:127">
      <c r="A108" s="102">
        <v>189</v>
      </c>
      <c r="B108" s="56">
        <v>5</v>
      </c>
      <c r="C108" s="240"/>
      <c r="D108" s="240"/>
      <c r="E108" s="240"/>
      <c r="F108" s="240"/>
      <c r="G108" s="240"/>
      <c r="H108" s="240"/>
      <c r="I108" s="240"/>
      <c r="J108" s="240"/>
      <c r="K108" s="240"/>
      <c r="L108" s="240"/>
      <c r="M108" s="240"/>
      <c r="N108" s="240"/>
      <c r="O108" s="240"/>
      <c r="P108" s="243"/>
      <c r="Q108" s="243"/>
      <c r="R108" s="10"/>
      <c r="S108" s="249">
        <v>226</v>
      </c>
      <c r="T108" s="56">
        <v>203</v>
      </c>
      <c r="U108" s="56"/>
      <c r="V108" s="56"/>
      <c r="W108" s="56"/>
      <c r="X108" s="56"/>
      <c r="Y108" s="56">
        <v>211</v>
      </c>
      <c r="Z108" s="56">
        <v>168</v>
      </c>
      <c r="AA108" s="56">
        <v>255</v>
      </c>
      <c r="AB108" s="56">
        <v>159</v>
      </c>
      <c r="AC108" s="56"/>
      <c r="AD108" s="56"/>
      <c r="AF108" s="56"/>
      <c r="AG108" s="56">
        <v>182</v>
      </c>
      <c r="AH108" s="56">
        <v>72</v>
      </c>
      <c r="AM108" s="102">
        <f t="shared" si="19"/>
        <v>1476</v>
      </c>
      <c r="AN108" s="257">
        <f t="shared" si="20"/>
        <v>1476</v>
      </c>
      <c r="AO108" s="8"/>
      <c r="AP108" s="3">
        <f t="shared" si="18"/>
        <v>1476</v>
      </c>
      <c r="AQ108" s="2">
        <f t="shared" si="21"/>
        <v>1</v>
      </c>
      <c r="AR108" s="264"/>
      <c r="AS108" s="264"/>
      <c r="AT108" s="264"/>
      <c r="AU108" s="264"/>
      <c r="AW108" s="8">
        <f t="shared" si="22"/>
        <v>203</v>
      </c>
      <c r="AX108" s="11">
        <f t="shared" si="23"/>
        <v>0</v>
      </c>
      <c r="AY108" s="8">
        <f t="shared" si="24"/>
        <v>226</v>
      </c>
      <c r="AZ108" s="11"/>
      <c r="BD108" s="11"/>
      <c r="BG108" s="11"/>
      <c r="CG108" s="264"/>
      <c r="CH108" s="264"/>
      <c r="CI108" s="264"/>
      <c r="CJ108" s="264"/>
      <c r="CK108" s="264"/>
      <c r="DK108" s="12"/>
      <c r="DM108" s="2">
        <v>4</v>
      </c>
      <c r="DP108" s="249"/>
      <c r="DR108" s="279"/>
      <c r="DS108" s="279"/>
      <c r="DT108" s="279"/>
      <c r="DU108" s="279"/>
      <c r="DV108" s="279"/>
      <c r="DW108" s="3">
        <v>28</v>
      </c>
    </row>
    <row r="109" spans="1:127">
      <c r="A109" s="102">
        <v>190</v>
      </c>
      <c r="B109" s="56">
        <v>5</v>
      </c>
      <c r="C109" s="240"/>
      <c r="D109" s="240"/>
      <c r="E109" s="240"/>
      <c r="F109" s="240"/>
      <c r="G109" s="240"/>
      <c r="H109" s="240"/>
      <c r="I109" s="240"/>
      <c r="J109" s="240"/>
      <c r="K109" s="240"/>
      <c r="L109" s="240"/>
      <c r="M109" s="240"/>
      <c r="N109" s="240"/>
      <c r="O109" s="240"/>
      <c r="P109" s="243"/>
      <c r="Q109" s="243"/>
      <c r="R109" s="10"/>
      <c r="S109" s="249">
        <v>268</v>
      </c>
      <c r="T109" s="56">
        <v>359</v>
      </c>
      <c r="U109" s="56"/>
      <c r="V109" s="56"/>
      <c r="W109" s="56"/>
      <c r="X109" s="56"/>
      <c r="Y109" s="56">
        <v>268</v>
      </c>
      <c r="Z109" s="56">
        <v>234</v>
      </c>
      <c r="AA109" s="56">
        <v>495</v>
      </c>
      <c r="AB109" s="56">
        <v>431</v>
      </c>
      <c r="AC109" s="56"/>
      <c r="AD109" s="56"/>
      <c r="AF109" s="56"/>
      <c r="AG109" s="56">
        <v>269</v>
      </c>
      <c r="AH109" s="56">
        <v>198</v>
      </c>
      <c r="AM109" s="102">
        <f t="shared" si="19"/>
        <v>2522</v>
      </c>
      <c r="AN109" s="257">
        <f t="shared" si="20"/>
        <v>2522</v>
      </c>
      <c r="AO109" s="8"/>
      <c r="AP109" s="3">
        <f t="shared" si="18"/>
        <v>2522</v>
      </c>
      <c r="AQ109" s="2">
        <f t="shared" si="21"/>
        <v>1</v>
      </c>
      <c r="AR109" s="264"/>
      <c r="AS109" s="264"/>
      <c r="AT109" s="264"/>
      <c r="AU109" s="264"/>
      <c r="AW109" s="8">
        <f t="shared" si="22"/>
        <v>359</v>
      </c>
      <c r="AX109" s="11">
        <f t="shared" si="23"/>
        <v>0</v>
      </c>
      <c r="AY109" s="8">
        <f t="shared" si="24"/>
        <v>268</v>
      </c>
      <c r="AZ109" s="11"/>
      <c r="BD109" s="11"/>
      <c r="BG109" s="11"/>
      <c r="CG109" s="264"/>
      <c r="CH109" s="264"/>
      <c r="CI109" s="264"/>
      <c r="CJ109" s="264"/>
      <c r="CK109" s="264"/>
      <c r="DK109" s="12"/>
      <c r="DM109" s="2">
        <v>4</v>
      </c>
      <c r="DP109" s="249"/>
      <c r="DR109" s="279"/>
      <c r="DS109" s="279"/>
      <c r="DT109" s="279"/>
      <c r="DU109" s="279"/>
      <c r="DV109" s="279"/>
      <c r="DW109" s="3">
        <v>15</v>
      </c>
    </row>
    <row r="110" spans="1:127">
      <c r="A110" s="102">
        <v>191</v>
      </c>
      <c r="B110" s="56">
        <v>5</v>
      </c>
      <c r="C110" s="240"/>
      <c r="D110" s="240"/>
      <c r="E110" s="240"/>
      <c r="F110" s="240"/>
      <c r="G110" s="240"/>
      <c r="H110" s="240"/>
      <c r="I110" s="240"/>
      <c r="J110" s="240"/>
      <c r="K110" s="240"/>
      <c r="L110" s="240"/>
      <c r="M110" s="240"/>
      <c r="N110" s="240"/>
      <c r="O110" s="240"/>
      <c r="P110" s="243"/>
      <c r="Q110" s="243"/>
      <c r="R110" s="10"/>
      <c r="S110" s="249">
        <v>235</v>
      </c>
      <c r="T110" s="56">
        <v>324</v>
      </c>
      <c r="U110" s="56"/>
      <c r="V110" s="56"/>
      <c r="W110" s="56"/>
      <c r="X110" s="56"/>
      <c r="Y110" s="56">
        <v>278</v>
      </c>
      <c r="Z110" s="56">
        <v>291</v>
      </c>
      <c r="AA110" s="56">
        <v>517</v>
      </c>
      <c r="AB110" s="56">
        <v>438</v>
      </c>
      <c r="AC110" s="56"/>
      <c r="AD110" s="56"/>
      <c r="AF110" s="56"/>
      <c r="AG110" s="56">
        <v>181</v>
      </c>
      <c r="AH110" s="56">
        <v>201</v>
      </c>
      <c r="AM110" s="102">
        <f t="shared" si="19"/>
        <v>2465</v>
      </c>
      <c r="AN110" s="257">
        <f t="shared" si="20"/>
        <v>2465</v>
      </c>
      <c r="AO110" s="8"/>
      <c r="AP110" s="3">
        <f t="shared" si="18"/>
        <v>2465</v>
      </c>
      <c r="AQ110" s="2">
        <f t="shared" si="21"/>
        <v>1</v>
      </c>
      <c r="AR110" s="264"/>
      <c r="AS110" s="264"/>
      <c r="AT110" s="264"/>
      <c r="AU110" s="264"/>
      <c r="AW110" s="8">
        <f t="shared" si="22"/>
        <v>324</v>
      </c>
      <c r="AX110" s="11">
        <f t="shared" si="23"/>
        <v>0</v>
      </c>
      <c r="AY110" s="8">
        <f t="shared" si="24"/>
        <v>235</v>
      </c>
      <c r="AZ110" s="11"/>
      <c r="BD110" s="11"/>
      <c r="BG110" s="11"/>
      <c r="CG110" s="264"/>
      <c r="CH110" s="264"/>
      <c r="CI110" s="264"/>
      <c r="CJ110" s="264"/>
      <c r="CK110" s="264"/>
      <c r="DK110" s="12"/>
      <c r="DM110" s="2">
        <v>4</v>
      </c>
      <c r="DP110" s="249"/>
      <c r="DR110" s="279"/>
      <c r="DS110" s="279"/>
      <c r="DT110" s="279"/>
      <c r="DU110" s="279"/>
      <c r="DV110" s="279"/>
      <c r="DW110" s="3">
        <v>15</v>
      </c>
    </row>
    <row r="111" spans="1:127">
      <c r="A111" s="102">
        <v>192</v>
      </c>
      <c r="B111" s="56">
        <v>5</v>
      </c>
      <c r="C111" s="240"/>
      <c r="D111" s="240"/>
      <c r="E111" s="240"/>
      <c r="F111" s="240"/>
      <c r="G111" s="240"/>
      <c r="H111" s="240"/>
      <c r="I111" s="240"/>
      <c r="J111" s="240"/>
      <c r="K111" s="240"/>
      <c r="L111" s="240"/>
      <c r="M111" s="240"/>
      <c r="N111" s="240"/>
      <c r="O111" s="240"/>
      <c r="P111" s="243"/>
      <c r="Q111" s="243"/>
      <c r="R111" s="10"/>
      <c r="S111" s="249">
        <v>247</v>
      </c>
      <c r="T111" s="56">
        <v>279</v>
      </c>
      <c r="U111" s="56"/>
      <c r="V111" s="56"/>
      <c r="W111" s="56"/>
      <c r="X111" s="56"/>
      <c r="Y111" s="56">
        <v>147</v>
      </c>
      <c r="Z111" s="56">
        <v>248</v>
      </c>
      <c r="AA111" s="56">
        <v>364</v>
      </c>
      <c r="AB111" s="56">
        <v>298</v>
      </c>
      <c r="AC111" s="56"/>
      <c r="AD111" s="56"/>
      <c r="AF111" s="56"/>
      <c r="AG111" s="56">
        <v>203</v>
      </c>
      <c r="AH111" s="56">
        <v>187</v>
      </c>
      <c r="AM111" s="102">
        <f t="shared" si="19"/>
        <v>1973</v>
      </c>
      <c r="AN111" s="257">
        <f t="shared" si="20"/>
        <v>1973</v>
      </c>
      <c r="AO111" s="8"/>
      <c r="AP111" s="3">
        <f t="shared" si="18"/>
        <v>1973</v>
      </c>
      <c r="AQ111" s="2">
        <f t="shared" si="21"/>
        <v>1</v>
      </c>
      <c r="AR111" s="264"/>
      <c r="AS111" s="264"/>
      <c r="AT111" s="264"/>
      <c r="AU111" s="264"/>
      <c r="AW111" s="8">
        <f t="shared" si="22"/>
        <v>279</v>
      </c>
      <c r="AX111" s="11">
        <f t="shared" si="23"/>
        <v>0</v>
      </c>
      <c r="AY111" s="8">
        <f t="shared" si="24"/>
        <v>247</v>
      </c>
      <c r="AZ111" s="11"/>
      <c r="BD111" s="11"/>
      <c r="BG111" s="11"/>
      <c r="CG111" s="264"/>
      <c r="CH111" s="264"/>
      <c r="CI111" s="264"/>
      <c r="CJ111" s="264"/>
      <c r="CK111" s="264"/>
      <c r="DK111" s="12"/>
      <c r="DM111" s="2">
        <v>4</v>
      </c>
      <c r="DP111" s="249"/>
      <c r="DR111" s="279"/>
      <c r="DS111" s="279"/>
      <c r="DT111" s="279"/>
      <c r="DU111" s="279"/>
      <c r="DV111" s="279"/>
      <c r="DW111" s="3">
        <v>17.8</v>
      </c>
    </row>
    <row r="112" spans="1:127">
      <c r="A112" s="102">
        <v>193</v>
      </c>
      <c r="B112" s="56">
        <v>5</v>
      </c>
      <c r="C112" s="240"/>
      <c r="D112" s="240"/>
      <c r="E112" s="240"/>
      <c r="F112" s="240"/>
      <c r="G112" s="240"/>
      <c r="H112" s="240"/>
      <c r="I112" s="240"/>
      <c r="J112" s="240"/>
      <c r="K112" s="240"/>
      <c r="L112" s="240"/>
      <c r="M112" s="240"/>
      <c r="N112" s="240"/>
      <c r="O112" s="240"/>
      <c r="P112" s="243"/>
      <c r="Q112" s="243"/>
      <c r="R112" s="10"/>
      <c r="S112" s="249">
        <v>221</v>
      </c>
      <c r="T112" s="56">
        <v>294</v>
      </c>
      <c r="U112" s="56"/>
      <c r="V112" s="56"/>
      <c r="W112" s="56"/>
      <c r="X112" s="56"/>
      <c r="Y112" s="56">
        <v>137</v>
      </c>
      <c r="Z112" s="56">
        <v>255</v>
      </c>
      <c r="AA112" s="56">
        <v>335</v>
      </c>
      <c r="AB112" s="56">
        <v>314</v>
      </c>
      <c r="AC112" s="56"/>
      <c r="AD112" s="56"/>
      <c r="AF112" s="56"/>
      <c r="AG112" s="56">
        <v>199</v>
      </c>
      <c r="AH112" s="56">
        <v>180</v>
      </c>
      <c r="AM112" s="102">
        <f t="shared" si="19"/>
        <v>1935</v>
      </c>
      <c r="AN112" s="257">
        <f t="shared" si="20"/>
        <v>1935</v>
      </c>
      <c r="AO112" s="8"/>
      <c r="AP112" s="3">
        <f t="shared" si="18"/>
        <v>1935</v>
      </c>
      <c r="AQ112" s="2">
        <f t="shared" si="21"/>
        <v>1</v>
      </c>
      <c r="AR112" s="264"/>
      <c r="AS112" s="264"/>
      <c r="AT112" s="264"/>
      <c r="AU112" s="264"/>
      <c r="AW112" s="8">
        <f t="shared" si="22"/>
        <v>294</v>
      </c>
      <c r="AX112" s="11">
        <f t="shared" si="23"/>
        <v>0</v>
      </c>
      <c r="AY112" s="8">
        <f t="shared" si="24"/>
        <v>221</v>
      </c>
      <c r="AZ112" s="11"/>
      <c r="BD112" s="11"/>
      <c r="BG112" s="11"/>
      <c r="CG112" s="264"/>
      <c r="CH112" s="264"/>
      <c r="CI112" s="264"/>
      <c r="CJ112" s="264"/>
      <c r="CK112" s="264"/>
      <c r="DK112" s="12"/>
      <c r="DM112" s="2">
        <v>4</v>
      </c>
      <c r="DP112" s="249"/>
      <c r="DR112" s="279"/>
      <c r="DS112" s="279"/>
      <c r="DT112" s="279"/>
      <c r="DU112" s="279"/>
      <c r="DV112" s="279"/>
      <c r="DW112" s="3">
        <v>20</v>
      </c>
    </row>
    <row r="113" spans="1:127">
      <c r="A113" s="102">
        <v>194</v>
      </c>
      <c r="B113" s="56">
        <v>5</v>
      </c>
      <c r="C113" s="240"/>
      <c r="D113" s="240"/>
      <c r="E113" s="240"/>
      <c r="F113" s="240"/>
      <c r="G113" s="240"/>
      <c r="H113" s="240"/>
      <c r="I113" s="240"/>
      <c r="J113" s="240"/>
      <c r="K113" s="240"/>
      <c r="L113" s="240"/>
      <c r="M113" s="240"/>
      <c r="N113" s="240"/>
      <c r="O113" s="240"/>
      <c r="P113" s="243"/>
      <c r="Q113" s="243"/>
      <c r="R113" s="10"/>
      <c r="S113" s="249">
        <v>313</v>
      </c>
      <c r="T113" s="56">
        <v>306</v>
      </c>
      <c r="U113" s="56"/>
      <c r="V113" s="56"/>
      <c r="W113" s="56"/>
      <c r="X113" s="56"/>
      <c r="Y113" s="56">
        <v>253</v>
      </c>
      <c r="Z113" s="56">
        <v>306</v>
      </c>
      <c r="AA113" s="56">
        <v>359</v>
      </c>
      <c r="AB113" s="56">
        <v>384</v>
      </c>
      <c r="AC113" s="56"/>
      <c r="AD113" s="56"/>
      <c r="AF113" s="56"/>
      <c r="AG113" s="56">
        <v>223</v>
      </c>
      <c r="AH113" s="56">
        <v>314</v>
      </c>
      <c r="AM113" s="102">
        <f t="shared" si="19"/>
        <v>2458</v>
      </c>
      <c r="AN113" s="257">
        <f t="shared" si="20"/>
        <v>2458</v>
      </c>
      <c r="AO113" s="8"/>
      <c r="AP113" s="3">
        <f t="shared" si="18"/>
        <v>2458</v>
      </c>
      <c r="AQ113" s="2">
        <f t="shared" si="21"/>
        <v>1</v>
      </c>
      <c r="AR113" s="264"/>
      <c r="AS113" s="264"/>
      <c r="AT113" s="264"/>
      <c r="AU113" s="264"/>
      <c r="AW113" s="8">
        <f t="shared" si="22"/>
        <v>306</v>
      </c>
      <c r="AX113" s="11">
        <f t="shared" si="23"/>
        <v>0</v>
      </c>
      <c r="AY113" s="8">
        <f t="shared" si="24"/>
        <v>313</v>
      </c>
      <c r="AZ113" s="11"/>
      <c r="BD113" s="11"/>
      <c r="BG113" s="11"/>
      <c r="CG113" s="264"/>
      <c r="CH113" s="264"/>
      <c r="CI113" s="264"/>
      <c r="CJ113" s="264"/>
      <c r="CK113" s="264"/>
      <c r="DK113" s="12"/>
      <c r="DM113" s="2">
        <v>4</v>
      </c>
      <c r="DP113" s="249"/>
      <c r="DR113" s="279"/>
      <c r="DS113" s="279"/>
      <c r="DT113" s="279"/>
      <c r="DU113" s="279"/>
      <c r="DV113" s="279"/>
      <c r="DW113" s="3">
        <v>11</v>
      </c>
    </row>
    <row r="114" spans="1:127">
      <c r="A114" s="102">
        <v>195</v>
      </c>
      <c r="B114" s="56">
        <v>5</v>
      </c>
      <c r="C114" s="240"/>
      <c r="D114" s="240"/>
      <c r="E114" s="240"/>
      <c r="F114" s="240"/>
      <c r="G114" s="240"/>
      <c r="H114" s="240"/>
      <c r="I114" s="240"/>
      <c r="J114" s="240"/>
      <c r="K114" s="240"/>
      <c r="L114" s="240"/>
      <c r="M114" s="240"/>
      <c r="N114" s="240"/>
      <c r="O114" s="240"/>
      <c r="P114" s="243"/>
      <c r="Q114" s="243"/>
      <c r="R114" s="10"/>
      <c r="S114" s="249">
        <v>338</v>
      </c>
      <c r="T114" s="56">
        <v>350</v>
      </c>
      <c r="U114" s="56"/>
      <c r="V114" s="56"/>
      <c r="W114" s="56"/>
      <c r="X114" s="56"/>
      <c r="Y114" s="56">
        <v>291</v>
      </c>
      <c r="Z114" s="56">
        <v>265</v>
      </c>
      <c r="AA114" s="56">
        <v>405</v>
      </c>
      <c r="AB114" s="56">
        <v>344</v>
      </c>
      <c r="AC114" s="56"/>
      <c r="AD114" s="56"/>
      <c r="AF114" s="56"/>
      <c r="AG114" s="56">
        <v>239</v>
      </c>
      <c r="AH114" s="56">
        <v>161</v>
      </c>
      <c r="AM114" s="102">
        <f t="shared" si="19"/>
        <v>2393</v>
      </c>
      <c r="AN114" s="257">
        <f t="shared" si="20"/>
        <v>2393</v>
      </c>
      <c r="AO114" s="8"/>
      <c r="AP114" s="3">
        <f t="shared" si="18"/>
        <v>2393</v>
      </c>
      <c r="AQ114" s="2">
        <f t="shared" si="21"/>
        <v>1</v>
      </c>
      <c r="AR114" s="264"/>
      <c r="AS114" s="264"/>
      <c r="AT114" s="264"/>
      <c r="AU114" s="264"/>
      <c r="AW114" s="8">
        <f t="shared" si="22"/>
        <v>350</v>
      </c>
      <c r="AX114" s="11">
        <f t="shared" si="23"/>
        <v>0</v>
      </c>
      <c r="AY114" s="8">
        <f t="shared" si="24"/>
        <v>338</v>
      </c>
      <c r="AZ114" s="11"/>
      <c r="BD114" s="11"/>
      <c r="BG114" s="11"/>
      <c r="CG114" s="264"/>
      <c r="CH114" s="264"/>
      <c r="CI114" s="264"/>
      <c r="CJ114" s="264"/>
      <c r="CK114" s="264"/>
      <c r="DK114" s="12"/>
      <c r="DM114" s="2">
        <v>4</v>
      </c>
      <c r="DP114" s="249"/>
      <c r="DR114" s="279"/>
      <c r="DS114" s="279"/>
      <c r="DT114" s="279"/>
      <c r="DU114" s="279"/>
      <c r="DV114" s="279"/>
      <c r="DW114" s="3">
        <v>11</v>
      </c>
    </row>
    <row r="115" spans="1:127">
      <c r="A115" s="102">
        <v>196</v>
      </c>
      <c r="B115" s="56">
        <v>5</v>
      </c>
      <c r="C115" s="240"/>
      <c r="D115" s="240"/>
      <c r="E115" s="240"/>
      <c r="F115" s="240"/>
      <c r="G115" s="240"/>
      <c r="H115" s="240"/>
      <c r="I115" s="240"/>
      <c r="J115" s="240"/>
      <c r="K115" s="240"/>
      <c r="L115" s="240"/>
      <c r="M115" s="240"/>
      <c r="N115" s="240"/>
      <c r="O115" s="240"/>
      <c r="P115" s="243"/>
      <c r="Q115" s="243"/>
      <c r="R115" s="10"/>
      <c r="S115" s="249">
        <v>167</v>
      </c>
      <c r="T115" s="56">
        <v>321</v>
      </c>
      <c r="U115" s="56"/>
      <c r="V115" s="56"/>
      <c r="W115" s="56"/>
      <c r="X115" s="56"/>
      <c r="Y115" s="56">
        <v>138</v>
      </c>
      <c r="Z115" s="56">
        <v>311</v>
      </c>
      <c r="AA115" s="56">
        <v>301</v>
      </c>
      <c r="AB115" s="56">
        <v>233</v>
      </c>
      <c r="AC115" s="56"/>
      <c r="AD115" s="56"/>
      <c r="AF115" s="56"/>
      <c r="AG115" s="56">
        <v>179</v>
      </c>
      <c r="AH115" s="56">
        <v>112</v>
      </c>
      <c r="AM115" s="102">
        <f t="shared" si="19"/>
        <v>1762</v>
      </c>
      <c r="AN115" s="257">
        <f t="shared" si="20"/>
        <v>1762</v>
      </c>
      <c r="AO115" s="8"/>
      <c r="AP115" s="3">
        <f t="shared" si="18"/>
        <v>1762</v>
      </c>
      <c r="AQ115" s="2">
        <f t="shared" si="21"/>
        <v>1</v>
      </c>
      <c r="AR115" s="264"/>
      <c r="AS115" s="264"/>
      <c r="AT115" s="264"/>
      <c r="AU115" s="264"/>
      <c r="AW115" s="8">
        <f t="shared" si="22"/>
        <v>321</v>
      </c>
      <c r="AX115" s="11">
        <f t="shared" si="23"/>
        <v>0</v>
      </c>
      <c r="AY115" s="8">
        <f t="shared" si="24"/>
        <v>167</v>
      </c>
      <c r="AZ115" s="11"/>
      <c r="BD115" s="11"/>
      <c r="BG115" s="11"/>
      <c r="CG115" s="264"/>
      <c r="CH115" s="264"/>
      <c r="CI115" s="264"/>
      <c r="CJ115" s="264"/>
      <c r="CK115" s="264"/>
      <c r="DK115" s="12"/>
      <c r="DM115" s="2">
        <v>4</v>
      </c>
      <c r="DP115" s="249"/>
      <c r="DR115" s="279"/>
      <c r="DS115" s="279"/>
      <c r="DT115" s="279"/>
      <c r="DU115" s="279"/>
      <c r="DV115" s="279"/>
      <c r="DW115" s="3">
        <v>20</v>
      </c>
    </row>
    <row r="116" spans="1:127">
      <c r="A116" s="102">
        <v>197</v>
      </c>
      <c r="B116" s="56">
        <v>5</v>
      </c>
      <c r="C116" s="240"/>
      <c r="D116" s="240"/>
      <c r="E116" s="240"/>
      <c r="F116" s="240"/>
      <c r="G116" s="240"/>
      <c r="H116" s="240"/>
      <c r="I116" s="240"/>
      <c r="J116" s="240"/>
      <c r="K116" s="240"/>
      <c r="L116" s="240"/>
      <c r="M116" s="240"/>
      <c r="N116" s="240"/>
      <c r="O116" s="240"/>
      <c r="P116" s="243"/>
      <c r="Q116" s="243"/>
      <c r="R116" s="10"/>
      <c r="S116" s="249">
        <v>144</v>
      </c>
      <c r="T116" s="56">
        <v>298</v>
      </c>
      <c r="U116" s="56"/>
      <c r="V116" s="56"/>
      <c r="W116" s="56"/>
      <c r="X116" s="56"/>
      <c r="Y116" s="56">
        <v>198</v>
      </c>
      <c r="Z116" s="56">
        <v>306</v>
      </c>
      <c r="AA116" s="56">
        <v>284</v>
      </c>
      <c r="AB116" s="56">
        <v>232</v>
      </c>
      <c r="AC116" s="56"/>
      <c r="AD116" s="56"/>
      <c r="AF116" s="56"/>
      <c r="AG116" s="56">
        <v>163</v>
      </c>
      <c r="AH116" s="56">
        <v>125</v>
      </c>
      <c r="AM116" s="102">
        <f t="shared" si="19"/>
        <v>1750</v>
      </c>
      <c r="AN116" s="257">
        <f t="shared" si="20"/>
        <v>1750</v>
      </c>
      <c r="AO116" s="8"/>
      <c r="AP116" s="3">
        <f t="shared" si="18"/>
        <v>1750</v>
      </c>
      <c r="AQ116" s="2">
        <f t="shared" si="21"/>
        <v>1</v>
      </c>
      <c r="AR116" s="264"/>
      <c r="AS116" s="264"/>
      <c r="AT116" s="264"/>
      <c r="AU116" s="264"/>
      <c r="AW116" s="8">
        <f t="shared" si="22"/>
        <v>298</v>
      </c>
      <c r="AX116" s="11">
        <f t="shared" si="23"/>
        <v>0</v>
      </c>
      <c r="AY116" s="8">
        <f t="shared" si="24"/>
        <v>144</v>
      </c>
      <c r="AZ116" s="11"/>
      <c r="BD116" s="11"/>
      <c r="BG116" s="11"/>
      <c r="CG116" s="264"/>
      <c r="CH116" s="264"/>
      <c r="CI116" s="264"/>
      <c r="CJ116" s="264"/>
      <c r="CK116" s="264"/>
      <c r="DK116" s="12"/>
      <c r="DM116" s="2">
        <v>4</v>
      </c>
      <c r="DP116" s="249"/>
      <c r="DR116" s="279"/>
      <c r="DS116" s="279"/>
      <c r="DT116" s="279"/>
      <c r="DU116" s="279"/>
      <c r="DV116" s="279"/>
      <c r="DW116" s="3">
        <v>20</v>
      </c>
    </row>
    <row r="117" spans="1:127">
      <c r="A117" s="102">
        <v>198</v>
      </c>
      <c r="B117" s="56">
        <v>5</v>
      </c>
      <c r="C117" s="240"/>
      <c r="D117" s="240"/>
      <c r="E117" s="240"/>
      <c r="F117" s="240"/>
      <c r="G117" s="240"/>
      <c r="H117" s="240"/>
      <c r="I117" s="240"/>
      <c r="J117" s="240"/>
      <c r="K117" s="240"/>
      <c r="L117" s="240"/>
      <c r="M117" s="240"/>
      <c r="N117" s="240"/>
      <c r="O117" s="240"/>
      <c r="P117" s="243"/>
      <c r="Q117" s="243"/>
      <c r="R117" s="10"/>
      <c r="S117" s="249">
        <v>193</v>
      </c>
      <c r="T117" s="56">
        <v>260</v>
      </c>
      <c r="U117" s="56"/>
      <c r="V117" s="56"/>
      <c r="W117" s="56"/>
      <c r="X117" s="56"/>
      <c r="Y117" s="56">
        <v>208</v>
      </c>
      <c r="Z117" s="56">
        <v>279</v>
      </c>
      <c r="AA117" s="56">
        <v>317</v>
      </c>
      <c r="AB117" s="56">
        <v>248</v>
      </c>
      <c r="AC117" s="56"/>
      <c r="AD117" s="56"/>
      <c r="AF117" s="56"/>
      <c r="AG117" s="56">
        <v>192</v>
      </c>
      <c r="AH117" s="56">
        <v>193</v>
      </c>
      <c r="AM117" s="102">
        <f t="shared" si="19"/>
        <v>1890</v>
      </c>
      <c r="AN117" s="257">
        <f t="shared" si="20"/>
        <v>1890</v>
      </c>
      <c r="AO117" s="8"/>
      <c r="AP117" s="3">
        <f t="shared" si="18"/>
        <v>1890</v>
      </c>
      <c r="AQ117" s="2">
        <f t="shared" si="21"/>
        <v>1</v>
      </c>
      <c r="AR117" s="264"/>
      <c r="AS117" s="264"/>
      <c r="AT117" s="264"/>
      <c r="AU117" s="264"/>
      <c r="AW117" s="8">
        <f t="shared" si="22"/>
        <v>260</v>
      </c>
      <c r="AX117" s="11">
        <f t="shared" si="23"/>
        <v>0</v>
      </c>
      <c r="AY117" s="8">
        <f t="shared" si="24"/>
        <v>193</v>
      </c>
      <c r="AZ117" s="11"/>
      <c r="BD117" s="11"/>
      <c r="BG117" s="11"/>
      <c r="CG117" s="264"/>
      <c r="CH117" s="264"/>
      <c r="CI117" s="264"/>
      <c r="CJ117" s="264"/>
      <c r="CK117" s="264"/>
      <c r="DK117" s="12"/>
      <c r="DM117" s="2">
        <v>4</v>
      </c>
      <c r="DP117" s="249"/>
      <c r="DR117" s="279"/>
      <c r="DS117" s="279"/>
      <c r="DT117" s="279"/>
      <c r="DU117" s="279"/>
      <c r="DV117" s="279"/>
      <c r="DW117" s="3">
        <v>24</v>
      </c>
    </row>
    <row r="118" spans="1:127">
      <c r="A118" s="102">
        <v>199</v>
      </c>
      <c r="B118" s="56">
        <v>5</v>
      </c>
      <c r="C118" s="240"/>
      <c r="D118" s="240"/>
      <c r="E118" s="240"/>
      <c r="F118" s="240"/>
      <c r="G118" s="240"/>
      <c r="H118" s="240"/>
      <c r="I118" s="240"/>
      <c r="J118" s="240"/>
      <c r="K118" s="240"/>
      <c r="L118" s="240"/>
      <c r="M118" s="240"/>
      <c r="N118" s="240"/>
      <c r="O118" s="240"/>
      <c r="P118" s="243"/>
      <c r="Q118" s="243"/>
      <c r="R118" s="10"/>
      <c r="S118" s="249">
        <v>147</v>
      </c>
      <c r="T118" s="56">
        <v>230</v>
      </c>
      <c r="U118" s="56"/>
      <c r="V118" s="56"/>
      <c r="W118" s="56"/>
      <c r="X118" s="56"/>
      <c r="Y118" s="56">
        <v>120</v>
      </c>
      <c r="Z118" s="56">
        <v>257</v>
      </c>
      <c r="AA118" s="56">
        <v>309</v>
      </c>
      <c r="AB118" s="56">
        <v>333</v>
      </c>
      <c r="AC118" s="56"/>
      <c r="AD118" s="56"/>
      <c r="AF118" s="56"/>
      <c r="AG118" s="56">
        <v>170</v>
      </c>
      <c r="AH118" s="56">
        <v>116</v>
      </c>
      <c r="AM118" s="102">
        <f t="shared" si="19"/>
        <v>1682</v>
      </c>
      <c r="AN118" s="257">
        <f t="shared" si="20"/>
        <v>1682</v>
      </c>
      <c r="AO118" s="8"/>
      <c r="AP118" s="3">
        <f t="shared" si="18"/>
        <v>1682</v>
      </c>
      <c r="AQ118" s="2">
        <f t="shared" si="21"/>
        <v>1</v>
      </c>
      <c r="AR118" s="264"/>
      <c r="AS118" s="264"/>
      <c r="AT118" s="264"/>
      <c r="AU118" s="264"/>
      <c r="AW118" s="8">
        <f t="shared" si="22"/>
        <v>230</v>
      </c>
      <c r="AX118" s="11">
        <f t="shared" si="23"/>
        <v>0</v>
      </c>
      <c r="AY118" s="8">
        <f t="shared" si="24"/>
        <v>147</v>
      </c>
      <c r="AZ118" s="11"/>
      <c r="BD118" s="11"/>
      <c r="BG118" s="11"/>
      <c r="CG118" s="264"/>
      <c r="CH118" s="264"/>
      <c r="CI118" s="264"/>
      <c r="CJ118" s="264"/>
      <c r="CK118" s="264"/>
      <c r="DK118" s="12"/>
      <c r="DM118" s="2">
        <v>4</v>
      </c>
      <c r="DP118" s="249"/>
      <c r="DR118" s="279"/>
      <c r="DS118" s="279"/>
      <c r="DT118" s="279"/>
      <c r="DU118" s="279"/>
      <c r="DV118" s="279"/>
      <c r="DW118" s="3">
        <v>22</v>
      </c>
    </row>
    <row r="119" spans="1:127">
      <c r="A119" s="102">
        <v>200</v>
      </c>
      <c r="B119" s="56">
        <v>5</v>
      </c>
      <c r="C119" s="240"/>
      <c r="D119" s="240"/>
      <c r="E119" s="240"/>
      <c r="F119" s="240"/>
      <c r="G119" s="240"/>
      <c r="H119" s="240"/>
      <c r="I119" s="240"/>
      <c r="J119" s="240"/>
      <c r="K119" s="240"/>
      <c r="L119" s="240"/>
      <c r="M119" s="240"/>
      <c r="N119" s="240"/>
      <c r="O119" s="240"/>
      <c r="P119" s="243"/>
      <c r="Q119" s="243"/>
      <c r="R119" s="10"/>
      <c r="S119" s="249">
        <v>294</v>
      </c>
      <c r="T119" s="56">
        <v>253</v>
      </c>
      <c r="U119" s="56"/>
      <c r="V119" s="56"/>
      <c r="W119" s="56"/>
      <c r="X119" s="56"/>
      <c r="Y119" s="56">
        <v>224</v>
      </c>
      <c r="Z119" s="56">
        <v>241</v>
      </c>
      <c r="AA119" s="56">
        <v>321</v>
      </c>
      <c r="AB119" s="56">
        <v>231</v>
      </c>
      <c r="AC119" s="56"/>
      <c r="AD119" s="56"/>
      <c r="AF119" s="56"/>
      <c r="AG119" s="56">
        <v>184</v>
      </c>
      <c r="AH119" s="56">
        <v>124</v>
      </c>
      <c r="AM119" s="102">
        <f t="shared" si="19"/>
        <v>1872</v>
      </c>
      <c r="AN119" s="257">
        <f t="shared" si="20"/>
        <v>1872</v>
      </c>
      <c r="AO119" s="8"/>
      <c r="AP119" s="3">
        <f t="shared" si="18"/>
        <v>1872</v>
      </c>
      <c r="AQ119" s="2">
        <f t="shared" si="21"/>
        <v>1</v>
      </c>
      <c r="AR119" s="264"/>
      <c r="AS119" s="264"/>
      <c r="AT119" s="264"/>
      <c r="AU119" s="264"/>
      <c r="AW119" s="8">
        <f t="shared" si="22"/>
        <v>253</v>
      </c>
      <c r="AX119" s="11">
        <f t="shared" si="23"/>
        <v>0</v>
      </c>
      <c r="AY119" s="8">
        <f t="shared" si="24"/>
        <v>294</v>
      </c>
      <c r="AZ119" s="11"/>
      <c r="BD119" s="11"/>
      <c r="BG119" s="11"/>
      <c r="CG119" s="264"/>
      <c r="CH119" s="264"/>
      <c r="CI119" s="264"/>
      <c r="CJ119" s="264"/>
      <c r="CK119" s="264"/>
      <c r="DK119" s="12"/>
      <c r="DM119" s="2">
        <v>4</v>
      </c>
      <c r="DP119" s="249"/>
      <c r="DR119" s="279"/>
      <c r="DS119" s="279"/>
      <c r="DT119" s="279"/>
      <c r="DU119" s="279"/>
      <c r="DV119" s="279"/>
      <c r="DW119" s="3">
        <v>43</v>
      </c>
    </row>
    <row r="120" spans="1:127">
      <c r="A120" s="102">
        <v>201</v>
      </c>
      <c r="B120" s="56">
        <v>5</v>
      </c>
      <c r="C120" s="240"/>
      <c r="D120" s="240"/>
      <c r="E120" s="240"/>
      <c r="F120" s="240"/>
      <c r="G120" s="240"/>
      <c r="H120" s="240"/>
      <c r="I120" s="240"/>
      <c r="J120" s="240"/>
      <c r="K120" s="240"/>
      <c r="L120" s="240"/>
      <c r="M120" s="240"/>
      <c r="N120" s="240"/>
      <c r="O120" s="240"/>
      <c r="P120" s="243"/>
      <c r="Q120" s="243"/>
      <c r="R120" s="10"/>
      <c r="S120" s="249">
        <v>282</v>
      </c>
      <c r="T120" s="56">
        <v>253</v>
      </c>
      <c r="U120" s="56"/>
      <c r="V120" s="56"/>
      <c r="W120" s="56"/>
      <c r="X120" s="56"/>
      <c r="Y120" s="56">
        <v>234</v>
      </c>
      <c r="Z120" s="56">
        <v>191</v>
      </c>
      <c r="AA120" s="56">
        <v>315</v>
      </c>
      <c r="AB120" s="56">
        <v>291</v>
      </c>
      <c r="AC120" s="56"/>
      <c r="AD120" s="56"/>
      <c r="AF120" s="56"/>
      <c r="AG120" s="56">
        <v>186</v>
      </c>
      <c r="AH120" s="56">
        <v>139</v>
      </c>
      <c r="AM120" s="102">
        <f t="shared" si="19"/>
        <v>1891</v>
      </c>
      <c r="AN120" s="257">
        <f t="shared" si="20"/>
        <v>1891</v>
      </c>
      <c r="AO120" s="8"/>
      <c r="AP120" s="3">
        <f t="shared" si="18"/>
        <v>1891</v>
      </c>
      <c r="AQ120" s="2">
        <f t="shared" si="21"/>
        <v>1</v>
      </c>
      <c r="AR120" s="264"/>
      <c r="AS120" s="264"/>
      <c r="AT120" s="264"/>
      <c r="AU120" s="264"/>
      <c r="AW120" s="8">
        <f t="shared" si="22"/>
        <v>253</v>
      </c>
      <c r="AX120" s="11">
        <f t="shared" si="23"/>
        <v>0</v>
      </c>
      <c r="AY120" s="8">
        <f t="shared" si="24"/>
        <v>282</v>
      </c>
      <c r="AZ120" s="11"/>
      <c r="BD120" s="11"/>
      <c r="BG120" s="11"/>
      <c r="CG120" s="264"/>
      <c r="CH120" s="264"/>
      <c r="CI120" s="264"/>
      <c r="CJ120" s="264"/>
      <c r="CK120" s="264"/>
      <c r="DK120" s="12"/>
      <c r="DM120" s="2">
        <v>4</v>
      </c>
      <c r="DP120" s="249"/>
      <c r="DR120" s="279"/>
      <c r="DS120" s="279"/>
      <c r="DT120" s="279"/>
      <c r="DU120" s="279"/>
      <c r="DV120" s="279"/>
      <c r="DW120" s="3">
        <v>44</v>
      </c>
    </row>
    <row r="121" spans="1:127">
      <c r="A121" s="102">
        <v>202</v>
      </c>
      <c r="B121" s="56">
        <v>5</v>
      </c>
      <c r="C121" s="240"/>
      <c r="D121" s="240"/>
      <c r="E121" s="240"/>
      <c r="F121" s="240"/>
      <c r="G121" s="240"/>
      <c r="H121" s="240"/>
      <c r="I121" s="240"/>
      <c r="J121" s="240"/>
      <c r="K121" s="240"/>
      <c r="L121" s="240"/>
      <c r="M121" s="240"/>
      <c r="N121" s="240"/>
      <c r="O121" s="240"/>
      <c r="P121" s="243"/>
      <c r="Q121" s="243"/>
      <c r="R121" s="10"/>
      <c r="S121" s="249">
        <v>290</v>
      </c>
      <c r="T121" s="56">
        <v>300</v>
      </c>
      <c r="U121" s="56"/>
      <c r="V121" s="56"/>
      <c r="W121" s="56"/>
      <c r="X121" s="56"/>
      <c r="Y121" s="56">
        <v>306</v>
      </c>
      <c r="Z121" s="56">
        <v>302</v>
      </c>
      <c r="AA121" s="56">
        <v>364</v>
      </c>
      <c r="AB121" s="56">
        <v>335</v>
      </c>
      <c r="AC121" s="56"/>
      <c r="AD121" s="56"/>
      <c r="AF121" s="56"/>
      <c r="AG121" s="56">
        <v>207</v>
      </c>
      <c r="AH121" s="56">
        <v>194</v>
      </c>
      <c r="AM121" s="102">
        <f t="shared" si="19"/>
        <v>2298</v>
      </c>
      <c r="AN121" s="257">
        <f t="shared" si="20"/>
        <v>2298</v>
      </c>
      <c r="AO121" s="8"/>
      <c r="AP121" s="3">
        <f t="shared" ref="AP121:AP133" si="25">AM121</f>
        <v>2298</v>
      </c>
      <c r="AQ121" s="2">
        <f t="shared" si="21"/>
        <v>1</v>
      </c>
      <c r="AR121" s="264"/>
      <c r="AS121" s="264"/>
      <c r="AT121" s="264"/>
      <c r="AU121" s="264"/>
      <c r="AW121" s="8">
        <f t="shared" si="22"/>
        <v>300</v>
      </c>
      <c r="AX121" s="11">
        <f t="shared" si="23"/>
        <v>0</v>
      </c>
      <c r="AY121" s="8">
        <f t="shared" si="24"/>
        <v>290</v>
      </c>
      <c r="AZ121" s="11"/>
      <c r="BD121" s="11"/>
      <c r="BG121" s="11"/>
      <c r="CG121" s="264"/>
      <c r="CH121" s="264"/>
      <c r="CI121" s="264"/>
      <c r="CJ121" s="264"/>
      <c r="CK121" s="264"/>
      <c r="DK121" s="12"/>
      <c r="DM121" s="2">
        <v>4</v>
      </c>
      <c r="DP121" s="249"/>
      <c r="DR121" s="279"/>
      <c r="DS121" s="279"/>
      <c r="DT121" s="279"/>
      <c r="DU121" s="279"/>
      <c r="DV121" s="279"/>
      <c r="DW121" s="3">
        <v>28</v>
      </c>
    </row>
    <row r="122" spans="1:127">
      <c r="A122" s="102">
        <v>203</v>
      </c>
      <c r="B122" s="56">
        <v>5</v>
      </c>
      <c r="C122" s="240"/>
      <c r="D122" s="240"/>
      <c r="E122" s="240"/>
      <c r="F122" s="240"/>
      <c r="G122" s="240"/>
      <c r="H122" s="240"/>
      <c r="I122" s="240"/>
      <c r="J122" s="240"/>
      <c r="K122" s="240"/>
      <c r="L122" s="240"/>
      <c r="M122" s="240"/>
      <c r="N122" s="240"/>
      <c r="O122" s="240"/>
      <c r="P122" s="243"/>
      <c r="Q122" s="243"/>
      <c r="R122" s="10"/>
      <c r="S122" s="249">
        <v>246</v>
      </c>
      <c r="T122" s="56">
        <v>390</v>
      </c>
      <c r="U122" s="56"/>
      <c r="V122" s="56"/>
      <c r="W122" s="56"/>
      <c r="X122" s="56"/>
      <c r="Y122" s="56">
        <v>251</v>
      </c>
      <c r="Z122" s="56">
        <v>385</v>
      </c>
      <c r="AA122" s="56">
        <v>366</v>
      </c>
      <c r="AB122" s="56">
        <v>311</v>
      </c>
      <c r="AC122" s="56"/>
      <c r="AD122" s="56"/>
      <c r="AF122" s="56"/>
      <c r="AG122" s="56">
        <v>201</v>
      </c>
      <c r="AH122" s="56">
        <v>182</v>
      </c>
      <c r="AM122" s="102">
        <f t="shared" si="19"/>
        <v>2332</v>
      </c>
      <c r="AN122" s="257">
        <f t="shared" si="20"/>
        <v>2332</v>
      </c>
      <c r="AO122" s="8"/>
      <c r="AP122" s="3">
        <f t="shared" si="25"/>
        <v>2332</v>
      </c>
      <c r="AQ122" s="2">
        <f t="shared" si="21"/>
        <v>1</v>
      </c>
      <c r="AR122" s="264"/>
      <c r="AS122" s="264"/>
      <c r="AT122" s="264"/>
      <c r="AU122" s="264"/>
      <c r="AW122" s="8">
        <f t="shared" si="22"/>
        <v>390</v>
      </c>
      <c r="AX122" s="11">
        <f t="shared" si="23"/>
        <v>0</v>
      </c>
      <c r="AY122" s="8">
        <f t="shared" si="24"/>
        <v>246</v>
      </c>
      <c r="AZ122" s="11"/>
      <c r="BD122" s="11"/>
      <c r="BG122" s="11"/>
      <c r="CG122" s="264"/>
      <c r="CH122" s="264"/>
      <c r="CI122" s="264"/>
      <c r="CJ122" s="264"/>
      <c r="CK122" s="264"/>
      <c r="DK122" s="12"/>
      <c r="DM122" s="2">
        <v>4</v>
      </c>
      <c r="DP122" s="249"/>
      <c r="DR122" s="279"/>
      <c r="DS122" s="279"/>
      <c r="DT122" s="279"/>
      <c r="DU122" s="279"/>
      <c r="DV122" s="279"/>
      <c r="DW122" s="3">
        <v>26</v>
      </c>
    </row>
    <row r="123" spans="1:127">
      <c r="A123" s="102">
        <v>204</v>
      </c>
      <c r="B123" s="56">
        <v>5</v>
      </c>
      <c r="C123" s="240"/>
      <c r="D123" s="240"/>
      <c r="E123" s="240"/>
      <c r="F123" s="240"/>
      <c r="G123" s="240"/>
      <c r="H123" s="240"/>
      <c r="I123" s="240"/>
      <c r="J123" s="240"/>
      <c r="K123" s="240"/>
      <c r="L123" s="240"/>
      <c r="M123" s="240"/>
      <c r="N123" s="240"/>
      <c r="O123" s="240"/>
      <c r="P123" s="243"/>
      <c r="Q123" s="243"/>
      <c r="R123" s="10"/>
      <c r="S123" s="249">
        <v>206</v>
      </c>
      <c r="T123" s="56">
        <v>356</v>
      </c>
      <c r="U123" s="56"/>
      <c r="V123" s="56"/>
      <c r="W123" s="56"/>
      <c r="X123" s="56"/>
      <c r="Y123" s="56">
        <v>192</v>
      </c>
      <c r="Z123" s="56">
        <v>341</v>
      </c>
      <c r="AA123" s="56">
        <v>253</v>
      </c>
      <c r="AB123" s="56">
        <v>390</v>
      </c>
      <c r="AC123" s="56"/>
      <c r="AD123" s="56"/>
      <c r="AF123" s="56"/>
      <c r="AG123" s="56">
        <v>201</v>
      </c>
      <c r="AH123" s="56">
        <v>259</v>
      </c>
      <c r="AM123" s="102">
        <f t="shared" si="19"/>
        <v>2198</v>
      </c>
      <c r="AN123" s="257">
        <f t="shared" si="20"/>
        <v>2198</v>
      </c>
      <c r="AO123" s="8"/>
      <c r="AP123" s="3">
        <f t="shared" si="25"/>
        <v>2198</v>
      </c>
      <c r="AQ123" s="2">
        <f t="shared" si="21"/>
        <v>1</v>
      </c>
      <c r="AR123" s="264"/>
      <c r="AS123" s="264"/>
      <c r="AT123" s="264"/>
      <c r="AU123" s="264"/>
      <c r="AW123" s="8">
        <f t="shared" si="22"/>
        <v>356</v>
      </c>
      <c r="AX123" s="11">
        <f t="shared" si="23"/>
        <v>0</v>
      </c>
      <c r="AY123" s="8">
        <f t="shared" si="24"/>
        <v>206</v>
      </c>
      <c r="AZ123" s="11"/>
      <c r="BD123" s="11"/>
      <c r="BG123" s="11"/>
      <c r="CG123" s="264"/>
      <c r="CH123" s="264"/>
      <c r="CI123" s="264"/>
      <c r="CJ123" s="264"/>
      <c r="CK123" s="264"/>
      <c r="DK123" s="12"/>
      <c r="DM123" s="2">
        <v>4</v>
      </c>
      <c r="DP123" s="249"/>
      <c r="DR123" s="279"/>
      <c r="DS123" s="279"/>
      <c r="DT123" s="279"/>
      <c r="DU123" s="279"/>
      <c r="DV123" s="279"/>
      <c r="DW123" s="3">
        <v>28</v>
      </c>
    </row>
    <row r="124" spans="1:127">
      <c r="A124" s="102">
        <v>205</v>
      </c>
      <c r="B124" s="56">
        <v>5</v>
      </c>
      <c r="C124" s="240"/>
      <c r="D124" s="240"/>
      <c r="E124" s="240"/>
      <c r="F124" s="240"/>
      <c r="G124" s="240"/>
      <c r="H124" s="240"/>
      <c r="I124" s="240"/>
      <c r="J124" s="240"/>
      <c r="K124" s="240"/>
      <c r="L124" s="240"/>
      <c r="M124" s="240"/>
      <c r="N124" s="240"/>
      <c r="O124" s="240"/>
      <c r="P124" s="243"/>
      <c r="Q124" s="243"/>
      <c r="R124" s="10"/>
      <c r="S124" s="249">
        <v>117</v>
      </c>
      <c r="T124" s="56">
        <v>238</v>
      </c>
      <c r="U124" s="56"/>
      <c r="V124" s="56"/>
      <c r="W124" s="56"/>
      <c r="X124" s="56"/>
      <c r="Y124" s="56">
        <v>117</v>
      </c>
      <c r="Z124" s="56">
        <v>206</v>
      </c>
      <c r="AA124" s="56">
        <v>215</v>
      </c>
      <c r="AB124" s="56">
        <v>333</v>
      </c>
      <c r="AC124" s="56"/>
      <c r="AD124" s="56"/>
      <c r="AF124" s="56"/>
      <c r="AG124" s="56">
        <v>140</v>
      </c>
      <c r="AH124" s="56">
        <v>203</v>
      </c>
      <c r="AM124" s="102">
        <f t="shared" si="19"/>
        <v>1569</v>
      </c>
      <c r="AN124" s="257">
        <f t="shared" si="20"/>
        <v>1569</v>
      </c>
      <c r="AO124" s="8"/>
      <c r="AP124" s="3">
        <f t="shared" si="25"/>
        <v>1569</v>
      </c>
      <c r="AQ124" s="2">
        <f t="shared" si="21"/>
        <v>1</v>
      </c>
      <c r="AR124" s="264"/>
      <c r="AS124" s="264"/>
      <c r="AT124" s="264"/>
      <c r="AU124" s="264"/>
      <c r="AW124" s="8">
        <f t="shared" si="22"/>
        <v>238</v>
      </c>
      <c r="AX124" s="11">
        <f t="shared" si="23"/>
        <v>0</v>
      </c>
      <c r="AY124" s="8">
        <f t="shared" si="24"/>
        <v>117</v>
      </c>
      <c r="AZ124" s="11"/>
      <c r="BD124" s="11"/>
      <c r="BG124" s="11"/>
      <c r="CG124" s="264"/>
      <c r="CH124" s="264"/>
      <c r="CI124" s="264"/>
      <c r="CJ124" s="264"/>
      <c r="CK124" s="264"/>
      <c r="DK124" s="12"/>
      <c r="DM124" s="2">
        <v>4</v>
      </c>
      <c r="DP124" s="249"/>
      <c r="DR124" s="279"/>
      <c r="DS124" s="279"/>
      <c r="DT124" s="279"/>
      <c r="DU124" s="279"/>
      <c r="DV124" s="279"/>
      <c r="DW124" s="3">
        <v>0</v>
      </c>
    </row>
    <row r="125" spans="1:127">
      <c r="A125" s="102">
        <v>206</v>
      </c>
      <c r="B125" s="56">
        <v>5</v>
      </c>
      <c r="C125" s="240"/>
      <c r="D125" s="240"/>
      <c r="E125" s="240"/>
      <c r="F125" s="240"/>
      <c r="G125" s="240"/>
      <c r="H125" s="240"/>
      <c r="I125" s="240"/>
      <c r="J125" s="240"/>
      <c r="K125" s="240"/>
      <c r="L125" s="240"/>
      <c r="M125" s="240"/>
      <c r="N125" s="240"/>
      <c r="O125" s="240"/>
      <c r="P125" s="243"/>
      <c r="Q125" s="243"/>
      <c r="R125" s="10"/>
      <c r="S125" s="249">
        <v>218</v>
      </c>
      <c r="T125" s="56">
        <v>342</v>
      </c>
      <c r="U125" s="56"/>
      <c r="V125" s="56"/>
      <c r="W125" s="56"/>
      <c r="X125" s="56"/>
      <c r="Y125" s="56">
        <v>210</v>
      </c>
      <c r="Z125" s="56">
        <v>299</v>
      </c>
      <c r="AA125" s="56">
        <v>324</v>
      </c>
      <c r="AB125" s="56">
        <v>315</v>
      </c>
      <c r="AC125" s="56"/>
      <c r="AD125" s="56"/>
      <c r="AF125" s="56"/>
      <c r="AG125" s="56">
        <v>87</v>
      </c>
      <c r="AH125" s="56">
        <v>188</v>
      </c>
      <c r="AM125" s="102">
        <f t="shared" si="19"/>
        <v>1983</v>
      </c>
      <c r="AN125" s="257">
        <f t="shared" si="20"/>
        <v>1983</v>
      </c>
      <c r="AO125" s="8"/>
      <c r="AP125" s="3">
        <f t="shared" si="25"/>
        <v>1983</v>
      </c>
      <c r="AQ125" s="2">
        <f t="shared" si="21"/>
        <v>1</v>
      </c>
      <c r="AR125" s="264"/>
      <c r="AS125" s="264"/>
      <c r="AT125" s="264"/>
      <c r="AU125" s="264"/>
      <c r="AW125" s="8">
        <f t="shared" si="22"/>
        <v>342</v>
      </c>
      <c r="AX125" s="11">
        <f t="shared" si="23"/>
        <v>0</v>
      </c>
      <c r="AY125" s="8">
        <f t="shared" si="24"/>
        <v>218</v>
      </c>
      <c r="AZ125" s="11"/>
      <c r="BD125" s="11"/>
      <c r="BG125" s="11"/>
      <c r="CG125" s="264"/>
      <c r="CH125" s="264"/>
      <c r="CI125" s="264"/>
      <c r="CJ125" s="264"/>
      <c r="CK125" s="264"/>
      <c r="DK125" s="12"/>
      <c r="DM125" s="2">
        <v>4</v>
      </c>
      <c r="DP125" s="249"/>
      <c r="DR125" s="279"/>
      <c r="DS125" s="279"/>
      <c r="DT125" s="279"/>
      <c r="DU125" s="279"/>
      <c r="DV125" s="279"/>
      <c r="DW125" s="3">
        <v>20</v>
      </c>
    </row>
    <row r="126" spans="1:127">
      <c r="A126" s="102">
        <v>207</v>
      </c>
      <c r="B126" s="56">
        <v>5</v>
      </c>
      <c r="C126" s="240"/>
      <c r="D126" s="240"/>
      <c r="E126" s="240"/>
      <c r="F126" s="240"/>
      <c r="G126" s="240"/>
      <c r="H126" s="240"/>
      <c r="I126" s="240"/>
      <c r="J126" s="240"/>
      <c r="K126" s="240"/>
      <c r="L126" s="240"/>
      <c r="M126" s="240"/>
      <c r="N126" s="240"/>
      <c r="O126" s="240"/>
      <c r="P126" s="243"/>
      <c r="Q126" s="243"/>
      <c r="R126" s="10"/>
      <c r="S126" s="249">
        <v>238</v>
      </c>
      <c r="T126" s="56">
        <v>307</v>
      </c>
      <c r="U126" s="56"/>
      <c r="V126" s="56"/>
      <c r="W126" s="56"/>
      <c r="X126" s="56"/>
      <c r="Y126" s="56">
        <v>197</v>
      </c>
      <c r="Z126" s="56">
        <v>191</v>
      </c>
      <c r="AA126" s="56">
        <v>407</v>
      </c>
      <c r="AB126" s="56">
        <v>374</v>
      </c>
      <c r="AC126" s="56"/>
      <c r="AD126" s="56"/>
      <c r="AF126" s="56"/>
      <c r="AG126" s="56">
        <v>250</v>
      </c>
      <c r="AH126" s="56">
        <v>206</v>
      </c>
      <c r="AM126" s="102">
        <f t="shared" si="19"/>
        <v>2170</v>
      </c>
      <c r="AN126" s="257">
        <f t="shared" si="20"/>
        <v>2170</v>
      </c>
      <c r="AO126" s="8"/>
      <c r="AP126" s="3">
        <f t="shared" si="25"/>
        <v>2170</v>
      </c>
      <c r="AQ126" s="2">
        <f t="shared" si="21"/>
        <v>1</v>
      </c>
      <c r="AR126" s="264"/>
      <c r="AS126" s="264"/>
      <c r="AT126" s="264"/>
      <c r="AU126" s="264"/>
      <c r="AW126" s="8">
        <f t="shared" si="22"/>
        <v>307</v>
      </c>
      <c r="AX126" s="11">
        <f t="shared" si="23"/>
        <v>0</v>
      </c>
      <c r="AY126" s="8">
        <f t="shared" si="24"/>
        <v>238</v>
      </c>
      <c r="AZ126" s="11"/>
      <c r="BD126" s="11"/>
      <c r="BG126" s="11"/>
      <c r="CG126" s="264"/>
      <c r="CH126" s="264"/>
      <c r="CI126" s="264"/>
      <c r="CJ126" s="264"/>
      <c r="CK126" s="264"/>
      <c r="DK126" s="12"/>
      <c r="DM126" s="2">
        <v>4</v>
      </c>
      <c r="DP126" s="249"/>
      <c r="DR126" s="279"/>
      <c r="DS126" s="279"/>
      <c r="DT126" s="279"/>
      <c r="DU126" s="279"/>
      <c r="DV126" s="279"/>
      <c r="DW126" s="3">
        <v>13</v>
      </c>
    </row>
    <row r="127" spans="1:127">
      <c r="A127" s="102">
        <v>208</v>
      </c>
      <c r="B127" s="56">
        <v>5</v>
      </c>
      <c r="C127" s="240"/>
      <c r="D127" s="240"/>
      <c r="E127" s="240"/>
      <c r="F127" s="240"/>
      <c r="G127" s="240"/>
      <c r="H127" s="240"/>
      <c r="I127" s="240"/>
      <c r="J127" s="240"/>
      <c r="K127" s="240"/>
      <c r="L127" s="240"/>
      <c r="M127" s="240"/>
      <c r="N127" s="240"/>
      <c r="O127" s="240"/>
      <c r="P127" s="243"/>
      <c r="Q127" s="243"/>
      <c r="R127" s="10"/>
      <c r="S127" s="249">
        <v>195</v>
      </c>
      <c r="T127" s="56">
        <v>321</v>
      </c>
      <c r="U127" s="56"/>
      <c r="V127" s="56"/>
      <c r="W127" s="56"/>
      <c r="X127" s="56"/>
      <c r="Y127" s="56">
        <v>168</v>
      </c>
      <c r="Z127" s="56">
        <v>163</v>
      </c>
      <c r="AA127" s="56">
        <v>366</v>
      </c>
      <c r="AB127" s="56">
        <v>397</v>
      </c>
      <c r="AC127" s="56"/>
      <c r="AD127" s="56"/>
      <c r="AF127" s="56"/>
      <c r="AG127" s="56">
        <v>217</v>
      </c>
      <c r="AH127" s="56">
        <v>196</v>
      </c>
      <c r="AM127" s="102">
        <f t="shared" si="19"/>
        <v>2023</v>
      </c>
      <c r="AN127" s="257">
        <f t="shared" si="20"/>
        <v>2023</v>
      </c>
      <c r="AO127" s="8"/>
      <c r="AP127" s="3">
        <f t="shared" si="25"/>
        <v>2023</v>
      </c>
      <c r="AQ127" s="2">
        <f t="shared" si="21"/>
        <v>1</v>
      </c>
      <c r="AR127" s="264"/>
      <c r="AS127" s="264"/>
      <c r="AT127" s="264"/>
      <c r="AU127" s="264"/>
      <c r="AW127" s="8">
        <f t="shared" si="22"/>
        <v>321</v>
      </c>
      <c r="AX127" s="11">
        <f t="shared" si="23"/>
        <v>0</v>
      </c>
      <c r="AY127" s="8">
        <f t="shared" si="24"/>
        <v>195</v>
      </c>
      <c r="AZ127" s="11"/>
      <c r="BD127" s="11"/>
      <c r="BG127" s="11"/>
      <c r="CG127" s="264"/>
      <c r="CH127" s="264"/>
      <c r="CI127" s="264"/>
      <c r="CJ127" s="264"/>
      <c r="CK127" s="264"/>
      <c r="DK127" s="12"/>
      <c r="DM127" s="2">
        <v>4</v>
      </c>
      <c r="DP127" s="249"/>
      <c r="DR127" s="279"/>
      <c r="DS127" s="279"/>
      <c r="DT127" s="279"/>
      <c r="DU127" s="279"/>
      <c r="DV127" s="279"/>
      <c r="DW127" s="3">
        <v>13</v>
      </c>
    </row>
    <row r="128" spans="1:127">
      <c r="A128" s="102">
        <v>209</v>
      </c>
      <c r="B128" s="56">
        <v>5</v>
      </c>
      <c r="C128" s="240"/>
      <c r="D128" s="240"/>
      <c r="E128" s="240"/>
      <c r="F128" s="240"/>
      <c r="G128" s="240"/>
      <c r="H128" s="240"/>
      <c r="I128" s="240"/>
      <c r="J128" s="240"/>
      <c r="K128" s="240"/>
      <c r="L128" s="240"/>
      <c r="M128" s="240"/>
      <c r="N128" s="240"/>
      <c r="O128" s="240"/>
      <c r="P128" s="243"/>
      <c r="Q128" s="243"/>
      <c r="R128" s="10"/>
      <c r="S128" s="249">
        <v>317</v>
      </c>
      <c r="T128" s="56">
        <v>333</v>
      </c>
      <c r="U128" s="56"/>
      <c r="V128" s="56"/>
      <c r="W128" s="56"/>
      <c r="X128" s="56"/>
      <c r="Y128" s="56">
        <v>342</v>
      </c>
      <c r="Z128" s="56">
        <v>302</v>
      </c>
      <c r="AA128" s="56">
        <v>427</v>
      </c>
      <c r="AB128" s="56">
        <v>261</v>
      </c>
      <c r="AC128" s="56"/>
      <c r="AD128" s="56"/>
      <c r="AF128" s="56"/>
      <c r="AG128" s="56">
        <v>233</v>
      </c>
      <c r="AH128" s="56">
        <v>123</v>
      </c>
      <c r="AM128" s="102">
        <f t="shared" si="19"/>
        <v>2338</v>
      </c>
      <c r="AN128" s="257">
        <f t="shared" si="20"/>
        <v>2338</v>
      </c>
      <c r="AO128" s="8"/>
      <c r="AP128" s="3">
        <f t="shared" si="25"/>
        <v>2338</v>
      </c>
      <c r="AQ128" s="2">
        <f t="shared" si="21"/>
        <v>1</v>
      </c>
      <c r="AR128" s="264"/>
      <c r="AS128" s="264"/>
      <c r="AT128" s="264"/>
      <c r="AU128" s="264"/>
      <c r="AW128" s="8">
        <f t="shared" si="22"/>
        <v>333</v>
      </c>
      <c r="AX128" s="11">
        <f t="shared" si="23"/>
        <v>0</v>
      </c>
      <c r="AY128" s="8">
        <f t="shared" si="24"/>
        <v>317</v>
      </c>
      <c r="AZ128" s="11"/>
      <c r="BD128" s="11"/>
      <c r="BG128" s="11"/>
      <c r="CG128" s="264"/>
      <c r="CH128" s="264"/>
      <c r="CI128" s="264"/>
      <c r="CJ128" s="264"/>
      <c r="CK128" s="264"/>
      <c r="DK128" s="12"/>
      <c r="DM128" s="2">
        <v>4</v>
      </c>
      <c r="DP128" s="249"/>
      <c r="DR128" s="279"/>
      <c r="DS128" s="279"/>
      <c r="DT128" s="279"/>
      <c r="DU128" s="279"/>
      <c r="DV128" s="279"/>
      <c r="DW128" s="3">
        <v>12</v>
      </c>
    </row>
    <row r="129" spans="1:129">
      <c r="A129" s="102">
        <v>210</v>
      </c>
      <c r="B129" s="56">
        <v>5</v>
      </c>
      <c r="C129" s="240"/>
      <c r="D129" s="240"/>
      <c r="E129" s="240"/>
      <c r="F129" s="240"/>
      <c r="G129" s="240"/>
      <c r="H129" s="240"/>
      <c r="I129" s="240"/>
      <c r="J129" s="240"/>
      <c r="K129" s="240"/>
      <c r="L129" s="240"/>
      <c r="M129" s="240"/>
      <c r="N129" s="240"/>
      <c r="O129" s="240"/>
      <c r="P129" s="243"/>
      <c r="Q129" s="243"/>
      <c r="R129" s="10"/>
      <c r="S129" s="249">
        <v>254</v>
      </c>
      <c r="T129" s="56">
        <v>237</v>
      </c>
      <c r="U129" s="56"/>
      <c r="V129" s="56"/>
      <c r="W129" s="56"/>
      <c r="X129" s="56"/>
      <c r="Y129" s="56">
        <v>227</v>
      </c>
      <c r="Z129" s="56">
        <v>131</v>
      </c>
      <c r="AA129" s="56">
        <v>282</v>
      </c>
      <c r="AB129" s="56">
        <v>340</v>
      </c>
      <c r="AC129" s="56"/>
      <c r="AD129" s="56"/>
      <c r="AF129" s="56"/>
      <c r="AG129" s="56">
        <v>196</v>
      </c>
      <c r="AH129" s="56">
        <v>180</v>
      </c>
      <c r="AM129" s="102">
        <f t="shared" si="19"/>
        <v>1847</v>
      </c>
      <c r="AN129" s="257">
        <f t="shared" si="20"/>
        <v>1847</v>
      </c>
      <c r="AO129" s="8"/>
      <c r="AP129" s="3">
        <f t="shared" si="25"/>
        <v>1847</v>
      </c>
      <c r="AQ129" s="2">
        <f t="shared" si="21"/>
        <v>1</v>
      </c>
      <c r="AR129" s="264"/>
      <c r="AS129" s="264"/>
      <c r="AT129" s="264"/>
      <c r="AU129" s="264"/>
      <c r="AW129" s="8">
        <f t="shared" si="22"/>
        <v>237</v>
      </c>
      <c r="AX129" s="11">
        <f t="shared" si="23"/>
        <v>0</v>
      </c>
      <c r="AY129" s="8">
        <f t="shared" si="24"/>
        <v>254</v>
      </c>
      <c r="AZ129" s="11"/>
      <c r="BD129" s="11"/>
      <c r="BG129" s="11"/>
      <c r="CG129" s="264"/>
      <c r="CH129" s="264"/>
      <c r="CI129" s="264"/>
      <c r="CJ129" s="264"/>
      <c r="CK129" s="264"/>
      <c r="DK129" s="12"/>
      <c r="DM129" s="2">
        <v>4</v>
      </c>
      <c r="DP129" s="249"/>
      <c r="DR129" s="279"/>
      <c r="DS129" s="279"/>
      <c r="DT129" s="279"/>
      <c r="DU129" s="279"/>
      <c r="DV129" s="279"/>
      <c r="DW129" s="3">
        <v>24</v>
      </c>
    </row>
    <row r="130" spans="1:129">
      <c r="A130" s="102">
        <v>211</v>
      </c>
      <c r="B130" s="56">
        <v>5</v>
      </c>
      <c r="C130" s="240"/>
      <c r="D130" s="240"/>
      <c r="E130" s="240"/>
      <c r="F130" s="240"/>
      <c r="G130" s="240"/>
      <c r="H130" s="240"/>
      <c r="I130" s="240"/>
      <c r="J130" s="240"/>
      <c r="K130" s="240"/>
      <c r="L130" s="240"/>
      <c r="M130" s="240"/>
      <c r="N130" s="240"/>
      <c r="O130" s="240"/>
      <c r="P130" s="243"/>
      <c r="Q130" s="243"/>
      <c r="R130" s="10"/>
      <c r="S130" s="249">
        <v>216</v>
      </c>
      <c r="T130" s="56">
        <v>225</v>
      </c>
      <c r="U130" s="56"/>
      <c r="V130" s="56"/>
      <c r="W130" s="56"/>
      <c r="X130" s="56"/>
      <c r="Y130" s="56">
        <v>258</v>
      </c>
      <c r="Z130" s="56">
        <v>214</v>
      </c>
      <c r="AA130" s="56">
        <v>292</v>
      </c>
      <c r="AB130" s="56">
        <v>413</v>
      </c>
      <c r="AC130" s="56"/>
      <c r="AD130" s="56"/>
      <c r="AF130" s="56"/>
      <c r="AG130" s="56">
        <v>238</v>
      </c>
      <c r="AH130" s="56">
        <v>272</v>
      </c>
      <c r="AM130" s="102">
        <f t="shared" si="19"/>
        <v>2128</v>
      </c>
      <c r="AN130" s="257">
        <f t="shared" si="20"/>
        <v>2128</v>
      </c>
      <c r="AO130" s="8"/>
      <c r="AP130" s="3">
        <f t="shared" si="25"/>
        <v>2128</v>
      </c>
      <c r="AQ130" s="2">
        <f t="shared" si="21"/>
        <v>1</v>
      </c>
      <c r="AR130" s="264"/>
      <c r="AS130" s="264"/>
      <c r="AT130" s="264"/>
      <c r="AU130" s="264"/>
      <c r="AW130" s="8">
        <f t="shared" si="22"/>
        <v>225</v>
      </c>
      <c r="AX130" s="11">
        <f t="shared" si="23"/>
        <v>0</v>
      </c>
      <c r="AY130" s="8">
        <f t="shared" si="24"/>
        <v>216</v>
      </c>
      <c r="AZ130" s="11"/>
      <c r="BD130" s="11"/>
      <c r="BG130" s="11"/>
      <c r="CG130" s="264"/>
      <c r="CH130" s="264"/>
      <c r="CI130" s="264"/>
      <c r="CJ130" s="264"/>
      <c r="CK130" s="264"/>
      <c r="DK130" s="12"/>
      <c r="DM130" s="2">
        <v>4</v>
      </c>
      <c r="DP130" s="249"/>
      <c r="DR130" s="279"/>
      <c r="DS130" s="279"/>
      <c r="DT130" s="279"/>
      <c r="DU130" s="279"/>
      <c r="DV130" s="279"/>
      <c r="DW130" s="3">
        <v>18</v>
      </c>
    </row>
    <row r="131" spans="1:129">
      <c r="A131" s="102">
        <v>212</v>
      </c>
      <c r="B131" s="56">
        <v>5</v>
      </c>
      <c r="C131" s="240"/>
      <c r="D131" s="240"/>
      <c r="E131" s="240"/>
      <c r="F131" s="240"/>
      <c r="G131" s="240"/>
      <c r="H131" s="240"/>
      <c r="I131" s="240"/>
      <c r="J131" s="240"/>
      <c r="K131" s="240"/>
      <c r="L131" s="240"/>
      <c r="M131" s="240"/>
      <c r="N131" s="240"/>
      <c r="O131" s="240"/>
      <c r="P131" s="243"/>
      <c r="Q131" s="243"/>
      <c r="R131" s="10"/>
      <c r="S131" s="249">
        <v>211</v>
      </c>
      <c r="T131" s="56">
        <v>216</v>
      </c>
      <c r="U131" s="56"/>
      <c r="V131" s="56"/>
      <c r="W131" s="56"/>
      <c r="X131" s="56"/>
      <c r="Y131" s="56">
        <v>205</v>
      </c>
      <c r="Z131" s="56">
        <v>210</v>
      </c>
      <c r="AA131" s="56">
        <v>290</v>
      </c>
      <c r="AB131" s="56">
        <v>465</v>
      </c>
      <c r="AC131" s="56"/>
      <c r="AD131" s="56"/>
      <c r="AF131" s="56"/>
      <c r="AG131" s="56">
        <v>240</v>
      </c>
      <c r="AH131" s="56">
        <v>273</v>
      </c>
      <c r="AM131" s="102">
        <f t="shared" si="19"/>
        <v>2110</v>
      </c>
      <c r="AN131" s="257">
        <f t="shared" si="20"/>
        <v>2110</v>
      </c>
      <c r="AO131" s="8"/>
      <c r="AP131" s="3">
        <f t="shared" si="25"/>
        <v>2110</v>
      </c>
      <c r="AQ131" s="2">
        <f t="shared" si="21"/>
        <v>1</v>
      </c>
      <c r="AR131" s="264"/>
      <c r="AS131" s="264"/>
      <c r="AT131" s="264"/>
      <c r="AU131" s="264"/>
      <c r="AW131" s="8">
        <f t="shared" si="22"/>
        <v>216</v>
      </c>
      <c r="AX131" s="11">
        <f t="shared" si="23"/>
        <v>0</v>
      </c>
      <c r="AY131" s="8">
        <f t="shared" si="24"/>
        <v>211</v>
      </c>
      <c r="AZ131" s="11"/>
      <c r="BD131" s="11"/>
      <c r="BG131" s="11"/>
      <c r="CG131" s="264"/>
      <c r="CH131" s="264"/>
      <c r="CI131" s="264"/>
      <c r="CJ131" s="264"/>
      <c r="CK131" s="264"/>
      <c r="DK131" s="12"/>
      <c r="DM131" s="2">
        <v>4</v>
      </c>
      <c r="DP131" s="249"/>
      <c r="DR131" s="279"/>
      <c r="DS131" s="279"/>
      <c r="DT131" s="279"/>
      <c r="DU131" s="279"/>
      <c r="DV131" s="279"/>
      <c r="DW131" s="3">
        <v>17</v>
      </c>
    </row>
    <row r="132" spans="1:129">
      <c r="A132" s="102">
        <v>213</v>
      </c>
      <c r="B132" s="56">
        <v>5</v>
      </c>
      <c r="C132" s="240"/>
      <c r="D132" s="240"/>
      <c r="E132" s="240"/>
      <c r="F132" s="240"/>
      <c r="G132" s="240"/>
      <c r="H132" s="240"/>
      <c r="I132" s="240"/>
      <c r="J132" s="240"/>
      <c r="K132" s="240"/>
      <c r="L132" s="240"/>
      <c r="M132" s="240"/>
      <c r="N132" s="240"/>
      <c r="O132" s="240"/>
      <c r="P132" s="243"/>
      <c r="Q132" s="243"/>
      <c r="R132" s="10"/>
      <c r="S132" s="249">
        <v>235</v>
      </c>
      <c r="T132" s="56">
        <v>289</v>
      </c>
      <c r="U132" s="56"/>
      <c r="V132" s="56"/>
      <c r="W132" s="56"/>
      <c r="X132" s="56"/>
      <c r="Y132" s="56">
        <v>138</v>
      </c>
      <c r="Z132" s="56">
        <v>331</v>
      </c>
      <c r="AA132" s="56">
        <v>288</v>
      </c>
      <c r="AB132" s="56">
        <v>298</v>
      </c>
      <c r="AC132" s="56"/>
      <c r="AD132" s="56"/>
      <c r="AF132" s="56"/>
      <c r="AG132" s="56">
        <v>161</v>
      </c>
      <c r="AH132" s="56">
        <v>223</v>
      </c>
      <c r="AM132" s="102">
        <f t="shared" si="19"/>
        <v>1963</v>
      </c>
      <c r="AN132" s="257">
        <f t="shared" si="20"/>
        <v>1963</v>
      </c>
      <c r="AO132" s="8"/>
      <c r="AP132" s="3">
        <f t="shared" si="25"/>
        <v>1963</v>
      </c>
      <c r="AQ132" s="2">
        <f t="shared" si="21"/>
        <v>1</v>
      </c>
      <c r="AR132" s="264"/>
      <c r="AS132" s="264"/>
      <c r="AT132" s="264"/>
      <c r="AU132" s="264"/>
      <c r="AW132" s="8">
        <f t="shared" si="22"/>
        <v>289</v>
      </c>
      <c r="AX132" s="11">
        <f t="shared" si="23"/>
        <v>0</v>
      </c>
      <c r="AY132" s="8">
        <f t="shared" si="24"/>
        <v>235</v>
      </c>
      <c r="AZ132" s="11"/>
      <c r="BD132" s="11"/>
      <c r="BG132" s="11"/>
      <c r="CG132" s="264"/>
      <c r="CH132" s="264"/>
      <c r="CI132" s="264"/>
      <c r="CJ132" s="264"/>
      <c r="CK132" s="264"/>
      <c r="DK132" s="12"/>
      <c r="DM132" s="2">
        <v>4</v>
      </c>
      <c r="DP132" s="249"/>
      <c r="DR132" s="279"/>
      <c r="DS132" s="279"/>
      <c r="DT132" s="279"/>
      <c r="DU132" s="279"/>
      <c r="DV132" s="279"/>
      <c r="DW132" s="3">
        <v>18.3</v>
      </c>
    </row>
    <row r="133" spans="1:129" s="406" customFormat="1">
      <c r="A133" s="404">
        <v>214</v>
      </c>
      <c r="B133" s="415">
        <v>5</v>
      </c>
      <c r="C133" s="420"/>
      <c r="D133" s="420"/>
      <c r="E133" s="420"/>
      <c r="F133" s="420"/>
      <c r="G133" s="420"/>
      <c r="H133" s="420"/>
      <c r="I133" s="420"/>
      <c r="J133" s="420"/>
      <c r="K133" s="420"/>
      <c r="L133" s="420"/>
      <c r="M133" s="420"/>
      <c r="N133" s="420"/>
      <c r="O133" s="420"/>
      <c r="P133" s="421"/>
      <c r="Q133" s="421"/>
      <c r="R133" s="408"/>
      <c r="S133" s="409">
        <v>247</v>
      </c>
      <c r="T133" s="415">
        <v>199</v>
      </c>
      <c r="U133" s="415"/>
      <c r="V133" s="415"/>
      <c r="W133" s="415"/>
      <c r="X133" s="415"/>
      <c r="Y133" s="415">
        <v>231</v>
      </c>
      <c r="Z133" s="415">
        <v>167</v>
      </c>
      <c r="AA133" s="415">
        <v>385</v>
      </c>
      <c r="AB133" s="415">
        <v>429</v>
      </c>
      <c r="AC133" s="415"/>
      <c r="AD133" s="415"/>
      <c r="AE133" s="410"/>
      <c r="AF133" s="415"/>
      <c r="AG133" s="415">
        <v>229</v>
      </c>
      <c r="AH133" s="415">
        <v>259</v>
      </c>
      <c r="AM133" s="404">
        <f t="shared" si="19"/>
        <v>2146</v>
      </c>
      <c r="AN133" s="411">
        <f t="shared" si="20"/>
        <v>2146</v>
      </c>
      <c r="AO133" s="412"/>
      <c r="AP133" s="3">
        <f t="shared" si="25"/>
        <v>2146</v>
      </c>
      <c r="AQ133" s="406">
        <f t="shared" si="21"/>
        <v>1</v>
      </c>
      <c r="AR133" s="416"/>
      <c r="AS133" s="416"/>
      <c r="AT133" s="416"/>
      <c r="AU133" s="416"/>
      <c r="AW133" s="412">
        <f t="shared" si="22"/>
        <v>199</v>
      </c>
      <c r="AX133" s="407">
        <f t="shared" si="23"/>
        <v>0</v>
      </c>
      <c r="AY133" s="412">
        <f t="shared" si="24"/>
        <v>247</v>
      </c>
      <c r="AZ133" s="407"/>
      <c r="BD133" s="407"/>
      <c r="BG133" s="407"/>
      <c r="CG133" s="416"/>
      <c r="CH133" s="416"/>
      <c r="CI133" s="416"/>
      <c r="CJ133" s="416"/>
      <c r="CK133" s="416"/>
      <c r="DK133" s="418"/>
      <c r="DM133" s="406">
        <v>4</v>
      </c>
      <c r="DP133" s="409"/>
      <c r="DR133" s="422"/>
      <c r="DS133" s="422"/>
      <c r="DT133" s="422"/>
      <c r="DU133" s="422"/>
      <c r="DV133" s="422"/>
      <c r="DW133" s="414">
        <v>11.3</v>
      </c>
      <c r="DY133" s="434">
        <f>SUM(DW134:DW175)</f>
        <v>911</v>
      </c>
    </row>
    <row r="134" spans="1:129">
      <c r="A134" s="102">
        <v>251</v>
      </c>
      <c r="B134" s="56">
        <v>7</v>
      </c>
      <c r="C134" s="240"/>
      <c r="D134" s="240"/>
      <c r="E134" s="240"/>
      <c r="F134" s="240"/>
      <c r="G134" s="240"/>
      <c r="H134" s="240"/>
      <c r="I134" s="240"/>
      <c r="J134" s="240"/>
      <c r="K134" s="240"/>
      <c r="L134" s="240"/>
      <c r="M134" s="240"/>
      <c r="N134" s="240"/>
      <c r="O134" s="240"/>
      <c r="P134" s="243"/>
      <c r="Q134" s="243"/>
      <c r="R134" s="10"/>
      <c r="S134" s="249">
        <v>40</v>
      </c>
      <c r="T134" s="56">
        <v>158</v>
      </c>
      <c r="U134" s="56"/>
      <c r="V134" s="56"/>
      <c r="W134" s="56"/>
      <c r="X134" s="56"/>
      <c r="Y134" s="56">
        <v>170</v>
      </c>
      <c r="Z134" s="56">
        <v>138</v>
      </c>
      <c r="AA134" s="56">
        <v>70</v>
      </c>
      <c r="AB134" s="56">
        <v>97</v>
      </c>
      <c r="AC134" s="56"/>
      <c r="AD134" s="56"/>
      <c r="AF134" s="56"/>
      <c r="AG134" s="56">
        <v>170</v>
      </c>
      <c r="AH134" s="56">
        <v>157</v>
      </c>
      <c r="AM134" s="102">
        <f t="shared" si="19"/>
        <v>1000</v>
      </c>
      <c r="AN134" s="257">
        <f t="shared" si="20"/>
        <v>1000</v>
      </c>
      <c r="AO134" s="3">
        <f>AM134</f>
        <v>1000</v>
      </c>
      <c r="AP134" s="8"/>
      <c r="AQ134" s="2">
        <f t="shared" si="21"/>
        <v>1</v>
      </c>
      <c r="AR134" s="264"/>
      <c r="AS134" s="264"/>
      <c r="AT134" s="264"/>
      <c r="AU134" s="264"/>
      <c r="AW134" s="8">
        <f t="shared" si="22"/>
        <v>158</v>
      </c>
      <c r="AX134" s="11">
        <f t="shared" si="23"/>
        <v>0</v>
      </c>
      <c r="AY134" s="8">
        <f t="shared" si="24"/>
        <v>40</v>
      </c>
      <c r="AZ134" s="11"/>
      <c r="BD134" s="11"/>
      <c r="BG134" s="11"/>
      <c r="CG134" s="264"/>
      <c r="CH134" s="264"/>
      <c r="CI134" s="264"/>
      <c r="CJ134" s="264"/>
      <c r="CK134" s="264"/>
      <c r="DK134" s="12"/>
      <c r="DM134" s="2">
        <v>0</v>
      </c>
      <c r="DP134" s="249"/>
      <c r="DR134" s="279"/>
      <c r="DS134" s="279"/>
      <c r="DT134" s="279"/>
      <c r="DU134" s="279"/>
      <c r="DV134" s="279"/>
      <c r="DW134" s="3">
        <v>16</v>
      </c>
    </row>
    <row r="135" spans="1:129">
      <c r="A135" s="102">
        <v>252</v>
      </c>
      <c r="B135" s="56">
        <v>7</v>
      </c>
      <c r="C135" s="240"/>
      <c r="D135" s="240"/>
      <c r="E135" s="240"/>
      <c r="F135" s="240"/>
      <c r="G135" s="240"/>
      <c r="H135" s="240"/>
      <c r="I135" s="240"/>
      <c r="J135" s="240"/>
      <c r="K135" s="240"/>
      <c r="L135" s="240"/>
      <c r="M135" s="240"/>
      <c r="N135" s="240"/>
      <c r="O135" s="240"/>
      <c r="P135" s="243"/>
      <c r="Q135" s="243"/>
      <c r="R135" s="10"/>
      <c r="S135" s="249">
        <v>0</v>
      </c>
      <c r="T135" s="56">
        <v>141</v>
      </c>
      <c r="U135" s="56"/>
      <c r="V135" s="56"/>
      <c r="W135" s="56"/>
      <c r="X135" s="56"/>
      <c r="Y135" s="56">
        <v>165</v>
      </c>
      <c r="Z135" s="56">
        <v>143</v>
      </c>
      <c r="AA135" s="56">
        <v>74</v>
      </c>
      <c r="AB135" s="56">
        <v>97</v>
      </c>
      <c r="AC135" s="56"/>
      <c r="AD135" s="56"/>
      <c r="AF135" s="56"/>
      <c r="AG135" s="56">
        <v>167</v>
      </c>
      <c r="AH135" s="56">
        <v>107</v>
      </c>
      <c r="AM135" s="102">
        <f t="shared" si="19"/>
        <v>894</v>
      </c>
      <c r="AN135" s="257">
        <f t="shared" si="20"/>
        <v>894</v>
      </c>
      <c r="AO135" s="3">
        <f t="shared" ref="AO135:AO175" si="26">AM135</f>
        <v>894</v>
      </c>
      <c r="AP135" s="8"/>
      <c r="AQ135" s="2">
        <f t="shared" si="21"/>
        <v>1</v>
      </c>
      <c r="AR135" s="264"/>
      <c r="AS135" s="264"/>
      <c r="AT135" s="264"/>
      <c r="AU135" s="264"/>
      <c r="AW135" s="8">
        <f t="shared" si="22"/>
        <v>141</v>
      </c>
      <c r="AX135" s="11">
        <f t="shared" si="23"/>
        <v>0</v>
      </c>
      <c r="AY135" s="8">
        <f t="shared" si="24"/>
        <v>0</v>
      </c>
      <c r="AZ135" s="11"/>
      <c r="BD135" s="11"/>
      <c r="BG135" s="11"/>
      <c r="CG135" s="264"/>
      <c r="CH135" s="264"/>
      <c r="CI135" s="264"/>
      <c r="CJ135" s="264"/>
      <c r="CK135" s="264"/>
      <c r="DK135" s="12"/>
      <c r="DM135" s="2">
        <v>0</v>
      </c>
      <c r="DP135" s="249"/>
      <c r="DR135" s="279"/>
      <c r="DS135" s="279"/>
      <c r="DT135" s="279"/>
      <c r="DU135" s="279"/>
      <c r="DV135" s="279"/>
      <c r="DW135" s="3">
        <v>16.100000000000001</v>
      </c>
    </row>
    <row r="136" spans="1:129">
      <c r="A136" s="102">
        <v>253</v>
      </c>
      <c r="B136" s="56">
        <v>7</v>
      </c>
      <c r="C136" s="240"/>
      <c r="D136" s="240"/>
      <c r="E136" s="240"/>
      <c r="F136" s="240"/>
      <c r="G136" s="240"/>
      <c r="H136" s="240"/>
      <c r="I136" s="240"/>
      <c r="J136" s="240"/>
      <c r="K136" s="240"/>
      <c r="L136" s="240"/>
      <c r="M136" s="240"/>
      <c r="N136" s="240"/>
      <c r="O136" s="240"/>
      <c r="P136" s="243"/>
      <c r="Q136" s="243"/>
      <c r="R136" s="10"/>
      <c r="S136" s="249">
        <v>0</v>
      </c>
      <c r="T136" s="56">
        <v>129</v>
      </c>
      <c r="U136" s="56"/>
      <c r="V136" s="56"/>
      <c r="W136" s="56"/>
      <c r="X136" s="56"/>
      <c r="Y136" s="56">
        <v>166</v>
      </c>
      <c r="Z136" s="56">
        <v>136</v>
      </c>
      <c r="AA136" s="56">
        <v>73</v>
      </c>
      <c r="AB136" s="56">
        <v>93</v>
      </c>
      <c r="AC136" s="56"/>
      <c r="AD136" s="56"/>
      <c r="AF136" s="56"/>
      <c r="AG136" s="56">
        <v>172</v>
      </c>
      <c r="AH136" s="56">
        <v>116</v>
      </c>
      <c r="AM136" s="102">
        <f t="shared" si="19"/>
        <v>885</v>
      </c>
      <c r="AN136" s="257">
        <f t="shared" si="20"/>
        <v>885</v>
      </c>
      <c r="AO136" s="3">
        <f t="shared" si="26"/>
        <v>885</v>
      </c>
      <c r="AP136" s="8"/>
      <c r="AQ136" s="2">
        <f t="shared" si="21"/>
        <v>1</v>
      </c>
      <c r="AR136" s="264"/>
      <c r="AS136" s="264"/>
      <c r="AT136" s="264"/>
      <c r="AU136" s="264"/>
      <c r="AW136" s="8">
        <f t="shared" si="22"/>
        <v>129</v>
      </c>
      <c r="AX136" s="11">
        <f t="shared" si="23"/>
        <v>0</v>
      </c>
      <c r="AY136" s="8">
        <f t="shared" si="24"/>
        <v>0</v>
      </c>
      <c r="AZ136" s="11"/>
      <c r="BD136" s="11"/>
      <c r="BG136" s="11"/>
      <c r="CG136" s="264"/>
      <c r="CH136" s="264"/>
      <c r="CI136" s="264"/>
      <c r="CJ136" s="264"/>
      <c r="CK136" s="264"/>
      <c r="DK136" s="12"/>
      <c r="DM136" s="2">
        <v>0</v>
      </c>
      <c r="DP136" s="249"/>
      <c r="DR136" s="279"/>
      <c r="DS136" s="279"/>
      <c r="DT136" s="279"/>
      <c r="DU136" s="279"/>
      <c r="DV136" s="279"/>
      <c r="DW136" s="3">
        <v>15.4</v>
      </c>
    </row>
    <row r="137" spans="1:129">
      <c r="A137" s="102">
        <v>254</v>
      </c>
      <c r="B137" s="56">
        <v>7</v>
      </c>
      <c r="C137" s="240"/>
      <c r="D137" s="240"/>
      <c r="E137" s="240"/>
      <c r="F137" s="240"/>
      <c r="G137" s="240"/>
      <c r="H137" s="240"/>
      <c r="I137" s="240"/>
      <c r="J137" s="240"/>
      <c r="K137" s="240"/>
      <c r="L137" s="240"/>
      <c r="M137" s="240"/>
      <c r="N137" s="240"/>
      <c r="O137" s="240"/>
      <c r="P137" s="243"/>
      <c r="Q137" s="243"/>
      <c r="R137" s="10"/>
      <c r="S137" s="249">
        <v>0</v>
      </c>
      <c r="T137" s="56">
        <v>0</v>
      </c>
      <c r="U137" s="56"/>
      <c r="V137" s="56"/>
      <c r="W137" s="56"/>
      <c r="X137" s="56"/>
      <c r="Y137" s="56">
        <v>209</v>
      </c>
      <c r="Z137" s="56">
        <v>91</v>
      </c>
      <c r="AA137" s="56">
        <v>88</v>
      </c>
      <c r="AB137" s="56">
        <v>137</v>
      </c>
      <c r="AC137" s="56"/>
      <c r="AD137" s="56"/>
      <c r="AF137" s="56"/>
      <c r="AG137" s="56">
        <v>114</v>
      </c>
      <c r="AH137" s="56">
        <v>144</v>
      </c>
      <c r="AM137" s="102">
        <f t="shared" si="19"/>
        <v>783</v>
      </c>
      <c r="AN137" s="257">
        <f t="shared" si="20"/>
        <v>783</v>
      </c>
      <c r="AO137" s="3">
        <f t="shared" si="26"/>
        <v>783</v>
      </c>
      <c r="AP137" s="8"/>
      <c r="AQ137" s="2">
        <f t="shared" si="21"/>
        <v>1</v>
      </c>
      <c r="AR137" s="264"/>
      <c r="AS137" s="264"/>
      <c r="AT137" s="264"/>
      <c r="AU137" s="264"/>
      <c r="AW137" s="8">
        <f t="shared" si="22"/>
        <v>0</v>
      </c>
      <c r="AX137" s="11">
        <f t="shared" si="23"/>
        <v>0</v>
      </c>
      <c r="AY137" s="8">
        <f t="shared" si="24"/>
        <v>0</v>
      </c>
      <c r="AZ137" s="11"/>
      <c r="BD137" s="11"/>
      <c r="BG137" s="11"/>
      <c r="CG137" s="264"/>
      <c r="CH137" s="264"/>
      <c r="CI137" s="264"/>
      <c r="CJ137" s="264"/>
      <c r="CK137" s="264"/>
      <c r="DK137" s="12"/>
      <c r="DM137" s="2">
        <v>1</v>
      </c>
      <c r="DP137" s="249"/>
      <c r="DR137" s="279"/>
      <c r="DS137" s="279"/>
      <c r="DT137" s="279"/>
      <c r="DU137" s="279"/>
      <c r="DV137" s="279"/>
      <c r="DW137" s="3">
        <v>14</v>
      </c>
    </row>
    <row r="138" spans="1:129">
      <c r="A138" s="102">
        <v>255</v>
      </c>
      <c r="B138" s="56">
        <v>7</v>
      </c>
      <c r="C138" s="240"/>
      <c r="D138" s="240"/>
      <c r="E138" s="240"/>
      <c r="F138" s="240"/>
      <c r="G138" s="240"/>
      <c r="H138" s="240"/>
      <c r="I138" s="240"/>
      <c r="J138" s="240"/>
      <c r="K138" s="240"/>
      <c r="L138" s="240"/>
      <c r="M138" s="240"/>
      <c r="N138" s="240"/>
      <c r="O138" s="240"/>
      <c r="P138" s="243"/>
      <c r="Q138" s="243"/>
      <c r="R138" s="10"/>
      <c r="S138" s="249">
        <v>65</v>
      </c>
      <c r="T138" s="56">
        <v>83</v>
      </c>
      <c r="U138" s="56"/>
      <c r="V138" s="56"/>
      <c r="W138" s="56"/>
      <c r="X138" s="56"/>
      <c r="Y138" s="56">
        <v>69</v>
      </c>
      <c r="Z138" s="56">
        <v>160</v>
      </c>
      <c r="AA138" s="56">
        <v>79</v>
      </c>
      <c r="AB138" s="56">
        <v>51</v>
      </c>
      <c r="AC138" s="56"/>
      <c r="AD138" s="56"/>
      <c r="AF138" s="56"/>
      <c r="AG138" s="56">
        <v>65</v>
      </c>
      <c r="AH138" s="56">
        <v>125</v>
      </c>
      <c r="AM138" s="102">
        <f t="shared" si="19"/>
        <v>697</v>
      </c>
      <c r="AN138" s="257">
        <f t="shared" si="20"/>
        <v>697</v>
      </c>
      <c r="AO138" s="3">
        <f t="shared" si="26"/>
        <v>697</v>
      </c>
      <c r="AP138" s="8"/>
      <c r="AQ138" s="2">
        <f t="shared" si="21"/>
        <v>1</v>
      </c>
      <c r="AR138" s="264"/>
      <c r="AS138" s="264"/>
      <c r="AT138" s="264"/>
      <c r="AU138" s="264"/>
      <c r="AW138" s="8">
        <f t="shared" si="22"/>
        <v>83</v>
      </c>
      <c r="AX138" s="11">
        <f t="shared" si="23"/>
        <v>0</v>
      </c>
      <c r="AY138" s="8">
        <f t="shared" si="24"/>
        <v>65</v>
      </c>
      <c r="AZ138" s="11"/>
      <c r="BD138" s="11"/>
      <c r="BG138" s="11"/>
      <c r="CG138" s="264"/>
      <c r="CH138" s="264"/>
      <c r="CI138" s="264"/>
      <c r="CJ138" s="264"/>
      <c r="CK138" s="264"/>
      <c r="DK138" s="12"/>
      <c r="DM138" s="2">
        <v>4</v>
      </c>
      <c r="DP138" s="249"/>
      <c r="DR138" s="279"/>
      <c r="DS138" s="279"/>
      <c r="DT138" s="279"/>
      <c r="DU138" s="279"/>
      <c r="DV138" s="279"/>
      <c r="DW138" s="3">
        <v>33.299999999999997</v>
      </c>
    </row>
    <row r="139" spans="1:129">
      <c r="A139" s="102">
        <v>256</v>
      </c>
      <c r="B139" s="56">
        <v>7</v>
      </c>
      <c r="C139" s="240"/>
      <c r="D139" s="240"/>
      <c r="E139" s="240"/>
      <c r="F139" s="240"/>
      <c r="G139" s="240"/>
      <c r="H139" s="240"/>
      <c r="I139" s="240"/>
      <c r="J139" s="240"/>
      <c r="K139" s="240"/>
      <c r="L139" s="240"/>
      <c r="M139" s="240"/>
      <c r="N139" s="240"/>
      <c r="O139" s="240"/>
      <c r="P139" s="243"/>
      <c r="Q139" s="243"/>
      <c r="R139" s="10"/>
      <c r="S139" s="249">
        <v>62</v>
      </c>
      <c r="T139" s="56">
        <v>119</v>
      </c>
      <c r="U139" s="56"/>
      <c r="V139" s="56"/>
      <c r="W139" s="56"/>
      <c r="X139" s="56"/>
      <c r="Y139" s="56">
        <v>159</v>
      </c>
      <c r="Z139" s="56">
        <v>126</v>
      </c>
      <c r="AA139" s="56">
        <v>60</v>
      </c>
      <c r="AB139" s="56">
        <v>104</v>
      </c>
      <c r="AC139" s="56"/>
      <c r="AD139" s="56"/>
      <c r="AF139" s="56"/>
      <c r="AG139" s="56">
        <v>118</v>
      </c>
      <c r="AH139" s="56">
        <v>120</v>
      </c>
      <c r="AM139" s="102">
        <f t="shared" si="19"/>
        <v>868</v>
      </c>
      <c r="AN139" s="257">
        <f t="shared" si="20"/>
        <v>868</v>
      </c>
      <c r="AO139" s="3">
        <f t="shared" si="26"/>
        <v>868</v>
      </c>
      <c r="AP139" s="8"/>
      <c r="AQ139" s="2">
        <f t="shared" si="21"/>
        <v>1</v>
      </c>
      <c r="AR139" s="264"/>
      <c r="AS139" s="264"/>
      <c r="AT139" s="264"/>
      <c r="AU139" s="264"/>
      <c r="AW139" s="8">
        <f t="shared" si="22"/>
        <v>119</v>
      </c>
      <c r="AX139" s="11">
        <f t="shared" si="23"/>
        <v>0</v>
      </c>
      <c r="AY139" s="8">
        <f t="shared" si="24"/>
        <v>62</v>
      </c>
      <c r="AZ139" s="11"/>
      <c r="BD139" s="11"/>
      <c r="BG139" s="11"/>
      <c r="CG139" s="264"/>
      <c r="CH139" s="264"/>
      <c r="CI139" s="264"/>
      <c r="CJ139" s="264"/>
      <c r="CK139" s="264"/>
      <c r="DK139" s="12"/>
      <c r="DM139" s="2">
        <v>4</v>
      </c>
      <c r="DP139" s="249"/>
      <c r="DR139" s="279"/>
      <c r="DS139" s="279"/>
      <c r="DT139" s="279"/>
      <c r="DU139" s="279"/>
      <c r="DV139" s="279"/>
      <c r="DW139" s="3">
        <v>17.100000000000001</v>
      </c>
    </row>
    <row r="140" spans="1:129">
      <c r="A140" s="102">
        <v>257</v>
      </c>
      <c r="B140" s="56">
        <v>7</v>
      </c>
      <c r="C140" s="240"/>
      <c r="D140" s="240"/>
      <c r="E140" s="240"/>
      <c r="F140" s="240"/>
      <c r="G140" s="240"/>
      <c r="H140" s="240"/>
      <c r="I140" s="240"/>
      <c r="J140" s="240"/>
      <c r="K140" s="240"/>
      <c r="L140" s="240"/>
      <c r="M140" s="240"/>
      <c r="N140" s="240"/>
      <c r="O140" s="240"/>
      <c r="P140" s="243"/>
      <c r="Q140" s="243"/>
      <c r="R140" s="10"/>
      <c r="S140" s="249">
        <v>60</v>
      </c>
      <c r="T140" s="56">
        <v>121</v>
      </c>
      <c r="U140" s="56"/>
      <c r="V140" s="56"/>
      <c r="W140" s="56"/>
      <c r="X140" s="56"/>
      <c r="Y140" s="56">
        <v>145</v>
      </c>
      <c r="Z140" s="56">
        <v>116</v>
      </c>
      <c r="AA140" s="56">
        <v>57</v>
      </c>
      <c r="AB140" s="56">
        <v>114</v>
      </c>
      <c r="AC140" s="56"/>
      <c r="AD140" s="56"/>
      <c r="AF140" s="56"/>
      <c r="AG140" s="56">
        <v>117</v>
      </c>
      <c r="AH140" s="56">
        <v>100</v>
      </c>
      <c r="AM140" s="102">
        <f t="shared" si="19"/>
        <v>830</v>
      </c>
      <c r="AN140" s="257">
        <f t="shared" si="20"/>
        <v>830</v>
      </c>
      <c r="AO140" s="3">
        <f t="shared" si="26"/>
        <v>830</v>
      </c>
      <c r="AP140" s="8"/>
      <c r="AQ140" s="2">
        <f t="shared" si="21"/>
        <v>1</v>
      </c>
      <c r="AR140" s="264"/>
      <c r="AS140" s="264"/>
      <c r="AT140" s="264"/>
      <c r="AU140" s="264"/>
      <c r="AW140" s="8">
        <f t="shared" si="22"/>
        <v>121</v>
      </c>
      <c r="AX140" s="11">
        <f t="shared" si="23"/>
        <v>0</v>
      </c>
      <c r="AY140" s="8">
        <f t="shared" si="24"/>
        <v>60</v>
      </c>
      <c r="AZ140" s="11"/>
      <c r="BD140" s="11"/>
      <c r="BG140" s="11"/>
      <c r="CG140" s="264"/>
      <c r="CH140" s="264"/>
      <c r="CI140" s="264"/>
      <c r="CJ140" s="264"/>
      <c r="CK140" s="264"/>
      <c r="DK140" s="12"/>
      <c r="DM140" s="2">
        <v>4</v>
      </c>
      <c r="DP140" s="249"/>
      <c r="DR140" s="279"/>
      <c r="DS140" s="279"/>
      <c r="DT140" s="279"/>
      <c r="DU140" s="279"/>
      <c r="DV140" s="279"/>
      <c r="DW140" s="3">
        <v>17.8</v>
      </c>
    </row>
    <row r="141" spans="1:129">
      <c r="A141" s="102">
        <v>258</v>
      </c>
      <c r="B141" s="56">
        <v>7</v>
      </c>
      <c r="C141" s="240"/>
      <c r="D141" s="240"/>
      <c r="E141" s="240"/>
      <c r="F141" s="240"/>
      <c r="G141" s="240"/>
      <c r="H141" s="240"/>
      <c r="I141" s="240"/>
      <c r="J141" s="240"/>
      <c r="K141" s="240"/>
      <c r="L141" s="240"/>
      <c r="M141" s="240"/>
      <c r="N141" s="240"/>
      <c r="O141" s="240"/>
      <c r="P141" s="243"/>
      <c r="Q141" s="243"/>
      <c r="R141" s="10"/>
      <c r="S141" s="249">
        <v>41</v>
      </c>
      <c r="T141" s="56">
        <v>131</v>
      </c>
      <c r="U141" s="56"/>
      <c r="V141" s="56"/>
      <c r="W141" s="56"/>
      <c r="X141" s="56"/>
      <c r="Y141" s="56">
        <v>162</v>
      </c>
      <c r="Z141" s="56">
        <v>134</v>
      </c>
      <c r="AA141" s="56">
        <v>79</v>
      </c>
      <c r="AB141" s="56">
        <v>84</v>
      </c>
      <c r="AC141" s="56"/>
      <c r="AD141" s="56"/>
      <c r="AF141" s="56"/>
      <c r="AG141" s="56">
        <v>109</v>
      </c>
      <c r="AH141" s="56">
        <v>114</v>
      </c>
      <c r="AM141" s="102">
        <f t="shared" si="19"/>
        <v>854</v>
      </c>
      <c r="AN141" s="257">
        <f t="shared" si="20"/>
        <v>854</v>
      </c>
      <c r="AO141" s="3">
        <f t="shared" si="26"/>
        <v>854</v>
      </c>
      <c r="AP141" s="8"/>
      <c r="AQ141" s="2">
        <f t="shared" si="21"/>
        <v>1</v>
      </c>
      <c r="AR141" s="264"/>
      <c r="AS141" s="264"/>
      <c r="AT141" s="264"/>
      <c r="AU141" s="264"/>
      <c r="AW141" s="8">
        <f t="shared" si="22"/>
        <v>131</v>
      </c>
      <c r="AX141" s="11">
        <f t="shared" si="23"/>
        <v>0</v>
      </c>
      <c r="AY141" s="8">
        <f t="shared" si="24"/>
        <v>41</v>
      </c>
      <c r="AZ141" s="11"/>
      <c r="BD141" s="11"/>
      <c r="BG141" s="11"/>
      <c r="CG141" s="264"/>
      <c r="CH141" s="264"/>
      <c r="CI141" s="264"/>
      <c r="CJ141" s="264"/>
      <c r="CK141" s="264"/>
      <c r="DK141" s="12"/>
      <c r="DM141" s="2">
        <v>0</v>
      </c>
      <c r="DP141" s="249"/>
      <c r="DR141" s="279"/>
      <c r="DS141" s="279"/>
      <c r="DT141" s="279"/>
      <c r="DU141" s="279"/>
      <c r="DV141" s="279"/>
      <c r="DW141" s="3">
        <v>13.5</v>
      </c>
    </row>
    <row r="142" spans="1:129">
      <c r="A142" s="102">
        <v>259</v>
      </c>
      <c r="B142" s="56">
        <v>7</v>
      </c>
      <c r="C142" s="240"/>
      <c r="D142" s="240"/>
      <c r="E142" s="240"/>
      <c r="F142" s="240"/>
      <c r="G142" s="240"/>
      <c r="H142" s="240"/>
      <c r="I142" s="240"/>
      <c r="J142" s="240"/>
      <c r="K142" s="240"/>
      <c r="L142" s="240"/>
      <c r="M142" s="240"/>
      <c r="N142" s="240"/>
      <c r="O142" s="240"/>
      <c r="P142" s="243"/>
      <c r="Q142" s="243"/>
      <c r="R142" s="10"/>
      <c r="S142" s="249">
        <v>111</v>
      </c>
      <c r="T142" s="56">
        <v>211</v>
      </c>
      <c r="U142" s="56"/>
      <c r="V142" s="56"/>
      <c r="W142" s="56"/>
      <c r="X142" s="56"/>
      <c r="Y142" s="56">
        <v>244</v>
      </c>
      <c r="Z142" s="56">
        <v>154</v>
      </c>
      <c r="AA142" s="56">
        <v>106</v>
      </c>
      <c r="AB142" s="56">
        <v>143</v>
      </c>
      <c r="AC142" s="56"/>
      <c r="AD142" s="56"/>
      <c r="AF142" s="56"/>
      <c r="AG142" s="56">
        <v>146</v>
      </c>
      <c r="AH142" s="56">
        <v>119</v>
      </c>
      <c r="AM142" s="102">
        <f t="shared" si="19"/>
        <v>1234</v>
      </c>
      <c r="AN142" s="257">
        <f t="shared" si="20"/>
        <v>1234</v>
      </c>
      <c r="AO142" s="3">
        <f t="shared" si="26"/>
        <v>1234</v>
      </c>
      <c r="AP142" s="8"/>
      <c r="AQ142" s="2">
        <f t="shared" si="21"/>
        <v>1</v>
      </c>
      <c r="AR142" s="264"/>
      <c r="AS142" s="264"/>
      <c r="AT142" s="264"/>
      <c r="AU142" s="264"/>
      <c r="AW142" s="8">
        <f t="shared" si="22"/>
        <v>211</v>
      </c>
      <c r="AX142" s="11">
        <f t="shared" si="23"/>
        <v>0</v>
      </c>
      <c r="AY142" s="8">
        <f t="shared" si="24"/>
        <v>111</v>
      </c>
      <c r="AZ142" s="11"/>
      <c r="BD142" s="11"/>
      <c r="BG142" s="11"/>
      <c r="CG142" s="264"/>
      <c r="CH142" s="264"/>
      <c r="CI142" s="264"/>
      <c r="CJ142" s="264"/>
      <c r="CK142" s="264"/>
      <c r="DK142" s="12"/>
      <c r="DM142" s="2">
        <v>4</v>
      </c>
      <c r="DP142" s="249"/>
      <c r="DR142" s="279"/>
      <c r="DS142" s="279"/>
      <c r="DT142" s="279"/>
      <c r="DU142" s="279"/>
      <c r="DV142" s="279"/>
      <c r="DW142" s="3">
        <v>20.8</v>
      </c>
    </row>
    <row r="143" spans="1:129">
      <c r="A143" s="102">
        <v>260</v>
      </c>
      <c r="B143" s="56">
        <v>7</v>
      </c>
      <c r="C143" s="240"/>
      <c r="D143" s="240"/>
      <c r="E143" s="240"/>
      <c r="F143" s="240"/>
      <c r="G143" s="240"/>
      <c r="H143" s="240"/>
      <c r="I143" s="240"/>
      <c r="J143" s="240"/>
      <c r="K143" s="240"/>
      <c r="L143" s="240"/>
      <c r="M143" s="240"/>
      <c r="N143" s="240"/>
      <c r="O143" s="240"/>
      <c r="P143" s="243"/>
      <c r="Q143" s="243"/>
      <c r="R143" s="10"/>
      <c r="S143" s="249">
        <v>108</v>
      </c>
      <c r="T143" s="56">
        <v>212</v>
      </c>
      <c r="U143" s="56"/>
      <c r="V143" s="56"/>
      <c r="W143" s="56"/>
      <c r="X143" s="56"/>
      <c r="Y143" s="56">
        <v>238</v>
      </c>
      <c r="Z143" s="56">
        <v>152</v>
      </c>
      <c r="AA143" s="56">
        <v>105</v>
      </c>
      <c r="AB143" s="56">
        <v>143</v>
      </c>
      <c r="AC143" s="56"/>
      <c r="AD143" s="56"/>
      <c r="AF143" s="56"/>
      <c r="AG143" s="56">
        <v>158</v>
      </c>
      <c r="AH143" s="56">
        <v>121</v>
      </c>
      <c r="AM143" s="102">
        <f t="shared" si="19"/>
        <v>1237</v>
      </c>
      <c r="AN143" s="257">
        <f t="shared" si="20"/>
        <v>1237</v>
      </c>
      <c r="AO143" s="3">
        <f t="shared" si="26"/>
        <v>1237</v>
      </c>
      <c r="AP143" s="8"/>
      <c r="AQ143" s="2">
        <f t="shared" si="21"/>
        <v>1</v>
      </c>
      <c r="AR143" s="264"/>
      <c r="AS143" s="264"/>
      <c r="AT143" s="264"/>
      <c r="AU143" s="264"/>
      <c r="AW143" s="8">
        <f t="shared" si="22"/>
        <v>212</v>
      </c>
      <c r="AX143" s="11">
        <f t="shared" si="23"/>
        <v>0</v>
      </c>
      <c r="AY143" s="8">
        <f t="shared" si="24"/>
        <v>108</v>
      </c>
      <c r="AZ143" s="11"/>
      <c r="BD143" s="11"/>
      <c r="BG143" s="11"/>
      <c r="CG143" s="264"/>
      <c r="CH143" s="264"/>
      <c r="CI143" s="264"/>
      <c r="CJ143" s="264"/>
      <c r="CK143" s="264"/>
      <c r="DK143" s="12"/>
      <c r="DM143" s="2">
        <v>4</v>
      </c>
      <c r="DP143" s="249"/>
      <c r="DR143" s="279"/>
      <c r="DS143" s="279"/>
      <c r="DT143" s="279"/>
      <c r="DU143" s="279"/>
      <c r="DV143" s="279"/>
      <c r="DW143" s="3">
        <v>20.399999999999999</v>
      </c>
    </row>
    <row r="144" spans="1:129">
      <c r="A144" s="102">
        <v>261</v>
      </c>
      <c r="B144" s="56">
        <v>7</v>
      </c>
      <c r="C144" s="240"/>
      <c r="D144" s="240"/>
      <c r="E144" s="240"/>
      <c r="F144" s="240"/>
      <c r="G144" s="240"/>
      <c r="H144" s="240"/>
      <c r="I144" s="240"/>
      <c r="J144" s="240"/>
      <c r="K144" s="240"/>
      <c r="L144" s="240"/>
      <c r="M144" s="240"/>
      <c r="N144" s="240"/>
      <c r="O144" s="240"/>
      <c r="P144" s="243"/>
      <c r="Q144" s="243"/>
      <c r="R144" s="10"/>
      <c r="S144" s="249">
        <v>62</v>
      </c>
      <c r="T144" s="56">
        <v>55</v>
      </c>
      <c r="U144" s="56"/>
      <c r="V144" s="56"/>
      <c r="W144" s="56"/>
      <c r="X144" s="56"/>
      <c r="Y144" s="56">
        <v>226</v>
      </c>
      <c r="Z144" s="56">
        <v>136</v>
      </c>
      <c r="AA144" s="56">
        <v>46</v>
      </c>
      <c r="AB144" s="56">
        <v>77</v>
      </c>
      <c r="AC144" s="56"/>
      <c r="AD144" s="56"/>
      <c r="AF144" s="56"/>
      <c r="AG144" s="56">
        <v>139</v>
      </c>
      <c r="AH144" s="56">
        <v>105</v>
      </c>
      <c r="AM144" s="102">
        <f t="shared" si="19"/>
        <v>846</v>
      </c>
      <c r="AN144" s="257">
        <f t="shared" si="20"/>
        <v>846</v>
      </c>
      <c r="AO144" s="3">
        <f t="shared" si="26"/>
        <v>846</v>
      </c>
      <c r="AP144" s="8"/>
      <c r="AQ144" s="2">
        <f t="shared" si="21"/>
        <v>1</v>
      </c>
      <c r="AR144" s="264"/>
      <c r="AS144" s="264"/>
      <c r="AT144" s="264"/>
      <c r="AU144" s="264"/>
      <c r="AW144" s="8">
        <f t="shared" si="22"/>
        <v>55</v>
      </c>
      <c r="AX144" s="11">
        <f t="shared" si="23"/>
        <v>0</v>
      </c>
      <c r="AY144" s="8">
        <f t="shared" si="24"/>
        <v>62</v>
      </c>
      <c r="AZ144" s="11"/>
      <c r="BD144" s="11"/>
      <c r="BG144" s="11"/>
      <c r="CG144" s="264"/>
      <c r="CH144" s="264"/>
      <c r="CI144" s="264"/>
      <c r="CJ144" s="264"/>
      <c r="CK144" s="264"/>
      <c r="DK144" s="12"/>
      <c r="DM144" s="2">
        <v>4</v>
      </c>
      <c r="DP144" s="249"/>
      <c r="DR144" s="279"/>
      <c r="DS144" s="279"/>
      <c r="DT144" s="279"/>
      <c r="DU144" s="279"/>
      <c r="DV144" s="279"/>
      <c r="DW144" s="3">
        <v>12.1</v>
      </c>
    </row>
    <row r="145" spans="1:127">
      <c r="A145" s="102">
        <v>262</v>
      </c>
      <c r="B145" s="56">
        <v>7</v>
      </c>
      <c r="C145" s="240"/>
      <c r="D145" s="240"/>
      <c r="E145" s="240"/>
      <c r="F145" s="240"/>
      <c r="G145" s="240"/>
      <c r="H145" s="240"/>
      <c r="I145" s="240"/>
      <c r="J145" s="240"/>
      <c r="K145" s="240"/>
      <c r="L145" s="240"/>
      <c r="M145" s="240"/>
      <c r="N145" s="240"/>
      <c r="O145" s="240"/>
      <c r="P145" s="243"/>
      <c r="Q145" s="243"/>
      <c r="R145" s="10"/>
      <c r="S145" s="249">
        <v>63</v>
      </c>
      <c r="T145" s="56">
        <v>58</v>
      </c>
      <c r="U145" s="56"/>
      <c r="V145" s="56"/>
      <c r="W145" s="56"/>
      <c r="X145" s="56"/>
      <c r="Y145" s="56">
        <v>201</v>
      </c>
      <c r="Z145" s="56">
        <v>137</v>
      </c>
      <c r="AA145" s="56">
        <v>46</v>
      </c>
      <c r="AB145" s="56">
        <v>70</v>
      </c>
      <c r="AC145" s="56"/>
      <c r="AD145" s="56"/>
      <c r="AF145" s="56"/>
      <c r="AG145" s="56">
        <v>136</v>
      </c>
      <c r="AH145" s="56">
        <v>117</v>
      </c>
      <c r="AM145" s="102">
        <f t="shared" si="19"/>
        <v>828</v>
      </c>
      <c r="AN145" s="257">
        <f t="shared" si="20"/>
        <v>828</v>
      </c>
      <c r="AO145" s="3">
        <f t="shared" si="26"/>
        <v>828</v>
      </c>
      <c r="AP145" s="8"/>
      <c r="AQ145" s="2">
        <f t="shared" si="21"/>
        <v>1</v>
      </c>
      <c r="AR145" s="264"/>
      <c r="AS145" s="264"/>
      <c r="AT145" s="264"/>
      <c r="AU145" s="264"/>
      <c r="AW145" s="8">
        <f t="shared" si="22"/>
        <v>58</v>
      </c>
      <c r="AX145" s="11">
        <f t="shared" si="23"/>
        <v>0</v>
      </c>
      <c r="AY145" s="8">
        <f t="shared" si="24"/>
        <v>63</v>
      </c>
      <c r="AZ145" s="11"/>
      <c r="BD145" s="11"/>
      <c r="BG145" s="11"/>
      <c r="CG145" s="264"/>
      <c r="CH145" s="264"/>
      <c r="CI145" s="264"/>
      <c r="CJ145" s="264"/>
      <c r="CK145" s="264"/>
      <c r="DK145" s="12"/>
      <c r="DM145" s="2">
        <v>4</v>
      </c>
      <c r="DP145" s="249"/>
      <c r="DR145" s="279"/>
      <c r="DS145" s="279"/>
      <c r="DT145" s="279"/>
      <c r="DU145" s="279"/>
      <c r="DV145" s="279"/>
      <c r="DW145" s="3">
        <v>12.3</v>
      </c>
    </row>
    <row r="146" spans="1:127">
      <c r="A146" s="102">
        <v>263</v>
      </c>
      <c r="B146" s="56">
        <v>7</v>
      </c>
      <c r="C146" s="240"/>
      <c r="D146" s="240"/>
      <c r="E146" s="240"/>
      <c r="F146" s="240"/>
      <c r="G146" s="240"/>
      <c r="H146" s="240"/>
      <c r="I146" s="240"/>
      <c r="J146" s="240"/>
      <c r="K146" s="240"/>
      <c r="L146" s="240"/>
      <c r="M146" s="240"/>
      <c r="N146" s="240"/>
      <c r="O146" s="240"/>
      <c r="P146" s="243"/>
      <c r="Q146" s="243"/>
      <c r="R146" s="10"/>
      <c r="S146" s="249">
        <v>30</v>
      </c>
      <c r="T146" s="56">
        <v>125</v>
      </c>
      <c r="U146" s="56"/>
      <c r="V146" s="56"/>
      <c r="W146" s="56"/>
      <c r="X146" s="56"/>
      <c r="Y146" s="56">
        <v>180</v>
      </c>
      <c r="Z146" s="56">
        <v>73</v>
      </c>
      <c r="AA146" s="56">
        <v>49</v>
      </c>
      <c r="AB146" s="56">
        <v>85</v>
      </c>
      <c r="AC146" s="56"/>
      <c r="AD146" s="56"/>
      <c r="AF146" s="56"/>
      <c r="AG146" s="56">
        <v>70</v>
      </c>
      <c r="AH146" s="56">
        <v>107</v>
      </c>
      <c r="AM146" s="102">
        <f t="shared" si="19"/>
        <v>719</v>
      </c>
      <c r="AN146" s="257">
        <f t="shared" si="20"/>
        <v>719</v>
      </c>
      <c r="AO146" s="3">
        <f t="shared" si="26"/>
        <v>719</v>
      </c>
      <c r="AP146" s="8"/>
      <c r="AQ146" s="2">
        <f t="shared" si="21"/>
        <v>1</v>
      </c>
      <c r="AR146" s="264"/>
      <c r="AS146" s="264"/>
      <c r="AT146" s="264"/>
      <c r="AU146" s="264"/>
      <c r="AW146" s="8">
        <f t="shared" si="22"/>
        <v>125</v>
      </c>
      <c r="AX146" s="11">
        <f t="shared" si="23"/>
        <v>0</v>
      </c>
      <c r="AY146" s="8">
        <f t="shared" si="24"/>
        <v>30</v>
      </c>
      <c r="AZ146" s="11"/>
      <c r="BD146" s="11"/>
      <c r="BG146" s="11"/>
      <c r="CG146" s="264"/>
      <c r="CH146" s="264"/>
      <c r="CI146" s="264"/>
      <c r="CJ146" s="264"/>
      <c r="CK146" s="264"/>
      <c r="DK146" s="12"/>
      <c r="DM146" s="2">
        <v>4</v>
      </c>
      <c r="DP146" s="249"/>
      <c r="DR146" s="279"/>
      <c r="DS146" s="279"/>
      <c r="DT146" s="279"/>
      <c r="DU146" s="279"/>
      <c r="DV146" s="279"/>
      <c r="DW146" s="3">
        <v>30</v>
      </c>
    </row>
    <row r="147" spans="1:127">
      <c r="A147" s="102">
        <v>264</v>
      </c>
      <c r="B147" s="56">
        <v>7</v>
      </c>
      <c r="C147" s="240"/>
      <c r="D147" s="240"/>
      <c r="E147" s="240"/>
      <c r="F147" s="240"/>
      <c r="G147" s="240"/>
      <c r="H147" s="240"/>
      <c r="I147" s="240"/>
      <c r="J147" s="240"/>
      <c r="K147" s="240"/>
      <c r="L147" s="240"/>
      <c r="M147" s="240"/>
      <c r="N147" s="240"/>
      <c r="O147" s="240"/>
      <c r="P147" s="243"/>
      <c r="Q147" s="243"/>
      <c r="R147" s="10"/>
      <c r="S147" s="249">
        <v>70</v>
      </c>
      <c r="T147" s="56">
        <v>122</v>
      </c>
      <c r="U147" s="56"/>
      <c r="V147" s="56"/>
      <c r="W147" s="56"/>
      <c r="X147" s="56"/>
      <c r="Y147" s="56">
        <v>258</v>
      </c>
      <c r="Z147" s="56">
        <v>129</v>
      </c>
      <c r="AA147" s="56">
        <v>117</v>
      </c>
      <c r="AB147" s="56">
        <v>157</v>
      </c>
      <c r="AC147" s="56"/>
      <c r="AD147" s="56"/>
      <c r="AF147" s="56"/>
      <c r="AG147" s="56">
        <v>248</v>
      </c>
      <c r="AH147" s="56">
        <v>179</v>
      </c>
      <c r="AM147" s="102">
        <f t="shared" si="19"/>
        <v>1280</v>
      </c>
      <c r="AN147" s="257">
        <f t="shared" si="20"/>
        <v>1280</v>
      </c>
      <c r="AO147" s="3">
        <f t="shared" si="26"/>
        <v>1280</v>
      </c>
      <c r="AP147" s="8"/>
      <c r="AQ147" s="2">
        <f t="shared" si="21"/>
        <v>1</v>
      </c>
      <c r="AR147" s="264"/>
      <c r="AS147" s="264"/>
      <c r="AT147" s="264"/>
      <c r="AU147" s="264"/>
      <c r="AW147" s="8">
        <f t="shared" si="22"/>
        <v>122</v>
      </c>
      <c r="AX147" s="11">
        <f t="shared" si="23"/>
        <v>0</v>
      </c>
      <c r="AY147" s="8">
        <f t="shared" si="24"/>
        <v>70</v>
      </c>
      <c r="AZ147" s="11"/>
      <c r="BD147" s="11"/>
      <c r="BG147" s="11"/>
      <c r="CG147" s="264"/>
      <c r="CH147" s="264"/>
      <c r="CI147" s="264"/>
      <c r="CJ147" s="264"/>
      <c r="CK147" s="264"/>
      <c r="DK147" s="12"/>
      <c r="DM147" s="2">
        <v>4</v>
      </c>
      <c r="DP147" s="249"/>
      <c r="DR147" s="279"/>
      <c r="DS147" s="279"/>
      <c r="DT147" s="279"/>
      <c r="DU147" s="279"/>
      <c r="DV147" s="279"/>
      <c r="DW147" s="3">
        <v>23.9</v>
      </c>
    </row>
    <row r="148" spans="1:127">
      <c r="A148" s="102">
        <v>265</v>
      </c>
      <c r="B148" s="56">
        <v>7</v>
      </c>
      <c r="C148" s="240"/>
      <c r="D148" s="240"/>
      <c r="E148" s="240"/>
      <c r="F148" s="240"/>
      <c r="G148" s="240"/>
      <c r="H148" s="240"/>
      <c r="I148" s="240"/>
      <c r="J148" s="240"/>
      <c r="K148" s="240"/>
      <c r="L148" s="240"/>
      <c r="M148" s="240"/>
      <c r="N148" s="240"/>
      <c r="O148" s="240"/>
      <c r="P148" s="243"/>
      <c r="Q148" s="243"/>
      <c r="R148" s="10"/>
      <c r="S148" s="249">
        <v>121</v>
      </c>
      <c r="T148" s="56">
        <v>68</v>
      </c>
      <c r="U148" s="56"/>
      <c r="V148" s="56"/>
      <c r="W148" s="56"/>
      <c r="X148" s="56"/>
      <c r="Y148" s="56">
        <v>225</v>
      </c>
      <c r="Z148" s="56">
        <v>91</v>
      </c>
      <c r="AA148" s="56">
        <v>98</v>
      </c>
      <c r="AB148" s="56">
        <v>106</v>
      </c>
      <c r="AC148" s="56"/>
      <c r="AD148" s="56"/>
      <c r="AF148" s="56"/>
      <c r="AG148" s="56">
        <v>213</v>
      </c>
      <c r="AH148" s="56">
        <v>111</v>
      </c>
      <c r="AM148" s="102">
        <f t="shared" si="19"/>
        <v>1033</v>
      </c>
      <c r="AN148" s="257">
        <f t="shared" si="20"/>
        <v>1033</v>
      </c>
      <c r="AO148" s="3">
        <f t="shared" si="26"/>
        <v>1033</v>
      </c>
      <c r="AP148" s="8"/>
      <c r="AQ148" s="2">
        <f t="shared" si="21"/>
        <v>1</v>
      </c>
      <c r="AR148" s="264"/>
      <c r="AS148" s="264"/>
      <c r="AT148" s="264"/>
      <c r="AU148" s="264"/>
      <c r="AW148" s="8">
        <f t="shared" si="22"/>
        <v>68</v>
      </c>
      <c r="AX148" s="11">
        <f t="shared" si="23"/>
        <v>0</v>
      </c>
      <c r="AY148" s="8">
        <f t="shared" si="24"/>
        <v>121</v>
      </c>
      <c r="AZ148" s="11"/>
      <c r="BD148" s="11"/>
      <c r="BG148" s="11"/>
      <c r="CG148" s="264"/>
      <c r="CH148" s="264"/>
      <c r="CI148" s="264"/>
      <c r="CJ148" s="264"/>
      <c r="CK148" s="264"/>
      <c r="DK148" s="12"/>
      <c r="DM148" s="2">
        <v>3</v>
      </c>
      <c r="DP148" s="249"/>
      <c r="DR148" s="279"/>
      <c r="DS148" s="279"/>
      <c r="DT148" s="279"/>
      <c r="DU148" s="279"/>
      <c r="DV148" s="279"/>
      <c r="DW148" s="3">
        <v>33.799999999999997</v>
      </c>
    </row>
    <row r="149" spans="1:127">
      <c r="A149" s="102">
        <v>266</v>
      </c>
      <c r="B149" s="56">
        <v>7</v>
      </c>
      <c r="C149" s="240"/>
      <c r="D149" s="240"/>
      <c r="E149" s="240"/>
      <c r="F149" s="240"/>
      <c r="G149" s="240"/>
      <c r="H149" s="240"/>
      <c r="I149" s="240"/>
      <c r="J149" s="240"/>
      <c r="K149" s="240"/>
      <c r="L149" s="240"/>
      <c r="M149" s="240"/>
      <c r="N149" s="240"/>
      <c r="O149" s="240"/>
      <c r="P149" s="243"/>
      <c r="Q149" s="243"/>
      <c r="R149" s="10"/>
      <c r="S149" s="249">
        <v>121</v>
      </c>
      <c r="T149" s="56">
        <v>64</v>
      </c>
      <c r="U149" s="56"/>
      <c r="V149" s="56"/>
      <c r="W149" s="56"/>
      <c r="X149" s="56"/>
      <c r="Y149" s="56">
        <v>228</v>
      </c>
      <c r="Z149" s="56">
        <v>93</v>
      </c>
      <c r="AA149" s="56">
        <v>105</v>
      </c>
      <c r="AB149" s="56">
        <v>104</v>
      </c>
      <c r="AC149" s="56"/>
      <c r="AD149" s="56"/>
      <c r="AF149" s="56"/>
      <c r="AG149" s="56">
        <v>180</v>
      </c>
      <c r="AH149" s="56">
        <v>63</v>
      </c>
      <c r="AM149" s="102">
        <f t="shared" si="19"/>
        <v>958</v>
      </c>
      <c r="AN149" s="257">
        <f t="shared" si="20"/>
        <v>958</v>
      </c>
      <c r="AO149" s="3">
        <f t="shared" si="26"/>
        <v>958</v>
      </c>
      <c r="AP149" s="8"/>
      <c r="AQ149" s="2">
        <f t="shared" si="21"/>
        <v>1</v>
      </c>
      <c r="AR149" s="264"/>
      <c r="AS149" s="264"/>
      <c r="AT149" s="264"/>
      <c r="AU149" s="264"/>
      <c r="AW149" s="8">
        <f t="shared" si="22"/>
        <v>64</v>
      </c>
      <c r="AX149" s="11">
        <f t="shared" si="23"/>
        <v>0</v>
      </c>
      <c r="AY149" s="8">
        <f t="shared" si="24"/>
        <v>121</v>
      </c>
      <c r="AZ149" s="11"/>
      <c r="BD149" s="11"/>
      <c r="BG149" s="11"/>
      <c r="CG149" s="264"/>
      <c r="CH149" s="264"/>
      <c r="CI149" s="264"/>
      <c r="CJ149" s="264"/>
      <c r="CK149" s="264"/>
      <c r="DK149" s="12"/>
      <c r="DM149" s="2">
        <v>3</v>
      </c>
      <c r="DP149" s="249"/>
      <c r="DR149" s="279"/>
      <c r="DS149" s="279"/>
      <c r="DT149" s="279"/>
      <c r="DU149" s="279"/>
      <c r="DV149" s="279"/>
      <c r="DW149" s="3">
        <v>33.900000000000006</v>
      </c>
    </row>
    <row r="150" spans="1:127">
      <c r="A150" s="102">
        <v>267</v>
      </c>
      <c r="B150" s="56">
        <v>7</v>
      </c>
      <c r="C150" s="240"/>
      <c r="D150" s="240"/>
      <c r="E150" s="240"/>
      <c r="F150" s="240"/>
      <c r="G150" s="240"/>
      <c r="H150" s="240"/>
      <c r="I150" s="240"/>
      <c r="J150" s="240"/>
      <c r="K150" s="240"/>
      <c r="L150" s="240"/>
      <c r="M150" s="240"/>
      <c r="N150" s="240"/>
      <c r="O150" s="240"/>
      <c r="P150" s="243"/>
      <c r="Q150" s="243"/>
      <c r="R150" s="10"/>
      <c r="S150" s="249">
        <v>111</v>
      </c>
      <c r="T150" s="56">
        <v>182</v>
      </c>
      <c r="U150" s="56"/>
      <c r="V150" s="56"/>
      <c r="W150" s="56"/>
      <c r="X150" s="56"/>
      <c r="Y150" s="56">
        <v>228</v>
      </c>
      <c r="Z150" s="56">
        <v>181</v>
      </c>
      <c r="AA150" s="56">
        <v>114</v>
      </c>
      <c r="AB150" s="56">
        <v>100</v>
      </c>
      <c r="AC150" s="56"/>
      <c r="AD150" s="56"/>
      <c r="AF150" s="56"/>
      <c r="AG150" s="56">
        <v>182</v>
      </c>
      <c r="AH150" s="56">
        <v>153</v>
      </c>
      <c r="AM150" s="102">
        <f t="shared" si="19"/>
        <v>1251</v>
      </c>
      <c r="AN150" s="257">
        <f t="shared" si="20"/>
        <v>1251</v>
      </c>
      <c r="AO150" s="3">
        <f t="shared" si="26"/>
        <v>1251</v>
      </c>
      <c r="AP150" s="8"/>
      <c r="AQ150" s="2">
        <f t="shared" si="21"/>
        <v>1</v>
      </c>
      <c r="AR150" s="264"/>
      <c r="AS150" s="264"/>
      <c r="AT150" s="264"/>
      <c r="AU150" s="264"/>
      <c r="AW150" s="8">
        <f t="shared" si="22"/>
        <v>182</v>
      </c>
      <c r="AX150" s="11">
        <f t="shared" si="23"/>
        <v>0</v>
      </c>
      <c r="AY150" s="8">
        <f t="shared" si="24"/>
        <v>111</v>
      </c>
      <c r="AZ150" s="11"/>
      <c r="BD150" s="11"/>
      <c r="BG150" s="11"/>
      <c r="CG150" s="264"/>
      <c r="CH150" s="264"/>
      <c r="CI150" s="264"/>
      <c r="CJ150" s="264"/>
      <c r="CK150" s="264"/>
      <c r="DK150" s="12"/>
      <c r="DM150" s="2">
        <v>4</v>
      </c>
      <c r="DP150" s="249"/>
      <c r="DR150" s="279"/>
      <c r="DS150" s="279"/>
      <c r="DT150" s="279"/>
      <c r="DU150" s="279"/>
      <c r="DV150" s="279"/>
      <c r="DW150" s="3">
        <v>54.099999999999994</v>
      </c>
    </row>
    <row r="151" spans="1:127">
      <c r="A151" s="102">
        <v>268</v>
      </c>
      <c r="B151" s="56">
        <v>7</v>
      </c>
      <c r="C151" s="240"/>
      <c r="D151" s="240"/>
      <c r="E151" s="240"/>
      <c r="F151" s="240"/>
      <c r="G151" s="240"/>
      <c r="H151" s="240"/>
      <c r="I151" s="240"/>
      <c r="J151" s="240"/>
      <c r="K151" s="240"/>
      <c r="L151" s="240"/>
      <c r="M151" s="240"/>
      <c r="N151" s="240"/>
      <c r="O151" s="240"/>
      <c r="P151" s="243"/>
      <c r="Q151" s="243"/>
      <c r="R151" s="10"/>
      <c r="S151" s="249">
        <v>94</v>
      </c>
      <c r="T151" s="56">
        <v>107</v>
      </c>
      <c r="U151" s="56"/>
      <c r="V151" s="56"/>
      <c r="W151" s="56"/>
      <c r="X151" s="56"/>
      <c r="Y151" s="56">
        <v>188</v>
      </c>
      <c r="Z151" s="56">
        <v>70</v>
      </c>
      <c r="AA151" s="56">
        <v>78</v>
      </c>
      <c r="AB151" s="56">
        <v>66</v>
      </c>
      <c r="AC151" s="56"/>
      <c r="AD151" s="56"/>
      <c r="AF151" s="56"/>
      <c r="AG151" s="56">
        <v>162</v>
      </c>
      <c r="AH151" s="56">
        <v>62</v>
      </c>
      <c r="AM151" s="102">
        <f t="shared" si="19"/>
        <v>827</v>
      </c>
      <c r="AN151" s="257">
        <f t="shared" si="20"/>
        <v>827</v>
      </c>
      <c r="AO151" s="3">
        <f t="shared" si="26"/>
        <v>827</v>
      </c>
      <c r="AP151" s="8"/>
      <c r="AQ151" s="2">
        <f t="shared" si="21"/>
        <v>1</v>
      </c>
      <c r="AR151" s="264"/>
      <c r="AS151" s="264"/>
      <c r="AT151" s="264"/>
      <c r="AU151" s="264"/>
      <c r="AW151" s="8">
        <f t="shared" si="22"/>
        <v>107</v>
      </c>
      <c r="AX151" s="11">
        <f t="shared" si="23"/>
        <v>0</v>
      </c>
      <c r="AY151" s="8">
        <f t="shared" si="24"/>
        <v>94</v>
      </c>
      <c r="AZ151" s="11"/>
      <c r="BD151" s="11"/>
      <c r="BG151" s="11"/>
      <c r="CG151" s="264"/>
      <c r="CH151" s="264"/>
      <c r="CI151" s="264"/>
      <c r="CJ151" s="264"/>
      <c r="CK151" s="264"/>
      <c r="DK151" s="12"/>
      <c r="DM151" s="2">
        <v>4</v>
      </c>
      <c r="DP151" s="249"/>
      <c r="DR151" s="279"/>
      <c r="DS151" s="279"/>
      <c r="DT151" s="279"/>
      <c r="DU151" s="279"/>
      <c r="DV151" s="279"/>
      <c r="DW151" s="3">
        <v>34.400000000000006</v>
      </c>
    </row>
    <row r="152" spans="1:127">
      <c r="A152" s="102">
        <v>269</v>
      </c>
      <c r="B152" s="56">
        <v>7</v>
      </c>
      <c r="C152" s="240"/>
      <c r="D152" s="240"/>
      <c r="E152" s="240"/>
      <c r="F152" s="240"/>
      <c r="G152" s="240"/>
      <c r="H152" s="240"/>
      <c r="I152" s="240"/>
      <c r="J152" s="240"/>
      <c r="K152" s="240"/>
      <c r="L152" s="240"/>
      <c r="M152" s="240"/>
      <c r="N152" s="240"/>
      <c r="O152" s="240"/>
      <c r="P152" s="243"/>
      <c r="Q152" s="243"/>
      <c r="R152" s="10"/>
      <c r="S152" s="249">
        <v>227</v>
      </c>
      <c r="T152" s="56">
        <v>172</v>
      </c>
      <c r="U152" s="56"/>
      <c r="V152" s="56"/>
      <c r="W152" s="56"/>
      <c r="X152" s="56"/>
      <c r="Y152" s="56">
        <v>222</v>
      </c>
      <c r="Z152" s="56">
        <v>170</v>
      </c>
      <c r="AA152" s="56">
        <v>178</v>
      </c>
      <c r="AB152" s="56">
        <v>76</v>
      </c>
      <c r="AC152" s="56"/>
      <c r="AD152" s="56"/>
      <c r="AF152" s="56"/>
      <c r="AG152" s="56">
        <v>0</v>
      </c>
      <c r="AH152" s="56">
        <v>236</v>
      </c>
      <c r="AM152" s="102">
        <f t="shared" si="19"/>
        <v>1281</v>
      </c>
      <c r="AN152" s="257">
        <f t="shared" si="20"/>
        <v>1281</v>
      </c>
      <c r="AO152" s="3">
        <f t="shared" si="26"/>
        <v>1281</v>
      </c>
      <c r="AP152" s="8"/>
      <c r="AQ152" s="2">
        <f t="shared" si="21"/>
        <v>1</v>
      </c>
      <c r="AR152" s="264"/>
      <c r="AS152" s="264"/>
      <c r="AT152" s="264"/>
      <c r="AU152" s="264"/>
      <c r="AW152" s="8">
        <f t="shared" si="22"/>
        <v>172</v>
      </c>
      <c r="AX152" s="11">
        <f t="shared" si="23"/>
        <v>0</v>
      </c>
      <c r="AY152" s="8">
        <f t="shared" si="24"/>
        <v>227</v>
      </c>
      <c r="AZ152" s="11"/>
      <c r="BD152" s="11"/>
      <c r="BG152" s="11"/>
      <c r="CG152" s="264"/>
      <c r="CH152" s="264"/>
      <c r="CI152" s="264"/>
      <c r="CJ152" s="264"/>
      <c r="CK152" s="264"/>
      <c r="DK152" s="12"/>
      <c r="DM152" s="2">
        <v>4</v>
      </c>
      <c r="DP152" s="249"/>
      <c r="DR152" s="279"/>
      <c r="DS152" s="279"/>
      <c r="DT152" s="279"/>
      <c r="DU152" s="279"/>
      <c r="DV152" s="279"/>
      <c r="DW152" s="3">
        <v>21</v>
      </c>
    </row>
    <row r="153" spans="1:127">
      <c r="A153" s="102">
        <v>270</v>
      </c>
      <c r="B153" s="56">
        <v>7</v>
      </c>
      <c r="C153" s="240"/>
      <c r="D153" s="240"/>
      <c r="E153" s="240"/>
      <c r="F153" s="240"/>
      <c r="G153" s="240"/>
      <c r="H153" s="240"/>
      <c r="I153" s="240"/>
      <c r="J153" s="240"/>
      <c r="K153" s="240"/>
      <c r="L153" s="240"/>
      <c r="M153" s="240"/>
      <c r="N153" s="240"/>
      <c r="O153" s="240"/>
      <c r="P153" s="243"/>
      <c r="Q153" s="243"/>
      <c r="R153" s="10"/>
      <c r="S153" s="249">
        <v>194</v>
      </c>
      <c r="T153" s="56">
        <v>179</v>
      </c>
      <c r="U153" s="56"/>
      <c r="V153" s="56"/>
      <c r="W153" s="56"/>
      <c r="X153" s="56"/>
      <c r="Y153" s="56">
        <v>231</v>
      </c>
      <c r="Z153" s="56">
        <v>217</v>
      </c>
      <c r="AA153" s="56">
        <v>166</v>
      </c>
      <c r="AB153" s="56">
        <v>71</v>
      </c>
      <c r="AC153" s="56"/>
      <c r="AD153" s="56"/>
      <c r="AF153" s="56"/>
      <c r="AG153" s="56">
        <v>0</v>
      </c>
      <c r="AH153" s="56">
        <v>162</v>
      </c>
      <c r="AM153" s="102">
        <f t="shared" si="19"/>
        <v>1220</v>
      </c>
      <c r="AN153" s="257">
        <f t="shared" si="20"/>
        <v>1220</v>
      </c>
      <c r="AO153" s="3">
        <f t="shared" si="26"/>
        <v>1220</v>
      </c>
      <c r="AP153" s="8"/>
      <c r="AQ153" s="2">
        <f t="shared" si="21"/>
        <v>1</v>
      </c>
      <c r="AR153" s="264"/>
      <c r="AS153" s="264"/>
      <c r="AT153" s="264"/>
      <c r="AU153" s="264"/>
      <c r="AW153" s="8">
        <f t="shared" si="22"/>
        <v>179</v>
      </c>
      <c r="AX153" s="11">
        <f t="shared" si="23"/>
        <v>0</v>
      </c>
      <c r="AY153" s="8">
        <f t="shared" si="24"/>
        <v>194</v>
      </c>
      <c r="AZ153" s="11"/>
      <c r="BD153" s="11"/>
      <c r="BG153" s="11"/>
      <c r="CG153" s="264"/>
      <c r="CH153" s="264"/>
      <c r="CI153" s="264"/>
      <c r="CJ153" s="264"/>
      <c r="CK153" s="264"/>
      <c r="DK153" s="12"/>
      <c r="DM153" s="2">
        <v>4</v>
      </c>
      <c r="DP153" s="249"/>
      <c r="DR153" s="279"/>
      <c r="DS153" s="279"/>
      <c r="DT153" s="279"/>
      <c r="DU153" s="279"/>
      <c r="DV153" s="279"/>
      <c r="DW153" s="3">
        <v>19.7</v>
      </c>
    </row>
    <row r="154" spans="1:127">
      <c r="A154" s="102">
        <v>271</v>
      </c>
      <c r="B154" s="56">
        <v>7</v>
      </c>
      <c r="C154" s="240"/>
      <c r="D154" s="240"/>
      <c r="E154" s="240"/>
      <c r="F154" s="240"/>
      <c r="G154" s="240"/>
      <c r="H154" s="240"/>
      <c r="I154" s="240"/>
      <c r="J154" s="240"/>
      <c r="K154" s="240"/>
      <c r="L154" s="240"/>
      <c r="M154" s="240"/>
      <c r="N154" s="240"/>
      <c r="O154" s="240"/>
      <c r="P154" s="243"/>
      <c r="Q154" s="243"/>
      <c r="R154" s="10"/>
      <c r="S154" s="249">
        <v>79</v>
      </c>
      <c r="T154" s="56">
        <v>155</v>
      </c>
      <c r="U154" s="56"/>
      <c r="V154" s="56"/>
      <c r="W154" s="56"/>
      <c r="X154" s="56"/>
      <c r="Y154" s="56">
        <v>214</v>
      </c>
      <c r="Z154" s="56">
        <v>164</v>
      </c>
      <c r="AA154" s="56">
        <v>32</v>
      </c>
      <c r="AB154" s="56">
        <v>151</v>
      </c>
      <c r="AC154" s="56"/>
      <c r="AD154" s="56"/>
      <c r="AF154" s="56"/>
      <c r="AG154" s="56">
        <v>156</v>
      </c>
      <c r="AH154" s="56">
        <v>123</v>
      </c>
      <c r="AM154" s="102">
        <f t="shared" si="19"/>
        <v>1074</v>
      </c>
      <c r="AN154" s="257">
        <f t="shared" si="20"/>
        <v>1074</v>
      </c>
      <c r="AO154" s="3">
        <f t="shared" si="26"/>
        <v>1074</v>
      </c>
      <c r="AP154" s="8"/>
      <c r="AQ154" s="2">
        <f t="shared" si="21"/>
        <v>1</v>
      </c>
      <c r="AR154" s="264"/>
      <c r="AS154" s="264"/>
      <c r="AT154" s="264"/>
      <c r="AU154" s="264"/>
      <c r="AW154" s="8">
        <f t="shared" si="22"/>
        <v>155</v>
      </c>
      <c r="AX154" s="11">
        <f t="shared" si="23"/>
        <v>0</v>
      </c>
      <c r="AY154" s="8">
        <f t="shared" si="24"/>
        <v>79</v>
      </c>
      <c r="AZ154" s="11"/>
      <c r="BD154" s="11"/>
      <c r="BG154" s="11"/>
      <c r="CG154" s="264"/>
      <c r="CH154" s="264"/>
      <c r="CI154" s="264"/>
      <c r="CJ154" s="264"/>
      <c r="CK154" s="264"/>
      <c r="DK154" s="12"/>
      <c r="DM154" s="2">
        <v>4</v>
      </c>
      <c r="DP154" s="249"/>
      <c r="DR154" s="279"/>
      <c r="DS154" s="279"/>
      <c r="DT154" s="279"/>
      <c r="DU154" s="279"/>
      <c r="DV154" s="279"/>
      <c r="DW154" s="3">
        <v>13.100000000000001</v>
      </c>
    </row>
    <row r="155" spans="1:127">
      <c r="A155" s="102">
        <v>272</v>
      </c>
      <c r="B155" s="56">
        <v>7</v>
      </c>
      <c r="C155" s="240"/>
      <c r="D155" s="240"/>
      <c r="E155" s="240"/>
      <c r="F155" s="240"/>
      <c r="G155" s="240"/>
      <c r="H155" s="240"/>
      <c r="I155" s="240"/>
      <c r="J155" s="240"/>
      <c r="K155" s="240"/>
      <c r="L155" s="240"/>
      <c r="M155" s="240"/>
      <c r="N155" s="240"/>
      <c r="O155" s="240"/>
      <c r="P155" s="243"/>
      <c r="Q155" s="243"/>
      <c r="R155" s="10"/>
      <c r="S155" s="249">
        <v>165</v>
      </c>
      <c r="T155" s="56">
        <v>198</v>
      </c>
      <c r="U155" s="56"/>
      <c r="V155" s="56"/>
      <c r="W155" s="56"/>
      <c r="X155" s="56"/>
      <c r="Y155" s="56">
        <v>253</v>
      </c>
      <c r="Z155" s="56">
        <v>263</v>
      </c>
      <c r="AA155" s="56">
        <v>145</v>
      </c>
      <c r="AB155" s="56">
        <v>183</v>
      </c>
      <c r="AC155" s="56"/>
      <c r="AD155" s="56"/>
      <c r="AF155" s="56"/>
      <c r="AG155" s="56">
        <v>202</v>
      </c>
      <c r="AH155" s="56">
        <v>207</v>
      </c>
      <c r="AM155" s="102">
        <f t="shared" si="19"/>
        <v>1616</v>
      </c>
      <c r="AN155" s="257">
        <f t="shared" si="20"/>
        <v>1616</v>
      </c>
      <c r="AO155" s="3">
        <f t="shared" si="26"/>
        <v>1616</v>
      </c>
      <c r="AP155" s="8"/>
      <c r="AQ155" s="2">
        <f t="shared" si="21"/>
        <v>1</v>
      </c>
      <c r="AR155" s="264"/>
      <c r="AS155" s="264"/>
      <c r="AT155" s="264"/>
      <c r="AU155" s="264"/>
      <c r="AW155" s="8">
        <f t="shared" si="22"/>
        <v>198</v>
      </c>
      <c r="AX155" s="11">
        <f t="shared" si="23"/>
        <v>0</v>
      </c>
      <c r="AY155" s="8">
        <f t="shared" si="24"/>
        <v>165</v>
      </c>
      <c r="AZ155" s="11"/>
      <c r="BD155" s="11"/>
      <c r="BG155" s="11"/>
      <c r="CG155" s="264"/>
      <c r="CH155" s="264"/>
      <c r="CI155" s="264"/>
      <c r="CJ155" s="264"/>
      <c r="CK155" s="264"/>
      <c r="DK155" s="12"/>
      <c r="DM155" s="2">
        <v>4</v>
      </c>
      <c r="DP155" s="249"/>
      <c r="DR155" s="279"/>
      <c r="DS155" s="279"/>
      <c r="DT155" s="279"/>
      <c r="DU155" s="279"/>
      <c r="DV155" s="279"/>
      <c r="DW155" s="3">
        <v>50.1</v>
      </c>
    </row>
    <row r="156" spans="1:127">
      <c r="A156" s="102">
        <v>273</v>
      </c>
      <c r="B156" s="56">
        <v>7</v>
      </c>
      <c r="C156" s="240"/>
      <c r="D156" s="240"/>
      <c r="E156" s="240"/>
      <c r="F156" s="240"/>
      <c r="G156" s="240"/>
      <c r="H156" s="240"/>
      <c r="I156" s="240"/>
      <c r="J156" s="240"/>
      <c r="K156" s="240"/>
      <c r="L156" s="240"/>
      <c r="M156" s="240"/>
      <c r="N156" s="240"/>
      <c r="O156" s="240"/>
      <c r="P156" s="243"/>
      <c r="Q156" s="243"/>
      <c r="R156" s="10"/>
      <c r="S156" s="249">
        <v>123</v>
      </c>
      <c r="T156" s="56">
        <v>111</v>
      </c>
      <c r="U156" s="56"/>
      <c r="V156" s="56"/>
      <c r="W156" s="56"/>
      <c r="X156" s="56"/>
      <c r="Y156" s="56">
        <v>256</v>
      </c>
      <c r="Z156" s="56">
        <v>230</v>
      </c>
      <c r="AA156" s="56">
        <v>120</v>
      </c>
      <c r="AB156" s="56">
        <v>158</v>
      </c>
      <c r="AC156" s="56"/>
      <c r="AD156" s="56"/>
      <c r="AF156" s="56"/>
      <c r="AG156" s="56">
        <v>226</v>
      </c>
      <c r="AH156" s="56">
        <v>101</v>
      </c>
      <c r="AM156" s="102">
        <f t="shared" si="19"/>
        <v>1325</v>
      </c>
      <c r="AN156" s="257">
        <f t="shared" si="20"/>
        <v>1325</v>
      </c>
      <c r="AO156" s="3">
        <f t="shared" si="26"/>
        <v>1325</v>
      </c>
      <c r="AP156" s="8"/>
      <c r="AQ156" s="2">
        <f t="shared" si="21"/>
        <v>1</v>
      </c>
      <c r="AR156" s="264"/>
      <c r="AS156" s="264"/>
      <c r="AT156" s="264"/>
      <c r="AU156" s="264"/>
      <c r="AW156" s="8">
        <f t="shared" si="22"/>
        <v>111</v>
      </c>
      <c r="AX156" s="11">
        <f t="shared" si="23"/>
        <v>0</v>
      </c>
      <c r="AY156" s="8">
        <f t="shared" si="24"/>
        <v>123</v>
      </c>
      <c r="AZ156" s="11"/>
      <c r="BD156" s="11"/>
      <c r="BG156" s="11"/>
      <c r="CG156" s="264"/>
      <c r="CH156" s="264"/>
      <c r="CI156" s="264"/>
      <c r="CJ156" s="264"/>
      <c r="CK156" s="264"/>
      <c r="DK156" s="12"/>
      <c r="DM156" s="2">
        <v>4</v>
      </c>
      <c r="DP156" s="249"/>
      <c r="DR156" s="279"/>
      <c r="DS156" s="279"/>
      <c r="DT156" s="279"/>
      <c r="DU156" s="279"/>
      <c r="DV156" s="279"/>
      <c r="DW156" s="3">
        <v>13</v>
      </c>
    </row>
    <row r="157" spans="1:127">
      <c r="A157" s="102">
        <v>274</v>
      </c>
      <c r="B157" s="56">
        <v>7</v>
      </c>
      <c r="C157" s="240"/>
      <c r="D157" s="240"/>
      <c r="E157" s="240"/>
      <c r="F157" s="240"/>
      <c r="G157" s="240"/>
      <c r="H157" s="240"/>
      <c r="I157" s="240"/>
      <c r="J157" s="240"/>
      <c r="K157" s="240"/>
      <c r="L157" s="240"/>
      <c r="M157" s="240"/>
      <c r="N157" s="240"/>
      <c r="O157" s="240"/>
      <c r="P157" s="243"/>
      <c r="Q157" s="243"/>
      <c r="R157" s="10"/>
      <c r="S157" s="249">
        <v>117</v>
      </c>
      <c r="T157" s="56">
        <v>152</v>
      </c>
      <c r="U157" s="56"/>
      <c r="V157" s="56"/>
      <c r="W157" s="56"/>
      <c r="X157" s="56"/>
      <c r="Y157" s="56">
        <v>134</v>
      </c>
      <c r="Z157" s="56">
        <v>129</v>
      </c>
      <c r="AA157" s="56">
        <v>100</v>
      </c>
      <c r="AB157" s="56">
        <v>124</v>
      </c>
      <c r="AC157" s="56"/>
      <c r="AD157" s="56"/>
      <c r="AF157" s="56"/>
      <c r="AG157" s="56">
        <v>151</v>
      </c>
      <c r="AH157" s="56">
        <v>115</v>
      </c>
      <c r="AM157" s="102">
        <f t="shared" si="19"/>
        <v>1022</v>
      </c>
      <c r="AN157" s="257">
        <f t="shared" si="20"/>
        <v>1022</v>
      </c>
      <c r="AO157" s="3">
        <f t="shared" si="26"/>
        <v>1022</v>
      </c>
      <c r="AP157" s="8"/>
      <c r="AQ157" s="2">
        <f t="shared" si="21"/>
        <v>1</v>
      </c>
      <c r="AR157" s="264"/>
      <c r="AS157" s="264"/>
      <c r="AT157" s="264"/>
      <c r="AU157" s="264"/>
      <c r="AW157" s="8">
        <f t="shared" si="22"/>
        <v>152</v>
      </c>
      <c r="AX157" s="11">
        <f t="shared" si="23"/>
        <v>0</v>
      </c>
      <c r="AY157" s="8">
        <f t="shared" si="24"/>
        <v>117</v>
      </c>
      <c r="AZ157" s="11"/>
      <c r="BD157" s="11"/>
      <c r="BG157" s="11"/>
      <c r="CG157" s="264"/>
      <c r="CH157" s="264"/>
      <c r="CI157" s="264"/>
      <c r="CJ157" s="264"/>
      <c r="CK157" s="264"/>
      <c r="DK157" s="12"/>
      <c r="DM157" s="2">
        <v>4</v>
      </c>
      <c r="DP157" s="249"/>
      <c r="DR157" s="279"/>
      <c r="DS157" s="279"/>
      <c r="DT157" s="279"/>
      <c r="DU157" s="279"/>
      <c r="DV157" s="279"/>
      <c r="DW157" s="3">
        <v>13.4</v>
      </c>
    </row>
    <row r="158" spans="1:127">
      <c r="A158" s="102">
        <v>275</v>
      </c>
      <c r="B158" s="56">
        <v>7</v>
      </c>
      <c r="C158" s="240"/>
      <c r="D158" s="240"/>
      <c r="E158" s="240"/>
      <c r="F158" s="240"/>
      <c r="G158" s="240"/>
      <c r="H158" s="240"/>
      <c r="I158" s="240"/>
      <c r="J158" s="240"/>
      <c r="K158" s="240"/>
      <c r="L158" s="240"/>
      <c r="M158" s="240"/>
      <c r="N158" s="240"/>
      <c r="O158" s="240"/>
      <c r="P158" s="243"/>
      <c r="Q158" s="243"/>
      <c r="R158" s="10"/>
      <c r="S158" s="249">
        <v>196</v>
      </c>
      <c r="T158" s="56">
        <v>144</v>
      </c>
      <c r="U158" s="56"/>
      <c r="V158" s="56"/>
      <c r="W158" s="56"/>
      <c r="X158" s="56"/>
      <c r="Y158" s="56">
        <v>307</v>
      </c>
      <c r="Z158" s="56">
        <v>154</v>
      </c>
      <c r="AA158" s="56">
        <v>77</v>
      </c>
      <c r="AB158" s="56">
        <v>139</v>
      </c>
      <c r="AC158" s="56"/>
      <c r="AD158" s="56"/>
      <c r="AF158" s="56"/>
      <c r="AG158" s="56">
        <v>0</v>
      </c>
      <c r="AH158" s="56">
        <v>343</v>
      </c>
      <c r="AM158" s="102">
        <f t="shared" si="19"/>
        <v>1360</v>
      </c>
      <c r="AN158" s="257">
        <f t="shared" si="20"/>
        <v>1360</v>
      </c>
      <c r="AO158" s="3">
        <f t="shared" si="26"/>
        <v>1360</v>
      </c>
      <c r="AP158" s="8"/>
      <c r="AQ158" s="2">
        <f t="shared" si="21"/>
        <v>1</v>
      </c>
      <c r="AR158" s="264"/>
      <c r="AS158" s="264"/>
      <c r="AT158" s="264"/>
      <c r="AU158" s="264"/>
      <c r="AW158" s="8">
        <f t="shared" si="22"/>
        <v>144</v>
      </c>
      <c r="AX158" s="11">
        <f t="shared" si="23"/>
        <v>0</v>
      </c>
      <c r="AY158" s="8">
        <f t="shared" si="24"/>
        <v>196</v>
      </c>
      <c r="AZ158" s="11"/>
      <c r="BD158" s="11"/>
      <c r="BG158" s="11"/>
      <c r="CG158" s="264"/>
      <c r="CH158" s="264"/>
      <c r="CI158" s="264"/>
      <c r="CJ158" s="264"/>
      <c r="CK158" s="264"/>
      <c r="DK158" s="12"/>
      <c r="DM158" s="2">
        <v>4</v>
      </c>
      <c r="DP158" s="249"/>
      <c r="DR158" s="279"/>
      <c r="DS158" s="279"/>
      <c r="DT158" s="279"/>
      <c r="DU158" s="279"/>
      <c r="DV158" s="279"/>
      <c r="DW158" s="3">
        <v>15.3</v>
      </c>
    </row>
    <row r="159" spans="1:127">
      <c r="A159" s="102">
        <v>276</v>
      </c>
      <c r="B159" s="56">
        <v>7</v>
      </c>
      <c r="C159" s="240"/>
      <c r="D159" s="240"/>
      <c r="E159" s="240"/>
      <c r="F159" s="240"/>
      <c r="G159" s="240"/>
      <c r="H159" s="240"/>
      <c r="I159" s="240"/>
      <c r="J159" s="240"/>
      <c r="K159" s="240"/>
      <c r="L159" s="240"/>
      <c r="M159" s="240"/>
      <c r="N159" s="240"/>
      <c r="O159" s="240"/>
      <c r="P159" s="243"/>
      <c r="Q159" s="243"/>
      <c r="R159" s="10"/>
      <c r="S159" s="249">
        <v>134</v>
      </c>
      <c r="T159" s="56">
        <v>184</v>
      </c>
      <c r="U159" s="56"/>
      <c r="V159" s="56"/>
      <c r="W159" s="56"/>
      <c r="X159" s="56"/>
      <c r="Y159" s="56">
        <v>253</v>
      </c>
      <c r="Z159" s="56">
        <v>79</v>
      </c>
      <c r="AA159" s="56">
        <v>151</v>
      </c>
      <c r="AB159" s="56">
        <v>160</v>
      </c>
      <c r="AC159" s="56"/>
      <c r="AD159" s="56"/>
      <c r="AF159" s="56"/>
      <c r="AG159" s="56">
        <v>209</v>
      </c>
      <c r="AH159" s="56">
        <v>92</v>
      </c>
      <c r="AM159" s="102">
        <f t="shared" si="19"/>
        <v>1262</v>
      </c>
      <c r="AN159" s="257">
        <f t="shared" si="20"/>
        <v>1262</v>
      </c>
      <c r="AO159" s="3">
        <f t="shared" si="26"/>
        <v>1262</v>
      </c>
      <c r="AP159" s="8"/>
      <c r="AQ159" s="2">
        <f t="shared" si="21"/>
        <v>1</v>
      </c>
      <c r="AR159" s="264"/>
      <c r="AS159" s="264"/>
      <c r="AT159" s="264"/>
      <c r="AU159" s="264"/>
      <c r="AW159" s="8">
        <f t="shared" si="22"/>
        <v>184</v>
      </c>
      <c r="AX159" s="11">
        <f t="shared" si="23"/>
        <v>0</v>
      </c>
      <c r="AY159" s="8">
        <f t="shared" si="24"/>
        <v>134</v>
      </c>
      <c r="AZ159" s="11"/>
      <c r="BD159" s="11"/>
      <c r="BG159" s="11"/>
      <c r="CG159" s="264"/>
      <c r="CH159" s="264"/>
      <c r="CI159" s="264"/>
      <c r="CJ159" s="264"/>
      <c r="CK159" s="264"/>
      <c r="DK159" s="12"/>
      <c r="DM159" s="2">
        <v>4</v>
      </c>
      <c r="DP159" s="249"/>
      <c r="DR159" s="279"/>
      <c r="DS159" s="279"/>
      <c r="DT159" s="279"/>
      <c r="DU159" s="279"/>
      <c r="DV159" s="279"/>
      <c r="DW159" s="3">
        <v>19.8</v>
      </c>
    </row>
    <row r="160" spans="1:127">
      <c r="A160" s="102">
        <v>277</v>
      </c>
      <c r="B160" s="56">
        <v>7</v>
      </c>
      <c r="C160" s="240"/>
      <c r="D160" s="240"/>
      <c r="E160" s="240"/>
      <c r="F160" s="240"/>
      <c r="G160" s="240"/>
      <c r="H160" s="240"/>
      <c r="I160" s="240"/>
      <c r="J160" s="240"/>
      <c r="K160" s="240"/>
      <c r="L160" s="240"/>
      <c r="M160" s="240"/>
      <c r="N160" s="240"/>
      <c r="O160" s="240"/>
      <c r="P160" s="243"/>
      <c r="Q160" s="243"/>
      <c r="R160" s="10"/>
      <c r="S160" s="249">
        <v>200</v>
      </c>
      <c r="T160" s="56">
        <v>159</v>
      </c>
      <c r="U160" s="56"/>
      <c r="V160" s="56"/>
      <c r="W160" s="56"/>
      <c r="X160" s="56"/>
      <c r="Y160" s="56">
        <v>224</v>
      </c>
      <c r="Z160" s="56">
        <v>75</v>
      </c>
      <c r="AA160" s="56">
        <v>195</v>
      </c>
      <c r="AB160" s="56">
        <v>199</v>
      </c>
      <c r="AC160" s="56"/>
      <c r="AD160" s="56"/>
      <c r="AF160" s="56"/>
      <c r="AG160" s="56">
        <v>131</v>
      </c>
      <c r="AH160" s="56">
        <v>96</v>
      </c>
      <c r="AM160" s="102">
        <f t="shared" si="19"/>
        <v>1279</v>
      </c>
      <c r="AN160" s="257">
        <f t="shared" si="20"/>
        <v>1279</v>
      </c>
      <c r="AO160" s="3">
        <f t="shared" si="26"/>
        <v>1279</v>
      </c>
      <c r="AP160" s="8"/>
      <c r="AQ160" s="2">
        <f t="shared" si="21"/>
        <v>1</v>
      </c>
      <c r="AR160" s="264"/>
      <c r="AS160" s="264"/>
      <c r="AT160" s="264"/>
      <c r="AU160" s="264"/>
      <c r="AW160" s="8">
        <f t="shared" si="22"/>
        <v>159</v>
      </c>
      <c r="AX160" s="11">
        <f t="shared" si="23"/>
        <v>0</v>
      </c>
      <c r="AY160" s="8">
        <f t="shared" si="24"/>
        <v>200</v>
      </c>
      <c r="AZ160" s="11"/>
      <c r="BD160" s="11"/>
      <c r="BG160" s="11"/>
      <c r="CG160" s="264"/>
      <c r="CH160" s="264"/>
      <c r="CI160" s="264"/>
      <c r="CJ160" s="264"/>
      <c r="CK160" s="264"/>
      <c r="DK160" s="12"/>
      <c r="DM160" s="2">
        <v>4</v>
      </c>
      <c r="DP160" s="249"/>
      <c r="DR160" s="279"/>
      <c r="DS160" s="279"/>
      <c r="DT160" s="279"/>
      <c r="DU160" s="279"/>
      <c r="DV160" s="279"/>
      <c r="DW160" s="3">
        <v>19.8</v>
      </c>
    </row>
    <row r="161" spans="1:130">
      <c r="A161" s="102">
        <v>278</v>
      </c>
      <c r="B161" s="56">
        <v>7</v>
      </c>
      <c r="C161" s="240"/>
      <c r="D161" s="240"/>
      <c r="E161" s="240"/>
      <c r="F161" s="240"/>
      <c r="G161" s="240"/>
      <c r="H161" s="240"/>
      <c r="I161" s="240"/>
      <c r="J161" s="240"/>
      <c r="K161" s="240"/>
      <c r="L161" s="240"/>
      <c r="M161" s="240"/>
      <c r="N161" s="240"/>
      <c r="O161" s="240"/>
      <c r="P161" s="243"/>
      <c r="Q161" s="243"/>
      <c r="R161" s="10"/>
      <c r="S161" s="249">
        <v>113</v>
      </c>
      <c r="T161" s="56">
        <v>159</v>
      </c>
      <c r="U161" s="56"/>
      <c r="V161" s="56"/>
      <c r="W161" s="56"/>
      <c r="X161" s="56"/>
      <c r="Y161" s="56">
        <v>239</v>
      </c>
      <c r="Z161" s="56">
        <v>183</v>
      </c>
      <c r="AA161" s="56">
        <v>180</v>
      </c>
      <c r="AB161" s="56">
        <v>154</v>
      </c>
      <c r="AC161" s="56"/>
      <c r="AD161" s="56"/>
      <c r="AF161" s="56"/>
      <c r="AG161" s="56">
        <v>182</v>
      </c>
      <c r="AH161" s="56">
        <v>153</v>
      </c>
      <c r="AM161" s="102">
        <f t="shared" si="19"/>
        <v>1363</v>
      </c>
      <c r="AN161" s="257">
        <f t="shared" si="20"/>
        <v>1363</v>
      </c>
      <c r="AO161" s="3">
        <f t="shared" si="26"/>
        <v>1363</v>
      </c>
      <c r="AP161" s="8"/>
      <c r="AQ161" s="2">
        <f t="shared" si="21"/>
        <v>1</v>
      </c>
      <c r="AR161" s="264"/>
      <c r="AS161" s="264"/>
      <c r="AT161" s="264"/>
      <c r="AU161" s="264"/>
      <c r="AW161" s="8">
        <f t="shared" si="22"/>
        <v>159</v>
      </c>
      <c r="AX161" s="11">
        <f t="shared" si="23"/>
        <v>0</v>
      </c>
      <c r="AY161" s="8">
        <f t="shared" si="24"/>
        <v>113</v>
      </c>
      <c r="AZ161" s="11"/>
      <c r="BD161" s="11"/>
      <c r="BG161" s="11"/>
      <c r="CG161" s="264"/>
      <c r="CH161" s="264"/>
      <c r="CI161" s="264"/>
      <c r="CJ161" s="264"/>
      <c r="CK161" s="264"/>
      <c r="DK161" s="12"/>
      <c r="DM161" s="2">
        <v>4</v>
      </c>
      <c r="DP161" s="249"/>
      <c r="DR161" s="279"/>
      <c r="DS161" s="279"/>
      <c r="DT161" s="279"/>
      <c r="DU161" s="279"/>
      <c r="DV161" s="279"/>
      <c r="DW161" s="3">
        <v>26.4</v>
      </c>
    </row>
    <row r="162" spans="1:130">
      <c r="A162" s="102">
        <v>279</v>
      </c>
      <c r="B162" s="56">
        <v>7</v>
      </c>
      <c r="C162" s="240"/>
      <c r="D162" s="240"/>
      <c r="E162" s="240"/>
      <c r="F162" s="240"/>
      <c r="G162" s="240"/>
      <c r="H162" s="240"/>
      <c r="I162" s="240"/>
      <c r="J162" s="240"/>
      <c r="K162" s="240"/>
      <c r="L162" s="240"/>
      <c r="M162" s="240"/>
      <c r="N162" s="240"/>
      <c r="O162" s="240"/>
      <c r="P162" s="243"/>
      <c r="Q162" s="243"/>
      <c r="R162" s="10"/>
      <c r="S162" s="249">
        <v>179</v>
      </c>
      <c r="T162" s="56">
        <v>135</v>
      </c>
      <c r="U162" s="56"/>
      <c r="V162" s="56"/>
      <c r="W162" s="56"/>
      <c r="X162" s="56"/>
      <c r="Y162" s="56">
        <v>225</v>
      </c>
      <c r="Z162" s="56">
        <v>198</v>
      </c>
      <c r="AA162" s="56">
        <v>100</v>
      </c>
      <c r="AB162" s="56">
        <v>72</v>
      </c>
      <c r="AC162" s="56"/>
      <c r="AD162" s="56"/>
      <c r="AF162" s="56"/>
      <c r="AG162" s="56">
        <v>181</v>
      </c>
      <c r="AH162" s="56">
        <v>156</v>
      </c>
      <c r="AM162" s="102">
        <f t="shared" si="19"/>
        <v>1246</v>
      </c>
      <c r="AN162" s="257">
        <f t="shared" si="20"/>
        <v>1246</v>
      </c>
      <c r="AO162" s="3">
        <f t="shared" si="26"/>
        <v>1246</v>
      </c>
      <c r="AP162" s="8"/>
      <c r="AQ162" s="2">
        <f t="shared" si="21"/>
        <v>1</v>
      </c>
      <c r="AR162" s="264"/>
      <c r="AS162" s="264"/>
      <c r="AT162" s="264"/>
      <c r="AU162" s="264"/>
      <c r="AW162" s="8">
        <f t="shared" si="22"/>
        <v>135</v>
      </c>
      <c r="AX162" s="11">
        <f t="shared" si="23"/>
        <v>0</v>
      </c>
      <c r="AY162" s="8">
        <f t="shared" si="24"/>
        <v>179</v>
      </c>
      <c r="AZ162" s="11"/>
      <c r="BD162" s="11"/>
      <c r="BG162" s="11"/>
      <c r="CG162" s="264"/>
      <c r="CH162" s="264"/>
      <c r="CI162" s="264"/>
      <c r="CJ162" s="264"/>
      <c r="CK162" s="264"/>
      <c r="DK162" s="12"/>
      <c r="DM162" s="2">
        <v>4</v>
      </c>
      <c r="DP162" s="249"/>
      <c r="DR162" s="279"/>
      <c r="DS162" s="279"/>
      <c r="DT162" s="279"/>
      <c r="DU162" s="279"/>
      <c r="DV162" s="279"/>
      <c r="DW162" s="3">
        <v>19.7</v>
      </c>
    </row>
    <row r="163" spans="1:130">
      <c r="A163" s="102">
        <v>280</v>
      </c>
      <c r="B163" s="56">
        <v>7</v>
      </c>
      <c r="C163" s="240"/>
      <c r="D163" s="240"/>
      <c r="E163" s="240"/>
      <c r="F163" s="240"/>
      <c r="G163" s="240"/>
      <c r="H163" s="240"/>
      <c r="I163" s="240"/>
      <c r="J163" s="240"/>
      <c r="K163" s="240"/>
      <c r="L163" s="240"/>
      <c r="M163" s="240"/>
      <c r="N163" s="240"/>
      <c r="O163" s="240"/>
      <c r="P163" s="243"/>
      <c r="Q163" s="243"/>
      <c r="R163" s="10"/>
      <c r="S163" s="249">
        <v>128</v>
      </c>
      <c r="T163" s="56">
        <v>151</v>
      </c>
      <c r="U163" s="56"/>
      <c r="V163" s="56"/>
      <c r="W163" s="56"/>
      <c r="X163" s="56"/>
      <c r="Y163" s="56">
        <v>267</v>
      </c>
      <c r="Z163" s="56">
        <v>160</v>
      </c>
      <c r="AA163" s="56">
        <v>232</v>
      </c>
      <c r="AB163" s="56">
        <v>128</v>
      </c>
      <c r="AC163" s="56"/>
      <c r="AD163" s="56"/>
      <c r="AF163" s="56"/>
      <c r="AG163" s="56">
        <v>206</v>
      </c>
      <c r="AH163" s="56">
        <v>128</v>
      </c>
      <c r="AM163" s="102">
        <f t="shared" si="19"/>
        <v>1400</v>
      </c>
      <c r="AN163" s="257">
        <f t="shared" si="20"/>
        <v>1400</v>
      </c>
      <c r="AO163" s="3">
        <f t="shared" si="26"/>
        <v>1400</v>
      </c>
      <c r="AP163" s="8"/>
      <c r="AQ163" s="2">
        <f t="shared" si="21"/>
        <v>1</v>
      </c>
      <c r="AR163" s="264"/>
      <c r="AS163" s="264"/>
      <c r="AT163" s="264"/>
      <c r="AU163" s="264"/>
      <c r="AW163" s="8">
        <f t="shared" si="22"/>
        <v>151</v>
      </c>
      <c r="AX163" s="11">
        <f t="shared" si="23"/>
        <v>0</v>
      </c>
      <c r="AY163" s="8">
        <f t="shared" si="24"/>
        <v>128</v>
      </c>
      <c r="AZ163" s="11"/>
      <c r="BD163" s="11"/>
      <c r="BG163" s="11"/>
      <c r="CG163" s="264"/>
      <c r="CH163" s="264"/>
      <c r="CI163" s="264"/>
      <c r="CJ163" s="264"/>
      <c r="CK163" s="264"/>
      <c r="DK163" s="12"/>
      <c r="DM163" s="2">
        <v>3</v>
      </c>
      <c r="DP163" s="249"/>
      <c r="DR163" s="279"/>
      <c r="DS163" s="279"/>
      <c r="DT163" s="279"/>
      <c r="DU163" s="279"/>
      <c r="DV163" s="279"/>
      <c r="DW163" s="3">
        <v>19.5</v>
      </c>
    </row>
    <row r="164" spans="1:130">
      <c r="A164" s="102">
        <v>281</v>
      </c>
      <c r="B164" s="56">
        <v>7</v>
      </c>
      <c r="C164" s="240"/>
      <c r="D164" s="240"/>
      <c r="E164" s="240"/>
      <c r="F164" s="240"/>
      <c r="G164" s="240"/>
      <c r="H164" s="240"/>
      <c r="I164" s="240"/>
      <c r="J164" s="240"/>
      <c r="K164" s="240"/>
      <c r="L164" s="240"/>
      <c r="M164" s="240"/>
      <c r="N164" s="240"/>
      <c r="O164" s="240"/>
      <c r="P164" s="243"/>
      <c r="Q164" s="243"/>
      <c r="R164" s="10"/>
      <c r="S164" s="249">
        <v>49</v>
      </c>
      <c r="T164" s="56">
        <v>199</v>
      </c>
      <c r="U164" s="56"/>
      <c r="V164" s="56"/>
      <c r="W164" s="56"/>
      <c r="X164" s="56"/>
      <c r="Y164" s="56">
        <v>210</v>
      </c>
      <c r="Z164" s="56">
        <v>166</v>
      </c>
      <c r="AA164" s="56">
        <v>159</v>
      </c>
      <c r="AB164" s="56">
        <v>165</v>
      </c>
      <c r="AC164" s="56"/>
      <c r="AD164" s="56"/>
      <c r="AF164" s="56"/>
      <c r="AG164" s="56">
        <v>160</v>
      </c>
      <c r="AH164" s="56">
        <v>151</v>
      </c>
      <c r="AM164" s="102">
        <f t="shared" si="19"/>
        <v>1259</v>
      </c>
      <c r="AN164" s="257">
        <f t="shared" si="20"/>
        <v>1259</v>
      </c>
      <c r="AO164" s="3">
        <f t="shared" si="26"/>
        <v>1259</v>
      </c>
      <c r="AP164" s="8"/>
      <c r="AQ164" s="2">
        <f t="shared" si="21"/>
        <v>1</v>
      </c>
      <c r="AR164" s="264"/>
      <c r="AS164" s="264"/>
      <c r="AT164" s="264"/>
      <c r="AU164" s="264"/>
      <c r="AW164" s="8">
        <f t="shared" si="22"/>
        <v>199</v>
      </c>
      <c r="AX164" s="11">
        <f t="shared" si="23"/>
        <v>0</v>
      </c>
      <c r="AY164" s="8">
        <f t="shared" si="24"/>
        <v>49</v>
      </c>
      <c r="AZ164" s="11"/>
      <c r="BD164" s="11"/>
      <c r="BG164" s="11"/>
      <c r="CG164" s="264"/>
      <c r="CH164" s="264"/>
      <c r="CI164" s="264"/>
      <c r="CJ164" s="264"/>
      <c r="CK164" s="264"/>
      <c r="DK164" s="12"/>
      <c r="DM164" s="2">
        <v>4</v>
      </c>
      <c r="DP164" s="249"/>
      <c r="DR164" s="279"/>
      <c r="DS164" s="279"/>
      <c r="DT164" s="279"/>
      <c r="DU164" s="279"/>
      <c r="DV164" s="279"/>
      <c r="DW164" s="3">
        <v>16.7</v>
      </c>
    </row>
    <row r="165" spans="1:130">
      <c r="A165" s="102">
        <v>282</v>
      </c>
      <c r="B165" s="56">
        <v>7</v>
      </c>
      <c r="C165" s="240"/>
      <c r="D165" s="240"/>
      <c r="E165" s="240"/>
      <c r="F165" s="240"/>
      <c r="G165" s="240"/>
      <c r="H165" s="240"/>
      <c r="I165" s="240"/>
      <c r="J165" s="240"/>
      <c r="K165" s="240"/>
      <c r="L165" s="240"/>
      <c r="M165" s="240"/>
      <c r="N165" s="240"/>
      <c r="O165" s="240"/>
      <c r="P165" s="243"/>
      <c r="Q165" s="243"/>
      <c r="R165" s="10"/>
      <c r="S165" s="249">
        <v>130</v>
      </c>
      <c r="T165" s="56">
        <v>157</v>
      </c>
      <c r="U165" s="56"/>
      <c r="V165" s="56"/>
      <c r="W165" s="56"/>
      <c r="X165" s="56"/>
      <c r="Y165" s="56">
        <v>160</v>
      </c>
      <c r="Z165" s="56">
        <v>162</v>
      </c>
      <c r="AA165" s="56">
        <v>138</v>
      </c>
      <c r="AB165" s="56">
        <v>154</v>
      </c>
      <c r="AC165" s="56"/>
      <c r="AD165" s="56"/>
      <c r="AF165" s="56"/>
      <c r="AG165" s="56">
        <v>114</v>
      </c>
      <c r="AH165" s="56">
        <v>113</v>
      </c>
      <c r="AM165" s="102">
        <f t="shared" si="19"/>
        <v>1128</v>
      </c>
      <c r="AN165" s="257">
        <f t="shared" si="20"/>
        <v>1128</v>
      </c>
      <c r="AO165" s="3">
        <f t="shared" si="26"/>
        <v>1128</v>
      </c>
      <c r="AP165" s="8"/>
      <c r="AQ165" s="2">
        <f t="shared" si="21"/>
        <v>1</v>
      </c>
      <c r="AR165" s="264"/>
      <c r="AS165" s="264"/>
      <c r="AT165" s="264"/>
      <c r="AU165" s="264"/>
      <c r="AW165" s="8">
        <f t="shared" si="22"/>
        <v>157</v>
      </c>
      <c r="AX165" s="11">
        <f t="shared" si="23"/>
        <v>0</v>
      </c>
      <c r="AY165" s="8">
        <f t="shared" si="24"/>
        <v>130</v>
      </c>
      <c r="AZ165" s="11"/>
      <c r="BD165" s="11"/>
      <c r="BG165" s="11"/>
      <c r="CG165" s="264"/>
      <c r="CH165" s="264"/>
      <c r="CI165" s="264"/>
      <c r="CJ165" s="264"/>
      <c r="CK165" s="264"/>
      <c r="DK165" s="12"/>
      <c r="DM165" s="2">
        <v>4</v>
      </c>
      <c r="DP165" s="249"/>
      <c r="DR165" s="279"/>
      <c r="DS165" s="279"/>
      <c r="DT165" s="279"/>
      <c r="DU165" s="279"/>
      <c r="DV165" s="279"/>
      <c r="DW165" s="3">
        <v>17.2</v>
      </c>
    </row>
    <row r="166" spans="1:130">
      <c r="A166" s="102">
        <v>283</v>
      </c>
      <c r="B166" s="56">
        <v>7</v>
      </c>
      <c r="C166" s="240"/>
      <c r="D166" s="240"/>
      <c r="E166" s="240"/>
      <c r="F166" s="240"/>
      <c r="G166" s="240"/>
      <c r="H166" s="240"/>
      <c r="I166" s="240"/>
      <c r="J166" s="240"/>
      <c r="K166" s="240"/>
      <c r="L166" s="240"/>
      <c r="M166" s="240"/>
      <c r="N166" s="240"/>
      <c r="O166" s="240"/>
      <c r="P166" s="243"/>
      <c r="Q166" s="243"/>
      <c r="R166" s="10"/>
      <c r="S166" s="249">
        <v>152</v>
      </c>
      <c r="T166" s="56">
        <v>174</v>
      </c>
      <c r="U166" s="56"/>
      <c r="V166" s="56"/>
      <c r="W166" s="56"/>
      <c r="X166" s="56"/>
      <c r="Y166" s="56">
        <v>149</v>
      </c>
      <c r="Z166" s="56">
        <v>172</v>
      </c>
      <c r="AA166" s="56">
        <v>153</v>
      </c>
      <c r="AB166" s="56">
        <v>162</v>
      </c>
      <c r="AC166" s="56"/>
      <c r="AD166" s="56"/>
      <c r="AF166" s="56"/>
      <c r="AG166" s="56">
        <v>147</v>
      </c>
      <c r="AH166" s="56">
        <v>152</v>
      </c>
      <c r="AM166" s="102">
        <f t="shared" si="19"/>
        <v>1261</v>
      </c>
      <c r="AN166" s="257">
        <f t="shared" si="20"/>
        <v>1261</v>
      </c>
      <c r="AO166" s="3">
        <f t="shared" si="26"/>
        <v>1261</v>
      </c>
      <c r="AP166" s="8"/>
      <c r="AQ166" s="2">
        <f t="shared" si="21"/>
        <v>1</v>
      </c>
      <c r="AR166" s="264"/>
      <c r="AS166" s="264"/>
      <c r="AT166" s="264"/>
      <c r="AU166" s="264"/>
      <c r="AW166" s="8">
        <f t="shared" si="22"/>
        <v>174</v>
      </c>
      <c r="AX166" s="11">
        <f t="shared" si="23"/>
        <v>0</v>
      </c>
      <c r="AY166" s="8">
        <f t="shared" si="24"/>
        <v>152</v>
      </c>
      <c r="AZ166" s="11"/>
      <c r="BD166" s="11"/>
      <c r="BG166" s="11"/>
      <c r="CG166" s="264"/>
      <c r="CH166" s="264"/>
      <c r="CI166" s="264"/>
      <c r="CJ166" s="264"/>
      <c r="CK166" s="264"/>
      <c r="DK166" s="12"/>
      <c r="DM166" s="2">
        <v>4</v>
      </c>
      <c r="DP166" s="249"/>
      <c r="DR166" s="279"/>
      <c r="DS166" s="279"/>
      <c r="DT166" s="279"/>
      <c r="DU166" s="279"/>
      <c r="DV166" s="279"/>
      <c r="DW166" s="3">
        <v>18.5</v>
      </c>
    </row>
    <row r="167" spans="1:130">
      <c r="A167" s="102">
        <v>284</v>
      </c>
      <c r="B167" s="56">
        <v>7</v>
      </c>
      <c r="C167" s="240"/>
      <c r="D167" s="240"/>
      <c r="E167" s="240"/>
      <c r="F167" s="240"/>
      <c r="G167" s="240"/>
      <c r="H167" s="240"/>
      <c r="I167" s="240"/>
      <c r="J167" s="240"/>
      <c r="K167" s="240"/>
      <c r="L167" s="240"/>
      <c r="M167" s="240"/>
      <c r="N167" s="240"/>
      <c r="O167" s="240"/>
      <c r="P167" s="243"/>
      <c r="Q167" s="243"/>
      <c r="R167" s="10"/>
      <c r="S167" s="249">
        <v>202</v>
      </c>
      <c r="T167" s="56">
        <v>219</v>
      </c>
      <c r="U167" s="56"/>
      <c r="V167" s="56"/>
      <c r="W167" s="56"/>
      <c r="X167" s="56"/>
      <c r="Y167" s="56">
        <v>182</v>
      </c>
      <c r="Z167" s="56">
        <v>222</v>
      </c>
      <c r="AA167" s="56">
        <v>175</v>
      </c>
      <c r="AB167" s="56">
        <v>200</v>
      </c>
      <c r="AC167" s="56"/>
      <c r="AD167" s="56"/>
      <c r="AF167" s="56"/>
      <c r="AG167" s="56">
        <v>157</v>
      </c>
      <c r="AH167" s="56">
        <v>175</v>
      </c>
      <c r="AM167" s="102">
        <f t="shared" si="19"/>
        <v>1532</v>
      </c>
      <c r="AN167" s="257">
        <f t="shared" si="20"/>
        <v>1532</v>
      </c>
      <c r="AO167" s="3">
        <f t="shared" si="26"/>
        <v>1532</v>
      </c>
      <c r="AP167" s="8"/>
      <c r="AQ167" s="2">
        <f t="shared" si="21"/>
        <v>1</v>
      </c>
      <c r="AR167" s="264"/>
      <c r="AS167" s="264"/>
      <c r="AT167" s="264"/>
      <c r="AU167" s="264"/>
      <c r="AW167" s="8">
        <f t="shared" si="22"/>
        <v>219</v>
      </c>
      <c r="AX167" s="11">
        <f t="shared" si="23"/>
        <v>0</v>
      </c>
      <c r="AY167" s="8">
        <f t="shared" si="24"/>
        <v>202</v>
      </c>
      <c r="AZ167" s="11"/>
      <c r="BD167" s="11"/>
      <c r="BG167" s="11"/>
      <c r="CG167" s="264"/>
      <c r="CH167" s="264"/>
      <c r="CI167" s="264"/>
      <c r="CJ167" s="264"/>
      <c r="CK167" s="264"/>
      <c r="DK167" s="12"/>
      <c r="DM167" s="2">
        <v>4</v>
      </c>
      <c r="DP167" s="249"/>
      <c r="DR167" s="279"/>
      <c r="DS167" s="279"/>
      <c r="DT167" s="279"/>
      <c r="DU167" s="279"/>
      <c r="DV167" s="279"/>
      <c r="DW167" s="3">
        <v>20.7</v>
      </c>
    </row>
    <row r="168" spans="1:130">
      <c r="A168" s="102">
        <v>285</v>
      </c>
      <c r="B168" s="56">
        <v>7</v>
      </c>
      <c r="C168" s="240"/>
      <c r="D168" s="240"/>
      <c r="E168" s="240"/>
      <c r="F168" s="240"/>
      <c r="G168" s="240"/>
      <c r="H168" s="240"/>
      <c r="I168" s="240"/>
      <c r="J168" s="240"/>
      <c r="K168" s="240"/>
      <c r="L168" s="240"/>
      <c r="M168" s="240"/>
      <c r="N168" s="240"/>
      <c r="O168" s="240"/>
      <c r="P168" s="243"/>
      <c r="Q168" s="243"/>
      <c r="R168" s="10"/>
      <c r="S168" s="249">
        <v>105</v>
      </c>
      <c r="T168" s="56">
        <v>236</v>
      </c>
      <c r="U168" s="56"/>
      <c r="V168" s="56"/>
      <c r="W168" s="56"/>
      <c r="X168" s="56"/>
      <c r="Y168" s="56">
        <v>171</v>
      </c>
      <c r="Z168" s="56">
        <v>238</v>
      </c>
      <c r="AA168" s="56">
        <v>173</v>
      </c>
      <c r="AB168" s="56">
        <v>236</v>
      </c>
      <c r="AC168" s="56"/>
      <c r="AD168" s="56"/>
      <c r="AF168" s="56"/>
      <c r="AG168" s="56">
        <v>147</v>
      </c>
      <c r="AH168" s="56">
        <v>180</v>
      </c>
      <c r="AM168" s="102">
        <f t="shared" ref="AM168:AM174" si="27">SUM(S168:AL168)</f>
        <v>1486</v>
      </c>
      <c r="AN168" s="257">
        <f t="shared" ref="AN168:AN174" si="28">R168+AM168</f>
        <v>1486</v>
      </c>
      <c r="AO168" s="3">
        <f t="shared" si="26"/>
        <v>1486</v>
      </c>
      <c r="AP168" s="8"/>
      <c r="AQ168" s="2">
        <f t="shared" ref="AQ168:AQ173" si="29">IF(AN168&gt;=$AQ$6,1,0)</f>
        <v>1</v>
      </c>
      <c r="AR168" s="264"/>
      <c r="AS168" s="264"/>
      <c r="AT168" s="264"/>
      <c r="AU168" s="264"/>
      <c r="AW168" s="8">
        <f t="shared" ref="AW168:AW174" si="30">T168+AC168</f>
        <v>236</v>
      </c>
      <c r="AX168" s="11">
        <f t="shared" ref="AX168:AX174" si="31">AD168</f>
        <v>0</v>
      </c>
      <c r="AY168" s="8">
        <f t="shared" ref="AY168:AY174" si="32">S168+AE168</f>
        <v>105</v>
      </c>
      <c r="AZ168" s="11"/>
      <c r="BD168" s="11"/>
      <c r="BG168" s="11"/>
      <c r="CG168" s="264"/>
      <c r="CH168" s="264"/>
      <c r="CI168" s="264"/>
      <c r="CJ168" s="264"/>
      <c r="CK168" s="264"/>
      <c r="DK168" s="12"/>
      <c r="DM168" s="2">
        <v>4</v>
      </c>
      <c r="DP168" s="249"/>
      <c r="DR168" s="279"/>
      <c r="DS168" s="279"/>
      <c r="DT168" s="279"/>
      <c r="DU168" s="279"/>
      <c r="DV168" s="279"/>
      <c r="DW168" s="3">
        <v>21.799999999999997</v>
      </c>
    </row>
    <row r="169" spans="1:130">
      <c r="A169" s="102">
        <v>286</v>
      </c>
      <c r="B169" s="56">
        <v>7</v>
      </c>
      <c r="C169" s="240"/>
      <c r="D169" s="240"/>
      <c r="E169" s="240"/>
      <c r="F169" s="240"/>
      <c r="G169" s="240"/>
      <c r="H169" s="240"/>
      <c r="I169" s="240"/>
      <c r="J169" s="240"/>
      <c r="K169" s="240"/>
      <c r="L169" s="240"/>
      <c r="M169" s="240"/>
      <c r="N169" s="240"/>
      <c r="O169" s="240"/>
      <c r="P169" s="243"/>
      <c r="Q169" s="243"/>
      <c r="R169" s="10"/>
      <c r="S169" s="249">
        <v>125</v>
      </c>
      <c r="T169" s="56">
        <v>172</v>
      </c>
      <c r="U169" s="56"/>
      <c r="V169" s="56"/>
      <c r="W169" s="56"/>
      <c r="X169" s="56"/>
      <c r="Y169" s="56">
        <v>184</v>
      </c>
      <c r="Z169" s="56">
        <v>138</v>
      </c>
      <c r="AA169" s="56">
        <v>105</v>
      </c>
      <c r="AB169" s="56">
        <v>133</v>
      </c>
      <c r="AC169" s="56"/>
      <c r="AD169" s="56"/>
      <c r="AF169" s="56"/>
      <c r="AG169" s="56">
        <v>122</v>
      </c>
      <c r="AH169" s="56">
        <v>100</v>
      </c>
      <c r="AM169" s="102">
        <f t="shared" si="27"/>
        <v>1079</v>
      </c>
      <c r="AN169" s="257">
        <f t="shared" si="28"/>
        <v>1079</v>
      </c>
      <c r="AO169" s="3">
        <f t="shared" si="26"/>
        <v>1079</v>
      </c>
      <c r="AP169" s="8"/>
      <c r="AQ169" s="2">
        <f t="shared" si="29"/>
        <v>1</v>
      </c>
      <c r="AR169" s="264"/>
      <c r="AS169" s="264"/>
      <c r="AT169" s="264"/>
      <c r="AU169" s="264"/>
      <c r="AW169" s="8">
        <f t="shared" si="30"/>
        <v>172</v>
      </c>
      <c r="AX169" s="11">
        <f t="shared" si="31"/>
        <v>0</v>
      </c>
      <c r="AY169" s="8">
        <f t="shared" si="32"/>
        <v>125</v>
      </c>
      <c r="AZ169" s="11"/>
      <c r="BD169" s="11"/>
      <c r="BG169" s="11"/>
      <c r="CG169" s="264"/>
      <c r="CH169" s="264"/>
      <c r="CI169" s="264"/>
      <c r="CJ169" s="264"/>
      <c r="CK169" s="264"/>
      <c r="DK169" s="12"/>
      <c r="DM169" s="2">
        <v>4</v>
      </c>
      <c r="DP169" s="249"/>
      <c r="DR169" s="279"/>
      <c r="DS169" s="279"/>
      <c r="DT169" s="279"/>
      <c r="DU169" s="279"/>
      <c r="DV169" s="279"/>
      <c r="DW169" s="3">
        <v>14.3</v>
      </c>
    </row>
    <row r="170" spans="1:130">
      <c r="A170" s="102">
        <v>287</v>
      </c>
      <c r="B170" s="56">
        <v>7</v>
      </c>
      <c r="C170" s="240"/>
      <c r="D170" s="240"/>
      <c r="E170" s="240"/>
      <c r="F170" s="240"/>
      <c r="G170" s="240"/>
      <c r="H170" s="240"/>
      <c r="I170" s="240"/>
      <c r="J170" s="240"/>
      <c r="K170" s="240"/>
      <c r="L170" s="240"/>
      <c r="M170" s="240"/>
      <c r="N170" s="240"/>
      <c r="O170" s="240"/>
      <c r="P170" s="243"/>
      <c r="Q170" s="243"/>
      <c r="R170" s="10"/>
      <c r="S170" s="249">
        <v>333</v>
      </c>
      <c r="T170" s="56">
        <v>266</v>
      </c>
      <c r="U170" s="56"/>
      <c r="V170" s="56"/>
      <c r="W170" s="56"/>
      <c r="X170" s="56"/>
      <c r="Y170" s="56">
        <v>198</v>
      </c>
      <c r="Z170" s="56">
        <v>214</v>
      </c>
      <c r="AA170" s="56">
        <v>292</v>
      </c>
      <c r="AB170" s="56">
        <v>137</v>
      </c>
      <c r="AC170" s="56"/>
      <c r="AD170" s="56"/>
      <c r="AF170" s="56"/>
      <c r="AG170" s="56">
        <v>160</v>
      </c>
      <c r="AH170" s="56">
        <v>85</v>
      </c>
      <c r="AM170" s="102">
        <f t="shared" si="27"/>
        <v>1685</v>
      </c>
      <c r="AN170" s="257">
        <f t="shared" si="28"/>
        <v>1685</v>
      </c>
      <c r="AO170" s="3">
        <f t="shared" si="26"/>
        <v>1685</v>
      </c>
      <c r="AP170" s="8"/>
      <c r="AQ170" s="2">
        <f t="shared" si="29"/>
        <v>1</v>
      </c>
      <c r="AR170" s="264"/>
      <c r="AS170" s="264"/>
      <c r="AT170" s="264"/>
      <c r="AU170" s="264"/>
      <c r="AW170" s="8">
        <f t="shared" si="30"/>
        <v>266</v>
      </c>
      <c r="AX170" s="11">
        <f t="shared" si="31"/>
        <v>0</v>
      </c>
      <c r="AY170" s="8">
        <f t="shared" si="32"/>
        <v>333</v>
      </c>
      <c r="AZ170" s="11"/>
      <c r="BD170" s="11"/>
      <c r="BG170" s="11"/>
      <c r="CG170" s="264"/>
      <c r="CH170" s="264"/>
      <c r="CI170" s="264"/>
      <c r="CJ170" s="264"/>
      <c r="CK170" s="264"/>
      <c r="DK170" s="12"/>
      <c r="DM170" s="2">
        <v>4</v>
      </c>
      <c r="DP170" s="249"/>
      <c r="DR170" s="279"/>
      <c r="DS170" s="279"/>
      <c r="DT170" s="279"/>
      <c r="DU170" s="279"/>
      <c r="DV170" s="279"/>
      <c r="DW170" s="3">
        <v>14.6</v>
      </c>
    </row>
    <row r="171" spans="1:130">
      <c r="A171" s="102">
        <v>288</v>
      </c>
      <c r="B171" s="56">
        <v>7</v>
      </c>
      <c r="C171" s="240"/>
      <c r="D171" s="240"/>
      <c r="E171" s="240"/>
      <c r="F171" s="240"/>
      <c r="G171" s="240"/>
      <c r="H171" s="240"/>
      <c r="I171" s="240"/>
      <c r="J171" s="240"/>
      <c r="K171" s="240"/>
      <c r="L171" s="240"/>
      <c r="M171" s="240"/>
      <c r="N171" s="240"/>
      <c r="O171" s="240"/>
      <c r="P171" s="243"/>
      <c r="Q171" s="243"/>
      <c r="R171" s="10"/>
      <c r="S171" s="249">
        <v>246</v>
      </c>
      <c r="T171" s="56">
        <v>192</v>
      </c>
      <c r="U171" s="56"/>
      <c r="V171" s="56"/>
      <c r="W171" s="56"/>
      <c r="X171" s="56"/>
      <c r="Y171" s="56">
        <v>65</v>
      </c>
      <c r="Z171" s="56">
        <v>177</v>
      </c>
      <c r="AA171" s="56">
        <v>191</v>
      </c>
      <c r="AB171" s="56">
        <v>89</v>
      </c>
      <c r="AC171" s="56"/>
      <c r="AD171" s="56"/>
      <c r="AF171" s="56"/>
      <c r="AG171" s="56">
        <v>128</v>
      </c>
      <c r="AH171" s="56">
        <v>151</v>
      </c>
      <c r="AM171" s="102">
        <f t="shared" si="27"/>
        <v>1239</v>
      </c>
      <c r="AN171" s="257">
        <f t="shared" si="28"/>
        <v>1239</v>
      </c>
      <c r="AO171" s="3">
        <f t="shared" si="26"/>
        <v>1239</v>
      </c>
      <c r="AP171" s="8"/>
      <c r="AQ171" s="2">
        <f t="shared" si="29"/>
        <v>1</v>
      </c>
      <c r="AR171" s="264"/>
      <c r="AS171" s="264"/>
      <c r="AT171" s="264"/>
      <c r="AU171" s="264"/>
      <c r="AW171" s="8">
        <f t="shared" si="30"/>
        <v>192</v>
      </c>
      <c r="AX171" s="11">
        <f t="shared" si="31"/>
        <v>0</v>
      </c>
      <c r="AY171" s="8">
        <f t="shared" si="32"/>
        <v>246</v>
      </c>
      <c r="AZ171" s="11"/>
      <c r="BD171" s="11"/>
      <c r="BG171" s="11"/>
      <c r="CG171" s="264"/>
      <c r="CH171" s="264"/>
      <c r="CI171" s="264"/>
      <c r="CJ171" s="264"/>
      <c r="CK171" s="264"/>
      <c r="DK171" s="12"/>
      <c r="DM171" s="2">
        <v>4</v>
      </c>
      <c r="DP171" s="249"/>
      <c r="DR171" s="279"/>
      <c r="DS171" s="279"/>
      <c r="DT171" s="279"/>
      <c r="DU171" s="279"/>
      <c r="DV171" s="279"/>
      <c r="DW171" s="3">
        <v>23.6</v>
      </c>
    </row>
    <row r="172" spans="1:130">
      <c r="A172" s="102">
        <v>289</v>
      </c>
      <c r="B172" s="56">
        <v>7</v>
      </c>
      <c r="C172" s="240"/>
      <c r="D172" s="240"/>
      <c r="E172" s="240"/>
      <c r="F172" s="240"/>
      <c r="G172" s="240"/>
      <c r="H172" s="240"/>
      <c r="I172" s="240"/>
      <c r="J172" s="240"/>
      <c r="K172" s="240"/>
      <c r="L172" s="240"/>
      <c r="M172" s="240"/>
      <c r="N172" s="240"/>
      <c r="O172" s="240"/>
      <c r="P172" s="243"/>
      <c r="Q172" s="243"/>
      <c r="R172" s="10"/>
      <c r="S172" s="249">
        <v>234</v>
      </c>
      <c r="T172" s="56">
        <v>202</v>
      </c>
      <c r="U172" s="56"/>
      <c r="V172" s="56"/>
      <c r="W172" s="56"/>
      <c r="X172" s="56"/>
      <c r="Y172" s="56">
        <v>75</v>
      </c>
      <c r="Z172" s="56">
        <v>166</v>
      </c>
      <c r="AA172" s="56">
        <v>189</v>
      </c>
      <c r="AB172" s="56">
        <v>89</v>
      </c>
      <c r="AC172" s="56"/>
      <c r="AD172" s="56"/>
      <c r="AF172" s="56"/>
      <c r="AG172" s="56">
        <v>122</v>
      </c>
      <c r="AH172" s="56">
        <v>157</v>
      </c>
      <c r="AM172" s="102">
        <f t="shared" si="27"/>
        <v>1234</v>
      </c>
      <c r="AN172" s="257">
        <f t="shared" si="28"/>
        <v>1234</v>
      </c>
      <c r="AO172" s="3">
        <f t="shared" si="26"/>
        <v>1234</v>
      </c>
      <c r="AP172" s="8"/>
      <c r="AQ172" s="2">
        <f t="shared" si="29"/>
        <v>1</v>
      </c>
      <c r="AR172" s="264"/>
      <c r="AS172" s="264"/>
      <c r="AT172" s="264"/>
      <c r="AU172" s="264"/>
      <c r="AW172" s="8">
        <f t="shared" si="30"/>
        <v>202</v>
      </c>
      <c r="AX172" s="11">
        <f t="shared" si="31"/>
        <v>0</v>
      </c>
      <c r="AY172" s="8">
        <f t="shared" si="32"/>
        <v>234</v>
      </c>
      <c r="AZ172" s="11"/>
      <c r="BD172" s="11"/>
      <c r="BG172" s="11"/>
      <c r="CG172" s="264"/>
      <c r="CH172" s="264"/>
      <c r="CI172" s="264"/>
      <c r="CJ172" s="264"/>
      <c r="CK172" s="264"/>
      <c r="DK172" s="12"/>
      <c r="DM172" s="2">
        <v>4</v>
      </c>
      <c r="DP172" s="249"/>
      <c r="DR172" s="279"/>
      <c r="DS172" s="279"/>
      <c r="DT172" s="279"/>
      <c r="DU172" s="279"/>
      <c r="DV172" s="279"/>
      <c r="DW172" s="3">
        <v>24</v>
      </c>
    </row>
    <row r="173" spans="1:130">
      <c r="A173" s="102">
        <v>290</v>
      </c>
      <c r="B173" s="56">
        <v>7</v>
      </c>
      <c r="C173" s="240"/>
      <c r="D173" s="240"/>
      <c r="E173" s="240"/>
      <c r="F173" s="240"/>
      <c r="G173" s="240"/>
      <c r="H173" s="240"/>
      <c r="I173" s="240"/>
      <c r="J173" s="240"/>
      <c r="K173" s="240"/>
      <c r="L173" s="240"/>
      <c r="M173" s="240"/>
      <c r="N173" s="240"/>
      <c r="O173" s="240"/>
      <c r="P173" s="243"/>
      <c r="Q173" s="243"/>
      <c r="R173" s="10"/>
      <c r="S173" s="249">
        <v>170</v>
      </c>
      <c r="T173" s="56">
        <v>108</v>
      </c>
      <c r="U173" s="56"/>
      <c r="V173" s="56"/>
      <c r="W173" s="56"/>
      <c r="X173" s="56"/>
      <c r="Y173" s="56">
        <v>180</v>
      </c>
      <c r="Z173" s="56">
        <v>133</v>
      </c>
      <c r="AA173" s="56">
        <v>163</v>
      </c>
      <c r="AB173" s="56">
        <v>179</v>
      </c>
      <c r="AC173" s="56"/>
      <c r="AD173" s="56"/>
      <c r="AF173" s="56"/>
      <c r="AG173" s="56">
        <v>165</v>
      </c>
      <c r="AH173" s="56">
        <v>119</v>
      </c>
      <c r="AM173" s="102">
        <f t="shared" si="27"/>
        <v>1217</v>
      </c>
      <c r="AN173" s="257">
        <f t="shared" si="28"/>
        <v>1217</v>
      </c>
      <c r="AO173" s="3">
        <f t="shared" si="26"/>
        <v>1217</v>
      </c>
      <c r="AP173" s="8"/>
      <c r="AQ173" s="2">
        <f t="shared" si="29"/>
        <v>1</v>
      </c>
      <c r="AR173" s="264"/>
      <c r="AS173" s="264"/>
      <c r="AT173" s="264"/>
      <c r="AU173" s="264"/>
      <c r="AW173" s="8">
        <f t="shared" si="30"/>
        <v>108</v>
      </c>
      <c r="AX173" s="11">
        <f t="shared" si="31"/>
        <v>0</v>
      </c>
      <c r="AY173" s="8">
        <f t="shared" si="32"/>
        <v>170</v>
      </c>
      <c r="AZ173" s="11"/>
      <c r="BD173" s="11"/>
      <c r="BG173" s="11"/>
      <c r="CG173" s="264"/>
      <c r="CH173" s="264"/>
      <c r="CI173" s="264"/>
      <c r="CJ173" s="264"/>
      <c r="CK173" s="264"/>
      <c r="DK173" s="12"/>
      <c r="DM173" s="2">
        <v>3</v>
      </c>
      <c r="DP173" s="249"/>
      <c r="DR173" s="279"/>
      <c r="DS173" s="279"/>
      <c r="DT173" s="279"/>
      <c r="DU173" s="279"/>
      <c r="DV173" s="279"/>
      <c r="DW173" s="3">
        <v>15.4</v>
      </c>
    </row>
    <row r="174" spans="1:130">
      <c r="A174" s="102">
        <v>291</v>
      </c>
      <c r="B174" s="56">
        <v>7</v>
      </c>
      <c r="C174" s="240"/>
      <c r="D174" s="240"/>
      <c r="E174" s="240"/>
      <c r="F174" s="240"/>
      <c r="G174" s="240"/>
      <c r="H174" s="240"/>
      <c r="I174" s="240"/>
      <c r="J174" s="240"/>
      <c r="K174" s="240"/>
      <c r="L174" s="240"/>
      <c r="M174" s="240"/>
      <c r="N174" s="240"/>
      <c r="O174" s="240"/>
      <c r="P174" s="243"/>
      <c r="Q174" s="243"/>
      <c r="R174" s="10"/>
      <c r="S174" s="249">
        <v>251</v>
      </c>
      <c r="T174" s="56">
        <v>149</v>
      </c>
      <c r="U174" s="56"/>
      <c r="V174" s="56"/>
      <c r="W174" s="56"/>
      <c r="X174" s="56"/>
      <c r="Y174" s="56">
        <v>149</v>
      </c>
      <c r="Z174" s="56">
        <v>93</v>
      </c>
      <c r="AA174" s="56">
        <v>214</v>
      </c>
      <c r="AB174" s="56">
        <v>142</v>
      </c>
      <c r="AC174" s="56"/>
      <c r="AD174" s="56"/>
      <c r="AF174" s="56"/>
      <c r="AG174" s="56">
        <v>116</v>
      </c>
      <c r="AH174" s="56">
        <v>35</v>
      </c>
      <c r="AM174" s="102">
        <f t="shared" si="27"/>
        <v>1149</v>
      </c>
      <c r="AN174" s="257">
        <f t="shared" si="28"/>
        <v>1149</v>
      </c>
      <c r="AO174" s="3">
        <f t="shared" si="26"/>
        <v>1149</v>
      </c>
      <c r="AP174" s="8"/>
      <c r="AQ174" s="2">
        <f>IF(AN174&gt;=$AQ$6,1,0)</f>
        <v>1</v>
      </c>
      <c r="AR174" s="264"/>
      <c r="AS174" s="264"/>
      <c r="AT174" s="264"/>
      <c r="AU174" s="264"/>
      <c r="AW174" s="8">
        <f t="shared" si="30"/>
        <v>149</v>
      </c>
      <c r="AX174" s="11">
        <f t="shared" si="31"/>
        <v>0</v>
      </c>
      <c r="AY174" s="8">
        <f t="shared" si="32"/>
        <v>251</v>
      </c>
      <c r="AZ174" s="11"/>
      <c r="BD174" s="11"/>
      <c r="BG174" s="11"/>
      <c r="CG174" s="264"/>
      <c r="CH174" s="264"/>
      <c r="CI174" s="264"/>
      <c r="CJ174" s="264"/>
      <c r="CK174" s="264"/>
      <c r="DK174" s="12"/>
      <c r="DM174" s="2">
        <v>4</v>
      </c>
      <c r="DP174" s="249"/>
      <c r="DR174" s="279"/>
      <c r="DS174" s="279"/>
      <c r="DT174" s="279"/>
      <c r="DU174" s="279"/>
      <c r="DV174" s="279"/>
      <c r="DW174" s="3">
        <v>24.8</v>
      </c>
    </row>
    <row r="175" spans="1:130">
      <c r="A175" s="102">
        <v>292</v>
      </c>
      <c r="B175" s="56">
        <v>7</v>
      </c>
      <c r="C175" s="240"/>
      <c r="D175" s="240"/>
      <c r="E175" s="240"/>
      <c r="F175" s="240"/>
      <c r="G175" s="240"/>
      <c r="H175" s="240"/>
      <c r="I175" s="240"/>
      <c r="J175" s="240"/>
      <c r="K175" s="240"/>
      <c r="L175" s="240"/>
      <c r="M175" s="240"/>
      <c r="N175" s="240"/>
      <c r="O175" s="240"/>
      <c r="P175" s="243"/>
      <c r="Q175" s="243"/>
      <c r="R175" s="10">
        <f>SUM(C175:Q175)</f>
        <v>0</v>
      </c>
      <c r="S175" s="249">
        <v>137</v>
      </c>
      <c r="T175" s="56">
        <v>212</v>
      </c>
      <c r="U175" s="56"/>
      <c r="V175" s="250"/>
      <c r="W175" s="56"/>
      <c r="X175" s="56"/>
      <c r="Y175" s="56">
        <v>133</v>
      </c>
      <c r="Z175" s="56">
        <v>132</v>
      </c>
      <c r="AA175" s="56">
        <v>228</v>
      </c>
      <c r="AB175" s="56">
        <v>122</v>
      </c>
      <c r="AC175" s="56"/>
      <c r="AD175" s="56"/>
      <c r="AF175" s="56"/>
      <c r="AG175" s="56">
        <v>102</v>
      </c>
      <c r="AH175" s="56">
        <v>105</v>
      </c>
      <c r="AM175" s="102">
        <f>SUM(S175:AL175)</f>
        <v>1171</v>
      </c>
      <c r="AN175" s="257">
        <f>R175+AM175</f>
        <v>1171</v>
      </c>
      <c r="AO175" s="3">
        <f t="shared" si="26"/>
        <v>1171</v>
      </c>
      <c r="AP175" s="8"/>
      <c r="AQ175" s="2" t="e">
        <f>#N/A</f>
        <v>#N/A</v>
      </c>
      <c r="AR175" s="264"/>
      <c r="AS175" s="264"/>
      <c r="AT175" s="264"/>
      <c r="AU175" s="264"/>
      <c r="AW175" s="8">
        <f>T175+AC175</f>
        <v>212</v>
      </c>
      <c r="AX175" s="11">
        <f>AD175</f>
        <v>0</v>
      </c>
      <c r="AY175" s="8">
        <f>S175+AE175</f>
        <v>137</v>
      </c>
      <c r="AZ175" s="11"/>
      <c r="BD175" s="11"/>
      <c r="BG175" s="11"/>
      <c r="CG175" s="264"/>
      <c r="CH175" s="264"/>
      <c r="CI175" s="264"/>
      <c r="CJ175" s="264"/>
      <c r="CK175" s="264"/>
      <c r="DK175" s="12"/>
      <c r="DM175" s="2">
        <v>4</v>
      </c>
      <c r="DP175" s="249"/>
      <c r="DR175" s="279"/>
      <c r="DS175" s="279"/>
      <c r="DT175" s="279"/>
      <c r="DU175" s="279"/>
      <c r="DV175" s="279"/>
      <c r="DW175" s="3">
        <v>29.7</v>
      </c>
    </row>
    <row r="176" spans="1:130">
      <c r="R176" s="235">
        <f>SUM(C176:Q176)</f>
        <v>0</v>
      </c>
      <c r="T176" s="56" t="s">
        <v>70</v>
      </c>
      <c r="U176" s="56" t="s">
        <v>71</v>
      </c>
      <c r="V176" s="246" t="s">
        <v>72</v>
      </c>
      <c r="W176" s="246"/>
      <c r="X176" s="246"/>
      <c r="Y176" s="56"/>
      <c r="Z176" s="56" t="s">
        <v>71</v>
      </c>
      <c r="AA176" s="28" t="s">
        <v>72</v>
      </c>
      <c r="AB176" s="245" t="s">
        <v>70</v>
      </c>
      <c r="AC176" s="245"/>
      <c r="AD176" s="246"/>
      <c r="AE176" s="245"/>
      <c r="AF176" s="246" t="s">
        <v>72</v>
      </c>
      <c r="AG176" s="246" t="s">
        <v>70</v>
      </c>
      <c r="AH176" s="246" t="s">
        <v>71</v>
      </c>
      <c r="AI176" s="25"/>
      <c r="AJ176" s="25"/>
      <c r="AK176" s="25"/>
      <c r="AL176" s="25"/>
      <c r="AR176" s="264"/>
      <c r="AS176" s="264"/>
      <c r="AT176" s="264"/>
      <c r="AU176" s="264"/>
      <c r="AW176" s="8"/>
      <c r="AX176" s="11"/>
      <c r="AY176" s="8"/>
      <c r="BN176" s="245"/>
      <c r="BO176" s="245"/>
      <c r="BP176" s="28"/>
      <c r="BQ176" s="28"/>
      <c r="BR176" s="28"/>
      <c r="BS176" s="28"/>
      <c r="BT176" s="28"/>
      <c r="BU176" s="28"/>
      <c r="BV176" s="28"/>
      <c r="BW176" s="28"/>
      <c r="CE176" s="2">
        <f>SUM(BK176:CD176)</f>
        <v>0</v>
      </c>
      <c r="CG176" s="264"/>
      <c r="CH176" s="264"/>
      <c r="CI176" s="264"/>
      <c r="CJ176" s="264"/>
      <c r="CK176" s="264"/>
      <c r="DK176" s="234"/>
      <c r="DM176" s="2" t="s">
        <v>98</v>
      </c>
      <c r="DP176" s="249"/>
      <c r="DR176" s="279"/>
      <c r="DS176" s="279"/>
      <c r="DT176" s="280"/>
      <c r="DU176" s="280"/>
      <c r="DV176" s="280"/>
      <c r="DW176" s="267">
        <f>DY176+DZ176</f>
        <v>2390.1</v>
      </c>
      <c r="DY176" s="102">
        <f>SUM(DY9:DY175)</f>
        <v>2390.1</v>
      </c>
      <c r="DZ176" s="102">
        <f>SUM(DZ9:DZ175)</f>
        <v>0</v>
      </c>
    </row>
    <row r="177" spans="1:132" s="102" customFormat="1" ht="17.399999999999999">
      <c r="A177" s="989" t="s">
        <v>1697</v>
      </c>
      <c r="B177" s="989"/>
      <c r="C177" s="241">
        <f t="shared" ref="C177:R177" si="33">SUM(C178:C266)</f>
        <v>0</v>
      </c>
      <c r="D177" s="241">
        <f t="shared" si="33"/>
        <v>0</v>
      </c>
      <c r="E177" s="241">
        <f t="shared" si="33"/>
        <v>0</v>
      </c>
      <c r="F177" s="241">
        <f t="shared" si="33"/>
        <v>0</v>
      </c>
      <c r="G177" s="241">
        <f t="shared" si="33"/>
        <v>0</v>
      </c>
      <c r="H177" s="241">
        <f t="shared" si="33"/>
        <v>0</v>
      </c>
      <c r="I177" s="241">
        <f t="shared" si="33"/>
        <v>0</v>
      </c>
      <c r="J177" s="241">
        <f t="shared" si="33"/>
        <v>0</v>
      </c>
      <c r="K177" s="241">
        <f t="shared" si="33"/>
        <v>0</v>
      </c>
      <c r="L177" s="241">
        <f t="shared" si="33"/>
        <v>0</v>
      </c>
      <c r="M177" s="241">
        <f t="shared" si="33"/>
        <v>0</v>
      </c>
      <c r="N177" s="241">
        <f t="shared" si="33"/>
        <v>0</v>
      </c>
      <c r="O177" s="241">
        <f t="shared" si="33"/>
        <v>0</v>
      </c>
      <c r="P177" s="241">
        <f t="shared" si="33"/>
        <v>0</v>
      </c>
      <c r="Q177" s="241">
        <f t="shared" si="33"/>
        <v>0</v>
      </c>
      <c r="R177" s="251">
        <f t="shared" si="33"/>
        <v>0</v>
      </c>
      <c r="S177" s="403">
        <f>SUM(S178:S314)</f>
        <v>0</v>
      </c>
      <c r="T177" s="403">
        <f t="shared" ref="T177:AI177" si="34">SUM(T178:T314)</f>
        <v>29095</v>
      </c>
      <c r="U177" s="403">
        <f t="shared" si="34"/>
        <v>29510</v>
      </c>
      <c r="V177" s="403">
        <f t="shared" si="34"/>
        <v>33678</v>
      </c>
      <c r="W177" s="403">
        <f t="shared" si="34"/>
        <v>0</v>
      </c>
      <c r="X177" s="403">
        <f t="shared" si="34"/>
        <v>0</v>
      </c>
      <c r="Y177" s="403">
        <f t="shared" si="34"/>
        <v>0</v>
      </c>
      <c r="Z177" s="403">
        <f t="shared" si="34"/>
        <v>16279</v>
      </c>
      <c r="AA177" s="403">
        <f t="shared" si="34"/>
        <v>24458</v>
      </c>
      <c r="AB177" s="403">
        <f t="shared" si="34"/>
        <v>35958</v>
      </c>
      <c r="AC177" s="403">
        <f t="shared" si="34"/>
        <v>0</v>
      </c>
      <c r="AD177" s="403">
        <f t="shared" si="34"/>
        <v>0</v>
      </c>
      <c r="AE177" s="403">
        <f t="shared" si="34"/>
        <v>0</v>
      </c>
      <c r="AF177" s="403">
        <f t="shared" si="34"/>
        <v>13379</v>
      </c>
      <c r="AG177" s="403">
        <f t="shared" si="34"/>
        <v>21886</v>
      </c>
      <c r="AH177" s="403">
        <f t="shared" si="34"/>
        <v>29468</v>
      </c>
      <c r="AI177" s="403">
        <f t="shared" si="34"/>
        <v>0</v>
      </c>
      <c r="AJ177" s="403">
        <f t="shared" ref="AJ177:BO177" si="35">SUM(AJ178:AJ314)</f>
        <v>0</v>
      </c>
      <c r="AK177" s="403">
        <f t="shared" si="35"/>
        <v>0</v>
      </c>
      <c r="AL177" s="403">
        <f t="shared" si="35"/>
        <v>0</v>
      </c>
      <c r="AM177" s="403">
        <f t="shared" si="35"/>
        <v>233711</v>
      </c>
      <c r="AN177" s="403">
        <f t="shared" si="35"/>
        <v>233711</v>
      </c>
      <c r="AO177" s="403">
        <f>SUM(AO178:AO314)</f>
        <v>0</v>
      </c>
      <c r="AP177" s="403">
        <f t="shared" si="35"/>
        <v>64866</v>
      </c>
      <c r="AQ177" s="403">
        <f t="shared" si="35"/>
        <v>89</v>
      </c>
      <c r="AR177" s="403">
        <f t="shared" si="35"/>
        <v>0</v>
      </c>
      <c r="AS177" s="403">
        <f t="shared" si="35"/>
        <v>0</v>
      </c>
      <c r="AT177" s="403">
        <f t="shared" si="35"/>
        <v>0</v>
      </c>
      <c r="AU177" s="403">
        <f t="shared" si="35"/>
        <v>0</v>
      </c>
      <c r="AV177" s="403">
        <f t="shared" si="35"/>
        <v>168845</v>
      </c>
      <c r="AW177" s="403">
        <f t="shared" si="35"/>
        <v>29095</v>
      </c>
      <c r="AX177" s="403">
        <f t="shared" si="35"/>
        <v>0</v>
      </c>
      <c r="AY177" s="403">
        <f t="shared" si="35"/>
        <v>0</v>
      </c>
      <c r="AZ177" s="403">
        <f t="shared" si="35"/>
        <v>0</v>
      </c>
      <c r="BA177" s="403">
        <f t="shared" si="35"/>
        <v>0</v>
      </c>
      <c r="BB177" s="403">
        <f t="shared" si="35"/>
        <v>0</v>
      </c>
      <c r="BC177" s="403">
        <f t="shared" si="35"/>
        <v>0</v>
      </c>
      <c r="BD177" s="403">
        <f t="shared" si="35"/>
        <v>0</v>
      </c>
      <c r="BE177" s="403">
        <f t="shared" si="35"/>
        <v>0</v>
      </c>
      <c r="BF177" s="403">
        <f t="shared" si="35"/>
        <v>0</v>
      </c>
      <c r="BG177" s="403">
        <f t="shared" si="35"/>
        <v>0</v>
      </c>
      <c r="BH177" s="403">
        <f t="shared" si="35"/>
        <v>0</v>
      </c>
      <c r="BI177" s="403">
        <f t="shared" si="35"/>
        <v>0</v>
      </c>
      <c r="BJ177" s="403">
        <f t="shared" si="35"/>
        <v>0</v>
      </c>
      <c r="BK177" s="403">
        <f t="shared" si="35"/>
        <v>0</v>
      </c>
      <c r="BL177" s="403">
        <f t="shared" si="35"/>
        <v>0</v>
      </c>
      <c r="BM177" s="403">
        <f t="shared" si="35"/>
        <v>0</v>
      </c>
      <c r="BN177" s="403">
        <f t="shared" si="35"/>
        <v>0</v>
      </c>
      <c r="BO177" s="403">
        <f t="shared" si="35"/>
        <v>0</v>
      </c>
      <c r="BP177" s="403">
        <f t="shared" ref="BP177:CU177" si="36">SUM(BP178:BP314)</f>
        <v>0</v>
      </c>
      <c r="BQ177" s="403">
        <f t="shared" si="36"/>
        <v>0</v>
      </c>
      <c r="BR177" s="403">
        <f t="shared" si="36"/>
        <v>0</v>
      </c>
      <c r="BS177" s="403">
        <f t="shared" si="36"/>
        <v>0</v>
      </c>
      <c r="BT177" s="403">
        <f t="shared" si="36"/>
        <v>0</v>
      </c>
      <c r="BU177" s="403">
        <f t="shared" si="36"/>
        <v>0</v>
      </c>
      <c r="BV177" s="403">
        <f t="shared" si="36"/>
        <v>0</v>
      </c>
      <c r="BW177" s="403">
        <f t="shared" si="36"/>
        <v>0</v>
      </c>
      <c r="BX177" s="403">
        <f t="shared" si="36"/>
        <v>0</v>
      </c>
      <c r="BY177" s="403">
        <f t="shared" si="36"/>
        <v>0</v>
      </c>
      <c r="BZ177" s="403">
        <f t="shared" si="36"/>
        <v>0</v>
      </c>
      <c r="CA177" s="403">
        <f t="shared" si="36"/>
        <v>0</v>
      </c>
      <c r="CB177" s="403">
        <f t="shared" si="36"/>
        <v>0</v>
      </c>
      <c r="CC177" s="403">
        <f t="shared" si="36"/>
        <v>0</v>
      </c>
      <c r="CD177" s="403">
        <f t="shared" si="36"/>
        <v>0</v>
      </c>
      <c r="CE177" s="403">
        <f t="shared" si="36"/>
        <v>0</v>
      </c>
      <c r="CF177" s="403">
        <f t="shared" si="36"/>
        <v>0</v>
      </c>
      <c r="CG177" s="403">
        <f t="shared" si="36"/>
        <v>0</v>
      </c>
      <c r="CH177" s="403">
        <f t="shared" si="36"/>
        <v>0</v>
      </c>
      <c r="CI177" s="403">
        <f t="shared" si="36"/>
        <v>0</v>
      </c>
      <c r="CJ177" s="403">
        <f t="shared" si="36"/>
        <v>0</v>
      </c>
      <c r="CK177" s="403">
        <f t="shared" si="36"/>
        <v>0</v>
      </c>
      <c r="CL177" s="403">
        <f t="shared" si="36"/>
        <v>0</v>
      </c>
      <c r="CM177" s="403">
        <f t="shared" si="36"/>
        <v>0</v>
      </c>
      <c r="CN177" s="403">
        <f t="shared" si="36"/>
        <v>0</v>
      </c>
      <c r="CO177" s="403">
        <f t="shared" si="36"/>
        <v>0</v>
      </c>
      <c r="CP177" s="403">
        <f t="shared" si="36"/>
        <v>0</v>
      </c>
      <c r="CQ177" s="403">
        <f t="shared" si="36"/>
        <v>0</v>
      </c>
      <c r="CR177" s="403">
        <f t="shared" si="36"/>
        <v>0</v>
      </c>
      <c r="CS177" s="403">
        <f t="shared" si="36"/>
        <v>0</v>
      </c>
      <c r="CT177" s="403">
        <f t="shared" si="36"/>
        <v>0</v>
      </c>
      <c r="CU177" s="403">
        <f t="shared" si="36"/>
        <v>0</v>
      </c>
      <c r="CV177" s="403">
        <f t="shared" ref="CV177:DV177" si="37">SUM(CV178:CV314)</f>
        <v>0</v>
      </c>
      <c r="CW177" s="403">
        <f t="shared" si="37"/>
        <v>0</v>
      </c>
      <c r="CX177" s="403">
        <f t="shared" si="37"/>
        <v>0</v>
      </c>
      <c r="CY177" s="403">
        <f t="shared" si="37"/>
        <v>0</v>
      </c>
      <c r="CZ177" s="403">
        <f t="shared" si="37"/>
        <v>0</v>
      </c>
      <c r="DA177" s="403">
        <f t="shared" si="37"/>
        <v>0</v>
      </c>
      <c r="DB177" s="403">
        <f t="shared" si="37"/>
        <v>0</v>
      </c>
      <c r="DC177" s="403">
        <f t="shared" si="37"/>
        <v>0</v>
      </c>
      <c r="DD177" s="403">
        <f t="shared" si="37"/>
        <v>0</v>
      </c>
      <c r="DE177" s="403">
        <f t="shared" si="37"/>
        <v>0</v>
      </c>
      <c r="DF177" s="403">
        <f t="shared" si="37"/>
        <v>0</v>
      </c>
      <c r="DG177" s="403">
        <f t="shared" si="37"/>
        <v>0</v>
      </c>
      <c r="DH177" s="403">
        <f t="shared" si="37"/>
        <v>0</v>
      </c>
      <c r="DI177" s="403">
        <f t="shared" si="37"/>
        <v>0</v>
      </c>
      <c r="DJ177" s="403">
        <f t="shared" si="37"/>
        <v>0</v>
      </c>
      <c r="DK177" s="403">
        <f t="shared" si="37"/>
        <v>0</v>
      </c>
      <c r="DL177" s="403">
        <f t="shared" si="37"/>
        <v>0</v>
      </c>
      <c r="DM177" s="403">
        <f t="shared" si="37"/>
        <v>381</v>
      </c>
      <c r="DN177" s="403">
        <f t="shared" si="37"/>
        <v>0</v>
      </c>
      <c r="DO177" s="403">
        <f t="shared" si="37"/>
        <v>0</v>
      </c>
      <c r="DP177" s="403">
        <f t="shared" si="37"/>
        <v>0</v>
      </c>
      <c r="DQ177" s="403">
        <f t="shared" si="37"/>
        <v>0</v>
      </c>
      <c r="DR177" s="403">
        <f t="shared" si="37"/>
        <v>0</v>
      </c>
      <c r="DS177" s="403">
        <f t="shared" si="37"/>
        <v>0</v>
      </c>
      <c r="DT177" s="403">
        <f t="shared" si="37"/>
        <v>0</v>
      </c>
      <c r="DU177" s="403">
        <f t="shared" si="37"/>
        <v>0</v>
      </c>
      <c r="DV177" s="403">
        <f t="shared" si="37"/>
        <v>0</v>
      </c>
      <c r="DW177" s="432">
        <f>SUM(DW178:DW314)</f>
        <v>3022.5</v>
      </c>
      <c r="DY177" s="490">
        <f>SUM(DW178:DW222)</f>
        <v>1216.9999999999998</v>
      </c>
      <c r="DZ177" s="232"/>
    </row>
    <row r="178" spans="1:132">
      <c r="A178" s="102">
        <v>48</v>
      </c>
      <c r="B178" s="56">
        <v>2</v>
      </c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1"/>
      <c r="Q178" s="11"/>
      <c r="R178" s="10">
        <f t="shared" ref="R178:R193" si="38">SUM(C178:Q178)</f>
        <v>0</v>
      </c>
      <c r="S178" s="249"/>
      <c r="T178" s="56">
        <v>121</v>
      </c>
      <c r="U178" s="56">
        <v>123</v>
      </c>
      <c r="V178" s="56">
        <v>170</v>
      </c>
      <c r="W178" s="56"/>
      <c r="X178" s="56"/>
      <c r="Y178" s="56"/>
      <c r="Z178" s="56">
        <v>76</v>
      </c>
      <c r="AA178" s="56">
        <v>128</v>
      </c>
      <c r="AB178" s="56">
        <v>108</v>
      </c>
      <c r="AC178" s="56"/>
      <c r="AD178" s="56"/>
      <c r="AF178" s="2">
        <v>49</v>
      </c>
      <c r="AG178" s="2">
        <v>106</v>
      </c>
      <c r="AH178" s="2">
        <v>126</v>
      </c>
      <c r="AM178" s="102">
        <f t="shared" ref="AM178:AM221" si="39">SUM(S178:AL178)</f>
        <v>1007</v>
      </c>
      <c r="AN178" s="257">
        <f t="shared" ref="AN178:AN221" si="40">R178+AM178</f>
        <v>1007</v>
      </c>
      <c r="AO178" s="8"/>
      <c r="AP178" s="8"/>
      <c r="AQ178" s="2">
        <f>IF(AN178&gt;=$AQ$5,1,0)</f>
        <v>1</v>
      </c>
      <c r="AR178" s="264"/>
      <c r="AS178" s="264"/>
      <c r="AT178" s="264"/>
      <c r="AU178" s="264"/>
      <c r="AV178" s="3">
        <f>AM178</f>
        <v>1007</v>
      </c>
      <c r="AW178" s="8">
        <f>T178+AC178</f>
        <v>121</v>
      </c>
      <c r="AX178" s="11">
        <f>AD178</f>
        <v>0</v>
      </c>
      <c r="AY178" s="8">
        <f>S178+AE178</f>
        <v>0</v>
      </c>
      <c r="AZ178" s="11"/>
      <c r="BD178" s="11"/>
      <c r="BG178" s="11"/>
      <c r="CG178" s="264"/>
      <c r="CH178" s="264"/>
      <c r="CI178" s="264"/>
      <c r="CJ178" s="264"/>
      <c r="CK178" s="264"/>
      <c r="DK178" s="12"/>
      <c r="DM178" s="2">
        <v>3</v>
      </c>
      <c r="DP178" s="249"/>
      <c r="DT178" s="11"/>
      <c r="DU178" s="11"/>
      <c r="DV178" s="11"/>
      <c r="DW178" s="3">
        <v>20.100000000000001</v>
      </c>
      <c r="EB178" s="8"/>
    </row>
    <row r="179" spans="1:132">
      <c r="A179" s="102">
        <v>49</v>
      </c>
      <c r="B179" s="56">
        <v>2</v>
      </c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1"/>
      <c r="Q179" s="11"/>
      <c r="R179" s="10">
        <f t="shared" si="38"/>
        <v>0</v>
      </c>
      <c r="S179" s="249"/>
      <c r="T179" s="56">
        <v>112</v>
      </c>
      <c r="U179" s="56">
        <v>151</v>
      </c>
      <c r="V179" s="56">
        <v>179</v>
      </c>
      <c r="W179" s="56"/>
      <c r="X179" s="56"/>
      <c r="Y179" s="56"/>
      <c r="Z179" s="56">
        <v>78</v>
      </c>
      <c r="AA179" s="56">
        <v>120</v>
      </c>
      <c r="AB179" s="56">
        <v>107</v>
      </c>
      <c r="AC179" s="56"/>
      <c r="AD179" s="56"/>
      <c r="AF179" s="2">
        <v>52</v>
      </c>
      <c r="AG179" s="2">
        <v>107</v>
      </c>
      <c r="AH179" s="2">
        <v>123</v>
      </c>
      <c r="AM179" s="102">
        <f t="shared" si="39"/>
        <v>1029</v>
      </c>
      <c r="AN179" s="257">
        <f t="shared" si="40"/>
        <v>1029</v>
      </c>
      <c r="AO179" s="8"/>
      <c r="AP179" s="8"/>
      <c r="AQ179" s="2">
        <f t="shared" ref="AQ179:AQ221" si="41">IF(AN179&gt;=$AQ$5,1,0)</f>
        <v>1</v>
      </c>
      <c r="AR179" s="264"/>
      <c r="AS179" s="264"/>
      <c r="AT179" s="264"/>
      <c r="AU179" s="264"/>
      <c r="AV179" s="3">
        <f t="shared" ref="AV179:AV242" si="42">AM179</f>
        <v>1029</v>
      </c>
      <c r="AW179" s="8">
        <f t="shared" ref="AW179:AW221" si="43">T179+AC179</f>
        <v>112</v>
      </c>
      <c r="AX179" s="11">
        <f t="shared" ref="AX179:AX221" si="44">AD179</f>
        <v>0</v>
      </c>
      <c r="AY179" s="8">
        <f t="shared" ref="AY179:AY221" si="45">S179+AE179</f>
        <v>0</v>
      </c>
      <c r="AZ179" s="11"/>
      <c r="BD179" s="11"/>
      <c r="BG179" s="11"/>
      <c r="CG179" s="264"/>
      <c r="CH179" s="264"/>
      <c r="CI179" s="264"/>
      <c r="CJ179" s="264"/>
      <c r="CK179" s="264"/>
      <c r="DK179" s="12"/>
      <c r="DM179" s="2">
        <v>3</v>
      </c>
      <c r="DP179" s="249"/>
      <c r="DT179" s="11"/>
      <c r="DU179" s="11"/>
      <c r="DV179" s="11"/>
      <c r="DW179" s="3">
        <v>19.399999999999999</v>
      </c>
    </row>
    <row r="180" spans="1:132">
      <c r="A180" s="102">
        <v>50</v>
      </c>
      <c r="B180" s="56">
        <v>2</v>
      </c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1"/>
      <c r="Q180" s="11"/>
      <c r="R180" s="10">
        <f t="shared" si="38"/>
        <v>0</v>
      </c>
      <c r="S180" s="249"/>
      <c r="T180" s="56">
        <v>177</v>
      </c>
      <c r="U180" s="56">
        <v>193</v>
      </c>
      <c r="V180" s="56">
        <v>184</v>
      </c>
      <c r="W180" s="56"/>
      <c r="X180" s="56"/>
      <c r="Y180" s="56"/>
      <c r="Z180" s="56">
        <v>108</v>
      </c>
      <c r="AA180" s="56">
        <v>140</v>
      </c>
      <c r="AB180" s="56">
        <v>144</v>
      </c>
      <c r="AC180" s="56"/>
      <c r="AD180" s="56"/>
      <c r="AF180" s="2">
        <v>103</v>
      </c>
      <c r="AG180" s="2">
        <v>155</v>
      </c>
      <c r="AH180" s="2">
        <v>238</v>
      </c>
      <c r="AM180" s="102">
        <f t="shared" si="39"/>
        <v>1442</v>
      </c>
      <c r="AN180" s="257">
        <f t="shared" si="40"/>
        <v>1442</v>
      </c>
      <c r="AO180" s="8"/>
      <c r="AP180" s="8"/>
      <c r="AQ180" s="2">
        <f t="shared" si="41"/>
        <v>1</v>
      </c>
      <c r="AR180" s="264"/>
      <c r="AS180" s="264"/>
      <c r="AT180" s="264"/>
      <c r="AU180" s="264"/>
      <c r="AV180" s="3">
        <f t="shared" si="42"/>
        <v>1442</v>
      </c>
      <c r="AW180" s="8">
        <f t="shared" si="43"/>
        <v>177</v>
      </c>
      <c r="AX180" s="11">
        <f t="shared" si="44"/>
        <v>0</v>
      </c>
      <c r="AY180" s="8">
        <f t="shared" si="45"/>
        <v>0</v>
      </c>
      <c r="AZ180" s="11"/>
      <c r="BD180" s="11"/>
      <c r="BG180" s="11"/>
      <c r="CG180" s="264"/>
      <c r="CH180" s="264"/>
      <c r="CI180" s="264"/>
      <c r="CJ180" s="264"/>
      <c r="CK180" s="264"/>
      <c r="DK180" s="12"/>
      <c r="DM180" s="2">
        <v>3</v>
      </c>
      <c r="DP180" s="249"/>
      <c r="DT180" s="11"/>
      <c r="DU180" s="11"/>
      <c r="DV180" s="11"/>
      <c r="DW180" s="3">
        <v>16.3</v>
      </c>
    </row>
    <row r="181" spans="1:132">
      <c r="A181" s="102">
        <v>51</v>
      </c>
      <c r="B181" s="56">
        <v>2</v>
      </c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1"/>
      <c r="Q181" s="11"/>
      <c r="R181" s="10">
        <f t="shared" si="38"/>
        <v>0</v>
      </c>
      <c r="S181" s="249"/>
      <c r="T181" s="56">
        <v>170</v>
      </c>
      <c r="U181" s="56">
        <v>189</v>
      </c>
      <c r="V181" s="56">
        <v>193</v>
      </c>
      <c r="W181" s="56"/>
      <c r="X181" s="56"/>
      <c r="Y181" s="56"/>
      <c r="Z181" s="56">
        <v>105</v>
      </c>
      <c r="AA181" s="56">
        <v>135</v>
      </c>
      <c r="AB181" s="56">
        <v>141</v>
      </c>
      <c r="AC181" s="56"/>
      <c r="AD181" s="56"/>
      <c r="AF181" s="2">
        <v>112</v>
      </c>
      <c r="AG181" s="2">
        <v>151</v>
      </c>
      <c r="AH181" s="2">
        <v>235</v>
      </c>
      <c r="AM181" s="102">
        <f t="shared" si="39"/>
        <v>1431</v>
      </c>
      <c r="AN181" s="257">
        <f t="shared" si="40"/>
        <v>1431</v>
      </c>
      <c r="AO181" s="8"/>
      <c r="AP181" s="8"/>
      <c r="AQ181" s="2">
        <f t="shared" si="41"/>
        <v>1</v>
      </c>
      <c r="AR181" s="264"/>
      <c r="AS181" s="264"/>
      <c r="AT181" s="264"/>
      <c r="AU181" s="264"/>
      <c r="AV181" s="3">
        <f t="shared" si="42"/>
        <v>1431</v>
      </c>
      <c r="AW181" s="8">
        <f t="shared" si="43"/>
        <v>170</v>
      </c>
      <c r="AX181" s="11">
        <f t="shared" si="44"/>
        <v>0</v>
      </c>
      <c r="AY181" s="8">
        <f t="shared" si="45"/>
        <v>0</v>
      </c>
      <c r="AZ181" s="11"/>
      <c r="BD181" s="11"/>
      <c r="BG181" s="11"/>
      <c r="CG181" s="264"/>
      <c r="CH181" s="264"/>
      <c r="CI181" s="264"/>
      <c r="CJ181" s="264"/>
      <c r="CK181" s="264"/>
      <c r="DK181" s="12"/>
      <c r="DM181" s="2">
        <v>3</v>
      </c>
      <c r="DP181" s="249"/>
      <c r="DT181" s="11"/>
      <c r="DU181" s="11"/>
      <c r="DV181" s="11"/>
      <c r="DW181" s="3">
        <v>16.399999999999999</v>
      </c>
    </row>
    <row r="182" spans="1:132">
      <c r="A182" s="102">
        <v>52</v>
      </c>
      <c r="B182" s="56">
        <v>2</v>
      </c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1"/>
      <c r="Q182" s="11"/>
      <c r="R182" s="10">
        <f t="shared" si="38"/>
        <v>0</v>
      </c>
      <c r="S182" s="249"/>
      <c r="T182" s="56">
        <v>0</v>
      </c>
      <c r="U182" s="56">
        <v>276</v>
      </c>
      <c r="V182" s="56">
        <v>76</v>
      </c>
      <c r="W182" s="56"/>
      <c r="X182" s="56"/>
      <c r="Y182" s="56"/>
      <c r="Z182" s="56">
        <v>51</v>
      </c>
      <c r="AA182" s="56">
        <v>61</v>
      </c>
      <c r="AB182" s="56">
        <v>117</v>
      </c>
      <c r="AC182" s="56"/>
      <c r="AD182" s="56"/>
      <c r="AF182" s="2">
        <v>41</v>
      </c>
      <c r="AG182" s="2">
        <v>0</v>
      </c>
      <c r="AH182" s="2">
        <v>197</v>
      </c>
      <c r="AM182" s="102">
        <f t="shared" si="39"/>
        <v>819</v>
      </c>
      <c r="AN182" s="257">
        <f t="shared" si="40"/>
        <v>819</v>
      </c>
      <c r="AO182" s="8"/>
      <c r="AP182" s="8"/>
      <c r="AQ182" s="2">
        <f t="shared" si="41"/>
        <v>1</v>
      </c>
      <c r="AR182" s="264"/>
      <c r="AS182" s="264"/>
      <c r="AT182" s="264"/>
      <c r="AU182" s="264"/>
      <c r="AV182" s="3">
        <f t="shared" si="42"/>
        <v>819</v>
      </c>
      <c r="AW182" s="8">
        <f t="shared" si="43"/>
        <v>0</v>
      </c>
      <c r="AX182" s="11">
        <f t="shared" si="44"/>
        <v>0</v>
      </c>
      <c r="AY182" s="8">
        <f t="shared" si="45"/>
        <v>0</v>
      </c>
      <c r="AZ182" s="11"/>
      <c r="BD182" s="11"/>
      <c r="BG182" s="11"/>
      <c r="CG182" s="264"/>
      <c r="CH182" s="264"/>
      <c r="CI182" s="264"/>
      <c r="CJ182" s="264"/>
      <c r="CK182" s="264"/>
      <c r="DK182" s="12"/>
      <c r="DM182" s="2">
        <v>2</v>
      </c>
      <c r="DP182" s="249"/>
      <c r="DT182" s="11"/>
      <c r="DU182" s="11"/>
      <c r="DV182" s="11"/>
      <c r="DW182" s="3">
        <v>38</v>
      </c>
    </row>
    <row r="183" spans="1:132">
      <c r="A183" s="102">
        <v>53</v>
      </c>
      <c r="B183" s="56">
        <v>2</v>
      </c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1"/>
      <c r="Q183" s="11"/>
      <c r="R183" s="10">
        <f t="shared" si="38"/>
        <v>0</v>
      </c>
      <c r="S183" s="249"/>
      <c r="T183" s="56">
        <v>207</v>
      </c>
      <c r="U183" s="56">
        <v>256</v>
      </c>
      <c r="V183" s="56">
        <v>185</v>
      </c>
      <c r="W183" s="56"/>
      <c r="X183" s="56"/>
      <c r="Y183" s="56"/>
      <c r="Z183" s="56">
        <v>103</v>
      </c>
      <c r="AA183" s="56">
        <v>143</v>
      </c>
      <c r="AB183" s="56">
        <v>239</v>
      </c>
      <c r="AC183" s="56"/>
      <c r="AD183" s="56"/>
      <c r="AF183" s="2">
        <v>52</v>
      </c>
      <c r="AG183" s="2">
        <v>147</v>
      </c>
      <c r="AH183" s="2">
        <v>239</v>
      </c>
      <c r="AM183" s="102">
        <f t="shared" si="39"/>
        <v>1571</v>
      </c>
      <c r="AN183" s="257">
        <f t="shared" si="40"/>
        <v>1571</v>
      </c>
      <c r="AO183" s="8"/>
      <c r="AP183" s="8"/>
      <c r="AQ183" s="2">
        <f t="shared" si="41"/>
        <v>1</v>
      </c>
      <c r="AR183" s="264"/>
      <c r="AS183" s="264"/>
      <c r="AT183" s="264"/>
      <c r="AU183" s="264"/>
      <c r="AV183" s="3">
        <f t="shared" si="42"/>
        <v>1571</v>
      </c>
      <c r="AW183" s="8">
        <f t="shared" si="43"/>
        <v>207</v>
      </c>
      <c r="AX183" s="11">
        <f t="shared" si="44"/>
        <v>0</v>
      </c>
      <c r="AY183" s="8">
        <f t="shared" si="45"/>
        <v>0</v>
      </c>
      <c r="AZ183" s="11"/>
      <c r="BD183" s="11"/>
      <c r="BG183" s="11"/>
      <c r="CG183" s="264"/>
      <c r="CH183" s="264"/>
      <c r="CI183" s="264"/>
      <c r="CJ183" s="264"/>
      <c r="CK183" s="264"/>
      <c r="DK183" s="12"/>
      <c r="DM183" s="2">
        <v>3</v>
      </c>
      <c r="DP183" s="249"/>
      <c r="DT183" s="11"/>
      <c r="DU183" s="11"/>
      <c r="DV183" s="11"/>
      <c r="DW183" s="3">
        <v>48.7</v>
      </c>
    </row>
    <row r="184" spans="1:132">
      <c r="A184" s="102">
        <v>54</v>
      </c>
      <c r="B184" s="56">
        <v>2</v>
      </c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1"/>
      <c r="Q184" s="11"/>
      <c r="R184" s="10">
        <f t="shared" si="38"/>
        <v>0</v>
      </c>
      <c r="S184" s="249"/>
      <c r="T184" s="56">
        <v>220</v>
      </c>
      <c r="U184" s="56">
        <v>235</v>
      </c>
      <c r="V184" s="56">
        <v>207</v>
      </c>
      <c r="W184" s="56"/>
      <c r="X184" s="56"/>
      <c r="Y184" s="56"/>
      <c r="Z184" s="56">
        <v>224</v>
      </c>
      <c r="AA184" s="56">
        <v>172</v>
      </c>
      <c r="AB184" s="56">
        <v>279</v>
      </c>
      <c r="AC184" s="56"/>
      <c r="AD184" s="56"/>
      <c r="AF184" s="2">
        <v>131</v>
      </c>
      <c r="AG184" s="2">
        <v>182</v>
      </c>
      <c r="AH184" s="2">
        <v>253</v>
      </c>
      <c r="AM184" s="102">
        <f t="shared" si="39"/>
        <v>1903</v>
      </c>
      <c r="AN184" s="257">
        <f t="shared" si="40"/>
        <v>1903</v>
      </c>
      <c r="AO184" s="8"/>
      <c r="AP184" s="8"/>
      <c r="AQ184" s="2">
        <f t="shared" si="41"/>
        <v>1</v>
      </c>
      <c r="AR184" s="264"/>
      <c r="AS184" s="264"/>
      <c r="AT184" s="264"/>
      <c r="AU184" s="264"/>
      <c r="AV184" s="3">
        <f t="shared" si="42"/>
        <v>1903</v>
      </c>
      <c r="AW184" s="8">
        <f t="shared" si="43"/>
        <v>220</v>
      </c>
      <c r="AX184" s="11">
        <f t="shared" si="44"/>
        <v>0</v>
      </c>
      <c r="AY184" s="8">
        <f t="shared" si="45"/>
        <v>0</v>
      </c>
      <c r="AZ184" s="11"/>
      <c r="BD184" s="11"/>
      <c r="BG184" s="11"/>
      <c r="CG184" s="264"/>
      <c r="CH184" s="264"/>
      <c r="CI184" s="264"/>
      <c r="CJ184" s="264"/>
      <c r="CK184" s="264"/>
      <c r="DK184" s="12"/>
      <c r="DM184" s="2">
        <v>3</v>
      </c>
      <c r="DP184" s="249"/>
      <c r="DT184" s="11"/>
      <c r="DU184" s="11"/>
      <c r="DV184" s="11"/>
      <c r="DW184" s="3">
        <v>38.4</v>
      </c>
    </row>
    <row r="185" spans="1:132">
      <c r="A185" s="102">
        <v>55</v>
      </c>
      <c r="B185" s="56">
        <v>2</v>
      </c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1"/>
      <c r="Q185" s="11"/>
      <c r="R185" s="10">
        <f t="shared" si="38"/>
        <v>0</v>
      </c>
      <c r="S185" s="249"/>
      <c r="T185" s="56">
        <v>0</v>
      </c>
      <c r="U185" s="56">
        <v>376</v>
      </c>
      <c r="V185" s="56">
        <v>187</v>
      </c>
      <c r="W185" s="56"/>
      <c r="X185" s="56"/>
      <c r="Y185" s="56"/>
      <c r="Z185" s="56">
        <v>101</v>
      </c>
      <c r="AA185" s="56">
        <v>135</v>
      </c>
      <c r="AB185" s="56">
        <v>212</v>
      </c>
      <c r="AC185" s="56"/>
      <c r="AD185" s="56"/>
      <c r="AF185" s="2">
        <v>59</v>
      </c>
      <c r="AG185" s="2">
        <v>154</v>
      </c>
      <c r="AH185" s="2">
        <v>210</v>
      </c>
      <c r="AM185" s="102">
        <f t="shared" si="39"/>
        <v>1434</v>
      </c>
      <c r="AN185" s="257">
        <f t="shared" si="40"/>
        <v>1434</v>
      </c>
      <c r="AO185" s="8"/>
      <c r="AP185" s="8"/>
      <c r="AQ185" s="2">
        <f t="shared" si="41"/>
        <v>1</v>
      </c>
      <c r="AR185" s="264"/>
      <c r="AS185" s="264"/>
      <c r="AT185" s="264"/>
      <c r="AU185" s="264"/>
      <c r="AV185" s="3">
        <f t="shared" si="42"/>
        <v>1434</v>
      </c>
      <c r="AW185" s="8">
        <f t="shared" si="43"/>
        <v>0</v>
      </c>
      <c r="AX185" s="11">
        <f t="shared" si="44"/>
        <v>0</v>
      </c>
      <c r="AY185" s="8">
        <f t="shared" si="45"/>
        <v>0</v>
      </c>
      <c r="AZ185" s="11"/>
      <c r="BD185" s="11"/>
      <c r="BG185" s="11"/>
      <c r="CG185" s="264"/>
      <c r="CH185" s="264"/>
      <c r="CI185" s="264"/>
      <c r="CJ185" s="264"/>
      <c r="CK185" s="264"/>
      <c r="DK185" s="12"/>
      <c r="DM185" s="2">
        <v>3</v>
      </c>
      <c r="DP185" s="249"/>
      <c r="DT185" s="11"/>
      <c r="DU185" s="11"/>
      <c r="DV185" s="11"/>
      <c r="DW185" s="3">
        <v>16.5</v>
      </c>
    </row>
    <row r="186" spans="1:132">
      <c r="A186" s="102">
        <v>56</v>
      </c>
      <c r="B186" s="56">
        <v>2</v>
      </c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1"/>
      <c r="Q186" s="11"/>
      <c r="R186" s="10">
        <f t="shared" si="38"/>
        <v>0</v>
      </c>
      <c r="S186" s="249"/>
      <c r="T186" s="56">
        <v>189</v>
      </c>
      <c r="U186" s="56">
        <v>149</v>
      </c>
      <c r="V186" s="56">
        <v>201</v>
      </c>
      <c r="W186" s="56"/>
      <c r="X186" s="56"/>
      <c r="Y186" s="56"/>
      <c r="Z186" s="56">
        <v>0</v>
      </c>
      <c r="AA186" s="56">
        <v>113</v>
      </c>
      <c r="AB186" s="56">
        <v>235</v>
      </c>
      <c r="AC186" s="56"/>
      <c r="AD186" s="56"/>
      <c r="AF186" s="2">
        <v>40</v>
      </c>
      <c r="AG186" s="2">
        <v>165</v>
      </c>
      <c r="AH186" s="2">
        <v>191</v>
      </c>
      <c r="AM186" s="102">
        <f t="shared" si="39"/>
        <v>1283</v>
      </c>
      <c r="AN186" s="257">
        <f t="shared" si="40"/>
        <v>1283</v>
      </c>
      <c r="AO186" s="8"/>
      <c r="AP186" s="8"/>
      <c r="AQ186" s="2">
        <f t="shared" si="41"/>
        <v>1</v>
      </c>
      <c r="AR186" s="264"/>
      <c r="AS186" s="264"/>
      <c r="AT186" s="264"/>
      <c r="AU186" s="264"/>
      <c r="AV186" s="3">
        <f t="shared" si="42"/>
        <v>1283</v>
      </c>
      <c r="AW186" s="8">
        <f t="shared" si="43"/>
        <v>189</v>
      </c>
      <c r="AX186" s="11">
        <f t="shared" si="44"/>
        <v>0</v>
      </c>
      <c r="AY186" s="8">
        <f t="shared" si="45"/>
        <v>0</v>
      </c>
      <c r="AZ186" s="11"/>
      <c r="BD186" s="11"/>
      <c r="BG186" s="11"/>
      <c r="CG186" s="264"/>
      <c r="CH186" s="264"/>
      <c r="CI186" s="264"/>
      <c r="CJ186" s="264"/>
      <c r="CK186" s="264"/>
      <c r="DK186" s="12"/>
      <c r="DM186" s="2">
        <v>3</v>
      </c>
      <c r="DP186" s="249"/>
      <c r="DT186" s="11"/>
      <c r="DU186" s="11"/>
      <c r="DV186" s="266"/>
      <c r="DW186" s="3">
        <v>34.1</v>
      </c>
    </row>
    <row r="187" spans="1:132">
      <c r="A187" s="102">
        <v>57</v>
      </c>
      <c r="B187" s="56">
        <v>2</v>
      </c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1"/>
      <c r="Q187" s="11"/>
      <c r="R187" s="10">
        <f t="shared" si="38"/>
        <v>0</v>
      </c>
      <c r="S187" s="249"/>
      <c r="T187" s="56">
        <v>119</v>
      </c>
      <c r="U187" s="56">
        <v>184</v>
      </c>
      <c r="V187" s="56">
        <v>186</v>
      </c>
      <c r="W187" s="56"/>
      <c r="X187" s="56"/>
      <c r="Y187" s="56"/>
      <c r="Z187" s="56">
        <v>84</v>
      </c>
      <c r="AA187" s="56">
        <v>150</v>
      </c>
      <c r="AB187" s="56">
        <v>120</v>
      </c>
      <c r="AC187" s="56"/>
      <c r="AD187" s="56"/>
      <c r="AF187" s="2">
        <v>63</v>
      </c>
      <c r="AG187" s="2">
        <v>223</v>
      </c>
      <c r="AH187" s="2">
        <v>193</v>
      </c>
      <c r="AM187" s="102">
        <f t="shared" si="39"/>
        <v>1322</v>
      </c>
      <c r="AN187" s="257">
        <f t="shared" si="40"/>
        <v>1322</v>
      </c>
      <c r="AO187" s="8"/>
      <c r="AP187" s="8"/>
      <c r="AQ187" s="2">
        <f t="shared" si="41"/>
        <v>1</v>
      </c>
      <c r="AR187" s="264"/>
      <c r="AS187" s="264"/>
      <c r="AT187" s="264"/>
      <c r="AU187" s="264"/>
      <c r="AV187" s="3">
        <f t="shared" si="42"/>
        <v>1322</v>
      </c>
      <c r="AW187" s="8">
        <f t="shared" si="43"/>
        <v>119</v>
      </c>
      <c r="AX187" s="11">
        <f t="shared" si="44"/>
        <v>0</v>
      </c>
      <c r="AY187" s="8">
        <f t="shared" si="45"/>
        <v>0</v>
      </c>
      <c r="AZ187" s="11"/>
      <c r="BD187" s="11"/>
      <c r="BG187" s="11"/>
      <c r="CG187" s="264"/>
      <c r="CH187" s="264"/>
      <c r="CI187" s="264"/>
      <c r="CJ187" s="264"/>
      <c r="CK187" s="264"/>
      <c r="DK187" s="12"/>
      <c r="DM187" s="2">
        <v>3</v>
      </c>
      <c r="DP187" s="249"/>
      <c r="DT187" s="11"/>
      <c r="DU187" s="11"/>
      <c r="DV187" s="11"/>
      <c r="DW187" s="3">
        <v>9.9</v>
      </c>
    </row>
    <row r="188" spans="1:132">
      <c r="A188" s="102">
        <v>58</v>
      </c>
      <c r="B188" s="56">
        <v>2</v>
      </c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1"/>
      <c r="Q188" s="11"/>
      <c r="R188" s="10">
        <f t="shared" si="38"/>
        <v>0</v>
      </c>
      <c r="S188" s="249"/>
      <c r="T188" s="56">
        <v>221</v>
      </c>
      <c r="U188" s="56">
        <v>205</v>
      </c>
      <c r="V188" s="56">
        <v>239</v>
      </c>
      <c r="W188" s="56"/>
      <c r="X188" s="56"/>
      <c r="Y188" s="56"/>
      <c r="Z188" s="56">
        <v>96</v>
      </c>
      <c r="AA188" s="56">
        <v>189</v>
      </c>
      <c r="AB188" s="56">
        <v>284</v>
      </c>
      <c r="AC188" s="56"/>
      <c r="AD188" s="56"/>
      <c r="AF188" s="2">
        <v>88</v>
      </c>
      <c r="AG188" s="2">
        <v>184</v>
      </c>
      <c r="AH188" s="2">
        <v>213</v>
      </c>
      <c r="AM188" s="102">
        <f t="shared" si="39"/>
        <v>1719</v>
      </c>
      <c r="AN188" s="257">
        <f t="shared" si="40"/>
        <v>1719</v>
      </c>
      <c r="AO188" s="8"/>
      <c r="AP188" s="8"/>
      <c r="AQ188" s="2">
        <f t="shared" si="41"/>
        <v>1</v>
      </c>
      <c r="AR188" s="264"/>
      <c r="AS188" s="264"/>
      <c r="AT188" s="264"/>
      <c r="AU188" s="264"/>
      <c r="AV188" s="3">
        <f t="shared" si="42"/>
        <v>1719</v>
      </c>
      <c r="AW188" s="8">
        <f t="shared" si="43"/>
        <v>221</v>
      </c>
      <c r="AX188" s="11">
        <f t="shared" si="44"/>
        <v>0</v>
      </c>
      <c r="AY188" s="8">
        <f t="shared" si="45"/>
        <v>0</v>
      </c>
      <c r="AZ188" s="11"/>
      <c r="BD188" s="11"/>
      <c r="BG188" s="11"/>
      <c r="CG188" s="264"/>
      <c r="CH188" s="264"/>
      <c r="CI188" s="264"/>
      <c r="CJ188" s="264"/>
      <c r="CK188" s="264"/>
      <c r="DK188" s="12"/>
      <c r="DM188" s="2">
        <v>3</v>
      </c>
      <c r="DP188" s="249"/>
      <c r="DT188" s="11"/>
      <c r="DU188" s="11"/>
      <c r="DV188" s="11"/>
      <c r="DW188" s="3">
        <v>40.9</v>
      </c>
    </row>
    <row r="189" spans="1:132">
      <c r="A189" s="102">
        <v>59</v>
      </c>
      <c r="B189" s="56">
        <v>2</v>
      </c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1"/>
      <c r="Q189" s="11"/>
      <c r="R189" s="10">
        <f t="shared" si="38"/>
        <v>0</v>
      </c>
      <c r="S189" s="249"/>
      <c r="T189" s="56">
        <v>0</v>
      </c>
      <c r="U189" s="56">
        <v>0</v>
      </c>
      <c r="V189" s="56">
        <v>0</v>
      </c>
      <c r="W189" s="56"/>
      <c r="X189" s="56"/>
      <c r="Y189" s="56"/>
      <c r="Z189" s="56">
        <v>0</v>
      </c>
      <c r="AA189" s="56">
        <v>0</v>
      </c>
      <c r="AB189" s="56">
        <v>0</v>
      </c>
      <c r="AC189" s="56"/>
      <c r="AD189" s="56"/>
      <c r="AF189" s="2">
        <v>0</v>
      </c>
      <c r="AG189" s="2">
        <v>0</v>
      </c>
      <c r="AH189" s="2">
        <v>0</v>
      </c>
      <c r="AM189" s="102">
        <f t="shared" si="39"/>
        <v>0</v>
      </c>
      <c r="AN189" s="257">
        <f t="shared" si="40"/>
        <v>0</v>
      </c>
      <c r="AO189" s="8"/>
      <c r="AP189" s="8"/>
      <c r="AQ189" s="2">
        <f t="shared" si="41"/>
        <v>1</v>
      </c>
      <c r="AR189" s="264"/>
      <c r="AS189" s="264"/>
      <c r="AT189" s="264"/>
      <c r="AU189" s="264"/>
      <c r="AV189" s="3">
        <f t="shared" si="42"/>
        <v>0</v>
      </c>
      <c r="AW189" s="8">
        <f t="shared" si="43"/>
        <v>0</v>
      </c>
      <c r="AX189" s="11">
        <f t="shared" si="44"/>
        <v>0</v>
      </c>
      <c r="AY189" s="8">
        <f t="shared" si="45"/>
        <v>0</v>
      </c>
      <c r="AZ189" s="11"/>
      <c r="BD189" s="11"/>
      <c r="BG189" s="11"/>
      <c r="CG189" s="264"/>
      <c r="CH189" s="264"/>
      <c r="CI189" s="264"/>
      <c r="CJ189" s="264"/>
      <c r="CK189" s="264"/>
      <c r="DK189" s="12"/>
      <c r="DM189" s="2">
        <v>0</v>
      </c>
      <c r="DP189" s="249"/>
      <c r="DT189" s="11"/>
      <c r="DU189" s="11"/>
      <c r="DV189" s="11"/>
      <c r="DW189" s="3">
        <v>2.8</v>
      </c>
    </row>
    <row r="190" spans="1:132">
      <c r="A190" s="102">
        <v>60</v>
      </c>
      <c r="B190" s="56">
        <v>2</v>
      </c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1"/>
      <c r="Q190" s="11"/>
      <c r="R190" s="10">
        <f t="shared" si="38"/>
        <v>0</v>
      </c>
      <c r="S190" s="249"/>
      <c r="T190" s="56">
        <v>204</v>
      </c>
      <c r="U190" s="56">
        <v>221</v>
      </c>
      <c r="V190" s="56">
        <v>257</v>
      </c>
      <c r="W190" s="56"/>
      <c r="X190" s="56"/>
      <c r="Y190" s="56"/>
      <c r="Z190" s="56">
        <v>203</v>
      </c>
      <c r="AA190" s="56">
        <v>212</v>
      </c>
      <c r="AB190" s="56">
        <v>309</v>
      </c>
      <c r="AC190" s="56"/>
      <c r="AD190" s="56"/>
      <c r="AF190" s="2">
        <v>150</v>
      </c>
      <c r="AG190" s="2">
        <v>180</v>
      </c>
      <c r="AH190" s="2">
        <v>250</v>
      </c>
      <c r="AM190" s="102">
        <f t="shared" si="39"/>
        <v>1986</v>
      </c>
      <c r="AN190" s="257">
        <f t="shared" si="40"/>
        <v>1986</v>
      </c>
      <c r="AO190" s="8"/>
      <c r="AP190" s="8"/>
      <c r="AQ190" s="2">
        <f t="shared" si="41"/>
        <v>1</v>
      </c>
      <c r="AR190" s="264"/>
      <c r="AS190" s="264"/>
      <c r="AT190" s="264"/>
      <c r="AU190" s="264"/>
      <c r="AV190" s="3">
        <f t="shared" si="42"/>
        <v>1986</v>
      </c>
      <c r="AW190" s="8">
        <f t="shared" si="43"/>
        <v>204</v>
      </c>
      <c r="AX190" s="11">
        <f t="shared" si="44"/>
        <v>0</v>
      </c>
      <c r="AY190" s="8">
        <f t="shared" si="45"/>
        <v>0</v>
      </c>
      <c r="AZ190" s="11"/>
      <c r="BD190" s="11"/>
      <c r="BG190" s="11"/>
      <c r="CG190" s="264"/>
      <c r="CH190" s="264"/>
      <c r="CI190" s="264"/>
      <c r="CJ190" s="264"/>
      <c r="CK190" s="264"/>
      <c r="DK190" s="12"/>
      <c r="DM190" s="2">
        <v>3</v>
      </c>
      <c r="DP190" s="249"/>
      <c r="DT190" s="11"/>
      <c r="DU190" s="11"/>
      <c r="DV190" s="266"/>
      <c r="DW190" s="3">
        <v>21.5</v>
      </c>
    </row>
    <row r="191" spans="1:132">
      <c r="A191" s="102">
        <v>61</v>
      </c>
      <c r="B191" s="56">
        <v>2</v>
      </c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1"/>
      <c r="Q191" s="11"/>
      <c r="R191" s="10">
        <f t="shared" si="38"/>
        <v>0</v>
      </c>
      <c r="S191" s="249"/>
      <c r="T191" s="56">
        <v>168</v>
      </c>
      <c r="U191" s="56">
        <v>127</v>
      </c>
      <c r="V191" s="56">
        <v>123</v>
      </c>
      <c r="W191" s="56"/>
      <c r="X191" s="56"/>
      <c r="Y191" s="56"/>
      <c r="Z191" s="56">
        <v>64</v>
      </c>
      <c r="AA191" s="56">
        <v>121</v>
      </c>
      <c r="AB191" s="56">
        <v>231</v>
      </c>
      <c r="AC191" s="56"/>
      <c r="AD191" s="56"/>
      <c r="AF191" s="2">
        <v>60</v>
      </c>
      <c r="AG191" s="2">
        <v>136</v>
      </c>
      <c r="AH191" s="2">
        <v>162</v>
      </c>
      <c r="AM191" s="102">
        <f t="shared" si="39"/>
        <v>1192</v>
      </c>
      <c r="AN191" s="257">
        <f t="shared" si="40"/>
        <v>1192</v>
      </c>
      <c r="AO191" s="8"/>
      <c r="AP191" s="8"/>
      <c r="AQ191" s="2">
        <f t="shared" si="41"/>
        <v>1</v>
      </c>
      <c r="AR191" s="264"/>
      <c r="AS191" s="264"/>
      <c r="AT191" s="264"/>
      <c r="AU191" s="264"/>
      <c r="AV191" s="3">
        <f t="shared" si="42"/>
        <v>1192</v>
      </c>
      <c r="AW191" s="8">
        <f t="shared" si="43"/>
        <v>168</v>
      </c>
      <c r="AX191" s="11">
        <f t="shared" si="44"/>
        <v>0</v>
      </c>
      <c r="AY191" s="8">
        <f t="shared" si="45"/>
        <v>0</v>
      </c>
      <c r="AZ191" s="11"/>
      <c r="BD191" s="11"/>
      <c r="BG191" s="11"/>
      <c r="CG191" s="264"/>
      <c r="CH191" s="264"/>
      <c r="CI191" s="264"/>
      <c r="CJ191" s="264"/>
      <c r="CK191" s="264"/>
      <c r="DK191" s="12"/>
      <c r="DM191" s="2">
        <v>3</v>
      </c>
      <c r="DP191" s="249"/>
      <c r="DT191" s="11"/>
      <c r="DU191" s="11"/>
      <c r="DV191" s="11"/>
      <c r="DW191" s="3">
        <v>30</v>
      </c>
    </row>
    <row r="192" spans="1:132">
      <c r="A192" s="102">
        <v>62</v>
      </c>
      <c r="B192" s="56">
        <v>2</v>
      </c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1"/>
      <c r="Q192" s="11"/>
      <c r="R192" s="10">
        <f t="shared" si="38"/>
        <v>0</v>
      </c>
      <c r="S192" s="249"/>
      <c r="T192" s="56">
        <v>175</v>
      </c>
      <c r="U192" s="56">
        <v>118</v>
      </c>
      <c r="V192" s="56">
        <v>220</v>
      </c>
      <c r="W192" s="56"/>
      <c r="X192" s="56"/>
      <c r="Y192" s="56"/>
      <c r="Z192" s="56">
        <v>116</v>
      </c>
      <c r="AA192" s="56">
        <v>168</v>
      </c>
      <c r="AB192" s="56">
        <v>233</v>
      </c>
      <c r="AC192" s="56"/>
      <c r="AD192" s="56"/>
      <c r="AF192" s="2">
        <v>78</v>
      </c>
      <c r="AG192" s="2">
        <v>155</v>
      </c>
      <c r="AH192" s="2">
        <v>223</v>
      </c>
      <c r="AM192" s="102">
        <f t="shared" si="39"/>
        <v>1486</v>
      </c>
      <c r="AN192" s="257">
        <f t="shared" si="40"/>
        <v>1486</v>
      </c>
      <c r="AO192" s="8"/>
      <c r="AP192" s="8"/>
      <c r="AQ192" s="2">
        <f t="shared" si="41"/>
        <v>1</v>
      </c>
      <c r="AR192" s="264"/>
      <c r="AS192" s="264"/>
      <c r="AT192" s="264"/>
      <c r="AU192" s="264"/>
      <c r="AV192" s="3">
        <f t="shared" si="42"/>
        <v>1486</v>
      </c>
      <c r="AW192" s="8">
        <f t="shared" si="43"/>
        <v>175</v>
      </c>
      <c r="AX192" s="11">
        <f t="shared" si="44"/>
        <v>0</v>
      </c>
      <c r="AY192" s="8">
        <f t="shared" si="45"/>
        <v>0</v>
      </c>
      <c r="AZ192" s="11"/>
      <c r="BD192" s="11"/>
      <c r="BG192" s="11"/>
      <c r="CG192" s="264"/>
      <c r="CH192" s="264"/>
      <c r="CI192" s="264"/>
      <c r="CJ192" s="264"/>
      <c r="CK192" s="264"/>
      <c r="DK192" s="12"/>
      <c r="DM192" s="2">
        <v>3</v>
      </c>
      <c r="DP192" s="249"/>
      <c r="DT192" s="11"/>
      <c r="DU192" s="11"/>
      <c r="DV192" s="11"/>
      <c r="DW192" s="3">
        <v>31.4</v>
      </c>
    </row>
    <row r="193" spans="1:127">
      <c r="A193" s="102">
        <v>63</v>
      </c>
      <c r="B193" s="56">
        <v>2</v>
      </c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1"/>
      <c r="Q193" s="11"/>
      <c r="R193" s="10">
        <f t="shared" si="38"/>
        <v>0</v>
      </c>
      <c r="S193" s="249"/>
      <c r="T193" s="56">
        <v>156</v>
      </c>
      <c r="U193" s="56">
        <v>191</v>
      </c>
      <c r="V193" s="56">
        <v>126</v>
      </c>
      <c r="W193" s="56"/>
      <c r="X193" s="56"/>
      <c r="Y193" s="56"/>
      <c r="Z193" s="56">
        <v>151</v>
      </c>
      <c r="AA193" s="56">
        <v>208</v>
      </c>
      <c r="AB193" s="56">
        <v>166</v>
      </c>
      <c r="AC193" s="56"/>
      <c r="AD193" s="56"/>
      <c r="AF193" s="2">
        <v>85</v>
      </c>
      <c r="AG193" s="2">
        <v>61</v>
      </c>
      <c r="AH193" s="2">
        <v>204</v>
      </c>
      <c r="AM193" s="102">
        <f t="shared" si="39"/>
        <v>1348</v>
      </c>
      <c r="AN193" s="257">
        <f t="shared" si="40"/>
        <v>1348</v>
      </c>
      <c r="AO193" s="8"/>
      <c r="AP193" s="8"/>
      <c r="AQ193" s="2">
        <f t="shared" si="41"/>
        <v>1</v>
      </c>
      <c r="AR193" s="264"/>
      <c r="AS193" s="264"/>
      <c r="AT193" s="264"/>
      <c r="AU193" s="264"/>
      <c r="AV193" s="3">
        <f t="shared" si="42"/>
        <v>1348</v>
      </c>
      <c r="AW193" s="8">
        <f t="shared" si="43"/>
        <v>156</v>
      </c>
      <c r="AX193" s="11">
        <f t="shared" si="44"/>
        <v>0</v>
      </c>
      <c r="AY193" s="8">
        <f t="shared" si="45"/>
        <v>0</v>
      </c>
      <c r="AZ193" s="11"/>
      <c r="BD193" s="11"/>
      <c r="BG193" s="11"/>
      <c r="CG193" s="264"/>
      <c r="CH193" s="264"/>
      <c r="CI193" s="264"/>
      <c r="CJ193" s="264"/>
      <c r="CK193" s="264"/>
      <c r="DK193" s="12"/>
      <c r="DM193" s="2">
        <v>2</v>
      </c>
      <c r="DP193" s="249"/>
      <c r="DT193" s="11"/>
      <c r="DU193" s="11"/>
      <c r="DV193" s="11"/>
      <c r="DW193" s="3">
        <v>19.5</v>
      </c>
    </row>
    <row r="194" spans="1:127">
      <c r="A194" s="102">
        <v>64</v>
      </c>
      <c r="B194" s="56">
        <v>2</v>
      </c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1"/>
      <c r="Q194" s="11"/>
      <c r="R194" s="10">
        <f t="shared" ref="R194:R221" si="46">SUM(C194:Q194)</f>
        <v>0</v>
      </c>
      <c r="S194" s="249"/>
      <c r="T194" s="56">
        <v>179</v>
      </c>
      <c r="U194" s="56">
        <v>215</v>
      </c>
      <c r="V194" s="56">
        <v>121</v>
      </c>
      <c r="W194" s="56"/>
      <c r="X194" s="56"/>
      <c r="Y194" s="56"/>
      <c r="Z194" s="56">
        <v>90</v>
      </c>
      <c r="AA194" s="56">
        <v>167</v>
      </c>
      <c r="AB194" s="56">
        <v>203</v>
      </c>
      <c r="AC194" s="56"/>
      <c r="AD194" s="56"/>
      <c r="AF194" s="2">
        <v>79</v>
      </c>
      <c r="AG194" s="2">
        <v>120</v>
      </c>
      <c r="AH194" s="2">
        <v>210</v>
      </c>
      <c r="AM194" s="102">
        <f t="shared" si="39"/>
        <v>1384</v>
      </c>
      <c r="AN194" s="257">
        <f t="shared" si="40"/>
        <v>1384</v>
      </c>
      <c r="AO194" s="8"/>
      <c r="AP194" s="8"/>
      <c r="AQ194" s="2">
        <f t="shared" si="41"/>
        <v>1</v>
      </c>
      <c r="AR194" s="264"/>
      <c r="AS194" s="264"/>
      <c r="AT194" s="264"/>
      <c r="AU194" s="264"/>
      <c r="AV194" s="3">
        <f t="shared" si="42"/>
        <v>1384</v>
      </c>
      <c r="AW194" s="8">
        <f t="shared" si="43"/>
        <v>179</v>
      </c>
      <c r="AX194" s="11">
        <f t="shared" si="44"/>
        <v>0</v>
      </c>
      <c r="AY194" s="8">
        <f t="shared" si="45"/>
        <v>0</v>
      </c>
      <c r="AZ194" s="11"/>
      <c r="BD194" s="11"/>
      <c r="BG194" s="11"/>
      <c r="CG194" s="264"/>
      <c r="CH194" s="264"/>
      <c r="CI194" s="264"/>
      <c r="CJ194" s="264"/>
      <c r="CK194" s="264"/>
      <c r="DK194" s="12"/>
      <c r="DM194" s="2">
        <v>3</v>
      </c>
      <c r="DP194" s="249"/>
      <c r="DT194" s="11"/>
      <c r="DU194" s="11"/>
      <c r="DV194" s="11"/>
      <c r="DW194" s="3">
        <v>21</v>
      </c>
    </row>
    <row r="195" spans="1:127">
      <c r="A195" s="102">
        <v>65</v>
      </c>
      <c r="B195" s="56">
        <v>2</v>
      </c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1"/>
      <c r="Q195" s="11"/>
      <c r="R195" s="10">
        <f t="shared" si="46"/>
        <v>0</v>
      </c>
      <c r="S195" s="249"/>
      <c r="T195" s="56">
        <v>221</v>
      </c>
      <c r="U195" s="56">
        <v>255</v>
      </c>
      <c r="V195" s="56">
        <v>278</v>
      </c>
      <c r="W195" s="56"/>
      <c r="X195" s="56"/>
      <c r="Y195" s="56"/>
      <c r="Z195" s="56">
        <v>232</v>
      </c>
      <c r="AA195" s="56">
        <v>195</v>
      </c>
      <c r="AB195" s="56">
        <v>258</v>
      </c>
      <c r="AC195" s="56"/>
      <c r="AD195" s="56"/>
      <c r="AF195" s="2">
        <v>158</v>
      </c>
      <c r="AG195" s="2">
        <v>170</v>
      </c>
      <c r="AH195" s="2">
        <v>280</v>
      </c>
      <c r="AM195" s="102">
        <f t="shared" si="39"/>
        <v>2047</v>
      </c>
      <c r="AN195" s="257">
        <f t="shared" si="40"/>
        <v>2047</v>
      </c>
      <c r="AO195" s="8"/>
      <c r="AP195" s="8"/>
      <c r="AQ195" s="2">
        <f t="shared" si="41"/>
        <v>1</v>
      </c>
      <c r="AR195" s="264"/>
      <c r="AS195" s="264"/>
      <c r="AT195" s="264"/>
      <c r="AU195" s="264"/>
      <c r="AV195" s="3">
        <f t="shared" si="42"/>
        <v>2047</v>
      </c>
      <c r="AW195" s="8">
        <f t="shared" si="43"/>
        <v>221</v>
      </c>
      <c r="AX195" s="11">
        <f t="shared" si="44"/>
        <v>0</v>
      </c>
      <c r="AY195" s="8">
        <f t="shared" si="45"/>
        <v>0</v>
      </c>
      <c r="AZ195" s="11"/>
      <c r="BD195" s="11"/>
      <c r="BG195" s="11"/>
      <c r="CG195" s="264"/>
      <c r="CH195" s="264"/>
      <c r="CI195" s="264"/>
      <c r="CJ195" s="264"/>
      <c r="CK195" s="264"/>
      <c r="DK195" s="12"/>
      <c r="DM195" s="2">
        <v>3</v>
      </c>
      <c r="DP195" s="249"/>
      <c r="DT195" s="11"/>
      <c r="DU195" s="11"/>
      <c r="DV195" s="11"/>
      <c r="DW195" s="3">
        <v>36.799999999999997</v>
      </c>
    </row>
    <row r="196" spans="1:127">
      <c r="A196" s="102">
        <v>66</v>
      </c>
      <c r="B196" s="56">
        <v>2</v>
      </c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1"/>
      <c r="Q196" s="11"/>
      <c r="R196" s="10">
        <f t="shared" si="46"/>
        <v>0</v>
      </c>
      <c r="S196" s="249"/>
      <c r="T196" s="56">
        <v>0</v>
      </c>
      <c r="U196" s="56">
        <v>0</v>
      </c>
      <c r="V196" s="56">
        <v>158</v>
      </c>
      <c r="W196" s="56"/>
      <c r="X196" s="56"/>
      <c r="Y196" s="56"/>
      <c r="Z196" s="56">
        <v>206</v>
      </c>
      <c r="AA196" s="56">
        <v>143</v>
      </c>
      <c r="AB196" s="56">
        <v>208</v>
      </c>
      <c r="AC196" s="56"/>
      <c r="AD196" s="56"/>
      <c r="AF196" s="2">
        <v>47</v>
      </c>
      <c r="AG196" s="2">
        <v>128</v>
      </c>
      <c r="AH196" s="2">
        <v>295</v>
      </c>
      <c r="AM196" s="102">
        <f t="shared" si="39"/>
        <v>1185</v>
      </c>
      <c r="AN196" s="257">
        <f t="shared" si="40"/>
        <v>1185</v>
      </c>
      <c r="AO196" s="8"/>
      <c r="AP196" s="8"/>
      <c r="AQ196" s="2">
        <f t="shared" si="41"/>
        <v>1</v>
      </c>
      <c r="AR196" s="264"/>
      <c r="AS196" s="264"/>
      <c r="AT196" s="264"/>
      <c r="AU196" s="264"/>
      <c r="AV196" s="3">
        <f t="shared" si="42"/>
        <v>1185</v>
      </c>
      <c r="AW196" s="8">
        <f t="shared" si="43"/>
        <v>0</v>
      </c>
      <c r="AX196" s="11">
        <f t="shared" si="44"/>
        <v>0</v>
      </c>
      <c r="AY196" s="8">
        <f t="shared" si="45"/>
        <v>0</v>
      </c>
      <c r="AZ196" s="11"/>
      <c r="BD196" s="11"/>
      <c r="BG196" s="11"/>
      <c r="CG196" s="264"/>
      <c r="CH196" s="264"/>
      <c r="CI196" s="264"/>
      <c r="CJ196" s="264"/>
      <c r="CK196" s="264"/>
      <c r="DK196" s="12"/>
      <c r="DM196" s="2">
        <v>3</v>
      </c>
      <c r="DP196" s="249"/>
      <c r="DT196" s="11"/>
      <c r="DU196" s="11"/>
      <c r="DV196" s="11"/>
      <c r="DW196" s="3">
        <v>15.4</v>
      </c>
    </row>
    <row r="197" spans="1:127">
      <c r="A197" s="102">
        <v>67</v>
      </c>
      <c r="B197" s="56">
        <v>2</v>
      </c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1"/>
      <c r="Q197" s="11"/>
      <c r="R197" s="10">
        <f t="shared" si="46"/>
        <v>0</v>
      </c>
      <c r="S197" s="249"/>
      <c r="T197" s="56">
        <v>150</v>
      </c>
      <c r="U197" s="56">
        <v>195</v>
      </c>
      <c r="V197" s="56">
        <v>213</v>
      </c>
      <c r="W197" s="56"/>
      <c r="X197" s="56"/>
      <c r="Y197" s="56"/>
      <c r="Z197" s="56">
        <v>87</v>
      </c>
      <c r="AA197" s="56">
        <v>145</v>
      </c>
      <c r="AB197" s="56">
        <v>169</v>
      </c>
      <c r="AC197" s="56"/>
      <c r="AD197" s="56"/>
      <c r="AF197" s="2">
        <v>76</v>
      </c>
      <c r="AG197" s="2">
        <v>96</v>
      </c>
      <c r="AH197" s="2">
        <v>184</v>
      </c>
      <c r="AM197" s="102">
        <f t="shared" si="39"/>
        <v>1315</v>
      </c>
      <c r="AN197" s="257">
        <f t="shared" si="40"/>
        <v>1315</v>
      </c>
      <c r="AO197" s="8"/>
      <c r="AP197" s="8"/>
      <c r="AQ197" s="2">
        <f t="shared" si="41"/>
        <v>1</v>
      </c>
      <c r="AR197" s="264"/>
      <c r="AS197" s="264"/>
      <c r="AT197" s="264"/>
      <c r="AU197" s="264"/>
      <c r="AV197" s="3">
        <f t="shared" si="42"/>
        <v>1315</v>
      </c>
      <c r="AW197" s="8">
        <f t="shared" si="43"/>
        <v>150</v>
      </c>
      <c r="AX197" s="11">
        <f t="shared" si="44"/>
        <v>0</v>
      </c>
      <c r="AY197" s="8">
        <f t="shared" si="45"/>
        <v>0</v>
      </c>
      <c r="AZ197" s="11"/>
      <c r="BD197" s="11"/>
      <c r="BG197" s="11"/>
      <c r="CG197" s="264"/>
      <c r="CH197" s="264"/>
      <c r="CI197" s="264"/>
      <c r="CJ197" s="264"/>
      <c r="CK197" s="264"/>
      <c r="DK197" s="12"/>
      <c r="DM197" s="2">
        <v>3</v>
      </c>
      <c r="DP197" s="249"/>
      <c r="DT197" s="11"/>
      <c r="DU197" s="11"/>
      <c r="DV197" s="11"/>
      <c r="DW197" s="3">
        <v>18.5</v>
      </c>
    </row>
    <row r="198" spans="1:127">
      <c r="A198" s="102">
        <v>68</v>
      </c>
      <c r="B198" s="56">
        <v>2</v>
      </c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1"/>
      <c r="Q198" s="11"/>
      <c r="R198" s="10">
        <f t="shared" si="46"/>
        <v>0</v>
      </c>
      <c r="S198" s="249"/>
      <c r="T198" s="56">
        <v>176</v>
      </c>
      <c r="U198" s="56">
        <v>120</v>
      </c>
      <c r="V198" s="56">
        <v>157</v>
      </c>
      <c r="W198" s="56"/>
      <c r="X198" s="56"/>
      <c r="Y198" s="56"/>
      <c r="Z198" s="56">
        <v>115</v>
      </c>
      <c r="AA198" s="56">
        <v>153</v>
      </c>
      <c r="AB198" s="56">
        <v>190</v>
      </c>
      <c r="AC198" s="56"/>
      <c r="AD198" s="56"/>
      <c r="AF198" s="2">
        <v>72</v>
      </c>
      <c r="AG198" s="2">
        <v>62</v>
      </c>
      <c r="AH198" s="2">
        <v>188</v>
      </c>
      <c r="AM198" s="102">
        <f t="shared" si="39"/>
        <v>1233</v>
      </c>
      <c r="AN198" s="257">
        <f t="shared" si="40"/>
        <v>1233</v>
      </c>
      <c r="AO198" s="8"/>
      <c r="AP198" s="8"/>
      <c r="AQ198" s="2">
        <f t="shared" si="41"/>
        <v>1</v>
      </c>
      <c r="AR198" s="264"/>
      <c r="AS198" s="264"/>
      <c r="AT198" s="264"/>
      <c r="AU198" s="264"/>
      <c r="AV198" s="3">
        <f t="shared" si="42"/>
        <v>1233</v>
      </c>
      <c r="AW198" s="8">
        <f t="shared" si="43"/>
        <v>176</v>
      </c>
      <c r="AX198" s="11">
        <f t="shared" si="44"/>
        <v>0</v>
      </c>
      <c r="AY198" s="8">
        <f t="shared" si="45"/>
        <v>0</v>
      </c>
      <c r="AZ198" s="11"/>
      <c r="BD198" s="11"/>
      <c r="BG198" s="11"/>
      <c r="CG198" s="264"/>
      <c r="CH198" s="264"/>
      <c r="CI198" s="264"/>
      <c r="CJ198" s="264"/>
      <c r="CK198" s="264"/>
      <c r="DK198" s="12"/>
      <c r="DM198" s="2">
        <v>3</v>
      </c>
      <c r="DP198" s="249"/>
      <c r="DT198" s="11"/>
      <c r="DU198" s="11"/>
      <c r="DV198" s="11"/>
      <c r="DW198" s="3">
        <v>17.600000000000001</v>
      </c>
    </row>
    <row r="199" spans="1:127">
      <c r="A199" s="102">
        <v>69</v>
      </c>
      <c r="B199" s="56">
        <v>2</v>
      </c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1"/>
      <c r="Q199" s="11"/>
      <c r="R199" s="10">
        <f t="shared" si="46"/>
        <v>0</v>
      </c>
      <c r="S199" s="249"/>
      <c r="T199" s="56">
        <v>142</v>
      </c>
      <c r="U199" s="56">
        <v>155</v>
      </c>
      <c r="V199" s="56">
        <v>198</v>
      </c>
      <c r="W199" s="56"/>
      <c r="X199" s="56"/>
      <c r="Y199" s="56"/>
      <c r="Z199" s="56">
        <v>74</v>
      </c>
      <c r="AA199" s="56">
        <v>162</v>
      </c>
      <c r="AB199" s="56">
        <v>116</v>
      </c>
      <c r="AC199" s="56"/>
      <c r="AD199" s="56"/>
      <c r="AF199" s="2">
        <v>79</v>
      </c>
      <c r="AG199" s="2">
        <v>99</v>
      </c>
      <c r="AH199" s="2">
        <v>134</v>
      </c>
      <c r="AM199" s="102">
        <f t="shared" si="39"/>
        <v>1159</v>
      </c>
      <c r="AN199" s="257">
        <f t="shared" si="40"/>
        <v>1159</v>
      </c>
      <c r="AO199" s="8"/>
      <c r="AP199" s="8"/>
      <c r="AQ199" s="2">
        <f t="shared" si="41"/>
        <v>1</v>
      </c>
      <c r="AR199" s="264"/>
      <c r="AS199" s="264"/>
      <c r="AT199" s="264"/>
      <c r="AU199" s="264"/>
      <c r="AV199" s="3">
        <f t="shared" si="42"/>
        <v>1159</v>
      </c>
      <c r="AW199" s="8">
        <f t="shared" si="43"/>
        <v>142</v>
      </c>
      <c r="AX199" s="11">
        <f t="shared" si="44"/>
        <v>0</v>
      </c>
      <c r="AY199" s="8">
        <f t="shared" si="45"/>
        <v>0</v>
      </c>
      <c r="AZ199" s="11"/>
      <c r="BD199" s="11"/>
      <c r="BG199" s="11"/>
      <c r="CG199" s="264"/>
      <c r="CH199" s="264"/>
      <c r="CI199" s="264"/>
      <c r="CJ199" s="264"/>
      <c r="CK199" s="264"/>
      <c r="DK199" s="12"/>
      <c r="DM199" s="2">
        <v>3</v>
      </c>
      <c r="DP199" s="249"/>
      <c r="DT199" s="11"/>
      <c r="DU199" s="11"/>
      <c r="DV199" s="11"/>
      <c r="DW199" s="3">
        <v>20.7</v>
      </c>
    </row>
    <row r="200" spans="1:127">
      <c r="A200" s="102">
        <v>70</v>
      </c>
      <c r="B200" s="56">
        <v>2</v>
      </c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1"/>
      <c r="Q200" s="11"/>
      <c r="R200" s="10">
        <f t="shared" si="46"/>
        <v>0</v>
      </c>
      <c r="S200" s="249"/>
      <c r="T200" s="56">
        <v>228</v>
      </c>
      <c r="U200" s="56">
        <v>204</v>
      </c>
      <c r="V200" s="56">
        <v>237</v>
      </c>
      <c r="W200" s="56"/>
      <c r="X200" s="56"/>
      <c r="Y200" s="56"/>
      <c r="Z200" s="56">
        <v>86</v>
      </c>
      <c r="AA200" s="56">
        <v>171</v>
      </c>
      <c r="AB200" s="56">
        <v>250</v>
      </c>
      <c r="AC200" s="56"/>
      <c r="AD200" s="56"/>
      <c r="AF200" s="2">
        <v>67</v>
      </c>
      <c r="AG200" s="2">
        <v>151</v>
      </c>
      <c r="AH200" s="2">
        <v>219</v>
      </c>
      <c r="AM200" s="102">
        <f t="shared" si="39"/>
        <v>1613</v>
      </c>
      <c r="AN200" s="257">
        <f t="shared" si="40"/>
        <v>1613</v>
      </c>
      <c r="AO200" s="8"/>
      <c r="AP200" s="8"/>
      <c r="AQ200" s="2">
        <f t="shared" si="41"/>
        <v>1</v>
      </c>
      <c r="AR200" s="264"/>
      <c r="AS200" s="264"/>
      <c r="AT200" s="264"/>
      <c r="AU200" s="264"/>
      <c r="AV200" s="3">
        <f t="shared" si="42"/>
        <v>1613</v>
      </c>
      <c r="AW200" s="8">
        <f t="shared" si="43"/>
        <v>228</v>
      </c>
      <c r="AX200" s="11">
        <f t="shared" si="44"/>
        <v>0</v>
      </c>
      <c r="AY200" s="8">
        <f t="shared" si="45"/>
        <v>0</v>
      </c>
      <c r="AZ200" s="11"/>
      <c r="BD200" s="11"/>
      <c r="BG200" s="11"/>
      <c r="CG200" s="264"/>
      <c r="CH200" s="264"/>
      <c r="CI200" s="264"/>
      <c r="CJ200" s="264"/>
      <c r="CK200" s="264"/>
      <c r="DK200" s="12"/>
      <c r="DM200" s="2">
        <v>3</v>
      </c>
      <c r="DP200" s="249"/>
      <c r="DT200" s="11"/>
      <c r="DU200" s="11"/>
      <c r="DV200" s="11"/>
      <c r="DW200" s="3">
        <v>18.3</v>
      </c>
    </row>
    <row r="201" spans="1:127">
      <c r="A201" s="102">
        <v>71</v>
      </c>
      <c r="B201" s="56">
        <v>2</v>
      </c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1"/>
      <c r="Q201" s="11"/>
      <c r="R201" s="10">
        <f t="shared" si="46"/>
        <v>0</v>
      </c>
      <c r="S201" s="249"/>
      <c r="T201" s="56">
        <v>172</v>
      </c>
      <c r="U201" s="56">
        <v>151</v>
      </c>
      <c r="V201" s="56">
        <v>207</v>
      </c>
      <c r="W201" s="56"/>
      <c r="X201" s="56"/>
      <c r="Y201" s="56"/>
      <c r="Z201" s="56">
        <v>147</v>
      </c>
      <c r="AA201" s="56">
        <v>170</v>
      </c>
      <c r="AB201" s="56">
        <v>198</v>
      </c>
      <c r="AC201" s="56"/>
      <c r="AD201" s="56"/>
      <c r="AF201" s="2">
        <v>67</v>
      </c>
      <c r="AG201" s="2">
        <v>122</v>
      </c>
      <c r="AH201" s="2">
        <v>347</v>
      </c>
      <c r="AM201" s="102">
        <f t="shared" si="39"/>
        <v>1581</v>
      </c>
      <c r="AN201" s="257">
        <f t="shared" si="40"/>
        <v>1581</v>
      </c>
      <c r="AO201" s="8"/>
      <c r="AP201" s="8"/>
      <c r="AQ201" s="2">
        <f t="shared" si="41"/>
        <v>1</v>
      </c>
      <c r="AR201" s="264"/>
      <c r="AS201" s="264"/>
      <c r="AT201" s="264"/>
      <c r="AU201" s="264"/>
      <c r="AV201" s="3">
        <f t="shared" si="42"/>
        <v>1581</v>
      </c>
      <c r="AW201" s="8">
        <f t="shared" si="43"/>
        <v>172</v>
      </c>
      <c r="AX201" s="11">
        <f t="shared" si="44"/>
        <v>0</v>
      </c>
      <c r="AY201" s="8">
        <f t="shared" si="45"/>
        <v>0</v>
      </c>
      <c r="AZ201" s="11"/>
      <c r="BD201" s="11"/>
      <c r="BG201" s="11"/>
      <c r="CG201" s="264"/>
      <c r="CH201" s="264"/>
      <c r="CI201" s="264"/>
      <c r="CJ201" s="264"/>
      <c r="CK201" s="264"/>
      <c r="DK201" s="12"/>
      <c r="DM201" s="2">
        <v>3</v>
      </c>
      <c r="DP201" s="249"/>
      <c r="DT201" s="11"/>
      <c r="DU201" s="11"/>
      <c r="DV201" s="11"/>
      <c r="DW201" s="3">
        <v>14.3</v>
      </c>
    </row>
    <row r="202" spans="1:127">
      <c r="A202" s="102">
        <v>72</v>
      </c>
      <c r="B202" s="56">
        <v>2</v>
      </c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1"/>
      <c r="Q202" s="11"/>
      <c r="R202" s="10">
        <f t="shared" si="46"/>
        <v>0</v>
      </c>
      <c r="S202" s="249"/>
      <c r="T202" s="56">
        <v>161</v>
      </c>
      <c r="U202" s="56">
        <v>306</v>
      </c>
      <c r="V202" s="56">
        <v>205</v>
      </c>
      <c r="W202" s="56"/>
      <c r="X202" s="56"/>
      <c r="Y202" s="56"/>
      <c r="Z202" s="56">
        <v>146</v>
      </c>
      <c r="AA202" s="56">
        <v>165</v>
      </c>
      <c r="AB202" s="56">
        <v>212</v>
      </c>
      <c r="AC202" s="56"/>
      <c r="AD202" s="56"/>
      <c r="AF202" s="2">
        <v>74</v>
      </c>
      <c r="AG202" s="2">
        <v>117</v>
      </c>
      <c r="AH202" s="2">
        <v>335</v>
      </c>
      <c r="AM202" s="102">
        <f t="shared" si="39"/>
        <v>1721</v>
      </c>
      <c r="AN202" s="257">
        <f t="shared" si="40"/>
        <v>1721</v>
      </c>
      <c r="AO202" s="8"/>
      <c r="AP202" s="8"/>
      <c r="AQ202" s="2">
        <f t="shared" si="41"/>
        <v>1</v>
      </c>
      <c r="AR202" s="264"/>
      <c r="AS202" s="264"/>
      <c r="AT202" s="264"/>
      <c r="AU202" s="264"/>
      <c r="AV202" s="3">
        <f t="shared" si="42"/>
        <v>1721</v>
      </c>
      <c r="AW202" s="8">
        <f t="shared" si="43"/>
        <v>161</v>
      </c>
      <c r="AX202" s="11">
        <f t="shared" si="44"/>
        <v>0</v>
      </c>
      <c r="AY202" s="8">
        <f t="shared" si="45"/>
        <v>0</v>
      </c>
      <c r="AZ202" s="11"/>
      <c r="BD202" s="11"/>
      <c r="BG202" s="11"/>
      <c r="CG202" s="264"/>
      <c r="CH202" s="264"/>
      <c r="CI202" s="264"/>
      <c r="CJ202" s="264"/>
      <c r="CK202" s="264"/>
      <c r="DK202" s="12"/>
      <c r="DM202" s="2">
        <v>3</v>
      </c>
      <c r="DP202" s="249"/>
      <c r="DT202" s="11"/>
      <c r="DU202" s="11"/>
      <c r="DV202" s="266"/>
      <c r="DW202" s="3">
        <v>14.1</v>
      </c>
    </row>
    <row r="203" spans="1:127">
      <c r="A203" s="102">
        <v>73</v>
      </c>
      <c r="B203" s="56">
        <v>2</v>
      </c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1"/>
      <c r="Q203" s="11"/>
      <c r="R203" s="10">
        <f t="shared" si="46"/>
        <v>0</v>
      </c>
      <c r="S203" s="249"/>
      <c r="T203" s="56">
        <v>146</v>
      </c>
      <c r="U203" s="56">
        <v>253</v>
      </c>
      <c r="V203" s="56">
        <v>165</v>
      </c>
      <c r="W203" s="56"/>
      <c r="X203" s="56"/>
      <c r="Y203" s="56"/>
      <c r="Z203" s="56">
        <v>112</v>
      </c>
      <c r="AA203" s="56">
        <v>140</v>
      </c>
      <c r="AB203" s="56">
        <v>159</v>
      </c>
      <c r="AC203" s="56"/>
      <c r="AD203" s="56"/>
      <c r="AF203" s="2">
        <v>51</v>
      </c>
      <c r="AG203" s="2">
        <v>84</v>
      </c>
      <c r="AH203" s="2">
        <v>248</v>
      </c>
      <c r="AM203" s="102">
        <f t="shared" si="39"/>
        <v>1358</v>
      </c>
      <c r="AN203" s="257">
        <f t="shared" si="40"/>
        <v>1358</v>
      </c>
      <c r="AO203" s="8"/>
      <c r="AP203" s="8"/>
      <c r="AQ203" s="2">
        <f t="shared" si="41"/>
        <v>1</v>
      </c>
      <c r="AR203" s="264"/>
      <c r="AS203" s="264"/>
      <c r="AT203" s="264"/>
      <c r="AU203" s="264"/>
      <c r="AV203" s="3">
        <f t="shared" si="42"/>
        <v>1358</v>
      </c>
      <c r="AW203" s="8">
        <f t="shared" si="43"/>
        <v>146</v>
      </c>
      <c r="AX203" s="11">
        <f t="shared" si="44"/>
        <v>0</v>
      </c>
      <c r="AY203" s="8">
        <f t="shared" si="45"/>
        <v>0</v>
      </c>
      <c r="AZ203" s="11"/>
      <c r="BD203" s="11"/>
      <c r="BG203" s="11"/>
      <c r="CG203" s="264"/>
      <c r="CH203" s="264"/>
      <c r="CI203" s="264"/>
      <c r="CJ203" s="264"/>
      <c r="CK203" s="264"/>
      <c r="DK203" s="12"/>
      <c r="DM203" s="2">
        <v>3</v>
      </c>
      <c r="DP203" s="249"/>
      <c r="DT203" s="11"/>
      <c r="DU203" s="11"/>
      <c r="DV203" s="11"/>
      <c r="DW203" s="3">
        <v>71.5</v>
      </c>
    </row>
    <row r="204" spans="1:127">
      <c r="A204" s="102">
        <v>74</v>
      </c>
      <c r="B204" s="56">
        <v>2</v>
      </c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1"/>
      <c r="Q204" s="11"/>
      <c r="R204" s="10">
        <f t="shared" si="46"/>
        <v>0</v>
      </c>
      <c r="S204" s="249"/>
      <c r="T204" s="56">
        <v>133</v>
      </c>
      <c r="U204" s="56">
        <v>242</v>
      </c>
      <c r="V204" s="56">
        <v>192</v>
      </c>
      <c r="W204" s="56"/>
      <c r="X204" s="56"/>
      <c r="Y204" s="56"/>
      <c r="Z204" s="56">
        <v>131</v>
      </c>
      <c r="AA204" s="56">
        <v>175</v>
      </c>
      <c r="AB204" s="56">
        <v>261</v>
      </c>
      <c r="AC204" s="56"/>
      <c r="AD204" s="56"/>
      <c r="AF204" s="2">
        <v>71</v>
      </c>
      <c r="AG204" s="2">
        <v>139</v>
      </c>
      <c r="AH204" s="2">
        <v>293</v>
      </c>
      <c r="AM204" s="102">
        <f t="shared" si="39"/>
        <v>1637</v>
      </c>
      <c r="AN204" s="257">
        <f t="shared" si="40"/>
        <v>1637</v>
      </c>
      <c r="AO204" s="8"/>
      <c r="AP204" s="8"/>
      <c r="AQ204" s="2">
        <f t="shared" si="41"/>
        <v>1</v>
      </c>
      <c r="AR204" s="264"/>
      <c r="AS204" s="264"/>
      <c r="AT204" s="264"/>
      <c r="AU204" s="264"/>
      <c r="AV204" s="3">
        <f t="shared" si="42"/>
        <v>1637</v>
      </c>
      <c r="AW204" s="8">
        <f t="shared" si="43"/>
        <v>133</v>
      </c>
      <c r="AX204" s="11">
        <f t="shared" si="44"/>
        <v>0</v>
      </c>
      <c r="AY204" s="8">
        <f t="shared" si="45"/>
        <v>0</v>
      </c>
      <c r="AZ204" s="11"/>
      <c r="BD204" s="11"/>
      <c r="BG204" s="11"/>
      <c r="CG204" s="264"/>
      <c r="CH204" s="264"/>
      <c r="CI204" s="264"/>
      <c r="CJ204" s="264"/>
      <c r="CK204" s="264"/>
      <c r="DK204" s="12"/>
      <c r="DM204" s="2">
        <v>3</v>
      </c>
      <c r="DP204" s="249"/>
      <c r="DT204" s="11"/>
      <c r="DU204" s="11"/>
      <c r="DV204" s="11"/>
      <c r="DW204" s="3">
        <v>16</v>
      </c>
    </row>
    <row r="205" spans="1:127">
      <c r="A205" s="102">
        <v>75</v>
      </c>
      <c r="B205" s="56">
        <v>2</v>
      </c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1"/>
      <c r="Q205" s="11"/>
      <c r="R205" s="10">
        <f t="shared" si="46"/>
        <v>0</v>
      </c>
      <c r="S205" s="249"/>
      <c r="T205" s="56">
        <v>117</v>
      </c>
      <c r="U205" s="56">
        <v>314</v>
      </c>
      <c r="V205" s="56">
        <v>192</v>
      </c>
      <c r="W205" s="56"/>
      <c r="X205" s="56"/>
      <c r="Y205" s="56"/>
      <c r="Z205" s="56">
        <v>136</v>
      </c>
      <c r="AA205" s="56">
        <v>148</v>
      </c>
      <c r="AB205" s="56">
        <v>254</v>
      </c>
      <c r="AC205" s="56"/>
      <c r="AD205" s="56"/>
      <c r="AF205" s="2">
        <v>68</v>
      </c>
      <c r="AG205" s="2">
        <v>158</v>
      </c>
      <c r="AH205" s="2">
        <v>307</v>
      </c>
      <c r="AM205" s="102">
        <f t="shared" si="39"/>
        <v>1694</v>
      </c>
      <c r="AN205" s="257">
        <f t="shared" si="40"/>
        <v>1694</v>
      </c>
      <c r="AO205" s="8"/>
      <c r="AP205" s="8"/>
      <c r="AQ205" s="2">
        <f t="shared" si="41"/>
        <v>1</v>
      </c>
      <c r="AR205" s="264"/>
      <c r="AS205" s="264"/>
      <c r="AT205" s="264"/>
      <c r="AU205" s="264"/>
      <c r="AV205" s="3">
        <f t="shared" si="42"/>
        <v>1694</v>
      </c>
      <c r="AW205" s="8">
        <f t="shared" si="43"/>
        <v>117</v>
      </c>
      <c r="AX205" s="11">
        <f t="shared" si="44"/>
        <v>0</v>
      </c>
      <c r="AY205" s="8">
        <f t="shared" si="45"/>
        <v>0</v>
      </c>
      <c r="AZ205" s="11"/>
      <c r="BD205" s="11"/>
      <c r="BG205" s="11"/>
      <c r="CG205" s="264"/>
      <c r="CH205" s="264"/>
      <c r="CI205" s="264"/>
      <c r="CJ205" s="264"/>
      <c r="CK205" s="264"/>
      <c r="DK205" s="12"/>
      <c r="DM205" s="2">
        <v>3</v>
      </c>
      <c r="DP205" s="249"/>
      <c r="DT205" s="11"/>
      <c r="DU205" s="11"/>
      <c r="DV205" s="11"/>
      <c r="DW205" s="3">
        <v>16.8</v>
      </c>
    </row>
    <row r="206" spans="1:127">
      <c r="A206" s="102">
        <v>76</v>
      </c>
      <c r="B206" s="56">
        <v>2</v>
      </c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1"/>
      <c r="Q206" s="11"/>
      <c r="R206" s="10">
        <f t="shared" si="46"/>
        <v>0</v>
      </c>
      <c r="S206" s="249"/>
      <c r="T206" s="56">
        <v>175</v>
      </c>
      <c r="U206" s="56">
        <v>282</v>
      </c>
      <c r="V206" s="56">
        <v>125</v>
      </c>
      <c r="W206" s="56"/>
      <c r="X206" s="56"/>
      <c r="Y206" s="56"/>
      <c r="Z206" s="56">
        <v>99</v>
      </c>
      <c r="AA206" s="56">
        <v>106</v>
      </c>
      <c r="AB206" s="56">
        <v>214</v>
      </c>
      <c r="AC206" s="56"/>
      <c r="AD206" s="56"/>
      <c r="AF206" s="2">
        <v>50</v>
      </c>
      <c r="AG206" s="2">
        <v>106</v>
      </c>
      <c r="AH206" s="2">
        <v>183</v>
      </c>
      <c r="AM206" s="102">
        <f t="shared" si="39"/>
        <v>1340</v>
      </c>
      <c r="AN206" s="257">
        <f t="shared" si="40"/>
        <v>1340</v>
      </c>
      <c r="AO206" s="8"/>
      <c r="AP206" s="8"/>
      <c r="AQ206" s="2">
        <f t="shared" si="41"/>
        <v>1</v>
      </c>
      <c r="AR206" s="264"/>
      <c r="AS206" s="264"/>
      <c r="AT206" s="264"/>
      <c r="AU206" s="264"/>
      <c r="AV206" s="3">
        <f t="shared" si="42"/>
        <v>1340</v>
      </c>
      <c r="AW206" s="8">
        <f t="shared" si="43"/>
        <v>175</v>
      </c>
      <c r="AX206" s="11">
        <f t="shared" si="44"/>
        <v>0</v>
      </c>
      <c r="AY206" s="8">
        <f t="shared" si="45"/>
        <v>0</v>
      </c>
      <c r="AZ206" s="11"/>
      <c r="BD206" s="11"/>
      <c r="BG206" s="11"/>
      <c r="CG206" s="264"/>
      <c r="CH206" s="264"/>
      <c r="CI206" s="264"/>
      <c r="CJ206" s="264"/>
      <c r="CK206" s="264"/>
      <c r="DK206" s="12"/>
      <c r="DM206" s="2">
        <v>2</v>
      </c>
      <c r="DP206" s="249"/>
      <c r="DT206" s="11"/>
      <c r="DU206" s="11"/>
      <c r="DV206" s="11"/>
      <c r="DW206" s="3">
        <v>49.1</v>
      </c>
    </row>
    <row r="207" spans="1:127">
      <c r="A207" s="102">
        <v>77</v>
      </c>
      <c r="B207" s="56">
        <v>2</v>
      </c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1"/>
      <c r="Q207" s="11"/>
      <c r="R207" s="10">
        <f t="shared" si="46"/>
        <v>0</v>
      </c>
      <c r="S207" s="249"/>
      <c r="T207" s="56">
        <v>175</v>
      </c>
      <c r="U207" s="56">
        <v>113</v>
      </c>
      <c r="V207" s="56">
        <v>150</v>
      </c>
      <c r="W207" s="56"/>
      <c r="X207" s="56"/>
      <c r="Y207" s="56"/>
      <c r="Z207" s="56">
        <v>119</v>
      </c>
      <c r="AA207" s="56">
        <v>128</v>
      </c>
      <c r="AB207" s="56">
        <v>159</v>
      </c>
      <c r="AC207" s="56"/>
      <c r="AD207" s="56"/>
      <c r="AF207" s="2">
        <v>64</v>
      </c>
      <c r="AG207" s="2">
        <v>144</v>
      </c>
      <c r="AH207" s="2">
        <v>283</v>
      </c>
      <c r="AM207" s="102">
        <f t="shared" si="39"/>
        <v>1335</v>
      </c>
      <c r="AN207" s="257">
        <f t="shared" si="40"/>
        <v>1335</v>
      </c>
      <c r="AO207" s="8"/>
      <c r="AP207" s="8"/>
      <c r="AQ207" s="2">
        <f t="shared" si="41"/>
        <v>1</v>
      </c>
      <c r="AR207" s="264"/>
      <c r="AS207" s="264"/>
      <c r="AT207" s="264"/>
      <c r="AU207" s="264"/>
      <c r="AV207" s="3">
        <f t="shared" si="42"/>
        <v>1335</v>
      </c>
      <c r="AW207" s="8">
        <f t="shared" si="43"/>
        <v>175</v>
      </c>
      <c r="AX207" s="11">
        <f t="shared" si="44"/>
        <v>0</v>
      </c>
      <c r="AY207" s="8">
        <f t="shared" si="45"/>
        <v>0</v>
      </c>
      <c r="AZ207" s="11"/>
      <c r="BD207" s="11"/>
      <c r="BG207" s="11"/>
      <c r="CG207" s="264"/>
      <c r="CH207" s="264"/>
      <c r="CI207" s="264"/>
      <c r="CJ207" s="264"/>
      <c r="CK207" s="264"/>
      <c r="DK207" s="12"/>
      <c r="DM207" s="2">
        <v>3</v>
      </c>
      <c r="DP207" s="249"/>
      <c r="DT207" s="11"/>
      <c r="DU207" s="11"/>
      <c r="DV207" s="11"/>
      <c r="DW207" s="3">
        <v>28.4</v>
      </c>
    </row>
    <row r="208" spans="1:127">
      <c r="A208" s="102">
        <v>78</v>
      </c>
      <c r="B208" s="56">
        <v>2</v>
      </c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1"/>
      <c r="Q208" s="11"/>
      <c r="R208" s="10">
        <f t="shared" si="46"/>
        <v>0</v>
      </c>
      <c r="S208" s="249"/>
      <c r="T208" s="56">
        <v>161</v>
      </c>
      <c r="U208" s="56">
        <v>154</v>
      </c>
      <c r="V208" s="56">
        <v>78</v>
      </c>
      <c r="W208" s="56"/>
      <c r="X208" s="56"/>
      <c r="Y208" s="56"/>
      <c r="Z208" s="56">
        <v>0</v>
      </c>
      <c r="AA208" s="56">
        <v>0</v>
      </c>
      <c r="AB208" s="56">
        <v>0</v>
      </c>
      <c r="AC208" s="56"/>
      <c r="AD208" s="56"/>
      <c r="AF208" s="2">
        <v>0</v>
      </c>
      <c r="AG208" s="2">
        <v>0</v>
      </c>
      <c r="AH208" s="2">
        <v>0</v>
      </c>
      <c r="AM208" s="102">
        <f t="shared" si="39"/>
        <v>393</v>
      </c>
      <c r="AN208" s="257">
        <f t="shared" si="40"/>
        <v>393</v>
      </c>
      <c r="AO208" s="8"/>
      <c r="AP208" s="8"/>
      <c r="AQ208" s="2">
        <f t="shared" si="41"/>
        <v>1</v>
      </c>
      <c r="AR208" s="264"/>
      <c r="AS208" s="264"/>
      <c r="AT208" s="264"/>
      <c r="AU208" s="264"/>
      <c r="AV208" s="3">
        <f t="shared" si="42"/>
        <v>393</v>
      </c>
      <c r="AW208" s="8">
        <f t="shared" si="43"/>
        <v>161</v>
      </c>
      <c r="AX208" s="11">
        <f t="shared" si="44"/>
        <v>0</v>
      </c>
      <c r="AY208" s="8">
        <f t="shared" si="45"/>
        <v>0</v>
      </c>
      <c r="AZ208" s="11"/>
      <c r="BD208" s="11"/>
      <c r="BG208" s="11"/>
      <c r="CG208" s="264"/>
      <c r="CH208" s="264"/>
      <c r="CI208" s="264"/>
      <c r="CJ208" s="264"/>
      <c r="CK208" s="264"/>
      <c r="DK208" s="12"/>
      <c r="DM208" s="2">
        <v>3</v>
      </c>
      <c r="DP208" s="249"/>
      <c r="DT208" s="11"/>
      <c r="DU208" s="11"/>
      <c r="DV208" s="11"/>
      <c r="DW208" s="3">
        <v>7.2</v>
      </c>
    </row>
    <row r="209" spans="1:130">
      <c r="A209" s="102">
        <v>79</v>
      </c>
      <c r="B209" s="56">
        <v>2</v>
      </c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1"/>
      <c r="Q209" s="11"/>
      <c r="R209" s="10">
        <f t="shared" si="46"/>
        <v>0</v>
      </c>
      <c r="S209" s="249"/>
      <c r="T209" s="56">
        <v>170</v>
      </c>
      <c r="U209" s="56">
        <v>227</v>
      </c>
      <c r="V209" s="56">
        <v>159</v>
      </c>
      <c r="W209" s="56"/>
      <c r="X209" s="56"/>
      <c r="Y209" s="56"/>
      <c r="Z209" s="56">
        <v>123</v>
      </c>
      <c r="AA209" s="56">
        <v>133</v>
      </c>
      <c r="AB209" s="56">
        <v>212</v>
      </c>
      <c r="AC209" s="56"/>
      <c r="AD209" s="56"/>
      <c r="AF209" s="2">
        <v>55</v>
      </c>
      <c r="AG209" s="2">
        <v>157</v>
      </c>
      <c r="AH209" s="2">
        <v>141</v>
      </c>
      <c r="AM209" s="102">
        <f t="shared" si="39"/>
        <v>1377</v>
      </c>
      <c r="AN209" s="257">
        <f t="shared" si="40"/>
        <v>1377</v>
      </c>
      <c r="AO209" s="8"/>
      <c r="AP209" s="8"/>
      <c r="AQ209" s="2">
        <f t="shared" si="41"/>
        <v>1</v>
      </c>
      <c r="AR209" s="264"/>
      <c r="AS209" s="264"/>
      <c r="AT209" s="264"/>
      <c r="AU209" s="264"/>
      <c r="AV209" s="3">
        <f t="shared" si="42"/>
        <v>1377</v>
      </c>
      <c r="AW209" s="8">
        <f t="shared" si="43"/>
        <v>170</v>
      </c>
      <c r="AX209" s="11">
        <f t="shared" si="44"/>
        <v>0</v>
      </c>
      <c r="AY209" s="8">
        <f t="shared" si="45"/>
        <v>0</v>
      </c>
      <c r="AZ209" s="11"/>
      <c r="BD209" s="11"/>
      <c r="BG209" s="11"/>
      <c r="CG209" s="264"/>
      <c r="CH209" s="264"/>
      <c r="CI209" s="264"/>
      <c r="CJ209" s="264"/>
      <c r="CK209" s="264"/>
      <c r="DK209" s="12"/>
      <c r="DM209" s="2">
        <v>2</v>
      </c>
      <c r="DP209" s="249"/>
      <c r="DT209" s="11"/>
      <c r="DU209" s="11"/>
      <c r="DV209" s="11"/>
      <c r="DW209" s="3">
        <v>44.6</v>
      </c>
    </row>
    <row r="210" spans="1:130">
      <c r="A210" s="102">
        <v>80</v>
      </c>
      <c r="B210" s="56">
        <v>2</v>
      </c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1"/>
      <c r="Q210" s="11"/>
      <c r="R210" s="10">
        <f t="shared" si="46"/>
        <v>0</v>
      </c>
      <c r="S210" s="249"/>
      <c r="T210" s="56">
        <v>0</v>
      </c>
      <c r="U210" s="56">
        <v>403</v>
      </c>
      <c r="V210" s="56">
        <v>230</v>
      </c>
      <c r="W210" s="56"/>
      <c r="X210" s="56"/>
      <c r="Y210" s="56"/>
      <c r="Z210" s="56">
        <v>0</v>
      </c>
      <c r="AA210" s="56">
        <v>282</v>
      </c>
      <c r="AB210" s="56">
        <v>276</v>
      </c>
      <c r="AC210" s="56"/>
      <c r="AD210" s="56"/>
      <c r="AF210" s="2">
        <v>106</v>
      </c>
      <c r="AG210" s="2">
        <v>137</v>
      </c>
      <c r="AH210" s="2">
        <v>264</v>
      </c>
      <c r="AM210" s="102">
        <f t="shared" si="39"/>
        <v>1698</v>
      </c>
      <c r="AN210" s="257">
        <f t="shared" si="40"/>
        <v>1698</v>
      </c>
      <c r="AO210" s="8"/>
      <c r="AP210" s="8"/>
      <c r="AQ210" s="2">
        <f t="shared" si="41"/>
        <v>1</v>
      </c>
      <c r="AR210" s="264"/>
      <c r="AS210" s="264"/>
      <c r="AT210" s="264"/>
      <c r="AU210" s="264"/>
      <c r="AV210" s="3">
        <f t="shared" si="42"/>
        <v>1698</v>
      </c>
      <c r="AW210" s="8">
        <f t="shared" si="43"/>
        <v>0</v>
      </c>
      <c r="AX210" s="11">
        <f t="shared" si="44"/>
        <v>0</v>
      </c>
      <c r="AY210" s="8">
        <f t="shared" si="45"/>
        <v>0</v>
      </c>
      <c r="AZ210" s="11"/>
      <c r="BD210" s="11"/>
      <c r="BG210" s="11"/>
      <c r="CG210" s="264"/>
      <c r="CH210" s="264"/>
      <c r="CI210" s="264"/>
      <c r="CJ210" s="264"/>
      <c r="CK210" s="264"/>
      <c r="DK210" s="12"/>
      <c r="DM210" s="2">
        <v>3</v>
      </c>
      <c r="DP210" s="249"/>
      <c r="DT210" s="11"/>
      <c r="DU210" s="11"/>
      <c r="DV210" s="11"/>
      <c r="DW210" s="3">
        <v>20.3</v>
      </c>
    </row>
    <row r="211" spans="1:130">
      <c r="A211" s="102">
        <v>81</v>
      </c>
      <c r="B211" s="56">
        <v>2</v>
      </c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1"/>
      <c r="Q211" s="11"/>
      <c r="R211" s="10">
        <f t="shared" si="46"/>
        <v>0</v>
      </c>
      <c r="S211" s="249"/>
      <c r="T211" s="56">
        <v>0</v>
      </c>
      <c r="U211" s="56">
        <v>402</v>
      </c>
      <c r="V211" s="56">
        <v>230</v>
      </c>
      <c r="W211" s="56"/>
      <c r="X211" s="56"/>
      <c r="Y211" s="56"/>
      <c r="Z211" s="56">
        <v>0</v>
      </c>
      <c r="AA211" s="56">
        <v>371</v>
      </c>
      <c r="AB211" s="56">
        <v>221</v>
      </c>
      <c r="AC211" s="56"/>
      <c r="AD211" s="56"/>
      <c r="AF211" s="2">
        <v>109</v>
      </c>
      <c r="AG211" s="2">
        <v>142</v>
      </c>
      <c r="AH211" s="2">
        <v>228</v>
      </c>
      <c r="AM211" s="102">
        <f t="shared" si="39"/>
        <v>1703</v>
      </c>
      <c r="AN211" s="257">
        <f t="shared" si="40"/>
        <v>1703</v>
      </c>
      <c r="AO211" s="8"/>
      <c r="AP211" s="8"/>
      <c r="AQ211" s="2">
        <f t="shared" si="41"/>
        <v>1</v>
      </c>
      <c r="AR211" s="264"/>
      <c r="AS211" s="264"/>
      <c r="AT211" s="264"/>
      <c r="AU211" s="264"/>
      <c r="AV211" s="3">
        <f t="shared" si="42"/>
        <v>1703</v>
      </c>
      <c r="AW211" s="8">
        <f t="shared" si="43"/>
        <v>0</v>
      </c>
      <c r="AX211" s="11">
        <f t="shared" si="44"/>
        <v>0</v>
      </c>
      <c r="AY211" s="8">
        <f t="shared" si="45"/>
        <v>0</v>
      </c>
      <c r="AZ211" s="11"/>
      <c r="BD211" s="11"/>
      <c r="BG211" s="11"/>
      <c r="CG211" s="264"/>
      <c r="CH211" s="264"/>
      <c r="CI211" s="264"/>
      <c r="CJ211" s="264"/>
      <c r="CK211" s="264"/>
      <c r="DK211" s="12"/>
      <c r="DM211" s="2">
        <v>3</v>
      </c>
      <c r="DP211" s="249"/>
      <c r="DT211" s="11"/>
      <c r="DU211" s="11"/>
      <c r="DV211" s="11"/>
      <c r="DW211" s="3">
        <v>21.9</v>
      </c>
    </row>
    <row r="212" spans="1:130">
      <c r="A212" s="102">
        <v>82</v>
      </c>
      <c r="B212" s="56">
        <v>2</v>
      </c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1"/>
      <c r="Q212" s="11"/>
      <c r="R212" s="10">
        <f t="shared" si="46"/>
        <v>0</v>
      </c>
      <c r="S212" s="249"/>
      <c r="T212" s="56">
        <v>249</v>
      </c>
      <c r="U212" s="56">
        <v>195</v>
      </c>
      <c r="V212" s="56">
        <v>75</v>
      </c>
      <c r="W212" s="56"/>
      <c r="X212" s="56"/>
      <c r="Y212" s="56"/>
      <c r="Z212" s="56">
        <v>86</v>
      </c>
      <c r="AA212" s="56">
        <v>98</v>
      </c>
      <c r="AB212" s="56">
        <v>230</v>
      </c>
      <c r="AC212" s="56"/>
      <c r="AD212" s="56"/>
      <c r="AF212" s="2">
        <v>49</v>
      </c>
      <c r="AG212" s="2">
        <v>128</v>
      </c>
      <c r="AH212" s="2">
        <v>194</v>
      </c>
      <c r="AM212" s="102">
        <f t="shared" si="39"/>
        <v>1304</v>
      </c>
      <c r="AN212" s="257">
        <f t="shared" si="40"/>
        <v>1304</v>
      </c>
      <c r="AO212" s="8"/>
      <c r="AP212" s="8"/>
      <c r="AQ212" s="2">
        <f t="shared" si="41"/>
        <v>1</v>
      </c>
      <c r="AR212" s="264"/>
      <c r="AS212" s="264"/>
      <c r="AT212" s="264"/>
      <c r="AU212" s="264"/>
      <c r="AV212" s="3">
        <f t="shared" si="42"/>
        <v>1304</v>
      </c>
      <c r="AW212" s="8">
        <f t="shared" si="43"/>
        <v>249</v>
      </c>
      <c r="AX212" s="11">
        <f t="shared" si="44"/>
        <v>0</v>
      </c>
      <c r="AY212" s="8">
        <f t="shared" si="45"/>
        <v>0</v>
      </c>
      <c r="AZ212" s="11"/>
      <c r="BD212" s="11"/>
      <c r="BG212" s="11"/>
      <c r="CG212" s="264"/>
      <c r="CH212" s="264"/>
      <c r="CI212" s="264"/>
      <c r="CJ212" s="264"/>
      <c r="CK212" s="264"/>
      <c r="DK212" s="12"/>
      <c r="DM212" s="2">
        <v>2</v>
      </c>
      <c r="DP212" s="249"/>
      <c r="DT212" s="11"/>
      <c r="DU212" s="11"/>
      <c r="DV212" s="266"/>
      <c r="DW212" s="3">
        <v>47.5</v>
      </c>
    </row>
    <row r="213" spans="1:130">
      <c r="A213" s="102">
        <v>83</v>
      </c>
      <c r="B213" s="56">
        <v>2</v>
      </c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1"/>
      <c r="Q213" s="11"/>
      <c r="R213" s="10">
        <f t="shared" si="46"/>
        <v>0</v>
      </c>
      <c r="S213" s="249"/>
      <c r="T213" s="56">
        <v>185</v>
      </c>
      <c r="U213" s="56">
        <v>200</v>
      </c>
      <c r="V213" s="56">
        <v>156</v>
      </c>
      <c r="W213" s="56"/>
      <c r="X213" s="56"/>
      <c r="Y213" s="56"/>
      <c r="Z213" s="56">
        <v>99</v>
      </c>
      <c r="AA213" s="56">
        <v>139</v>
      </c>
      <c r="AB213" s="56">
        <v>243</v>
      </c>
      <c r="AC213" s="56"/>
      <c r="AD213" s="56"/>
      <c r="AF213" s="2">
        <v>0</v>
      </c>
      <c r="AG213" s="2">
        <v>137</v>
      </c>
      <c r="AH213" s="2">
        <v>226</v>
      </c>
      <c r="AM213" s="102">
        <f t="shared" si="39"/>
        <v>1385</v>
      </c>
      <c r="AN213" s="257">
        <f t="shared" si="40"/>
        <v>1385</v>
      </c>
      <c r="AO213" s="8"/>
      <c r="AP213" s="8"/>
      <c r="AQ213" s="2">
        <f t="shared" si="41"/>
        <v>1</v>
      </c>
      <c r="AR213" s="264"/>
      <c r="AS213" s="264"/>
      <c r="AT213" s="264"/>
      <c r="AU213" s="264"/>
      <c r="AV213" s="3">
        <f t="shared" si="42"/>
        <v>1385</v>
      </c>
      <c r="AW213" s="8">
        <f t="shared" si="43"/>
        <v>185</v>
      </c>
      <c r="AX213" s="11">
        <f t="shared" si="44"/>
        <v>0</v>
      </c>
      <c r="AY213" s="8">
        <f t="shared" si="45"/>
        <v>0</v>
      </c>
      <c r="AZ213" s="11"/>
      <c r="BD213" s="11"/>
      <c r="BG213" s="11"/>
      <c r="CG213" s="264"/>
      <c r="CH213" s="264"/>
      <c r="CI213" s="264"/>
      <c r="CJ213" s="264"/>
      <c r="CK213" s="264"/>
      <c r="DK213" s="12"/>
      <c r="DM213" s="2">
        <v>3</v>
      </c>
      <c r="DP213" s="249"/>
      <c r="DT213" s="11"/>
      <c r="DU213" s="11"/>
      <c r="DV213" s="11"/>
      <c r="DW213" s="3">
        <v>20.8</v>
      </c>
    </row>
    <row r="214" spans="1:130">
      <c r="A214" s="102">
        <v>84</v>
      </c>
      <c r="B214" s="56">
        <v>2</v>
      </c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1"/>
      <c r="Q214" s="11"/>
      <c r="R214" s="10">
        <f t="shared" si="46"/>
        <v>0</v>
      </c>
      <c r="S214" s="249"/>
      <c r="T214" s="56">
        <v>101</v>
      </c>
      <c r="U214" s="56">
        <v>224</v>
      </c>
      <c r="V214" s="56">
        <v>189</v>
      </c>
      <c r="W214" s="56"/>
      <c r="X214" s="56"/>
      <c r="Y214" s="56"/>
      <c r="Z214" s="56">
        <v>103</v>
      </c>
      <c r="AA214" s="56">
        <v>118</v>
      </c>
      <c r="AB214" s="56">
        <v>203</v>
      </c>
      <c r="AC214" s="56"/>
      <c r="AD214" s="56"/>
      <c r="AF214" s="25">
        <v>0</v>
      </c>
      <c r="AG214" s="2">
        <v>96</v>
      </c>
      <c r="AH214" s="2">
        <v>139</v>
      </c>
      <c r="AM214" s="102">
        <f t="shared" si="39"/>
        <v>1173</v>
      </c>
      <c r="AN214" s="257">
        <f t="shared" si="40"/>
        <v>1173</v>
      </c>
      <c r="AO214" s="8"/>
      <c r="AP214" s="8"/>
      <c r="AQ214" s="2">
        <f t="shared" si="41"/>
        <v>1</v>
      </c>
      <c r="AR214" s="264"/>
      <c r="AS214" s="264"/>
      <c r="AT214" s="264"/>
      <c r="AU214" s="264"/>
      <c r="AV214" s="3">
        <f t="shared" si="42"/>
        <v>1173</v>
      </c>
      <c r="AW214" s="8">
        <f t="shared" si="43"/>
        <v>101</v>
      </c>
      <c r="AX214" s="11">
        <f t="shared" si="44"/>
        <v>0</v>
      </c>
      <c r="AY214" s="8">
        <f t="shared" si="45"/>
        <v>0</v>
      </c>
      <c r="AZ214" s="11"/>
      <c r="BD214" s="11"/>
      <c r="BG214" s="11"/>
      <c r="CG214" s="264"/>
      <c r="CH214" s="264"/>
      <c r="CI214" s="264"/>
      <c r="CJ214" s="264"/>
      <c r="CK214" s="264"/>
      <c r="DK214" s="12"/>
      <c r="DM214" s="2">
        <v>3</v>
      </c>
      <c r="DP214" s="249"/>
      <c r="DT214" s="11"/>
      <c r="DU214" s="11"/>
      <c r="DV214" s="11"/>
      <c r="DW214" s="3">
        <v>15.8</v>
      </c>
    </row>
    <row r="215" spans="1:130">
      <c r="A215" s="102">
        <v>85</v>
      </c>
      <c r="B215" s="56">
        <v>2</v>
      </c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1"/>
      <c r="Q215" s="11"/>
      <c r="R215" s="10">
        <f t="shared" si="46"/>
        <v>0</v>
      </c>
      <c r="S215" s="249"/>
      <c r="T215" s="56">
        <v>242</v>
      </c>
      <c r="U215" s="56">
        <v>175</v>
      </c>
      <c r="V215" s="56">
        <v>121</v>
      </c>
      <c r="W215" s="56"/>
      <c r="X215" s="56"/>
      <c r="Y215" s="56"/>
      <c r="Z215" s="56">
        <v>124</v>
      </c>
      <c r="AA215" s="56">
        <v>62</v>
      </c>
      <c r="AB215" s="56">
        <v>350</v>
      </c>
      <c r="AC215" s="56"/>
      <c r="AD215" s="56"/>
      <c r="AF215" s="2">
        <v>112</v>
      </c>
      <c r="AG215" s="2">
        <v>234</v>
      </c>
      <c r="AH215" s="2">
        <v>278</v>
      </c>
      <c r="AM215" s="102">
        <f t="shared" si="39"/>
        <v>1698</v>
      </c>
      <c r="AN215" s="257">
        <f t="shared" si="40"/>
        <v>1698</v>
      </c>
      <c r="AO215" s="8"/>
      <c r="AP215" s="8"/>
      <c r="AQ215" s="2">
        <f t="shared" si="41"/>
        <v>1</v>
      </c>
      <c r="AR215" s="264"/>
      <c r="AS215" s="264"/>
      <c r="AT215" s="264"/>
      <c r="AU215" s="264"/>
      <c r="AV215" s="3">
        <f t="shared" si="42"/>
        <v>1698</v>
      </c>
      <c r="AW215" s="8">
        <f t="shared" si="43"/>
        <v>242</v>
      </c>
      <c r="AX215" s="11">
        <f t="shared" si="44"/>
        <v>0</v>
      </c>
      <c r="AY215" s="8">
        <f t="shared" si="45"/>
        <v>0</v>
      </c>
      <c r="AZ215" s="11"/>
      <c r="BD215" s="11"/>
      <c r="BG215" s="11"/>
      <c r="CG215" s="264"/>
      <c r="CH215" s="264"/>
      <c r="CI215" s="264"/>
      <c r="CJ215" s="264"/>
      <c r="CK215" s="264"/>
      <c r="DK215" s="12"/>
      <c r="DM215" s="2">
        <v>2</v>
      </c>
      <c r="DP215" s="249"/>
      <c r="DT215" s="11"/>
      <c r="DU215" s="11"/>
      <c r="DV215" s="11"/>
      <c r="DW215" s="3">
        <v>37</v>
      </c>
    </row>
    <row r="216" spans="1:130">
      <c r="A216" s="102">
        <v>86</v>
      </c>
      <c r="B216" s="56">
        <v>2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1"/>
      <c r="Q216" s="11"/>
      <c r="R216" s="10">
        <f t="shared" si="46"/>
        <v>0</v>
      </c>
      <c r="S216" s="249"/>
      <c r="T216" s="56">
        <v>223</v>
      </c>
      <c r="U216" s="56">
        <v>218</v>
      </c>
      <c r="V216" s="56">
        <v>137</v>
      </c>
      <c r="W216" s="56"/>
      <c r="X216" s="56"/>
      <c r="Y216" s="56"/>
      <c r="Z216" s="56">
        <v>109</v>
      </c>
      <c r="AA216" s="56">
        <v>101</v>
      </c>
      <c r="AB216" s="56">
        <v>250</v>
      </c>
      <c r="AC216" s="56"/>
      <c r="AD216" s="56"/>
      <c r="AF216" s="2">
        <v>66</v>
      </c>
      <c r="AG216" s="2">
        <v>153</v>
      </c>
      <c r="AH216" s="2">
        <v>206</v>
      </c>
      <c r="AM216" s="102">
        <f t="shared" si="39"/>
        <v>1463</v>
      </c>
      <c r="AN216" s="257">
        <f t="shared" si="40"/>
        <v>1463</v>
      </c>
      <c r="AO216" s="8"/>
      <c r="AP216" s="8"/>
      <c r="AQ216" s="2">
        <f t="shared" si="41"/>
        <v>1</v>
      </c>
      <c r="AR216" s="264"/>
      <c r="AS216" s="264"/>
      <c r="AT216" s="264"/>
      <c r="AU216" s="264"/>
      <c r="AV216" s="3">
        <f t="shared" si="42"/>
        <v>1463</v>
      </c>
      <c r="AW216" s="8">
        <f t="shared" si="43"/>
        <v>223</v>
      </c>
      <c r="AX216" s="11">
        <f t="shared" si="44"/>
        <v>0</v>
      </c>
      <c r="AY216" s="8">
        <f t="shared" si="45"/>
        <v>0</v>
      </c>
      <c r="AZ216" s="11"/>
      <c r="BD216" s="11"/>
      <c r="BG216" s="11"/>
      <c r="CG216" s="264"/>
      <c r="CH216" s="264"/>
      <c r="CI216" s="264"/>
      <c r="CJ216" s="264"/>
      <c r="CK216" s="264"/>
      <c r="DK216" s="12"/>
      <c r="DM216" s="2">
        <v>3</v>
      </c>
      <c r="DP216" s="249"/>
      <c r="DT216" s="11"/>
      <c r="DU216" s="11"/>
      <c r="DV216" s="266"/>
      <c r="DW216" s="3">
        <v>17.5</v>
      </c>
      <c r="DZ216" s="25"/>
    </row>
    <row r="217" spans="1:130">
      <c r="A217" s="102">
        <v>87</v>
      </c>
      <c r="B217" s="56">
        <v>2</v>
      </c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1"/>
      <c r="Q217" s="11"/>
      <c r="R217" s="10">
        <f t="shared" si="46"/>
        <v>0</v>
      </c>
      <c r="S217" s="249"/>
      <c r="T217" s="56">
        <v>197</v>
      </c>
      <c r="U217" s="56">
        <v>185</v>
      </c>
      <c r="V217" s="56">
        <v>128</v>
      </c>
      <c r="W217" s="56"/>
      <c r="X217" s="56"/>
      <c r="Y217" s="56"/>
      <c r="Z217" s="56">
        <v>74</v>
      </c>
      <c r="AA217" s="56">
        <v>100</v>
      </c>
      <c r="AB217" s="56">
        <v>179</v>
      </c>
      <c r="AC217" s="56"/>
      <c r="AD217" s="56"/>
      <c r="AF217" s="2">
        <v>80</v>
      </c>
      <c r="AG217" s="2">
        <v>172</v>
      </c>
      <c r="AH217" s="2">
        <v>154</v>
      </c>
      <c r="AM217" s="102">
        <f t="shared" si="39"/>
        <v>1269</v>
      </c>
      <c r="AN217" s="257">
        <f t="shared" si="40"/>
        <v>1269</v>
      </c>
      <c r="AO217" s="8"/>
      <c r="AP217" s="8"/>
      <c r="AQ217" s="2">
        <f t="shared" si="41"/>
        <v>1</v>
      </c>
      <c r="AR217" s="264"/>
      <c r="AS217" s="264"/>
      <c r="AT217" s="264"/>
      <c r="AU217" s="264"/>
      <c r="AV217" s="3">
        <f t="shared" si="42"/>
        <v>1269</v>
      </c>
      <c r="AW217" s="8">
        <f t="shared" si="43"/>
        <v>197</v>
      </c>
      <c r="AX217" s="11">
        <f t="shared" si="44"/>
        <v>0</v>
      </c>
      <c r="AY217" s="8">
        <f t="shared" si="45"/>
        <v>0</v>
      </c>
      <c r="AZ217" s="11"/>
      <c r="BD217" s="11"/>
      <c r="BG217" s="11"/>
      <c r="CG217" s="264"/>
      <c r="CH217" s="264"/>
      <c r="CI217" s="264"/>
      <c r="CJ217" s="264"/>
      <c r="CK217" s="264"/>
      <c r="DK217" s="12"/>
      <c r="DM217" s="2">
        <v>3</v>
      </c>
      <c r="DP217" s="249"/>
      <c r="DT217" s="11"/>
      <c r="DU217" s="11"/>
      <c r="DV217" s="266"/>
      <c r="DW217" s="3">
        <v>31.2</v>
      </c>
    </row>
    <row r="218" spans="1:130" ht="13.8">
      <c r="A218" s="102">
        <v>88</v>
      </c>
      <c r="B218" s="56">
        <v>2</v>
      </c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>
        <f t="shared" si="46"/>
        <v>0</v>
      </c>
      <c r="S218"/>
      <c r="T218">
        <v>228</v>
      </c>
      <c r="U218">
        <v>245</v>
      </c>
      <c r="V218">
        <v>117</v>
      </c>
      <c r="W218"/>
      <c r="X218"/>
      <c r="Y218"/>
      <c r="Z218">
        <v>118</v>
      </c>
      <c r="AA218">
        <v>88</v>
      </c>
      <c r="AB218">
        <v>293</v>
      </c>
      <c r="AC218" s="56"/>
      <c r="AD218" s="56"/>
      <c r="AF218" s="2">
        <v>35</v>
      </c>
      <c r="AG218" s="2">
        <v>163</v>
      </c>
      <c r="AH218" s="2">
        <v>181</v>
      </c>
      <c r="AM218" s="102">
        <f t="shared" si="39"/>
        <v>1468</v>
      </c>
      <c r="AN218" s="257">
        <f t="shared" si="40"/>
        <v>1468</v>
      </c>
      <c r="AO218" s="8"/>
      <c r="AP218" s="8"/>
      <c r="AQ218" s="2">
        <f t="shared" si="41"/>
        <v>1</v>
      </c>
      <c r="AR218" s="264"/>
      <c r="AS218" s="264"/>
      <c r="AT218" s="264"/>
      <c r="AU218" s="264"/>
      <c r="AV218" s="3">
        <f t="shared" si="42"/>
        <v>1468</v>
      </c>
      <c r="AW218" s="8">
        <f t="shared" si="43"/>
        <v>228</v>
      </c>
      <c r="AX218" s="11">
        <f t="shared" si="44"/>
        <v>0</v>
      </c>
      <c r="AY218" s="8">
        <f t="shared" si="45"/>
        <v>0</v>
      </c>
      <c r="AZ218" s="11"/>
      <c r="BD218" s="11"/>
      <c r="BG218" s="11"/>
      <c r="CG218" s="264"/>
      <c r="CH218" s="264"/>
      <c r="CI218" s="264"/>
      <c r="CJ218" s="264"/>
      <c r="CK218" s="264"/>
      <c r="DK218" s="12"/>
      <c r="DM218" s="2">
        <v>2</v>
      </c>
      <c r="DP218" s="249"/>
      <c r="DT218" s="11"/>
      <c r="DU218" s="11"/>
      <c r="DV218" s="11"/>
      <c r="DW218" s="3">
        <v>33.4</v>
      </c>
    </row>
    <row r="219" spans="1:130">
      <c r="A219" s="102">
        <v>89</v>
      </c>
      <c r="B219" s="56">
        <v>2</v>
      </c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1"/>
      <c r="Q219" s="11"/>
      <c r="R219" s="10">
        <f t="shared" si="46"/>
        <v>0</v>
      </c>
      <c r="S219" s="249"/>
      <c r="T219" s="56">
        <v>114</v>
      </c>
      <c r="U219" s="56">
        <v>207</v>
      </c>
      <c r="V219" s="56">
        <v>116</v>
      </c>
      <c r="W219" s="56"/>
      <c r="X219" s="56"/>
      <c r="Y219" s="56"/>
      <c r="Z219" s="56">
        <v>103</v>
      </c>
      <c r="AA219" s="56">
        <v>114</v>
      </c>
      <c r="AB219" s="56">
        <v>194</v>
      </c>
      <c r="AC219" s="56"/>
      <c r="AD219" s="56"/>
      <c r="AF219" s="2">
        <v>46</v>
      </c>
      <c r="AG219" s="2">
        <v>162</v>
      </c>
      <c r="AH219" s="2">
        <v>195</v>
      </c>
      <c r="AM219" s="102">
        <f t="shared" si="39"/>
        <v>1251</v>
      </c>
      <c r="AN219" s="257">
        <f t="shared" si="40"/>
        <v>1251</v>
      </c>
      <c r="AO219" s="8"/>
      <c r="AP219" s="8"/>
      <c r="AQ219" s="2">
        <f t="shared" si="41"/>
        <v>1</v>
      </c>
      <c r="AR219" s="264"/>
      <c r="AS219" s="264"/>
      <c r="AT219" s="264"/>
      <c r="AU219" s="264"/>
      <c r="AV219" s="3">
        <f t="shared" si="42"/>
        <v>1251</v>
      </c>
      <c r="AW219" s="8">
        <f t="shared" si="43"/>
        <v>114</v>
      </c>
      <c r="AX219" s="11">
        <f t="shared" si="44"/>
        <v>0</v>
      </c>
      <c r="AY219" s="8">
        <f t="shared" si="45"/>
        <v>0</v>
      </c>
      <c r="AZ219" s="11"/>
      <c r="BD219" s="11"/>
      <c r="BG219" s="11"/>
      <c r="CG219" s="264"/>
      <c r="CH219" s="264"/>
      <c r="CI219" s="264"/>
      <c r="CJ219" s="264"/>
      <c r="CK219" s="264"/>
      <c r="DK219" s="12"/>
      <c r="DM219" s="2">
        <v>3</v>
      </c>
      <c r="DP219" s="249"/>
      <c r="DT219" s="11"/>
      <c r="DU219" s="11"/>
      <c r="DV219" s="11"/>
      <c r="DW219" s="3">
        <v>31.8</v>
      </c>
    </row>
    <row r="220" spans="1:130">
      <c r="A220" s="102">
        <v>90</v>
      </c>
      <c r="B220" s="56">
        <v>2</v>
      </c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1"/>
      <c r="Q220" s="11"/>
      <c r="R220" s="10">
        <f t="shared" si="46"/>
        <v>0</v>
      </c>
      <c r="S220" s="249"/>
      <c r="T220" s="56">
        <v>217</v>
      </c>
      <c r="U220" s="56">
        <v>232</v>
      </c>
      <c r="V220" s="56">
        <v>181</v>
      </c>
      <c r="W220" s="56"/>
      <c r="X220" s="56"/>
      <c r="Y220" s="56"/>
      <c r="Z220" s="56">
        <v>112</v>
      </c>
      <c r="AA220" s="56">
        <v>162</v>
      </c>
      <c r="AB220" s="56">
        <v>290</v>
      </c>
      <c r="AC220" s="56"/>
      <c r="AD220" s="56"/>
      <c r="AF220" s="2">
        <v>57</v>
      </c>
      <c r="AG220" s="2">
        <v>152</v>
      </c>
      <c r="AH220" s="2">
        <v>222</v>
      </c>
      <c r="AM220" s="102">
        <f t="shared" si="39"/>
        <v>1625</v>
      </c>
      <c r="AN220" s="257">
        <f t="shared" si="40"/>
        <v>1625</v>
      </c>
      <c r="AO220" s="8"/>
      <c r="AP220" s="8"/>
      <c r="AQ220" s="2">
        <f t="shared" si="41"/>
        <v>1</v>
      </c>
      <c r="AR220" s="264"/>
      <c r="AS220" s="264"/>
      <c r="AT220" s="264"/>
      <c r="AU220" s="264"/>
      <c r="AV220" s="3">
        <f t="shared" si="42"/>
        <v>1625</v>
      </c>
      <c r="AW220" s="8">
        <f t="shared" si="43"/>
        <v>217</v>
      </c>
      <c r="AX220" s="11">
        <f t="shared" si="44"/>
        <v>0</v>
      </c>
      <c r="AY220" s="8">
        <f t="shared" si="45"/>
        <v>0</v>
      </c>
      <c r="AZ220" s="11"/>
      <c r="BD220" s="11"/>
      <c r="BG220" s="11"/>
      <c r="CG220" s="264"/>
      <c r="CH220" s="264"/>
      <c r="CI220" s="264"/>
      <c r="CJ220" s="264"/>
      <c r="CK220" s="264"/>
      <c r="DK220" s="12"/>
      <c r="DM220" s="2">
        <v>3</v>
      </c>
      <c r="DP220" s="249"/>
      <c r="DT220" s="11"/>
      <c r="DU220" s="11"/>
      <c r="DV220" s="11"/>
      <c r="DW220" s="3">
        <v>39.299999999999997</v>
      </c>
    </row>
    <row r="221" spans="1:130">
      <c r="A221" s="102">
        <v>91</v>
      </c>
      <c r="B221" s="56">
        <v>2</v>
      </c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1"/>
      <c r="Q221" s="11"/>
      <c r="R221" s="10">
        <f t="shared" si="46"/>
        <v>0</v>
      </c>
      <c r="S221" s="249"/>
      <c r="T221" s="56">
        <v>199</v>
      </c>
      <c r="U221" s="56">
        <v>232</v>
      </c>
      <c r="V221" s="56">
        <v>190</v>
      </c>
      <c r="W221" s="56"/>
      <c r="X221" s="56"/>
      <c r="Y221" s="56"/>
      <c r="Z221" s="56">
        <v>110</v>
      </c>
      <c r="AA221" s="56">
        <v>139</v>
      </c>
      <c r="AB221" s="56">
        <v>236</v>
      </c>
      <c r="AC221" s="56"/>
      <c r="AD221" s="56"/>
      <c r="AF221" s="2">
        <v>69</v>
      </c>
      <c r="AG221" s="2">
        <v>125</v>
      </c>
      <c r="AH221" s="2">
        <v>224</v>
      </c>
      <c r="AM221" s="102">
        <f t="shared" si="39"/>
        <v>1524</v>
      </c>
      <c r="AN221" s="257">
        <f t="shared" si="40"/>
        <v>1524</v>
      </c>
      <c r="AO221" s="8"/>
      <c r="AP221" s="8"/>
      <c r="AQ221" s="2">
        <f t="shared" si="41"/>
        <v>1</v>
      </c>
      <c r="AR221" s="264"/>
      <c r="AS221" s="264"/>
      <c r="AT221" s="264"/>
      <c r="AU221" s="264"/>
      <c r="AV221" s="3">
        <f t="shared" si="42"/>
        <v>1524</v>
      </c>
      <c r="AW221" s="8">
        <f t="shared" si="43"/>
        <v>199</v>
      </c>
      <c r="AX221" s="11">
        <f t="shared" si="44"/>
        <v>0</v>
      </c>
      <c r="AY221" s="8">
        <f t="shared" si="45"/>
        <v>0</v>
      </c>
      <c r="AZ221" s="11"/>
      <c r="BD221" s="11"/>
      <c r="BG221" s="11"/>
      <c r="CG221" s="264"/>
      <c r="CH221" s="264"/>
      <c r="CI221" s="264"/>
      <c r="CJ221" s="264"/>
      <c r="CK221" s="264"/>
      <c r="DK221" s="12"/>
      <c r="DM221" s="2">
        <v>3</v>
      </c>
      <c r="DP221" s="249"/>
      <c r="DT221" s="11"/>
      <c r="DU221" s="11"/>
      <c r="DV221" s="11"/>
      <c r="DW221" s="3">
        <v>39</v>
      </c>
    </row>
    <row r="222" spans="1:130" s="406" customFormat="1">
      <c r="A222" s="404">
        <v>92</v>
      </c>
      <c r="B222" s="415">
        <v>2</v>
      </c>
      <c r="C222" s="418"/>
      <c r="D222" s="418"/>
      <c r="E222" s="418"/>
      <c r="F222" s="418"/>
      <c r="G222" s="418"/>
      <c r="H222" s="418"/>
      <c r="I222" s="418"/>
      <c r="J222" s="418"/>
      <c r="K222" s="418"/>
      <c r="L222" s="418"/>
      <c r="M222" s="418"/>
      <c r="N222" s="418"/>
      <c r="O222" s="418"/>
      <c r="P222" s="407"/>
      <c r="Q222" s="407"/>
      <c r="R222" s="408"/>
      <c r="S222" s="409"/>
      <c r="T222" s="415">
        <v>251</v>
      </c>
      <c r="U222" s="415">
        <v>207</v>
      </c>
      <c r="V222" s="415">
        <v>285</v>
      </c>
      <c r="W222" s="415"/>
      <c r="X222" s="415"/>
      <c r="Y222" s="415"/>
      <c r="Z222" s="415">
        <v>101</v>
      </c>
      <c r="AA222" s="415">
        <v>228</v>
      </c>
      <c r="AB222" s="415">
        <v>298</v>
      </c>
      <c r="AC222" s="415"/>
      <c r="AD222" s="415"/>
      <c r="AE222" s="410"/>
      <c r="AF222" s="406">
        <v>78</v>
      </c>
      <c r="AG222" s="406">
        <v>94</v>
      </c>
      <c r="AH222" s="406">
        <v>190</v>
      </c>
      <c r="AM222" s="404">
        <f t="shared" ref="AM222:AM266" si="47">SUM(S222:AL222)</f>
        <v>1732</v>
      </c>
      <c r="AN222" s="411">
        <f t="shared" ref="AN222:AN266" si="48">R222+AM222</f>
        <v>1732</v>
      </c>
      <c r="AO222" s="412"/>
      <c r="AP222" s="412"/>
      <c r="AQ222" s="406">
        <f t="shared" ref="AQ222:AQ266" si="49">IF(AN222&gt;=$AQ$5,1,0)</f>
        <v>1</v>
      </c>
      <c r="AR222" s="416"/>
      <c r="AS222" s="416"/>
      <c r="AT222" s="416"/>
      <c r="AU222" s="416"/>
      <c r="AV222" s="3">
        <f t="shared" si="42"/>
        <v>1732</v>
      </c>
      <c r="AW222" s="412">
        <f t="shared" ref="AW222:AW266" si="50">T222+AC222</f>
        <v>251</v>
      </c>
      <c r="AX222" s="407">
        <f t="shared" ref="AX222:AX266" si="51">AD222</f>
        <v>0</v>
      </c>
      <c r="AY222" s="412">
        <f t="shared" ref="AY222:AY266" si="52">S222+AE222</f>
        <v>0</v>
      </c>
      <c r="AZ222" s="407"/>
      <c r="BD222" s="407"/>
      <c r="BG222" s="407"/>
      <c r="CG222" s="416"/>
      <c r="CH222" s="416"/>
      <c r="CI222" s="416"/>
      <c r="CJ222" s="416"/>
      <c r="CK222" s="416"/>
      <c r="DK222" s="418"/>
      <c r="DM222" s="406">
        <v>3</v>
      </c>
      <c r="DP222" s="409"/>
      <c r="DR222" s="407"/>
      <c r="DS222" s="407"/>
      <c r="DT222" s="407"/>
      <c r="DU222" s="407"/>
      <c r="DV222" s="407"/>
      <c r="DW222" s="3">
        <v>47.3</v>
      </c>
      <c r="DY222" s="434">
        <f>SUM(DW223:DW266)</f>
        <v>1265</v>
      </c>
    </row>
    <row r="223" spans="1:130">
      <c r="A223" s="102">
        <v>93</v>
      </c>
      <c r="B223" s="56">
        <v>3</v>
      </c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1"/>
      <c r="Q223" s="11"/>
      <c r="R223" s="10"/>
      <c r="S223" s="249"/>
      <c r="T223" s="56">
        <v>185</v>
      </c>
      <c r="U223" s="56">
        <v>205</v>
      </c>
      <c r="V223" s="56">
        <v>375</v>
      </c>
      <c r="W223" s="56"/>
      <c r="X223" s="56"/>
      <c r="Y223" s="56"/>
      <c r="Z223" s="56">
        <v>102</v>
      </c>
      <c r="AA223" s="56">
        <v>242</v>
      </c>
      <c r="AB223" s="56">
        <v>221</v>
      </c>
      <c r="AC223" s="56"/>
      <c r="AD223" s="56"/>
      <c r="AF223" s="2">
        <v>93</v>
      </c>
      <c r="AG223" s="2">
        <v>159</v>
      </c>
      <c r="AH223" s="2">
        <v>165</v>
      </c>
      <c r="AM223" s="102">
        <f t="shared" si="47"/>
        <v>1747</v>
      </c>
      <c r="AN223" s="257">
        <f t="shared" si="48"/>
        <v>1747</v>
      </c>
      <c r="AO223" s="8"/>
      <c r="AP223" s="8"/>
      <c r="AQ223" s="2">
        <f t="shared" si="49"/>
        <v>1</v>
      </c>
      <c r="AR223" s="264"/>
      <c r="AS223" s="264"/>
      <c r="AT223" s="264"/>
      <c r="AU223" s="264"/>
      <c r="AV223" s="3">
        <f t="shared" si="42"/>
        <v>1747</v>
      </c>
      <c r="AW223" s="8">
        <f t="shared" si="50"/>
        <v>185</v>
      </c>
      <c r="AX223" s="11">
        <f t="shared" si="51"/>
        <v>0</v>
      </c>
      <c r="AY223" s="8">
        <f t="shared" si="52"/>
        <v>0</v>
      </c>
      <c r="AZ223" s="11"/>
      <c r="BD223" s="11"/>
      <c r="BG223" s="11"/>
      <c r="CG223" s="264"/>
      <c r="CH223" s="264"/>
      <c r="CI223" s="264"/>
      <c r="CJ223" s="264"/>
      <c r="CK223" s="264"/>
      <c r="DK223" s="12"/>
      <c r="DM223" s="2">
        <v>3</v>
      </c>
      <c r="DP223" s="249"/>
      <c r="DT223" s="11"/>
      <c r="DU223" s="11"/>
      <c r="DV223" s="11"/>
      <c r="DW223" s="3">
        <v>18.600000000000001</v>
      </c>
    </row>
    <row r="224" spans="1:130">
      <c r="A224" s="102">
        <v>94</v>
      </c>
      <c r="B224" s="56">
        <v>3</v>
      </c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1"/>
      <c r="Q224" s="11"/>
      <c r="R224" s="10"/>
      <c r="S224" s="249"/>
      <c r="T224" s="56">
        <v>0</v>
      </c>
      <c r="U224" s="56">
        <v>0</v>
      </c>
      <c r="V224" s="56">
        <v>0</v>
      </c>
      <c r="W224" s="56"/>
      <c r="X224" s="56"/>
      <c r="Y224" s="56"/>
      <c r="Z224" s="56">
        <v>0</v>
      </c>
      <c r="AA224" s="56">
        <v>0</v>
      </c>
      <c r="AB224" s="56">
        <v>0</v>
      </c>
      <c r="AC224" s="56"/>
      <c r="AD224" s="56"/>
      <c r="AF224" s="2">
        <v>0</v>
      </c>
      <c r="AG224" s="2">
        <v>0</v>
      </c>
      <c r="AH224" s="2">
        <v>0</v>
      </c>
      <c r="AM224" s="102">
        <f t="shared" si="47"/>
        <v>0</v>
      </c>
      <c r="AN224" s="257">
        <f t="shared" si="48"/>
        <v>0</v>
      </c>
      <c r="AO224" s="8"/>
      <c r="AP224" s="8"/>
      <c r="AQ224" s="2">
        <f t="shared" si="49"/>
        <v>1</v>
      </c>
      <c r="AR224" s="264"/>
      <c r="AS224" s="264"/>
      <c r="AT224" s="264"/>
      <c r="AU224" s="264"/>
      <c r="AV224" s="3">
        <f t="shared" si="42"/>
        <v>0</v>
      </c>
      <c r="AW224" s="8">
        <f t="shared" si="50"/>
        <v>0</v>
      </c>
      <c r="AX224" s="11">
        <f t="shared" si="51"/>
        <v>0</v>
      </c>
      <c r="AY224" s="8">
        <f t="shared" si="52"/>
        <v>0</v>
      </c>
      <c r="AZ224" s="11"/>
      <c r="BD224" s="11"/>
      <c r="BG224" s="11"/>
      <c r="CG224" s="264"/>
      <c r="CH224" s="264"/>
      <c r="CI224" s="264"/>
      <c r="CJ224" s="264"/>
      <c r="CK224" s="264"/>
      <c r="DK224" s="12"/>
      <c r="DM224" s="2">
        <v>3</v>
      </c>
      <c r="DP224" s="249"/>
      <c r="DT224" s="11"/>
      <c r="DU224" s="11"/>
      <c r="DV224" s="11"/>
      <c r="DW224" s="3">
        <v>9.1999999999999993</v>
      </c>
    </row>
    <row r="225" spans="1:127">
      <c r="A225" s="102">
        <v>95</v>
      </c>
      <c r="B225" s="56">
        <v>3</v>
      </c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1"/>
      <c r="Q225" s="11"/>
      <c r="R225" s="10"/>
      <c r="S225" s="249"/>
      <c r="T225" s="56">
        <v>255</v>
      </c>
      <c r="U225" s="56">
        <v>183</v>
      </c>
      <c r="V225" s="56">
        <v>308</v>
      </c>
      <c r="W225" s="56"/>
      <c r="X225" s="56"/>
      <c r="Y225" s="56"/>
      <c r="Z225" s="56">
        <v>86</v>
      </c>
      <c r="AA225" s="56">
        <v>221</v>
      </c>
      <c r="AB225" s="56">
        <v>241</v>
      </c>
      <c r="AC225" s="56"/>
      <c r="AD225" s="56"/>
      <c r="AF225" s="2">
        <v>112</v>
      </c>
      <c r="AG225" s="2">
        <v>168</v>
      </c>
      <c r="AH225" s="2">
        <v>185</v>
      </c>
      <c r="AM225" s="102">
        <f t="shared" si="47"/>
        <v>1759</v>
      </c>
      <c r="AN225" s="257">
        <f t="shared" si="48"/>
        <v>1759</v>
      </c>
      <c r="AO225" s="8"/>
      <c r="AP225" s="8"/>
      <c r="AQ225" s="2">
        <f t="shared" si="49"/>
        <v>1</v>
      </c>
      <c r="AR225" s="264"/>
      <c r="AS225" s="264"/>
      <c r="AT225" s="264"/>
      <c r="AU225" s="264"/>
      <c r="AV225" s="3">
        <f t="shared" si="42"/>
        <v>1759</v>
      </c>
      <c r="AW225" s="8">
        <f t="shared" si="50"/>
        <v>255</v>
      </c>
      <c r="AX225" s="11">
        <f t="shared" si="51"/>
        <v>0</v>
      </c>
      <c r="AY225" s="8">
        <f t="shared" si="52"/>
        <v>0</v>
      </c>
      <c r="AZ225" s="11"/>
      <c r="BD225" s="11"/>
      <c r="BG225" s="11"/>
      <c r="CG225" s="264"/>
      <c r="CH225" s="264"/>
      <c r="CI225" s="264"/>
      <c r="CJ225" s="264"/>
      <c r="CK225" s="264"/>
      <c r="DK225" s="12"/>
      <c r="DM225" s="2">
        <v>3</v>
      </c>
      <c r="DP225" s="249"/>
      <c r="DT225" s="11"/>
      <c r="DU225" s="11"/>
      <c r="DV225" s="11"/>
      <c r="DW225" s="3">
        <v>19</v>
      </c>
    </row>
    <row r="226" spans="1:127">
      <c r="A226" s="102">
        <v>96</v>
      </c>
      <c r="B226" s="56">
        <v>3</v>
      </c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1"/>
      <c r="Q226" s="11"/>
      <c r="R226" s="10"/>
      <c r="S226" s="249"/>
      <c r="T226" s="56">
        <v>211</v>
      </c>
      <c r="U226" s="56">
        <v>233</v>
      </c>
      <c r="V226" s="56">
        <v>270</v>
      </c>
      <c r="W226" s="56"/>
      <c r="X226" s="56"/>
      <c r="Y226" s="56"/>
      <c r="Z226" s="56">
        <v>98</v>
      </c>
      <c r="AA226" s="56">
        <v>210</v>
      </c>
      <c r="AB226" s="56">
        <v>267</v>
      </c>
      <c r="AC226" s="56"/>
      <c r="AD226" s="56"/>
      <c r="AF226" s="2">
        <v>94</v>
      </c>
      <c r="AG226" s="2">
        <v>155</v>
      </c>
      <c r="AH226" s="2">
        <v>208</v>
      </c>
      <c r="AM226" s="102">
        <f t="shared" si="47"/>
        <v>1746</v>
      </c>
      <c r="AN226" s="257">
        <f t="shared" si="48"/>
        <v>1746</v>
      </c>
      <c r="AO226" s="8"/>
      <c r="AP226" s="8"/>
      <c r="AQ226" s="2">
        <f t="shared" si="49"/>
        <v>1</v>
      </c>
      <c r="AR226" s="264"/>
      <c r="AS226" s="264"/>
      <c r="AT226" s="264"/>
      <c r="AU226" s="264"/>
      <c r="AV226" s="3">
        <f t="shared" si="42"/>
        <v>1746</v>
      </c>
      <c r="AW226" s="8">
        <f t="shared" si="50"/>
        <v>211</v>
      </c>
      <c r="AX226" s="11">
        <f t="shared" si="51"/>
        <v>0</v>
      </c>
      <c r="AY226" s="8">
        <f t="shared" si="52"/>
        <v>0</v>
      </c>
      <c r="AZ226" s="11"/>
      <c r="BD226" s="11"/>
      <c r="BG226" s="11"/>
      <c r="CG226" s="264"/>
      <c r="CH226" s="264"/>
      <c r="CI226" s="264"/>
      <c r="CJ226" s="264"/>
      <c r="CK226" s="264"/>
      <c r="DK226" s="12"/>
      <c r="DM226" s="2">
        <v>3</v>
      </c>
      <c r="DP226" s="249"/>
      <c r="DT226" s="11"/>
      <c r="DU226" s="11"/>
      <c r="DV226" s="11"/>
      <c r="DW226" s="3">
        <v>18.7</v>
      </c>
    </row>
    <row r="227" spans="1:127">
      <c r="A227" s="102">
        <v>97</v>
      </c>
      <c r="B227" s="56">
        <v>3</v>
      </c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1"/>
      <c r="Q227" s="11"/>
      <c r="R227" s="10"/>
      <c r="S227" s="249"/>
      <c r="T227" s="56">
        <v>190</v>
      </c>
      <c r="U227" s="56">
        <v>199</v>
      </c>
      <c r="V227" s="56">
        <v>264</v>
      </c>
      <c r="W227" s="56"/>
      <c r="X227" s="56"/>
      <c r="Y227" s="56"/>
      <c r="Z227" s="56">
        <v>103</v>
      </c>
      <c r="AA227" s="56">
        <v>104</v>
      </c>
      <c r="AB227" s="56">
        <v>255</v>
      </c>
      <c r="AC227" s="56"/>
      <c r="AD227" s="56"/>
      <c r="AF227" s="2">
        <v>83</v>
      </c>
      <c r="AG227" s="2">
        <v>111</v>
      </c>
      <c r="AH227" s="2">
        <v>186</v>
      </c>
      <c r="AM227" s="102">
        <f t="shared" si="47"/>
        <v>1495</v>
      </c>
      <c r="AN227" s="257">
        <f t="shared" si="48"/>
        <v>1495</v>
      </c>
      <c r="AO227" s="8"/>
      <c r="AP227" s="8"/>
      <c r="AQ227" s="2">
        <f t="shared" si="49"/>
        <v>1</v>
      </c>
      <c r="AR227" s="264"/>
      <c r="AS227" s="264"/>
      <c r="AT227" s="264"/>
      <c r="AU227" s="264"/>
      <c r="AV227" s="3">
        <f t="shared" si="42"/>
        <v>1495</v>
      </c>
      <c r="AW227" s="8">
        <f t="shared" si="50"/>
        <v>190</v>
      </c>
      <c r="AX227" s="11">
        <f t="shared" si="51"/>
        <v>0</v>
      </c>
      <c r="AY227" s="8">
        <f t="shared" si="52"/>
        <v>0</v>
      </c>
      <c r="AZ227" s="11"/>
      <c r="BD227" s="11"/>
      <c r="BG227" s="11"/>
      <c r="CG227" s="264"/>
      <c r="CH227" s="264"/>
      <c r="CI227" s="264"/>
      <c r="CJ227" s="264"/>
      <c r="CK227" s="264"/>
      <c r="DK227" s="12"/>
      <c r="DM227" s="2">
        <v>3</v>
      </c>
      <c r="DP227" s="249"/>
      <c r="DT227" s="11"/>
      <c r="DU227" s="11"/>
      <c r="DV227" s="11"/>
      <c r="DW227" s="3">
        <v>23.5</v>
      </c>
    </row>
    <row r="228" spans="1:127">
      <c r="A228" s="102">
        <v>98</v>
      </c>
      <c r="B228" s="56">
        <v>3</v>
      </c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1"/>
      <c r="Q228" s="11"/>
      <c r="R228" s="10"/>
      <c r="S228" s="249"/>
      <c r="T228" s="56">
        <v>202</v>
      </c>
      <c r="U228" s="56">
        <v>188</v>
      </c>
      <c r="V228" s="56">
        <v>270</v>
      </c>
      <c r="W228" s="56"/>
      <c r="X228" s="56"/>
      <c r="Y228" s="56"/>
      <c r="Z228" s="56">
        <v>86</v>
      </c>
      <c r="AA228" s="56">
        <v>221</v>
      </c>
      <c r="AB228" s="56">
        <v>273</v>
      </c>
      <c r="AC228" s="56"/>
      <c r="AD228" s="56"/>
      <c r="AF228" s="2">
        <v>121</v>
      </c>
      <c r="AG228" s="2">
        <v>120</v>
      </c>
      <c r="AH228" s="2">
        <v>226</v>
      </c>
      <c r="AM228" s="102">
        <f t="shared" si="47"/>
        <v>1707</v>
      </c>
      <c r="AN228" s="257">
        <f t="shared" si="48"/>
        <v>1707</v>
      </c>
      <c r="AO228" s="8"/>
      <c r="AP228" s="8"/>
      <c r="AQ228" s="2">
        <f t="shared" si="49"/>
        <v>1</v>
      </c>
      <c r="AR228" s="264"/>
      <c r="AS228" s="264"/>
      <c r="AT228" s="264"/>
      <c r="AU228" s="264"/>
      <c r="AV228" s="3">
        <f t="shared" si="42"/>
        <v>1707</v>
      </c>
      <c r="AW228" s="8">
        <f t="shared" si="50"/>
        <v>202</v>
      </c>
      <c r="AX228" s="11">
        <f t="shared" si="51"/>
        <v>0</v>
      </c>
      <c r="AY228" s="8">
        <f t="shared" si="52"/>
        <v>0</v>
      </c>
      <c r="AZ228" s="11"/>
      <c r="BD228" s="11"/>
      <c r="BG228" s="11"/>
      <c r="CG228" s="264"/>
      <c r="CH228" s="264"/>
      <c r="CI228" s="264"/>
      <c r="CJ228" s="264"/>
      <c r="CK228" s="264"/>
      <c r="DK228" s="12"/>
      <c r="DM228" s="2">
        <v>3</v>
      </c>
      <c r="DP228" s="249"/>
      <c r="DT228" s="11"/>
      <c r="DU228" s="11"/>
      <c r="DV228" s="11"/>
      <c r="DW228" s="3">
        <v>18.7</v>
      </c>
    </row>
    <row r="229" spans="1:127">
      <c r="A229" s="102">
        <v>99</v>
      </c>
      <c r="B229" s="56">
        <v>3</v>
      </c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1"/>
      <c r="Q229" s="11"/>
      <c r="R229" s="10"/>
      <c r="S229" s="249"/>
      <c r="T229" s="56">
        <v>214</v>
      </c>
      <c r="U229" s="56">
        <v>168</v>
      </c>
      <c r="V229" s="56">
        <v>219</v>
      </c>
      <c r="W229" s="56"/>
      <c r="X229" s="56"/>
      <c r="Y229" s="56"/>
      <c r="Z229" s="56">
        <v>68</v>
      </c>
      <c r="AA229" s="56">
        <v>174</v>
      </c>
      <c r="AB229" s="56">
        <v>232</v>
      </c>
      <c r="AC229" s="56"/>
      <c r="AD229" s="56"/>
      <c r="AF229" s="2">
        <v>88</v>
      </c>
      <c r="AG229" s="2">
        <v>77</v>
      </c>
      <c r="AH229" s="2">
        <v>165</v>
      </c>
      <c r="AM229" s="102">
        <f t="shared" si="47"/>
        <v>1405</v>
      </c>
      <c r="AN229" s="257">
        <f t="shared" si="48"/>
        <v>1405</v>
      </c>
      <c r="AO229" s="8"/>
      <c r="AP229" s="8"/>
      <c r="AQ229" s="2">
        <f t="shared" si="49"/>
        <v>1</v>
      </c>
      <c r="AR229" s="264"/>
      <c r="AS229" s="264"/>
      <c r="AT229" s="264"/>
      <c r="AU229" s="264"/>
      <c r="AV229" s="3">
        <f t="shared" si="42"/>
        <v>1405</v>
      </c>
      <c r="AW229" s="8">
        <f t="shared" si="50"/>
        <v>214</v>
      </c>
      <c r="AX229" s="11">
        <f t="shared" si="51"/>
        <v>0</v>
      </c>
      <c r="AY229" s="8">
        <f t="shared" si="52"/>
        <v>0</v>
      </c>
      <c r="AZ229" s="11"/>
      <c r="BD229" s="11"/>
      <c r="BG229" s="11"/>
      <c r="CG229" s="264"/>
      <c r="CH229" s="264"/>
      <c r="CI229" s="264"/>
      <c r="CJ229" s="264"/>
      <c r="CK229" s="264"/>
      <c r="DK229" s="12"/>
      <c r="DM229" s="2">
        <v>3</v>
      </c>
      <c r="DP229" s="249"/>
      <c r="DT229" s="11"/>
      <c r="DU229" s="11"/>
      <c r="DV229" s="11"/>
      <c r="DW229" s="3">
        <v>13.6</v>
      </c>
    </row>
    <row r="230" spans="1:127">
      <c r="A230" s="102">
        <v>100</v>
      </c>
      <c r="B230" s="56">
        <v>3</v>
      </c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1"/>
      <c r="Q230" s="11"/>
      <c r="R230" s="10"/>
      <c r="S230" s="249"/>
      <c r="T230" s="56">
        <v>217</v>
      </c>
      <c r="U230" s="56">
        <v>189</v>
      </c>
      <c r="V230" s="56">
        <v>310</v>
      </c>
      <c r="W230" s="56"/>
      <c r="X230" s="56"/>
      <c r="Y230" s="56"/>
      <c r="Z230" s="56">
        <v>80</v>
      </c>
      <c r="AA230" s="56">
        <v>204</v>
      </c>
      <c r="AB230" s="56">
        <v>302</v>
      </c>
      <c r="AC230" s="56"/>
      <c r="AD230" s="56"/>
      <c r="AF230" s="2">
        <v>87</v>
      </c>
      <c r="AG230" s="2">
        <v>93</v>
      </c>
      <c r="AH230" s="2">
        <v>160</v>
      </c>
      <c r="AM230" s="102">
        <f t="shared" si="47"/>
        <v>1642</v>
      </c>
      <c r="AN230" s="257">
        <f t="shared" si="48"/>
        <v>1642</v>
      </c>
      <c r="AO230" s="8"/>
      <c r="AP230" s="8"/>
      <c r="AQ230" s="2">
        <f t="shared" si="49"/>
        <v>1</v>
      </c>
      <c r="AR230" s="264"/>
      <c r="AS230" s="264"/>
      <c r="AT230" s="264"/>
      <c r="AU230" s="264"/>
      <c r="AV230" s="3">
        <f t="shared" si="42"/>
        <v>1642</v>
      </c>
      <c r="AW230" s="8">
        <f t="shared" si="50"/>
        <v>217</v>
      </c>
      <c r="AX230" s="11">
        <f t="shared" si="51"/>
        <v>0</v>
      </c>
      <c r="AY230" s="8">
        <f t="shared" si="52"/>
        <v>0</v>
      </c>
      <c r="AZ230" s="11"/>
      <c r="BD230" s="11"/>
      <c r="BG230" s="11"/>
      <c r="CG230" s="264"/>
      <c r="CH230" s="264"/>
      <c r="CI230" s="264"/>
      <c r="CJ230" s="264"/>
      <c r="CK230" s="264"/>
      <c r="DK230" s="12"/>
      <c r="DM230" s="2">
        <v>3</v>
      </c>
      <c r="DP230" s="249"/>
      <c r="DT230" s="11"/>
      <c r="DU230" s="11"/>
      <c r="DV230" s="11"/>
      <c r="DW230" s="3">
        <v>23</v>
      </c>
    </row>
    <row r="231" spans="1:127">
      <c r="A231" s="102">
        <v>101</v>
      </c>
      <c r="B231" s="56">
        <v>3</v>
      </c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1"/>
      <c r="Q231" s="11"/>
      <c r="R231" s="10"/>
      <c r="S231" s="249"/>
      <c r="T231" s="56">
        <v>224</v>
      </c>
      <c r="U231" s="56">
        <v>122</v>
      </c>
      <c r="V231" s="56">
        <v>264</v>
      </c>
      <c r="W231" s="56"/>
      <c r="X231" s="56"/>
      <c r="Y231" s="56"/>
      <c r="Z231" s="56">
        <v>70</v>
      </c>
      <c r="AA231" s="56">
        <v>182</v>
      </c>
      <c r="AB231" s="56">
        <v>307</v>
      </c>
      <c r="AC231" s="56"/>
      <c r="AD231" s="56"/>
      <c r="AF231" s="2">
        <v>96</v>
      </c>
      <c r="AG231" s="2">
        <v>239</v>
      </c>
      <c r="AH231" s="2">
        <v>272</v>
      </c>
      <c r="AM231" s="102">
        <f t="shared" si="47"/>
        <v>1776</v>
      </c>
      <c r="AN231" s="257">
        <f t="shared" si="48"/>
        <v>1776</v>
      </c>
      <c r="AO231" s="8"/>
      <c r="AP231" s="8"/>
      <c r="AQ231" s="2">
        <f t="shared" si="49"/>
        <v>1</v>
      </c>
      <c r="AR231" s="264"/>
      <c r="AS231" s="264"/>
      <c r="AT231" s="264"/>
      <c r="AU231" s="264"/>
      <c r="AV231" s="3">
        <f t="shared" si="42"/>
        <v>1776</v>
      </c>
      <c r="AW231" s="8">
        <f t="shared" si="50"/>
        <v>224</v>
      </c>
      <c r="AX231" s="11">
        <f t="shared" si="51"/>
        <v>0</v>
      </c>
      <c r="AY231" s="8">
        <f t="shared" si="52"/>
        <v>0</v>
      </c>
      <c r="AZ231" s="11"/>
      <c r="BD231" s="11"/>
      <c r="BG231" s="11"/>
      <c r="CG231" s="264"/>
      <c r="CH231" s="264"/>
      <c r="CI231" s="264"/>
      <c r="CJ231" s="264"/>
      <c r="CK231" s="264"/>
      <c r="DK231" s="12"/>
      <c r="DM231" s="2">
        <v>3</v>
      </c>
      <c r="DP231" s="249"/>
      <c r="DT231" s="11"/>
      <c r="DU231" s="11"/>
      <c r="DV231" s="11"/>
      <c r="DW231" s="3">
        <v>16.3</v>
      </c>
    </row>
    <row r="232" spans="1:127">
      <c r="A232" s="102">
        <v>102</v>
      </c>
      <c r="B232" s="56">
        <v>3</v>
      </c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1"/>
      <c r="Q232" s="11"/>
      <c r="R232" s="10"/>
      <c r="S232" s="249"/>
      <c r="T232" s="56">
        <v>0</v>
      </c>
      <c r="U232" s="56">
        <v>488</v>
      </c>
      <c r="V232" s="56">
        <v>215</v>
      </c>
      <c r="W232" s="56"/>
      <c r="X232" s="56"/>
      <c r="Y232" s="56"/>
      <c r="Z232" s="56">
        <v>91</v>
      </c>
      <c r="AA232" s="56">
        <v>174</v>
      </c>
      <c r="AB232" s="56">
        <v>253</v>
      </c>
      <c r="AC232" s="56"/>
      <c r="AD232" s="56"/>
      <c r="AF232" s="2">
        <v>97</v>
      </c>
      <c r="AG232" s="2">
        <v>201</v>
      </c>
      <c r="AH232" s="2">
        <v>214</v>
      </c>
      <c r="AM232" s="102">
        <f t="shared" si="47"/>
        <v>1733</v>
      </c>
      <c r="AN232" s="257">
        <f t="shared" si="48"/>
        <v>1733</v>
      </c>
      <c r="AO232" s="8"/>
      <c r="AP232" s="8"/>
      <c r="AQ232" s="2">
        <f t="shared" si="49"/>
        <v>1</v>
      </c>
      <c r="AR232" s="264"/>
      <c r="AS232" s="264"/>
      <c r="AT232" s="264"/>
      <c r="AU232" s="264"/>
      <c r="AV232" s="3">
        <f t="shared" si="42"/>
        <v>1733</v>
      </c>
      <c r="AW232" s="8">
        <f t="shared" si="50"/>
        <v>0</v>
      </c>
      <c r="AX232" s="11">
        <f t="shared" si="51"/>
        <v>0</v>
      </c>
      <c r="AY232" s="8">
        <f t="shared" si="52"/>
        <v>0</v>
      </c>
      <c r="AZ232" s="11"/>
      <c r="BD232" s="11"/>
      <c r="BG232" s="11"/>
      <c r="CG232" s="264"/>
      <c r="CH232" s="264"/>
      <c r="CI232" s="264"/>
      <c r="CJ232" s="264"/>
      <c r="CK232" s="264"/>
      <c r="DK232" s="12"/>
      <c r="DM232" s="2">
        <v>3</v>
      </c>
      <c r="DP232" s="249"/>
      <c r="DT232" s="11"/>
      <c r="DU232" s="11"/>
      <c r="DV232" s="11"/>
      <c r="DW232" s="3">
        <v>20.3</v>
      </c>
    </row>
    <row r="233" spans="1:127">
      <c r="A233" s="102">
        <v>103</v>
      </c>
      <c r="B233" s="56">
        <v>3</v>
      </c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1"/>
      <c r="Q233" s="11"/>
      <c r="R233" s="10"/>
      <c r="S233" s="249"/>
      <c r="T233" s="56">
        <v>289</v>
      </c>
      <c r="U233" s="56">
        <v>113</v>
      </c>
      <c r="V233" s="56">
        <v>336</v>
      </c>
      <c r="W233" s="56"/>
      <c r="X233" s="56"/>
      <c r="Y233" s="56"/>
      <c r="Z233" s="56">
        <v>110</v>
      </c>
      <c r="AA233" s="56">
        <v>187</v>
      </c>
      <c r="AB233" s="56">
        <v>333</v>
      </c>
      <c r="AC233" s="56"/>
      <c r="AD233" s="56"/>
      <c r="AF233" s="2">
        <v>117</v>
      </c>
      <c r="AG233" s="2">
        <v>225</v>
      </c>
      <c r="AH233" s="2">
        <v>235</v>
      </c>
      <c r="AM233" s="102">
        <f t="shared" si="47"/>
        <v>1945</v>
      </c>
      <c r="AN233" s="257">
        <f t="shared" si="48"/>
        <v>1945</v>
      </c>
      <c r="AO233" s="8"/>
      <c r="AP233" s="8"/>
      <c r="AQ233" s="2">
        <f t="shared" si="49"/>
        <v>1</v>
      </c>
      <c r="AR233" s="264"/>
      <c r="AS233" s="264"/>
      <c r="AT233" s="264"/>
      <c r="AU233" s="264"/>
      <c r="AV233" s="3">
        <f t="shared" si="42"/>
        <v>1945</v>
      </c>
      <c r="AW233" s="8">
        <f t="shared" si="50"/>
        <v>289</v>
      </c>
      <c r="AX233" s="11">
        <f t="shared" si="51"/>
        <v>0</v>
      </c>
      <c r="AY233" s="8">
        <f t="shared" si="52"/>
        <v>0</v>
      </c>
      <c r="AZ233" s="11"/>
      <c r="BD233" s="11"/>
      <c r="BG233" s="11"/>
      <c r="CG233" s="264"/>
      <c r="CH233" s="264"/>
      <c r="CI233" s="264"/>
      <c r="CJ233" s="264"/>
      <c r="CK233" s="264"/>
      <c r="DK233" s="12"/>
      <c r="DM233" s="2">
        <v>3</v>
      </c>
      <c r="DP233" s="249"/>
      <c r="DT233" s="11"/>
      <c r="DU233" s="11"/>
      <c r="DV233" s="11"/>
      <c r="DW233" s="3">
        <v>16.5</v>
      </c>
    </row>
    <row r="234" spans="1:127">
      <c r="A234" s="102">
        <v>104</v>
      </c>
      <c r="B234" s="56">
        <v>3</v>
      </c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1"/>
      <c r="Q234" s="11"/>
      <c r="R234" s="10"/>
      <c r="S234" s="249"/>
      <c r="T234" s="56">
        <v>248</v>
      </c>
      <c r="U234" s="56">
        <v>109</v>
      </c>
      <c r="V234" s="56">
        <v>196</v>
      </c>
      <c r="W234" s="56"/>
      <c r="X234" s="56"/>
      <c r="Y234" s="56"/>
      <c r="Z234" s="56">
        <v>0</v>
      </c>
      <c r="AA234" s="56">
        <v>109</v>
      </c>
      <c r="AB234" s="56">
        <v>524</v>
      </c>
      <c r="AC234" s="56"/>
      <c r="AD234" s="56"/>
      <c r="AF234" s="2">
        <v>95</v>
      </c>
      <c r="AG234" s="2">
        <v>96</v>
      </c>
      <c r="AH234" s="2">
        <v>132</v>
      </c>
      <c r="AM234" s="102">
        <f t="shared" si="47"/>
        <v>1509</v>
      </c>
      <c r="AN234" s="257">
        <f t="shared" si="48"/>
        <v>1509</v>
      </c>
      <c r="AO234" s="8"/>
      <c r="AP234" s="8"/>
      <c r="AQ234" s="2">
        <f t="shared" si="49"/>
        <v>1</v>
      </c>
      <c r="AR234" s="264"/>
      <c r="AS234" s="264"/>
      <c r="AT234" s="264"/>
      <c r="AU234" s="264"/>
      <c r="AV234" s="3">
        <f t="shared" si="42"/>
        <v>1509</v>
      </c>
      <c r="AW234" s="8">
        <f t="shared" si="50"/>
        <v>248</v>
      </c>
      <c r="AX234" s="11">
        <f t="shared" si="51"/>
        <v>0</v>
      </c>
      <c r="AY234" s="8">
        <f t="shared" si="52"/>
        <v>0</v>
      </c>
      <c r="AZ234" s="11"/>
      <c r="BD234" s="11"/>
      <c r="BG234" s="11"/>
      <c r="CG234" s="264"/>
      <c r="CH234" s="264"/>
      <c r="CI234" s="264"/>
      <c r="CJ234" s="264"/>
      <c r="CK234" s="264"/>
      <c r="DK234" s="12"/>
      <c r="DM234" s="2">
        <v>1</v>
      </c>
      <c r="DP234" s="249"/>
      <c r="DT234" s="11"/>
      <c r="DU234" s="11"/>
      <c r="DV234" s="11"/>
      <c r="DW234" s="3">
        <v>14</v>
      </c>
    </row>
    <row r="235" spans="1:127">
      <c r="A235" s="102">
        <v>105</v>
      </c>
      <c r="B235" s="56">
        <v>3</v>
      </c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1"/>
      <c r="Q235" s="11"/>
      <c r="R235" s="10"/>
      <c r="S235" s="249"/>
      <c r="T235" s="56">
        <v>127</v>
      </c>
      <c r="U235" s="56">
        <v>196</v>
      </c>
      <c r="V235" s="56">
        <v>224</v>
      </c>
      <c r="W235" s="56"/>
      <c r="X235" s="56"/>
      <c r="Y235" s="56"/>
      <c r="Z235" s="56">
        <v>67</v>
      </c>
      <c r="AA235" s="56">
        <v>195</v>
      </c>
      <c r="AB235" s="56">
        <v>280</v>
      </c>
      <c r="AC235" s="56"/>
      <c r="AD235" s="56"/>
      <c r="AF235" s="2">
        <v>95</v>
      </c>
      <c r="AG235" s="2">
        <v>110</v>
      </c>
      <c r="AH235" s="2">
        <v>194</v>
      </c>
      <c r="AM235" s="102">
        <f t="shared" si="47"/>
        <v>1488</v>
      </c>
      <c r="AN235" s="257">
        <f t="shared" si="48"/>
        <v>1488</v>
      </c>
      <c r="AO235" s="8"/>
      <c r="AP235" s="8"/>
      <c r="AQ235" s="2">
        <f t="shared" si="49"/>
        <v>1</v>
      </c>
      <c r="AR235" s="264"/>
      <c r="AS235" s="264"/>
      <c r="AT235" s="264"/>
      <c r="AU235" s="264"/>
      <c r="AV235" s="3">
        <f t="shared" si="42"/>
        <v>1488</v>
      </c>
      <c r="AW235" s="8">
        <f t="shared" si="50"/>
        <v>127</v>
      </c>
      <c r="AX235" s="11">
        <f t="shared" si="51"/>
        <v>0</v>
      </c>
      <c r="AY235" s="8">
        <f t="shared" si="52"/>
        <v>0</v>
      </c>
      <c r="AZ235" s="11"/>
      <c r="BD235" s="11"/>
      <c r="BG235" s="11"/>
      <c r="CG235" s="264"/>
      <c r="CH235" s="264"/>
      <c r="CI235" s="264"/>
      <c r="CJ235" s="264"/>
      <c r="CK235" s="264"/>
      <c r="DK235" s="12"/>
      <c r="DM235" s="2">
        <v>3</v>
      </c>
      <c r="DP235" s="249"/>
      <c r="DT235" s="11"/>
      <c r="DU235" s="11"/>
      <c r="DV235" s="11"/>
      <c r="DW235" s="3">
        <v>18.399999999999999</v>
      </c>
    </row>
    <row r="236" spans="1:127">
      <c r="A236" s="102">
        <v>106</v>
      </c>
      <c r="B236" s="56">
        <v>3</v>
      </c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1"/>
      <c r="Q236" s="11"/>
      <c r="R236" s="10"/>
      <c r="S236" s="249"/>
      <c r="T236" s="56">
        <v>267</v>
      </c>
      <c r="U236" s="56">
        <v>210</v>
      </c>
      <c r="V236" s="56">
        <v>158</v>
      </c>
      <c r="W236" s="56"/>
      <c r="X236" s="56"/>
      <c r="Y236" s="56"/>
      <c r="Z236" s="56">
        <v>162</v>
      </c>
      <c r="AA236" s="56">
        <v>254</v>
      </c>
      <c r="AB236" s="56">
        <v>312</v>
      </c>
      <c r="AC236" s="56"/>
      <c r="AD236" s="56"/>
      <c r="AF236" s="2">
        <v>115</v>
      </c>
      <c r="AG236" s="2">
        <v>191</v>
      </c>
      <c r="AH236" s="2">
        <v>171</v>
      </c>
      <c r="AM236" s="102">
        <f t="shared" si="47"/>
        <v>1840</v>
      </c>
      <c r="AN236" s="257">
        <f t="shared" si="48"/>
        <v>1840</v>
      </c>
      <c r="AO236" s="8"/>
      <c r="AP236" s="8"/>
      <c r="AQ236" s="2">
        <f t="shared" si="49"/>
        <v>1</v>
      </c>
      <c r="AR236" s="264"/>
      <c r="AS236" s="264"/>
      <c r="AT236" s="264"/>
      <c r="AU236" s="264"/>
      <c r="AV236" s="3">
        <f t="shared" si="42"/>
        <v>1840</v>
      </c>
      <c r="AW236" s="8">
        <f t="shared" si="50"/>
        <v>267</v>
      </c>
      <c r="AX236" s="11">
        <f t="shared" si="51"/>
        <v>0</v>
      </c>
      <c r="AY236" s="8">
        <f t="shared" si="52"/>
        <v>0</v>
      </c>
      <c r="AZ236" s="11"/>
      <c r="BD236" s="11"/>
      <c r="BG236" s="11"/>
      <c r="CG236" s="264"/>
      <c r="CH236" s="264"/>
      <c r="CI236" s="264"/>
      <c r="CJ236" s="264"/>
      <c r="CK236" s="264"/>
      <c r="DK236" s="12"/>
      <c r="DM236" s="2">
        <v>3</v>
      </c>
      <c r="DP236" s="249"/>
      <c r="DT236" s="11"/>
      <c r="DU236" s="11"/>
      <c r="DV236" s="11"/>
      <c r="DW236" s="3">
        <v>50.5</v>
      </c>
    </row>
    <row r="237" spans="1:127">
      <c r="A237" s="102">
        <v>107</v>
      </c>
      <c r="B237" s="56">
        <v>3</v>
      </c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1"/>
      <c r="Q237" s="11"/>
      <c r="R237" s="10"/>
      <c r="S237" s="249"/>
      <c r="T237" s="56">
        <v>248</v>
      </c>
      <c r="U237" s="56">
        <v>200</v>
      </c>
      <c r="V237" s="56">
        <v>345</v>
      </c>
      <c r="W237" s="56"/>
      <c r="X237" s="56"/>
      <c r="Y237" s="56"/>
      <c r="Z237" s="56">
        <v>85</v>
      </c>
      <c r="AA237" s="56">
        <v>198</v>
      </c>
      <c r="AB237" s="56">
        <v>255</v>
      </c>
      <c r="AC237" s="56"/>
      <c r="AD237" s="56"/>
      <c r="AF237" s="2">
        <v>116</v>
      </c>
      <c r="AG237" s="2">
        <v>90</v>
      </c>
      <c r="AH237" s="2">
        <v>164</v>
      </c>
      <c r="AM237" s="102">
        <f t="shared" si="47"/>
        <v>1701</v>
      </c>
      <c r="AN237" s="257">
        <f t="shared" si="48"/>
        <v>1701</v>
      </c>
      <c r="AO237" s="8"/>
      <c r="AP237" s="8"/>
      <c r="AQ237" s="2">
        <f t="shared" si="49"/>
        <v>1</v>
      </c>
      <c r="AR237" s="264"/>
      <c r="AS237" s="264"/>
      <c r="AT237" s="264"/>
      <c r="AU237" s="264"/>
      <c r="AV237" s="3">
        <f t="shared" si="42"/>
        <v>1701</v>
      </c>
      <c r="AW237" s="8">
        <f t="shared" si="50"/>
        <v>248</v>
      </c>
      <c r="AX237" s="11">
        <f t="shared" si="51"/>
        <v>0</v>
      </c>
      <c r="AY237" s="8">
        <f t="shared" si="52"/>
        <v>0</v>
      </c>
      <c r="AZ237" s="11"/>
      <c r="BD237" s="11"/>
      <c r="BG237" s="11"/>
      <c r="CG237" s="264"/>
      <c r="CH237" s="264"/>
      <c r="CI237" s="264"/>
      <c r="CJ237" s="264"/>
      <c r="CK237" s="264"/>
      <c r="DK237" s="12"/>
      <c r="DM237" s="2">
        <v>3</v>
      </c>
      <c r="DP237" s="249"/>
      <c r="DT237" s="11"/>
      <c r="DU237" s="11"/>
      <c r="DV237" s="11"/>
      <c r="DW237" s="3">
        <v>23.6</v>
      </c>
    </row>
    <row r="238" spans="1:127">
      <c r="A238" s="102">
        <v>108</v>
      </c>
      <c r="B238" s="56">
        <v>3</v>
      </c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1"/>
      <c r="Q238" s="11"/>
      <c r="R238" s="10"/>
      <c r="S238" s="249"/>
      <c r="T238" s="56">
        <v>312</v>
      </c>
      <c r="U238" s="56">
        <v>281</v>
      </c>
      <c r="V238" s="56">
        <v>410</v>
      </c>
      <c r="W238" s="56"/>
      <c r="X238" s="56"/>
      <c r="Y238" s="56"/>
      <c r="Z238" s="56">
        <v>115</v>
      </c>
      <c r="AA238" s="56">
        <v>272</v>
      </c>
      <c r="AB238" s="56">
        <v>296</v>
      </c>
      <c r="AC238" s="56"/>
      <c r="AD238" s="56"/>
      <c r="AF238" s="2">
        <v>128</v>
      </c>
      <c r="AG238" s="2">
        <v>224</v>
      </c>
      <c r="AH238" s="2">
        <v>233</v>
      </c>
      <c r="AM238" s="102">
        <f t="shared" si="47"/>
        <v>2271</v>
      </c>
      <c r="AN238" s="257">
        <f t="shared" si="48"/>
        <v>2271</v>
      </c>
      <c r="AO238" s="8"/>
      <c r="AP238" s="8"/>
      <c r="AQ238" s="2">
        <f t="shared" si="49"/>
        <v>1</v>
      </c>
      <c r="AR238" s="264"/>
      <c r="AS238" s="264"/>
      <c r="AT238" s="264"/>
      <c r="AU238" s="264"/>
      <c r="AV238" s="3">
        <f t="shared" si="42"/>
        <v>2271</v>
      </c>
      <c r="AW238" s="8">
        <f t="shared" si="50"/>
        <v>312</v>
      </c>
      <c r="AX238" s="11">
        <f t="shared" si="51"/>
        <v>0</v>
      </c>
      <c r="AY238" s="8">
        <f t="shared" si="52"/>
        <v>0</v>
      </c>
      <c r="AZ238" s="11"/>
      <c r="BD238" s="11"/>
      <c r="BG238" s="11"/>
      <c r="CG238" s="264"/>
      <c r="CH238" s="264"/>
      <c r="CI238" s="264"/>
      <c r="CJ238" s="264"/>
      <c r="CK238" s="264"/>
      <c r="DK238" s="12"/>
      <c r="DM238" s="2">
        <v>3</v>
      </c>
      <c r="DP238" s="249"/>
      <c r="DT238" s="11"/>
      <c r="DU238" s="11"/>
      <c r="DV238" s="11"/>
      <c r="DW238" s="3">
        <v>18</v>
      </c>
    </row>
    <row r="239" spans="1:127">
      <c r="A239" s="102">
        <v>109</v>
      </c>
      <c r="B239" s="56">
        <v>3</v>
      </c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1"/>
      <c r="Q239" s="11"/>
      <c r="R239" s="10"/>
      <c r="S239" s="249"/>
      <c r="T239" s="56">
        <v>279</v>
      </c>
      <c r="U239" s="56">
        <v>141</v>
      </c>
      <c r="V239" s="56">
        <v>260</v>
      </c>
      <c r="W239" s="56"/>
      <c r="X239" s="56"/>
      <c r="Y239" s="56"/>
      <c r="Z239" s="56">
        <v>121</v>
      </c>
      <c r="AA239" s="56">
        <v>211</v>
      </c>
      <c r="AB239" s="56">
        <v>360</v>
      </c>
      <c r="AC239" s="56"/>
      <c r="AD239" s="56"/>
      <c r="AF239" s="2">
        <v>102</v>
      </c>
      <c r="AG239" s="2">
        <v>164</v>
      </c>
      <c r="AH239" s="2">
        <v>216</v>
      </c>
      <c r="AM239" s="102">
        <f t="shared" si="47"/>
        <v>1854</v>
      </c>
      <c r="AN239" s="257">
        <f t="shared" si="48"/>
        <v>1854</v>
      </c>
      <c r="AO239" s="8"/>
      <c r="AP239" s="8"/>
      <c r="AQ239" s="2">
        <f t="shared" si="49"/>
        <v>1</v>
      </c>
      <c r="AR239" s="264"/>
      <c r="AS239" s="264"/>
      <c r="AT239" s="264"/>
      <c r="AU239" s="264"/>
      <c r="AV239" s="3">
        <f t="shared" si="42"/>
        <v>1854</v>
      </c>
      <c r="AW239" s="8">
        <f t="shared" si="50"/>
        <v>279</v>
      </c>
      <c r="AX239" s="11">
        <f t="shared" si="51"/>
        <v>0</v>
      </c>
      <c r="AY239" s="8">
        <f t="shared" si="52"/>
        <v>0</v>
      </c>
      <c r="AZ239" s="11"/>
      <c r="BD239" s="11"/>
      <c r="BG239" s="11"/>
      <c r="CG239" s="264"/>
      <c r="CH239" s="264"/>
      <c r="CI239" s="264"/>
      <c r="CJ239" s="264"/>
      <c r="CK239" s="264"/>
      <c r="DK239" s="12"/>
      <c r="DM239" s="2">
        <v>3</v>
      </c>
      <c r="DP239" s="249"/>
      <c r="DT239" s="11"/>
      <c r="DU239" s="11"/>
      <c r="DV239" s="11"/>
      <c r="DW239" s="3">
        <v>15.1</v>
      </c>
    </row>
    <row r="240" spans="1:127">
      <c r="A240" s="102">
        <v>110</v>
      </c>
      <c r="B240" s="56">
        <v>3</v>
      </c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1"/>
      <c r="Q240" s="11"/>
      <c r="R240" s="10"/>
      <c r="S240" s="249"/>
      <c r="T240" s="56">
        <v>237</v>
      </c>
      <c r="U240" s="56">
        <v>140</v>
      </c>
      <c r="V240" s="56">
        <v>250</v>
      </c>
      <c r="W240" s="56"/>
      <c r="X240" s="56"/>
      <c r="Y240" s="56"/>
      <c r="Z240" s="56">
        <v>114</v>
      </c>
      <c r="AA240" s="56">
        <v>187</v>
      </c>
      <c r="AB240" s="56">
        <v>262</v>
      </c>
      <c r="AC240" s="56"/>
      <c r="AD240" s="56"/>
      <c r="AF240" s="2">
        <v>116</v>
      </c>
      <c r="AG240" s="2">
        <v>112</v>
      </c>
      <c r="AH240" s="2">
        <v>153</v>
      </c>
      <c r="AM240" s="102">
        <f t="shared" si="47"/>
        <v>1571</v>
      </c>
      <c r="AN240" s="257">
        <f t="shared" si="48"/>
        <v>1571</v>
      </c>
      <c r="AO240" s="8"/>
      <c r="AP240" s="8"/>
      <c r="AQ240" s="2">
        <f t="shared" si="49"/>
        <v>1</v>
      </c>
      <c r="AR240" s="264"/>
      <c r="AS240" s="264"/>
      <c r="AT240" s="264"/>
      <c r="AU240" s="264"/>
      <c r="AV240" s="3">
        <f t="shared" si="42"/>
        <v>1571</v>
      </c>
      <c r="AW240" s="8">
        <f t="shared" si="50"/>
        <v>237</v>
      </c>
      <c r="AX240" s="11">
        <f t="shared" si="51"/>
        <v>0</v>
      </c>
      <c r="AY240" s="8">
        <f t="shared" si="52"/>
        <v>0</v>
      </c>
      <c r="AZ240" s="11"/>
      <c r="BD240" s="11"/>
      <c r="BG240" s="11"/>
      <c r="CG240" s="264"/>
      <c r="CH240" s="264"/>
      <c r="CI240" s="264"/>
      <c r="CJ240" s="264"/>
      <c r="CK240" s="264"/>
      <c r="DK240" s="12"/>
      <c r="DM240" s="2">
        <v>3</v>
      </c>
      <c r="DP240" s="249"/>
      <c r="DT240" s="11"/>
      <c r="DU240" s="11"/>
      <c r="DV240" s="11"/>
      <c r="DW240" s="3">
        <v>15.3</v>
      </c>
    </row>
    <row r="241" spans="1:127">
      <c r="A241" s="102">
        <v>111</v>
      </c>
      <c r="B241" s="56">
        <v>3</v>
      </c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1"/>
      <c r="Q241" s="11"/>
      <c r="R241" s="10"/>
      <c r="S241" s="249"/>
      <c r="T241" s="56">
        <v>242</v>
      </c>
      <c r="U241" s="56">
        <v>127</v>
      </c>
      <c r="V241" s="56">
        <v>289</v>
      </c>
      <c r="W241" s="56"/>
      <c r="X241" s="56"/>
      <c r="Y241" s="56"/>
      <c r="Z241" s="56">
        <v>119</v>
      </c>
      <c r="AA241" s="56">
        <v>249</v>
      </c>
      <c r="AB241" s="56">
        <v>287</v>
      </c>
      <c r="AC241" s="56"/>
      <c r="AD241" s="56"/>
      <c r="AF241" s="2">
        <v>108</v>
      </c>
      <c r="AG241" s="2">
        <v>111</v>
      </c>
      <c r="AH241" s="2">
        <v>230</v>
      </c>
      <c r="AM241" s="102">
        <f t="shared" si="47"/>
        <v>1762</v>
      </c>
      <c r="AN241" s="257">
        <f t="shared" si="48"/>
        <v>1762</v>
      </c>
      <c r="AO241" s="8"/>
      <c r="AP241" s="8"/>
      <c r="AQ241" s="2">
        <f t="shared" si="49"/>
        <v>1</v>
      </c>
      <c r="AR241" s="264"/>
      <c r="AS241" s="264"/>
      <c r="AT241" s="264"/>
      <c r="AU241" s="264"/>
      <c r="AV241" s="3">
        <f t="shared" si="42"/>
        <v>1762</v>
      </c>
      <c r="AW241" s="8">
        <f t="shared" si="50"/>
        <v>242</v>
      </c>
      <c r="AX241" s="11">
        <f t="shared" si="51"/>
        <v>0</v>
      </c>
      <c r="AY241" s="8">
        <f t="shared" si="52"/>
        <v>0</v>
      </c>
      <c r="AZ241" s="11"/>
      <c r="BD241" s="11"/>
      <c r="BG241" s="11"/>
      <c r="CG241" s="264"/>
      <c r="CH241" s="264"/>
      <c r="CI241" s="264"/>
      <c r="CJ241" s="264"/>
      <c r="CK241" s="264"/>
      <c r="DK241" s="12"/>
      <c r="DM241" s="2">
        <v>3</v>
      </c>
      <c r="DP241" s="249"/>
      <c r="DT241" s="11"/>
      <c r="DU241" s="11"/>
      <c r="DV241" s="11"/>
      <c r="DW241" s="3">
        <v>15.7</v>
      </c>
    </row>
    <row r="242" spans="1:127">
      <c r="A242" s="102">
        <v>112</v>
      </c>
      <c r="B242" s="56">
        <v>3</v>
      </c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1"/>
      <c r="Q242" s="11"/>
      <c r="R242" s="10"/>
      <c r="S242" s="249"/>
      <c r="T242" s="56">
        <v>192</v>
      </c>
      <c r="U242" s="56">
        <v>133</v>
      </c>
      <c r="V242" s="56">
        <v>305</v>
      </c>
      <c r="W242" s="56"/>
      <c r="X242" s="56"/>
      <c r="Y242" s="56"/>
      <c r="Z242" s="56">
        <v>120</v>
      </c>
      <c r="AA242" s="56">
        <v>253</v>
      </c>
      <c r="AB242" s="56">
        <v>276</v>
      </c>
      <c r="AC242" s="56"/>
      <c r="AD242" s="56"/>
      <c r="AF242" s="2">
        <v>108</v>
      </c>
      <c r="AG242" s="2">
        <v>109</v>
      </c>
      <c r="AH242" s="2">
        <v>234</v>
      </c>
      <c r="AM242" s="102">
        <f t="shared" si="47"/>
        <v>1730</v>
      </c>
      <c r="AN242" s="257">
        <f t="shared" si="48"/>
        <v>1730</v>
      </c>
      <c r="AO242" s="8"/>
      <c r="AP242" s="8"/>
      <c r="AQ242" s="2">
        <f t="shared" si="49"/>
        <v>1</v>
      </c>
      <c r="AR242" s="264"/>
      <c r="AS242" s="264"/>
      <c r="AT242" s="264"/>
      <c r="AU242" s="264"/>
      <c r="AV242" s="3">
        <f t="shared" si="42"/>
        <v>1730</v>
      </c>
      <c r="AW242" s="8">
        <f t="shared" si="50"/>
        <v>192</v>
      </c>
      <c r="AX242" s="11">
        <f t="shared" si="51"/>
        <v>0</v>
      </c>
      <c r="AY242" s="8">
        <f t="shared" si="52"/>
        <v>0</v>
      </c>
      <c r="AZ242" s="11"/>
      <c r="BD242" s="11"/>
      <c r="BG242" s="11"/>
      <c r="CG242" s="264"/>
      <c r="CH242" s="264"/>
      <c r="CI242" s="264"/>
      <c r="CJ242" s="264"/>
      <c r="CK242" s="264"/>
      <c r="DK242" s="12"/>
      <c r="DM242" s="2">
        <v>3</v>
      </c>
      <c r="DP242" s="249"/>
      <c r="DT242" s="11"/>
      <c r="DU242" s="11"/>
      <c r="DV242" s="11"/>
      <c r="DW242" s="3">
        <v>16.7</v>
      </c>
    </row>
    <row r="243" spans="1:127">
      <c r="A243" s="102">
        <v>113</v>
      </c>
      <c r="B243" s="56">
        <v>3</v>
      </c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1"/>
      <c r="Q243" s="11"/>
      <c r="R243" s="10"/>
      <c r="S243" s="249"/>
      <c r="T243" s="56">
        <v>120</v>
      </c>
      <c r="U243" s="56">
        <v>313</v>
      </c>
      <c r="V243" s="56">
        <v>196</v>
      </c>
      <c r="W243" s="56"/>
      <c r="X243" s="56"/>
      <c r="Y243" s="56"/>
      <c r="Z243" s="56">
        <v>142</v>
      </c>
      <c r="AA243" s="56">
        <v>178</v>
      </c>
      <c r="AB243" s="56">
        <v>229</v>
      </c>
      <c r="AC243" s="56"/>
      <c r="AD243" s="56"/>
      <c r="AF243" s="2">
        <v>83</v>
      </c>
      <c r="AG243" s="2">
        <v>210</v>
      </c>
      <c r="AH243" s="2">
        <v>358</v>
      </c>
      <c r="AM243" s="102">
        <f t="shared" si="47"/>
        <v>1829</v>
      </c>
      <c r="AN243" s="257">
        <f t="shared" si="48"/>
        <v>1829</v>
      </c>
      <c r="AO243" s="8"/>
      <c r="AP243" s="8"/>
      <c r="AQ243" s="2">
        <f t="shared" si="49"/>
        <v>1</v>
      </c>
      <c r="AR243" s="264"/>
      <c r="AS243" s="264"/>
      <c r="AT243" s="264"/>
      <c r="AU243" s="264"/>
      <c r="AV243" s="3">
        <f t="shared" ref="AV243:AV265" si="53">AM243</f>
        <v>1829</v>
      </c>
      <c r="AW243" s="8">
        <f t="shared" si="50"/>
        <v>120</v>
      </c>
      <c r="AX243" s="11">
        <f t="shared" si="51"/>
        <v>0</v>
      </c>
      <c r="AY243" s="8">
        <f t="shared" si="52"/>
        <v>0</v>
      </c>
      <c r="AZ243" s="11"/>
      <c r="BD243" s="11"/>
      <c r="BG243" s="11"/>
      <c r="CG243" s="264"/>
      <c r="CH243" s="264"/>
      <c r="CI243" s="264"/>
      <c r="CJ243" s="264"/>
      <c r="CK243" s="264"/>
      <c r="DK243" s="12"/>
      <c r="DM243" s="2">
        <v>2</v>
      </c>
      <c r="DP243" s="249"/>
      <c r="DT243" s="11"/>
      <c r="DU243" s="11"/>
      <c r="DV243" s="11"/>
      <c r="DW243" s="3">
        <v>16.3</v>
      </c>
    </row>
    <row r="244" spans="1:127">
      <c r="A244" s="102">
        <v>114</v>
      </c>
      <c r="B244" s="56">
        <v>3</v>
      </c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1"/>
      <c r="Q244" s="11"/>
      <c r="R244" s="10"/>
      <c r="S244" s="249"/>
      <c r="T244" s="56">
        <v>185</v>
      </c>
      <c r="U244" s="56">
        <v>246</v>
      </c>
      <c r="V244" s="56">
        <v>257</v>
      </c>
      <c r="W244" s="56"/>
      <c r="X244" s="56"/>
      <c r="Y244" s="56"/>
      <c r="Z244" s="56">
        <v>106</v>
      </c>
      <c r="AA244" s="56">
        <v>220</v>
      </c>
      <c r="AB244" s="56">
        <v>211</v>
      </c>
      <c r="AC244" s="56"/>
      <c r="AD244" s="56"/>
      <c r="AF244" s="2">
        <v>86</v>
      </c>
      <c r="AG244" s="2">
        <v>138</v>
      </c>
      <c r="AH244" s="2">
        <v>246</v>
      </c>
      <c r="AM244" s="102">
        <f t="shared" si="47"/>
        <v>1695</v>
      </c>
      <c r="AN244" s="257">
        <f t="shared" si="48"/>
        <v>1695</v>
      </c>
      <c r="AO244" s="8"/>
      <c r="AP244" s="8"/>
      <c r="AQ244" s="2">
        <f t="shared" si="49"/>
        <v>1</v>
      </c>
      <c r="AR244" s="264"/>
      <c r="AS244" s="264"/>
      <c r="AT244" s="264"/>
      <c r="AU244" s="264"/>
      <c r="AV244" s="3">
        <f t="shared" si="53"/>
        <v>1695</v>
      </c>
      <c r="AW244" s="8">
        <f t="shared" si="50"/>
        <v>185</v>
      </c>
      <c r="AX244" s="11">
        <f t="shared" si="51"/>
        <v>0</v>
      </c>
      <c r="AY244" s="8">
        <f t="shared" si="52"/>
        <v>0</v>
      </c>
      <c r="AZ244" s="11"/>
      <c r="BD244" s="11"/>
      <c r="BG244" s="11"/>
      <c r="CG244" s="264"/>
      <c r="CH244" s="264"/>
      <c r="CI244" s="264"/>
      <c r="CJ244" s="264"/>
      <c r="CK244" s="264"/>
      <c r="DK244" s="12"/>
      <c r="DM244" s="2">
        <v>3</v>
      </c>
      <c r="DP244" s="249"/>
      <c r="DT244" s="11"/>
      <c r="DU244" s="11"/>
      <c r="DV244" s="11"/>
      <c r="DW244" s="3">
        <v>24.3</v>
      </c>
    </row>
    <row r="245" spans="1:127">
      <c r="A245" s="102">
        <v>115</v>
      </c>
      <c r="B245" s="56">
        <v>3</v>
      </c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1"/>
      <c r="Q245" s="11"/>
      <c r="R245" s="10"/>
      <c r="S245" s="249"/>
      <c r="T245" s="56">
        <v>247</v>
      </c>
      <c r="U245" s="56">
        <v>227</v>
      </c>
      <c r="V245" s="56">
        <v>279</v>
      </c>
      <c r="W245" s="56"/>
      <c r="X245" s="56"/>
      <c r="Y245" s="56"/>
      <c r="Z245" s="56">
        <v>107</v>
      </c>
      <c r="AA245" s="56">
        <v>238</v>
      </c>
      <c r="AB245" s="56">
        <v>220</v>
      </c>
      <c r="AC245" s="56"/>
      <c r="AD245" s="56"/>
      <c r="AF245" s="2">
        <v>110</v>
      </c>
      <c r="AG245" s="2">
        <v>149</v>
      </c>
      <c r="AH245" s="2">
        <v>280</v>
      </c>
      <c r="AM245" s="102">
        <f t="shared" si="47"/>
        <v>1857</v>
      </c>
      <c r="AN245" s="257">
        <f t="shared" si="48"/>
        <v>1857</v>
      </c>
      <c r="AO245" s="8"/>
      <c r="AP245" s="8"/>
      <c r="AQ245" s="2">
        <f t="shared" si="49"/>
        <v>1</v>
      </c>
      <c r="AR245" s="264"/>
      <c r="AS245" s="264"/>
      <c r="AT245" s="264"/>
      <c r="AU245" s="264"/>
      <c r="AV245" s="3">
        <f t="shared" si="53"/>
        <v>1857</v>
      </c>
      <c r="AW245" s="8">
        <f t="shared" si="50"/>
        <v>247</v>
      </c>
      <c r="AX245" s="11">
        <f t="shared" si="51"/>
        <v>0</v>
      </c>
      <c r="AY245" s="8">
        <f t="shared" si="52"/>
        <v>0</v>
      </c>
      <c r="AZ245" s="11"/>
      <c r="BD245" s="11"/>
      <c r="BG245" s="11"/>
      <c r="CG245" s="264"/>
      <c r="CH245" s="264"/>
      <c r="CI245" s="264"/>
      <c r="CJ245" s="264"/>
      <c r="CK245" s="264"/>
      <c r="DK245" s="12"/>
      <c r="DM245" s="2">
        <v>3</v>
      </c>
      <c r="DP245" s="249"/>
      <c r="DT245" s="11"/>
      <c r="DU245" s="11"/>
      <c r="DV245" s="11"/>
      <c r="DW245" s="3">
        <v>29.9</v>
      </c>
    </row>
    <row r="246" spans="1:127">
      <c r="A246" s="102">
        <v>116</v>
      </c>
      <c r="B246" s="56">
        <v>3</v>
      </c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1"/>
      <c r="Q246" s="11"/>
      <c r="R246" s="10"/>
      <c r="S246" s="249"/>
      <c r="T246" s="56">
        <v>206</v>
      </c>
      <c r="U246" s="56">
        <v>222</v>
      </c>
      <c r="V246" s="56">
        <v>273</v>
      </c>
      <c r="W246" s="56"/>
      <c r="X246" s="56"/>
      <c r="Y246" s="56"/>
      <c r="Z246" s="56">
        <v>108</v>
      </c>
      <c r="AA246" s="56">
        <v>238</v>
      </c>
      <c r="AB246" s="56">
        <v>229</v>
      </c>
      <c r="AC246" s="56"/>
      <c r="AD246" s="56"/>
      <c r="AF246" s="2">
        <v>105</v>
      </c>
      <c r="AG246" s="2">
        <v>148</v>
      </c>
      <c r="AH246" s="2">
        <v>234</v>
      </c>
      <c r="AM246" s="102">
        <f t="shared" si="47"/>
        <v>1763</v>
      </c>
      <c r="AN246" s="257">
        <f t="shared" si="48"/>
        <v>1763</v>
      </c>
      <c r="AO246" s="8"/>
      <c r="AP246" s="8"/>
      <c r="AQ246" s="2">
        <f t="shared" si="49"/>
        <v>1</v>
      </c>
      <c r="AR246" s="264"/>
      <c r="AS246" s="264"/>
      <c r="AT246" s="264"/>
      <c r="AU246" s="264"/>
      <c r="AV246" s="3">
        <f t="shared" si="53"/>
        <v>1763</v>
      </c>
      <c r="AW246" s="8">
        <f t="shared" si="50"/>
        <v>206</v>
      </c>
      <c r="AX246" s="11">
        <f t="shared" si="51"/>
        <v>0</v>
      </c>
      <c r="AY246" s="8">
        <f t="shared" si="52"/>
        <v>0</v>
      </c>
      <c r="AZ246" s="11"/>
      <c r="BD246" s="11"/>
      <c r="BG246" s="11"/>
      <c r="CG246" s="264"/>
      <c r="CH246" s="264"/>
      <c r="CI246" s="264"/>
      <c r="CJ246" s="264"/>
      <c r="CK246" s="264"/>
      <c r="DK246" s="12"/>
      <c r="DM246" s="2">
        <v>3</v>
      </c>
      <c r="DP246" s="249"/>
      <c r="DT246" s="11"/>
      <c r="DU246" s="11"/>
      <c r="DV246" s="11"/>
      <c r="DW246" s="3">
        <v>24.9</v>
      </c>
    </row>
    <row r="247" spans="1:127">
      <c r="A247" s="102">
        <v>117</v>
      </c>
      <c r="B247" s="56">
        <v>3</v>
      </c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1"/>
      <c r="Q247" s="11"/>
      <c r="R247" s="10"/>
      <c r="S247" s="249"/>
      <c r="T247" s="56">
        <v>205</v>
      </c>
      <c r="U247" s="56">
        <v>155</v>
      </c>
      <c r="V247" s="56">
        <v>209</v>
      </c>
      <c r="W247" s="56"/>
      <c r="X247" s="56"/>
      <c r="Y247" s="56"/>
      <c r="Z247" s="56">
        <v>71</v>
      </c>
      <c r="AA247" s="56">
        <v>182</v>
      </c>
      <c r="AB247" s="56">
        <v>236</v>
      </c>
      <c r="AC247" s="56"/>
      <c r="AD247" s="56"/>
      <c r="AF247" s="2">
        <v>77</v>
      </c>
      <c r="AG247" s="2">
        <v>80</v>
      </c>
      <c r="AH247" s="2">
        <v>163</v>
      </c>
      <c r="AM247" s="102">
        <f t="shared" si="47"/>
        <v>1378</v>
      </c>
      <c r="AN247" s="257">
        <f t="shared" si="48"/>
        <v>1378</v>
      </c>
      <c r="AO247" s="8"/>
      <c r="AP247" s="8"/>
      <c r="AQ247" s="2">
        <f t="shared" si="49"/>
        <v>1</v>
      </c>
      <c r="AR247" s="264"/>
      <c r="AS247" s="264"/>
      <c r="AT247" s="264"/>
      <c r="AU247" s="264"/>
      <c r="AV247" s="3">
        <f t="shared" si="53"/>
        <v>1378</v>
      </c>
      <c r="AW247" s="8">
        <f t="shared" si="50"/>
        <v>205</v>
      </c>
      <c r="AX247" s="11">
        <f t="shared" si="51"/>
        <v>0</v>
      </c>
      <c r="AY247" s="8">
        <f t="shared" si="52"/>
        <v>0</v>
      </c>
      <c r="AZ247" s="11"/>
      <c r="BD247" s="11"/>
      <c r="BG247" s="11"/>
      <c r="CG247" s="264"/>
      <c r="CH247" s="264"/>
      <c r="CI247" s="264"/>
      <c r="CJ247" s="264"/>
      <c r="CK247" s="264"/>
      <c r="DK247" s="12"/>
      <c r="DM247" s="2">
        <v>3</v>
      </c>
      <c r="DP247" s="249"/>
      <c r="DT247" s="11"/>
      <c r="DU247" s="11"/>
      <c r="DV247" s="11"/>
      <c r="DW247" s="3">
        <v>13.6</v>
      </c>
    </row>
    <row r="248" spans="1:127">
      <c r="A248" s="102">
        <v>118</v>
      </c>
      <c r="B248" s="56">
        <v>3</v>
      </c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1"/>
      <c r="Q248" s="11"/>
      <c r="R248" s="10"/>
      <c r="S248" s="249"/>
      <c r="T248" s="56">
        <v>248</v>
      </c>
      <c r="U248" s="56">
        <v>251</v>
      </c>
      <c r="V248" s="56">
        <v>295</v>
      </c>
      <c r="W248" s="56"/>
      <c r="X248" s="56"/>
      <c r="Y248" s="56"/>
      <c r="Z248" s="56">
        <v>101</v>
      </c>
      <c r="AA248" s="56">
        <v>156</v>
      </c>
      <c r="AB248" s="56">
        <v>202</v>
      </c>
      <c r="AC248" s="56"/>
      <c r="AD248" s="56"/>
      <c r="AF248" s="2">
        <v>70</v>
      </c>
      <c r="AG248" s="2">
        <v>158</v>
      </c>
      <c r="AH248" s="2">
        <v>233</v>
      </c>
      <c r="AM248" s="102">
        <f t="shared" si="47"/>
        <v>1714</v>
      </c>
      <c r="AN248" s="257">
        <f t="shared" si="48"/>
        <v>1714</v>
      </c>
      <c r="AO248" s="8"/>
      <c r="AP248" s="8"/>
      <c r="AQ248" s="2">
        <f t="shared" si="49"/>
        <v>1</v>
      </c>
      <c r="AR248" s="264"/>
      <c r="AS248" s="264"/>
      <c r="AT248" s="264"/>
      <c r="AU248" s="264"/>
      <c r="AV248" s="3">
        <f t="shared" si="53"/>
        <v>1714</v>
      </c>
      <c r="AW248" s="8">
        <f t="shared" si="50"/>
        <v>248</v>
      </c>
      <c r="AX248" s="11">
        <f t="shared" si="51"/>
        <v>0</v>
      </c>
      <c r="AY248" s="8">
        <f t="shared" si="52"/>
        <v>0</v>
      </c>
      <c r="AZ248" s="11"/>
      <c r="BD248" s="11"/>
      <c r="BG248" s="11"/>
      <c r="CG248" s="264"/>
      <c r="CH248" s="264"/>
      <c r="CI248" s="264"/>
      <c r="CJ248" s="264"/>
      <c r="CK248" s="264"/>
      <c r="DK248" s="12"/>
      <c r="DM248" s="2">
        <v>2</v>
      </c>
      <c r="DP248" s="249"/>
      <c r="DT248" s="11"/>
      <c r="DU248" s="11"/>
      <c r="DV248" s="11"/>
      <c r="DW248" s="3">
        <v>48</v>
      </c>
    </row>
    <row r="249" spans="1:127">
      <c r="A249" s="102">
        <v>119</v>
      </c>
      <c r="B249" s="56">
        <v>3</v>
      </c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1"/>
      <c r="Q249" s="11"/>
      <c r="R249" s="10"/>
      <c r="S249" s="249"/>
      <c r="T249" s="56">
        <v>171</v>
      </c>
      <c r="U249" s="56">
        <v>178</v>
      </c>
      <c r="V249" s="56">
        <v>238</v>
      </c>
      <c r="W249" s="56"/>
      <c r="X249" s="56"/>
      <c r="Y249" s="56"/>
      <c r="Z249" s="56">
        <v>0</v>
      </c>
      <c r="AA249" s="56">
        <v>262</v>
      </c>
      <c r="AB249" s="56">
        <v>120</v>
      </c>
      <c r="AC249" s="56"/>
      <c r="AD249" s="56"/>
      <c r="AF249" s="2">
        <v>90</v>
      </c>
      <c r="AG249" s="2">
        <v>160</v>
      </c>
      <c r="AH249" s="2">
        <v>209</v>
      </c>
      <c r="AM249" s="102">
        <f t="shared" si="47"/>
        <v>1428</v>
      </c>
      <c r="AN249" s="257">
        <f t="shared" si="48"/>
        <v>1428</v>
      </c>
      <c r="AO249" s="8"/>
      <c r="AP249" s="8"/>
      <c r="AQ249" s="2">
        <f t="shared" si="49"/>
        <v>1</v>
      </c>
      <c r="AR249" s="264"/>
      <c r="AS249" s="264"/>
      <c r="AT249" s="264"/>
      <c r="AU249" s="264"/>
      <c r="AV249" s="3">
        <f t="shared" si="53"/>
        <v>1428</v>
      </c>
      <c r="AW249" s="8">
        <f t="shared" si="50"/>
        <v>171</v>
      </c>
      <c r="AX249" s="11">
        <f t="shared" si="51"/>
        <v>0</v>
      </c>
      <c r="AY249" s="8">
        <f t="shared" si="52"/>
        <v>0</v>
      </c>
      <c r="AZ249" s="11"/>
      <c r="BD249" s="11"/>
      <c r="BG249" s="11"/>
      <c r="CG249" s="264"/>
      <c r="CH249" s="264"/>
      <c r="CI249" s="264"/>
      <c r="CJ249" s="264"/>
      <c r="CK249" s="264"/>
      <c r="DK249" s="12"/>
      <c r="DM249" s="2">
        <v>3</v>
      </c>
      <c r="DP249" s="249"/>
      <c r="DT249" s="11"/>
      <c r="DU249" s="11"/>
      <c r="DV249" s="11"/>
      <c r="DW249" s="3">
        <v>37.700000000000003</v>
      </c>
    </row>
    <row r="250" spans="1:127">
      <c r="A250" s="102">
        <v>120</v>
      </c>
      <c r="B250" s="56">
        <v>3</v>
      </c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1"/>
      <c r="Q250" s="11"/>
      <c r="R250" s="10"/>
      <c r="S250" s="249"/>
      <c r="T250" s="56">
        <v>173</v>
      </c>
      <c r="U250" s="56">
        <v>200</v>
      </c>
      <c r="V250" s="56">
        <v>213</v>
      </c>
      <c r="W250" s="56"/>
      <c r="X250" s="56"/>
      <c r="Y250" s="56"/>
      <c r="Z250" s="56">
        <v>98</v>
      </c>
      <c r="AA250" s="56">
        <v>198</v>
      </c>
      <c r="AB250" s="56">
        <v>247</v>
      </c>
      <c r="AC250" s="56"/>
      <c r="AD250" s="56"/>
      <c r="AF250" s="2">
        <v>93</v>
      </c>
      <c r="AG250" s="2">
        <v>191</v>
      </c>
      <c r="AH250" s="2">
        <v>278</v>
      </c>
      <c r="AM250" s="102">
        <f t="shared" si="47"/>
        <v>1691</v>
      </c>
      <c r="AN250" s="257">
        <f t="shared" si="48"/>
        <v>1691</v>
      </c>
      <c r="AO250" s="8"/>
      <c r="AP250" s="8"/>
      <c r="AQ250" s="2">
        <f t="shared" si="49"/>
        <v>1</v>
      </c>
      <c r="AR250" s="264"/>
      <c r="AS250" s="264"/>
      <c r="AT250" s="264"/>
      <c r="AU250" s="264"/>
      <c r="AV250" s="3">
        <f t="shared" si="53"/>
        <v>1691</v>
      </c>
      <c r="AW250" s="8">
        <f t="shared" si="50"/>
        <v>173</v>
      </c>
      <c r="AX250" s="11">
        <f t="shared" si="51"/>
        <v>0</v>
      </c>
      <c r="AY250" s="8">
        <f t="shared" si="52"/>
        <v>0</v>
      </c>
      <c r="AZ250" s="11"/>
      <c r="BD250" s="11"/>
      <c r="BG250" s="11"/>
      <c r="CG250" s="264"/>
      <c r="CH250" s="264"/>
      <c r="CI250" s="264"/>
      <c r="CJ250" s="264"/>
      <c r="CK250" s="264"/>
      <c r="DK250" s="12"/>
      <c r="DM250" s="2">
        <v>3</v>
      </c>
      <c r="DP250" s="249"/>
      <c r="DT250" s="11"/>
      <c r="DU250" s="11"/>
      <c r="DV250" s="11"/>
      <c r="DW250" s="3">
        <v>32</v>
      </c>
    </row>
    <row r="251" spans="1:127">
      <c r="A251" s="102">
        <v>121</v>
      </c>
      <c r="B251" s="56">
        <v>3</v>
      </c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1"/>
      <c r="Q251" s="11"/>
      <c r="R251" s="10"/>
      <c r="S251" s="249"/>
      <c r="T251" s="56">
        <v>203</v>
      </c>
      <c r="U251" s="56">
        <v>206</v>
      </c>
      <c r="V251" s="56">
        <v>399</v>
      </c>
      <c r="W251" s="56"/>
      <c r="X251" s="56"/>
      <c r="Y251" s="56"/>
      <c r="Z251" s="56">
        <v>0</v>
      </c>
      <c r="AA251" s="56">
        <v>206</v>
      </c>
      <c r="AB251" s="56">
        <v>259</v>
      </c>
      <c r="AC251" s="56"/>
      <c r="AD251" s="56"/>
      <c r="AF251" s="2">
        <v>96</v>
      </c>
      <c r="AG251" s="2">
        <v>158</v>
      </c>
      <c r="AH251" s="2">
        <v>251</v>
      </c>
      <c r="AM251" s="102">
        <f t="shared" si="47"/>
        <v>1778</v>
      </c>
      <c r="AN251" s="257">
        <f t="shared" si="48"/>
        <v>1778</v>
      </c>
      <c r="AO251" s="8"/>
      <c r="AP251" s="8"/>
      <c r="AQ251" s="2">
        <f t="shared" si="49"/>
        <v>1</v>
      </c>
      <c r="AR251" s="264"/>
      <c r="AS251" s="264"/>
      <c r="AT251" s="264"/>
      <c r="AU251" s="264"/>
      <c r="AV251" s="3">
        <f t="shared" si="53"/>
        <v>1778</v>
      </c>
      <c r="AW251" s="8">
        <f t="shared" si="50"/>
        <v>203</v>
      </c>
      <c r="AX251" s="11">
        <f t="shared" si="51"/>
        <v>0</v>
      </c>
      <c r="AY251" s="8">
        <f t="shared" si="52"/>
        <v>0</v>
      </c>
      <c r="AZ251" s="11"/>
      <c r="BD251" s="11"/>
      <c r="BG251" s="11"/>
      <c r="CG251" s="264"/>
      <c r="CH251" s="264"/>
      <c r="CI251" s="264"/>
      <c r="CJ251" s="264"/>
      <c r="CK251" s="264"/>
      <c r="DK251" s="12"/>
      <c r="DM251" s="2">
        <v>3</v>
      </c>
      <c r="DP251" s="249"/>
      <c r="DT251" s="11"/>
      <c r="DU251" s="11"/>
      <c r="DV251" s="11"/>
      <c r="DW251" s="3">
        <v>15.4</v>
      </c>
    </row>
    <row r="252" spans="1:127">
      <c r="A252" s="102">
        <v>122</v>
      </c>
      <c r="B252" s="56">
        <v>3</v>
      </c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1"/>
      <c r="Q252" s="11"/>
      <c r="R252" s="10"/>
      <c r="S252" s="249"/>
      <c r="T252" s="56">
        <v>242</v>
      </c>
      <c r="U252" s="56">
        <v>278</v>
      </c>
      <c r="V252" s="56">
        <v>457</v>
      </c>
      <c r="W252" s="56"/>
      <c r="X252" s="56"/>
      <c r="Y252" s="56"/>
      <c r="Z252" s="56">
        <v>254</v>
      </c>
      <c r="AA252" s="56">
        <v>231</v>
      </c>
      <c r="AB252" s="56">
        <v>372</v>
      </c>
      <c r="AC252" s="56"/>
      <c r="AD252" s="56"/>
      <c r="AF252" s="2">
        <v>185</v>
      </c>
      <c r="AG252" s="2">
        <v>209</v>
      </c>
      <c r="AH252" s="2">
        <v>306</v>
      </c>
      <c r="AM252" s="102">
        <f t="shared" si="47"/>
        <v>2534</v>
      </c>
      <c r="AN252" s="257">
        <f t="shared" si="48"/>
        <v>2534</v>
      </c>
      <c r="AO252" s="8"/>
      <c r="AP252" s="8"/>
      <c r="AQ252" s="2">
        <f t="shared" si="49"/>
        <v>1</v>
      </c>
      <c r="AR252" s="264"/>
      <c r="AS252" s="264"/>
      <c r="AT252" s="264"/>
      <c r="AU252" s="264"/>
      <c r="AV252" s="3">
        <f t="shared" si="53"/>
        <v>2534</v>
      </c>
      <c r="AW252" s="8">
        <f t="shared" si="50"/>
        <v>242</v>
      </c>
      <c r="AX252" s="11">
        <f t="shared" si="51"/>
        <v>0</v>
      </c>
      <c r="AY252" s="8">
        <f t="shared" si="52"/>
        <v>0</v>
      </c>
      <c r="AZ252" s="11"/>
      <c r="BD252" s="11"/>
      <c r="BG252" s="11"/>
      <c r="CG252" s="264"/>
      <c r="CH252" s="264"/>
      <c r="CI252" s="264"/>
      <c r="CJ252" s="264"/>
      <c r="CK252" s="264"/>
      <c r="DK252" s="12"/>
      <c r="DM252" s="2">
        <v>3</v>
      </c>
      <c r="DP252" s="249"/>
      <c r="DT252" s="11"/>
      <c r="DU252" s="11"/>
      <c r="DV252" s="11"/>
      <c r="DW252" s="3">
        <v>78.099999999999994</v>
      </c>
    </row>
    <row r="253" spans="1:127">
      <c r="A253" s="102">
        <v>123</v>
      </c>
      <c r="B253" s="56">
        <v>3</v>
      </c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1"/>
      <c r="Q253" s="11"/>
      <c r="R253" s="10"/>
      <c r="S253" s="249"/>
      <c r="T253" s="56">
        <v>0</v>
      </c>
      <c r="U253" s="56">
        <v>302</v>
      </c>
      <c r="V253" s="56">
        <v>94</v>
      </c>
      <c r="W253" s="56"/>
      <c r="X253" s="56"/>
      <c r="Y253" s="56"/>
      <c r="Z253" s="56">
        <v>138</v>
      </c>
      <c r="AA253" s="56">
        <v>0</v>
      </c>
      <c r="AB253" s="56">
        <v>126</v>
      </c>
      <c r="AC253" s="56"/>
      <c r="AD253" s="56"/>
      <c r="AF253" s="2">
        <v>97</v>
      </c>
      <c r="AG253" s="2">
        <v>0</v>
      </c>
      <c r="AH253" s="2">
        <v>230</v>
      </c>
      <c r="AM253" s="102">
        <f t="shared" si="47"/>
        <v>987</v>
      </c>
      <c r="AN253" s="257">
        <f t="shared" si="48"/>
        <v>987</v>
      </c>
      <c r="AO253" s="8"/>
      <c r="AP253" s="8"/>
      <c r="AQ253" s="2">
        <f t="shared" si="49"/>
        <v>1</v>
      </c>
      <c r="AR253" s="264"/>
      <c r="AS253" s="264"/>
      <c r="AT253" s="264"/>
      <c r="AU253" s="264"/>
      <c r="AV253" s="3">
        <f t="shared" si="53"/>
        <v>987</v>
      </c>
      <c r="AW253" s="8">
        <f t="shared" si="50"/>
        <v>0</v>
      </c>
      <c r="AX253" s="11">
        <f t="shared" si="51"/>
        <v>0</v>
      </c>
      <c r="AY253" s="8">
        <f t="shared" si="52"/>
        <v>0</v>
      </c>
      <c r="AZ253" s="11"/>
      <c r="BD253" s="11"/>
      <c r="BG253" s="11"/>
      <c r="CG253" s="264"/>
      <c r="CH253" s="264"/>
      <c r="CI253" s="264"/>
      <c r="CJ253" s="264"/>
      <c r="CK253" s="264"/>
      <c r="DK253" s="12"/>
      <c r="DM253" s="2">
        <v>3</v>
      </c>
      <c r="DP253" s="249"/>
      <c r="DT253" s="11"/>
      <c r="DU253" s="11"/>
      <c r="DV253" s="11"/>
      <c r="DW253" s="3">
        <v>28.8</v>
      </c>
    </row>
    <row r="254" spans="1:127">
      <c r="A254" s="102">
        <v>124</v>
      </c>
      <c r="B254" s="56">
        <v>3</v>
      </c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1"/>
      <c r="Q254" s="11"/>
      <c r="R254" s="10"/>
      <c r="S254" s="249"/>
      <c r="T254" s="56">
        <v>78</v>
      </c>
      <c r="U254" s="56">
        <v>199</v>
      </c>
      <c r="V254" s="56">
        <v>267</v>
      </c>
      <c r="W254" s="56"/>
      <c r="X254" s="56"/>
      <c r="Y254" s="56"/>
      <c r="Z254" s="56">
        <v>0</v>
      </c>
      <c r="AA254" s="56">
        <v>129</v>
      </c>
      <c r="AB254" s="56">
        <v>316</v>
      </c>
      <c r="AC254" s="56"/>
      <c r="AD254" s="56"/>
      <c r="AF254" s="2">
        <v>116</v>
      </c>
      <c r="AG254" s="2">
        <v>0</v>
      </c>
      <c r="AH254" s="2">
        <v>425</v>
      </c>
      <c r="AM254" s="102">
        <f t="shared" si="47"/>
        <v>1530</v>
      </c>
      <c r="AN254" s="257">
        <f t="shared" si="48"/>
        <v>1530</v>
      </c>
      <c r="AO254" s="8"/>
      <c r="AP254" s="8"/>
      <c r="AQ254" s="2">
        <f t="shared" si="49"/>
        <v>1</v>
      </c>
      <c r="AR254" s="264"/>
      <c r="AS254" s="264"/>
      <c r="AT254" s="264"/>
      <c r="AU254" s="264"/>
      <c r="AV254" s="3">
        <f t="shared" si="53"/>
        <v>1530</v>
      </c>
      <c r="AW254" s="8">
        <f t="shared" si="50"/>
        <v>78</v>
      </c>
      <c r="AX254" s="11">
        <f t="shared" si="51"/>
        <v>0</v>
      </c>
      <c r="AY254" s="8">
        <f t="shared" si="52"/>
        <v>0</v>
      </c>
      <c r="AZ254" s="11"/>
      <c r="BD254" s="11"/>
      <c r="BG254" s="11"/>
      <c r="CG254" s="264"/>
      <c r="CH254" s="264"/>
      <c r="CI254" s="264"/>
      <c r="CJ254" s="264"/>
      <c r="CK254" s="264"/>
      <c r="DK254" s="12"/>
      <c r="DM254" s="2">
        <v>3</v>
      </c>
      <c r="DP254" s="249"/>
      <c r="DT254" s="11"/>
      <c r="DU254" s="11"/>
      <c r="DV254" s="11"/>
      <c r="DW254" s="3">
        <v>11.1</v>
      </c>
    </row>
    <row r="255" spans="1:127">
      <c r="A255" s="102">
        <v>125</v>
      </c>
      <c r="B255" s="56">
        <v>3</v>
      </c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1"/>
      <c r="Q255" s="11"/>
      <c r="R255" s="10"/>
      <c r="S255" s="249"/>
      <c r="T255" s="56">
        <v>199</v>
      </c>
      <c r="U255" s="56">
        <v>197</v>
      </c>
      <c r="V255" s="56">
        <v>357</v>
      </c>
      <c r="W255" s="56"/>
      <c r="X255" s="56"/>
      <c r="Y255" s="56"/>
      <c r="Z255" s="56">
        <v>0</v>
      </c>
      <c r="AA255" s="56">
        <v>212</v>
      </c>
      <c r="AB255" s="56">
        <v>202</v>
      </c>
      <c r="AC255" s="56"/>
      <c r="AD255" s="56"/>
      <c r="AF255" s="2">
        <v>107</v>
      </c>
      <c r="AG255" s="2">
        <v>206</v>
      </c>
      <c r="AH255" s="2">
        <v>186</v>
      </c>
      <c r="AM255" s="102">
        <f t="shared" si="47"/>
        <v>1666</v>
      </c>
      <c r="AN255" s="257">
        <f t="shared" si="48"/>
        <v>1666</v>
      </c>
      <c r="AO255" s="8"/>
      <c r="AP255" s="8"/>
      <c r="AQ255" s="2">
        <f t="shared" si="49"/>
        <v>1</v>
      </c>
      <c r="AR255" s="264"/>
      <c r="AS255" s="264"/>
      <c r="AT255" s="264"/>
      <c r="AU255" s="264"/>
      <c r="AV255" s="3">
        <f t="shared" si="53"/>
        <v>1666</v>
      </c>
      <c r="AW255" s="8">
        <f t="shared" si="50"/>
        <v>199</v>
      </c>
      <c r="AX255" s="11">
        <f t="shared" si="51"/>
        <v>0</v>
      </c>
      <c r="AY255" s="8">
        <f t="shared" si="52"/>
        <v>0</v>
      </c>
      <c r="AZ255" s="11"/>
      <c r="BD255" s="11"/>
      <c r="BG255" s="11"/>
      <c r="CG255" s="264"/>
      <c r="CH255" s="264"/>
      <c r="CI255" s="264"/>
      <c r="CJ255" s="264"/>
      <c r="CK255" s="264"/>
      <c r="DK255" s="12"/>
      <c r="DM255" s="2">
        <v>3</v>
      </c>
      <c r="DP255" s="249"/>
      <c r="DT255" s="11"/>
      <c r="DU255" s="11"/>
      <c r="DV255" s="11"/>
      <c r="DW255" s="3">
        <v>13.2</v>
      </c>
    </row>
    <row r="256" spans="1:127">
      <c r="A256" s="102">
        <v>126</v>
      </c>
      <c r="B256" s="56">
        <v>3</v>
      </c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1"/>
      <c r="Q256" s="11"/>
      <c r="R256" s="10"/>
      <c r="S256" s="249"/>
      <c r="T256" s="56">
        <v>250</v>
      </c>
      <c r="U256" s="56">
        <v>247</v>
      </c>
      <c r="V256" s="56">
        <v>108</v>
      </c>
      <c r="W256" s="56"/>
      <c r="X256" s="56"/>
      <c r="Y256" s="56"/>
      <c r="Z256" s="56">
        <v>208</v>
      </c>
      <c r="AA256" s="56">
        <v>268</v>
      </c>
      <c r="AB256" s="56">
        <v>293</v>
      </c>
      <c r="AC256" s="56"/>
      <c r="AD256" s="56"/>
      <c r="AF256" s="2">
        <v>80</v>
      </c>
      <c r="AG256" s="2">
        <v>204</v>
      </c>
      <c r="AH256" s="2">
        <v>158</v>
      </c>
      <c r="AM256" s="102">
        <f t="shared" si="47"/>
        <v>1816</v>
      </c>
      <c r="AN256" s="257">
        <f t="shared" si="48"/>
        <v>1816</v>
      </c>
      <c r="AO256" s="8"/>
      <c r="AP256" s="8"/>
      <c r="AQ256" s="2">
        <f t="shared" si="49"/>
        <v>1</v>
      </c>
      <c r="AR256" s="264"/>
      <c r="AS256" s="264"/>
      <c r="AT256" s="264"/>
      <c r="AU256" s="264"/>
      <c r="AV256" s="3">
        <f t="shared" si="53"/>
        <v>1816</v>
      </c>
      <c r="AW256" s="8">
        <f t="shared" si="50"/>
        <v>250</v>
      </c>
      <c r="AX256" s="11">
        <f t="shared" si="51"/>
        <v>0</v>
      </c>
      <c r="AY256" s="8">
        <f t="shared" si="52"/>
        <v>0</v>
      </c>
      <c r="AZ256" s="11"/>
      <c r="BD256" s="11"/>
      <c r="BG256" s="11"/>
      <c r="CG256" s="264"/>
      <c r="CH256" s="264"/>
      <c r="CI256" s="264"/>
      <c r="CJ256" s="264"/>
      <c r="CK256" s="264"/>
      <c r="DK256" s="12"/>
      <c r="DM256" s="2">
        <v>3</v>
      </c>
      <c r="DP256" s="249"/>
      <c r="DT256" s="11"/>
      <c r="DU256" s="11"/>
      <c r="DV256" s="11"/>
      <c r="DW256" s="3">
        <v>55</v>
      </c>
    </row>
    <row r="257" spans="1:129">
      <c r="A257" s="102">
        <v>127</v>
      </c>
      <c r="B257" s="56">
        <v>3</v>
      </c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1"/>
      <c r="Q257" s="11"/>
      <c r="R257" s="10"/>
      <c r="S257" s="249"/>
      <c r="T257" s="56">
        <v>290</v>
      </c>
      <c r="U257" s="56">
        <v>256</v>
      </c>
      <c r="V257" s="56">
        <v>325</v>
      </c>
      <c r="W257" s="56"/>
      <c r="X257" s="56"/>
      <c r="Y257" s="56"/>
      <c r="Z257" s="56">
        <v>223</v>
      </c>
      <c r="AA257" s="56">
        <v>191</v>
      </c>
      <c r="AB257" s="56">
        <v>172</v>
      </c>
      <c r="AC257" s="56"/>
      <c r="AD257" s="56"/>
      <c r="AF257" s="2">
        <v>87</v>
      </c>
      <c r="AG257" s="2">
        <v>120</v>
      </c>
      <c r="AH257" s="2">
        <v>154</v>
      </c>
      <c r="AM257" s="102">
        <f t="shared" si="47"/>
        <v>1818</v>
      </c>
      <c r="AN257" s="257">
        <f t="shared" si="48"/>
        <v>1818</v>
      </c>
      <c r="AO257" s="8"/>
      <c r="AP257" s="8"/>
      <c r="AQ257" s="2">
        <f t="shared" si="49"/>
        <v>1</v>
      </c>
      <c r="AR257" s="264"/>
      <c r="AS257" s="264"/>
      <c r="AT257" s="264"/>
      <c r="AU257" s="264"/>
      <c r="AV257" s="3">
        <f t="shared" si="53"/>
        <v>1818</v>
      </c>
      <c r="AW257" s="8">
        <f t="shared" si="50"/>
        <v>290</v>
      </c>
      <c r="AX257" s="11">
        <f t="shared" si="51"/>
        <v>0</v>
      </c>
      <c r="AY257" s="8">
        <f t="shared" si="52"/>
        <v>0</v>
      </c>
      <c r="AZ257" s="11"/>
      <c r="BD257" s="11"/>
      <c r="BG257" s="11"/>
      <c r="CG257" s="264"/>
      <c r="CH257" s="264"/>
      <c r="CI257" s="264"/>
      <c r="CJ257" s="264"/>
      <c r="CK257" s="264"/>
      <c r="DK257" s="12"/>
      <c r="DM257" s="2">
        <v>3</v>
      </c>
      <c r="DP257" s="249"/>
      <c r="DT257" s="11"/>
      <c r="DU257" s="11"/>
      <c r="DV257" s="11"/>
      <c r="DW257" s="3">
        <v>72.3</v>
      </c>
    </row>
    <row r="258" spans="1:129">
      <c r="A258" s="102">
        <v>128</v>
      </c>
      <c r="B258" s="56">
        <v>3</v>
      </c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1"/>
      <c r="Q258" s="11"/>
      <c r="R258" s="10"/>
      <c r="S258" s="249"/>
      <c r="T258" s="56">
        <v>225</v>
      </c>
      <c r="U258" s="56">
        <v>95</v>
      </c>
      <c r="V258" s="56">
        <v>206</v>
      </c>
      <c r="W258" s="56"/>
      <c r="X258" s="56"/>
      <c r="Y258" s="56"/>
      <c r="Z258" s="56">
        <v>81</v>
      </c>
      <c r="AA258" s="56">
        <v>173</v>
      </c>
      <c r="AB258" s="56">
        <v>280</v>
      </c>
      <c r="AC258" s="56"/>
      <c r="AD258" s="56"/>
      <c r="AF258" s="2">
        <v>46</v>
      </c>
      <c r="AG258" s="2">
        <v>120</v>
      </c>
      <c r="AH258" s="2">
        <v>96</v>
      </c>
      <c r="AM258" s="102">
        <f t="shared" si="47"/>
        <v>1322</v>
      </c>
      <c r="AN258" s="257">
        <f t="shared" si="48"/>
        <v>1322</v>
      </c>
      <c r="AO258" s="8"/>
      <c r="AP258" s="8"/>
      <c r="AQ258" s="2">
        <f t="shared" si="49"/>
        <v>1</v>
      </c>
      <c r="AR258" s="264"/>
      <c r="AS258" s="264"/>
      <c r="AT258" s="264"/>
      <c r="AU258" s="264"/>
      <c r="AV258" s="3">
        <f t="shared" si="53"/>
        <v>1322</v>
      </c>
      <c r="AW258" s="8">
        <f t="shared" si="50"/>
        <v>225</v>
      </c>
      <c r="AX258" s="11">
        <f t="shared" si="51"/>
        <v>0</v>
      </c>
      <c r="AY258" s="8">
        <f t="shared" si="52"/>
        <v>0</v>
      </c>
      <c r="AZ258" s="11"/>
      <c r="BD258" s="11"/>
      <c r="BG258" s="11"/>
      <c r="CG258" s="264"/>
      <c r="CH258" s="264"/>
      <c r="CI258" s="264"/>
      <c r="CJ258" s="264"/>
      <c r="CK258" s="264"/>
      <c r="DK258" s="12"/>
      <c r="DM258" s="2">
        <v>3</v>
      </c>
      <c r="DP258" s="249"/>
      <c r="DT258" s="11"/>
      <c r="DU258" s="11"/>
      <c r="DV258" s="11"/>
      <c r="DW258" s="3">
        <v>25.5</v>
      </c>
    </row>
    <row r="259" spans="1:129">
      <c r="A259" s="102">
        <v>129</v>
      </c>
      <c r="B259" s="56">
        <v>3</v>
      </c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1"/>
      <c r="Q259" s="11"/>
      <c r="R259" s="10"/>
      <c r="S259" s="249"/>
      <c r="T259" s="56">
        <v>166</v>
      </c>
      <c r="U259" s="56">
        <v>249</v>
      </c>
      <c r="V259" s="56">
        <v>113</v>
      </c>
      <c r="W259" s="56"/>
      <c r="X259" s="56"/>
      <c r="Y259" s="56"/>
      <c r="Z259" s="56">
        <v>194</v>
      </c>
      <c r="AA259" s="56">
        <v>184</v>
      </c>
      <c r="AB259" s="56">
        <v>236</v>
      </c>
      <c r="AC259" s="56"/>
      <c r="AD259" s="56"/>
      <c r="AF259" s="2">
        <v>90</v>
      </c>
      <c r="AG259" s="2">
        <v>134</v>
      </c>
      <c r="AH259" s="2">
        <v>156</v>
      </c>
      <c r="AM259" s="102">
        <f t="shared" si="47"/>
        <v>1522</v>
      </c>
      <c r="AN259" s="257">
        <f t="shared" si="48"/>
        <v>1522</v>
      </c>
      <c r="AO259" s="8"/>
      <c r="AP259" s="8"/>
      <c r="AQ259" s="2">
        <f t="shared" si="49"/>
        <v>1</v>
      </c>
      <c r="AR259" s="264"/>
      <c r="AS259" s="264"/>
      <c r="AT259" s="264"/>
      <c r="AU259" s="264"/>
      <c r="AV259" s="3">
        <f t="shared" si="53"/>
        <v>1522</v>
      </c>
      <c r="AW259" s="8">
        <f t="shared" si="50"/>
        <v>166</v>
      </c>
      <c r="AX259" s="11">
        <f t="shared" si="51"/>
        <v>0</v>
      </c>
      <c r="AY259" s="8">
        <f t="shared" si="52"/>
        <v>0</v>
      </c>
      <c r="AZ259" s="11"/>
      <c r="BD259" s="11"/>
      <c r="BG259" s="11"/>
      <c r="CG259" s="264"/>
      <c r="CH259" s="264"/>
      <c r="CI259" s="264"/>
      <c r="CJ259" s="264"/>
      <c r="CK259" s="264"/>
      <c r="DK259" s="12"/>
      <c r="DM259" s="2">
        <v>3</v>
      </c>
      <c r="DP259" s="249"/>
      <c r="DT259" s="11"/>
      <c r="DU259" s="11"/>
      <c r="DV259" s="11"/>
      <c r="DW259" s="3">
        <v>55</v>
      </c>
    </row>
    <row r="260" spans="1:129">
      <c r="A260" s="102">
        <v>130</v>
      </c>
      <c r="B260" s="56">
        <v>3</v>
      </c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1"/>
      <c r="Q260" s="11"/>
      <c r="R260" s="10"/>
      <c r="S260" s="249"/>
      <c r="T260" s="56">
        <v>165</v>
      </c>
      <c r="U260" s="56">
        <v>150</v>
      </c>
      <c r="V260" s="56">
        <v>152</v>
      </c>
      <c r="W260" s="56"/>
      <c r="X260" s="56"/>
      <c r="Y260" s="56"/>
      <c r="Z260" s="56">
        <v>56</v>
      </c>
      <c r="AA260" s="56">
        <v>75</v>
      </c>
      <c r="AB260" s="56">
        <v>241</v>
      </c>
      <c r="AC260" s="56"/>
      <c r="AD260" s="56"/>
      <c r="AF260" s="2">
        <v>74</v>
      </c>
      <c r="AG260" s="2">
        <v>72</v>
      </c>
      <c r="AH260" s="2">
        <v>153</v>
      </c>
      <c r="AM260" s="102">
        <f t="shared" si="47"/>
        <v>1138</v>
      </c>
      <c r="AN260" s="257">
        <f t="shared" si="48"/>
        <v>1138</v>
      </c>
      <c r="AO260" s="8"/>
      <c r="AP260" s="8"/>
      <c r="AQ260" s="2">
        <f t="shared" si="49"/>
        <v>1</v>
      </c>
      <c r="AR260" s="264"/>
      <c r="AS260" s="264"/>
      <c r="AT260" s="264"/>
      <c r="AU260" s="264"/>
      <c r="AV260" s="3">
        <f t="shared" si="53"/>
        <v>1138</v>
      </c>
      <c r="AW260" s="8">
        <f t="shared" si="50"/>
        <v>165</v>
      </c>
      <c r="AX260" s="11">
        <f t="shared" si="51"/>
        <v>0</v>
      </c>
      <c r="AY260" s="8">
        <f t="shared" si="52"/>
        <v>0</v>
      </c>
      <c r="AZ260" s="11"/>
      <c r="BD260" s="11"/>
      <c r="BG260" s="11"/>
      <c r="CG260" s="264"/>
      <c r="CH260" s="264"/>
      <c r="CI260" s="264"/>
      <c r="CJ260" s="264"/>
      <c r="CK260" s="264"/>
      <c r="DK260" s="12"/>
      <c r="DM260" s="2">
        <v>3</v>
      </c>
      <c r="DP260" s="249"/>
      <c r="DT260" s="11"/>
      <c r="DU260" s="11"/>
      <c r="DV260" s="11"/>
      <c r="DW260" s="3">
        <v>42.5</v>
      </c>
    </row>
    <row r="261" spans="1:129">
      <c r="A261" s="102">
        <v>131</v>
      </c>
      <c r="B261" s="56">
        <v>3</v>
      </c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1"/>
      <c r="Q261" s="11"/>
      <c r="R261" s="10"/>
      <c r="S261" s="249"/>
      <c r="T261" s="56">
        <v>136</v>
      </c>
      <c r="U261" s="56">
        <v>151</v>
      </c>
      <c r="V261" s="56">
        <v>152</v>
      </c>
      <c r="W261" s="56"/>
      <c r="X261" s="56"/>
      <c r="Y261" s="56"/>
      <c r="Z261" s="56">
        <v>72</v>
      </c>
      <c r="AA261" s="56">
        <v>173</v>
      </c>
      <c r="AB261" s="56">
        <v>214</v>
      </c>
      <c r="AC261" s="56"/>
      <c r="AD261" s="56"/>
      <c r="AF261" s="2">
        <v>0</v>
      </c>
      <c r="AG261" s="2">
        <v>0</v>
      </c>
      <c r="AH261" s="2">
        <v>0</v>
      </c>
      <c r="AM261" s="102">
        <f t="shared" si="47"/>
        <v>898</v>
      </c>
      <c r="AN261" s="257">
        <f t="shared" si="48"/>
        <v>898</v>
      </c>
      <c r="AO261" s="8"/>
      <c r="AP261" s="8"/>
      <c r="AQ261" s="2">
        <f t="shared" si="49"/>
        <v>1</v>
      </c>
      <c r="AR261" s="264"/>
      <c r="AS261" s="264"/>
      <c r="AT261" s="264"/>
      <c r="AU261" s="264"/>
      <c r="AV261" s="3">
        <f t="shared" si="53"/>
        <v>898</v>
      </c>
      <c r="AW261" s="8">
        <f t="shared" si="50"/>
        <v>136</v>
      </c>
      <c r="AX261" s="11">
        <f t="shared" si="51"/>
        <v>0</v>
      </c>
      <c r="AY261" s="8">
        <f t="shared" si="52"/>
        <v>0</v>
      </c>
      <c r="AZ261" s="11"/>
      <c r="BD261" s="11"/>
      <c r="BG261" s="11"/>
      <c r="CG261" s="264"/>
      <c r="CH261" s="264"/>
      <c r="CI261" s="264"/>
      <c r="CJ261" s="264"/>
      <c r="CK261" s="264"/>
      <c r="DK261" s="12"/>
      <c r="DM261" s="2">
        <v>0</v>
      </c>
      <c r="DP261" s="249"/>
      <c r="DT261" s="11"/>
      <c r="DU261" s="11"/>
      <c r="DV261" s="11"/>
      <c r="DW261" s="3">
        <v>31.3</v>
      </c>
    </row>
    <row r="262" spans="1:129">
      <c r="A262" s="102">
        <v>132</v>
      </c>
      <c r="B262" s="56">
        <v>3</v>
      </c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1"/>
      <c r="Q262" s="11"/>
      <c r="R262" s="10"/>
      <c r="S262" s="249"/>
      <c r="T262" s="56">
        <v>187</v>
      </c>
      <c r="U262" s="56">
        <v>185</v>
      </c>
      <c r="V262" s="56">
        <v>256</v>
      </c>
      <c r="W262" s="56"/>
      <c r="X262" s="56"/>
      <c r="Y262" s="56"/>
      <c r="Z262" s="56">
        <v>0</v>
      </c>
      <c r="AA262" s="56">
        <v>322</v>
      </c>
      <c r="AB262" s="56">
        <v>189</v>
      </c>
      <c r="AC262" s="56"/>
      <c r="AD262" s="56"/>
      <c r="AF262" s="2">
        <v>158</v>
      </c>
      <c r="AG262" s="2">
        <v>65</v>
      </c>
      <c r="AH262" s="2">
        <v>116</v>
      </c>
      <c r="AM262" s="102">
        <f t="shared" si="47"/>
        <v>1478</v>
      </c>
      <c r="AN262" s="257">
        <f t="shared" si="48"/>
        <v>1478</v>
      </c>
      <c r="AO262" s="8"/>
      <c r="AP262" s="8"/>
      <c r="AQ262" s="2">
        <f t="shared" si="49"/>
        <v>1</v>
      </c>
      <c r="AR262" s="264"/>
      <c r="AS262" s="264"/>
      <c r="AT262" s="264"/>
      <c r="AU262" s="264"/>
      <c r="AV262" s="3">
        <f t="shared" si="53"/>
        <v>1478</v>
      </c>
      <c r="AW262" s="8">
        <f t="shared" si="50"/>
        <v>187</v>
      </c>
      <c r="AX262" s="11">
        <f t="shared" si="51"/>
        <v>0</v>
      </c>
      <c r="AY262" s="8">
        <f t="shared" si="52"/>
        <v>0</v>
      </c>
      <c r="AZ262" s="11"/>
      <c r="BD262" s="11"/>
      <c r="BG262" s="11"/>
      <c r="CG262" s="264"/>
      <c r="CH262" s="264"/>
      <c r="CI262" s="264"/>
      <c r="CJ262" s="264"/>
      <c r="CK262" s="264"/>
      <c r="DK262" s="12"/>
      <c r="DM262" s="2">
        <v>3</v>
      </c>
      <c r="DP262" s="249"/>
      <c r="DT262" s="11"/>
      <c r="DU262" s="11"/>
      <c r="DV262" s="11"/>
      <c r="DW262" s="3">
        <v>70</v>
      </c>
    </row>
    <row r="263" spans="1:129">
      <c r="A263" s="102">
        <v>133</v>
      </c>
      <c r="B263" s="56">
        <v>3</v>
      </c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1"/>
      <c r="Q263" s="11"/>
      <c r="R263" s="10"/>
      <c r="S263" s="249"/>
      <c r="T263" s="56">
        <v>178</v>
      </c>
      <c r="U263" s="56">
        <v>232</v>
      </c>
      <c r="V263" s="56">
        <v>229</v>
      </c>
      <c r="W263" s="56"/>
      <c r="X263" s="56"/>
      <c r="Y263" s="56"/>
      <c r="Z263" s="56">
        <v>0</v>
      </c>
      <c r="AA263" s="56">
        <v>322</v>
      </c>
      <c r="AB263" s="56">
        <v>190</v>
      </c>
      <c r="AC263" s="56"/>
      <c r="AD263" s="56"/>
      <c r="AG263" s="2">
        <v>247</v>
      </c>
      <c r="AH263" s="2">
        <v>119</v>
      </c>
      <c r="AM263" s="102">
        <f t="shared" si="47"/>
        <v>1517</v>
      </c>
      <c r="AN263" s="257">
        <f t="shared" si="48"/>
        <v>1517</v>
      </c>
      <c r="AO263" s="8"/>
      <c r="AP263" s="8"/>
      <c r="AQ263" s="2">
        <f t="shared" si="49"/>
        <v>1</v>
      </c>
      <c r="AR263" s="264"/>
      <c r="AS263" s="264"/>
      <c r="AT263" s="264"/>
      <c r="AU263" s="264"/>
      <c r="AV263" s="3">
        <f t="shared" si="53"/>
        <v>1517</v>
      </c>
      <c r="AW263" s="8">
        <f t="shared" si="50"/>
        <v>178</v>
      </c>
      <c r="AX263" s="11">
        <f t="shared" si="51"/>
        <v>0</v>
      </c>
      <c r="AY263" s="8">
        <f t="shared" si="52"/>
        <v>0</v>
      </c>
      <c r="AZ263" s="11"/>
      <c r="BD263" s="11"/>
      <c r="BG263" s="11"/>
      <c r="CG263" s="264"/>
      <c r="CH263" s="264"/>
      <c r="CI263" s="264"/>
      <c r="CJ263" s="264"/>
      <c r="CK263" s="264"/>
      <c r="DK263" s="12"/>
      <c r="DM263" s="2">
        <v>3</v>
      </c>
      <c r="DP263" s="249"/>
      <c r="DT263" s="11"/>
      <c r="DU263" s="11"/>
      <c r="DV263" s="11"/>
      <c r="DW263" s="3">
        <v>76.8</v>
      </c>
    </row>
    <row r="264" spans="1:129">
      <c r="A264" s="102">
        <v>134</v>
      </c>
      <c r="B264" s="56">
        <v>3</v>
      </c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1"/>
      <c r="Q264" s="11"/>
      <c r="R264" s="10"/>
      <c r="S264" s="249"/>
      <c r="T264" s="56">
        <v>163</v>
      </c>
      <c r="U264" s="56">
        <v>187</v>
      </c>
      <c r="V264" s="56">
        <v>327</v>
      </c>
      <c r="W264" s="56"/>
      <c r="X264" s="56"/>
      <c r="Y264" s="56"/>
      <c r="Z264" s="56">
        <v>144</v>
      </c>
      <c r="AA264" s="56">
        <v>263</v>
      </c>
      <c r="AB264" s="56">
        <v>142</v>
      </c>
      <c r="AC264" s="56"/>
      <c r="AD264" s="56"/>
      <c r="AF264" s="2">
        <v>81</v>
      </c>
      <c r="AG264" s="2">
        <v>132</v>
      </c>
      <c r="AH264" s="2">
        <v>197</v>
      </c>
      <c r="AM264" s="102">
        <f t="shared" si="47"/>
        <v>1636</v>
      </c>
      <c r="AN264" s="257">
        <f t="shared" si="48"/>
        <v>1636</v>
      </c>
      <c r="AO264" s="8"/>
      <c r="AP264" s="8"/>
      <c r="AQ264" s="2">
        <f t="shared" si="49"/>
        <v>1</v>
      </c>
      <c r="AR264" s="264"/>
      <c r="AS264" s="264"/>
      <c r="AT264" s="264"/>
      <c r="AU264" s="264"/>
      <c r="AV264" s="3">
        <f t="shared" si="53"/>
        <v>1636</v>
      </c>
      <c r="AW264" s="8">
        <f t="shared" si="50"/>
        <v>163</v>
      </c>
      <c r="AX264" s="11">
        <f t="shared" si="51"/>
        <v>0</v>
      </c>
      <c r="AY264" s="8">
        <f t="shared" si="52"/>
        <v>0</v>
      </c>
      <c r="AZ264" s="11"/>
      <c r="BD264" s="11"/>
      <c r="BG264" s="11"/>
      <c r="CG264" s="264"/>
      <c r="CH264" s="264"/>
      <c r="CI264" s="264"/>
      <c r="CJ264" s="264"/>
      <c r="CK264" s="264"/>
      <c r="DK264" s="12"/>
      <c r="DM264" s="2">
        <v>3</v>
      </c>
      <c r="DP264" s="249"/>
      <c r="DT264" s="11"/>
      <c r="DU264" s="11"/>
      <c r="DV264" s="11"/>
      <c r="DW264" s="3">
        <v>34.299999999999997</v>
      </c>
    </row>
    <row r="265" spans="1:129">
      <c r="A265" s="102">
        <v>135</v>
      </c>
      <c r="B265" s="56">
        <v>3</v>
      </c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1"/>
      <c r="Q265" s="11"/>
      <c r="R265" s="10"/>
      <c r="S265" s="249"/>
      <c r="T265" s="56">
        <v>237</v>
      </c>
      <c r="U265" s="56">
        <v>203</v>
      </c>
      <c r="V265" s="56">
        <v>227</v>
      </c>
      <c r="W265" s="56"/>
      <c r="X265" s="56"/>
      <c r="Y265" s="56"/>
      <c r="Z265" s="56">
        <v>101</v>
      </c>
      <c r="AA265" s="56">
        <v>174</v>
      </c>
      <c r="AB265" s="56">
        <v>322</v>
      </c>
      <c r="AC265" s="56"/>
      <c r="AD265" s="56"/>
      <c r="AF265" s="2">
        <v>91</v>
      </c>
      <c r="AG265" s="2">
        <v>195</v>
      </c>
      <c r="AH265" s="2">
        <v>240</v>
      </c>
      <c r="AM265" s="102">
        <f t="shared" si="47"/>
        <v>1790</v>
      </c>
      <c r="AN265" s="257">
        <f t="shared" si="48"/>
        <v>1790</v>
      </c>
      <c r="AO265" s="8"/>
      <c r="AP265" s="8"/>
      <c r="AQ265" s="2">
        <f t="shared" si="49"/>
        <v>1</v>
      </c>
      <c r="AR265" s="264"/>
      <c r="AS265" s="264"/>
      <c r="AT265" s="264"/>
      <c r="AU265" s="264"/>
      <c r="AV265" s="3">
        <f t="shared" si="53"/>
        <v>1790</v>
      </c>
      <c r="AW265" s="8">
        <f t="shared" si="50"/>
        <v>237</v>
      </c>
      <c r="AX265" s="11">
        <f t="shared" si="51"/>
        <v>0</v>
      </c>
      <c r="AY265" s="8">
        <f t="shared" si="52"/>
        <v>0</v>
      </c>
      <c r="AZ265" s="11"/>
      <c r="BD265" s="11"/>
      <c r="BG265" s="11"/>
      <c r="CG265" s="264"/>
      <c r="CH265" s="264"/>
      <c r="CI265" s="264"/>
      <c r="CJ265" s="264"/>
      <c r="CK265" s="264"/>
      <c r="DK265" s="12"/>
      <c r="DM265" s="2">
        <v>3</v>
      </c>
      <c r="DP265" s="249"/>
      <c r="DT265" s="11"/>
      <c r="DU265" s="11"/>
      <c r="DV265" s="11"/>
      <c r="DW265" s="3">
        <v>34</v>
      </c>
    </row>
    <row r="266" spans="1:129" s="406" customFormat="1">
      <c r="A266" s="404">
        <v>136</v>
      </c>
      <c r="B266" s="415">
        <v>3</v>
      </c>
      <c r="C266" s="418"/>
      <c r="D266" s="418"/>
      <c r="E266" s="418"/>
      <c r="F266" s="418"/>
      <c r="G266" s="418"/>
      <c r="H266" s="418"/>
      <c r="I266" s="418"/>
      <c r="J266" s="418"/>
      <c r="K266" s="418"/>
      <c r="L266" s="418"/>
      <c r="M266" s="418"/>
      <c r="N266" s="418"/>
      <c r="O266" s="418"/>
      <c r="P266" s="407"/>
      <c r="Q266" s="407"/>
      <c r="R266" s="408"/>
      <c r="S266" s="409"/>
      <c r="T266" s="415">
        <v>0</v>
      </c>
      <c r="U266" s="415">
        <v>0</v>
      </c>
      <c r="V266" s="415">
        <v>0</v>
      </c>
      <c r="W266" s="415"/>
      <c r="X266" s="415"/>
      <c r="Y266" s="415"/>
      <c r="Z266" s="415">
        <v>0</v>
      </c>
      <c r="AA266" s="415">
        <v>0</v>
      </c>
      <c r="AB266" s="415">
        <v>0</v>
      </c>
      <c r="AC266" s="415"/>
      <c r="AD266" s="415"/>
      <c r="AE266" s="410"/>
      <c r="AF266" s="406">
        <v>0</v>
      </c>
      <c r="AG266" s="406">
        <v>0</v>
      </c>
      <c r="AH266" s="406">
        <v>0</v>
      </c>
      <c r="AM266" s="404">
        <f t="shared" si="47"/>
        <v>0</v>
      </c>
      <c r="AN266" s="411">
        <f t="shared" si="48"/>
        <v>0</v>
      </c>
      <c r="AO266" s="412"/>
      <c r="AP266" s="412"/>
      <c r="AQ266" s="406">
        <f t="shared" si="49"/>
        <v>1</v>
      </c>
      <c r="AR266" s="416"/>
      <c r="AS266" s="416"/>
      <c r="AT266" s="416"/>
      <c r="AU266" s="416"/>
      <c r="AV266" s="3">
        <f>AM266</f>
        <v>0</v>
      </c>
      <c r="AW266" s="412">
        <f t="shared" si="50"/>
        <v>0</v>
      </c>
      <c r="AX266" s="407">
        <f t="shared" si="51"/>
        <v>0</v>
      </c>
      <c r="AY266" s="412">
        <f t="shared" si="52"/>
        <v>0</v>
      </c>
      <c r="AZ266" s="407"/>
      <c r="BD266" s="407"/>
      <c r="BG266" s="407"/>
      <c r="CG266" s="416"/>
      <c r="CH266" s="416"/>
      <c r="CI266" s="416"/>
      <c r="CJ266" s="416"/>
      <c r="CK266" s="416"/>
      <c r="DK266" s="418"/>
      <c r="DM266" s="406">
        <v>3</v>
      </c>
      <c r="DP266" s="409"/>
      <c r="DR266" s="407"/>
      <c r="DS266" s="407"/>
      <c r="DT266" s="407"/>
      <c r="DU266" s="407"/>
      <c r="DV266" s="407"/>
      <c r="DW266" s="3">
        <v>10.3</v>
      </c>
      <c r="DY266" s="434">
        <f>SUM(DW267:DW314)</f>
        <v>540.49999999999989</v>
      </c>
    </row>
    <row r="267" spans="1:129">
      <c r="A267" s="102">
        <v>215</v>
      </c>
      <c r="B267" s="56">
        <v>6</v>
      </c>
      <c r="C267" s="282"/>
      <c r="D267" s="282"/>
      <c r="E267" s="282"/>
      <c r="F267" s="282"/>
      <c r="G267" s="282"/>
      <c r="H267" s="282"/>
      <c r="I267" s="282"/>
      <c r="J267" s="282"/>
      <c r="K267" s="282"/>
      <c r="L267" s="282"/>
      <c r="M267" s="282"/>
      <c r="N267" s="282"/>
      <c r="O267" s="282"/>
      <c r="P267" s="283"/>
      <c r="Q267" s="283"/>
      <c r="R267" s="235">
        <f t="shared" ref="R267:R299" si="54">SUM(C267:Q267)</f>
        <v>0</v>
      </c>
      <c r="S267" s="249"/>
      <c r="T267" s="56">
        <v>268</v>
      </c>
      <c r="U267" s="56">
        <v>301</v>
      </c>
      <c r="V267" s="56">
        <v>362</v>
      </c>
      <c r="W267" s="56"/>
      <c r="X267" s="56"/>
      <c r="Y267" s="56"/>
      <c r="Z267" s="56">
        <v>245</v>
      </c>
      <c r="AA267" s="56">
        <v>205</v>
      </c>
      <c r="AB267" s="56">
        <v>342</v>
      </c>
      <c r="AC267" s="56"/>
      <c r="AD267" s="56"/>
      <c r="AF267" s="2">
        <v>111</v>
      </c>
      <c r="AG267" s="2">
        <v>267</v>
      </c>
      <c r="AH267" s="2">
        <v>0</v>
      </c>
      <c r="AM267" s="102">
        <f t="shared" ref="AM267:AM302" si="55">SUM(S267:AL267)</f>
        <v>2101</v>
      </c>
      <c r="AN267" s="257">
        <f t="shared" ref="AN267:AN302" si="56">R267+AM267</f>
        <v>2101</v>
      </c>
      <c r="AO267" s="8"/>
      <c r="AP267" s="501">
        <v>1423</v>
      </c>
      <c r="AQ267" s="2">
        <f>IF(AN267&gt;=$AW$4,1,0)</f>
        <v>0</v>
      </c>
      <c r="AR267" s="264"/>
      <c r="AS267" s="264"/>
      <c r="AT267" s="264"/>
      <c r="AU267" s="264"/>
      <c r="AV267" s="8">
        <f>AM267-AP267</f>
        <v>678</v>
      </c>
      <c r="AW267" s="282">
        <f>T267+AC267</f>
        <v>268</v>
      </c>
      <c r="AX267" s="11">
        <f>AD267</f>
        <v>0</v>
      </c>
      <c r="AY267" s="8">
        <f>S267+AE267</f>
        <v>0</v>
      </c>
      <c r="CG267" s="264"/>
      <c r="CH267" s="264"/>
      <c r="CI267" s="264"/>
      <c r="CJ267" s="264"/>
      <c r="CK267" s="264"/>
      <c r="DK267" s="271"/>
      <c r="DM267" s="2">
        <v>2</v>
      </c>
      <c r="DN267" s="11"/>
      <c r="DP267" s="249"/>
      <c r="DT267" s="11"/>
      <c r="DU267" s="11"/>
      <c r="DV267" s="11"/>
      <c r="DW267" s="3">
        <v>12</v>
      </c>
    </row>
    <row r="268" spans="1:129">
      <c r="A268" s="102">
        <v>216</v>
      </c>
      <c r="B268" s="56">
        <v>6</v>
      </c>
      <c r="C268" s="282"/>
      <c r="D268" s="282"/>
      <c r="E268" s="282"/>
      <c r="F268" s="282"/>
      <c r="G268" s="282"/>
      <c r="H268" s="282"/>
      <c r="I268" s="282"/>
      <c r="J268" s="282"/>
      <c r="K268" s="282"/>
      <c r="L268" s="282"/>
      <c r="M268" s="282"/>
      <c r="N268" s="282"/>
      <c r="O268" s="282"/>
      <c r="P268" s="283"/>
      <c r="Q268" s="283"/>
      <c r="R268" s="235">
        <f t="shared" si="54"/>
        <v>0</v>
      </c>
      <c r="S268" s="249"/>
      <c r="T268" s="56">
        <v>262</v>
      </c>
      <c r="U268" s="56">
        <v>326</v>
      </c>
      <c r="V268" s="56">
        <v>266</v>
      </c>
      <c r="W268" s="56"/>
      <c r="X268" s="56"/>
      <c r="Y268" s="56"/>
      <c r="Z268" s="56">
        <v>233</v>
      </c>
      <c r="AA268" s="56">
        <v>222</v>
      </c>
      <c r="AB268" s="56">
        <v>330</v>
      </c>
      <c r="AC268" s="56"/>
      <c r="AD268" s="56"/>
      <c r="AF268" s="2">
        <v>99</v>
      </c>
      <c r="AG268" s="2">
        <v>226</v>
      </c>
      <c r="AH268" s="2">
        <v>335</v>
      </c>
      <c r="AM268" s="102">
        <f t="shared" si="55"/>
        <v>2299</v>
      </c>
      <c r="AN268" s="257">
        <f t="shared" si="56"/>
        <v>2299</v>
      </c>
      <c r="AO268" s="8"/>
      <c r="AP268" s="501">
        <v>1712</v>
      </c>
      <c r="AQ268" s="2">
        <f t="shared" ref="AQ268:AQ302" si="57">IF(AN268&gt;=$AW$4,1,0)</f>
        <v>0</v>
      </c>
      <c r="AR268" s="264"/>
      <c r="AS268" s="264"/>
      <c r="AT268" s="264"/>
      <c r="AU268" s="264"/>
      <c r="AV268" s="8">
        <f t="shared" ref="AV268:AV313" si="58">AM268-AP268</f>
        <v>587</v>
      </c>
      <c r="AW268" s="282">
        <f t="shared" ref="AW268:AW314" si="59">T268+AC268</f>
        <v>262</v>
      </c>
      <c r="AX268" s="11">
        <f t="shared" ref="AX268:AX314" si="60">AD268</f>
        <v>0</v>
      </c>
      <c r="AY268" s="8">
        <f t="shared" ref="AY268:AY314" si="61">S268+AE268</f>
        <v>0</v>
      </c>
      <c r="CG268" s="264"/>
      <c r="CH268" s="264"/>
      <c r="CI268" s="264"/>
      <c r="CJ268" s="264"/>
      <c r="CK268" s="264"/>
      <c r="DK268" s="271"/>
      <c r="DM268" s="2">
        <v>2</v>
      </c>
      <c r="DN268" s="11"/>
      <c r="DP268" s="249"/>
      <c r="DT268" s="11"/>
      <c r="DU268" s="11"/>
      <c r="DV268" s="11"/>
      <c r="DW268" s="3">
        <v>7.9</v>
      </c>
    </row>
    <row r="269" spans="1:129">
      <c r="A269" s="102">
        <v>217</v>
      </c>
      <c r="B269" s="56">
        <v>6</v>
      </c>
      <c r="C269" s="282"/>
      <c r="D269" s="282"/>
      <c r="E269" s="282"/>
      <c r="F269" s="282"/>
      <c r="G269" s="282"/>
      <c r="H269" s="282"/>
      <c r="I269" s="282"/>
      <c r="J269" s="282"/>
      <c r="K269" s="282"/>
      <c r="L269" s="282"/>
      <c r="M269" s="282"/>
      <c r="N269" s="282"/>
      <c r="O269" s="282"/>
      <c r="P269" s="283"/>
      <c r="Q269" s="283"/>
      <c r="R269" s="235">
        <f t="shared" si="54"/>
        <v>0</v>
      </c>
      <c r="S269" s="249"/>
      <c r="T269" s="56">
        <v>330</v>
      </c>
      <c r="U269" s="56">
        <v>311</v>
      </c>
      <c r="V269" s="56">
        <v>176</v>
      </c>
      <c r="W269" s="56"/>
      <c r="X269" s="56"/>
      <c r="Y269" s="56"/>
      <c r="Z269" s="56">
        <v>250</v>
      </c>
      <c r="AA269" s="56">
        <v>216</v>
      </c>
      <c r="AB269" s="56">
        <v>359</v>
      </c>
      <c r="AC269" s="56"/>
      <c r="AD269" s="56"/>
      <c r="AF269" s="2">
        <v>108</v>
      </c>
      <c r="AG269" s="2">
        <v>195</v>
      </c>
      <c r="AH269" s="2">
        <v>319</v>
      </c>
      <c r="AM269" s="102">
        <f t="shared" si="55"/>
        <v>2264</v>
      </c>
      <c r="AN269" s="257">
        <f t="shared" si="56"/>
        <v>2264</v>
      </c>
      <c r="AO269" s="8"/>
      <c r="AP269" s="501">
        <v>1764</v>
      </c>
      <c r="AQ269" s="2">
        <f t="shared" si="57"/>
        <v>0</v>
      </c>
      <c r="AR269" s="264"/>
      <c r="AS269" s="264"/>
      <c r="AT269" s="264"/>
      <c r="AU269" s="264"/>
      <c r="AV269" s="8">
        <f t="shared" si="58"/>
        <v>500</v>
      </c>
      <c r="AW269" s="282">
        <f t="shared" si="59"/>
        <v>330</v>
      </c>
      <c r="AX269" s="11">
        <f t="shared" si="60"/>
        <v>0</v>
      </c>
      <c r="AY269" s="8">
        <f t="shared" si="61"/>
        <v>0</v>
      </c>
      <c r="CG269" s="264"/>
      <c r="CH269" s="264"/>
      <c r="CI269" s="264"/>
      <c r="CJ269" s="264"/>
      <c r="CK269" s="264"/>
      <c r="DK269" s="271"/>
      <c r="DM269" s="2">
        <v>2</v>
      </c>
      <c r="DN269" s="11"/>
      <c r="DP269" s="249"/>
      <c r="DT269" s="11"/>
      <c r="DU269" s="11"/>
      <c r="DV269" s="11"/>
      <c r="DW269" s="3">
        <v>8.1</v>
      </c>
    </row>
    <row r="270" spans="1:129">
      <c r="A270" s="102">
        <v>218</v>
      </c>
      <c r="B270" s="56">
        <v>6</v>
      </c>
      <c r="C270" s="282"/>
      <c r="D270" s="282"/>
      <c r="E270" s="282"/>
      <c r="F270" s="282"/>
      <c r="G270" s="282"/>
      <c r="H270" s="282"/>
      <c r="I270" s="282"/>
      <c r="J270" s="282"/>
      <c r="K270" s="282"/>
      <c r="L270" s="282"/>
      <c r="M270" s="282"/>
      <c r="N270" s="282"/>
      <c r="O270" s="282"/>
      <c r="P270" s="283"/>
      <c r="Q270" s="283"/>
      <c r="R270" s="235">
        <f t="shared" si="54"/>
        <v>0</v>
      </c>
      <c r="S270" s="249"/>
      <c r="T270" s="56">
        <v>310</v>
      </c>
      <c r="U270" s="56">
        <v>308</v>
      </c>
      <c r="V270" s="56">
        <v>266</v>
      </c>
      <c r="W270" s="56"/>
      <c r="X270" s="56"/>
      <c r="Y270" s="56"/>
      <c r="Z270" s="56">
        <v>265</v>
      </c>
      <c r="AA270" s="56">
        <v>133</v>
      </c>
      <c r="AB270" s="56">
        <v>389</v>
      </c>
      <c r="AC270" s="56"/>
      <c r="AD270" s="56"/>
      <c r="AF270" s="2">
        <v>214</v>
      </c>
      <c r="AG270" s="2">
        <v>244</v>
      </c>
      <c r="AH270" s="2">
        <v>342</v>
      </c>
      <c r="AM270" s="102">
        <f t="shared" si="55"/>
        <v>2471</v>
      </c>
      <c r="AN270" s="257">
        <f t="shared" si="56"/>
        <v>2471</v>
      </c>
      <c r="AO270" s="8"/>
      <c r="AP270" s="501">
        <v>1858</v>
      </c>
      <c r="AQ270" s="2">
        <f t="shared" si="57"/>
        <v>0</v>
      </c>
      <c r="AR270" s="264"/>
      <c r="AS270" s="264"/>
      <c r="AT270" s="264"/>
      <c r="AU270" s="264"/>
      <c r="AV270" s="8">
        <f t="shared" si="58"/>
        <v>613</v>
      </c>
      <c r="AW270" s="282">
        <f t="shared" si="59"/>
        <v>310</v>
      </c>
      <c r="AX270" s="11">
        <f t="shared" si="60"/>
        <v>0</v>
      </c>
      <c r="AY270" s="8">
        <f t="shared" si="61"/>
        <v>0</v>
      </c>
      <c r="CG270" s="264"/>
      <c r="CH270" s="264"/>
      <c r="CI270" s="264"/>
      <c r="CJ270" s="264"/>
      <c r="CK270" s="264"/>
      <c r="DK270" s="271"/>
      <c r="DM270" s="2">
        <v>3</v>
      </c>
      <c r="DN270" s="11"/>
      <c r="DP270" s="249"/>
      <c r="DT270" s="11"/>
      <c r="DU270" s="11"/>
      <c r="DV270" s="11"/>
      <c r="DW270" s="3">
        <v>14.4</v>
      </c>
    </row>
    <row r="271" spans="1:129">
      <c r="A271" s="102">
        <v>219</v>
      </c>
      <c r="B271" s="56">
        <v>6</v>
      </c>
      <c r="C271" s="282"/>
      <c r="D271" s="282"/>
      <c r="E271" s="282"/>
      <c r="F271" s="282"/>
      <c r="G271" s="282"/>
      <c r="H271" s="282"/>
      <c r="I271" s="282"/>
      <c r="J271" s="282"/>
      <c r="K271" s="282"/>
      <c r="L271" s="282"/>
      <c r="M271" s="282"/>
      <c r="N271" s="282"/>
      <c r="O271" s="282"/>
      <c r="P271" s="283"/>
      <c r="Q271" s="283"/>
      <c r="R271" s="235">
        <f t="shared" si="54"/>
        <v>0</v>
      </c>
      <c r="S271" s="249"/>
      <c r="T271" s="56">
        <v>277</v>
      </c>
      <c r="U271" s="56">
        <v>266</v>
      </c>
      <c r="V271" s="56">
        <v>291</v>
      </c>
      <c r="W271" s="56"/>
      <c r="X271" s="56"/>
      <c r="Y271" s="56"/>
      <c r="Z271" s="56">
        <v>141</v>
      </c>
      <c r="AA271" s="56">
        <v>172</v>
      </c>
      <c r="AB271" s="56">
        <v>287</v>
      </c>
      <c r="AC271" s="56"/>
      <c r="AD271" s="56"/>
      <c r="AF271" s="2">
        <v>152</v>
      </c>
      <c r="AG271" s="2">
        <v>142</v>
      </c>
      <c r="AH271" s="2">
        <v>207</v>
      </c>
      <c r="AM271" s="102">
        <f t="shared" si="55"/>
        <v>1935</v>
      </c>
      <c r="AN271" s="257">
        <f t="shared" si="56"/>
        <v>1935</v>
      </c>
      <c r="AO271" s="8"/>
      <c r="AP271" s="501">
        <v>1320</v>
      </c>
      <c r="AQ271" s="2">
        <f t="shared" si="57"/>
        <v>0</v>
      </c>
      <c r="AR271" s="264"/>
      <c r="AS271" s="264"/>
      <c r="AT271" s="264"/>
      <c r="AU271" s="264"/>
      <c r="AV271" s="8">
        <f t="shared" si="58"/>
        <v>615</v>
      </c>
      <c r="AW271" s="282">
        <f t="shared" si="59"/>
        <v>277</v>
      </c>
      <c r="AX271" s="11">
        <f t="shared" si="60"/>
        <v>0</v>
      </c>
      <c r="AY271" s="8">
        <f t="shared" si="61"/>
        <v>0</v>
      </c>
      <c r="CG271" s="264"/>
      <c r="CH271" s="264"/>
      <c r="CI271" s="264"/>
      <c r="CJ271" s="264"/>
      <c r="CK271" s="264"/>
      <c r="DK271" s="271"/>
      <c r="DM271" s="2">
        <v>3</v>
      </c>
      <c r="DN271" s="11"/>
      <c r="DP271" s="249"/>
      <c r="DT271" s="11"/>
      <c r="DU271" s="11"/>
      <c r="DV271" s="11"/>
      <c r="DW271" s="3">
        <v>8.6999999999999993</v>
      </c>
    </row>
    <row r="272" spans="1:129">
      <c r="A272" s="102">
        <v>220</v>
      </c>
      <c r="B272" s="56">
        <v>6</v>
      </c>
      <c r="C272" s="282"/>
      <c r="D272" s="282"/>
      <c r="E272" s="282"/>
      <c r="F272" s="282"/>
      <c r="G272" s="282"/>
      <c r="H272" s="282"/>
      <c r="I272" s="282"/>
      <c r="J272" s="282"/>
      <c r="K272" s="282"/>
      <c r="L272" s="282"/>
      <c r="M272" s="282"/>
      <c r="N272" s="282"/>
      <c r="O272" s="282"/>
      <c r="P272" s="283"/>
      <c r="Q272" s="283"/>
      <c r="R272" s="235">
        <f t="shared" si="54"/>
        <v>0</v>
      </c>
      <c r="S272" s="249"/>
      <c r="T272" s="56">
        <v>327</v>
      </c>
      <c r="U272" s="56">
        <v>296</v>
      </c>
      <c r="V272" s="56">
        <v>281</v>
      </c>
      <c r="W272" s="56"/>
      <c r="X272" s="56"/>
      <c r="Y272" s="56"/>
      <c r="Z272" s="56">
        <v>255</v>
      </c>
      <c r="AA272" s="56">
        <v>110</v>
      </c>
      <c r="AB272" s="56">
        <v>361</v>
      </c>
      <c r="AC272" s="56"/>
      <c r="AD272" s="56"/>
      <c r="AF272" s="2">
        <v>182</v>
      </c>
      <c r="AG272" s="2">
        <v>99</v>
      </c>
      <c r="AH272" s="2">
        <v>300</v>
      </c>
      <c r="AM272" s="102">
        <f t="shared" si="55"/>
        <v>2211</v>
      </c>
      <c r="AN272" s="257">
        <f t="shared" si="56"/>
        <v>2211</v>
      </c>
      <c r="AO272" s="8"/>
      <c r="AP272" s="501">
        <v>1638</v>
      </c>
      <c r="AQ272" s="2">
        <f t="shared" si="57"/>
        <v>0</v>
      </c>
      <c r="AR272" s="264"/>
      <c r="AS272" s="264"/>
      <c r="AT272" s="264"/>
      <c r="AU272" s="264"/>
      <c r="AV272" s="8">
        <f t="shared" si="58"/>
        <v>573</v>
      </c>
      <c r="AW272" s="282">
        <f t="shared" si="59"/>
        <v>327</v>
      </c>
      <c r="AX272" s="11">
        <f t="shared" si="60"/>
        <v>0</v>
      </c>
      <c r="AY272" s="8">
        <f t="shared" si="61"/>
        <v>0</v>
      </c>
      <c r="CG272" s="264"/>
      <c r="CH272" s="264"/>
      <c r="CI272" s="264"/>
      <c r="CJ272" s="264"/>
      <c r="CK272" s="264"/>
      <c r="DK272" s="271"/>
      <c r="DM272" s="2">
        <v>3</v>
      </c>
      <c r="DN272" s="11"/>
      <c r="DP272" s="249"/>
      <c r="DT272" s="11"/>
      <c r="DU272" s="11"/>
      <c r="DV272" s="11"/>
      <c r="DW272" s="3">
        <v>6.4</v>
      </c>
    </row>
    <row r="273" spans="1:127">
      <c r="A273" s="102">
        <v>221</v>
      </c>
      <c r="B273" s="56">
        <v>6</v>
      </c>
      <c r="C273" s="282"/>
      <c r="D273" s="282"/>
      <c r="E273" s="282"/>
      <c r="F273" s="282"/>
      <c r="G273" s="282"/>
      <c r="H273" s="282"/>
      <c r="I273" s="282"/>
      <c r="J273" s="282"/>
      <c r="K273" s="282"/>
      <c r="L273" s="282"/>
      <c r="M273" s="282"/>
      <c r="N273" s="282"/>
      <c r="O273" s="282"/>
      <c r="P273" s="283"/>
      <c r="Q273" s="283"/>
      <c r="R273" s="235">
        <f t="shared" si="54"/>
        <v>0</v>
      </c>
      <c r="S273" s="249"/>
      <c r="T273" s="56">
        <v>291</v>
      </c>
      <c r="U273" s="56">
        <v>347</v>
      </c>
      <c r="V273" s="56">
        <v>336</v>
      </c>
      <c r="W273" s="56"/>
      <c r="X273" s="56"/>
      <c r="Y273" s="56"/>
      <c r="Z273" s="56">
        <v>297</v>
      </c>
      <c r="AA273" s="56">
        <v>116</v>
      </c>
      <c r="AB273" s="56">
        <v>363</v>
      </c>
      <c r="AC273" s="56"/>
      <c r="AD273" s="56"/>
      <c r="AF273" s="2">
        <v>221</v>
      </c>
      <c r="AG273" s="2">
        <v>228</v>
      </c>
      <c r="AH273" s="2">
        <v>396</v>
      </c>
      <c r="AM273" s="102">
        <f t="shared" si="55"/>
        <v>2595</v>
      </c>
      <c r="AN273" s="257">
        <f t="shared" si="56"/>
        <v>2595</v>
      </c>
      <c r="AO273" s="8"/>
      <c r="AP273" s="501">
        <v>1922</v>
      </c>
      <c r="AQ273" s="2">
        <f t="shared" si="57"/>
        <v>0</v>
      </c>
      <c r="AR273" s="264"/>
      <c r="AS273" s="264"/>
      <c r="AT273" s="264"/>
      <c r="AU273" s="264"/>
      <c r="AV273" s="8">
        <f t="shared" si="58"/>
        <v>673</v>
      </c>
      <c r="AW273" s="282">
        <f t="shared" si="59"/>
        <v>291</v>
      </c>
      <c r="AX273" s="11">
        <f t="shared" si="60"/>
        <v>0</v>
      </c>
      <c r="AY273" s="8">
        <f t="shared" si="61"/>
        <v>0</v>
      </c>
      <c r="CG273" s="264"/>
      <c r="CH273" s="264"/>
      <c r="CI273" s="264"/>
      <c r="CJ273" s="264"/>
      <c r="CK273" s="264"/>
      <c r="DK273" s="271"/>
      <c r="DM273" s="2">
        <v>3</v>
      </c>
      <c r="DN273" s="11"/>
      <c r="DP273" s="249"/>
      <c r="DT273" s="11"/>
      <c r="DU273" s="11"/>
      <c r="DV273" s="279"/>
      <c r="DW273" s="3">
        <v>15.5</v>
      </c>
    </row>
    <row r="274" spans="1:127">
      <c r="A274" s="102">
        <v>222</v>
      </c>
      <c r="B274" s="56">
        <v>6</v>
      </c>
      <c r="C274" s="282"/>
      <c r="D274" s="282"/>
      <c r="E274" s="282"/>
      <c r="F274" s="282"/>
      <c r="G274" s="282"/>
      <c r="H274" s="282"/>
      <c r="I274" s="282"/>
      <c r="J274" s="282"/>
      <c r="K274" s="282"/>
      <c r="L274" s="282"/>
      <c r="M274" s="282"/>
      <c r="N274" s="282"/>
      <c r="O274" s="282"/>
      <c r="P274" s="283"/>
      <c r="Q274" s="283"/>
      <c r="R274" s="235">
        <f t="shared" si="54"/>
        <v>0</v>
      </c>
      <c r="S274" s="249"/>
      <c r="T274" s="56">
        <v>286</v>
      </c>
      <c r="U274" s="56">
        <v>372</v>
      </c>
      <c r="V274" s="56">
        <v>258</v>
      </c>
      <c r="W274" s="56"/>
      <c r="X274" s="56"/>
      <c r="Y274" s="56"/>
      <c r="Z274" s="56">
        <v>276</v>
      </c>
      <c r="AA274" s="56">
        <v>127</v>
      </c>
      <c r="AB274" s="56">
        <v>345</v>
      </c>
      <c r="AC274" s="56"/>
      <c r="AD274" s="56"/>
      <c r="AF274" s="2">
        <v>126</v>
      </c>
      <c r="AG274" s="2">
        <v>236</v>
      </c>
      <c r="AH274" s="2">
        <v>410</v>
      </c>
      <c r="AM274" s="102">
        <f t="shared" si="55"/>
        <v>2436</v>
      </c>
      <c r="AN274" s="257">
        <f t="shared" si="56"/>
        <v>2436</v>
      </c>
      <c r="AO274" s="8"/>
      <c r="AP274" s="501">
        <v>1925</v>
      </c>
      <c r="AQ274" s="2">
        <f t="shared" si="57"/>
        <v>0</v>
      </c>
      <c r="AR274" s="264"/>
      <c r="AS274" s="264"/>
      <c r="AT274" s="264"/>
      <c r="AU274" s="264"/>
      <c r="AV274" s="8">
        <f t="shared" si="58"/>
        <v>511</v>
      </c>
      <c r="AW274" s="282">
        <f t="shared" si="59"/>
        <v>286</v>
      </c>
      <c r="AX274" s="11">
        <f t="shared" si="60"/>
        <v>0</v>
      </c>
      <c r="AY274" s="8">
        <f t="shared" si="61"/>
        <v>0</v>
      </c>
      <c r="CG274" s="264"/>
      <c r="CH274" s="264"/>
      <c r="CI274" s="264"/>
      <c r="CJ274" s="264"/>
      <c r="CK274" s="264"/>
      <c r="DK274" s="271"/>
      <c r="DM274" s="2">
        <v>3</v>
      </c>
      <c r="DN274" s="11"/>
      <c r="DP274" s="249"/>
      <c r="DT274" s="11"/>
      <c r="DU274" s="11"/>
      <c r="DV274" s="279"/>
      <c r="DW274" s="3">
        <v>14.2</v>
      </c>
    </row>
    <row r="275" spans="1:127">
      <c r="A275" s="102">
        <v>223</v>
      </c>
      <c r="B275" s="56">
        <v>6</v>
      </c>
      <c r="C275" s="282"/>
      <c r="D275" s="282"/>
      <c r="E275" s="282"/>
      <c r="F275" s="282"/>
      <c r="G275" s="282"/>
      <c r="H275" s="282"/>
      <c r="I275" s="282"/>
      <c r="J275" s="282"/>
      <c r="K275" s="282"/>
      <c r="L275" s="282"/>
      <c r="M275" s="282"/>
      <c r="N275" s="282"/>
      <c r="O275" s="282"/>
      <c r="P275" s="283"/>
      <c r="Q275" s="283"/>
      <c r="R275" s="235">
        <f t="shared" si="54"/>
        <v>0</v>
      </c>
      <c r="S275" s="249"/>
      <c r="T275" s="56">
        <v>309</v>
      </c>
      <c r="U275" s="56">
        <v>251</v>
      </c>
      <c r="V275" s="56">
        <v>287</v>
      </c>
      <c r="W275" s="56"/>
      <c r="X275" s="56"/>
      <c r="Y275" s="56"/>
      <c r="Z275" s="56">
        <v>214</v>
      </c>
      <c r="AA275" s="56">
        <v>91</v>
      </c>
      <c r="AB275" s="56">
        <v>333</v>
      </c>
      <c r="AC275" s="56"/>
      <c r="AD275" s="56"/>
      <c r="AF275" s="2">
        <v>108</v>
      </c>
      <c r="AG275" s="2">
        <v>251</v>
      </c>
      <c r="AH275" s="2">
        <v>297</v>
      </c>
      <c r="AM275" s="102">
        <f t="shared" si="55"/>
        <v>2141</v>
      </c>
      <c r="AN275" s="257">
        <f t="shared" si="56"/>
        <v>2141</v>
      </c>
      <c r="AO275" s="8"/>
      <c r="AP275" s="501">
        <v>1655</v>
      </c>
      <c r="AQ275" s="2">
        <f t="shared" si="57"/>
        <v>0</v>
      </c>
      <c r="AR275" s="264"/>
      <c r="AS275" s="264"/>
      <c r="AT275" s="264"/>
      <c r="AU275" s="264"/>
      <c r="AV275" s="8">
        <f t="shared" si="58"/>
        <v>486</v>
      </c>
      <c r="AW275" s="282">
        <f t="shared" si="59"/>
        <v>309</v>
      </c>
      <c r="AX275" s="11">
        <f t="shared" si="60"/>
        <v>0</v>
      </c>
      <c r="AY275" s="8">
        <f t="shared" si="61"/>
        <v>0</v>
      </c>
      <c r="CG275" s="264"/>
      <c r="CH275" s="264"/>
      <c r="CI275" s="264"/>
      <c r="CJ275" s="264"/>
      <c r="CK275" s="264"/>
      <c r="DK275" s="271"/>
      <c r="DM275" s="2">
        <v>3</v>
      </c>
      <c r="DN275" s="11"/>
      <c r="DP275" s="249"/>
      <c r="DT275" s="11"/>
      <c r="DU275" s="11"/>
      <c r="DV275" s="279"/>
      <c r="DW275" s="3">
        <v>7.8</v>
      </c>
    </row>
    <row r="276" spans="1:127">
      <c r="A276" s="102">
        <v>224</v>
      </c>
      <c r="B276" s="56">
        <v>6</v>
      </c>
      <c r="C276" s="282"/>
      <c r="D276" s="282"/>
      <c r="E276" s="282"/>
      <c r="F276" s="282"/>
      <c r="G276" s="282"/>
      <c r="H276" s="282"/>
      <c r="I276" s="282"/>
      <c r="J276" s="282"/>
      <c r="K276" s="282"/>
      <c r="L276" s="282"/>
      <c r="M276" s="282"/>
      <c r="N276" s="282"/>
      <c r="O276" s="282"/>
      <c r="P276" s="283"/>
      <c r="Q276" s="283"/>
      <c r="R276" s="235">
        <f t="shared" si="54"/>
        <v>0</v>
      </c>
      <c r="S276" s="249"/>
      <c r="T276" s="56">
        <v>260</v>
      </c>
      <c r="U276" s="56">
        <v>236</v>
      </c>
      <c r="V276" s="56">
        <v>374</v>
      </c>
      <c r="W276" s="56"/>
      <c r="X276" s="56"/>
      <c r="Y276" s="56"/>
      <c r="Z276" s="56">
        <v>161</v>
      </c>
      <c r="AA276" s="56">
        <v>114</v>
      </c>
      <c r="AB276" s="56">
        <v>318</v>
      </c>
      <c r="AC276" s="56"/>
      <c r="AD276" s="56"/>
      <c r="AF276" s="2">
        <v>107</v>
      </c>
      <c r="AG276" s="2">
        <v>207</v>
      </c>
      <c r="AH276" s="2">
        <v>293</v>
      </c>
      <c r="AM276" s="102">
        <f t="shared" si="55"/>
        <v>2070</v>
      </c>
      <c r="AN276" s="257">
        <f t="shared" si="56"/>
        <v>2070</v>
      </c>
      <c r="AO276" s="8"/>
      <c r="AP276" s="501">
        <v>1475</v>
      </c>
      <c r="AQ276" s="2">
        <f t="shared" si="57"/>
        <v>0</v>
      </c>
      <c r="AR276" s="264"/>
      <c r="AS276" s="264"/>
      <c r="AT276" s="264"/>
      <c r="AU276" s="264"/>
      <c r="AV276" s="8">
        <f t="shared" si="58"/>
        <v>595</v>
      </c>
      <c r="AW276" s="282">
        <f t="shared" si="59"/>
        <v>260</v>
      </c>
      <c r="AX276" s="11">
        <f t="shared" si="60"/>
        <v>0</v>
      </c>
      <c r="AY276" s="8">
        <f t="shared" si="61"/>
        <v>0</v>
      </c>
      <c r="CG276" s="264"/>
      <c r="CH276" s="264"/>
      <c r="CI276" s="264"/>
      <c r="CJ276" s="264"/>
      <c r="CK276" s="264"/>
      <c r="DK276" s="271"/>
      <c r="DM276" s="2">
        <v>3</v>
      </c>
      <c r="DN276" s="11"/>
      <c r="DP276" s="249"/>
      <c r="DT276" s="11"/>
      <c r="DU276" s="11"/>
      <c r="DV276" s="279"/>
      <c r="DW276" s="3">
        <v>7.5</v>
      </c>
    </row>
    <row r="277" spans="1:127">
      <c r="A277" s="102">
        <v>225</v>
      </c>
      <c r="B277" s="56">
        <v>6</v>
      </c>
      <c r="C277" s="282"/>
      <c r="D277" s="282"/>
      <c r="E277" s="282"/>
      <c r="F277" s="282"/>
      <c r="G277" s="282"/>
      <c r="H277" s="282"/>
      <c r="I277" s="282"/>
      <c r="J277" s="282"/>
      <c r="K277" s="282"/>
      <c r="L277" s="282"/>
      <c r="M277" s="282"/>
      <c r="N277" s="282"/>
      <c r="O277" s="282"/>
      <c r="P277" s="283"/>
      <c r="Q277" s="283"/>
      <c r="R277" s="235">
        <f t="shared" si="54"/>
        <v>0</v>
      </c>
      <c r="S277" s="249"/>
      <c r="T277" s="56">
        <v>318</v>
      </c>
      <c r="U277" s="56">
        <v>343</v>
      </c>
      <c r="V277" s="56">
        <v>419</v>
      </c>
      <c r="W277" s="56"/>
      <c r="X277" s="56"/>
      <c r="Y277" s="56"/>
      <c r="Z277" s="56">
        <v>262</v>
      </c>
      <c r="AA277" s="56">
        <v>215</v>
      </c>
      <c r="AB277" s="56">
        <v>417</v>
      </c>
      <c r="AC277" s="56"/>
      <c r="AD277" s="56"/>
      <c r="AF277" s="2">
        <v>100</v>
      </c>
      <c r="AG277" s="2">
        <v>240</v>
      </c>
      <c r="AH277" s="2">
        <v>0</v>
      </c>
      <c r="AM277" s="102">
        <f t="shared" si="55"/>
        <v>2314</v>
      </c>
      <c r="AN277" s="257">
        <f t="shared" si="56"/>
        <v>2314</v>
      </c>
      <c r="AO277" s="8"/>
      <c r="AP277" s="501">
        <v>1580</v>
      </c>
      <c r="AQ277" s="2">
        <f t="shared" si="57"/>
        <v>0</v>
      </c>
      <c r="AR277" s="264"/>
      <c r="AS277" s="264"/>
      <c r="AT277" s="264"/>
      <c r="AU277" s="264"/>
      <c r="AV277" s="8">
        <f t="shared" si="58"/>
        <v>734</v>
      </c>
      <c r="AW277" s="282">
        <f t="shared" si="59"/>
        <v>318</v>
      </c>
      <c r="AX277" s="11">
        <f t="shared" si="60"/>
        <v>0</v>
      </c>
      <c r="AY277" s="8">
        <f t="shared" si="61"/>
        <v>0</v>
      </c>
      <c r="CG277" s="264"/>
      <c r="CH277" s="264"/>
      <c r="CI277" s="264"/>
      <c r="CJ277" s="264"/>
      <c r="CK277" s="264"/>
      <c r="DK277" s="271"/>
      <c r="DM277" s="2">
        <v>2</v>
      </c>
      <c r="DN277" s="11"/>
      <c r="DP277" s="249"/>
      <c r="DT277" s="11"/>
      <c r="DU277" s="11"/>
      <c r="DV277" s="11"/>
      <c r="DW277" s="3">
        <v>8.9</v>
      </c>
    </row>
    <row r="278" spans="1:127">
      <c r="A278" s="102">
        <v>226</v>
      </c>
      <c r="B278" s="56">
        <v>6</v>
      </c>
      <c r="C278" s="282"/>
      <c r="D278" s="282"/>
      <c r="E278" s="282"/>
      <c r="F278" s="282"/>
      <c r="G278" s="282"/>
      <c r="H278" s="282"/>
      <c r="I278" s="282"/>
      <c r="J278" s="282"/>
      <c r="K278" s="282"/>
      <c r="L278" s="282"/>
      <c r="M278" s="282"/>
      <c r="N278" s="282"/>
      <c r="O278" s="282"/>
      <c r="P278" s="283"/>
      <c r="Q278" s="283"/>
      <c r="R278" s="235">
        <f t="shared" si="54"/>
        <v>0</v>
      </c>
      <c r="S278" s="249"/>
      <c r="T278" s="56">
        <v>260</v>
      </c>
      <c r="U278" s="56">
        <v>276</v>
      </c>
      <c r="V278" s="56">
        <v>260</v>
      </c>
      <c r="W278" s="56"/>
      <c r="X278" s="56"/>
      <c r="Y278" s="56"/>
      <c r="Z278" s="56">
        <v>136</v>
      </c>
      <c r="AA278" s="56">
        <v>136</v>
      </c>
      <c r="AB278" s="56">
        <v>340</v>
      </c>
      <c r="AC278" s="56"/>
      <c r="AD278" s="56"/>
      <c r="AF278" s="2">
        <v>0</v>
      </c>
      <c r="AG278" s="2">
        <v>224</v>
      </c>
      <c r="AH278" s="2">
        <v>313</v>
      </c>
      <c r="AM278" s="102">
        <f t="shared" si="55"/>
        <v>1945</v>
      </c>
      <c r="AN278" s="257">
        <f t="shared" si="56"/>
        <v>1945</v>
      </c>
      <c r="AO278" s="8"/>
      <c r="AP278" s="501">
        <v>1549</v>
      </c>
      <c r="AQ278" s="2">
        <f t="shared" si="57"/>
        <v>0</v>
      </c>
      <c r="AR278" s="264"/>
      <c r="AS278" s="264"/>
      <c r="AT278" s="264"/>
      <c r="AU278" s="264"/>
      <c r="AV278" s="8">
        <f t="shared" si="58"/>
        <v>396</v>
      </c>
      <c r="AW278" s="282">
        <f t="shared" si="59"/>
        <v>260</v>
      </c>
      <c r="AX278" s="11">
        <f t="shared" si="60"/>
        <v>0</v>
      </c>
      <c r="AY278" s="8">
        <f t="shared" si="61"/>
        <v>0</v>
      </c>
      <c r="CG278" s="264"/>
      <c r="CH278" s="264"/>
      <c r="CI278" s="264"/>
      <c r="CJ278" s="264"/>
      <c r="CK278" s="264"/>
      <c r="DJ278" s="26"/>
      <c r="DK278" s="271"/>
      <c r="DM278" s="2">
        <v>2</v>
      </c>
      <c r="DN278" s="11"/>
      <c r="DP278" s="249"/>
      <c r="DT278" s="11"/>
      <c r="DU278" s="11"/>
      <c r="DV278" s="11"/>
      <c r="DW278" s="3">
        <v>8.6</v>
      </c>
    </row>
    <row r="279" spans="1:127">
      <c r="A279" s="102">
        <v>227</v>
      </c>
      <c r="B279" s="56">
        <v>6</v>
      </c>
      <c r="C279" s="282"/>
      <c r="D279" s="282"/>
      <c r="E279" s="282"/>
      <c r="F279" s="282"/>
      <c r="G279" s="282"/>
      <c r="H279" s="282"/>
      <c r="I279" s="282"/>
      <c r="J279" s="282"/>
      <c r="K279" s="282"/>
      <c r="L279" s="282"/>
      <c r="M279" s="282"/>
      <c r="N279" s="282"/>
      <c r="O279" s="282"/>
      <c r="P279" s="283"/>
      <c r="Q279" s="283"/>
      <c r="R279" s="235">
        <f t="shared" si="54"/>
        <v>0</v>
      </c>
      <c r="S279" s="249"/>
      <c r="T279" s="56">
        <v>300</v>
      </c>
      <c r="U279" s="56">
        <v>299</v>
      </c>
      <c r="V279" s="56">
        <v>336</v>
      </c>
      <c r="W279" s="56"/>
      <c r="X279" s="56"/>
      <c r="Y279" s="56"/>
      <c r="Z279" s="56">
        <v>308</v>
      </c>
      <c r="AA279" s="56">
        <v>225</v>
      </c>
      <c r="AB279" s="56">
        <v>472</v>
      </c>
      <c r="AC279" s="56"/>
      <c r="AD279" s="56"/>
      <c r="AF279" s="2">
        <v>105</v>
      </c>
      <c r="AG279" s="2">
        <v>308</v>
      </c>
      <c r="AH279" s="2">
        <v>402</v>
      </c>
      <c r="AM279" s="102">
        <f t="shared" si="55"/>
        <v>2755</v>
      </c>
      <c r="AN279" s="257">
        <f t="shared" si="56"/>
        <v>2755</v>
      </c>
      <c r="AO279" s="8"/>
      <c r="AP279" s="501">
        <v>2089</v>
      </c>
      <c r="AQ279" s="2">
        <f t="shared" si="57"/>
        <v>0</v>
      </c>
      <c r="AR279" s="264"/>
      <c r="AS279" s="264"/>
      <c r="AT279" s="264"/>
      <c r="AU279" s="264"/>
      <c r="AV279" s="8">
        <f t="shared" si="58"/>
        <v>666</v>
      </c>
      <c r="AW279" s="282">
        <f t="shared" si="59"/>
        <v>300</v>
      </c>
      <c r="AX279" s="11">
        <f t="shared" si="60"/>
        <v>0</v>
      </c>
      <c r="AY279" s="8">
        <f t="shared" si="61"/>
        <v>0</v>
      </c>
      <c r="CG279" s="264"/>
      <c r="CH279" s="264"/>
      <c r="CI279" s="264"/>
      <c r="CJ279" s="264"/>
      <c r="CK279" s="264"/>
      <c r="DJ279" s="26"/>
      <c r="DK279" s="271"/>
      <c r="DM279" s="2">
        <v>3</v>
      </c>
      <c r="DN279" s="11"/>
      <c r="DP279" s="249"/>
      <c r="DT279" s="11"/>
      <c r="DU279" s="11"/>
      <c r="DV279" s="11"/>
      <c r="DW279" s="3">
        <v>9.5</v>
      </c>
    </row>
    <row r="280" spans="1:127">
      <c r="A280" s="102">
        <v>228</v>
      </c>
      <c r="B280" s="56">
        <v>6</v>
      </c>
      <c r="C280" s="282"/>
      <c r="D280" s="282"/>
      <c r="E280" s="282"/>
      <c r="F280" s="282"/>
      <c r="G280" s="282"/>
      <c r="H280" s="282"/>
      <c r="I280" s="282"/>
      <c r="J280" s="282"/>
      <c r="K280" s="282"/>
      <c r="L280" s="282"/>
      <c r="M280" s="282"/>
      <c r="N280" s="282"/>
      <c r="O280" s="282"/>
      <c r="P280" s="283"/>
      <c r="Q280" s="283"/>
      <c r="R280" s="235">
        <f t="shared" si="54"/>
        <v>0</v>
      </c>
      <c r="S280" s="249"/>
      <c r="T280" s="56">
        <v>336</v>
      </c>
      <c r="U280" s="56">
        <v>301</v>
      </c>
      <c r="V280" s="56">
        <v>319</v>
      </c>
      <c r="W280" s="56"/>
      <c r="X280" s="56"/>
      <c r="Y280" s="56"/>
      <c r="Z280" s="56">
        <v>247</v>
      </c>
      <c r="AA280" s="56">
        <v>199</v>
      </c>
      <c r="AB280" s="56">
        <v>440</v>
      </c>
      <c r="AC280" s="56"/>
      <c r="AD280" s="56"/>
      <c r="AF280" s="2">
        <v>114</v>
      </c>
      <c r="AG280" s="2">
        <v>365</v>
      </c>
      <c r="AH280" s="2">
        <v>350</v>
      </c>
      <c r="AM280" s="102">
        <f t="shared" si="55"/>
        <v>2671</v>
      </c>
      <c r="AN280" s="257">
        <f t="shared" si="56"/>
        <v>2671</v>
      </c>
      <c r="AO280" s="8"/>
      <c r="AP280" s="501">
        <v>2039</v>
      </c>
      <c r="AQ280" s="2">
        <f t="shared" si="57"/>
        <v>0</v>
      </c>
      <c r="AR280" s="264"/>
      <c r="AS280" s="264"/>
      <c r="AT280" s="264"/>
      <c r="AU280" s="264"/>
      <c r="AV280" s="8">
        <f t="shared" si="58"/>
        <v>632</v>
      </c>
      <c r="AW280" s="282">
        <f t="shared" si="59"/>
        <v>336</v>
      </c>
      <c r="AX280" s="11">
        <f t="shared" si="60"/>
        <v>0</v>
      </c>
      <c r="AY280" s="8">
        <f t="shared" si="61"/>
        <v>0</v>
      </c>
      <c r="CG280" s="264"/>
      <c r="CH280" s="264"/>
      <c r="CI280" s="264"/>
      <c r="CJ280" s="264"/>
      <c r="CK280" s="264"/>
      <c r="DJ280" s="26"/>
      <c r="DK280" s="271"/>
      <c r="DM280" s="2">
        <v>3</v>
      </c>
      <c r="DN280" s="11"/>
      <c r="DP280" s="249"/>
      <c r="DT280" s="11"/>
      <c r="DU280" s="11"/>
      <c r="DV280" s="11"/>
      <c r="DW280" s="3">
        <v>8.6999999999999993</v>
      </c>
    </row>
    <row r="281" spans="1:127">
      <c r="A281" s="102">
        <v>229</v>
      </c>
      <c r="B281" s="56">
        <v>6</v>
      </c>
      <c r="C281" s="282"/>
      <c r="D281" s="282"/>
      <c r="E281" s="282"/>
      <c r="F281" s="282"/>
      <c r="G281" s="282"/>
      <c r="H281" s="282"/>
      <c r="I281" s="282"/>
      <c r="J281" s="282"/>
      <c r="K281" s="282"/>
      <c r="L281" s="282"/>
      <c r="M281" s="282"/>
      <c r="N281" s="282"/>
      <c r="O281" s="282"/>
      <c r="P281" s="283"/>
      <c r="Q281" s="283"/>
      <c r="R281" s="235">
        <f t="shared" si="54"/>
        <v>0</v>
      </c>
      <c r="S281" s="249"/>
      <c r="T281" s="56">
        <v>307</v>
      </c>
      <c r="U281" s="56">
        <v>218</v>
      </c>
      <c r="V281" s="56">
        <v>373</v>
      </c>
      <c r="W281" s="56"/>
      <c r="X281" s="56"/>
      <c r="Y281" s="56"/>
      <c r="Z281" s="56">
        <v>89</v>
      </c>
      <c r="AA281" s="56">
        <v>111</v>
      </c>
      <c r="AB281" s="56">
        <v>281</v>
      </c>
      <c r="AC281" s="56"/>
      <c r="AD281" s="56"/>
      <c r="AF281" s="2">
        <v>124</v>
      </c>
      <c r="AG281" s="2">
        <v>295</v>
      </c>
      <c r="AH281" s="2">
        <v>257</v>
      </c>
      <c r="AM281" s="102">
        <f t="shared" si="55"/>
        <v>2055</v>
      </c>
      <c r="AN281" s="257">
        <f t="shared" si="56"/>
        <v>2055</v>
      </c>
      <c r="AO281" s="8"/>
      <c r="AP281" s="501">
        <v>1447</v>
      </c>
      <c r="AQ281" s="2">
        <f t="shared" si="57"/>
        <v>0</v>
      </c>
      <c r="AR281" s="264"/>
      <c r="AS281" s="264"/>
      <c r="AT281" s="264"/>
      <c r="AU281" s="264"/>
      <c r="AV281" s="8">
        <f t="shared" si="58"/>
        <v>608</v>
      </c>
      <c r="AW281" s="282">
        <f t="shared" si="59"/>
        <v>307</v>
      </c>
      <c r="AX281" s="11">
        <f t="shared" si="60"/>
        <v>0</v>
      </c>
      <c r="AY281" s="8">
        <f t="shared" si="61"/>
        <v>0</v>
      </c>
      <c r="CG281" s="264"/>
      <c r="CH281" s="264"/>
      <c r="CI281" s="264"/>
      <c r="CJ281" s="264"/>
      <c r="CK281" s="264"/>
      <c r="DJ281" s="26"/>
      <c r="DK281" s="271"/>
      <c r="DM281" s="2">
        <v>3</v>
      </c>
      <c r="DN281" s="11"/>
      <c r="DP281" s="249"/>
      <c r="DT281" s="11"/>
      <c r="DU281" s="11"/>
      <c r="DV281" s="11"/>
      <c r="DW281" s="3">
        <v>12.1</v>
      </c>
    </row>
    <row r="282" spans="1:127">
      <c r="A282" s="102">
        <v>230</v>
      </c>
      <c r="B282" s="56">
        <v>6</v>
      </c>
      <c r="C282" s="282"/>
      <c r="D282" s="282"/>
      <c r="E282" s="282"/>
      <c r="F282" s="282"/>
      <c r="G282" s="282"/>
      <c r="H282" s="282"/>
      <c r="I282" s="282"/>
      <c r="J282" s="282"/>
      <c r="K282" s="282"/>
      <c r="L282" s="282"/>
      <c r="M282" s="282"/>
      <c r="N282" s="282"/>
      <c r="O282" s="282"/>
      <c r="P282" s="283"/>
      <c r="Q282" s="283"/>
      <c r="R282" s="235">
        <f t="shared" si="54"/>
        <v>0</v>
      </c>
      <c r="S282" s="249"/>
      <c r="T282" s="56">
        <v>237</v>
      </c>
      <c r="U282" s="56">
        <v>217</v>
      </c>
      <c r="V282" s="56">
        <v>319</v>
      </c>
      <c r="W282" s="56"/>
      <c r="X282" s="56"/>
      <c r="Y282" s="56"/>
      <c r="Z282" s="56">
        <v>151</v>
      </c>
      <c r="AA282" s="56">
        <v>205</v>
      </c>
      <c r="AB282" s="56">
        <v>300</v>
      </c>
      <c r="AC282" s="56"/>
      <c r="AD282" s="56"/>
      <c r="AF282" s="2">
        <v>147</v>
      </c>
      <c r="AG282" s="2">
        <v>232</v>
      </c>
      <c r="AH282" s="2">
        <v>222</v>
      </c>
      <c r="AM282" s="102">
        <f t="shared" si="55"/>
        <v>2030</v>
      </c>
      <c r="AN282" s="257">
        <f t="shared" si="56"/>
        <v>2030</v>
      </c>
      <c r="AO282" s="8"/>
      <c r="AP282" s="501">
        <v>1359</v>
      </c>
      <c r="AQ282" s="2">
        <f t="shared" si="57"/>
        <v>0</v>
      </c>
      <c r="AR282" s="264"/>
      <c r="AS282" s="264"/>
      <c r="AT282" s="264"/>
      <c r="AU282" s="264"/>
      <c r="AV282" s="8">
        <f t="shared" si="58"/>
        <v>671</v>
      </c>
      <c r="AW282" s="282">
        <f t="shared" si="59"/>
        <v>237</v>
      </c>
      <c r="AX282" s="11">
        <f t="shared" si="60"/>
        <v>0</v>
      </c>
      <c r="AY282" s="8">
        <f t="shared" si="61"/>
        <v>0</v>
      </c>
      <c r="CG282" s="264"/>
      <c r="CH282" s="264"/>
      <c r="CI282" s="264"/>
      <c r="CJ282" s="264"/>
      <c r="CK282" s="264"/>
      <c r="DJ282" s="26"/>
      <c r="DK282" s="271"/>
      <c r="DM282" s="2">
        <v>3</v>
      </c>
      <c r="DN282" s="11"/>
      <c r="DP282" s="249"/>
      <c r="DT282" s="11"/>
      <c r="DU282" s="11"/>
      <c r="DV282" s="11"/>
      <c r="DW282" s="3">
        <v>21.9</v>
      </c>
    </row>
    <row r="283" spans="1:127">
      <c r="A283" s="102">
        <v>231</v>
      </c>
      <c r="B283" s="56">
        <v>6</v>
      </c>
      <c r="C283" s="282"/>
      <c r="D283" s="282"/>
      <c r="E283" s="282"/>
      <c r="F283" s="282"/>
      <c r="G283" s="282"/>
      <c r="H283" s="282"/>
      <c r="I283" s="282"/>
      <c r="J283" s="282"/>
      <c r="K283" s="282"/>
      <c r="L283" s="282"/>
      <c r="M283" s="282"/>
      <c r="N283" s="282"/>
      <c r="O283" s="282"/>
      <c r="P283" s="283"/>
      <c r="Q283" s="283"/>
      <c r="R283" s="235">
        <f t="shared" si="54"/>
        <v>0</v>
      </c>
      <c r="S283" s="249"/>
      <c r="T283" s="56">
        <v>216</v>
      </c>
      <c r="U283" s="56">
        <v>217</v>
      </c>
      <c r="V283" s="56">
        <v>220</v>
      </c>
      <c r="W283" s="56"/>
      <c r="X283" s="56"/>
      <c r="Y283" s="56"/>
      <c r="Z283" s="56">
        <v>158</v>
      </c>
      <c r="AA283" s="56">
        <v>86</v>
      </c>
      <c r="AB283" s="56">
        <v>232</v>
      </c>
      <c r="AC283" s="56"/>
      <c r="AD283" s="56"/>
      <c r="AG283" s="2">
        <v>216</v>
      </c>
      <c r="AH283" s="2">
        <v>246</v>
      </c>
      <c r="AM283" s="102">
        <f t="shared" si="55"/>
        <v>1591</v>
      </c>
      <c r="AN283" s="257">
        <f t="shared" si="56"/>
        <v>1591</v>
      </c>
      <c r="AO283" s="8"/>
      <c r="AP283" s="501">
        <v>1285</v>
      </c>
      <c r="AQ283" s="2">
        <f t="shared" si="57"/>
        <v>0</v>
      </c>
      <c r="AR283" s="264"/>
      <c r="AS283" s="264"/>
      <c r="AT283" s="264"/>
      <c r="AU283" s="264"/>
      <c r="AV283" s="8">
        <f t="shared" si="58"/>
        <v>306</v>
      </c>
      <c r="AW283" s="282">
        <f t="shared" si="59"/>
        <v>216</v>
      </c>
      <c r="AX283" s="11">
        <f t="shared" si="60"/>
        <v>0</v>
      </c>
      <c r="AY283" s="8">
        <f t="shared" si="61"/>
        <v>0</v>
      </c>
      <c r="CG283" s="264"/>
      <c r="CH283" s="264"/>
      <c r="CI283" s="264"/>
      <c r="CJ283" s="264"/>
      <c r="CK283" s="264"/>
      <c r="DJ283" s="26"/>
      <c r="DK283" s="271"/>
      <c r="DM283" s="2">
        <v>3</v>
      </c>
      <c r="DN283" s="11"/>
      <c r="DP283" s="249"/>
      <c r="DT283" s="11"/>
      <c r="DU283" s="11"/>
      <c r="DV283" s="11"/>
      <c r="DW283" s="3">
        <v>8.6</v>
      </c>
    </row>
    <row r="284" spans="1:127">
      <c r="A284" s="102">
        <v>232</v>
      </c>
      <c r="B284" s="56">
        <v>6</v>
      </c>
      <c r="C284" s="282"/>
      <c r="D284" s="282"/>
      <c r="E284" s="282"/>
      <c r="F284" s="282"/>
      <c r="G284" s="282"/>
      <c r="H284" s="282"/>
      <c r="I284" s="282"/>
      <c r="J284" s="282"/>
      <c r="K284" s="282"/>
      <c r="L284" s="282"/>
      <c r="M284" s="282"/>
      <c r="N284" s="282"/>
      <c r="O284" s="282"/>
      <c r="P284" s="283"/>
      <c r="Q284" s="283"/>
      <c r="R284" s="235">
        <f t="shared" si="54"/>
        <v>0</v>
      </c>
      <c r="S284" s="249"/>
      <c r="T284" s="56">
        <v>402</v>
      </c>
      <c r="U284" s="56">
        <v>259</v>
      </c>
      <c r="V284" s="56">
        <v>365</v>
      </c>
      <c r="W284" s="56"/>
      <c r="X284" s="56"/>
      <c r="Y284" s="56"/>
      <c r="Z284" s="56">
        <v>212</v>
      </c>
      <c r="AA284" s="56">
        <v>232</v>
      </c>
      <c r="AB284" s="56">
        <v>315</v>
      </c>
      <c r="AC284" s="56"/>
      <c r="AD284" s="56"/>
      <c r="AF284" s="2">
        <v>117</v>
      </c>
      <c r="AG284" s="2">
        <v>126</v>
      </c>
      <c r="AH284" s="2">
        <v>356</v>
      </c>
      <c r="AM284" s="102">
        <f t="shared" si="55"/>
        <v>2384</v>
      </c>
      <c r="AN284" s="257">
        <f t="shared" si="56"/>
        <v>2384</v>
      </c>
      <c r="AO284" s="8"/>
      <c r="AP284" s="501">
        <v>1670</v>
      </c>
      <c r="AQ284" s="2">
        <f t="shared" si="57"/>
        <v>0</v>
      </c>
      <c r="AR284" s="264"/>
      <c r="AS284" s="264"/>
      <c r="AT284" s="264"/>
      <c r="AU284" s="264"/>
      <c r="AV284" s="8">
        <f t="shared" si="58"/>
        <v>714</v>
      </c>
      <c r="AW284" s="282">
        <f t="shared" si="59"/>
        <v>402</v>
      </c>
      <c r="AX284" s="11">
        <f t="shared" si="60"/>
        <v>0</v>
      </c>
      <c r="AY284" s="8">
        <f t="shared" si="61"/>
        <v>0</v>
      </c>
      <c r="CG284" s="264"/>
      <c r="CH284" s="264"/>
      <c r="CI284" s="264"/>
      <c r="CJ284" s="264"/>
      <c r="CK284" s="264"/>
      <c r="DK284" s="271"/>
      <c r="DM284" s="2">
        <v>3</v>
      </c>
      <c r="DN284" s="11"/>
      <c r="DP284" s="249"/>
      <c r="DT284" s="11"/>
      <c r="DU284" s="11"/>
      <c r="DV284" s="11"/>
      <c r="DW284" s="3">
        <v>13.6</v>
      </c>
    </row>
    <row r="285" spans="1:127">
      <c r="A285" s="90">
        <v>233</v>
      </c>
      <c r="B285" s="56">
        <v>6</v>
      </c>
      <c r="C285" s="282"/>
      <c r="D285" s="282"/>
      <c r="E285" s="282"/>
      <c r="F285" s="282"/>
      <c r="G285" s="282"/>
      <c r="H285" s="282"/>
      <c r="I285" s="282"/>
      <c r="J285" s="282"/>
      <c r="K285" s="282"/>
      <c r="L285" s="282"/>
      <c r="M285" s="282"/>
      <c r="N285" s="282"/>
      <c r="O285" s="282"/>
      <c r="P285" s="283"/>
      <c r="Q285" s="283"/>
      <c r="R285" s="235">
        <f t="shared" si="54"/>
        <v>0</v>
      </c>
      <c r="S285" s="249"/>
      <c r="T285" s="56">
        <v>288</v>
      </c>
      <c r="U285" s="56">
        <v>317</v>
      </c>
      <c r="V285" s="56">
        <v>241</v>
      </c>
      <c r="W285" s="56"/>
      <c r="X285" s="56"/>
      <c r="Y285" s="56"/>
      <c r="Z285" s="56">
        <v>259</v>
      </c>
      <c r="AA285" s="56">
        <v>241</v>
      </c>
      <c r="AB285" s="56">
        <v>343</v>
      </c>
      <c r="AC285" s="56"/>
      <c r="AD285" s="56"/>
      <c r="AF285" s="2">
        <v>192</v>
      </c>
      <c r="AG285" s="2">
        <v>130</v>
      </c>
      <c r="AH285" s="2">
        <v>339</v>
      </c>
      <c r="AM285" s="102">
        <f t="shared" si="55"/>
        <v>2350</v>
      </c>
      <c r="AN285" s="257">
        <f t="shared" si="56"/>
        <v>2350</v>
      </c>
      <c r="AO285" s="8"/>
      <c r="AP285" s="502">
        <v>2350</v>
      </c>
      <c r="AQ285" s="2">
        <f t="shared" si="57"/>
        <v>0</v>
      </c>
      <c r="AR285" s="264"/>
      <c r="AS285" s="264"/>
      <c r="AT285" s="264"/>
      <c r="AU285" s="264"/>
      <c r="AV285" s="8">
        <f t="shared" si="58"/>
        <v>0</v>
      </c>
      <c r="AW285" s="282">
        <f t="shared" si="59"/>
        <v>288</v>
      </c>
      <c r="AX285" s="11">
        <f t="shared" si="60"/>
        <v>0</v>
      </c>
      <c r="AY285" s="8">
        <f t="shared" si="61"/>
        <v>0</v>
      </c>
      <c r="CG285" s="264"/>
      <c r="CH285" s="264"/>
      <c r="CI285" s="264"/>
      <c r="CJ285" s="264"/>
      <c r="CK285" s="264"/>
      <c r="DK285" s="271"/>
      <c r="DM285" s="2">
        <v>3</v>
      </c>
      <c r="DN285" s="11"/>
      <c r="DP285" s="249"/>
      <c r="DT285" s="11"/>
      <c r="DU285" s="11"/>
      <c r="DV285" s="11"/>
      <c r="DW285" s="3">
        <v>10.5</v>
      </c>
    </row>
    <row r="286" spans="1:127">
      <c r="A286" s="90">
        <v>234</v>
      </c>
      <c r="B286" s="56">
        <v>6</v>
      </c>
      <c r="C286" s="282"/>
      <c r="D286" s="282"/>
      <c r="E286" s="282"/>
      <c r="F286" s="282"/>
      <c r="G286" s="282"/>
      <c r="H286" s="282"/>
      <c r="I286" s="282"/>
      <c r="J286" s="282"/>
      <c r="K286" s="282"/>
      <c r="L286" s="282"/>
      <c r="M286" s="282"/>
      <c r="N286" s="282"/>
      <c r="O286" s="282"/>
      <c r="P286" s="283"/>
      <c r="Q286" s="283"/>
      <c r="R286" s="235">
        <f t="shared" si="54"/>
        <v>0</v>
      </c>
      <c r="S286" s="249"/>
      <c r="T286" s="56">
        <v>334</v>
      </c>
      <c r="U286" s="56">
        <v>239</v>
      </c>
      <c r="V286" s="56">
        <v>232</v>
      </c>
      <c r="W286" s="56"/>
      <c r="X286" s="56"/>
      <c r="Y286" s="56"/>
      <c r="Z286" s="56">
        <v>220</v>
      </c>
      <c r="AA286" s="56">
        <v>229</v>
      </c>
      <c r="AB286" s="56">
        <v>319</v>
      </c>
      <c r="AC286" s="56"/>
      <c r="AD286" s="56"/>
      <c r="AF286" s="2">
        <v>123</v>
      </c>
      <c r="AG286" s="2">
        <v>216</v>
      </c>
      <c r="AH286" s="2">
        <v>295</v>
      </c>
      <c r="AM286" s="102">
        <f t="shared" si="55"/>
        <v>2207</v>
      </c>
      <c r="AN286" s="257">
        <f t="shared" si="56"/>
        <v>2207</v>
      </c>
      <c r="AO286" s="8"/>
      <c r="AP286" s="502">
        <v>2207</v>
      </c>
      <c r="AQ286" s="2">
        <f t="shared" si="57"/>
        <v>0</v>
      </c>
      <c r="AR286" s="264"/>
      <c r="AS286" s="264"/>
      <c r="AT286" s="264"/>
      <c r="AU286" s="264"/>
      <c r="AV286" s="8">
        <f t="shared" si="58"/>
        <v>0</v>
      </c>
      <c r="AW286" s="282">
        <f t="shared" si="59"/>
        <v>334</v>
      </c>
      <c r="AX286" s="11">
        <f t="shared" si="60"/>
        <v>0</v>
      </c>
      <c r="AY286" s="8">
        <f t="shared" si="61"/>
        <v>0</v>
      </c>
      <c r="CG286" s="264"/>
      <c r="CH286" s="264"/>
      <c r="CI286" s="264"/>
      <c r="CJ286" s="264"/>
      <c r="CK286" s="264"/>
      <c r="DK286" s="271"/>
      <c r="DM286" s="2">
        <v>3</v>
      </c>
      <c r="DN286" s="11"/>
      <c r="DP286" s="249"/>
      <c r="DT286" s="11"/>
      <c r="DU286" s="11"/>
      <c r="DV286" s="11"/>
      <c r="DW286" s="3">
        <v>6.4</v>
      </c>
    </row>
    <row r="287" spans="1:127">
      <c r="A287" s="90">
        <v>235</v>
      </c>
      <c r="B287" s="56">
        <v>6</v>
      </c>
      <c r="C287" s="282"/>
      <c r="D287" s="282"/>
      <c r="E287" s="282"/>
      <c r="F287" s="282"/>
      <c r="G287" s="282"/>
      <c r="H287" s="282"/>
      <c r="I287" s="282"/>
      <c r="J287" s="282"/>
      <c r="K287" s="282"/>
      <c r="L287" s="282"/>
      <c r="M287" s="282"/>
      <c r="N287" s="282"/>
      <c r="O287" s="282"/>
      <c r="P287" s="283"/>
      <c r="Q287" s="283"/>
      <c r="R287" s="235">
        <f t="shared" si="54"/>
        <v>0</v>
      </c>
      <c r="S287" s="249"/>
      <c r="T287" s="56">
        <v>267</v>
      </c>
      <c r="U287" s="56">
        <v>223</v>
      </c>
      <c r="V287" s="56">
        <v>372</v>
      </c>
      <c r="W287" s="56"/>
      <c r="X287" s="56"/>
      <c r="Y287" s="56"/>
      <c r="Z287" s="56">
        <v>173</v>
      </c>
      <c r="AA287" s="56">
        <v>109</v>
      </c>
      <c r="AB287" s="56">
        <v>279</v>
      </c>
      <c r="AC287" s="56"/>
      <c r="AD287" s="56"/>
      <c r="AF287" s="2">
        <v>210</v>
      </c>
      <c r="AG287" s="2">
        <v>160</v>
      </c>
      <c r="AH287" s="2">
        <v>282</v>
      </c>
      <c r="AM287" s="102">
        <f t="shared" si="55"/>
        <v>2075</v>
      </c>
      <c r="AN287" s="257">
        <f t="shared" si="56"/>
        <v>2075</v>
      </c>
      <c r="AO287" s="8"/>
      <c r="AP287" s="502">
        <v>2075</v>
      </c>
      <c r="AQ287" s="2">
        <f t="shared" si="57"/>
        <v>0</v>
      </c>
      <c r="AR287" s="264"/>
      <c r="AS287" s="264"/>
      <c r="AT287" s="264"/>
      <c r="AU287" s="264"/>
      <c r="AV287" s="8">
        <f t="shared" si="58"/>
        <v>0</v>
      </c>
      <c r="AW287" s="282">
        <f t="shared" si="59"/>
        <v>267</v>
      </c>
      <c r="AX287" s="11">
        <f t="shared" si="60"/>
        <v>0</v>
      </c>
      <c r="AY287" s="8">
        <f t="shared" si="61"/>
        <v>0</v>
      </c>
      <c r="CG287" s="264"/>
      <c r="CH287" s="264"/>
      <c r="CI287" s="264"/>
      <c r="CJ287" s="264"/>
      <c r="CK287" s="264"/>
      <c r="DK287" s="271"/>
      <c r="DM287" s="2">
        <v>3</v>
      </c>
      <c r="DN287" s="11"/>
      <c r="DP287" s="249"/>
      <c r="DT287" s="11"/>
      <c r="DU287" s="11"/>
      <c r="DV287" s="11"/>
      <c r="DW287" s="3">
        <v>14.9</v>
      </c>
    </row>
    <row r="288" spans="1:127">
      <c r="A288" s="90">
        <v>236</v>
      </c>
      <c r="B288" s="56">
        <v>6</v>
      </c>
      <c r="C288" s="282"/>
      <c r="D288" s="282"/>
      <c r="E288" s="282"/>
      <c r="F288" s="282"/>
      <c r="G288" s="282"/>
      <c r="H288" s="282"/>
      <c r="I288" s="282"/>
      <c r="J288" s="282"/>
      <c r="K288" s="282"/>
      <c r="L288" s="282"/>
      <c r="M288" s="282"/>
      <c r="N288" s="282"/>
      <c r="O288" s="282"/>
      <c r="P288" s="283"/>
      <c r="Q288" s="283"/>
      <c r="R288" s="235">
        <f t="shared" si="54"/>
        <v>0</v>
      </c>
      <c r="S288" s="249"/>
      <c r="T288" s="56">
        <v>284</v>
      </c>
      <c r="U288" s="56">
        <v>217</v>
      </c>
      <c r="V288" s="56">
        <v>357</v>
      </c>
      <c r="W288" s="56"/>
      <c r="X288" s="56"/>
      <c r="Y288" s="56"/>
      <c r="Z288" s="56">
        <v>173</v>
      </c>
      <c r="AA288" s="56">
        <v>108</v>
      </c>
      <c r="AB288" s="56">
        <v>294</v>
      </c>
      <c r="AC288" s="56"/>
      <c r="AD288" s="56"/>
      <c r="AF288" s="2">
        <v>152</v>
      </c>
      <c r="AG288" s="2">
        <v>159</v>
      </c>
      <c r="AH288" s="2">
        <v>286</v>
      </c>
      <c r="AM288" s="102">
        <f t="shared" si="55"/>
        <v>2030</v>
      </c>
      <c r="AN288" s="257">
        <f t="shared" si="56"/>
        <v>2030</v>
      </c>
      <c r="AO288" s="8"/>
      <c r="AP288" s="502">
        <v>2030</v>
      </c>
      <c r="AQ288" s="2">
        <f t="shared" si="57"/>
        <v>0</v>
      </c>
      <c r="AR288" s="264"/>
      <c r="AS288" s="264"/>
      <c r="AT288" s="264"/>
      <c r="AU288" s="264"/>
      <c r="AV288" s="8">
        <f t="shared" si="58"/>
        <v>0</v>
      </c>
      <c r="AW288" s="282">
        <f t="shared" si="59"/>
        <v>284</v>
      </c>
      <c r="AX288" s="11">
        <f t="shared" si="60"/>
        <v>0</v>
      </c>
      <c r="AY288" s="8">
        <f t="shared" si="61"/>
        <v>0</v>
      </c>
      <c r="CG288" s="264"/>
      <c r="CH288" s="264"/>
      <c r="CI288" s="264"/>
      <c r="CJ288" s="264"/>
      <c r="CK288" s="264"/>
      <c r="DK288" s="271"/>
      <c r="DM288" s="2">
        <v>3</v>
      </c>
      <c r="DN288" s="11"/>
      <c r="DP288" s="249"/>
      <c r="DT288" s="11"/>
      <c r="DU288" s="11"/>
      <c r="DV288" s="11"/>
      <c r="DW288" s="3">
        <v>10.5</v>
      </c>
    </row>
    <row r="289" spans="1:127">
      <c r="A289" s="90">
        <v>237</v>
      </c>
      <c r="B289" s="56">
        <v>6</v>
      </c>
      <c r="C289" s="282"/>
      <c r="D289" s="282"/>
      <c r="E289" s="282"/>
      <c r="F289" s="282"/>
      <c r="G289" s="282"/>
      <c r="H289" s="282"/>
      <c r="I289" s="282"/>
      <c r="J289" s="282"/>
      <c r="K289" s="282"/>
      <c r="L289" s="282"/>
      <c r="M289" s="282"/>
      <c r="N289" s="282"/>
      <c r="O289" s="282"/>
      <c r="P289" s="283"/>
      <c r="Q289" s="283"/>
      <c r="R289" s="235">
        <f t="shared" si="54"/>
        <v>0</v>
      </c>
      <c r="S289" s="249"/>
      <c r="T289" s="56">
        <v>275</v>
      </c>
      <c r="U289" s="56">
        <v>274</v>
      </c>
      <c r="V289" s="56">
        <v>321</v>
      </c>
      <c r="W289" s="56"/>
      <c r="X289" s="56"/>
      <c r="Y289" s="56"/>
      <c r="Z289" s="56">
        <v>226</v>
      </c>
      <c r="AA289" s="56">
        <v>117</v>
      </c>
      <c r="AB289" s="56">
        <v>258</v>
      </c>
      <c r="AC289" s="56"/>
      <c r="AD289" s="56"/>
      <c r="AF289" s="2">
        <v>150</v>
      </c>
      <c r="AG289" s="2">
        <v>120</v>
      </c>
      <c r="AH289" s="2">
        <v>243</v>
      </c>
      <c r="AM289" s="102">
        <f t="shared" si="55"/>
        <v>1984</v>
      </c>
      <c r="AN289" s="257">
        <f t="shared" si="56"/>
        <v>1984</v>
      </c>
      <c r="AO289" s="8"/>
      <c r="AP289" s="502">
        <v>1984</v>
      </c>
      <c r="AQ289" s="2">
        <f t="shared" si="57"/>
        <v>0</v>
      </c>
      <c r="AR289" s="264"/>
      <c r="AS289" s="264"/>
      <c r="AT289" s="264"/>
      <c r="AU289" s="264"/>
      <c r="AV289" s="8">
        <f t="shared" si="58"/>
        <v>0</v>
      </c>
      <c r="AW289" s="282">
        <f t="shared" si="59"/>
        <v>275</v>
      </c>
      <c r="AX289" s="11">
        <f t="shared" si="60"/>
        <v>0</v>
      </c>
      <c r="AY289" s="8">
        <f t="shared" si="61"/>
        <v>0</v>
      </c>
      <c r="CG289" s="264"/>
      <c r="CH289" s="264"/>
      <c r="CI289" s="264"/>
      <c r="CJ289" s="264"/>
      <c r="CK289" s="264"/>
      <c r="DK289" s="271"/>
      <c r="DM289" s="2">
        <v>3</v>
      </c>
      <c r="DN289" s="11"/>
      <c r="DP289" s="249"/>
      <c r="DT289" s="11"/>
      <c r="DU289" s="11"/>
      <c r="DV289" s="11"/>
      <c r="DW289" s="3">
        <v>6</v>
      </c>
    </row>
    <row r="290" spans="1:127">
      <c r="A290" s="90">
        <v>238</v>
      </c>
      <c r="B290" s="56">
        <v>6</v>
      </c>
      <c r="C290" s="282"/>
      <c r="D290" s="282"/>
      <c r="E290" s="282"/>
      <c r="F290" s="282"/>
      <c r="G290" s="282"/>
      <c r="H290" s="282"/>
      <c r="I290" s="282"/>
      <c r="J290" s="282"/>
      <c r="K290" s="282"/>
      <c r="L290" s="282"/>
      <c r="M290" s="282"/>
      <c r="N290" s="282"/>
      <c r="O290" s="282"/>
      <c r="P290" s="283"/>
      <c r="Q290" s="283"/>
      <c r="R290" s="235">
        <f t="shared" si="54"/>
        <v>0</v>
      </c>
      <c r="S290" s="249"/>
      <c r="T290" s="56">
        <v>246</v>
      </c>
      <c r="U290" s="56">
        <v>285</v>
      </c>
      <c r="V290" s="56">
        <v>319</v>
      </c>
      <c r="W290" s="56"/>
      <c r="X290" s="56"/>
      <c r="Y290" s="56"/>
      <c r="Z290" s="56">
        <v>202</v>
      </c>
      <c r="AA290" s="56">
        <v>174</v>
      </c>
      <c r="AB290" s="56">
        <v>160</v>
      </c>
      <c r="AC290" s="56"/>
      <c r="AD290" s="56"/>
      <c r="AF290" s="2">
        <v>164</v>
      </c>
      <c r="AG290" s="2">
        <v>158</v>
      </c>
      <c r="AH290" s="2">
        <v>285</v>
      </c>
      <c r="AM290" s="102">
        <f t="shared" si="55"/>
        <v>1993</v>
      </c>
      <c r="AN290" s="257">
        <f t="shared" si="56"/>
        <v>1993</v>
      </c>
      <c r="AO290" s="8"/>
      <c r="AP290" s="502">
        <v>1993</v>
      </c>
      <c r="AQ290" s="2">
        <f t="shared" si="57"/>
        <v>0</v>
      </c>
      <c r="AR290" s="264"/>
      <c r="AS290" s="264"/>
      <c r="AT290" s="264"/>
      <c r="AU290" s="264"/>
      <c r="AV290" s="8">
        <f t="shared" si="58"/>
        <v>0</v>
      </c>
      <c r="AW290" s="282">
        <f t="shared" si="59"/>
        <v>246</v>
      </c>
      <c r="AX290" s="11">
        <f t="shared" si="60"/>
        <v>0</v>
      </c>
      <c r="AY290" s="8">
        <f t="shared" si="61"/>
        <v>0</v>
      </c>
      <c r="CG290" s="264"/>
      <c r="CH290" s="264"/>
      <c r="CI290" s="264"/>
      <c r="CJ290" s="264"/>
      <c r="CK290" s="264"/>
      <c r="DK290" s="271"/>
      <c r="DM290" s="2">
        <v>3</v>
      </c>
      <c r="DN290" s="11"/>
      <c r="DP290" s="249"/>
      <c r="DT290" s="11"/>
      <c r="DU290" s="11"/>
      <c r="DV290" s="11"/>
      <c r="DW290" s="3">
        <v>6.7</v>
      </c>
    </row>
    <row r="291" spans="1:127">
      <c r="A291" s="90">
        <v>239</v>
      </c>
      <c r="B291" s="56">
        <v>6</v>
      </c>
      <c r="C291" s="282"/>
      <c r="D291" s="282"/>
      <c r="E291" s="282"/>
      <c r="F291" s="282"/>
      <c r="G291" s="282"/>
      <c r="H291" s="282"/>
      <c r="I291" s="282"/>
      <c r="J291" s="282"/>
      <c r="K291" s="282"/>
      <c r="L291" s="282"/>
      <c r="M291" s="282"/>
      <c r="N291" s="282"/>
      <c r="O291" s="282"/>
      <c r="P291" s="283"/>
      <c r="Q291" s="283"/>
      <c r="R291" s="235">
        <f t="shared" si="54"/>
        <v>0</v>
      </c>
      <c r="S291" s="249"/>
      <c r="T291" s="56">
        <v>280</v>
      </c>
      <c r="U291" s="56">
        <v>147</v>
      </c>
      <c r="V291" s="56">
        <v>490</v>
      </c>
      <c r="W291" s="56"/>
      <c r="X291" s="56"/>
      <c r="Y291" s="56"/>
      <c r="Z291" s="56">
        <v>159</v>
      </c>
      <c r="AA291" s="56">
        <v>190</v>
      </c>
      <c r="AB291" s="56">
        <v>271</v>
      </c>
      <c r="AC291" s="56"/>
      <c r="AD291" s="56"/>
      <c r="AF291" s="2">
        <v>127</v>
      </c>
      <c r="AG291" s="2">
        <v>263</v>
      </c>
      <c r="AH291" s="2">
        <v>309</v>
      </c>
      <c r="AM291" s="102">
        <f t="shared" si="55"/>
        <v>2236</v>
      </c>
      <c r="AN291" s="257">
        <f t="shared" si="56"/>
        <v>2236</v>
      </c>
      <c r="AO291" s="8"/>
      <c r="AP291" s="502">
        <v>2236</v>
      </c>
      <c r="AQ291" s="2">
        <f t="shared" si="57"/>
        <v>0</v>
      </c>
      <c r="AR291" s="264"/>
      <c r="AS291" s="264"/>
      <c r="AT291" s="264"/>
      <c r="AU291" s="264"/>
      <c r="AV291" s="8">
        <f t="shared" si="58"/>
        <v>0</v>
      </c>
      <c r="AW291" s="282">
        <f t="shared" si="59"/>
        <v>280</v>
      </c>
      <c r="AX291" s="11">
        <f t="shared" si="60"/>
        <v>0</v>
      </c>
      <c r="AY291" s="8">
        <f t="shared" si="61"/>
        <v>0</v>
      </c>
      <c r="CG291" s="264"/>
      <c r="CH291" s="264"/>
      <c r="CI291" s="264"/>
      <c r="CJ291" s="264"/>
      <c r="CK291" s="264"/>
      <c r="DJ291" s="26"/>
      <c r="DK291" s="271"/>
      <c r="DM291" s="2">
        <v>3</v>
      </c>
      <c r="DN291" s="11"/>
      <c r="DP291" s="249"/>
      <c r="DT291" s="11"/>
      <c r="DU291" s="11"/>
      <c r="DV291" s="11"/>
      <c r="DW291" s="3">
        <v>10.5</v>
      </c>
    </row>
    <row r="292" spans="1:127">
      <c r="A292" s="90">
        <v>240</v>
      </c>
      <c r="B292" s="56">
        <v>6</v>
      </c>
      <c r="C292" s="282"/>
      <c r="D292" s="282"/>
      <c r="E292" s="282"/>
      <c r="F292" s="282"/>
      <c r="G292" s="282"/>
      <c r="H292" s="282"/>
      <c r="I292" s="282"/>
      <c r="J292" s="282"/>
      <c r="K292" s="282"/>
      <c r="L292" s="282"/>
      <c r="M292" s="282"/>
      <c r="N292" s="282"/>
      <c r="O292" s="282"/>
      <c r="P292" s="283"/>
      <c r="Q292" s="283"/>
      <c r="R292" s="235">
        <f t="shared" si="54"/>
        <v>0</v>
      </c>
      <c r="S292" s="249"/>
      <c r="T292" s="56">
        <v>261</v>
      </c>
      <c r="U292" s="56">
        <v>310</v>
      </c>
      <c r="V292" s="56">
        <v>299</v>
      </c>
      <c r="W292" s="56"/>
      <c r="X292" s="56"/>
      <c r="Y292" s="56"/>
      <c r="Z292" s="56">
        <v>142</v>
      </c>
      <c r="AA292" s="56">
        <v>170</v>
      </c>
      <c r="AB292" s="56">
        <v>189</v>
      </c>
      <c r="AC292" s="56"/>
      <c r="AD292" s="56"/>
      <c r="AF292" s="2">
        <v>85</v>
      </c>
      <c r="AG292" s="2">
        <v>88</v>
      </c>
      <c r="AH292" s="2">
        <v>165</v>
      </c>
      <c r="AM292" s="102">
        <f t="shared" si="55"/>
        <v>1709</v>
      </c>
      <c r="AN292" s="257">
        <f t="shared" si="56"/>
        <v>1709</v>
      </c>
      <c r="AO292" s="8"/>
      <c r="AP292" s="502">
        <v>1709</v>
      </c>
      <c r="AQ292" s="2">
        <f t="shared" si="57"/>
        <v>0</v>
      </c>
      <c r="AR292" s="264"/>
      <c r="AS292" s="264"/>
      <c r="AT292" s="264"/>
      <c r="AU292" s="264"/>
      <c r="AV292" s="8">
        <f t="shared" si="58"/>
        <v>0</v>
      </c>
      <c r="AW292" s="282">
        <f t="shared" si="59"/>
        <v>261</v>
      </c>
      <c r="AX292" s="11">
        <f t="shared" si="60"/>
        <v>0</v>
      </c>
      <c r="AY292" s="8">
        <f t="shared" si="61"/>
        <v>0</v>
      </c>
      <c r="CG292" s="264"/>
      <c r="CH292" s="264"/>
      <c r="CI292" s="264"/>
      <c r="CJ292" s="264"/>
      <c r="CK292" s="264"/>
      <c r="DK292" s="271"/>
      <c r="DM292" s="2">
        <v>3</v>
      </c>
      <c r="DN292" s="11"/>
      <c r="DP292" s="249"/>
      <c r="DT292" s="11"/>
      <c r="DU292" s="11"/>
      <c r="DV292" s="11"/>
      <c r="DW292" s="3">
        <v>10</v>
      </c>
    </row>
    <row r="293" spans="1:127">
      <c r="A293">
        <v>241</v>
      </c>
      <c r="B293" s="56">
        <v>6</v>
      </c>
      <c r="C293" s="282"/>
      <c r="D293" s="282"/>
      <c r="E293" s="282"/>
      <c r="F293" s="282"/>
      <c r="G293" s="282"/>
      <c r="H293" s="282"/>
      <c r="I293" s="282"/>
      <c r="J293" s="282"/>
      <c r="K293" s="282"/>
      <c r="L293" s="282"/>
      <c r="M293" s="282"/>
      <c r="N293" s="282"/>
      <c r="O293" s="282"/>
      <c r="P293" s="283"/>
      <c r="Q293" s="283"/>
      <c r="R293" s="235">
        <f t="shared" si="54"/>
        <v>0</v>
      </c>
      <c r="S293" s="249"/>
      <c r="T293" s="56">
        <v>318</v>
      </c>
      <c r="U293" s="56">
        <v>129</v>
      </c>
      <c r="V293" s="56">
        <v>289</v>
      </c>
      <c r="W293" s="56"/>
      <c r="X293" s="56"/>
      <c r="Y293" s="56"/>
      <c r="Z293" s="56">
        <v>95</v>
      </c>
      <c r="AA293" s="56">
        <v>251</v>
      </c>
      <c r="AB293" s="56">
        <v>325</v>
      </c>
      <c r="AC293" s="56"/>
      <c r="AD293" s="56"/>
      <c r="AF293" s="2">
        <v>160</v>
      </c>
      <c r="AG293" s="2">
        <v>186</v>
      </c>
      <c r="AH293" s="2">
        <v>143</v>
      </c>
      <c r="AM293" s="102">
        <f t="shared" si="55"/>
        <v>1896</v>
      </c>
      <c r="AN293" s="257">
        <f t="shared" si="56"/>
        <v>1896</v>
      </c>
      <c r="AO293" s="8"/>
      <c r="AP293" s="501">
        <v>829</v>
      </c>
      <c r="AQ293" s="2">
        <f t="shared" si="57"/>
        <v>0</v>
      </c>
      <c r="AR293" s="264"/>
      <c r="AS293" s="264"/>
      <c r="AT293" s="264"/>
      <c r="AU293" s="264"/>
      <c r="AV293" s="8">
        <f t="shared" si="58"/>
        <v>1067</v>
      </c>
      <c r="AW293" s="282">
        <f t="shared" si="59"/>
        <v>318</v>
      </c>
      <c r="AX293" s="11">
        <f t="shared" si="60"/>
        <v>0</v>
      </c>
      <c r="AY293" s="8">
        <f t="shared" si="61"/>
        <v>0</v>
      </c>
      <c r="CG293" s="264"/>
      <c r="CH293" s="264"/>
      <c r="CI293" s="264"/>
      <c r="CJ293" s="264"/>
      <c r="CK293" s="264"/>
      <c r="DK293" s="271"/>
      <c r="DM293" s="2">
        <v>3</v>
      </c>
      <c r="DN293" s="11"/>
      <c r="DP293" s="249"/>
      <c r="DT293" s="11"/>
      <c r="DU293" s="11"/>
      <c r="DV293" s="11"/>
      <c r="DW293" s="3">
        <v>10.9</v>
      </c>
    </row>
    <row r="294" spans="1:127">
      <c r="A294">
        <v>242</v>
      </c>
      <c r="B294" s="56">
        <v>6</v>
      </c>
      <c r="C294" s="282"/>
      <c r="D294" s="282"/>
      <c r="E294" s="282"/>
      <c r="F294" s="282"/>
      <c r="G294" s="282"/>
      <c r="H294" s="282"/>
      <c r="I294" s="282"/>
      <c r="J294" s="282"/>
      <c r="K294" s="282"/>
      <c r="L294" s="282"/>
      <c r="M294" s="282"/>
      <c r="N294" s="282"/>
      <c r="O294" s="282"/>
      <c r="P294" s="283"/>
      <c r="Q294" s="283"/>
      <c r="R294" s="235">
        <f t="shared" si="54"/>
        <v>0</v>
      </c>
      <c r="S294" s="249"/>
      <c r="T294" s="56">
        <v>358</v>
      </c>
      <c r="U294" s="56">
        <v>143</v>
      </c>
      <c r="V294" s="56">
        <v>272</v>
      </c>
      <c r="W294" s="56"/>
      <c r="X294" s="56"/>
      <c r="Y294" s="56"/>
      <c r="Z294" s="56">
        <v>104</v>
      </c>
      <c r="AA294" s="56">
        <v>253</v>
      </c>
      <c r="AB294" s="56">
        <v>356</v>
      </c>
      <c r="AC294" s="56"/>
      <c r="AD294" s="56"/>
      <c r="AF294" s="2">
        <v>121</v>
      </c>
      <c r="AG294" s="2">
        <v>217</v>
      </c>
      <c r="AH294" s="2">
        <v>163</v>
      </c>
      <c r="AM294" s="102">
        <f t="shared" si="55"/>
        <v>1987</v>
      </c>
      <c r="AN294" s="257">
        <f t="shared" si="56"/>
        <v>1987</v>
      </c>
      <c r="AO294" s="8"/>
      <c r="AP294" s="501">
        <v>931</v>
      </c>
      <c r="AQ294" s="2">
        <f t="shared" si="57"/>
        <v>0</v>
      </c>
      <c r="AR294" s="264"/>
      <c r="AS294" s="264"/>
      <c r="AT294" s="264"/>
      <c r="AU294" s="264"/>
      <c r="AV294" s="8">
        <f t="shared" si="58"/>
        <v>1056</v>
      </c>
      <c r="AW294" s="282">
        <f t="shared" si="59"/>
        <v>358</v>
      </c>
      <c r="AX294" s="11">
        <f t="shared" si="60"/>
        <v>0</v>
      </c>
      <c r="AY294" s="8">
        <f t="shared" si="61"/>
        <v>0</v>
      </c>
      <c r="CG294" s="264"/>
      <c r="CH294" s="264"/>
      <c r="CI294" s="264"/>
      <c r="CJ294" s="264"/>
      <c r="CK294" s="264"/>
      <c r="DK294" s="271"/>
      <c r="DM294" s="2">
        <v>3</v>
      </c>
      <c r="DN294" s="11"/>
      <c r="DP294" s="249"/>
      <c r="DT294" s="11"/>
      <c r="DU294" s="11"/>
      <c r="DV294" s="11"/>
      <c r="DW294" s="3">
        <v>15.6</v>
      </c>
    </row>
    <row r="295" spans="1:127">
      <c r="A295">
        <v>243</v>
      </c>
      <c r="B295" s="56">
        <v>6</v>
      </c>
      <c r="C295" s="282"/>
      <c r="D295" s="282"/>
      <c r="E295" s="282"/>
      <c r="F295" s="282"/>
      <c r="G295" s="282"/>
      <c r="H295" s="282"/>
      <c r="I295" s="282"/>
      <c r="J295" s="282"/>
      <c r="K295" s="282"/>
      <c r="L295" s="282"/>
      <c r="M295" s="282"/>
      <c r="N295" s="282"/>
      <c r="O295" s="282"/>
      <c r="P295" s="283"/>
      <c r="Q295" s="283"/>
      <c r="R295" s="235">
        <f t="shared" si="54"/>
        <v>0</v>
      </c>
      <c r="S295" s="249"/>
      <c r="T295" s="56">
        <v>329</v>
      </c>
      <c r="U295" s="56">
        <v>102</v>
      </c>
      <c r="V295" s="56">
        <v>393</v>
      </c>
      <c r="W295" s="56"/>
      <c r="X295" s="56"/>
      <c r="Y295" s="56"/>
      <c r="Z295" s="56">
        <v>167</v>
      </c>
      <c r="AA295" s="56">
        <v>172</v>
      </c>
      <c r="AB295" s="56">
        <v>294</v>
      </c>
      <c r="AC295" s="56"/>
      <c r="AD295" s="56"/>
      <c r="AF295" s="2">
        <v>288</v>
      </c>
      <c r="AG295" s="2">
        <v>206</v>
      </c>
      <c r="AH295" s="2">
        <v>206</v>
      </c>
      <c r="AM295" s="102">
        <f t="shared" si="55"/>
        <v>2157</v>
      </c>
      <c r="AN295" s="257">
        <f t="shared" si="56"/>
        <v>2157</v>
      </c>
      <c r="AO295" s="8"/>
      <c r="AP295" s="501">
        <v>829</v>
      </c>
      <c r="AQ295" s="2">
        <f t="shared" si="57"/>
        <v>0</v>
      </c>
      <c r="AR295" s="264"/>
      <c r="AS295" s="264"/>
      <c r="AT295" s="264"/>
      <c r="AU295" s="264"/>
      <c r="AV295" s="8">
        <f t="shared" si="58"/>
        <v>1328</v>
      </c>
      <c r="AW295" s="282">
        <f t="shared" si="59"/>
        <v>329</v>
      </c>
      <c r="AX295" s="11">
        <f t="shared" si="60"/>
        <v>0</v>
      </c>
      <c r="AY295" s="8">
        <f t="shared" si="61"/>
        <v>0</v>
      </c>
      <c r="CG295" s="264"/>
      <c r="CH295" s="264"/>
      <c r="CI295" s="264"/>
      <c r="CJ295" s="264"/>
      <c r="CK295" s="264"/>
      <c r="DK295" s="271"/>
      <c r="DM295" s="2">
        <v>2</v>
      </c>
      <c r="DN295" s="11"/>
      <c r="DP295" s="249"/>
      <c r="DT295" s="11"/>
      <c r="DU295" s="11"/>
      <c r="DV295" s="11"/>
      <c r="DW295" s="3">
        <v>6.1</v>
      </c>
    </row>
    <row r="296" spans="1:127">
      <c r="A296">
        <v>244</v>
      </c>
      <c r="B296" s="56">
        <v>6</v>
      </c>
      <c r="C296" s="282"/>
      <c r="D296" s="282"/>
      <c r="E296" s="282"/>
      <c r="F296" s="282"/>
      <c r="G296" s="282"/>
      <c r="H296" s="282"/>
      <c r="I296" s="282"/>
      <c r="J296" s="282"/>
      <c r="K296" s="282"/>
      <c r="L296" s="282"/>
      <c r="M296" s="282"/>
      <c r="N296" s="282"/>
      <c r="O296" s="282"/>
      <c r="P296" s="283"/>
      <c r="Q296" s="283"/>
      <c r="R296" s="235">
        <f t="shared" si="54"/>
        <v>0</v>
      </c>
      <c r="S296" s="249"/>
      <c r="T296" s="56">
        <v>262</v>
      </c>
      <c r="U296" s="56">
        <v>217</v>
      </c>
      <c r="V296" s="56">
        <v>357</v>
      </c>
      <c r="W296" s="56"/>
      <c r="X296" s="56"/>
      <c r="Y296" s="56"/>
      <c r="Z296" s="56">
        <v>104</v>
      </c>
      <c r="AA296" s="56">
        <v>181</v>
      </c>
      <c r="AB296" s="56">
        <v>284</v>
      </c>
      <c r="AC296" s="56"/>
      <c r="AD296" s="56"/>
      <c r="AF296" s="2">
        <v>183</v>
      </c>
      <c r="AG296" s="2">
        <v>187</v>
      </c>
      <c r="AH296" s="2">
        <v>269</v>
      </c>
      <c r="AM296" s="102">
        <f t="shared" si="55"/>
        <v>2044</v>
      </c>
      <c r="AN296" s="257">
        <f t="shared" si="56"/>
        <v>2044</v>
      </c>
      <c r="AO296" s="8"/>
      <c r="AP296" s="501">
        <v>733</v>
      </c>
      <c r="AQ296" s="2">
        <f t="shared" si="57"/>
        <v>0</v>
      </c>
      <c r="AR296" s="264"/>
      <c r="AS296" s="264"/>
      <c r="AT296" s="264"/>
      <c r="AU296" s="264"/>
      <c r="AV296" s="8">
        <f t="shared" si="58"/>
        <v>1311</v>
      </c>
      <c r="AW296" s="282">
        <f t="shared" si="59"/>
        <v>262</v>
      </c>
      <c r="AX296" s="11">
        <f t="shared" si="60"/>
        <v>0</v>
      </c>
      <c r="AY296" s="8">
        <f t="shared" si="61"/>
        <v>0</v>
      </c>
      <c r="CG296" s="264"/>
      <c r="CH296" s="264"/>
      <c r="CI296" s="264"/>
      <c r="CJ296" s="264"/>
      <c r="CK296" s="264"/>
      <c r="DJ296" s="26"/>
      <c r="DK296" s="271"/>
      <c r="DM296" s="2">
        <v>3</v>
      </c>
      <c r="DN296" s="11"/>
      <c r="DP296" s="249"/>
      <c r="DT296" s="11"/>
      <c r="DU296" s="11"/>
      <c r="DV296" s="11"/>
      <c r="DW296" s="3">
        <v>16.899999999999999</v>
      </c>
    </row>
    <row r="297" spans="1:127">
      <c r="A297">
        <v>245</v>
      </c>
      <c r="B297" s="56">
        <v>6</v>
      </c>
      <c r="C297" s="282"/>
      <c r="D297" s="282"/>
      <c r="E297" s="282"/>
      <c r="F297" s="282"/>
      <c r="G297" s="282"/>
      <c r="H297" s="282"/>
      <c r="I297" s="282"/>
      <c r="J297" s="282"/>
      <c r="K297" s="282"/>
      <c r="L297" s="282"/>
      <c r="M297" s="282"/>
      <c r="N297" s="282"/>
      <c r="O297" s="282"/>
      <c r="P297" s="283"/>
      <c r="Q297" s="283"/>
      <c r="R297" s="235">
        <f t="shared" si="54"/>
        <v>0</v>
      </c>
      <c r="S297" s="249"/>
      <c r="T297" s="56">
        <v>0</v>
      </c>
      <c r="U297" s="56">
        <v>0</v>
      </c>
      <c r="V297" s="56">
        <v>0</v>
      </c>
      <c r="W297" s="56"/>
      <c r="X297" s="56"/>
      <c r="Y297" s="56"/>
      <c r="Z297" s="56">
        <v>126</v>
      </c>
      <c r="AA297" s="56">
        <v>243</v>
      </c>
      <c r="AB297" s="56">
        <v>296</v>
      </c>
      <c r="AC297" s="56"/>
      <c r="AD297" s="56"/>
      <c r="AF297" s="2">
        <v>150</v>
      </c>
      <c r="AG297" s="2">
        <v>276</v>
      </c>
      <c r="AH297" s="2">
        <v>197</v>
      </c>
      <c r="AM297" s="257">
        <f t="shared" si="55"/>
        <v>1288</v>
      </c>
      <c r="AN297" s="257">
        <f t="shared" si="56"/>
        <v>1288</v>
      </c>
      <c r="AO297" s="8"/>
      <c r="AP297" s="501">
        <v>572</v>
      </c>
      <c r="AQ297" s="2">
        <f t="shared" si="57"/>
        <v>0</v>
      </c>
      <c r="AR297" s="264"/>
      <c r="AS297" s="264"/>
      <c r="AT297" s="264"/>
      <c r="AU297" s="264"/>
      <c r="AV297" s="8">
        <f t="shared" si="58"/>
        <v>716</v>
      </c>
      <c r="AW297" s="282">
        <f t="shared" si="59"/>
        <v>0</v>
      </c>
      <c r="AX297" s="11">
        <f t="shared" si="60"/>
        <v>0</v>
      </c>
      <c r="AY297" s="8">
        <f t="shared" si="61"/>
        <v>0</v>
      </c>
      <c r="CG297" s="264"/>
      <c r="CH297" s="264"/>
      <c r="CI297" s="264"/>
      <c r="CJ297" s="264"/>
      <c r="CK297" s="264"/>
      <c r="DJ297" s="26"/>
      <c r="DK297" s="271"/>
      <c r="DM297" s="2">
        <v>3</v>
      </c>
      <c r="DN297" s="11"/>
      <c r="DP297" s="249"/>
      <c r="DT297" s="11"/>
      <c r="DU297" s="11"/>
      <c r="DV297" s="11"/>
      <c r="DW297" s="3">
        <v>8.3000000000000007</v>
      </c>
    </row>
    <row r="298" spans="1:127">
      <c r="A298">
        <v>246</v>
      </c>
      <c r="B298" s="56">
        <v>6</v>
      </c>
      <c r="C298" s="282"/>
      <c r="D298" s="282"/>
      <c r="E298" s="282"/>
      <c r="F298" s="282"/>
      <c r="G298" s="282"/>
      <c r="H298" s="282"/>
      <c r="I298" s="282"/>
      <c r="J298" s="282"/>
      <c r="K298" s="282"/>
      <c r="L298" s="282"/>
      <c r="M298" s="282"/>
      <c r="N298" s="282"/>
      <c r="O298" s="282"/>
      <c r="P298" s="283"/>
      <c r="Q298" s="283"/>
      <c r="R298" s="235">
        <f t="shared" si="54"/>
        <v>0</v>
      </c>
      <c r="S298" s="249"/>
      <c r="T298" s="56">
        <v>297</v>
      </c>
      <c r="U298" s="56">
        <v>240</v>
      </c>
      <c r="V298" s="56">
        <v>334</v>
      </c>
      <c r="W298" s="56"/>
      <c r="X298" s="56"/>
      <c r="Y298" s="56"/>
      <c r="Z298" s="56">
        <v>134</v>
      </c>
      <c r="AA298" s="56">
        <v>281</v>
      </c>
      <c r="AB298" s="56">
        <v>378</v>
      </c>
      <c r="AC298" s="56"/>
      <c r="AD298" s="56"/>
      <c r="AF298" s="2">
        <v>189</v>
      </c>
      <c r="AG298" s="2">
        <v>278</v>
      </c>
      <c r="AH298" s="2">
        <v>256</v>
      </c>
      <c r="AM298" s="102">
        <f t="shared" si="55"/>
        <v>2387</v>
      </c>
      <c r="AN298" s="257">
        <f t="shared" si="56"/>
        <v>2387</v>
      </c>
      <c r="AO298" s="8"/>
      <c r="AP298" s="501">
        <v>953</v>
      </c>
      <c r="AQ298" s="2">
        <f t="shared" si="57"/>
        <v>0</v>
      </c>
      <c r="AR298" s="264"/>
      <c r="AS298" s="264"/>
      <c r="AT298" s="264"/>
      <c r="AU298" s="264"/>
      <c r="AV298" s="8">
        <f t="shared" si="58"/>
        <v>1434</v>
      </c>
      <c r="AW298" s="282">
        <f t="shared" si="59"/>
        <v>297</v>
      </c>
      <c r="AX298" s="11">
        <f t="shared" si="60"/>
        <v>0</v>
      </c>
      <c r="AY298" s="8">
        <f t="shared" si="61"/>
        <v>0</v>
      </c>
      <c r="CG298" s="264"/>
      <c r="CH298" s="264"/>
      <c r="CI298" s="264"/>
      <c r="CJ298" s="264"/>
      <c r="CK298" s="264"/>
      <c r="DK298" s="271"/>
      <c r="DM298" s="2">
        <v>3</v>
      </c>
      <c r="DN298" s="11"/>
      <c r="DP298" s="249"/>
      <c r="DT298" s="11"/>
      <c r="DU298" s="11"/>
      <c r="DV298" s="11"/>
      <c r="DW298" s="3">
        <v>17.399999999999999</v>
      </c>
    </row>
    <row r="299" spans="1:127">
      <c r="A299">
        <v>247</v>
      </c>
      <c r="B299" s="56">
        <v>6</v>
      </c>
      <c r="C299" s="282"/>
      <c r="D299" s="282"/>
      <c r="E299" s="282"/>
      <c r="F299" s="282"/>
      <c r="G299" s="282"/>
      <c r="H299" s="282"/>
      <c r="I299" s="282"/>
      <c r="J299" s="282"/>
      <c r="K299" s="282"/>
      <c r="L299" s="282"/>
      <c r="M299" s="282"/>
      <c r="N299" s="282"/>
      <c r="O299" s="282"/>
      <c r="P299" s="283"/>
      <c r="Q299" s="283"/>
      <c r="R299" s="235">
        <f t="shared" si="54"/>
        <v>0</v>
      </c>
      <c r="S299" s="249"/>
      <c r="T299" s="56">
        <v>302</v>
      </c>
      <c r="U299" s="56">
        <v>224</v>
      </c>
      <c r="V299" s="56">
        <v>255</v>
      </c>
      <c r="W299" s="56"/>
      <c r="X299" s="56"/>
      <c r="Y299" s="56"/>
      <c r="Z299" s="56">
        <v>138</v>
      </c>
      <c r="AA299" s="56">
        <v>277</v>
      </c>
      <c r="AB299" s="56">
        <v>375</v>
      </c>
      <c r="AC299" s="56"/>
      <c r="AD299" s="56"/>
      <c r="AF299" s="2">
        <v>174</v>
      </c>
      <c r="AG299" s="2">
        <v>226</v>
      </c>
      <c r="AH299" s="2">
        <v>273</v>
      </c>
      <c r="AM299" s="102">
        <f t="shared" si="55"/>
        <v>2244</v>
      </c>
      <c r="AN299" s="257">
        <f t="shared" si="56"/>
        <v>2244</v>
      </c>
      <c r="AO299" s="8"/>
      <c r="AP299" s="501">
        <v>903</v>
      </c>
      <c r="AQ299" s="2">
        <f t="shared" si="57"/>
        <v>0</v>
      </c>
      <c r="AR299" s="264"/>
      <c r="AS299" s="264"/>
      <c r="AT299" s="264"/>
      <c r="AU299" s="264"/>
      <c r="AV299" s="8">
        <f t="shared" si="58"/>
        <v>1341</v>
      </c>
      <c r="AW299" s="282">
        <f t="shared" si="59"/>
        <v>302</v>
      </c>
      <c r="AX299" s="11">
        <f t="shared" si="60"/>
        <v>0</v>
      </c>
      <c r="AY299" s="8">
        <f t="shared" si="61"/>
        <v>0</v>
      </c>
      <c r="CG299" s="264"/>
      <c r="CH299" s="264"/>
      <c r="CI299" s="264"/>
      <c r="CJ299" s="264"/>
      <c r="CK299" s="264"/>
      <c r="DK299" s="271"/>
      <c r="DM299" s="2">
        <v>3</v>
      </c>
      <c r="DN299" s="11"/>
      <c r="DP299" s="249"/>
      <c r="DT299" s="11"/>
      <c r="DU299" s="11"/>
      <c r="DV299" s="11"/>
      <c r="DW299" s="3">
        <v>11.9</v>
      </c>
    </row>
    <row r="300" spans="1:127">
      <c r="A300">
        <v>248</v>
      </c>
      <c r="B300" s="56">
        <v>6</v>
      </c>
      <c r="C300" s="282"/>
      <c r="D300" s="282"/>
      <c r="E300" s="282"/>
      <c r="F300" s="282"/>
      <c r="G300" s="282"/>
      <c r="H300" s="282"/>
      <c r="I300" s="282"/>
      <c r="J300" s="282"/>
      <c r="K300" s="282"/>
      <c r="L300" s="282"/>
      <c r="M300" s="282"/>
      <c r="N300" s="282"/>
      <c r="O300" s="282"/>
      <c r="P300" s="283"/>
      <c r="Q300" s="283"/>
      <c r="R300" s="235">
        <f>SUM(C300:Q300)</f>
        <v>0</v>
      </c>
      <c r="S300" s="249"/>
      <c r="T300" s="56">
        <v>292</v>
      </c>
      <c r="U300" s="56">
        <v>240</v>
      </c>
      <c r="V300" s="56">
        <v>336</v>
      </c>
      <c r="W300" s="56"/>
      <c r="X300" s="56"/>
      <c r="Y300" s="56"/>
      <c r="Z300" s="56">
        <v>117</v>
      </c>
      <c r="AA300" s="56">
        <v>145</v>
      </c>
      <c r="AB300" s="56">
        <v>353</v>
      </c>
      <c r="AC300" s="56"/>
      <c r="AD300" s="56"/>
      <c r="AF300" s="2">
        <v>130</v>
      </c>
      <c r="AG300" s="2">
        <v>206</v>
      </c>
      <c r="AH300" s="2">
        <v>257</v>
      </c>
      <c r="AM300" s="102">
        <f t="shared" si="55"/>
        <v>2076</v>
      </c>
      <c r="AN300" s="257">
        <f t="shared" si="56"/>
        <v>2076</v>
      </c>
      <c r="AO300" s="8"/>
      <c r="AP300" s="501">
        <v>851</v>
      </c>
      <c r="AQ300" s="2">
        <f t="shared" si="57"/>
        <v>0</v>
      </c>
      <c r="AR300" s="264"/>
      <c r="AS300" s="264"/>
      <c r="AT300" s="264"/>
      <c r="AU300" s="264"/>
      <c r="AV300" s="8">
        <f t="shared" si="58"/>
        <v>1225</v>
      </c>
      <c r="AW300" s="282">
        <f t="shared" si="59"/>
        <v>292</v>
      </c>
      <c r="AX300" s="11">
        <f t="shared" si="60"/>
        <v>0</v>
      </c>
      <c r="AY300" s="8">
        <f t="shared" si="61"/>
        <v>0</v>
      </c>
      <c r="CG300" s="264"/>
      <c r="CH300" s="264"/>
      <c r="CI300" s="264"/>
      <c r="CJ300" s="264"/>
      <c r="CK300" s="264"/>
      <c r="DK300" s="271"/>
      <c r="DM300" s="2">
        <v>1</v>
      </c>
      <c r="DN300" s="11"/>
      <c r="DP300" s="249"/>
      <c r="DT300" s="11"/>
      <c r="DU300" s="11"/>
      <c r="DV300" s="11"/>
      <c r="DW300" s="3">
        <v>12</v>
      </c>
    </row>
    <row r="301" spans="1:127">
      <c r="A301">
        <v>249</v>
      </c>
      <c r="B301" s="56">
        <v>6</v>
      </c>
      <c r="C301" s="282"/>
      <c r="D301" s="282"/>
      <c r="E301" s="282"/>
      <c r="F301" s="282"/>
      <c r="G301" s="282"/>
      <c r="H301" s="282"/>
      <c r="I301" s="282"/>
      <c r="J301" s="282"/>
      <c r="K301" s="282"/>
      <c r="L301" s="282"/>
      <c r="M301" s="282"/>
      <c r="N301" s="282"/>
      <c r="O301" s="282"/>
      <c r="P301" s="283"/>
      <c r="Q301" s="283"/>
      <c r="R301" s="235">
        <f>SUM(C301:Q301)</f>
        <v>0</v>
      </c>
      <c r="S301" s="249"/>
      <c r="T301" s="56">
        <v>334</v>
      </c>
      <c r="U301" s="56">
        <v>262</v>
      </c>
      <c r="V301" s="56">
        <v>420</v>
      </c>
      <c r="W301" s="56"/>
      <c r="X301" s="56"/>
      <c r="Y301" s="56"/>
      <c r="Z301" s="56">
        <v>218</v>
      </c>
      <c r="AA301" s="56">
        <v>284</v>
      </c>
      <c r="AB301" s="56">
        <v>352</v>
      </c>
      <c r="AC301" s="56"/>
      <c r="AD301" s="56"/>
      <c r="AF301" s="2">
        <v>271</v>
      </c>
      <c r="AG301" s="2">
        <v>266</v>
      </c>
      <c r="AH301" s="2">
        <v>303</v>
      </c>
      <c r="AM301" s="102">
        <f t="shared" si="55"/>
        <v>2710</v>
      </c>
      <c r="AN301" s="257">
        <f t="shared" si="56"/>
        <v>2710</v>
      </c>
      <c r="AO301" s="8"/>
      <c r="AP301" s="501">
        <v>952</v>
      </c>
      <c r="AQ301" s="2">
        <f t="shared" si="57"/>
        <v>0</v>
      </c>
      <c r="AR301" s="264"/>
      <c r="AS301" s="264"/>
      <c r="AT301" s="264"/>
      <c r="AU301" s="264"/>
      <c r="AV301" s="8">
        <f t="shared" si="58"/>
        <v>1758</v>
      </c>
      <c r="AW301" s="282">
        <f t="shared" si="59"/>
        <v>334</v>
      </c>
      <c r="AX301" s="11">
        <f t="shared" si="60"/>
        <v>0</v>
      </c>
      <c r="AY301" s="8">
        <f t="shared" si="61"/>
        <v>0</v>
      </c>
      <c r="CG301" s="264"/>
      <c r="CH301" s="264"/>
      <c r="CI301" s="264"/>
      <c r="CJ301" s="264"/>
      <c r="CK301" s="264"/>
      <c r="DK301" s="271"/>
      <c r="DM301" s="2">
        <v>3</v>
      </c>
      <c r="DN301" s="11"/>
      <c r="DP301" s="249"/>
      <c r="DT301" s="11"/>
      <c r="DU301" s="11"/>
      <c r="DV301" s="11"/>
      <c r="DW301" s="3">
        <v>7.5</v>
      </c>
    </row>
    <row r="302" spans="1:127">
      <c r="A302">
        <v>250</v>
      </c>
      <c r="B302" s="56">
        <v>6</v>
      </c>
      <c r="C302" s="282"/>
      <c r="D302" s="282"/>
      <c r="E302" s="282"/>
      <c r="F302" s="282"/>
      <c r="G302" s="282"/>
      <c r="H302" s="282"/>
      <c r="I302" s="282"/>
      <c r="J302" s="282"/>
      <c r="K302" s="282"/>
      <c r="L302" s="282"/>
      <c r="M302" s="282"/>
      <c r="N302" s="282"/>
      <c r="O302" s="282"/>
      <c r="P302" s="283"/>
      <c r="Q302" s="283"/>
      <c r="R302" s="235">
        <f>SUM(C302:Q302)</f>
        <v>0</v>
      </c>
      <c r="S302" s="249"/>
      <c r="T302" s="56">
        <v>289</v>
      </c>
      <c r="U302" s="56">
        <v>178</v>
      </c>
      <c r="V302" s="56">
        <v>227</v>
      </c>
      <c r="W302" s="56"/>
      <c r="X302" s="56"/>
      <c r="Y302" s="56"/>
      <c r="Z302" s="56">
        <v>0</v>
      </c>
      <c r="AA302" s="56">
        <v>198</v>
      </c>
      <c r="AB302" s="56">
        <v>332</v>
      </c>
      <c r="AC302" s="56"/>
      <c r="AD302" s="56"/>
      <c r="AF302" s="2">
        <v>0</v>
      </c>
      <c r="AG302" s="2">
        <v>261</v>
      </c>
      <c r="AH302" s="2">
        <v>227</v>
      </c>
      <c r="AM302" s="102">
        <f t="shared" si="55"/>
        <v>1712</v>
      </c>
      <c r="AN302" s="257">
        <f t="shared" si="56"/>
        <v>1712</v>
      </c>
      <c r="AO302" s="8"/>
      <c r="AP302" s="501">
        <v>882</v>
      </c>
      <c r="AQ302" s="2">
        <f t="shared" si="57"/>
        <v>0</v>
      </c>
      <c r="AR302" s="264"/>
      <c r="AS302" s="264"/>
      <c r="AT302" s="264"/>
      <c r="AU302" s="264"/>
      <c r="AV302" s="8">
        <f t="shared" si="58"/>
        <v>830</v>
      </c>
      <c r="AW302" s="282">
        <f t="shared" si="59"/>
        <v>289</v>
      </c>
      <c r="AX302" s="11">
        <f t="shared" si="60"/>
        <v>0</v>
      </c>
      <c r="AY302" s="8">
        <f t="shared" si="61"/>
        <v>0</v>
      </c>
      <c r="CG302" s="264"/>
      <c r="CH302" s="264"/>
      <c r="CI302" s="264"/>
      <c r="CJ302" s="264"/>
      <c r="CK302" s="264"/>
      <c r="DK302" s="271"/>
      <c r="DM302" s="2">
        <v>2</v>
      </c>
      <c r="DN302" s="11"/>
      <c r="DP302" s="249"/>
      <c r="DT302" s="11"/>
      <c r="DU302" s="11"/>
      <c r="DV302" s="11"/>
      <c r="DW302" s="3">
        <v>6.7</v>
      </c>
    </row>
    <row r="303" spans="1:127">
      <c r="A303">
        <v>499</v>
      </c>
      <c r="B303" s="56">
        <v>6</v>
      </c>
      <c r="C303" s="282"/>
      <c r="D303" s="282"/>
      <c r="E303" s="282"/>
      <c r="F303" s="282"/>
      <c r="G303" s="282"/>
      <c r="H303" s="282"/>
      <c r="I303" s="282"/>
      <c r="J303" s="282"/>
      <c r="K303" s="282"/>
      <c r="L303" s="282"/>
      <c r="M303" s="282"/>
      <c r="N303" s="282"/>
      <c r="O303" s="282"/>
      <c r="P303" s="283"/>
      <c r="Q303" s="283"/>
      <c r="S303" s="249"/>
      <c r="T303" s="56">
        <v>220</v>
      </c>
      <c r="U303" s="56">
        <v>166</v>
      </c>
      <c r="V303" s="56">
        <v>372</v>
      </c>
      <c r="W303" s="56"/>
      <c r="X303" s="56"/>
      <c r="Y303" s="56"/>
      <c r="Z303" s="56"/>
      <c r="AA303" s="56">
        <v>338</v>
      </c>
      <c r="AB303" s="56">
        <v>424</v>
      </c>
      <c r="AC303" s="56"/>
      <c r="AD303" s="56"/>
      <c r="AF303" s="2">
        <v>0</v>
      </c>
      <c r="AG303" s="2">
        <v>147</v>
      </c>
      <c r="AH303" s="2">
        <v>120</v>
      </c>
      <c r="AM303" s="102">
        <f t="shared" ref="AM303:AM314" si="62">SUM(S303:AL303)</f>
        <v>1787</v>
      </c>
      <c r="AN303" s="257">
        <f t="shared" ref="AN303:AN314" si="63">R303+AM303</f>
        <v>1787</v>
      </c>
      <c r="AO303" s="8"/>
      <c r="AP303" s="501">
        <v>791</v>
      </c>
      <c r="AQ303" s="2">
        <f t="shared" ref="AQ303:AQ314" si="64">IF(AN303&gt;=$AW$4,1,0)</f>
        <v>0</v>
      </c>
      <c r="AR303" s="264"/>
      <c r="AS303" s="264"/>
      <c r="AT303" s="264"/>
      <c r="AU303" s="264"/>
      <c r="AV303" s="8">
        <f t="shared" si="58"/>
        <v>996</v>
      </c>
      <c r="AW303" s="282">
        <f t="shared" si="59"/>
        <v>220</v>
      </c>
      <c r="AX303" s="11">
        <f t="shared" si="60"/>
        <v>0</v>
      </c>
      <c r="AY303" s="8">
        <f t="shared" si="61"/>
        <v>0</v>
      </c>
      <c r="CG303" s="264"/>
      <c r="CH303" s="264"/>
      <c r="CI303" s="264"/>
      <c r="CJ303" s="264"/>
      <c r="CK303" s="264"/>
      <c r="DK303" s="271"/>
      <c r="DM303" s="2">
        <v>3</v>
      </c>
      <c r="DN303" s="11"/>
      <c r="DP303" s="249"/>
      <c r="DT303" s="11"/>
      <c r="DU303" s="11"/>
      <c r="DV303" s="11"/>
      <c r="DW303" s="3">
        <v>9.5</v>
      </c>
    </row>
    <row r="304" spans="1:127">
      <c r="A304">
        <v>500</v>
      </c>
      <c r="B304" s="56">
        <v>6</v>
      </c>
      <c r="C304" s="282"/>
      <c r="D304" s="282"/>
      <c r="E304" s="282"/>
      <c r="F304" s="282"/>
      <c r="G304" s="282"/>
      <c r="H304" s="282"/>
      <c r="I304" s="282"/>
      <c r="J304" s="282"/>
      <c r="K304" s="282"/>
      <c r="L304" s="282"/>
      <c r="M304" s="282"/>
      <c r="N304" s="282"/>
      <c r="O304" s="282"/>
      <c r="P304" s="283"/>
      <c r="Q304" s="283"/>
      <c r="S304" s="249"/>
      <c r="T304" s="56">
        <v>322</v>
      </c>
      <c r="U304" s="56">
        <v>328</v>
      </c>
      <c r="V304" s="56">
        <v>402</v>
      </c>
      <c r="W304" s="56"/>
      <c r="X304" s="56"/>
      <c r="Y304" s="56"/>
      <c r="Z304" s="56"/>
      <c r="AA304" s="56">
        <v>361</v>
      </c>
      <c r="AB304" s="56">
        <v>338</v>
      </c>
      <c r="AC304" s="56"/>
      <c r="AD304" s="56"/>
      <c r="AF304" s="2">
        <v>0</v>
      </c>
      <c r="AG304" s="2">
        <v>0</v>
      </c>
      <c r="AH304" s="2">
        <v>0</v>
      </c>
      <c r="AM304" s="102">
        <f t="shared" si="62"/>
        <v>1751</v>
      </c>
      <c r="AN304" s="257">
        <f t="shared" si="63"/>
        <v>1751</v>
      </c>
      <c r="AO304" s="8"/>
      <c r="AP304" s="501">
        <v>660</v>
      </c>
      <c r="AQ304" s="2">
        <f t="shared" si="64"/>
        <v>0</v>
      </c>
      <c r="AR304" s="264"/>
      <c r="AS304" s="264"/>
      <c r="AT304" s="264"/>
      <c r="AU304" s="264"/>
      <c r="AV304" s="8">
        <f t="shared" si="58"/>
        <v>1091</v>
      </c>
      <c r="AW304" s="282">
        <f t="shared" si="59"/>
        <v>322</v>
      </c>
      <c r="AX304" s="11">
        <f t="shared" si="60"/>
        <v>0</v>
      </c>
      <c r="AY304" s="8">
        <f t="shared" si="61"/>
        <v>0</v>
      </c>
      <c r="CG304" s="264"/>
      <c r="CH304" s="264"/>
      <c r="CI304" s="264"/>
      <c r="CJ304" s="264"/>
      <c r="CK304" s="264"/>
      <c r="DK304" s="271"/>
      <c r="DM304" s="2">
        <v>3</v>
      </c>
      <c r="DN304" s="11"/>
      <c r="DP304" s="249"/>
      <c r="DT304" s="11"/>
      <c r="DU304" s="11"/>
      <c r="DV304" s="11"/>
      <c r="DW304" s="3">
        <v>23.4</v>
      </c>
    </row>
    <row r="305" spans="1:130">
      <c r="A305">
        <v>501</v>
      </c>
      <c r="B305" s="56">
        <v>6</v>
      </c>
      <c r="C305" s="282"/>
      <c r="D305" s="282"/>
      <c r="E305" s="282"/>
      <c r="F305" s="282"/>
      <c r="G305" s="282"/>
      <c r="H305" s="282"/>
      <c r="I305" s="282"/>
      <c r="J305" s="282"/>
      <c r="K305" s="282"/>
      <c r="L305" s="282"/>
      <c r="M305" s="282"/>
      <c r="N305" s="282"/>
      <c r="O305" s="282"/>
      <c r="P305" s="283"/>
      <c r="Q305" s="283"/>
      <c r="S305" s="249"/>
      <c r="T305" s="56">
        <v>308</v>
      </c>
      <c r="U305" s="56">
        <v>287</v>
      </c>
      <c r="V305" s="56">
        <v>267</v>
      </c>
      <c r="W305" s="56"/>
      <c r="X305" s="56"/>
      <c r="Y305" s="56"/>
      <c r="Z305" s="56">
        <v>134</v>
      </c>
      <c r="AA305" s="56">
        <v>236</v>
      </c>
      <c r="AB305" s="56">
        <v>283</v>
      </c>
      <c r="AC305" s="56"/>
      <c r="AD305" s="56"/>
      <c r="AF305" s="2">
        <v>167</v>
      </c>
      <c r="AG305" s="2">
        <v>239</v>
      </c>
      <c r="AH305" s="2">
        <v>295</v>
      </c>
      <c r="AM305" s="102">
        <f t="shared" si="62"/>
        <v>2216</v>
      </c>
      <c r="AN305" s="257">
        <f t="shared" si="63"/>
        <v>2216</v>
      </c>
      <c r="AO305" s="8"/>
      <c r="AP305" s="501">
        <v>830</v>
      </c>
      <c r="AQ305" s="2">
        <f t="shared" si="64"/>
        <v>0</v>
      </c>
      <c r="AR305" s="264"/>
      <c r="AS305" s="264"/>
      <c r="AT305" s="264"/>
      <c r="AU305" s="264"/>
      <c r="AV305" s="8">
        <f t="shared" si="58"/>
        <v>1386</v>
      </c>
      <c r="AW305" s="282">
        <f t="shared" si="59"/>
        <v>308</v>
      </c>
      <c r="AX305" s="11">
        <f t="shared" si="60"/>
        <v>0</v>
      </c>
      <c r="AY305" s="8">
        <f t="shared" si="61"/>
        <v>0</v>
      </c>
      <c r="CG305" s="264"/>
      <c r="CH305" s="264"/>
      <c r="CI305" s="264"/>
      <c r="CJ305" s="264"/>
      <c r="CK305" s="264"/>
      <c r="DK305" s="271"/>
      <c r="DM305" s="2">
        <v>3</v>
      </c>
      <c r="DN305" s="11"/>
      <c r="DP305" s="249"/>
      <c r="DT305" s="11"/>
      <c r="DU305" s="11"/>
      <c r="DV305" s="11"/>
      <c r="DW305" s="3">
        <v>16</v>
      </c>
    </row>
    <row r="306" spans="1:130">
      <c r="A306">
        <v>502</v>
      </c>
      <c r="B306" s="56">
        <v>6</v>
      </c>
      <c r="C306" s="282"/>
      <c r="D306" s="282"/>
      <c r="E306" s="282"/>
      <c r="F306" s="282"/>
      <c r="G306" s="282"/>
      <c r="H306" s="282"/>
      <c r="I306" s="282"/>
      <c r="J306" s="282"/>
      <c r="K306" s="282"/>
      <c r="L306" s="282"/>
      <c r="M306" s="282"/>
      <c r="N306" s="282"/>
      <c r="O306" s="282"/>
      <c r="P306" s="283"/>
      <c r="Q306" s="283"/>
      <c r="S306" s="249"/>
      <c r="T306" s="56">
        <v>277</v>
      </c>
      <c r="U306" s="56">
        <v>190</v>
      </c>
      <c r="V306" s="56">
        <v>309</v>
      </c>
      <c r="W306" s="56"/>
      <c r="X306" s="56"/>
      <c r="Y306" s="56"/>
      <c r="Z306" s="56">
        <v>0</v>
      </c>
      <c r="AA306" s="56">
        <v>253</v>
      </c>
      <c r="AB306" s="56">
        <v>361</v>
      </c>
      <c r="AC306" s="56"/>
      <c r="AD306" s="56"/>
      <c r="AF306" s="2">
        <v>0</v>
      </c>
      <c r="AG306" s="2">
        <v>242</v>
      </c>
      <c r="AH306" s="2">
        <v>190</v>
      </c>
      <c r="AM306" s="102">
        <f t="shared" si="62"/>
        <v>1822</v>
      </c>
      <c r="AN306" s="257">
        <f t="shared" si="63"/>
        <v>1822</v>
      </c>
      <c r="AO306" s="8"/>
      <c r="AP306" s="501">
        <v>880</v>
      </c>
      <c r="AQ306" s="2">
        <f t="shared" si="64"/>
        <v>0</v>
      </c>
      <c r="AR306" s="264"/>
      <c r="AS306" s="264"/>
      <c r="AT306" s="264"/>
      <c r="AU306" s="264"/>
      <c r="AV306" s="8">
        <f t="shared" si="58"/>
        <v>942</v>
      </c>
      <c r="AW306" s="282">
        <f t="shared" si="59"/>
        <v>277</v>
      </c>
      <c r="AX306" s="11">
        <f t="shared" si="60"/>
        <v>0</v>
      </c>
      <c r="AY306" s="8">
        <f t="shared" si="61"/>
        <v>0</v>
      </c>
      <c r="CG306" s="264"/>
      <c r="CH306" s="264"/>
      <c r="CI306" s="264"/>
      <c r="CJ306" s="264"/>
      <c r="CK306" s="264"/>
      <c r="DK306" s="271"/>
      <c r="DM306" s="2">
        <v>3</v>
      </c>
      <c r="DN306" s="11"/>
      <c r="DP306" s="249"/>
      <c r="DT306" s="11"/>
      <c r="DU306" s="11"/>
      <c r="DV306" s="11"/>
      <c r="DW306" s="3">
        <v>20</v>
      </c>
    </row>
    <row r="307" spans="1:130">
      <c r="A307">
        <v>503</v>
      </c>
      <c r="B307" s="56">
        <v>6</v>
      </c>
      <c r="C307" s="282"/>
      <c r="D307" s="282"/>
      <c r="E307" s="282"/>
      <c r="F307" s="282"/>
      <c r="G307" s="282"/>
      <c r="H307" s="282"/>
      <c r="I307" s="282"/>
      <c r="J307" s="282"/>
      <c r="K307" s="282"/>
      <c r="L307" s="282"/>
      <c r="M307" s="282"/>
      <c r="N307" s="282"/>
      <c r="O307" s="282"/>
      <c r="P307" s="283"/>
      <c r="Q307" s="283"/>
      <c r="S307" s="249"/>
      <c r="T307" s="56">
        <v>301</v>
      </c>
      <c r="U307" s="56">
        <v>196</v>
      </c>
      <c r="V307" s="56">
        <v>276</v>
      </c>
      <c r="W307" s="56"/>
      <c r="X307" s="56"/>
      <c r="Y307" s="56"/>
      <c r="Z307" s="56">
        <v>0</v>
      </c>
      <c r="AA307" s="56">
        <v>280</v>
      </c>
      <c r="AB307" s="56">
        <v>394</v>
      </c>
      <c r="AC307" s="56"/>
      <c r="AD307" s="56"/>
      <c r="AF307" s="2">
        <v>139</v>
      </c>
      <c r="AG307" s="2">
        <v>226</v>
      </c>
      <c r="AH307" s="2">
        <v>183</v>
      </c>
      <c r="AM307" s="102">
        <f t="shared" si="62"/>
        <v>1995</v>
      </c>
      <c r="AN307" s="257">
        <f t="shared" si="63"/>
        <v>1995</v>
      </c>
      <c r="AO307" s="8"/>
      <c r="AP307" s="501">
        <v>921</v>
      </c>
      <c r="AQ307" s="2">
        <f t="shared" si="64"/>
        <v>0</v>
      </c>
      <c r="AR307" s="264"/>
      <c r="AS307" s="264"/>
      <c r="AT307" s="264"/>
      <c r="AU307" s="264"/>
      <c r="AV307" s="8">
        <f t="shared" si="58"/>
        <v>1074</v>
      </c>
      <c r="AW307" s="282">
        <f t="shared" si="59"/>
        <v>301</v>
      </c>
      <c r="AX307" s="11">
        <f t="shared" si="60"/>
        <v>0</v>
      </c>
      <c r="AY307" s="8">
        <f t="shared" si="61"/>
        <v>0</v>
      </c>
      <c r="CG307" s="264"/>
      <c r="CH307" s="264"/>
      <c r="CI307" s="264"/>
      <c r="CJ307" s="264"/>
      <c r="CK307" s="264"/>
      <c r="DK307" s="271"/>
      <c r="DM307" s="2">
        <v>3</v>
      </c>
      <c r="DN307" s="11"/>
      <c r="DP307" s="249"/>
      <c r="DT307" s="11"/>
      <c r="DU307" s="11"/>
      <c r="DV307" s="11"/>
      <c r="DW307" s="3">
        <v>17.100000000000001</v>
      </c>
    </row>
    <row r="308" spans="1:130">
      <c r="A308">
        <v>504</v>
      </c>
      <c r="B308" s="56">
        <v>6</v>
      </c>
      <c r="C308" s="282"/>
      <c r="D308" s="282"/>
      <c r="E308" s="282"/>
      <c r="F308" s="282"/>
      <c r="G308" s="282"/>
      <c r="H308" s="282"/>
      <c r="I308" s="282"/>
      <c r="J308" s="282"/>
      <c r="K308" s="282"/>
      <c r="L308" s="282"/>
      <c r="M308" s="282"/>
      <c r="N308" s="282"/>
      <c r="O308" s="282"/>
      <c r="P308" s="283"/>
      <c r="Q308" s="283"/>
      <c r="S308" s="249"/>
      <c r="T308" s="56">
        <v>353</v>
      </c>
      <c r="U308" s="56">
        <v>222</v>
      </c>
      <c r="V308" s="56">
        <v>369</v>
      </c>
      <c r="W308" s="56"/>
      <c r="X308" s="56"/>
      <c r="Y308" s="56"/>
      <c r="Z308" s="56">
        <v>217</v>
      </c>
      <c r="AA308" s="56">
        <v>317</v>
      </c>
      <c r="AB308" s="56">
        <v>431</v>
      </c>
      <c r="AC308" s="56"/>
      <c r="AD308" s="56"/>
      <c r="AF308" s="2">
        <v>140</v>
      </c>
      <c r="AG308" s="2">
        <v>251</v>
      </c>
      <c r="AH308" s="2">
        <v>250</v>
      </c>
      <c r="AM308" s="102">
        <f t="shared" si="62"/>
        <v>2550</v>
      </c>
      <c r="AN308" s="257">
        <f t="shared" si="63"/>
        <v>2550</v>
      </c>
      <c r="AO308" s="8"/>
      <c r="AP308" s="501">
        <v>1035</v>
      </c>
      <c r="AQ308" s="2">
        <f t="shared" si="64"/>
        <v>0</v>
      </c>
      <c r="AR308" s="264"/>
      <c r="AS308" s="264"/>
      <c r="AT308" s="264"/>
      <c r="AU308" s="264"/>
      <c r="AV308" s="8">
        <f t="shared" si="58"/>
        <v>1515</v>
      </c>
      <c r="AW308" s="282">
        <f t="shared" si="59"/>
        <v>353</v>
      </c>
      <c r="AX308" s="11">
        <f t="shared" si="60"/>
        <v>0</v>
      </c>
      <c r="AY308" s="8">
        <f t="shared" si="61"/>
        <v>0</v>
      </c>
      <c r="CG308" s="264"/>
      <c r="CH308" s="264"/>
      <c r="CI308" s="264"/>
      <c r="CJ308" s="264"/>
      <c r="CK308" s="264"/>
      <c r="DK308" s="271"/>
      <c r="DM308" s="2">
        <v>3</v>
      </c>
      <c r="DN308" s="11"/>
      <c r="DP308" s="249"/>
      <c r="DT308" s="11"/>
      <c r="DU308" s="11"/>
      <c r="DV308" s="11"/>
      <c r="DW308" s="3">
        <v>12.5</v>
      </c>
    </row>
    <row r="309" spans="1:130">
      <c r="A309">
        <v>505</v>
      </c>
      <c r="B309" s="56">
        <v>6</v>
      </c>
      <c r="C309" s="282"/>
      <c r="D309" s="282"/>
      <c r="E309" s="282"/>
      <c r="F309" s="282"/>
      <c r="G309" s="282"/>
      <c r="H309" s="282"/>
      <c r="I309" s="282"/>
      <c r="J309" s="282"/>
      <c r="K309" s="282"/>
      <c r="L309" s="282"/>
      <c r="M309" s="282"/>
      <c r="N309" s="282"/>
      <c r="O309" s="282"/>
      <c r="P309" s="283"/>
      <c r="Q309" s="283"/>
      <c r="S309" s="249"/>
      <c r="T309" s="56">
        <v>302</v>
      </c>
      <c r="U309" s="56">
        <v>299</v>
      </c>
      <c r="V309" s="56">
        <v>256</v>
      </c>
      <c r="W309" s="56"/>
      <c r="X309" s="56"/>
      <c r="Y309" s="56"/>
      <c r="Z309" s="56">
        <v>0</v>
      </c>
      <c r="AA309" s="56">
        <v>88</v>
      </c>
      <c r="AB309" s="56">
        <v>352</v>
      </c>
      <c r="AC309" s="56"/>
      <c r="AD309" s="56"/>
      <c r="AF309" s="2">
        <v>109</v>
      </c>
      <c r="AG309" s="2">
        <v>225</v>
      </c>
      <c r="AH309" s="2">
        <v>251</v>
      </c>
      <c r="AM309" s="102">
        <f t="shared" si="62"/>
        <v>1882</v>
      </c>
      <c r="AN309" s="257">
        <f t="shared" si="63"/>
        <v>1882</v>
      </c>
      <c r="AO309" s="8"/>
      <c r="AP309" s="501">
        <v>879</v>
      </c>
      <c r="AQ309" s="2">
        <f t="shared" si="64"/>
        <v>0</v>
      </c>
      <c r="AR309" s="264"/>
      <c r="AS309" s="264"/>
      <c r="AT309" s="264"/>
      <c r="AU309" s="264"/>
      <c r="AV309" s="8">
        <f t="shared" si="58"/>
        <v>1003</v>
      </c>
      <c r="AW309" s="282">
        <f t="shared" si="59"/>
        <v>302</v>
      </c>
      <c r="AX309" s="11">
        <f t="shared" si="60"/>
        <v>0</v>
      </c>
      <c r="AY309" s="8">
        <f t="shared" si="61"/>
        <v>0</v>
      </c>
      <c r="CG309" s="264"/>
      <c r="CH309" s="264"/>
      <c r="CI309" s="264"/>
      <c r="CJ309" s="264"/>
      <c r="CK309" s="264"/>
      <c r="DK309" s="271"/>
      <c r="DM309" s="2">
        <v>3</v>
      </c>
      <c r="DN309" s="11"/>
      <c r="DP309" s="249"/>
      <c r="DT309" s="11"/>
      <c r="DU309" s="11"/>
      <c r="DV309" s="11"/>
      <c r="DW309" s="3">
        <v>10.6</v>
      </c>
    </row>
    <row r="310" spans="1:130">
      <c r="A310">
        <v>506</v>
      </c>
      <c r="B310" s="56">
        <v>6</v>
      </c>
      <c r="C310" s="282"/>
      <c r="D310" s="282"/>
      <c r="E310" s="282"/>
      <c r="F310" s="282"/>
      <c r="G310" s="282"/>
      <c r="H310" s="282"/>
      <c r="I310" s="282"/>
      <c r="J310" s="282"/>
      <c r="K310" s="282"/>
      <c r="L310" s="282"/>
      <c r="M310" s="282"/>
      <c r="N310" s="282"/>
      <c r="O310" s="282"/>
      <c r="P310" s="283"/>
      <c r="Q310" s="283"/>
      <c r="S310" s="249"/>
      <c r="T310" s="56">
        <v>251</v>
      </c>
      <c r="U310" s="56">
        <v>201</v>
      </c>
      <c r="V310" s="56">
        <v>406</v>
      </c>
      <c r="W310" s="56"/>
      <c r="X310" s="56"/>
      <c r="Y310" s="56"/>
      <c r="Z310" s="56">
        <v>185</v>
      </c>
      <c r="AA310" s="56">
        <v>209</v>
      </c>
      <c r="AB310" s="56">
        <v>345</v>
      </c>
      <c r="AC310" s="56"/>
      <c r="AD310" s="56"/>
      <c r="AF310" s="2">
        <v>160</v>
      </c>
      <c r="AG310" s="2">
        <v>228</v>
      </c>
      <c r="AH310" s="2">
        <v>134</v>
      </c>
      <c r="AM310" s="102">
        <f t="shared" si="62"/>
        <v>2119</v>
      </c>
      <c r="AN310" s="257">
        <f t="shared" si="63"/>
        <v>2119</v>
      </c>
      <c r="AO310" s="8"/>
      <c r="AP310" s="501">
        <v>824</v>
      </c>
      <c r="AQ310" s="2">
        <f t="shared" si="64"/>
        <v>0</v>
      </c>
      <c r="AR310" s="264"/>
      <c r="AS310" s="264"/>
      <c r="AT310" s="264"/>
      <c r="AU310" s="264"/>
      <c r="AV310" s="8">
        <f t="shared" si="58"/>
        <v>1295</v>
      </c>
      <c r="AW310" s="282">
        <f t="shared" si="59"/>
        <v>251</v>
      </c>
      <c r="AX310" s="11">
        <f t="shared" si="60"/>
        <v>0</v>
      </c>
      <c r="AY310" s="8">
        <f t="shared" si="61"/>
        <v>0</v>
      </c>
      <c r="CG310" s="264"/>
      <c r="CH310" s="264"/>
      <c r="CI310" s="264"/>
      <c r="CJ310" s="264"/>
      <c r="CK310" s="264"/>
      <c r="DK310" s="271"/>
      <c r="DM310" s="2">
        <v>3</v>
      </c>
      <c r="DN310" s="11"/>
      <c r="DP310" s="249"/>
      <c r="DT310" s="11"/>
      <c r="DU310" s="11"/>
      <c r="DV310" s="11"/>
      <c r="DW310" s="3">
        <v>8.1</v>
      </c>
    </row>
    <row r="311" spans="1:130">
      <c r="A311">
        <v>507</v>
      </c>
      <c r="B311" s="56">
        <v>6</v>
      </c>
      <c r="C311" s="282"/>
      <c r="D311" s="282"/>
      <c r="E311" s="282"/>
      <c r="F311" s="282"/>
      <c r="G311" s="282"/>
      <c r="H311" s="282"/>
      <c r="I311" s="282"/>
      <c r="J311" s="282"/>
      <c r="K311" s="282"/>
      <c r="L311" s="282"/>
      <c r="M311" s="282"/>
      <c r="N311" s="282"/>
      <c r="O311" s="282"/>
      <c r="P311" s="283"/>
      <c r="Q311" s="283"/>
      <c r="S311" s="249"/>
      <c r="T311" s="56">
        <v>282</v>
      </c>
      <c r="U311" s="56">
        <v>180</v>
      </c>
      <c r="V311" s="56">
        <v>367</v>
      </c>
      <c r="W311" s="56"/>
      <c r="X311" s="56"/>
      <c r="Y311" s="56"/>
      <c r="Z311" s="56">
        <v>130</v>
      </c>
      <c r="AA311" s="56">
        <v>210</v>
      </c>
      <c r="AB311" s="56">
        <v>305</v>
      </c>
      <c r="AC311" s="56"/>
      <c r="AD311" s="56"/>
      <c r="AF311" s="2">
        <v>172</v>
      </c>
      <c r="AG311" s="2">
        <v>193</v>
      </c>
      <c r="AH311" s="2">
        <v>130</v>
      </c>
      <c r="AM311" s="102">
        <f t="shared" si="62"/>
        <v>1969</v>
      </c>
      <c r="AN311" s="257">
        <f t="shared" si="63"/>
        <v>1969</v>
      </c>
      <c r="AO311" s="8"/>
      <c r="AP311" s="501">
        <v>780</v>
      </c>
      <c r="AQ311" s="2">
        <f t="shared" si="64"/>
        <v>0</v>
      </c>
      <c r="AR311" s="264"/>
      <c r="AS311" s="264"/>
      <c r="AT311" s="264"/>
      <c r="AU311" s="264"/>
      <c r="AV311" s="8">
        <f t="shared" si="58"/>
        <v>1189</v>
      </c>
      <c r="AW311" s="282">
        <f t="shared" si="59"/>
        <v>282</v>
      </c>
      <c r="AX311" s="11">
        <f t="shared" si="60"/>
        <v>0</v>
      </c>
      <c r="AY311" s="8">
        <f t="shared" si="61"/>
        <v>0</v>
      </c>
      <c r="CG311" s="264"/>
      <c r="CH311" s="264"/>
      <c r="CI311" s="264"/>
      <c r="CJ311" s="264"/>
      <c r="CK311" s="264"/>
      <c r="DK311" s="271"/>
      <c r="DM311" s="2">
        <v>3</v>
      </c>
      <c r="DN311" s="11"/>
      <c r="DP311" s="249"/>
      <c r="DT311" s="11"/>
      <c r="DU311" s="11"/>
      <c r="DV311" s="11"/>
      <c r="DW311" s="3">
        <v>8.1999999999999993</v>
      </c>
    </row>
    <row r="312" spans="1:130">
      <c r="A312" s="90">
        <v>508</v>
      </c>
      <c r="B312" s="56">
        <v>6</v>
      </c>
      <c r="C312" s="282"/>
      <c r="D312" s="282"/>
      <c r="E312" s="282"/>
      <c r="F312" s="282"/>
      <c r="G312" s="282"/>
      <c r="H312" s="282"/>
      <c r="I312" s="282"/>
      <c r="J312" s="282"/>
      <c r="K312" s="282"/>
      <c r="L312" s="282"/>
      <c r="M312" s="282"/>
      <c r="N312" s="282"/>
      <c r="O312" s="282"/>
      <c r="P312" s="283"/>
      <c r="Q312" s="283"/>
      <c r="S312" s="249"/>
      <c r="T312" s="56">
        <v>254</v>
      </c>
      <c r="U312" s="56">
        <v>297</v>
      </c>
      <c r="V312" s="56">
        <v>292</v>
      </c>
      <c r="W312" s="56"/>
      <c r="X312" s="56"/>
      <c r="Y312" s="56"/>
      <c r="Z312" s="56">
        <v>111</v>
      </c>
      <c r="AA312" s="56">
        <v>219</v>
      </c>
      <c r="AB312" s="56">
        <v>342</v>
      </c>
      <c r="AC312" s="56"/>
      <c r="AD312" s="56"/>
      <c r="AF312" s="2">
        <v>118</v>
      </c>
      <c r="AG312" s="2">
        <v>239</v>
      </c>
      <c r="AH312" s="2">
        <v>184</v>
      </c>
      <c r="AM312" s="102">
        <f t="shared" si="62"/>
        <v>2056</v>
      </c>
      <c r="AN312" s="257">
        <f t="shared" si="63"/>
        <v>2056</v>
      </c>
      <c r="AO312" s="8"/>
      <c r="AP312" s="501">
        <v>835</v>
      </c>
      <c r="AQ312" s="2">
        <f t="shared" si="64"/>
        <v>0</v>
      </c>
      <c r="AR312" s="264"/>
      <c r="AS312" s="264"/>
      <c r="AT312" s="264"/>
      <c r="AU312" s="264"/>
      <c r="AV312" s="8">
        <f t="shared" si="58"/>
        <v>1221</v>
      </c>
      <c r="AW312" s="282">
        <f t="shared" si="59"/>
        <v>254</v>
      </c>
      <c r="AX312" s="11">
        <f t="shared" si="60"/>
        <v>0</v>
      </c>
      <c r="AY312" s="8">
        <f t="shared" si="61"/>
        <v>0</v>
      </c>
      <c r="CG312" s="264"/>
      <c r="CH312" s="264"/>
      <c r="CI312" s="264"/>
      <c r="CJ312" s="264"/>
      <c r="CK312" s="264"/>
      <c r="DK312" s="271"/>
      <c r="DM312" s="2">
        <v>1</v>
      </c>
      <c r="DN312" s="11"/>
      <c r="DP312" s="249"/>
      <c r="DT312" s="11"/>
      <c r="DU312" s="11"/>
      <c r="DV312" s="11"/>
      <c r="DW312" s="3">
        <v>11</v>
      </c>
    </row>
    <row r="313" spans="1:130">
      <c r="A313" s="90">
        <v>509</v>
      </c>
      <c r="B313" s="56">
        <v>6</v>
      </c>
      <c r="C313" s="282"/>
      <c r="D313" s="282"/>
      <c r="E313" s="282"/>
      <c r="F313" s="282"/>
      <c r="G313" s="282"/>
      <c r="H313" s="282"/>
      <c r="I313" s="282"/>
      <c r="J313" s="282"/>
      <c r="K313" s="282"/>
      <c r="L313" s="282"/>
      <c r="M313" s="282"/>
      <c r="N313" s="282"/>
      <c r="O313" s="282"/>
      <c r="P313" s="283"/>
      <c r="Q313" s="283"/>
      <c r="S313" s="249"/>
      <c r="T313" s="56">
        <v>278</v>
      </c>
      <c r="U313" s="56">
        <v>147</v>
      </c>
      <c r="V313" s="56">
        <v>335</v>
      </c>
      <c r="W313" s="56"/>
      <c r="X313" s="56"/>
      <c r="Y313" s="56"/>
      <c r="Z313" s="56">
        <v>69</v>
      </c>
      <c r="AA313" s="56">
        <v>183</v>
      </c>
      <c r="AB313" s="56">
        <v>336</v>
      </c>
      <c r="AC313" s="56"/>
      <c r="AD313" s="56"/>
      <c r="AF313" s="2">
        <v>171</v>
      </c>
      <c r="AG313" s="2">
        <v>244</v>
      </c>
      <c r="AH313" s="2">
        <v>173</v>
      </c>
      <c r="AM313" s="102">
        <f t="shared" si="62"/>
        <v>1936</v>
      </c>
      <c r="AN313" s="257">
        <f t="shared" si="63"/>
        <v>1936</v>
      </c>
      <c r="AO313" s="8"/>
      <c r="AP313" s="501">
        <v>858</v>
      </c>
      <c r="AQ313" s="2">
        <f t="shared" si="64"/>
        <v>0</v>
      </c>
      <c r="AR313" s="264"/>
      <c r="AS313" s="264"/>
      <c r="AT313" s="264"/>
      <c r="AU313" s="264"/>
      <c r="AV313" s="8">
        <f t="shared" si="58"/>
        <v>1078</v>
      </c>
      <c r="AW313" s="282">
        <f t="shared" si="59"/>
        <v>278</v>
      </c>
      <c r="AX313" s="11">
        <f t="shared" si="60"/>
        <v>0</v>
      </c>
      <c r="AY313" s="8">
        <f t="shared" si="61"/>
        <v>0</v>
      </c>
      <c r="CG313" s="264"/>
      <c r="CH313" s="264"/>
      <c r="CI313" s="264"/>
      <c r="CJ313" s="264"/>
      <c r="CK313" s="264"/>
      <c r="DK313" s="271"/>
      <c r="DM313" s="2">
        <v>3</v>
      </c>
      <c r="DN313" s="11"/>
      <c r="DP313" s="249"/>
      <c r="DT313" s="11"/>
      <c r="DU313" s="11"/>
      <c r="DV313" s="11"/>
      <c r="DW313" s="3">
        <v>14.1</v>
      </c>
    </row>
    <row r="314" spans="1:130">
      <c r="A314" s="90">
        <v>510</v>
      </c>
      <c r="B314" s="56">
        <v>6</v>
      </c>
      <c r="C314" s="282"/>
      <c r="D314" s="282"/>
      <c r="E314" s="282"/>
      <c r="F314" s="282"/>
      <c r="G314" s="282"/>
      <c r="H314" s="282"/>
      <c r="I314" s="282"/>
      <c r="J314" s="282"/>
      <c r="K314" s="282"/>
      <c r="L314" s="282"/>
      <c r="M314" s="282"/>
      <c r="N314" s="282"/>
      <c r="O314" s="282"/>
      <c r="P314" s="283"/>
      <c r="Q314" s="283"/>
      <c r="S314" s="249"/>
      <c r="T314" s="56">
        <v>271</v>
      </c>
      <c r="U314" s="56">
        <v>247</v>
      </c>
      <c r="V314" s="56">
        <v>385</v>
      </c>
      <c r="W314" s="56"/>
      <c r="X314" s="56"/>
      <c r="Y314" s="56"/>
      <c r="Z314" s="56">
        <v>173</v>
      </c>
      <c r="AA314" s="56">
        <v>286</v>
      </c>
      <c r="AB314" s="56">
        <v>330</v>
      </c>
      <c r="AC314" s="56"/>
      <c r="AD314" s="56"/>
      <c r="AF314" s="2">
        <v>158</v>
      </c>
      <c r="AG314" s="2">
        <v>243</v>
      </c>
      <c r="AH314" s="2">
        <v>79</v>
      </c>
      <c r="AM314" s="102">
        <f t="shared" si="62"/>
        <v>2172</v>
      </c>
      <c r="AN314" s="257">
        <f t="shared" si="63"/>
        <v>2172</v>
      </c>
      <c r="AO314" s="8"/>
      <c r="AP314" s="501">
        <v>844</v>
      </c>
      <c r="AQ314" s="2">
        <f t="shared" si="64"/>
        <v>0</v>
      </c>
      <c r="AR314" s="264"/>
      <c r="AS314" s="264"/>
      <c r="AT314" s="264"/>
      <c r="AU314" s="264"/>
      <c r="AV314" s="8">
        <f>AM314-AP314</f>
        <v>1328</v>
      </c>
      <c r="AW314" s="282">
        <f t="shared" si="59"/>
        <v>271</v>
      </c>
      <c r="AX314" s="11">
        <f t="shared" si="60"/>
        <v>0</v>
      </c>
      <c r="AY314" s="8">
        <f t="shared" si="61"/>
        <v>0</v>
      </c>
      <c r="CG314" s="264"/>
      <c r="CH314" s="264"/>
      <c r="CI314" s="264"/>
      <c r="CJ314" s="264"/>
      <c r="CK314" s="264"/>
      <c r="DK314" s="271"/>
      <c r="DM314" s="2">
        <v>1</v>
      </c>
      <c r="DN314" s="11"/>
      <c r="DP314" s="249"/>
      <c r="DT314" s="11"/>
      <c r="DU314" s="11"/>
      <c r="DV314" s="11"/>
      <c r="DW314" s="3">
        <v>6.8</v>
      </c>
    </row>
    <row r="315" spans="1:130">
      <c r="R315" s="235">
        <f>SUM(C315:Q315)</f>
        <v>0</v>
      </c>
      <c r="S315" s="286" t="s">
        <v>70</v>
      </c>
      <c r="T315" s="246" t="s">
        <v>71</v>
      </c>
      <c r="U315" s="246"/>
      <c r="V315" s="246"/>
      <c r="W315" s="246"/>
      <c r="X315" s="246"/>
      <c r="Y315" s="246" t="s">
        <v>71</v>
      </c>
      <c r="Z315" s="246" t="s">
        <v>72</v>
      </c>
      <c r="AA315" s="56" t="s">
        <v>3</v>
      </c>
      <c r="AB315" s="56" t="s">
        <v>70</v>
      </c>
      <c r="AC315" s="56"/>
      <c r="AD315" s="56"/>
      <c r="AE315" s="245"/>
      <c r="AF315" s="25"/>
      <c r="AG315" s="25" t="s">
        <v>3</v>
      </c>
      <c r="AH315" s="25" t="s">
        <v>70</v>
      </c>
      <c r="AI315" s="25"/>
      <c r="AJ315" s="25"/>
      <c r="AK315" s="25"/>
      <c r="AL315" s="25"/>
      <c r="AP315" s="8"/>
      <c r="AR315" s="264"/>
      <c r="AS315" s="264"/>
      <c r="AT315" s="264"/>
      <c r="AU315" s="264"/>
      <c r="BK315" s="287"/>
      <c r="BL315" s="287"/>
      <c r="BM315" s="287">
        <v>23</v>
      </c>
      <c r="BN315" s="287">
        <v>24</v>
      </c>
      <c r="BO315" s="287">
        <v>25</v>
      </c>
      <c r="BP315" s="287">
        <v>26</v>
      </c>
      <c r="BQ315" s="289"/>
      <c r="BR315" s="289"/>
      <c r="CG315" s="264"/>
      <c r="CH315" s="264"/>
      <c r="CI315" s="264"/>
      <c r="CJ315" s="264"/>
      <c r="CK315" s="264"/>
      <c r="DK315" s="234"/>
      <c r="DN315" s="11"/>
      <c r="DP315" s="249"/>
      <c r="DW315" s="267">
        <f>DY315+DZ315</f>
        <v>0</v>
      </c>
      <c r="DY315" s="102">
        <f>SUM(DY267:DY314)</f>
        <v>0</v>
      </c>
      <c r="DZ315" s="102">
        <f>SUM(DZ267:DZ314)</f>
        <v>0</v>
      </c>
    </row>
    <row r="316" spans="1:130" s="232" customFormat="1" ht="17.399999999999999">
      <c r="A316" s="989" t="s">
        <v>1695</v>
      </c>
      <c r="B316" s="989"/>
      <c r="C316" s="290">
        <f t="shared" ref="C316:R316" si="65">SUM(C317:C355)</f>
        <v>0</v>
      </c>
      <c r="D316" s="290">
        <f t="shared" si="65"/>
        <v>0</v>
      </c>
      <c r="E316" s="290">
        <f t="shared" si="65"/>
        <v>0</v>
      </c>
      <c r="F316" s="290">
        <f t="shared" si="65"/>
        <v>0</v>
      </c>
      <c r="G316" s="290">
        <f t="shared" si="65"/>
        <v>0</v>
      </c>
      <c r="H316" s="290">
        <f t="shared" si="65"/>
        <v>0</v>
      </c>
      <c r="I316" s="290">
        <f t="shared" si="65"/>
        <v>0</v>
      </c>
      <c r="J316" s="290">
        <f t="shared" si="65"/>
        <v>0</v>
      </c>
      <c r="K316" s="290">
        <f t="shared" si="65"/>
        <v>0</v>
      </c>
      <c r="L316" s="290">
        <f t="shared" si="65"/>
        <v>0</v>
      </c>
      <c r="M316" s="290">
        <f t="shared" si="65"/>
        <v>0</v>
      </c>
      <c r="N316" s="290">
        <f t="shared" si="65"/>
        <v>0</v>
      </c>
      <c r="O316" s="290">
        <f t="shared" si="65"/>
        <v>0</v>
      </c>
      <c r="P316" s="281">
        <f t="shared" si="65"/>
        <v>0</v>
      </c>
      <c r="Q316" s="281">
        <f t="shared" si="65"/>
        <v>0</v>
      </c>
      <c r="R316" s="284">
        <f t="shared" si="65"/>
        <v>0</v>
      </c>
      <c r="S316" s="291">
        <f>SUM(S317:S400)</f>
        <v>18898</v>
      </c>
      <c r="T316" s="291">
        <f t="shared" ref="T316:CE316" si="66">SUM(T317:T400)</f>
        <v>17494</v>
      </c>
      <c r="U316" s="291">
        <f t="shared" si="66"/>
        <v>0</v>
      </c>
      <c r="V316" s="291">
        <f t="shared" si="66"/>
        <v>0</v>
      </c>
      <c r="W316" s="291">
        <f t="shared" si="66"/>
        <v>0</v>
      </c>
      <c r="X316" s="291">
        <f t="shared" si="66"/>
        <v>0</v>
      </c>
      <c r="Y316" s="291">
        <f t="shared" si="66"/>
        <v>16664</v>
      </c>
      <c r="Z316" s="291">
        <f t="shared" si="66"/>
        <v>26705</v>
      </c>
      <c r="AA316" s="291">
        <f t="shared" si="66"/>
        <v>21811</v>
      </c>
      <c r="AB316" s="291">
        <f t="shared" si="66"/>
        <v>23201</v>
      </c>
      <c r="AC316" s="291">
        <f t="shared" si="66"/>
        <v>0</v>
      </c>
      <c r="AD316" s="291">
        <f t="shared" si="66"/>
        <v>0</v>
      </c>
      <c r="AE316" s="291">
        <f t="shared" si="66"/>
        <v>0</v>
      </c>
      <c r="AF316" s="291">
        <f t="shared" si="66"/>
        <v>0</v>
      </c>
      <c r="AG316" s="291">
        <f t="shared" si="66"/>
        <v>13290</v>
      </c>
      <c r="AH316" s="291">
        <f t="shared" si="66"/>
        <v>9514</v>
      </c>
      <c r="AI316" s="291">
        <f t="shared" si="66"/>
        <v>0</v>
      </c>
      <c r="AJ316" s="291">
        <f t="shared" si="66"/>
        <v>0</v>
      </c>
      <c r="AK316" s="291">
        <f t="shared" si="66"/>
        <v>0</v>
      </c>
      <c r="AL316" s="291">
        <f t="shared" si="66"/>
        <v>0</v>
      </c>
      <c r="AM316" s="291">
        <f t="shared" si="66"/>
        <v>147577</v>
      </c>
      <c r="AN316" s="291">
        <f t="shared" si="66"/>
        <v>147577</v>
      </c>
      <c r="AO316" s="291">
        <f t="shared" si="66"/>
        <v>15285</v>
      </c>
      <c r="AP316" s="291">
        <f t="shared" si="66"/>
        <v>132292</v>
      </c>
      <c r="AQ316" s="291">
        <f t="shared" si="66"/>
        <v>1</v>
      </c>
      <c r="AR316" s="291">
        <f t="shared" si="66"/>
        <v>0</v>
      </c>
      <c r="AS316" s="291">
        <f t="shared" si="66"/>
        <v>0</v>
      </c>
      <c r="AT316" s="291">
        <f t="shared" si="66"/>
        <v>0</v>
      </c>
      <c r="AU316" s="291">
        <f t="shared" si="66"/>
        <v>0</v>
      </c>
      <c r="AV316" s="291">
        <f t="shared" si="66"/>
        <v>0</v>
      </c>
      <c r="AW316" s="291">
        <f t="shared" si="66"/>
        <v>0</v>
      </c>
      <c r="AX316" s="291">
        <f t="shared" si="66"/>
        <v>16664</v>
      </c>
      <c r="AY316" s="291">
        <f t="shared" si="66"/>
        <v>21811</v>
      </c>
      <c r="AZ316" s="291">
        <f t="shared" si="66"/>
        <v>23201</v>
      </c>
      <c r="BA316" s="291">
        <f t="shared" si="66"/>
        <v>0</v>
      </c>
      <c r="BB316" s="291">
        <f t="shared" si="66"/>
        <v>0</v>
      </c>
      <c r="BC316" s="291">
        <f t="shared" si="66"/>
        <v>0</v>
      </c>
      <c r="BD316" s="291">
        <f t="shared" si="66"/>
        <v>0</v>
      </c>
      <c r="BE316" s="291">
        <f t="shared" si="66"/>
        <v>0</v>
      </c>
      <c r="BF316" s="291">
        <f t="shared" si="66"/>
        <v>0</v>
      </c>
      <c r="BG316" s="291">
        <f t="shared" si="66"/>
        <v>0</v>
      </c>
      <c r="BH316" s="291">
        <f t="shared" si="66"/>
        <v>0</v>
      </c>
      <c r="BI316" s="291">
        <f t="shared" si="66"/>
        <v>0</v>
      </c>
      <c r="BJ316" s="291">
        <f t="shared" si="66"/>
        <v>0</v>
      </c>
      <c r="BK316" s="291">
        <f t="shared" si="66"/>
        <v>0</v>
      </c>
      <c r="BL316" s="291">
        <f t="shared" si="66"/>
        <v>0</v>
      </c>
      <c r="BM316" s="291">
        <f t="shared" si="66"/>
        <v>0</v>
      </c>
      <c r="BN316" s="291">
        <f t="shared" si="66"/>
        <v>0</v>
      </c>
      <c r="BO316" s="291">
        <f t="shared" si="66"/>
        <v>0</v>
      </c>
      <c r="BP316" s="291">
        <f t="shared" si="66"/>
        <v>0</v>
      </c>
      <c r="BQ316" s="291">
        <f t="shared" si="66"/>
        <v>0</v>
      </c>
      <c r="BR316" s="291">
        <f t="shared" si="66"/>
        <v>0</v>
      </c>
      <c r="BS316" s="291">
        <f t="shared" si="66"/>
        <v>0</v>
      </c>
      <c r="BT316" s="291">
        <f t="shared" si="66"/>
        <v>0</v>
      </c>
      <c r="BU316" s="291">
        <f t="shared" si="66"/>
        <v>0</v>
      </c>
      <c r="BV316" s="291">
        <f t="shared" si="66"/>
        <v>0</v>
      </c>
      <c r="BW316" s="291">
        <f t="shared" si="66"/>
        <v>0</v>
      </c>
      <c r="BX316" s="291">
        <f t="shared" si="66"/>
        <v>0</v>
      </c>
      <c r="BY316" s="291">
        <f t="shared" si="66"/>
        <v>0</v>
      </c>
      <c r="BZ316" s="291">
        <f t="shared" si="66"/>
        <v>0</v>
      </c>
      <c r="CA316" s="291">
        <f t="shared" si="66"/>
        <v>0</v>
      </c>
      <c r="CB316" s="291">
        <f t="shared" si="66"/>
        <v>0</v>
      </c>
      <c r="CC316" s="291">
        <f t="shared" si="66"/>
        <v>0</v>
      </c>
      <c r="CD316" s="291">
        <f t="shared" si="66"/>
        <v>0</v>
      </c>
      <c r="CE316" s="291">
        <f t="shared" si="66"/>
        <v>0</v>
      </c>
      <c r="CF316" s="291">
        <f t="shared" ref="CF316:DW316" si="67">SUM(CF317:CF400)</f>
        <v>0</v>
      </c>
      <c r="CG316" s="291">
        <f t="shared" si="67"/>
        <v>0</v>
      </c>
      <c r="CH316" s="291">
        <f t="shared" si="67"/>
        <v>0</v>
      </c>
      <c r="CI316" s="291">
        <f t="shared" si="67"/>
        <v>0</v>
      </c>
      <c r="CJ316" s="291">
        <f t="shared" si="67"/>
        <v>0</v>
      </c>
      <c r="CK316" s="291">
        <f t="shared" si="67"/>
        <v>0</v>
      </c>
      <c r="CL316" s="291">
        <f t="shared" si="67"/>
        <v>0</v>
      </c>
      <c r="CM316" s="291">
        <f t="shared" si="67"/>
        <v>0</v>
      </c>
      <c r="CN316" s="291">
        <f t="shared" si="67"/>
        <v>0</v>
      </c>
      <c r="CO316" s="291">
        <f t="shared" si="67"/>
        <v>0</v>
      </c>
      <c r="CP316" s="291">
        <f t="shared" si="67"/>
        <v>0</v>
      </c>
      <c r="CQ316" s="291">
        <f t="shared" si="67"/>
        <v>0</v>
      </c>
      <c r="CR316" s="291">
        <f t="shared" si="67"/>
        <v>0</v>
      </c>
      <c r="CS316" s="291">
        <f t="shared" si="67"/>
        <v>0</v>
      </c>
      <c r="CT316" s="291">
        <f t="shared" si="67"/>
        <v>0</v>
      </c>
      <c r="CU316" s="291">
        <f t="shared" si="67"/>
        <v>0</v>
      </c>
      <c r="CV316" s="291">
        <f t="shared" si="67"/>
        <v>0</v>
      </c>
      <c r="CW316" s="291">
        <f t="shared" si="67"/>
        <v>0</v>
      </c>
      <c r="CX316" s="291">
        <f t="shared" si="67"/>
        <v>0</v>
      </c>
      <c r="CY316" s="291">
        <f t="shared" si="67"/>
        <v>0</v>
      </c>
      <c r="CZ316" s="291">
        <f t="shared" si="67"/>
        <v>0</v>
      </c>
      <c r="DA316" s="291">
        <f t="shared" si="67"/>
        <v>0</v>
      </c>
      <c r="DB316" s="291">
        <f t="shared" si="67"/>
        <v>0</v>
      </c>
      <c r="DC316" s="291">
        <f t="shared" si="67"/>
        <v>0</v>
      </c>
      <c r="DD316" s="291">
        <f t="shared" si="67"/>
        <v>0</v>
      </c>
      <c r="DE316" s="291">
        <f t="shared" si="67"/>
        <v>0</v>
      </c>
      <c r="DF316" s="291">
        <f t="shared" si="67"/>
        <v>0</v>
      </c>
      <c r="DG316" s="291">
        <f t="shared" si="67"/>
        <v>0</v>
      </c>
      <c r="DH316" s="291">
        <f t="shared" si="67"/>
        <v>0</v>
      </c>
      <c r="DI316" s="291">
        <f t="shared" si="67"/>
        <v>0</v>
      </c>
      <c r="DJ316" s="291">
        <f t="shared" si="67"/>
        <v>0</v>
      </c>
      <c r="DK316" s="291">
        <f t="shared" si="67"/>
        <v>0</v>
      </c>
      <c r="DL316" s="291">
        <f t="shared" si="67"/>
        <v>0</v>
      </c>
      <c r="DM316" s="291">
        <f t="shared" si="67"/>
        <v>333</v>
      </c>
      <c r="DN316" s="291">
        <f t="shared" si="67"/>
        <v>0</v>
      </c>
      <c r="DO316" s="291">
        <f t="shared" si="67"/>
        <v>0</v>
      </c>
      <c r="DP316" s="291">
        <f t="shared" si="67"/>
        <v>0</v>
      </c>
      <c r="DQ316" s="291">
        <f t="shared" si="67"/>
        <v>0</v>
      </c>
      <c r="DR316" s="291">
        <f t="shared" si="67"/>
        <v>0</v>
      </c>
      <c r="DS316" s="291">
        <f t="shared" si="67"/>
        <v>0</v>
      </c>
      <c r="DT316" s="291">
        <f t="shared" si="67"/>
        <v>0</v>
      </c>
      <c r="DU316" s="291">
        <f t="shared" si="67"/>
        <v>0</v>
      </c>
      <c r="DV316" s="291">
        <f t="shared" si="67"/>
        <v>0</v>
      </c>
      <c r="DW316" s="432">
        <f t="shared" si="67"/>
        <v>992.99999999999989</v>
      </c>
      <c r="DY316" s="490">
        <f>SUM(DW317:DW358)</f>
        <v>545.99999999999989</v>
      </c>
      <c r="DZ316" s="278"/>
    </row>
    <row r="317" spans="1:130">
      <c r="A317" s="102">
        <v>344</v>
      </c>
      <c r="B317" s="56">
        <v>9</v>
      </c>
      <c r="R317" s="235">
        <f t="shared" ref="R317:R353" si="68">SUM(C317:Q317)</f>
        <v>0</v>
      </c>
      <c r="S317" s="249">
        <v>198</v>
      </c>
      <c r="T317" s="56">
        <v>200</v>
      </c>
      <c r="U317" s="56"/>
      <c r="V317" s="56"/>
      <c r="W317" s="56"/>
      <c r="X317" s="56"/>
      <c r="Y317" s="56">
        <v>218</v>
      </c>
      <c r="Z317" s="56">
        <v>307</v>
      </c>
      <c r="AA317" s="56">
        <v>181</v>
      </c>
      <c r="AB317" s="56">
        <v>277</v>
      </c>
      <c r="AC317" s="56"/>
      <c r="AD317" s="56"/>
      <c r="AG317" s="2">
        <v>120</v>
      </c>
      <c r="AH317" s="2">
        <v>131</v>
      </c>
      <c r="AM317" s="102">
        <f t="shared" ref="AM317:AM358" si="69">SUM(S317:AL317)</f>
        <v>1632</v>
      </c>
      <c r="AN317" s="257">
        <f t="shared" ref="AN317:AN358" si="70">R317+AM317</f>
        <v>1632</v>
      </c>
      <c r="AO317" s="501">
        <v>418</v>
      </c>
      <c r="AP317" s="8">
        <f>AM317-AO317</f>
        <v>1214</v>
      </c>
      <c r="AQ317" s="2">
        <f>IF(AN317&gt;=$BA$5,1,0)</f>
        <v>0</v>
      </c>
      <c r="AR317" s="264"/>
      <c r="AS317" s="264"/>
      <c r="AT317" s="264"/>
      <c r="AU317" s="264"/>
      <c r="AW317" s="8">
        <f>X317</f>
        <v>0</v>
      </c>
      <c r="AX317" s="11">
        <f>Y317</f>
        <v>218</v>
      </c>
      <c r="AY317" s="8">
        <f>AA317</f>
        <v>181</v>
      </c>
      <c r="AZ317" s="234">
        <f>AB317</f>
        <v>277</v>
      </c>
      <c r="CG317" s="264"/>
      <c r="CH317" s="264"/>
      <c r="CI317" s="264"/>
      <c r="CJ317" s="264"/>
      <c r="CK317" s="264"/>
      <c r="CS317" s="269"/>
      <c r="DK317" s="271"/>
      <c r="DM317" s="2">
        <v>4</v>
      </c>
      <c r="DO317" s="25"/>
      <c r="DP317" s="249"/>
      <c r="DT317" s="11"/>
      <c r="DU317" s="11"/>
      <c r="DV317" s="11"/>
      <c r="DW317" s="237">
        <v>17.100000000000001</v>
      </c>
    </row>
    <row r="318" spans="1:130">
      <c r="A318" s="102">
        <v>345</v>
      </c>
      <c r="B318" s="56">
        <v>9</v>
      </c>
      <c r="R318" s="235">
        <f t="shared" si="68"/>
        <v>0</v>
      </c>
      <c r="S318" s="249">
        <v>197</v>
      </c>
      <c r="T318" s="56">
        <v>207</v>
      </c>
      <c r="U318" s="56"/>
      <c r="V318" s="56"/>
      <c r="W318" s="56"/>
      <c r="X318" s="56"/>
      <c r="Y318" s="56">
        <v>182</v>
      </c>
      <c r="Z318" s="56">
        <v>296</v>
      </c>
      <c r="AA318" s="56">
        <v>201</v>
      </c>
      <c r="AB318" s="56">
        <v>260</v>
      </c>
      <c r="AC318" s="56"/>
      <c r="AD318" s="56"/>
      <c r="AG318" s="2">
        <v>129</v>
      </c>
      <c r="AH318" s="2">
        <v>0</v>
      </c>
      <c r="AM318" s="102">
        <f t="shared" si="69"/>
        <v>1472</v>
      </c>
      <c r="AN318" s="257">
        <f t="shared" si="70"/>
        <v>1472</v>
      </c>
      <c r="AO318" s="501">
        <v>389</v>
      </c>
      <c r="AP318" s="8">
        <f t="shared" ref="AP318:AP381" si="71">AM318-AO318</f>
        <v>1083</v>
      </c>
      <c r="AQ318" s="2">
        <f t="shared" ref="AQ318:AQ358" si="72">IF(AN318&gt;=$BA$5,1,0)</f>
        <v>0</v>
      </c>
      <c r="AR318" s="264"/>
      <c r="AS318" s="264"/>
      <c r="AT318" s="264"/>
      <c r="AU318" s="264"/>
      <c r="AW318" s="8">
        <f t="shared" ref="AW318:AW358" si="73">X318</f>
        <v>0</v>
      </c>
      <c r="AX318" s="11">
        <f t="shared" ref="AX318:AX358" si="74">Y318</f>
        <v>182</v>
      </c>
      <c r="AY318" s="8">
        <f t="shared" ref="AY318:AY358" si="75">AA318</f>
        <v>201</v>
      </c>
      <c r="AZ318" s="234">
        <f t="shared" ref="AZ318:AZ358" si="76">AB318</f>
        <v>260</v>
      </c>
      <c r="CG318" s="264"/>
      <c r="CH318" s="264"/>
      <c r="CI318" s="264"/>
      <c r="CJ318" s="264"/>
      <c r="CK318" s="264"/>
      <c r="CS318" s="269"/>
      <c r="DK318" s="271"/>
      <c r="DM318" s="2">
        <v>4</v>
      </c>
      <c r="DO318" s="25"/>
      <c r="DP318" s="249"/>
      <c r="DT318" s="11"/>
      <c r="DU318" s="11"/>
      <c r="DV318" s="11"/>
      <c r="DW318" s="237">
        <v>14</v>
      </c>
    </row>
    <row r="319" spans="1:130">
      <c r="A319" s="102">
        <v>346</v>
      </c>
      <c r="B319" s="56">
        <v>9</v>
      </c>
      <c r="R319" s="235">
        <f t="shared" si="68"/>
        <v>0</v>
      </c>
      <c r="S319" s="249">
        <v>205</v>
      </c>
      <c r="T319" s="56">
        <v>228</v>
      </c>
      <c r="U319" s="56"/>
      <c r="V319" s="56"/>
      <c r="W319" s="56"/>
      <c r="X319" s="56"/>
      <c r="Y319" s="56">
        <v>196</v>
      </c>
      <c r="Z319" s="56">
        <v>307</v>
      </c>
      <c r="AA319" s="56">
        <v>317</v>
      </c>
      <c r="AB319" s="56">
        <v>234</v>
      </c>
      <c r="AC319" s="56"/>
      <c r="AD319" s="56"/>
      <c r="AG319" s="2">
        <v>175</v>
      </c>
      <c r="AH319" s="2">
        <v>0</v>
      </c>
      <c r="AM319" s="102">
        <f t="shared" si="69"/>
        <v>1662</v>
      </c>
      <c r="AN319" s="257">
        <f t="shared" si="70"/>
        <v>1662</v>
      </c>
      <c r="AO319" s="501">
        <v>424</v>
      </c>
      <c r="AP319" s="8">
        <f t="shared" si="71"/>
        <v>1238</v>
      </c>
      <c r="AQ319" s="2">
        <f t="shared" si="72"/>
        <v>0</v>
      </c>
      <c r="AR319" s="264"/>
      <c r="AS319" s="264"/>
      <c r="AT319" s="264"/>
      <c r="AU319" s="264"/>
      <c r="AW319" s="8">
        <f t="shared" si="73"/>
        <v>0</v>
      </c>
      <c r="AX319" s="11">
        <f t="shared" si="74"/>
        <v>196</v>
      </c>
      <c r="AY319" s="8">
        <f t="shared" si="75"/>
        <v>317</v>
      </c>
      <c r="AZ319" s="234">
        <f t="shared" si="76"/>
        <v>234</v>
      </c>
      <c r="CG319" s="264"/>
      <c r="CH319" s="264"/>
      <c r="CI319" s="264"/>
      <c r="CJ319" s="264"/>
      <c r="CK319" s="264"/>
      <c r="CS319" s="269"/>
      <c r="DK319" s="271"/>
      <c r="DM319" s="2">
        <v>4</v>
      </c>
      <c r="DO319" s="25"/>
      <c r="DP319" s="249"/>
      <c r="DT319" s="11"/>
      <c r="DU319" s="11"/>
      <c r="DV319" s="11"/>
      <c r="DW319" s="237">
        <v>11.1</v>
      </c>
    </row>
    <row r="320" spans="1:130">
      <c r="A320" s="102">
        <v>347</v>
      </c>
      <c r="B320" s="56">
        <v>9</v>
      </c>
      <c r="R320" s="235">
        <f t="shared" si="68"/>
        <v>0</v>
      </c>
      <c r="S320" s="249">
        <v>194</v>
      </c>
      <c r="T320" s="56">
        <v>173</v>
      </c>
      <c r="U320" s="56"/>
      <c r="V320" s="56"/>
      <c r="W320" s="56"/>
      <c r="X320" s="56"/>
      <c r="Y320" s="56">
        <v>194</v>
      </c>
      <c r="Z320" s="56">
        <v>305</v>
      </c>
      <c r="AA320" s="56">
        <v>335</v>
      </c>
      <c r="AB320" s="56">
        <v>237</v>
      </c>
      <c r="AC320" s="56"/>
      <c r="AD320" s="56"/>
      <c r="AG320" s="2">
        <v>182</v>
      </c>
      <c r="AH320" s="2">
        <v>0</v>
      </c>
      <c r="AM320" s="102">
        <f t="shared" si="69"/>
        <v>1620</v>
      </c>
      <c r="AN320" s="257">
        <f t="shared" si="70"/>
        <v>1620</v>
      </c>
      <c r="AO320" s="501">
        <v>367</v>
      </c>
      <c r="AP320" s="8">
        <f t="shared" si="71"/>
        <v>1253</v>
      </c>
      <c r="AQ320" s="2">
        <f t="shared" si="72"/>
        <v>0</v>
      </c>
      <c r="AR320" s="264"/>
      <c r="AS320" s="264"/>
      <c r="AT320" s="264"/>
      <c r="AU320" s="264"/>
      <c r="AW320" s="8">
        <f t="shared" si="73"/>
        <v>0</v>
      </c>
      <c r="AX320" s="11">
        <f t="shared" si="74"/>
        <v>194</v>
      </c>
      <c r="AY320" s="8">
        <f t="shared" si="75"/>
        <v>335</v>
      </c>
      <c r="AZ320" s="234">
        <f t="shared" si="76"/>
        <v>237</v>
      </c>
      <c r="CG320" s="264"/>
      <c r="CH320" s="264"/>
      <c r="CI320" s="264"/>
      <c r="CJ320" s="264"/>
      <c r="CK320" s="264"/>
      <c r="CS320" s="269"/>
      <c r="DK320" s="271"/>
      <c r="DM320" s="2">
        <v>4</v>
      </c>
      <c r="DO320" s="25"/>
      <c r="DP320" s="249"/>
      <c r="DT320" s="11"/>
      <c r="DU320" s="11"/>
      <c r="DV320" s="11"/>
      <c r="DW320" s="237">
        <v>14.7</v>
      </c>
    </row>
    <row r="321" spans="1:127">
      <c r="A321" s="102">
        <v>348</v>
      </c>
      <c r="B321" s="56">
        <v>9</v>
      </c>
      <c r="R321" s="235">
        <f t="shared" si="68"/>
        <v>0</v>
      </c>
      <c r="S321" s="249">
        <v>270</v>
      </c>
      <c r="T321" s="56">
        <v>183</v>
      </c>
      <c r="U321" s="56"/>
      <c r="V321" s="56"/>
      <c r="W321" s="56"/>
      <c r="X321" s="56"/>
      <c r="Y321" s="56">
        <v>157</v>
      </c>
      <c r="Z321" s="56">
        <v>212</v>
      </c>
      <c r="AA321" s="56">
        <v>275</v>
      </c>
      <c r="AB321" s="56">
        <v>218</v>
      </c>
      <c r="AC321" s="56"/>
      <c r="AD321" s="56"/>
      <c r="AG321" s="2">
        <v>151</v>
      </c>
      <c r="AH321" s="2">
        <v>106</v>
      </c>
      <c r="AM321" s="102">
        <f t="shared" si="69"/>
        <v>1572</v>
      </c>
      <c r="AN321" s="257">
        <f t="shared" si="70"/>
        <v>1572</v>
      </c>
      <c r="AO321" s="501">
        <v>340</v>
      </c>
      <c r="AP321" s="8">
        <f t="shared" si="71"/>
        <v>1232</v>
      </c>
      <c r="AQ321" s="2">
        <f t="shared" si="72"/>
        <v>0</v>
      </c>
      <c r="AR321" s="264"/>
      <c r="AS321" s="264"/>
      <c r="AT321" s="264"/>
      <c r="AU321" s="264"/>
      <c r="AW321" s="8">
        <f t="shared" si="73"/>
        <v>0</v>
      </c>
      <c r="AX321" s="11">
        <f t="shared" si="74"/>
        <v>157</v>
      </c>
      <c r="AY321" s="8">
        <f t="shared" si="75"/>
        <v>275</v>
      </c>
      <c r="AZ321" s="234">
        <f t="shared" si="76"/>
        <v>218</v>
      </c>
      <c r="CG321" s="264"/>
      <c r="CH321" s="264"/>
      <c r="CI321" s="264"/>
      <c r="CJ321" s="264"/>
      <c r="CK321" s="264"/>
      <c r="CS321" s="269"/>
      <c r="DK321" s="271"/>
      <c r="DM321" s="2">
        <v>4</v>
      </c>
      <c r="DO321" s="25"/>
      <c r="DP321" s="249"/>
      <c r="DT321" s="11"/>
      <c r="DU321" s="11"/>
      <c r="DV321" s="11"/>
      <c r="DW321" s="237">
        <v>8.1</v>
      </c>
    </row>
    <row r="322" spans="1:127">
      <c r="A322" s="102">
        <v>349</v>
      </c>
      <c r="B322" s="56">
        <v>9</v>
      </c>
      <c r="R322" s="235">
        <f t="shared" si="68"/>
        <v>0</v>
      </c>
      <c r="S322" s="249">
        <v>278</v>
      </c>
      <c r="T322" s="56">
        <v>184</v>
      </c>
      <c r="U322" s="56"/>
      <c r="V322" s="56"/>
      <c r="W322" s="56"/>
      <c r="X322" s="56"/>
      <c r="Y322" s="56">
        <v>149</v>
      </c>
      <c r="Z322" s="56">
        <v>209</v>
      </c>
      <c r="AA322" s="56">
        <v>281</v>
      </c>
      <c r="AB322" s="56">
        <v>217</v>
      </c>
      <c r="AC322" s="56"/>
      <c r="AD322" s="56"/>
      <c r="AG322" s="2">
        <v>162</v>
      </c>
      <c r="AH322" s="2">
        <v>106</v>
      </c>
      <c r="AM322" s="102">
        <f t="shared" si="69"/>
        <v>1586</v>
      </c>
      <c r="AN322" s="257">
        <f t="shared" si="70"/>
        <v>1586</v>
      </c>
      <c r="AO322" s="501">
        <v>333</v>
      </c>
      <c r="AP322" s="8">
        <f t="shared" si="71"/>
        <v>1253</v>
      </c>
      <c r="AQ322" s="2">
        <f t="shared" si="72"/>
        <v>0</v>
      </c>
      <c r="AR322" s="264"/>
      <c r="AS322" s="264"/>
      <c r="AT322" s="264"/>
      <c r="AU322" s="264"/>
      <c r="AW322" s="8">
        <f t="shared" si="73"/>
        <v>0</v>
      </c>
      <c r="AX322" s="11">
        <f t="shared" si="74"/>
        <v>149</v>
      </c>
      <c r="AY322" s="8">
        <f t="shared" si="75"/>
        <v>281</v>
      </c>
      <c r="AZ322" s="234">
        <f t="shared" si="76"/>
        <v>217</v>
      </c>
      <c r="CG322" s="264"/>
      <c r="CH322" s="264"/>
      <c r="CI322" s="264"/>
      <c r="CJ322" s="264"/>
      <c r="CK322" s="264"/>
      <c r="CS322" s="269"/>
      <c r="DK322" s="271"/>
      <c r="DM322" s="2">
        <v>4</v>
      </c>
      <c r="DO322" s="25"/>
      <c r="DP322" s="249"/>
      <c r="DT322" s="11"/>
      <c r="DU322" s="11"/>
      <c r="DV322" s="11"/>
      <c r="DW322" s="237">
        <v>7.6</v>
      </c>
    </row>
    <row r="323" spans="1:127">
      <c r="A323" s="102">
        <v>350</v>
      </c>
      <c r="B323" s="56">
        <v>9</v>
      </c>
      <c r="R323" s="235">
        <f t="shared" si="68"/>
        <v>0</v>
      </c>
      <c r="S323" s="249">
        <v>332</v>
      </c>
      <c r="T323" s="56">
        <v>207</v>
      </c>
      <c r="U323" s="56"/>
      <c r="V323" s="56"/>
      <c r="W323" s="56"/>
      <c r="X323" s="56"/>
      <c r="Y323" s="56">
        <v>118</v>
      </c>
      <c r="Z323" s="56">
        <v>284</v>
      </c>
      <c r="AA323" s="56">
        <v>310</v>
      </c>
      <c r="AB323" s="56">
        <v>399</v>
      </c>
      <c r="AC323" s="56"/>
      <c r="AD323" s="56"/>
      <c r="AG323" s="2">
        <v>157</v>
      </c>
      <c r="AH323" s="2">
        <v>179</v>
      </c>
      <c r="AM323" s="102">
        <f t="shared" si="69"/>
        <v>1986</v>
      </c>
      <c r="AN323" s="257">
        <f t="shared" si="70"/>
        <v>1986</v>
      </c>
      <c r="AO323" s="8"/>
      <c r="AP323" s="8">
        <f t="shared" si="71"/>
        <v>1986</v>
      </c>
      <c r="AQ323" s="2">
        <f t="shared" si="72"/>
        <v>0</v>
      </c>
      <c r="AR323" s="264"/>
      <c r="AS323" s="264"/>
      <c r="AT323" s="264"/>
      <c r="AU323" s="264"/>
      <c r="AW323" s="8">
        <f t="shared" si="73"/>
        <v>0</v>
      </c>
      <c r="AX323" s="11">
        <f t="shared" si="74"/>
        <v>118</v>
      </c>
      <c r="AY323" s="8">
        <f t="shared" si="75"/>
        <v>310</v>
      </c>
      <c r="AZ323" s="234">
        <f t="shared" si="76"/>
        <v>399</v>
      </c>
      <c r="CG323" s="264"/>
      <c r="CH323" s="264"/>
      <c r="CI323" s="264"/>
      <c r="CJ323" s="264"/>
      <c r="CK323" s="264"/>
      <c r="CS323" s="269"/>
      <c r="DK323" s="271"/>
      <c r="DM323" s="2">
        <v>4</v>
      </c>
      <c r="DO323" s="25"/>
      <c r="DP323" s="249"/>
      <c r="DT323" s="11"/>
      <c r="DU323" s="11"/>
      <c r="DV323" s="11"/>
      <c r="DW323" s="237">
        <v>15.1</v>
      </c>
    </row>
    <row r="324" spans="1:127">
      <c r="A324" s="102">
        <v>351</v>
      </c>
      <c r="B324" s="56">
        <v>9</v>
      </c>
      <c r="R324" s="235">
        <f t="shared" si="68"/>
        <v>0</v>
      </c>
      <c r="S324" s="249">
        <v>333</v>
      </c>
      <c r="T324" s="56">
        <v>227</v>
      </c>
      <c r="U324" s="56"/>
      <c r="V324" s="56"/>
      <c r="W324" s="56"/>
      <c r="X324" s="56"/>
      <c r="Y324" s="56">
        <v>121</v>
      </c>
      <c r="Z324" s="56">
        <v>305</v>
      </c>
      <c r="AA324" s="56">
        <v>321</v>
      </c>
      <c r="AB324" s="56">
        <v>396</v>
      </c>
      <c r="AC324" s="56"/>
      <c r="AD324" s="56"/>
      <c r="AG324" s="2">
        <v>164</v>
      </c>
      <c r="AH324" s="2">
        <v>180</v>
      </c>
      <c r="AM324" s="102">
        <f t="shared" si="69"/>
        <v>2047</v>
      </c>
      <c r="AN324" s="257">
        <f t="shared" si="70"/>
        <v>2047</v>
      </c>
      <c r="AO324" s="8"/>
      <c r="AP324" s="8">
        <f t="shared" si="71"/>
        <v>2047</v>
      </c>
      <c r="AQ324" s="2">
        <f t="shared" si="72"/>
        <v>0</v>
      </c>
      <c r="AR324" s="264"/>
      <c r="AS324" s="264"/>
      <c r="AT324" s="264"/>
      <c r="AU324" s="264"/>
      <c r="AW324" s="8">
        <f t="shared" si="73"/>
        <v>0</v>
      </c>
      <c r="AX324" s="11">
        <f t="shared" si="74"/>
        <v>121</v>
      </c>
      <c r="AY324" s="8">
        <f t="shared" si="75"/>
        <v>321</v>
      </c>
      <c r="AZ324" s="234">
        <f t="shared" si="76"/>
        <v>396</v>
      </c>
      <c r="CG324" s="264"/>
      <c r="CH324" s="264"/>
      <c r="CI324" s="264"/>
      <c r="CJ324" s="264"/>
      <c r="CK324" s="264"/>
      <c r="CS324" s="269"/>
      <c r="DK324" s="271"/>
      <c r="DM324" s="2">
        <v>4</v>
      </c>
      <c r="DO324" s="25"/>
      <c r="DP324" s="249"/>
      <c r="DT324" s="11"/>
      <c r="DU324" s="11"/>
      <c r="DV324" s="11"/>
      <c r="DW324" s="237">
        <v>15.4</v>
      </c>
    </row>
    <row r="325" spans="1:127">
      <c r="A325" s="102">
        <v>352</v>
      </c>
      <c r="B325" s="56">
        <v>9</v>
      </c>
      <c r="R325" s="235">
        <f t="shared" si="68"/>
        <v>0</v>
      </c>
      <c r="S325" s="249">
        <v>296</v>
      </c>
      <c r="T325" s="56">
        <v>132</v>
      </c>
      <c r="U325" s="56"/>
      <c r="V325" s="56"/>
      <c r="W325" s="56"/>
      <c r="X325" s="56"/>
      <c r="Y325" s="56">
        <v>193</v>
      </c>
      <c r="Z325" s="56">
        <v>699</v>
      </c>
      <c r="AA325" s="56">
        <v>0</v>
      </c>
      <c r="AB325" s="56">
        <v>360</v>
      </c>
      <c r="AC325" s="56"/>
      <c r="AD325" s="56"/>
      <c r="AG325" s="2">
        <v>313</v>
      </c>
      <c r="AM325" s="102">
        <f t="shared" si="69"/>
        <v>1993</v>
      </c>
      <c r="AN325" s="257">
        <f t="shared" si="70"/>
        <v>1993</v>
      </c>
      <c r="AO325" s="8"/>
      <c r="AP325" s="8">
        <f t="shared" si="71"/>
        <v>1993</v>
      </c>
      <c r="AQ325" s="2">
        <f t="shared" si="72"/>
        <v>0</v>
      </c>
      <c r="AR325" s="264"/>
      <c r="AS325" s="264"/>
      <c r="AT325" s="264"/>
      <c r="AU325" s="264"/>
      <c r="AW325" s="8">
        <f t="shared" si="73"/>
        <v>0</v>
      </c>
      <c r="AX325" s="11">
        <f t="shared" si="74"/>
        <v>193</v>
      </c>
      <c r="AY325" s="8">
        <f t="shared" si="75"/>
        <v>0</v>
      </c>
      <c r="AZ325" s="234">
        <f t="shared" si="76"/>
        <v>360</v>
      </c>
      <c r="CG325" s="264"/>
      <c r="CH325" s="264"/>
      <c r="CI325" s="264"/>
      <c r="CJ325" s="264"/>
      <c r="CK325" s="264"/>
      <c r="CS325" s="269"/>
      <c r="DK325" s="271"/>
      <c r="DM325" s="2">
        <v>3</v>
      </c>
      <c r="DO325" s="25"/>
      <c r="DP325" s="249"/>
      <c r="DT325" s="11"/>
      <c r="DU325" s="11"/>
      <c r="DV325" s="11"/>
      <c r="DW325" s="237">
        <v>16.600000000000001</v>
      </c>
    </row>
    <row r="326" spans="1:127">
      <c r="A326" s="102">
        <v>353</v>
      </c>
      <c r="B326" s="56">
        <v>9</v>
      </c>
      <c r="R326" s="235">
        <f t="shared" si="68"/>
        <v>0</v>
      </c>
      <c r="S326" s="249">
        <v>303</v>
      </c>
      <c r="T326" s="56">
        <v>214</v>
      </c>
      <c r="U326" s="56"/>
      <c r="V326" s="56"/>
      <c r="W326" s="56"/>
      <c r="X326" s="56"/>
      <c r="Y326" s="56">
        <v>165</v>
      </c>
      <c r="Z326" s="56">
        <v>745</v>
      </c>
      <c r="AA326" s="56">
        <v>0</v>
      </c>
      <c r="AB326" s="56">
        <v>370</v>
      </c>
      <c r="AC326" s="56"/>
      <c r="AD326" s="56"/>
      <c r="AG326" s="2">
        <v>214</v>
      </c>
      <c r="AH326" s="2">
        <v>112</v>
      </c>
      <c r="AM326" s="102">
        <f t="shared" si="69"/>
        <v>2123</v>
      </c>
      <c r="AN326" s="257">
        <f t="shared" si="70"/>
        <v>2123</v>
      </c>
      <c r="AO326" s="8"/>
      <c r="AP326" s="8">
        <f t="shared" si="71"/>
        <v>2123</v>
      </c>
      <c r="AQ326" s="2">
        <f t="shared" si="72"/>
        <v>0</v>
      </c>
      <c r="AR326" s="264"/>
      <c r="AS326" s="264"/>
      <c r="AT326" s="264"/>
      <c r="AU326" s="264"/>
      <c r="AW326" s="8">
        <f t="shared" si="73"/>
        <v>0</v>
      </c>
      <c r="AX326" s="11">
        <f t="shared" si="74"/>
        <v>165</v>
      </c>
      <c r="AY326" s="8">
        <f t="shared" si="75"/>
        <v>0</v>
      </c>
      <c r="AZ326" s="234">
        <f t="shared" si="76"/>
        <v>370</v>
      </c>
      <c r="CG326" s="264"/>
      <c r="CH326" s="264"/>
      <c r="CI326" s="264"/>
      <c r="CJ326" s="264"/>
      <c r="CK326" s="264"/>
      <c r="CS326" s="269"/>
      <c r="DK326" s="271"/>
      <c r="DM326" s="2">
        <v>4</v>
      </c>
      <c r="DO326" s="25"/>
      <c r="DP326" s="249"/>
      <c r="DT326" s="11"/>
      <c r="DU326" s="11"/>
      <c r="DV326" s="11"/>
      <c r="DW326" s="237">
        <v>29.6</v>
      </c>
    </row>
    <row r="327" spans="1:127">
      <c r="A327" s="102">
        <v>354</v>
      </c>
      <c r="B327" s="56">
        <v>9</v>
      </c>
      <c r="R327" s="235">
        <f t="shared" si="68"/>
        <v>0</v>
      </c>
      <c r="S327" s="249">
        <v>263</v>
      </c>
      <c r="T327" s="56">
        <v>191</v>
      </c>
      <c r="U327" s="56"/>
      <c r="V327" s="56"/>
      <c r="W327" s="56"/>
      <c r="X327" s="56"/>
      <c r="Y327" s="56">
        <v>171</v>
      </c>
      <c r="Z327" s="56">
        <v>252</v>
      </c>
      <c r="AA327" s="56">
        <v>366</v>
      </c>
      <c r="AB327" s="56">
        <v>290</v>
      </c>
      <c r="AC327" s="56"/>
      <c r="AD327" s="56"/>
      <c r="AG327" s="2">
        <v>123</v>
      </c>
      <c r="AH327" s="2">
        <v>151</v>
      </c>
      <c r="AM327" s="102">
        <f t="shared" si="69"/>
        <v>1807</v>
      </c>
      <c r="AN327" s="257">
        <f t="shared" si="70"/>
        <v>1807</v>
      </c>
      <c r="AO327" s="8"/>
      <c r="AP327" s="8">
        <f t="shared" si="71"/>
        <v>1807</v>
      </c>
      <c r="AQ327" s="2">
        <f t="shared" si="72"/>
        <v>0</v>
      </c>
      <c r="AR327" s="264"/>
      <c r="AS327" s="264"/>
      <c r="AT327" s="264"/>
      <c r="AU327" s="264"/>
      <c r="AW327" s="8">
        <f t="shared" si="73"/>
        <v>0</v>
      </c>
      <c r="AX327" s="11">
        <f t="shared" si="74"/>
        <v>171</v>
      </c>
      <c r="AY327" s="8">
        <f t="shared" si="75"/>
        <v>366</v>
      </c>
      <c r="AZ327" s="234">
        <f t="shared" si="76"/>
        <v>290</v>
      </c>
      <c r="CG327" s="264"/>
      <c r="CH327" s="264"/>
      <c r="CI327" s="264"/>
      <c r="CJ327" s="264"/>
      <c r="CK327" s="264"/>
      <c r="CS327" s="269"/>
      <c r="DK327" s="271"/>
      <c r="DM327" s="2">
        <v>4</v>
      </c>
      <c r="DO327" s="25"/>
      <c r="DP327" s="249"/>
      <c r="DT327" s="11"/>
      <c r="DU327" s="11"/>
      <c r="DV327" s="11"/>
      <c r="DW327" s="237">
        <v>12.2</v>
      </c>
    </row>
    <row r="328" spans="1:127">
      <c r="A328" s="102">
        <v>355</v>
      </c>
      <c r="B328" s="56">
        <v>9</v>
      </c>
      <c r="R328" s="235">
        <f t="shared" si="68"/>
        <v>0</v>
      </c>
      <c r="S328" s="249">
        <v>200</v>
      </c>
      <c r="T328" s="56">
        <v>183</v>
      </c>
      <c r="U328" s="56"/>
      <c r="V328" s="56"/>
      <c r="W328" s="56"/>
      <c r="X328" s="56"/>
      <c r="Y328" s="56">
        <v>165</v>
      </c>
      <c r="Z328" s="56">
        <v>287</v>
      </c>
      <c r="AA328" s="56">
        <v>293</v>
      </c>
      <c r="AB328" s="56">
        <v>265</v>
      </c>
      <c r="AC328" s="56"/>
      <c r="AD328" s="56"/>
      <c r="AG328" s="2">
        <v>174</v>
      </c>
      <c r="AH328" s="2">
        <v>141</v>
      </c>
      <c r="AM328" s="102">
        <f t="shared" si="69"/>
        <v>1708</v>
      </c>
      <c r="AN328" s="257">
        <f t="shared" si="70"/>
        <v>1708</v>
      </c>
      <c r="AO328" s="8"/>
      <c r="AP328" s="8">
        <f t="shared" si="71"/>
        <v>1708</v>
      </c>
      <c r="AQ328" s="2">
        <f t="shared" si="72"/>
        <v>0</v>
      </c>
      <c r="AR328" s="264"/>
      <c r="AS328" s="264"/>
      <c r="AT328" s="264"/>
      <c r="AU328" s="264"/>
      <c r="AW328" s="8">
        <f t="shared" si="73"/>
        <v>0</v>
      </c>
      <c r="AX328" s="11">
        <f t="shared" si="74"/>
        <v>165</v>
      </c>
      <c r="AY328" s="8">
        <f t="shared" si="75"/>
        <v>293</v>
      </c>
      <c r="AZ328" s="234">
        <f t="shared" si="76"/>
        <v>265</v>
      </c>
      <c r="CG328" s="264"/>
      <c r="CH328" s="264"/>
      <c r="CI328" s="264"/>
      <c r="CJ328" s="264"/>
      <c r="CK328" s="264"/>
      <c r="CS328" s="269"/>
      <c r="DK328" s="271"/>
      <c r="DM328" s="2">
        <v>4</v>
      </c>
      <c r="DO328" s="25"/>
      <c r="DP328" s="249"/>
      <c r="DT328" s="11"/>
      <c r="DU328" s="11"/>
      <c r="DV328" s="11"/>
      <c r="DW328" s="237">
        <v>11.2</v>
      </c>
    </row>
    <row r="329" spans="1:127">
      <c r="A329" s="102">
        <v>356</v>
      </c>
      <c r="B329" s="56">
        <v>9</v>
      </c>
      <c r="R329" s="235">
        <f t="shared" si="68"/>
        <v>0</v>
      </c>
      <c r="S329" s="249">
        <v>207</v>
      </c>
      <c r="T329" s="56">
        <v>208</v>
      </c>
      <c r="U329" s="56"/>
      <c r="V329" s="56"/>
      <c r="W329" s="56"/>
      <c r="X329" s="56"/>
      <c r="Y329" s="56">
        <v>111</v>
      </c>
      <c r="Z329" s="56">
        <v>603</v>
      </c>
      <c r="AA329" s="56">
        <v>0</v>
      </c>
      <c r="AB329" s="56">
        <v>317</v>
      </c>
      <c r="AC329" s="56"/>
      <c r="AD329" s="56"/>
      <c r="AG329" s="2">
        <v>186</v>
      </c>
      <c r="AH329" s="2">
        <v>160</v>
      </c>
      <c r="AM329" s="102">
        <f t="shared" si="69"/>
        <v>1792</v>
      </c>
      <c r="AN329" s="257">
        <f t="shared" si="70"/>
        <v>1792</v>
      </c>
      <c r="AO329" s="8"/>
      <c r="AP329" s="8">
        <f t="shared" si="71"/>
        <v>1792</v>
      </c>
      <c r="AQ329" s="2">
        <f t="shared" si="72"/>
        <v>0</v>
      </c>
      <c r="AR329" s="264"/>
      <c r="AS329" s="264"/>
      <c r="AT329" s="264"/>
      <c r="AU329" s="264"/>
      <c r="AW329" s="8">
        <f t="shared" si="73"/>
        <v>0</v>
      </c>
      <c r="AX329" s="11">
        <f t="shared" si="74"/>
        <v>111</v>
      </c>
      <c r="AY329" s="8">
        <f t="shared" si="75"/>
        <v>0</v>
      </c>
      <c r="AZ329" s="234">
        <f t="shared" si="76"/>
        <v>317</v>
      </c>
      <c r="CG329" s="264"/>
      <c r="CH329" s="264"/>
      <c r="CI329" s="264"/>
      <c r="CJ329" s="264"/>
      <c r="CK329" s="264"/>
      <c r="CS329" s="269"/>
      <c r="DK329" s="271"/>
      <c r="DM329" s="2">
        <v>4</v>
      </c>
      <c r="DO329" s="25"/>
      <c r="DP329" s="249"/>
      <c r="DT329" s="11"/>
      <c r="DU329" s="11"/>
      <c r="DV329" s="11"/>
      <c r="DW329" s="237">
        <v>18.8</v>
      </c>
    </row>
    <row r="330" spans="1:127">
      <c r="A330" s="102">
        <v>357</v>
      </c>
      <c r="B330" s="56">
        <v>9</v>
      </c>
      <c r="R330" s="235">
        <f t="shared" si="68"/>
        <v>0</v>
      </c>
      <c r="S330" s="249">
        <v>245</v>
      </c>
      <c r="T330" s="56">
        <v>274</v>
      </c>
      <c r="U330" s="56"/>
      <c r="V330" s="56"/>
      <c r="W330" s="56"/>
      <c r="X330" s="56"/>
      <c r="Y330" s="56">
        <v>220</v>
      </c>
      <c r="Z330" s="56">
        <v>660</v>
      </c>
      <c r="AA330" s="56">
        <v>0</v>
      </c>
      <c r="AB330" s="56">
        <v>313</v>
      </c>
      <c r="AC330" s="56"/>
      <c r="AD330" s="56"/>
      <c r="AG330" s="2">
        <v>204</v>
      </c>
      <c r="AH330" s="2">
        <v>161</v>
      </c>
      <c r="AM330" s="102">
        <f t="shared" si="69"/>
        <v>2077</v>
      </c>
      <c r="AN330" s="257">
        <f t="shared" si="70"/>
        <v>2077</v>
      </c>
      <c r="AO330" s="8"/>
      <c r="AP330" s="8">
        <f t="shared" si="71"/>
        <v>2077</v>
      </c>
      <c r="AQ330" s="2">
        <f t="shared" si="72"/>
        <v>0</v>
      </c>
      <c r="AR330" s="264"/>
      <c r="AS330" s="264"/>
      <c r="AT330" s="264"/>
      <c r="AU330" s="264"/>
      <c r="AW330" s="8">
        <f t="shared" si="73"/>
        <v>0</v>
      </c>
      <c r="AX330" s="11">
        <f t="shared" si="74"/>
        <v>220</v>
      </c>
      <c r="AY330" s="8">
        <f t="shared" si="75"/>
        <v>0</v>
      </c>
      <c r="AZ330" s="234">
        <f t="shared" si="76"/>
        <v>313</v>
      </c>
      <c r="CG330" s="264"/>
      <c r="CH330" s="264"/>
      <c r="CI330" s="264"/>
      <c r="CJ330" s="264"/>
      <c r="CK330" s="264"/>
      <c r="CS330" s="269"/>
      <c r="DK330" s="271"/>
      <c r="DM330" s="2">
        <v>4</v>
      </c>
      <c r="DO330" s="25"/>
      <c r="DP330" s="249"/>
      <c r="DT330" s="11"/>
      <c r="DU330" s="11"/>
      <c r="DV330" s="11"/>
      <c r="DW330" s="237">
        <v>9.6999999999999993</v>
      </c>
    </row>
    <row r="331" spans="1:127">
      <c r="A331" s="102">
        <v>358</v>
      </c>
      <c r="B331" s="56">
        <v>9</v>
      </c>
      <c r="R331" s="235">
        <f t="shared" si="68"/>
        <v>0</v>
      </c>
      <c r="S331" s="249">
        <v>248</v>
      </c>
      <c r="T331" s="56">
        <v>219</v>
      </c>
      <c r="U331" s="56"/>
      <c r="V331" s="56"/>
      <c r="W331" s="56"/>
      <c r="X331" s="56"/>
      <c r="Y331" s="56">
        <v>218</v>
      </c>
      <c r="Z331" s="56">
        <v>658</v>
      </c>
      <c r="AA331" s="56">
        <v>0</v>
      </c>
      <c r="AB331" s="56">
        <v>296</v>
      </c>
      <c r="AC331" s="56"/>
      <c r="AD331" s="56"/>
      <c r="AG331" s="2">
        <v>204</v>
      </c>
      <c r="AH331" s="2">
        <v>170</v>
      </c>
      <c r="AM331" s="102">
        <f t="shared" si="69"/>
        <v>2013</v>
      </c>
      <c r="AN331" s="257">
        <f t="shared" si="70"/>
        <v>2013</v>
      </c>
      <c r="AO331" s="8"/>
      <c r="AP331" s="8">
        <f t="shared" si="71"/>
        <v>2013</v>
      </c>
      <c r="AQ331" s="2">
        <f t="shared" si="72"/>
        <v>0</v>
      </c>
      <c r="AR331" s="264"/>
      <c r="AS331" s="264"/>
      <c r="AT331" s="264"/>
      <c r="AU331" s="264"/>
      <c r="AW331" s="8">
        <f t="shared" si="73"/>
        <v>0</v>
      </c>
      <c r="AX331" s="11">
        <f t="shared" si="74"/>
        <v>218</v>
      </c>
      <c r="AY331" s="8">
        <f t="shared" si="75"/>
        <v>0</v>
      </c>
      <c r="AZ331" s="234">
        <f t="shared" si="76"/>
        <v>296</v>
      </c>
      <c r="CG331" s="264"/>
      <c r="CH331" s="264"/>
      <c r="CI331" s="264"/>
      <c r="CJ331" s="264"/>
      <c r="CK331" s="264"/>
      <c r="CS331" s="269"/>
      <c r="DK331" s="271"/>
      <c r="DM331" s="2">
        <v>4</v>
      </c>
      <c r="DO331" s="25"/>
      <c r="DP331" s="249"/>
      <c r="DT331" s="11"/>
      <c r="DU331" s="11"/>
      <c r="DV331" s="266"/>
      <c r="DW331" s="237">
        <v>10.4</v>
      </c>
    </row>
    <row r="332" spans="1:127">
      <c r="A332" s="102">
        <v>359</v>
      </c>
      <c r="B332" s="56">
        <v>9</v>
      </c>
      <c r="R332" s="235">
        <f t="shared" si="68"/>
        <v>0</v>
      </c>
      <c r="S332" s="249">
        <v>258</v>
      </c>
      <c r="T332" s="56">
        <v>143</v>
      </c>
      <c r="U332" s="56"/>
      <c r="V332" s="56"/>
      <c r="W332" s="56"/>
      <c r="X332" s="56"/>
      <c r="Y332" s="56">
        <v>197</v>
      </c>
      <c r="Z332" s="56">
        <v>310</v>
      </c>
      <c r="AA332" s="56">
        <v>206</v>
      </c>
      <c r="AB332" s="56">
        <v>279</v>
      </c>
      <c r="AC332" s="56"/>
      <c r="AD332" s="56"/>
      <c r="AG332" s="2">
        <v>182</v>
      </c>
      <c r="AH332" s="2">
        <v>101</v>
      </c>
      <c r="AM332" s="102">
        <f t="shared" si="69"/>
        <v>1676</v>
      </c>
      <c r="AN332" s="257">
        <f t="shared" si="70"/>
        <v>1676</v>
      </c>
      <c r="AO332" s="8"/>
      <c r="AP332" s="8">
        <f t="shared" si="71"/>
        <v>1676</v>
      </c>
      <c r="AQ332" s="2">
        <f t="shared" si="72"/>
        <v>0</v>
      </c>
      <c r="AR332" s="264"/>
      <c r="AS332" s="264"/>
      <c r="AT332" s="264"/>
      <c r="AU332" s="264"/>
      <c r="AW332" s="8">
        <f t="shared" si="73"/>
        <v>0</v>
      </c>
      <c r="AX332" s="11">
        <f t="shared" si="74"/>
        <v>197</v>
      </c>
      <c r="AY332" s="8">
        <f t="shared" si="75"/>
        <v>206</v>
      </c>
      <c r="AZ332" s="234">
        <f t="shared" si="76"/>
        <v>279</v>
      </c>
      <c r="CG332" s="264"/>
      <c r="CH332" s="264"/>
      <c r="CI332" s="264"/>
      <c r="CJ332" s="264"/>
      <c r="CK332" s="264"/>
      <c r="CS332" s="269"/>
      <c r="DK332" s="271"/>
      <c r="DM332" s="2">
        <v>4</v>
      </c>
      <c r="DO332" s="25"/>
      <c r="DP332" s="249"/>
      <c r="DT332" s="11"/>
      <c r="DU332" s="11"/>
      <c r="DV332" s="11"/>
      <c r="DW332" s="237">
        <v>12.4</v>
      </c>
    </row>
    <row r="333" spans="1:127">
      <c r="A333" s="102">
        <v>360</v>
      </c>
      <c r="B333" s="56">
        <v>9</v>
      </c>
      <c r="R333" s="235">
        <f t="shared" si="68"/>
        <v>0</v>
      </c>
      <c r="S333" s="249">
        <v>91</v>
      </c>
      <c r="T333" s="56">
        <v>186</v>
      </c>
      <c r="U333" s="56"/>
      <c r="V333" s="56"/>
      <c r="W333" s="56"/>
      <c r="X333" s="56"/>
      <c r="Y333" s="56">
        <v>168</v>
      </c>
      <c r="Z333" s="56">
        <v>164</v>
      </c>
      <c r="AA333" s="56">
        <v>409</v>
      </c>
      <c r="AB333" s="56">
        <v>0</v>
      </c>
      <c r="AC333" s="56"/>
      <c r="AD333" s="56"/>
      <c r="AG333" s="2">
        <v>111</v>
      </c>
      <c r="AH333" s="2">
        <v>371</v>
      </c>
      <c r="AM333" s="102">
        <f t="shared" si="69"/>
        <v>1500</v>
      </c>
      <c r="AN333" s="257">
        <f t="shared" si="70"/>
        <v>1500</v>
      </c>
      <c r="AO333" s="8"/>
      <c r="AP333" s="8">
        <f t="shared" si="71"/>
        <v>1500</v>
      </c>
      <c r="AQ333" s="2">
        <f t="shared" si="72"/>
        <v>0</v>
      </c>
      <c r="AR333" s="264"/>
      <c r="AS333" s="264"/>
      <c r="AT333" s="264"/>
      <c r="AU333" s="264"/>
      <c r="AW333" s="8">
        <f t="shared" si="73"/>
        <v>0</v>
      </c>
      <c r="AX333" s="11">
        <f t="shared" si="74"/>
        <v>168</v>
      </c>
      <c r="AY333" s="8">
        <f t="shared" si="75"/>
        <v>409</v>
      </c>
      <c r="AZ333" s="234">
        <f t="shared" si="76"/>
        <v>0</v>
      </c>
      <c r="CG333" s="264"/>
      <c r="CH333" s="264"/>
      <c r="CI333" s="264"/>
      <c r="CJ333" s="264"/>
      <c r="CK333" s="264"/>
      <c r="CS333" s="269"/>
      <c r="DK333" s="271"/>
      <c r="DM333" s="2">
        <v>4</v>
      </c>
      <c r="DO333" s="25"/>
      <c r="DP333" s="249"/>
      <c r="DT333" s="11"/>
      <c r="DU333" s="11"/>
      <c r="DV333" s="11"/>
      <c r="DW333" s="237">
        <v>12.9</v>
      </c>
    </row>
    <row r="334" spans="1:127">
      <c r="A334" s="102">
        <v>361</v>
      </c>
      <c r="B334" s="56">
        <v>9</v>
      </c>
      <c r="R334" s="235">
        <f t="shared" si="68"/>
        <v>0</v>
      </c>
      <c r="S334" s="249">
        <v>188</v>
      </c>
      <c r="T334" s="56">
        <v>204</v>
      </c>
      <c r="U334" s="56"/>
      <c r="V334" s="56"/>
      <c r="W334" s="56"/>
      <c r="X334" s="56"/>
      <c r="Y334" s="56">
        <v>198</v>
      </c>
      <c r="Z334" s="56">
        <v>156</v>
      </c>
      <c r="AA334" s="56">
        <v>250</v>
      </c>
      <c r="AB334" s="56">
        <v>131</v>
      </c>
      <c r="AC334" s="56"/>
      <c r="AD334" s="56"/>
      <c r="AG334" s="2">
        <v>162</v>
      </c>
      <c r="AH334" s="2">
        <v>75</v>
      </c>
      <c r="AM334" s="102">
        <f t="shared" si="69"/>
        <v>1364</v>
      </c>
      <c r="AN334" s="257">
        <f t="shared" si="70"/>
        <v>1364</v>
      </c>
      <c r="AO334" s="8"/>
      <c r="AP334" s="8">
        <f t="shared" si="71"/>
        <v>1364</v>
      </c>
      <c r="AQ334" s="2">
        <f t="shared" si="72"/>
        <v>0</v>
      </c>
      <c r="AR334" s="264"/>
      <c r="AS334" s="264"/>
      <c r="AT334" s="264"/>
      <c r="AU334" s="264"/>
      <c r="AW334" s="8">
        <f t="shared" si="73"/>
        <v>0</v>
      </c>
      <c r="AX334" s="11">
        <f t="shared" si="74"/>
        <v>198</v>
      </c>
      <c r="AY334" s="8">
        <f t="shared" si="75"/>
        <v>250</v>
      </c>
      <c r="AZ334" s="234">
        <f t="shared" si="76"/>
        <v>131</v>
      </c>
      <c r="CG334" s="264"/>
      <c r="CH334" s="264"/>
      <c r="CI334" s="264"/>
      <c r="CJ334" s="264"/>
      <c r="CK334" s="264"/>
      <c r="CS334" s="269"/>
      <c r="DK334" s="271"/>
      <c r="DM334" s="2">
        <v>4</v>
      </c>
      <c r="DO334" s="25"/>
      <c r="DP334" s="249"/>
      <c r="DT334" s="11"/>
      <c r="DU334" s="11"/>
      <c r="DV334" s="11"/>
      <c r="DW334" s="237">
        <v>13.9</v>
      </c>
    </row>
    <row r="335" spans="1:127">
      <c r="A335" s="102">
        <v>362</v>
      </c>
      <c r="B335" s="56">
        <v>9</v>
      </c>
      <c r="R335" s="235">
        <f t="shared" si="68"/>
        <v>0</v>
      </c>
      <c r="S335" s="249">
        <v>320</v>
      </c>
      <c r="T335" s="56">
        <v>213</v>
      </c>
      <c r="U335" s="56"/>
      <c r="V335" s="56"/>
      <c r="W335" s="56"/>
      <c r="X335" s="56"/>
      <c r="Y335" s="56">
        <v>198</v>
      </c>
      <c r="Z335" s="56">
        <v>200</v>
      </c>
      <c r="AA335" s="56">
        <v>205</v>
      </c>
      <c r="AB335" s="56">
        <v>124</v>
      </c>
      <c r="AC335" s="56"/>
      <c r="AD335" s="56"/>
      <c r="AG335" s="2">
        <v>152</v>
      </c>
      <c r="AH335" s="2">
        <v>80</v>
      </c>
      <c r="AM335" s="102">
        <f t="shared" si="69"/>
        <v>1492</v>
      </c>
      <c r="AN335" s="257">
        <f t="shared" si="70"/>
        <v>1492</v>
      </c>
      <c r="AO335" s="501">
        <v>524</v>
      </c>
      <c r="AP335" s="8">
        <f t="shared" si="71"/>
        <v>968</v>
      </c>
      <c r="AQ335" s="2">
        <f t="shared" si="72"/>
        <v>0</v>
      </c>
      <c r="AR335" s="264"/>
      <c r="AS335" s="264"/>
      <c r="AT335" s="264"/>
      <c r="AU335" s="264"/>
      <c r="AW335" s="8">
        <f t="shared" si="73"/>
        <v>0</v>
      </c>
      <c r="AX335" s="11">
        <f t="shared" si="74"/>
        <v>198</v>
      </c>
      <c r="AY335" s="8">
        <f t="shared" si="75"/>
        <v>205</v>
      </c>
      <c r="AZ335" s="234">
        <f t="shared" si="76"/>
        <v>124</v>
      </c>
      <c r="CG335" s="264"/>
      <c r="CH335" s="264"/>
      <c r="CI335" s="264"/>
      <c r="CJ335" s="264"/>
      <c r="CK335" s="264"/>
      <c r="CS335" s="269"/>
      <c r="DK335" s="271"/>
      <c r="DM335" s="2">
        <v>3</v>
      </c>
      <c r="DO335" s="25"/>
      <c r="DP335" s="249"/>
      <c r="DT335" s="11"/>
      <c r="DU335" s="11"/>
      <c r="DV335" s="11"/>
      <c r="DW335" s="237">
        <v>15.6</v>
      </c>
    </row>
    <row r="336" spans="1:127">
      <c r="A336" s="102">
        <v>363</v>
      </c>
      <c r="B336" s="56">
        <v>9</v>
      </c>
      <c r="R336" s="235">
        <f t="shared" si="68"/>
        <v>0</v>
      </c>
      <c r="S336" s="249">
        <v>215</v>
      </c>
      <c r="T336" s="56">
        <v>231</v>
      </c>
      <c r="U336" s="56"/>
      <c r="V336" s="56"/>
      <c r="W336" s="56"/>
      <c r="X336" s="56"/>
      <c r="Y336" s="56">
        <v>398</v>
      </c>
      <c r="Z336" s="56">
        <v>0</v>
      </c>
      <c r="AA336" s="56">
        <v>0</v>
      </c>
      <c r="AB336" s="56">
        <v>567</v>
      </c>
      <c r="AC336" s="56"/>
      <c r="AD336" s="56"/>
      <c r="AG336" s="2">
        <v>90</v>
      </c>
      <c r="AH336" s="2">
        <v>110</v>
      </c>
      <c r="AM336" s="102">
        <f t="shared" si="69"/>
        <v>1611</v>
      </c>
      <c r="AN336" s="257">
        <f t="shared" si="70"/>
        <v>1611</v>
      </c>
      <c r="AO336" s="501">
        <v>892</v>
      </c>
      <c r="AP336" s="8">
        <f t="shared" si="71"/>
        <v>719</v>
      </c>
      <c r="AQ336" s="2">
        <f t="shared" si="72"/>
        <v>0</v>
      </c>
      <c r="AR336" s="264"/>
      <c r="AS336" s="264"/>
      <c r="AT336" s="264"/>
      <c r="AU336" s="264"/>
      <c r="AW336" s="8">
        <f t="shared" si="73"/>
        <v>0</v>
      </c>
      <c r="AX336" s="11">
        <f t="shared" si="74"/>
        <v>398</v>
      </c>
      <c r="AY336" s="8">
        <f t="shared" si="75"/>
        <v>0</v>
      </c>
      <c r="AZ336" s="234">
        <f t="shared" si="76"/>
        <v>567</v>
      </c>
      <c r="CG336" s="264"/>
      <c r="CH336" s="264"/>
      <c r="CI336" s="264"/>
      <c r="CJ336" s="264"/>
      <c r="CK336" s="264"/>
      <c r="CS336" s="269"/>
      <c r="DK336" s="271"/>
      <c r="DM336" s="2">
        <v>4</v>
      </c>
      <c r="DO336" s="25"/>
      <c r="DP336" s="249"/>
      <c r="DT336" s="11"/>
      <c r="DU336" s="11"/>
      <c r="DV336" s="11"/>
      <c r="DW336" s="237">
        <v>18.2</v>
      </c>
    </row>
    <row r="337" spans="1:127">
      <c r="A337" s="102">
        <v>364</v>
      </c>
      <c r="B337" s="56">
        <v>9</v>
      </c>
      <c r="R337" s="235">
        <f t="shared" si="68"/>
        <v>0</v>
      </c>
      <c r="S337" s="249">
        <v>215</v>
      </c>
      <c r="T337" s="56">
        <v>256</v>
      </c>
      <c r="U337" s="56"/>
      <c r="V337" s="56"/>
      <c r="W337" s="56"/>
      <c r="X337" s="56"/>
      <c r="Y337" s="56">
        <v>404</v>
      </c>
      <c r="Z337" s="56">
        <v>0</v>
      </c>
      <c r="AA337" s="56">
        <v>0</v>
      </c>
      <c r="AB337" s="56">
        <v>567</v>
      </c>
      <c r="AC337" s="56"/>
      <c r="AD337" s="56"/>
      <c r="AG337" s="2">
        <v>90</v>
      </c>
      <c r="AH337" s="2">
        <v>76</v>
      </c>
      <c r="AM337" s="102">
        <f t="shared" si="69"/>
        <v>1608</v>
      </c>
      <c r="AN337" s="257">
        <f t="shared" si="70"/>
        <v>1608</v>
      </c>
      <c r="AO337" s="501">
        <v>858</v>
      </c>
      <c r="AP337" s="8">
        <f t="shared" si="71"/>
        <v>750</v>
      </c>
      <c r="AQ337" s="2">
        <f t="shared" si="72"/>
        <v>0</v>
      </c>
      <c r="AR337" s="264"/>
      <c r="AS337" s="264"/>
      <c r="AT337" s="264"/>
      <c r="AU337" s="264"/>
      <c r="AW337" s="8">
        <f t="shared" si="73"/>
        <v>0</v>
      </c>
      <c r="AX337" s="11">
        <f t="shared" si="74"/>
        <v>404</v>
      </c>
      <c r="AY337" s="8">
        <f t="shared" si="75"/>
        <v>0</v>
      </c>
      <c r="AZ337" s="234">
        <f t="shared" si="76"/>
        <v>567</v>
      </c>
      <c r="CG337" s="264"/>
      <c r="CH337" s="264"/>
      <c r="CI337" s="264"/>
      <c r="CJ337" s="264"/>
      <c r="CK337" s="264"/>
      <c r="CS337" s="269"/>
      <c r="DK337" s="271"/>
      <c r="DM337" s="2">
        <v>4</v>
      </c>
      <c r="DO337" s="25"/>
      <c r="DP337" s="249"/>
      <c r="DT337" s="11"/>
      <c r="DU337" s="11"/>
      <c r="DV337" s="11"/>
      <c r="DW337" s="237">
        <v>18.399999999999999</v>
      </c>
    </row>
    <row r="338" spans="1:127">
      <c r="A338" s="102">
        <v>365</v>
      </c>
      <c r="B338" s="56">
        <v>9</v>
      </c>
      <c r="R338" s="235">
        <f t="shared" si="68"/>
        <v>0</v>
      </c>
      <c r="S338" s="249">
        <v>195</v>
      </c>
      <c r="T338" s="56">
        <v>228</v>
      </c>
      <c r="U338" s="56"/>
      <c r="V338" s="56"/>
      <c r="W338" s="56"/>
      <c r="X338" s="56"/>
      <c r="Y338" s="56">
        <v>217</v>
      </c>
      <c r="Z338" s="56">
        <v>275</v>
      </c>
      <c r="AA338" s="56">
        <v>263</v>
      </c>
      <c r="AB338" s="56">
        <v>238</v>
      </c>
      <c r="AC338" s="56"/>
      <c r="AD338" s="56"/>
      <c r="AG338" s="2">
        <v>167</v>
      </c>
      <c r="AH338" s="2">
        <v>157</v>
      </c>
      <c r="AM338" s="102">
        <f t="shared" si="69"/>
        <v>1740</v>
      </c>
      <c r="AN338" s="257">
        <f t="shared" si="70"/>
        <v>1740</v>
      </c>
      <c r="AO338" s="501">
        <v>590</v>
      </c>
      <c r="AP338" s="8">
        <f t="shared" si="71"/>
        <v>1150</v>
      </c>
      <c r="AQ338" s="2">
        <f t="shared" si="72"/>
        <v>0</v>
      </c>
      <c r="AR338" s="264"/>
      <c r="AS338" s="264"/>
      <c r="AT338" s="264"/>
      <c r="AU338" s="264"/>
      <c r="AW338" s="8">
        <f t="shared" si="73"/>
        <v>0</v>
      </c>
      <c r="AX338" s="11">
        <f t="shared" si="74"/>
        <v>217</v>
      </c>
      <c r="AY338" s="8">
        <f t="shared" si="75"/>
        <v>263</v>
      </c>
      <c r="AZ338" s="234">
        <f t="shared" si="76"/>
        <v>238</v>
      </c>
      <c r="CG338" s="264"/>
      <c r="CH338" s="264"/>
      <c r="CI338" s="264"/>
      <c r="CJ338" s="264"/>
      <c r="CK338" s="264"/>
      <c r="CS338" s="269"/>
      <c r="DK338" s="271"/>
      <c r="DM338" s="2">
        <v>4</v>
      </c>
      <c r="DO338" s="25"/>
      <c r="DP338" s="249"/>
      <c r="DT338" s="11"/>
      <c r="DU338" s="11"/>
      <c r="DV338" s="11"/>
      <c r="DW338" s="237">
        <v>26.1</v>
      </c>
    </row>
    <row r="339" spans="1:127">
      <c r="A339" s="102">
        <v>366</v>
      </c>
      <c r="B339" s="56">
        <v>9</v>
      </c>
      <c r="R339" s="235">
        <f t="shared" si="68"/>
        <v>0</v>
      </c>
      <c r="S339" s="249">
        <v>210</v>
      </c>
      <c r="T339" s="56">
        <v>259</v>
      </c>
      <c r="U339" s="56"/>
      <c r="V339" s="56"/>
      <c r="W339" s="56"/>
      <c r="X339" s="56"/>
      <c r="Y339" s="56">
        <v>260</v>
      </c>
      <c r="Z339" s="56">
        <v>369</v>
      </c>
      <c r="AA339" s="56">
        <v>257</v>
      </c>
      <c r="AB339" s="56">
        <v>264</v>
      </c>
      <c r="AC339" s="56"/>
      <c r="AD339" s="56"/>
      <c r="AG339" s="2">
        <v>134</v>
      </c>
      <c r="AH339" s="2">
        <v>0</v>
      </c>
      <c r="AM339" s="102">
        <f t="shared" si="69"/>
        <v>1753</v>
      </c>
      <c r="AN339" s="257">
        <f t="shared" si="70"/>
        <v>1753</v>
      </c>
      <c r="AO339" s="501">
        <v>474</v>
      </c>
      <c r="AP339" s="8">
        <f t="shared" si="71"/>
        <v>1279</v>
      </c>
      <c r="AQ339" s="2">
        <f t="shared" si="72"/>
        <v>0</v>
      </c>
      <c r="AR339" s="264"/>
      <c r="AS339" s="264"/>
      <c r="AT339" s="264"/>
      <c r="AU339" s="264"/>
      <c r="AW339" s="8">
        <f t="shared" si="73"/>
        <v>0</v>
      </c>
      <c r="AX339" s="11">
        <f t="shared" si="74"/>
        <v>260</v>
      </c>
      <c r="AY339" s="8">
        <f t="shared" si="75"/>
        <v>257</v>
      </c>
      <c r="AZ339" s="234">
        <f t="shared" si="76"/>
        <v>264</v>
      </c>
      <c r="CG339" s="264"/>
      <c r="CH339" s="264"/>
      <c r="CI339" s="264"/>
      <c r="CJ339" s="264"/>
      <c r="CK339" s="264"/>
      <c r="CS339" s="269"/>
      <c r="DK339" s="271"/>
      <c r="DM339" s="2">
        <v>4</v>
      </c>
      <c r="DO339" s="25"/>
      <c r="DP339" s="249"/>
      <c r="DT339" s="11"/>
      <c r="DU339" s="11"/>
      <c r="DV339" s="11"/>
      <c r="DW339" s="237">
        <v>14.2</v>
      </c>
    </row>
    <row r="340" spans="1:127">
      <c r="A340" s="102">
        <v>367</v>
      </c>
      <c r="B340" s="56">
        <v>9</v>
      </c>
      <c r="R340" s="235">
        <f t="shared" si="68"/>
        <v>0</v>
      </c>
      <c r="S340" s="249">
        <v>237</v>
      </c>
      <c r="T340" s="56">
        <v>288</v>
      </c>
      <c r="U340" s="56"/>
      <c r="V340" s="56"/>
      <c r="W340" s="56"/>
      <c r="X340" s="56"/>
      <c r="Y340" s="56">
        <v>222</v>
      </c>
      <c r="Z340" s="56">
        <v>319</v>
      </c>
      <c r="AA340" s="56">
        <v>138</v>
      </c>
      <c r="AB340" s="56">
        <v>265</v>
      </c>
      <c r="AC340" s="56"/>
      <c r="AD340" s="56"/>
      <c r="AG340" s="2">
        <v>127</v>
      </c>
      <c r="AH340" s="2">
        <v>126</v>
      </c>
      <c r="AM340" s="102">
        <f t="shared" si="69"/>
        <v>1722</v>
      </c>
      <c r="AN340" s="257">
        <f t="shared" si="70"/>
        <v>1722</v>
      </c>
      <c r="AO340" s="501">
        <v>628</v>
      </c>
      <c r="AP340" s="8">
        <f t="shared" si="71"/>
        <v>1094</v>
      </c>
      <c r="AQ340" s="2">
        <f t="shared" si="72"/>
        <v>0</v>
      </c>
      <c r="AR340" s="264"/>
      <c r="AS340" s="264"/>
      <c r="AT340" s="264"/>
      <c r="AU340" s="264"/>
      <c r="AW340" s="8">
        <f t="shared" si="73"/>
        <v>0</v>
      </c>
      <c r="AX340" s="11">
        <f t="shared" si="74"/>
        <v>222</v>
      </c>
      <c r="AY340" s="8">
        <f t="shared" si="75"/>
        <v>138</v>
      </c>
      <c r="AZ340" s="234">
        <f t="shared" si="76"/>
        <v>265</v>
      </c>
      <c r="CG340" s="264"/>
      <c r="CH340" s="264"/>
      <c r="CI340" s="264"/>
      <c r="CJ340" s="264"/>
      <c r="CK340" s="264"/>
      <c r="CS340" s="269"/>
      <c r="DK340" s="271"/>
      <c r="DM340" s="2">
        <v>4</v>
      </c>
      <c r="DO340" s="25"/>
      <c r="DP340" s="249"/>
      <c r="DT340" s="11"/>
      <c r="DU340" s="11"/>
      <c r="DV340" s="11"/>
      <c r="DW340" s="237">
        <v>18.7</v>
      </c>
    </row>
    <row r="341" spans="1:127">
      <c r="A341" s="102">
        <v>368</v>
      </c>
      <c r="B341" s="56">
        <v>9</v>
      </c>
      <c r="R341" s="235">
        <f t="shared" si="68"/>
        <v>0</v>
      </c>
      <c r="S341" s="249">
        <v>175</v>
      </c>
      <c r="T341" s="56">
        <v>232</v>
      </c>
      <c r="U341" s="56"/>
      <c r="V341" s="56"/>
      <c r="W341" s="56"/>
      <c r="X341" s="56"/>
      <c r="Y341" s="56">
        <v>212</v>
      </c>
      <c r="Z341" s="56">
        <v>276</v>
      </c>
      <c r="AA341" s="56">
        <v>175</v>
      </c>
      <c r="AB341" s="56">
        <v>238</v>
      </c>
      <c r="AC341" s="56"/>
      <c r="AD341" s="56"/>
      <c r="AG341" s="2">
        <v>99</v>
      </c>
      <c r="AH341" s="2">
        <v>110</v>
      </c>
      <c r="AM341" s="102">
        <f t="shared" si="69"/>
        <v>1517</v>
      </c>
      <c r="AN341" s="257">
        <f t="shared" si="70"/>
        <v>1517</v>
      </c>
      <c r="AO341" s="501">
        <v>523</v>
      </c>
      <c r="AP341" s="8">
        <f t="shared" si="71"/>
        <v>994</v>
      </c>
      <c r="AQ341" s="2">
        <f t="shared" si="72"/>
        <v>0</v>
      </c>
      <c r="AR341" s="264"/>
      <c r="AS341" s="264"/>
      <c r="AT341" s="264"/>
      <c r="AU341" s="264"/>
      <c r="AW341" s="8">
        <f t="shared" si="73"/>
        <v>0</v>
      </c>
      <c r="AX341" s="11">
        <f t="shared" si="74"/>
        <v>212</v>
      </c>
      <c r="AY341" s="8">
        <f t="shared" si="75"/>
        <v>175</v>
      </c>
      <c r="AZ341" s="234">
        <f t="shared" si="76"/>
        <v>238</v>
      </c>
      <c r="CG341" s="264"/>
      <c r="CH341" s="264"/>
      <c r="CI341" s="264"/>
      <c r="CJ341" s="264"/>
      <c r="CK341" s="264"/>
      <c r="CS341" s="269"/>
      <c r="DK341" s="271"/>
      <c r="DM341" s="2">
        <v>4</v>
      </c>
      <c r="DO341" s="25"/>
      <c r="DP341" s="249"/>
      <c r="DT341" s="11"/>
      <c r="DU341" s="11"/>
      <c r="DV341" s="11"/>
      <c r="DW341" s="237">
        <v>17.600000000000001</v>
      </c>
    </row>
    <row r="342" spans="1:127">
      <c r="A342" s="102">
        <v>369</v>
      </c>
      <c r="B342" s="56">
        <v>9</v>
      </c>
      <c r="R342" s="235">
        <f t="shared" si="68"/>
        <v>0</v>
      </c>
      <c r="S342" s="249">
        <v>213</v>
      </c>
      <c r="T342" s="56">
        <v>230</v>
      </c>
      <c r="U342" s="56"/>
      <c r="V342" s="56"/>
      <c r="W342" s="56"/>
      <c r="X342" s="56"/>
      <c r="Y342" s="56">
        <v>267</v>
      </c>
      <c r="Z342" s="56">
        <v>206</v>
      </c>
      <c r="AA342" s="56">
        <v>221</v>
      </c>
      <c r="AB342" s="56">
        <v>281</v>
      </c>
      <c r="AC342" s="56"/>
      <c r="AD342" s="56"/>
      <c r="AG342" s="2">
        <v>144</v>
      </c>
      <c r="AH342" s="2">
        <v>171</v>
      </c>
      <c r="AM342" s="102">
        <f t="shared" si="69"/>
        <v>1733</v>
      </c>
      <c r="AN342" s="257">
        <f t="shared" si="70"/>
        <v>1733</v>
      </c>
      <c r="AO342" s="501">
        <v>665</v>
      </c>
      <c r="AP342" s="8">
        <f t="shared" si="71"/>
        <v>1068</v>
      </c>
      <c r="AQ342" s="2">
        <f t="shared" si="72"/>
        <v>0</v>
      </c>
      <c r="AR342" s="264"/>
      <c r="AS342" s="264"/>
      <c r="AT342" s="264"/>
      <c r="AU342" s="264"/>
      <c r="AW342" s="8">
        <f t="shared" si="73"/>
        <v>0</v>
      </c>
      <c r="AX342" s="11">
        <f t="shared" si="74"/>
        <v>267</v>
      </c>
      <c r="AY342" s="8">
        <f t="shared" si="75"/>
        <v>221</v>
      </c>
      <c r="AZ342" s="234">
        <f t="shared" si="76"/>
        <v>281</v>
      </c>
      <c r="CG342" s="264"/>
      <c r="CH342" s="264"/>
      <c r="CI342" s="264"/>
      <c r="CJ342" s="264"/>
      <c r="CK342" s="264"/>
      <c r="CS342" s="269"/>
      <c r="DK342" s="271"/>
      <c r="DM342" s="2">
        <v>4</v>
      </c>
      <c r="DO342" s="25"/>
      <c r="DP342" s="249"/>
      <c r="DT342" s="11"/>
      <c r="DU342" s="11"/>
      <c r="DV342" s="11"/>
      <c r="DW342" s="237">
        <v>6.2</v>
      </c>
    </row>
    <row r="343" spans="1:127">
      <c r="A343" s="102">
        <v>370</v>
      </c>
      <c r="B343" s="56">
        <v>9</v>
      </c>
      <c r="R343" s="235">
        <f t="shared" si="68"/>
        <v>0</v>
      </c>
      <c r="S343" s="249">
        <v>223</v>
      </c>
      <c r="T343" s="56">
        <v>218</v>
      </c>
      <c r="U343" s="56"/>
      <c r="V343" s="56"/>
      <c r="W343" s="56"/>
      <c r="X343" s="56"/>
      <c r="Y343" s="56">
        <v>137</v>
      </c>
      <c r="Z343" s="56">
        <v>207</v>
      </c>
      <c r="AA343" s="56">
        <v>217</v>
      </c>
      <c r="AB343" s="56">
        <v>274</v>
      </c>
      <c r="AC343" s="56"/>
      <c r="AD343" s="56"/>
      <c r="AG343" s="2">
        <v>120</v>
      </c>
      <c r="AH343" s="2">
        <v>169</v>
      </c>
      <c r="AM343" s="102">
        <f t="shared" si="69"/>
        <v>1565</v>
      </c>
      <c r="AN343" s="257">
        <f t="shared" si="70"/>
        <v>1565</v>
      </c>
      <c r="AO343" s="501">
        <v>666</v>
      </c>
      <c r="AP343" s="8">
        <f t="shared" si="71"/>
        <v>899</v>
      </c>
      <c r="AQ343" s="2">
        <f t="shared" si="72"/>
        <v>0</v>
      </c>
      <c r="AR343" s="264"/>
      <c r="AS343" s="264"/>
      <c r="AT343" s="264"/>
      <c r="AU343" s="264"/>
      <c r="AW343" s="8">
        <f t="shared" si="73"/>
        <v>0</v>
      </c>
      <c r="AX343" s="11">
        <f t="shared" si="74"/>
        <v>137</v>
      </c>
      <c r="AY343" s="8">
        <f t="shared" si="75"/>
        <v>217</v>
      </c>
      <c r="AZ343" s="234">
        <f t="shared" si="76"/>
        <v>274</v>
      </c>
      <c r="CG343" s="264"/>
      <c r="CH343" s="264"/>
      <c r="CI343" s="264"/>
      <c r="CJ343" s="264"/>
      <c r="CK343" s="264"/>
      <c r="CS343" s="269"/>
      <c r="DK343" s="271"/>
      <c r="DM343" s="2">
        <v>4</v>
      </c>
      <c r="DO343" s="25"/>
      <c r="DP343" s="249"/>
      <c r="DT343" s="11"/>
      <c r="DU343" s="11"/>
      <c r="DV343" s="11"/>
      <c r="DW343" s="237">
        <v>7.4</v>
      </c>
    </row>
    <row r="344" spans="1:127">
      <c r="A344" s="102">
        <v>371</v>
      </c>
      <c r="B344" s="56">
        <v>9</v>
      </c>
      <c r="R344" s="235">
        <f t="shared" si="68"/>
        <v>0</v>
      </c>
      <c r="S344" s="249">
        <v>196</v>
      </c>
      <c r="T344" s="56">
        <v>209</v>
      </c>
      <c r="U344" s="56"/>
      <c r="V344" s="56"/>
      <c r="W344" s="56"/>
      <c r="X344" s="56"/>
      <c r="Y344" s="56">
        <v>187</v>
      </c>
      <c r="Z344" s="56">
        <v>213</v>
      </c>
      <c r="AA344" s="56">
        <v>135</v>
      </c>
      <c r="AB344" s="56">
        <v>106</v>
      </c>
      <c r="AC344" s="56"/>
      <c r="AD344" s="56"/>
      <c r="AG344" s="2">
        <v>64</v>
      </c>
      <c r="AH344" s="2">
        <v>88</v>
      </c>
      <c r="AM344" s="102">
        <f t="shared" si="69"/>
        <v>1198</v>
      </c>
      <c r="AN344" s="257">
        <f t="shared" si="70"/>
        <v>1198</v>
      </c>
      <c r="AO344" s="501">
        <v>390</v>
      </c>
      <c r="AP344" s="8">
        <f t="shared" si="71"/>
        <v>808</v>
      </c>
      <c r="AQ344" s="2">
        <f t="shared" si="72"/>
        <v>0</v>
      </c>
      <c r="AR344" s="264"/>
      <c r="AS344" s="264"/>
      <c r="AT344" s="264"/>
      <c r="AU344" s="264"/>
      <c r="AW344" s="8">
        <f t="shared" si="73"/>
        <v>0</v>
      </c>
      <c r="AX344" s="11">
        <f t="shared" si="74"/>
        <v>187</v>
      </c>
      <c r="AY344" s="8">
        <f t="shared" si="75"/>
        <v>135</v>
      </c>
      <c r="AZ344" s="234">
        <f t="shared" si="76"/>
        <v>106</v>
      </c>
      <c r="CG344" s="264"/>
      <c r="CH344" s="264"/>
      <c r="CI344" s="264"/>
      <c r="CJ344" s="264"/>
      <c r="CK344" s="264"/>
      <c r="CS344" s="269"/>
      <c r="DK344" s="271"/>
      <c r="DM344" s="2">
        <v>4</v>
      </c>
      <c r="DO344" s="25"/>
      <c r="DP344" s="249"/>
      <c r="DT344" s="11"/>
      <c r="DU344" s="11"/>
      <c r="DV344" s="11"/>
      <c r="DW344" s="237">
        <v>9.8000000000000007</v>
      </c>
    </row>
    <row r="345" spans="1:127">
      <c r="A345" s="102">
        <v>372</v>
      </c>
      <c r="B345" s="56">
        <v>9</v>
      </c>
      <c r="R345" s="235">
        <f t="shared" si="68"/>
        <v>0</v>
      </c>
      <c r="S345" s="249">
        <v>80</v>
      </c>
      <c r="T345" s="56">
        <v>187</v>
      </c>
      <c r="U345" s="56"/>
      <c r="V345" s="56"/>
      <c r="W345" s="56"/>
      <c r="X345" s="56"/>
      <c r="Y345" s="56">
        <v>173</v>
      </c>
      <c r="Z345" s="56">
        <v>252</v>
      </c>
      <c r="AA345" s="56">
        <v>175</v>
      </c>
      <c r="AB345" s="56">
        <v>185</v>
      </c>
      <c r="AC345" s="56"/>
      <c r="AD345" s="56"/>
      <c r="AG345" s="2">
        <v>103</v>
      </c>
      <c r="AH345" s="2">
        <v>114</v>
      </c>
      <c r="AM345" s="102">
        <f t="shared" si="69"/>
        <v>1269</v>
      </c>
      <c r="AN345" s="257">
        <f t="shared" si="70"/>
        <v>1269</v>
      </c>
      <c r="AO345" s="501">
        <v>379</v>
      </c>
      <c r="AP345" s="8">
        <f t="shared" si="71"/>
        <v>890</v>
      </c>
      <c r="AQ345" s="2">
        <f t="shared" si="72"/>
        <v>0</v>
      </c>
      <c r="AR345" s="264"/>
      <c r="AS345" s="264"/>
      <c r="AT345" s="264"/>
      <c r="AU345" s="264"/>
      <c r="AW345" s="8">
        <f t="shared" si="73"/>
        <v>0</v>
      </c>
      <c r="AX345" s="11">
        <f t="shared" si="74"/>
        <v>173</v>
      </c>
      <c r="AY345" s="8">
        <f t="shared" si="75"/>
        <v>175</v>
      </c>
      <c r="AZ345" s="234">
        <f t="shared" si="76"/>
        <v>185</v>
      </c>
      <c r="BD345" s="11"/>
      <c r="BG345" s="11"/>
      <c r="CG345" s="264"/>
      <c r="CH345" s="264"/>
      <c r="CI345" s="264"/>
      <c r="CJ345" s="264"/>
      <c r="CK345" s="264"/>
      <c r="CS345" s="269"/>
      <c r="DK345" s="271"/>
      <c r="DM345" s="2">
        <v>4</v>
      </c>
      <c r="DO345" s="25"/>
      <c r="DP345" s="249"/>
      <c r="DT345" s="11"/>
      <c r="DU345" s="11"/>
      <c r="DV345" s="11"/>
      <c r="DW345" s="237">
        <v>16.2</v>
      </c>
    </row>
    <row r="346" spans="1:127">
      <c r="A346" s="102">
        <v>373</v>
      </c>
      <c r="B346" s="56">
        <v>9</v>
      </c>
      <c r="R346" s="235">
        <f t="shared" si="68"/>
        <v>0</v>
      </c>
      <c r="S346" s="249">
        <v>185</v>
      </c>
      <c r="T346" s="56">
        <v>128</v>
      </c>
      <c r="U346" s="56"/>
      <c r="V346" s="56"/>
      <c r="W346" s="56"/>
      <c r="X346" s="56"/>
      <c r="Y346" s="56">
        <v>178</v>
      </c>
      <c r="Z346" s="56">
        <v>279</v>
      </c>
      <c r="AA346" s="56">
        <v>149</v>
      </c>
      <c r="AB346" s="56">
        <v>188</v>
      </c>
      <c r="AC346" s="56"/>
      <c r="AD346" s="56"/>
      <c r="AG346" s="2">
        <v>63</v>
      </c>
      <c r="AH346" s="2">
        <v>76</v>
      </c>
      <c r="AM346" s="102">
        <f t="shared" si="69"/>
        <v>1246</v>
      </c>
      <c r="AN346" s="257">
        <f t="shared" si="70"/>
        <v>1246</v>
      </c>
      <c r="AO346" s="501">
        <v>449</v>
      </c>
      <c r="AP346" s="8">
        <f t="shared" si="71"/>
        <v>797</v>
      </c>
      <c r="AQ346" s="2">
        <f t="shared" si="72"/>
        <v>0</v>
      </c>
      <c r="AR346" s="264"/>
      <c r="AS346" s="264"/>
      <c r="AT346" s="264"/>
      <c r="AU346" s="264"/>
      <c r="AW346" s="8">
        <f t="shared" si="73"/>
        <v>0</v>
      </c>
      <c r="AX346" s="11">
        <f t="shared" si="74"/>
        <v>178</v>
      </c>
      <c r="AY346" s="8">
        <f t="shared" si="75"/>
        <v>149</v>
      </c>
      <c r="AZ346" s="234">
        <f t="shared" si="76"/>
        <v>188</v>
      </c>
      <c r="BD346" s="11"/>
      <c r="BF346" s="8"/>
      <c r="BG346" s="11"/>
      <c r="BH346" s="8"/>
      <c r="CG346" s="264"/>
      <c r="CH346" s="264"/>
      <c r="CI346" s="264"/>
      <c r="CJ346" s="264"/>
      <c r="CK346" s="264"/>
      <c r="CS346" s="269"/>
      <c r="DK346" s="271"/>
      <c r="DM346" s="2">
        <v>4</v>
      </c>
      <c r="DO346" s="25"/>
      <c r="DP346" s="249"/>
      <c r="DT346" s="11"/>
      <c r="DU346" s="11"/>
      <c r="DV346" s="11"/>
      <c r="DW346" s="237">
        <v>9.5</v>
      </c>
    </row>
    <row r="347" spans="1:127">
      <c r="A347" s="102">
        <v>374</v>
      </c>
      <c r="B347" s="56">
        <v>9</v>
      </c>
      <c r="R347" s="235">
        <f t="shared" si="68"/>
        <v>0</v>
      </c>
      <c r="S347" s="249">
        <v>228</v>
      </c>
      <c r="T347" s="56">
        <v>239</v>
      </c>
      <c r="U347" s="56"/>
      <c r="V347" s="56"/>
      <c r="W347" s="56"/>
      <c r="X347" s="56"/>
      <c r="Y347" s="56">
        <v>249</v>
      </c>
      <c r="Z347" s="56">
        <v>236</v>
      </c>
      <c r="AA347" s="56">
        <v>197</v>
      </c>
      <c r="AB347" s="56">
        <v>227</v>
      </c>
      <c r="AC347" s="56"/>
      <c r="AD347" s="56"/>
      <c r="AG347" s="2">
        <v>53</v>
      </c>
      <c r="AH347" s="2">
        <v>171</v>
      </c>
      <c r="AM347" s="102">
        <f t="shared" si="69"/>
        <v>1600</v>
      </c>
      <c r="AN347" s="257">
        <f t="shared" si="70"/>
        <v>1600</v>
      </c>
      <c r="AO347" s="501">
        <v>626</v>
      </c>
      <c r="AP347" s="8">
        <f t="shared" si="71"/>
        <v>974</v>
      </c>
      <c r="AQ347" s="2">
        <f t="shared" si="72"/>
        <v>0</v>
      </c>
      <c r="AR347" s="264"/>
      <c r="AS347" s="264"/>
      <c r="AT347" s="264"/>
      <c r="AU347" s="264"/>
      <c r="AW347" s="8">
        <f t="shared" si="73"/>
        <v>0</v>
      </c>
      <c r="AX347" s="11">
        <f t="shared" si="74"/>
        <v>249</v>
      </c>
      <c r="AY347" s="8">
        <f t="shared" si="75"/>
        <v>197</v>
      </c>
      <c r="AZ347" s="234">
        <f t="shared" si="76"/>
        <v>227</v>
      </c>
      <c r="BD347" s="11"/>
      <c r="BF347" s="8"/>
      <c r="BG347" s="11"/>
      <c r="BH347" s="8"/>
      <c r="CG347" s="264"/>
      <c r="CH347" s="264"/>
      <c r="CI347" s="264"/>
      <c r="CJ347" s="264"/>
      <c r="CK347" s="264"/>
      <c r="CS347" s="269"/>
      <c r="DK347" s="271"/>
      <c r="DM347" s="2">
        <v>4</v>
      </c>
      <c r="DO347" s="25"/>
      <c r="DP347" s="249"/>
      <c r="DT347" s="11"/>
      <c r="DU347" s="11"/>
      <c r="DV347" s="11"/>
      <c r="DW347" s="237">
        <v>4.9000000000000004</v>
      </c>
    </row>
    <row r="348" spans="1:127">
      <c r="A348" s="102">
        <v>375</v>
      </c>
      <c r="B348" s="56">
        <v>9</v>
      </c>
      <c r="R348" s="235">
        <f t="shared" si="68"/>
        <v>0</v>
      </c>
      <c r="S348" s="249">
        <v>188</v>
      </c>
      <c r="T348" s="56">
        <v>140</v>
      </c>
      <c r="U348" s="56"/>
      <c r="V348" s="56"/>
      <c r="W348" s="56"/>
      <c r="X348" s="56"/>
      <c r="Y348" s="56">
        <v>252</v>
      </c>
      <c r="Z348" s="56">
        <v>293</v>
      </c>
      <c r="AA348" s="56">
        <v>225</v>
      </c>
      <c r="AB348" s="56">
        <v>217</v>
      </c>
      <c r="AC348" s="56"/>
      <c r="AD348" s="56"/>
      <c r="AG348" s="2">
        <v>120</v>
      </c>
      <c r="AH348" s="2">
        <v>84</v>
      </c>
      <c r="AM348" s="102">
        <f t="shared" si="69"/>
        <v>1519</v>
      </c>
      <c r="AN348" s="257">
        <f t="shared" si="70"/>
        <v>1519</v>
      </c>
      <c r="AO348" s="501">
        <v>489</v>
      </c>
      <c r="AP348" s="8">
        <f t="shared" si="71"/>
        <v>1030</v>
      </c>
      <c r="AQ348" s="2">
        <f t="shared" si="72"/>
        <v>0</v>
      </c>
      <c r="AR348" s="264"/>
      <c r="AS348" s="264"/>
      <c r="AT348" s="264"/>
      <c r="AU348" s="264"/>
      <c r="AW348" s="8">
        <f t="shared" si="73"/>
        <v>0</v>
      </c>
      <c r="AX348" s="11">
        <f t="shared" si="74"/>
        <v>252</v>
      </c>
      <c r="AY348" s="8">
        <f t="shared" si="75"/>
        <v>225</v>
      </c>
      <c r="AZ348" s="234">
        <f t="shared" si="76"/>
        <v>217</v>
      </c>
      <c r="BD348" s="11"/>
      <c r="BF348" s="8"/>
      <c r="BG348" s="11"/>
      <c r="BH348" s="8"/>
      <c r="CG348" s="264"/>
      <c r="CH348" s="264"/>
      <c r="CI348" s="264"/>
      <c r="CJ348" s="264"/>
      <c r="CK348" s="264"/>
      <c r="CS348" s="269"/>
      <c r="DK348" s="271"/>
      <c r="DM348" s="2">
        <v>4</v>
      </c>
      <c r="DO348" s="25"/>
      <c r="DP348" s="249"/>
      <c r="DT348" s="11"/>
      <c r="DU348" s="11"/>
      <c r="DV348" s="11"/>
      <c r="DW348" s="237">
        <v>8.4</v>
      </c>
    </row>
    <row r="349" spans="1:127">
      <c r="A349" s="102">
        <v>376</v>
      </c>
      <c r="B349" s="56">
        <v>9</v>
      </c>
      <c r="R349" s="235">
        <f t="shared" si="68"/>
        <v>0</v>
      </c>
      <c r="S349" s="249">
        <v>78</v>
      </c>
      <c r="T349" s="56">
        <v>198</v>
      </c>
      <c r="U349" s="56"/>
      <c r="V349" s="56"/>
      <c r="W349" s="56"/>
      <c r="X349" s="56"/>
      <c r="Y349" s="56">
        <v>159</v>
      </c>
      <c r="Z349" s="56">
        <v>78</v>
      </c>
      <c r="AA349" s="56">
        <v>198</v>
      </c>
      <c r="AB349" s="56">
        <v>129</v>
      </c>
      <c r="AC349" s="56"/>
      <c r="AD349" s="56"/>
      <c r="AG349" s="2">
        <v>135</v>
      </c>
      <c r="AH349" s="2">
        <v>63</v>
      </c>
      <c r="AM349" s="102">
        <f t="shared" si="69"/>
        <v>1038</v>
      </c>
      <c r="AN349" s="257">
        <f t="shared" si="70"/>
        <v>1038</v>
      </c>
      <c r="AO349" s="501">
        <v>270</v>
      </c>
      <c r="AP349" s="8">
        <f t="shared" si="71"/>
        <v>768</v>
      </c>
      <c r="AQ349" s="2">
        <f t="shared" si="72"/>
        <v>0</v>
      </c>
      <c r="AR349" s="264"/>
      <c r="AS349" s="264"/>
      <c r="AT349" s="264"/>
      <c r="AU349" s="264"/>
      <c r="AW349" s="8">
        <f t="shared" si="73"/>
        <v>0</v>
      </c>
      <c r="AX349" s="11">
        <f t="shared" si="74"/>
        <v>159</v>
      </c>
      <c r="AY349" s="8">
        <f t="shared" si="75"/>
        <v>198</v>
      </c>
      <c r="AZ349" s="234">
        <f t="shared" si="76"/>
        <v>129</v>
      </c>
      <c r="BD349" s="11"/>
      <c r="BF349" s="8"/>
      <c r="BG349" s="11"/>
      <c r="BH349" s="8"/>
      <c r="CG349" s="264"/>
      <c r="CH349" s="264"/>
      <c r="CI349" s="264"/>
      <c r="CJ349" s="264"/>
      <c r="CK349" s="264"/>
      <c r="CS349" s="269"/>
      <c r="DK349" s="271"/>
      <c r="DM349" s="2">
        <v>4</v>
      </c>
      <c r="DO349" s="25"/>
      <c r="DP349" s="249"/>
      <c r="DT349" s="11"/>
      <c r="DU349" s="11"/>
      <c r="DV349" s="11"/>
      <c r="DW349" s="237">
        <v>6.1</v>
      </c>
    </row>
    <row r="350" spans="1:127">
      <c r="A350" s="102">
        <v>377</v>
      </c>
      <c r="B350" s="56">
        <v>9</v>
      </c>
      <c r="R350" s="235">
        <f t="shared" si="68"/>
        <v>0</v>
      </c>
      <c r="S350" s="249">
        <v>159</v>
      </c>
      <c r="T350" s="56">
        <v>187</v>
      </c>
      <c r="U350" s="56"/>
      <c r="V350" s="56"/>
      <c r="W350" s="56"/>
      <c r="X350" s="56"/>
      <c r="Y350" s="56">
        <v>173</v>
      </c>
      <c r="Z350" s="56">
        <v>262</v>
      </c>
      <c r="AA350" s="56">
        <v>316</v>
      </c>
      <c r="AB350" s="56">
        <v>220</v>
      </c>
      <c r="AC350" s="56"/>
      <c r="AD350" s="56"/>
      <c r="AG350" s="2">
        <v>140</v>
      </c>
      <c r="AH350" s="2">
        <v>65</v>
      </c>
      <c r="AM350" s="102">
        <f t="shared" si="69"/>
        <v>1522</v>
      </c>
      <c r="AN350" s="257">
        <f t="shared" si="70"/>
        <v>1522</v>
      </c>
      <c r="AO350" s="501">
        <v>444</v>
      </c>
      <c r="AP350" s="8">
        <f t="shared" si="71"/>
        <v>1078</v>
      </c>
      <c r="AQ350" s="2">
        <f t="shared" si="72"/>
        <v>0</v>
      </c>
      <c r="AR350" s="264"/>
      <c r="AS350" s="264"/>
      <c r="AT350" s="264"/>
      <c r="AU350" s="264"/>
      <c r="AW350" s="8">
        <f t="shared" si="73"/>
        <v>0</v>
      </c>
      <c r="AX350" s="11">
        <f t="shared" si="74"/>
        <v>173</v>
      </c>
      <c r="AY350" s="8">
        <f t="shared" si="75"/>
        <v>316</v>
      </c>
      <c r="AZ350" s="234">
        <f t="shared" si="76"/>
        <v>220</v>
      </c>
      <c r="BD350" s="11"/>
      <c r="BF350" s="8"/>
      <c r="BG350" s="11"/>
      <c r="BH350" s="8"/>
      <c r="CG350" s="264"/>
      <c r="CH350" s="264"/>
      <c r="CI350" s="264"/>
      <c r="CJ350" s="264"/>
      <c r="CK350" s="264"/>
      <c r="CS350" s="269"/>
      <c r="DK350" s="271"/>
      <c r="DM350" s="2">
        <v>4</v>
      </c>
      <c r="DO350" s="25"/>
      <c r="DP350" s="249"/>
      <c r="DT350" s="11"/>
      <c r="DU350" s="11"/>
      <c r="DV350" s="11"/>
      <c r="DW350" s="237">
        <v>4.2</v>
      </c>
    </row>
    <row r="351" spans="1:127">
      <c r="A351" s="102">
        <v>378</v>
      </c>
      <c r="B351" s="56">
        <v>9</v>
      </c>
      <c r="R351" s="235">
        <f t="shared" si="68"/>
        <v>0</v>
      </c>
      <c r="S351" s="249">
        <v>197</v>
      </c>
      <c r="T351" s="56">
        <v>196</v>
      </c>
      <c r="U351" s="56"/>
      <c r="V351" s="56"/>
      <c r="W351" s="56"/>
      <c r="X351" s="56"/>
      <c r="Y351" s="56">
        <v>182</v>
      </c>
      <c r="Z351" s="56">
        <v>209</v>
      </c>
      <c r="AA351" s="56">
        <v>231</v>
      </c>
      <c r="AB351" s="56">
        <v>324</v>
      </c>
      <c r="AC351" s="56"/>
      <c r="AD351" s="56"/>
      <c r="AG351" s="2">
        <v>115</v>
      </c>
      <c r="AH351" s="2">
        <v>64</v>
      </c>
      <c r="AM351" s="102">
        <f t="shared" si="69"/>
        <v>1518</v>
      </c>
      <c r="AN351" s="257">
        <f t="shared" si="70"/>
        <v>1518</v>
      </c>
      <c r="AO351" s="501">
        <v>585</v>
      </c>
      <c r="AP351" s="8">
        <f t="shared" si="71"/>
        <v>933</v>
      </c>
      <c r="AQ351" s="2">
        <f t="shared" si="72"/>
        <v>0</v>
      </c>
      <c r="AR351" s="264"/>
      <c r="AS351" s="264"/>
      <c r="AT351" s="264"/>
      <c r="AU351" s="264"/>
      <c r="AW351" s="8">
        <f t="shared" si="73"/>
        <v>0</v>
      </c>
      <c r="AX351" s="11">
        <f t="shared" si="74"/>
        <v>182</v>
      </c>
      <c r="AY351" s="8">
        <f t="shared" si="75"/>
        <v>231</v>
      </c>
      <c r="AZ351" s="234">
        <f t="shared" si="76"/>
        <v>324</v>
      </c>
      <c r="BD351" s="11"/>
      <c r="BF351" s="8"/>
      <c r="BG351" s="11"/>
      <c r="BH351" s="292"/>
      <c r="CG351" s="264"/>
      <c r="CH351" s="264"/>
      <c r="CI351" s="264"/>
      <c r="CJ351" s="264"/>
      <c r="CK351" s="264"/>
      <c r="CS351" s="269"/>
      <c r="DK351" s="271"/>
      <c r="DM351" s="2">
        <v>4</v>
      </c>
      <c r="DO351" s="25"/>
      <c r="DP351" s="249"/>
      <c r="DT351" s="11"/>
      <c r="DU351" s="11"/>
      <c r="DV351" s="11"/>
      <c r="DW351" s="237">
        <v>9.8000000000000007</v>
      </c>
    </row>
    <row r="352" spans="1:127">
      <c r="A352" s="102">
        <v>379</v>
      </c>
      <c r="B352" s="56">
        <v>9</v>
      </c>
      <c r="R352" s="235">
        <f t="shared" si="68"/>
        <v>0</v>
      </c>
      <c r="S352" s="249">
        <v>206</v>
      </c>
      <c r="T352" s="56">
        <v>194</v>
      </c>
      <c r="U352" s="56"/>
      <c r="V352" s="56"/>
      <c r="W352" s="56"/>
      <c r="X352" s="56"/>
      <c r="Y352" s="56">
        <v>187</v>
      </c>
      <c r="Z352" s="56">
        <v>204</v>
      </c>
      <c r="AA352" s="56">
        <v>225</v>
      </c>
      <c r="AB352" s="56">
        <v>241</v>
      </c>
      <c r="AC352" s="56"/>
      <c r="AD352" s="56"/>
      <c r="AG352" s="2">
        <v>105</v>
      </c>
      <c r="AH352" s="2">
        <v>64</v>
      </c>
      <c r="AM352" s="102">
        <f t="shared" si="69"/>
        <v>1426</v>
      </c>
      <c r="AN352" s="257">
        <f t="shared" si="70"/>
        <v>1426</v>
      </c>
      <c r="AO352" s="501">
        <v>511</v>
      </c>
      <c r="AP352" s="8">
        <f t="shared" si="71"/>
        <v>915</v>
      </c>
      <c r="AQ352" s="2">
        <f t="shared" si="72"/>
        <v>0</v>
      </c>
      <c r="AR352" s="264"/>
      <c r="AS352" s="264"/>
      <c r="AT352" s="264"/>
      <c r="AU352" s="264"/>
      <c r="AW352" s="8">
        <f t="shared" si="73"/>
        <v>0</v>
      </c>
      <c r="AX352" s="11">
        <f t="shared" si="74"/>
        <v>187</v>
      </c>
      <c r="AY352" s="8">
        <f t="shared" si="75"/>
        <v>225</v>
      </c>
      <c r="AZ352" s="234">
        <f t="shared" si="76"/>
        <v>241</v>
      </c>
      <c r="BD352" s="11"/>
      <c r="BF352" s="8"/>
      <c r="BG352" s="11"/>
      <c r="BH352" s="292"/>
      <c r="CG352" s="264"/>
      <c r="CH352" s="264"/>
      <c r="CI352" s="264"/>
      <c r="CJ352" s="264"/>
      <c r="CK352" s="264"/>
      <c r="CS352" s="269"/>
      <c r="DK352" s="271"/>
      <c r="DM352" s="2">
        <v>4</v>
      </c>
      <c r="DO352" s="25"/>
      <c r="DP352" s="249"/>
      <c r="DT352" s="11"/>
      <c r="DU352" s="11"/>
      <c r="DV352" s="11"/>
      <c r="DW352" s="237">
        <v>8.9</v>
      </c>
    </row>
    <row r="353" spans="1:129">
      <c r="A353" s="102">
        <v>380</v>
      </c>
      <c r="B353" s="56">
        <v>9</v>
      </c>
      <c r="R353" s="235">
        <f t="shared" si="68"/>
        <v>0</v>
      </c>
      <c r="S353" s="249">
        <v>155</v>
      </c>
      <c r="T353" s="56">
        <v>199</v>
      </c>
      <c r="U353" s="56"/>
      <c r="V353" s="56"/>
      <c r="W353" s="56"/>
      <c r="X353" s="56"/>
      <c r="Y353" s="56">
        <v>187</v>
      </c>
      <c r="Z353" s="56">
        <v>557</v>
      </c>
      <c r="AA353" s="56">
        <v>0</v>
      </c>
      <c r="AB353" s="56">
        <v>144</v>
      </c>
      <c r="AC353" s="56"/>
      <c r="AD353" s="56"/>
      <c r="AG353" s="2">
        <v>190</v>
      </c>
      <c r="AH353" s="2">
        <v>104</v>
      </c>
      <c r="AM353" s="102">
        <f t="shared" si="69"/>
        <v>1536</v>
      </c>
      <c r="AN353" s="257">
        <f t="shared" si="70"/>
        <v>1536</v>
      </c>
      <c r="AO353" s="501">
        <v>403</v>
      </c>
      <c r="AP353" s="8">
        <f t="shared" si="71"/>
        <v>1133</v>
      </c>
      <c r="AQ353" s="2">
        <f t="shared" si="72"/>
        <v>0</v>
      </c>
      <c r="AR353" s="264"/>
      <c r="AS353" s="264"/>
      <c r="AT353" s="264"/>
      <c r="AU353" s="264"/>
      <c r="AW353" s="8">
        <f t="shared" si="73"/>
        <v>0</v>
      </c>
      <c r="AX353" s="11">
        <f t="shared" si="74"/>
        <v>187</v>
      </c>
      <c r="AY353" s="8">
        <f t="shared" si="75"/>
        <v>0</v>
      </c>
      <c r="AZ353" s="234">
        <f t="shared" si="76"/>
        <v>144</v>
      </c>
      <c r="BD353" s="11"/>
      <c r="BF353" s="8"/>
      <c r="BG353" s="11"/>
      <c r="BH353" s="8"/>
      <c r="CG353" s="264"/>
      <c r="CH353" s="264"/>
      <c r="CI353" s="264"/>
      <c r="CJ353" s="264"/>
      <c r="CK353" s="264"/>
      <c r="CS353" s="269"/>
      <c r="DK353" s="271"/>
      <c r="DM353" s="2">
        <v>4</v>
      </c>
      <c r="DO353" s="25"/>
      <c r="DP353" s="249"/>
      <c r="DT353" s="11"/>
      <c r="DU353" s="11"/>
      <c r="DV353" s="11"/>
      <c r="DW353" s="237">
        <v>19.399999999999999</v>
      </c>
    </row>
    <row r="354" spans="1:129">
      <c r="A354" s="102">
        <v>381</v>
      </c>
      <c r="B354" s="56">
        <v>9</v>
      </c>
      <c r="R354" s="235">
        <f>SUM(C354:Q354)</f>
        <v>0</v>
      </c>
      <c r="S354" s="249">
        <v>203</v>
      </c>
      <c r="T354" s="56">
        <v>184</v>
      </c>
      <c r="U354" s="56"/>
      <c r="V354" s="56"/>
      <c r="W354" s="56"/>
      <c r="X354" s="56"/>
      <c r="Y354" s="56">
        <v>174</v>
      </c>
      <c r="Z354" s="56">
        <v>203</v>
      </c>
      <c r="AA354" s="56">
        <v>270</v>
      </c>
      <c r="AB354" s="56">
        <v>163</v>
      </c>
      <c r="AC354" s="56"/>
      <c r="AD354" s="56"/>
      <c r="AG354" s="2">
        <v>181</v>
      </c>
      <c r="AH354" s="2">
        <v>75</v>
      </c>
      <c r="AM354" s="102">
        <f t="shared" si="69"/>
        <v>1453</v>
      </c>
      <c r="AN354" s="257">
        <f t="shared" si="70"/>
        <v>1453</v>
      </c>
      <c r="AO354" s="501">
        <v>441</v>
      </c>
      <c r="AP354" s="8">
        <f t="shared" si="71"/>
        <v>1012</v>
      </c>
      <c r="AQ354" s="2">
        <f t="shared" si="72"/>
        <v>0</v>
      </c>
      <c r="AR354" s="264"/>
      <c r="AS354" s="264"/>
      <c r="AT354" s="264"/>
      <c r="AU354" s="264"/>
      <c r="AW354" s="8">
        <f t="shared" si="73"/>
        <v>0</v>
      </c>
      <c r="AX354" s="11">
        <f t="shared" si="74"/>
        <v>174</v>
      </c>
      <c r="AY354" s="8">
        <f t="shared" si="75"/>
        <v>270</v>
      </c>
      <c r="AZ354" s="234">
        <f t="shared" si="76"/>
        <v>163</v>
      </c>
      <c r="BD354" s="11"/>
      <c r="BF354" s="8"/>
      <c r="BG354" s="11"/>
      <c r="BH354" s="292"/>
      <c r="CG354" s="264"/>
      <c r="CH354" s="264"/>
      <c r="CI354" s="264"/>
      <c r="CJ354" s="264"/>
      <c r="CK354" s="264"/>
      <c r="CS354" s="269"/>
      <c r="DK354" s="271"/>
      <c r="DM354" s="2">
        <v>4</v>
      </c>
      <c r="DO354" s="25"/>
      <c r="DP354" s="249"/>
      <c r="DT354" s="11"/>
      <c r="DU354" s="11"/>
      <c r="DV354" s="11"/>
      <c r="DW354" s="237">
        <v>7.8</v>
      </c>
    </row>
    <row r="355" spans="1:129">
      <c r="A355" s="102">
        <v>382</v>
      </c>
      <c r="B355" s="56">
        <v>9</v>
      </c>
      <c r="R355" s="235">
        <f>SUM(C355:Q355)</f>
        <v>0</v>
      </c>
      <c r="S355" s="249">
        <v>204</v>
      </c>
      <c r="T355" s="56">
        <v>195</v>
      </c>
      <c r="U355" s="56"/>
      <c r="V355" s="56"/>
      <c r="W355" s="56"/>
      <c r="X355" s="56"/>
      <c r="Y355" s="56">
        <v>182</v>
      </c>
      <c r="Z355" s="56">
        <v>199</v>
      </c>
      <c r="AA355" s="56">
        <v>313</v>
      </c>
      <c r="AB355" s="56">
        <v>216</v>
      </c>
      <c r="AC355" s="56"/>
      <c r="AD355" s="56"/>
      <c r="AG355" s="2">
        <v>188</v>
      </c>
      <c r="AH355" s="2">
        <v>84</v>
      </c>
      <c r="AM355" s="102">
        <f t="shared" si="69"/>
        <v>1581</v>
      </c>
      <c r="AN355" s="257">
        <f t="shared" si="70"/>
        <v>1581</v>
      </c>
      <c r="AO355" s="501">
        <v>504</v>
      </c>
      <c r="AP355" s="8">
        <f t="shared" si="71"/>
        <v>1077</v>
      </c>
      <c r="AQ355" s="2">
        <f t="shared" si="72"/>
        <v>0</v>
      </c>
      <c r="AR355" s="264"/>
      <c r="AS355" s="264"/>
      <c r="AT355" s="264"/>
      <c r="AU355" s="264"/>
      <c r="AW355" s="8">
        <f t="shared" si="73"/>
        <v>0</v>
      </c>
      <c r="AX355" s="11">
        <f t="shared" si="74"/>
        <v>182</v>
      </c>
      <c r="AY355" s="8">
        <f t="shared" si="75"/>
        <v>313</v>
      </c>
      <c r="AZ355" s="234">
        <f t="shared" si="76"/>
        <v>216</v>
      </c>
      <c r="BD355" s="11"/>
      <c r="BE355" s="11"/>
      <c r="BF355" s="11"/>
      <c r="BG355" s="11"/>
      <c r="BH355" s="11"/>
      <c r="CG355" s="264"/>
      <c r="CH355" s="264"/>
      <c r="CI355" s="264"/>
      <c r="CJ355" s="264"/>
      <c r="CK355" s="264"/>
      <c r="CS355" s="269"/>
      <c r="DK355" s="271"/>
      <c r="DM355" s="2">
        <v>4</v>
      </c>
      <c r="DO355" s="25"/>
      <c r="DP355" s="249"/>
      <c r="DT355" s="11"/>
      <c r="DU355" s="11"/>
      <c r="DV355" s="11"/>
      <c r="DW355" s="237">
        <v>7.9</v>
      </c>
    </row>
    <row r="356" spans="1:129">
      <c r="A356" s="102">
        <v>383</v>
      </c>
      <c r="B356" s="56">
        <v>9</v>
      </c>
      <c r="S356" s="249">
        <v>207</v>
      </c>
      <c r="T356" s="56">
        <v>207</v>
      </c>
      <c r="U356" s="56"/>
      <c r="V356" s="56"/>
      <c r="W356" s="56"/>
      <c r="X356" s="56"/>
      <c r="Y356" s="56">
        <v>188</v>
      </c>
      <c r="Z356" s="56">
        <v>251</v>
      </c>
      <c r="AA356" s="56">
        <v>298</v>
      </c>
      <c r="AB356" s="56">
        <v>264</v>
      </c>
      <c r="AC356" s="56"/>
      <c r="AD356" s="56"/>
      <c r="AG356" s="2">
        <v>162</v>
      </c>
      <c r="AH356" s="2">
        <v>72</v>
      </c>
      <c r="AM356" s="102">
        <f t="shared" si="69"/>
        <v>1649</v>
      </c>
      <c r="AN356" s="257">
        <f t="shared" si="70"/>
        <v>1649</v>
      </c>
      <c r="AO356" s="501">
        <v>543</v>
      </c>
      <c r="AP356" s="8">
        <f t="shared" si="71"/>
        <v>1106</v>
      </c>
      <c r="AQ356" s="2">
        <f t="shared" si="72"/>
        <v>0</v>
      </c>
      <c r="AR356" s="264"/>
      <c r="AS356" s="264"/>
      <c r="AT356" s="264"/>
      <c r="AU356" s="264"/>
      <c r="AW356" s="8">
        <f t="shared" si="73"/>
        <v>0</v>
      </c>
      <c r="AX356" s="11">
        <f t="shared" si="74"/>
        <v>188</v>
      </c>
      <c r="AY356" s="8">
        <f t="shared" si="75"/>
        <v>298</v>
      </c>
      <c r="AZ356" s="234">
        <f t="shared" si="76"/>
        <v>264</v>
      </c>
      <c r="BD356" s="11"/>
      <c r="BE356" s="11"/>
      <c r="BF356" s="11"/>
      <c r="BG356" s="11"/>
      <c r="BH356" s="11"/>
      <c r="CG356" s="264"/>
      <c r="CH356" s="264"/>
      <c r="CI356" s="264"/>
      <c r="CJ356" s="264"/>
      <c r="CK356" s="264"/>
      <c r="CS356" s="269"/>
      <c r="DK356" s="271"/>
      <c r="DM356" s="2">
        <v>4</v>
      </c>
      <c r="DO356" s="25"/>
      <c r="DP356" s="249"/>
      <c r="DT356" s="11"/>
      <c r="DU356" s="11"/>
      <c r="DV356" s="11"/>
      <c r="DW356" s="237">
        <v>13.9</v>
      </c>
    </row>
    <row r="357" spans="1:129">
      <c r="A357" s="102">
        <v>384</v>
      </c>
      <c r="B357" s="56">
        <v>9</v>
      </c>
      <c r="S357" s="249">
        <v>237</v>
      </c>
      <c r="T357" s="56">
        <v>247</v>
      </c>
      <c r="U357" s="56"/>
      <c r="V357" s="56"/>
      <c r="W357" s="56"/>
      <c r="X357" s="56"/>
      <c r="Y357" s="56">
        <v>234</v>
      </c>
      <c r="Z357" s="56">
        <v>156</v>
      </c>
      <c r="AA357" s="56">
        <v>289</v>
      </c>
      <c r="AB357" s="56">
        <v>234</v>
      </c>
      <c r="AC357" s="56"/>
      <c r="AD357" s="56"/>
      <c r="AG357" s="2">
        <v>160</v>
      </c>
      <c r="AH357" s="2">
        <v>149</v>
      </c>
      <c r="AM357" s="102">
        <f t="shared" si="69"/>
        <v>1706</v>
      </c>
      <c r="AN357" s="257">
        <f t="shared" si="70"/>
        <v>1706</v>
      </c>
      <c r="AO357" s="501">
        <v>620</v>
      </c>
      <c r="AP357" s="8">
        <f t="shared" si="71"/>
        <v>1086</v>
      </c>
      <c r="AQ357" s="2">
        <f t="shared" si="72"/>
        <v>0</v>
      </c>
      <c r="AR357" s="264"/>
      <c r="AS357" s="264"/>
      <c r="AT357" s="264"/>
      <c r="AU357" s="264"/>
      <c r="AW357" s="8">
        <f t="shared" si="73"/>
        <v>0</v>
      </c>
      <c r="AX357" s="11">
        <f t="shared" si="74"/>
        <v>234</v>
      </c>
      <c r="AY357" s="8">
        <f t="shared" si="75"/>
        <v>289</v>
      </c>
      <c r="AZ357" s="234">
        <f t="shared" si="76"/>
        <v>234</v>
      </c>
      <c r="BE357" s="234"/>
      <c r="BF357" s="234"/>
      <c r="BH357" s="234"/>
      <c r="CG357" s="264"/>
      <c r="CH357" s="264"/>
      <c r="CI357" s="264"/>
      <c r="CJ357" s="264"/>
      <c r="CK357" s="264"/>
      <c r="CS357" s="269"/>
      <c r="DK357" s="271"/>
      <c r="DM357" s="2">
        <v>4</v>
      </c>
      <c r="DO357" s="25"/>
      <c r="DP357" s="249"/>
      <c r="DT357" s="11"/>
      <c r="DU357" s="11"/>
      <c r="DV357" s="11"/>
      <c r="DW357" s="237">
        <v>11.3</v>
      </c>
    </row>
    <row r="358" spans="1:129" s="406" customFormat="1">
      <c r="A358" s="404">
        <v>385</v>
      </c>
      <c r="B358" s="415">
        <v>9</v>
      </c>
      <c r="P358" s="407"/>
      <c r="Q358" s="407"/>
      <c r="R358" s="408"/>
      <c r="S358" s="409">
        <v>204</v>
      </c>
      <c r="T358" s="415">
        <v>211</v>
      </c>
      <c r="U358" s="415"/>
      <c r="V358" s="415"/>
      <c r="W358" s="415"/>
      <c r="X358" s="415"/>
      <c r="Y358" s="415">
        <v>189</v>
      </c>
      <c r="Z358" s="415">
        <v>251</v>
      </c>
      <c r="AA358" s="415">
        <v>295</v>
      </c>
      <c r="AB358" s="415">
        <v>266</v>
      </c>
      <c r="AC358" s="415"/>
      <c r="AD358" s="415"/>
      <c r="AE358" s="410"/>
      <c r="AG358" s="406">
        <v>164</v>
      </c>
      <c r="AH358" s="406">
        <v>70</v>
      </c>
      <c r="AM358" s="404">
        <f t="shared" si="69"/>
        <v>1650</v>
      </c>
      <c r="AN358" s="411">
        <f t="shared" si="70"/>
        <v>1650</v>
      </c>
      <c r="AO358" s="501">
        <v>540</v>
      </c>
      <c r="AP358" s="8">
        <f t="shared" si="71"/>
        <v>1110</v>
      </c>
      <c r="AQ358" s="406">
        <f t="shared" si="72"/>
        <v>0</v>
      </c>
      <c r="AR358" s="416"/>
      <c r="AS358" s="416"/>
      <c r="AT358" s="416"/>
      <c r="AU358" s="416"/>
      <c r="AW358" s="412">
        <f t="shared" si="73"/>
        <v>0</v>
      </c>
      <c r="AX358" s="407">
        <f t="shared" si="74"/>
        <v>189</v>
      </c>
      <c r="AY358" s="412">
        <f t="shared" si="75"/>
        <v>295</v>
      </c>
      <c r="AZ358" s="407">
        <f t="shared" si="76"/>
        <v>266</v>
      </c>
      <c r="BD358" s="407"/>
      <c r="BE358" s="407"/>
      <c r="BF358" s="407"/>
      <c r="BG358" s="407"/>
      <c r="BH358" s="407"/>
      <c r="CG358" s="416"/>
      <c r="CH358" s="416"/>
      <c r="CI358" s="416"/>
      <c r="CJ358" s="416"/>
      <c r="CK358" s="416"/>
      <c r="CS358" s="417"/>
      <c r="DK358" s="418"/>
      <c r="DM358" s="406">
        <v>4</v>
      </c>
      <c r="DO358" s="419"/>
      <c r="DP358" s="409"/>
      <c r="DR358" s="407"/>
      <c r="DS358" s="407"/>
      <c r="DT358" s="407"/>
      <c r="DU358" s="407"/>
      <c r="DV358" s="407"/>
      <c r="DW358" s="414">
        <v>14.7</v>
      </c>
      <c r="DY358" s="434">
        <f>SUM(DW359:DW400)</f>
        <v>447</v>
      </c>
    </row>
    <row r="359" spans="1:129">
      <c r="A359" s="102">
        <v>386</v>
      </c>
      <c r="B359" s="56">
        <v>10</v>
      </c>
      <c r="R359" s="235">
        <f t="shared" ref="R359:R392" si="77">SUM(C359:Q359)</f>
        <v>0</v>
      </c>
      <c r="S359" s="236">
        <v>226</v>
      </c>
      <c r="T359" s="56">
        <v>275</v>
      </c>
      <c r="U359" s="56"/>
      <c r="V359" s="56"/>
      <c r="W359" s="56"/>
      <c r="X359" s="56"/>
      <c r="Y359" s="56">
        <v>238</v>
      </c>
      <c r="Z359" s="56">
        <v>437</v>
      </c>
      <c r="AA359" s="56">
        <v>353</v>
      </c>
      <c r="AB359" s="56">
        <v>309</v>
      </c>
      <c r="AC359" s="56"/>
      <c r="AD359" s="56"/>
      <c r="AG359" s="2">
        <v>230</v>
      </c>
      <c r="AH359" s="2">
        <v>191</v>
      </c>
      <c r="AM359" s="102">
        <f t="shared" ref="AM359:AM391" si="78">SUM(S359:AL359)</f>
        <v>2259</v>
      </c>
      <c r="AN359" s="257">
        <f t="shared" ref="AN359:AN391" si="79">R359+AM359</f>
        <v>2259</v>
      </c>
      <c r="AO359" s="8"/>
      <c r="AP359" s="8">
        <f t="shared" si="71"/>
        <v>2259</v>
      </c>
      <c r="AQ359" s="2">
        <f>IF(AN359&gt;=$BA$4,1,0)</f>
        <v>0</v>
      </c>
      <c r="AR359" s="264"/>
      <c r="AS359" s="264"/>
      <c r="AT359" s="264"/>
      <c r="AU359" s="264"/>
      <c r="AW359" s="8">
        <f>X359</f>
        <v>0</v>
      </c>
      <c r="AX359" s="11">
        <f>Y359</f>
        <v>238</v>
      </c>
      <c r="AY359" s="8">
        <f>AA359</f>
        <v>353</v>
      </c>
      <c r="AZ359" s="234">
        <f>AB359</f>
        <v>309</v>
      </c>
      <c r="BE359" s="234"/>
      <c r="BF359" s="234"/>
      <c r="BH359" s="234"/>
      <c r="CG359" s="264"/>
      <c r="CH359" s="264"/>
      <c r="CI359" s="264"/>
      <c r="CJ359" s="264"/>
      <c r="CK359" s="264"/>
      <c r="CS359" s="269"/>
      <c r="DK359" s="271"/>
      <c r="DM359" s="2">
        <v>4</v>
      </c>
      <c r="DO359" s="25"/>
      <c r="DP359" s="249"/>
      <c r="DT359" s="11"/>
      <c r="DU359" s="11"/>
      <c r="DV359" s="11"/>
      <c r="DW359" s="237">
        <v>17.5</v>
      </c>
    </row>
    <row r="360" spans="1:129">
      <c r="A360" s="102">
        <v>387</v>
      </c>
      <c r="B360" s="56">
        <v>10</v>
      </c>
      <c r="R360" s="235">
        <f t="shared" si="77"/>
        <v>0</v>
      </c>
      <c r="S360" s="236">
        <v>257</v>
      </c>
      <c r="T360" s="56">
        <v>286</v>
      </c>
      <c r="U360" s="56"/>
      <c r="V360" s="56"/>
      <c r="W360" s="56"/>
      <c r="X360" s="56"/>
      <c r="Y360" s="56">
        <v>249</v>
      </c>
      <c r="Z360" s="56">
        <v>463</v>
      </c>
      <c r="AA360" s="56">
        <v>375</v>
      </c>
      <c r="AB360" s="56">
        <v>264</v>
      </c>
      <c r="AC360" s="56"/>
      <c r="AD360" s="56"/>
      <c r="AG360" s="2">
        <v>228</v>
      </c>
      <c r="AH360" s="2">
        <v>132</v>
      </c>
      <c r="AM360" s="102">
        <f t="shared" si="78"/>
        <v>2254</v>
      </c>
      <c r="AN360" s="257">
        <f t="shared" si="79"/>
        <v>2254</v>
      </c>
      <c r="AO360" s="8"/>
      <c r="AP360" s="8">
        <f t="shared" si="71"/>
        <v>2254</v>
      </c>
      <c r="AQ360" s="2">
        <f t="shared" ref="AQ360:AQ392" si="80">IF(AN360&gt;=$BA$4,1,0)</f>
        <v>0</v>
      </c>
      <c r="AR360" s="264"/>
      <c r="AS360" s="264"/>
      <c r="AT360" s="264"/>
      <c r="AU360" s="264"/>
      <c r="AW360" s="8">
        <f t="shared" ref="AW360:AW400" si="81">X360</f>
        <v>0</v>
      </c>
      <c r="AX360" s="11">
        <f t="shared" ref="AX360:AX400" si="82">Y360</f>
        <v>249</v>
      </c>
      <c r="AY360" s="8">
        <f t="shared" ref="AY360:AY400" si="83">AA360</f>
        <v>375</v>
      </c>
      <c r="AZ360" s="234">
        <f t="shared" ref="AZ360:AZ400" si="84">AB360</f>
        <v>264</v>
      </c>
      <c r="BE360" s="234"/>
      <c r="BF360" s="234"/>
      <c r="BH360" s="234"/>
      <c r="CG360" s="264"/>
      <c r="CH360" s="264"/>
      <c r="CI360" s="264"/>
      <c r="CJ360" s="264"/>
      <c r="CK360" s="264"/>
      <c r="CS360" s="269"/>
      <c r="DK360" s="271"/>
      <c r="DM360" s="2">
        <v>4</v>
      </c>
      <c r="DO360" s="25"/>
      <c r="DP360" s="249"/>
      <c r="DT360" s="11"/>
      <c r="DU360" s="11"/>
      <c r="DV360" s="11"/>
      <c r="DW360" s="237">
        <v>17.5</v>
      </c>
    </row>
    <row r="361" spans="1:129">
      <c r="A361" s="102">
        <v>388</v>
      </c>
      <c r="B361" s="56">
        <v>10</v>
      </c>
      <c r="R361" s="235">
        <f t="shared" si="77"/>
        <v>0</v>
      </c>
      <c r="S361" s="236">
        <v>182</v>
      </c>
      <c r="T361" s="56">
        <v>235</v>
      </c>
      <c r="U361" s="56"/>
      <c r="V361" s="56"/>
      <c r="W361" s="56"/>
      <c r="X361" s="56"/>
      <c r="Y361" s="56">
        <v>192</v>
      </c>
      <c r="Z361" s="56">
        <v>433</v>
      </c>
      <c r="AA361" s="56">
        <v>355</v>
      </c>
      <c r="AB361" s="56">
        <v>232</v>
      </c>
      <c r="AC361" s="56"/>
      <c r="AD361" s="56"/>
      <c r="AG361" s="2">
        <v>192</v>
      </c>
      <c r="AH361" s="2">
        <v>116</v>
      </c>
      <c r="AM361" s="102">
        <f t="shared" si="78"/>
        <v>1937</v>
      </c>
      <c r="AN361" s="257">
        <f t="shared" si="79"/>
        <v>1937</v>
      </c>
      <c r="AO361" s="8"/>
      <c r="AP361" s="8">
        <f t="shared" si="71"/>
        <v>1937</v>
      </c>
      <c r="AQ361" s="2">
        <f t="shared" si="80"/>
        <v>0</v>
      </c>
      <c r="AR361" s="264"/>
      <c r="AS361" s="264"/>
      <c r="AT361" s="264"/>
      <c r="AU361" s="264"/>
      <c r="AW361" s="8">
        <f t="shared" si="81"/>
        <v>0</v>
      </c>
      <c r="AX361" s="11">
        <f t="shared" si="82"/>
        <v>192</v>
      </c>
      <c r="AY361" s="8">
        <f t="shared" si="83"/>
        <v>355</v>
      </c>
      <c r="AZ361" s="234">
        <f t="shared" si="84"/>
        <v>232</v>
      </c>
      <c r="BE361" s="234"/>
      <c r="BF361" s="234"/>
      <c r="BH361" s="234"/>
      <c r="CG361" s="264"/>
      <c r="CH361" s="264"/>
      <c r="CI361" s="264"/>
      <c r="CJ361" s="264"/>
      <c r="CK361" s="264"/>
      <c r="CS361" s="269"/>
      <c r="DK361" s="271"/>
      <c r="DM361" s="2">
        <v>4</v>
      </c>
      <c r="DO361" s="25"/>
      <c r="DP361" s="249"/>
      <c r="DT361" s="11"/>
      <c r="DU361" s="11"/>
      <c r="DV361" s="11"/>
      <c r="DW361" s="237">
        <v>8</v>
      </c>
    </row>
    <row r="362" spans="1:129">
      <c r="A362" s="102">
        <v>389</v>
      </c>
      <c r="B362" s="56">
        <v>10</v>
      </c>
      <c r="R362" s="235">
        <f t="shared" si="77"/>
        <v>0</v>
      </c>
      <c r="S362" s="236">
        <v>177</v>
      </c>
      <c r="T362" s="56">
        <v>229</v>
      </c>
      <c r="U362" s="56"/>
      <c r="V362" s="56"/>
      <c r="W362" s="56"/>
      <c r="X362" s="56"/>
      <c r="Y362" s="56">
        <v>211</v>
      </c>
      <c r="Z362" s="56">
        <v>318</v>
      </c>
      <c r="AA362" s="56">
        <v>397</v>
      </c>
      <c r="AB362" s="56">
        <v>258</v>
      </c>
      <c r="AC362" s="56"/>
      <c r="AD362" s="56"/>
      <c r="AG362" s="2">
        <v>237</v>
      </c>
      <c r="AH362" s="2">
        <v>125</v>
      </c>
      <c r="AM362" s="102">
        <f t="shared" si="78"/>
        <v>1952</v>
      </c>
      <c r="AN362" s="257">
        <f t="shared" si="79"/>
        <v>1952</v>
      </c>
      <c r="AP362" s="8">
        <f t="shared" si="71"/>
        <v>1952</v>
      </c>
      <c r="AQ362" s="2">
        <f t="shared" si="80"/>
        <v>0</v>
      </c>
      <c r="AR362" s="264"/>
      <c r="AS362" s="264"/>
      <c r="AT362" s="264"/>
      <c r="AU362" s="264"/>
      <c r="AW362" s="8">
        <f t="shared" si="81"/>
        <v>0</v>
      </c>
      <c r="AX362" s="11">
        <f t="shared" si="82"/>
        <v>211</v>
      </c>
      <c r="AY362" s="8">
        <f t="shared" si="83"/>
        <v>397</v>
      </c>
      <c r="AZ362" s="234">
        <f t="shared" si="84"/>
        <v>258</v>
      </c>
      <c r="BE362" s="234"/>
      <c r="BF362" s="234"/>
      <c r="BH362" s="234"/>
      <c r="CG362" s="264"/>
      <c r="CH362" s="264"/>
      <c r="CI362" s="264"/>
      <c r="CJ362" s="264"/>
      <c r="CK362" s="264"/>
      <c r="CS362" s="269"/>
      <c r="DK362" s="271"/>
      <c r="DM362" s="2">
        <v>4</v>
      </c>
      <c r="DO362" s="25"/>
      <c r="DP362" s="249"/>
      <c r="DT362" s="11"/>
      <c r="DU362" s="11"/>
      <c r="DV362" s="11"/>
      <c r="DW362" s="237">
        <v>12</v>
      </c>
    </row>
    <row r="363" spans="1:129">
      <c r="A363" s="102">
        <v>390</v>
      </c>
      <c r="B363" s="56">
        <v>10</v>
      </c>
      <c r="R363" s="235">
        <f t="shared" si="77"/>
        <v>0</v>
      </c>
      <c r="S363" s="236">
        <v>305</v>
      </c>
      <c r="T363" s="56">
        <v>245</v>
      </c>
      <c r="U363" s="56"/>
      <c r="V363" s="56"/>
      <c r="W363" s="56"/>
      <c r="X363" s="56"/>
      <c r="Y363" s="56">
        <v>193</v>
      </c>
      <c r="Z363" s="56">
        <v>285</v>
      </c>
      <c r="AA363" s="56">
        <v>354</v>
      </c>
      <c r="AB363" s="56">
        <v>349</v>
      </c>
      <c r="AC363" s="56"/>
      <c r="AD363" s="56"/>
      <c r="AG363" s="2">
        <v>202</v>
      </c>
      <c r="AH363" s="2">
        <v>179</v>
      </c>
      <c r="AM363" s="102">
        <f t="shared" si="78"/>
        <v>2112</v>
      </c>
      <c r="AN363" s="257">
        <f t="shared" si="79"/>
        <v>2112</v>
      </c>
      <c r="AP363" s="8">
        <f t="shared" si="71"/>
        <v>2112</v>
      </c>
      <c r="AQ363" s="2">
        <f t="shared" si="80"/>
        <v>0</v>
      </c>
      <c r="AR363" s="264"/>
      <c r="AS363" s="264"/>
      <c r="AT363" s="264"/>
      <c r="AU363" s="264"/>
      <c r="AW363" s="8">
        <f t="shared" si="81"/>
        <v>0</v>
      </c>
      <c r="AX363" s="11">
        <f t="shared" si="82"/>
        <v>193</v>
      </c>
      <c r="AY363" s="8">
        <f t="shared" si="83"/>
        <v>354</v>
      </c>
      <c r="AZ363" s="234">
        <f t="shared" si="84"/>
        <v>349</v>
      </c>
      <c r="BE363" s="234"/>
      <c r="BF363" s="234"/>
      <c r="BH363" s="234"/>
      <c r="CG363" s="264"/>
      <c r="CH363" s="264"/>
      <c r="CI363" s="264"/>
      <c r="CJ363" s="264"/>
      <c r="CK363" s="264"/>
      <c r="CS363" s="269"/>
      <c r="DK363" s="271"/>
      <c r="DM363" s="2">
        <v>4</v>
      </c>
      <c r="DO363" s="25"/>
      <c r="DP363" s="249"/>
      <c r="DT363" s="11"/>
      <c r="DU363" s="11"/>
      <c r="DV363" s="11"/>
      <c r="DW363" s="237">
        <v>11</v>
      </c>
    </row>
    <row r="364" spans="1:129">
      <c r="A364" s="102">
        <v>391</v>
      </c>
      <c r="B364" s="56">
        <v>10</v>
      </c>
      <c r="R364" s="235">
        <f t="shared" si="77"/>
        <v>0</v>
      </c>
      <c r="S364" s="236">
        <v>304</v>
      </c>
      <c r="T364" s="56">
        <v>172</v>
      </c>
      <c r="U364" s="56"/>
      <c r="V364" s="56"/>
      <c r="W364" s="56"/>
      <c r="X364" s="56"/>
      <c r="Y364" s="56">
        <v>196</v>
      </c>
      <c r="Z364" s="56">
        <v>436</v>
      </c>
      <c r="AA364" s="56">
        <v>369</v>
      </c>
      <c r="AB364" s="56">
        <v>333</v>
      </c>
      <c r="AC364" s="56"/>
      <c r="AD364" s="56"/>
      <c r="AG364" s="2">
        <v>229</v>
      </c>
      <c r="AH364" s="2">
        <v>197</v>
      </c>
      <c r="AM364" s="102">
        <f t="shared" si="78"/>
        <v>2236</v>
      </c>
      <c r="AN364" s="257">
        <f t="shared" si="79"/>
        <v>2236</v>
      </c>
      <c r="AP364" s="8">
        <f t="shared" si="71"/>
        <v>2236</v>
      </c>
      <c r="AQ364" s="2">
        <f t="shared" si="80"/>
        <v>0</v>
      </c>
      <c r="AR364" s="264"/>
      <c r="AS364" s="264"/>
      <c r="AT364" s="264"/>
      <c r="AU364" s="264"/>
      <c r="AW364" s="8">
        <f t="shared" si="81"/>
        <v>0</v>
      </c>
      <c r="AX364" s="11">
        <f t="shared" si="82"/>
        <v>196</v>
      </c>
      <c r="AY364" s="8">
        <f t="shared" si="83"/>
        <v>369</v>
      </c>
      <c r="AZ364" s="234">
        <f t="shared" si="84"/>
        <v>333</v>
      </c>
      <c r="BE364" s="234"/>
      <c r="BF364" s="234"/>
      <c r="BH364" s="234"/>
      <c r="CG364" s="264"/>
      <c r="CH364" s="264"/>
      <c r="CI364" s="264"/>
      <c r="CJ364" s="264"/>
      <c r="CK364" s="264"/>
      <c r="CS364" s="269"/>
      <c r="DK364" s="271"/>
      <c r="DM364" s="2">
        <v>4</v>
      </c>
      <c r="DO364" s="25"/>
      <c r="DP364" s="249"/>
      <c r="DT364" s="11"/>
      <c r="DU364" s="11"/>
      <c r="DV364" s="11"/>
      <c r="DW364" s="237">
        <v>17.5</v>
      </c>
    </row>
    <row r="365" spans="1:129">
      <c r="A365" s="102">
        <v>392</v>
      </c>
      <c r="B365" s="56">
        <v>10</v>
      </c>
      <c r="R365" s="235">
        <f t="shared" si="77"/>
        <v>0</v>
      </c>
      <c r="S365" s="236">
        <v>216</v>
      </c>
      <c r="T365" s="56">
        <v>180</v>
      </c>
      <c r="U365" s="56"/>
      <c r="V365" s="56"/>
      <c r="W365" s="56"/>
      <c r="X365" s="56"/>
      <c r="Y365" s="56">
        <v>122</v>
      </c>
      <c r="Z365" s="56">
        <v>241</v>
      </c>
      <c r="AA365" s="56">
        <v>399</v>
      </c>
      <c r="AB365" s="56">
        <v>230</v>
      </c>
      <c r="AC365" s="56"/>
      <c r="AD365" s="56"/>
      <c r="AG365" s="2">
        <v>117</v>
      </c>
      <c r="AH365" s="2">
        <v>0</v>
      </c>
      <c r="AM365" s="102">
        <f t="shared" si="78"/>
        <v>1505</v>
      </c>
      <c r="AN365" s="257">
        <f t="shared" si="79"/>
        <v>1505</v>
      </c>
      <c r="AP365" s="8">
        <f t="shared" si="71"/>
        <v>1505</v>
      </c>
      <c r="AQ365" s="2">
        <f t="shared" si="80"/>
        <v>0</v>
      </c>
      <c r="AR365" s="264"/>
      <c r="AS365" s="264"/>
      <c r="AT365" s="264"/>
      <c r="AU365" s="264"/>
      <c r="AW365" s="8">
        <f t="shared" si="81"/>
        <v>0</v>
      </c>
      <c r="AX365" s="11">
        <f t="shared" si="82"/>
        <v>122</v>
      </c>
      <c r="AY365" s="8">
        <f t="shared" si="83"/>
        <v>399</v>
      </c>
      <c r="AZ365" s="234">
        <f t="shared" si="84"/>
        <v>230</v>
      </c>
      <c r="BE365" s="234"/>
      <c r="BF365" s="234"/>
      <c r="BH365" s="234"/>
      <c r="CG365" s="264"/>
      <c r="CH365" s="264"/>
      <c r="CI365" s="264"/>
      <c r="CJ365" s="264"/>
      <c r="CK365" s="264"/>
      <c r="CS365" s="269"/>
      <c r="DK365" s="271"/>
      <c r="DM365" s="2">
        <v>4</v>
      </c>
      <c r="DO365" s="25"/>
      <c r="DP365" s="249"/>
      <c r="DT365" s="11"/>
      <c r="DU365" s="11"/>
      <c r="DV365" s="11"/>
      <c r="DW365" s="237">
        <v>6.5</v>
      </c>
    </row>
    <row r="366" spans="1:129">
      <c r="A366" s="102">
        <v>393</v>
      </c>
      <c r="B366" s="56">
        <v>10</v>
      </c>
      <c r="R366" s="235">
        <f t="shared" si="77"/>
        <v>0</v>
      </c>
      <c r="S366" s="236">
        <v>226</v>
      </c>
      <c r="T366" s="56">
        <v>207</v>
      </c>
      <c r="U366" s="56"/>
      <c r="V366" s="56"/>
      <c r="W366" s="56"/>
      <c r="X366" s="56"/>
      <c r="Y366" s="56">
        <v>129</v>
      </c>
      <c r="Z366" s="56">
        <v>227</v>
      </c>
      <c r="AA366" s="56">
        <v>385</v>
      </c>
      <c r="AB366" s="56">
        <v>217</v>
      </c>
      <c r="AC366" s="56"/>
      <c r="AD366" s="56"/>
      <c r="AG366" s="2">
        <v>104</v>
      </c>
      <c r="AH366" s="2">
        <v>0</v>
      </c>
      <c r="AM366" s="102">
        <f t="shared" si="78"/>
        <v>1495</v>
      </c>
      <c r="AN366" s="257">
        <f t="shared" si="79"/>
        <v>1495</v>
      </c>
      <c r="AP366" s="8">
        <f t="shared" si="71"/>
        <v>1495</v>
      </c>
      <c r="AQ366" s="2">
        <f t="shared" si="80"/>
        <v>0</v>
      </c>
      <c r="AR366" s="264"/>
      <c r="AS366" s="264"/>
      <c r="AT366" s="264"/>
      <c r="AU366" s="264"/>
      <c r="AW366" s="8">
        <f t="shared" si="81"/>
        <v>0</v>
      </c>
      <c r="AX366" s="11">
        <f t="shared" si="82"/>
        <v>129</v>
      </c>
      <c r="AY366" s="8">
        <f t="shared" si="83"/>
        <v>385</v>
      </c>
      <c r="AZ366" s="234">
        <f t="shared" si="84"/>
        <v>217</v>
      </c>
      <c r="BE366" s="234"/>
      <c r="BF366" s="234"/>
      <c r="BH366" s="234"/>
      <c r="CG366" s="264"/>
      <c r="CH366" s="264"/>
      <c r="CI366" s="264"/>
      <c r="CJ366" s="264"/>
      <c r="CK366" s="264"/>
      <c r="CS366" s="269"/>
      <c r="DK366" s="271"/>
      <c r="DM366" s="2">
        <v>4</v>
      </c>
      <c r="DO366" s="25"/>
      <c r="DP366" s="249"/>
      <c r="DT366" s="11"/>
      <c r="DU366" s="11"/>
      <c r="DV366" s="11"/>
      <c r="DW366" s="237">
        <v>6.5</v>
      </c>
    </row>
    <row r="367" spans="1:129">
      <c r="A367" s="102">
        <v>394</v>
      </c>
      <c r="B367" s="56">
        <v>10</v>
      </c>
      <c r="R367" s="235">
        <f t="shared" si="77"/>
        <v>0</v>
      </c>
      <c r="S367" s="236">
        <v>212</v>
      </c>
      <c r="T367" s="56">
        <v>134</v>
      </c>
      <c r="U367" s="56"/>
      <c r="V367" s="56"/>
      <c r="W367" s="56"/>
      <c r="X367" s="56"/>
      <c r="Y367" s="56">
        <v>232</v>
      </c>
      <c r="Z367" s="56">
        <v>329</v>
      </c>
      <c r="AA367" s="56">
        <v>413</v>
      </c>
      <c r="AB367" s="56">
        <v>269</v>
      </c>
      <c r="AC367" s="56"/>
      <c r="AD367" s="56"/>
      <c r="AG367" s="2">
        <v>124</v>
      </c>
      <c r="AH367" s="2">
        <v>78</v>
      </c>
      <c r="AM367" s="102">
        <f t="shared" si="78"/>
        <v>1791</v>
      </c>
      <c r="AN367" s="257">
        <f t="shared" si="79"/>
        <v>1791</v>
      </c>
      <c r="AP367" s="8">
        <f t="shared" si="71"/>
        <v>1791</v>
      </c>
      <c r="AQ367" s="2">
        <f t="shared" si="80"/>
        <v>0</v>
      </c>
      <c r="AR367" s="264"/>
      <c r="AS367" s="264"/>
      <c r="AT367" s="264"/>
      <c r="AU367" s="264"/>
      <c r="AW367" s="8">
        <f t="shared" si="81"/>
        <v>0</v>
      </c>
      <c r="AX367" s="11">
        <f t="shared" si="82"/>
        <v>232</v>
      </c>
      <c r="AY367" s="8">
        <f t="shared" si="83"/>
        <v>413</v>
      </c>
      <c r="AZ367" s="234">
        <f t="shared" si="84"/>
        <v>269</v>
      </c>
      <c r="BE367" s="234"/>
      <c r="BF367" s="234"/>
      <c r="BH367" s="234"/>
      <c r="CG367" s="264"/>
      <c r="CH367" s="264"/>
      <c r="CI367" s="264"/>
      <c r="CJ367" s="264"/>
      <c r="CK367" s="264"/>
      <c r="CS367" s="269"/>
      <c r="DK367" s="271"/>
      <c r="DM367" s="2">
        <v>4</v>
      </c>
      <c r="DO367" s="25"/>
      <c r="DP367" s="249"/>
      <c r="DT367" s="11"/>
      <c r="DU367" s="11"/>
      <c r="DV367" s="11"/>
      <c r="DW367" s="237">
        <v>10</v>
      </c>
    </row>
    <row r="368" spans="1:129">
      <c r="A368" s="102">
        <v>395</v>
      </c>
      <c r="B368" s="56">
        <v>10</v>
      </c>
      <c r="R368" s="235">
        <f t="shared" si="77"/>
        <v>0</v>
      </c>
      <c r="S368" s="236">
        <v>219</v>
      </c>
      <c r="T368" s="56">
        <v>138</v>
      </c>
      <c r="U368" s="56"/>
      <c r="V368" s="56"/>
      <c r="W368" s="56"/>
      <c r="X368" s="56"/>
      <c r="Y368" s="56">
        <v>218</v>
      </c>
      <c r="Z368" s="56">
        <v>322</v>
      </c>
      <c r="AA368" s="56">
        <v>407</v>
      </c>
      <c r="AB368" s="56">
        <v>282</v>
      </c>
      <c r="AC368" s="56"/>
      <c r="AD368" s="56"/>
      <c r="AG368" s="2">
        <v>154</v>
      </c>
      <c r="AH368" s="2">
        <v>84</v>
      </c>
      <c r="AM368" s="102">
        <f t="shared" si="78"/>
        <v>1824</v>
      </c>
      <c r="AN368" s="257">
        <f t="shared" si="79"/>
        <v>1824</v>
      </c>
      <c r="AP368" s="8">
        <f t="shared" si="71"/>
        <v>1824</v>
      </c>
      <c r="AQ368" s="2">
        <f t="shared" si="80"/>
        <v>0</v>
      </c>
      <c r="AR368" s="264"/>
      <c r="AS368" s="264"/>
      <c r="AT368" s="264"/>
      <c r="AU368" s="264"/>
      <c r="AW368" s="8">
        <f t="shared" si="81"/>
        <v>0</v>
      </c>
      <c r="AX368" s="11">
        <f t="shared" si="82"/>
        <v>218</v>
      </c>
      <c r="AY368" s="8">
        <f t="shared" si="83"/>
        <v>407</v>
      </c>
      <c r="AZ368" s="234">
        <f t="shared" si="84"/>
        <v>282</v>
      </c>
      <c r="BE368" s="234"/>
      <c r="BF368" s="234"/>
      <c r="BH368" s="234"/>
      <c r="CG368" s="264"/>
      <c r="CH368" s="264"/>
      <c r="CI368" s="264"/>
      <c r="CJ368" s="264"/>
      <c r="CK368" s="264"/>
      <c r="CS368" s="269"/>
      <c r="DK368" s="271"/>
      <c r="DM368" s="2">
        <v>4</v>
      </c>
      <c r="DO368" s="25"/>
      <c r="DP368" s="249"/>
      <c r="DT368" s="11"/>
      <c r="DU368" s="11"/>
      <c r="DV368" s="11"/>
      <c r="DW368" s="237">
        <v>10</v>
      </c>
    </row>
    <row r="369" spans="1:127">
      <c r="A369" s="102">
        <v>396</v>
      </c>
      <c r="B369" s="56">
        <v>10</v>
      </c>
      <c r="R369" s="235">
        <f t="shared" si="77"/>
        <v>0</v>
      </c>
      <c r="S369" s="236">
        <v>214</v>
      </c>
      <c r="T369" s="56">
        <v>170</v>
      </c>
      <c r="U369" s="56"/>
      <c r="V369" s="56"/>
      <c r="W369" s="56"/>
      <c r="X369" s="56"/>
      <c r="Y369" s="56">
        <v>176</v>
      </c>
      <c r="Z369" s="56">
        <v>327</v>
      </c>
      <c r="AA369" s="56">
        <v>334</v>
      </c>
      <c r="AB369" s="56">
        <v>334</v>
      </c>
      <c r="AC369" s="56"/>
      <c r="AD369" s="56"/>
      <c r="AG369" s="2">
        <v>235</v>
      </c>
      <c r="AH369" s="2">
        <v>78</v>
      </c>
      <c r="AM369" s="102">
        <f t="shared" si="78"/>
        <v>1868</v>
      </c>
      <c r="AN369" s="257">
        <f t="shared" si="79"/>
        <v>1868</v>
      </c>
      <c r="AP369" s="8">
        <f t="shared" si="71"/>
        <v>1868</v>
      </c>
      <c r="AQ369" s="2">
        <f t="shared" si="80"/>
        <v>0</v>
      </c>
      <c r="AR369" s="264"/>
      <c r="AS369" s="264"/>
      <c r="AT369" s="264"/>
      <c r="AU369" s="264"/>
      <c r="AW369" s="8">
        <f t="shared" si="81"/>
        <v>0</v>
      </c>
      <c r="AX369" s="11">
        <f t="shared" si="82"/>
        <v>176</v>
      </c>
      <c r="AY369" s="8">
        <f t="shared" si="83"/>
        <v>334</v>
      </c>
      <c r="AZ369" s="234">
        <f t="shared" si="84"/>
        <v>334</v>
      </c>
      <c r="BE369" s="234"/>
      <c r="BF369" s="234"/>
      <c r="BH369" s="234"/>
      <c r="CG369" s="264"/>
      <c r="CH369" s="264"/>
      <c r="CI369" s="264"/>
      <c r="CJ369" s="264"/>
      <c r="CK369" s="264"/>
      <c r="CS369" s="269"/>
      <c r="DK369" s="271"/>
      <c r="DM369" s="2">
        <v>4</v>
      </c>
      <c r="DO369" s="25"/>
      <c r="DP369" s="249"/>
      <c r="DT369" s="11"/>
      <c r="DU369" s="11"/>
      <c r="DV369" s="11"/>
      <c r="DW369" s="237">
        <v>6.5</v>
      </c>
    </row>
    <row r="370" spans="1:127">
      <c r="A370" s="102">
        <v>397</v>
      </c>
      <c r="B370" s="56">
        <v>10</v>
      </c>
      <c r="R370" s="235">
        <f t="shared" si="77"/>
        <v>0</v>
      </c>
      <c r="S370" s="236">
        <v>226</v>
      </c>
      <c r="T370" s="56">
        <v>178</v>
      </c>
      <c r="U370" s="56"/>
      <c r="V370" s="56"/>
      <c r="W370" s="56"/>
      <c r="X370" s="56"/>
      <c r="Y370" s="56">
        <v>184</v>
      </c>
      <c r="Z370" s="56">
        <v>340</v>
      </c>
      <c r="AA370" s="56">
        <v>345</v>
      </c>
      <c r="AB370" s="56">
        <v>308</v>
      </c>
      <c r="AC370" s="56"/>
      <c r="AD370" s="56"/>
      <c r="AG370" s="2">
        <v>243</v>
      </c>
      <c r="AH370" s="2">
        <v>67</v>
      </c>
      <c r="AM370" s="102">
        <f t="shared" si="78"/>
        <v>1891</v>
      </c>
      <c r="AN370" s="257">
        <f t="shared" si="79"/>
        <v>1891</v>
      </c>
      <c r="AP370" s="8">
        <f t="shared" si="71"/>
        <v>1891</v>
      </c>
      <c r="AQ370" s="2">
        <f t="shared" si="80"/>
        <v>0</v>
      </c>
      <c r="AR370" s="264"/>
      <c r="AS370" s="264"/>
      <c r="AT370" s="264"/>
      <c r="AU370" s="264"/>
      <c r="AW370" s="8">
        <f t="shared" si="81"/>
        <v>0</v>
      </c>
      <c r="AX370" s="11">
        <f t="shared" si="82"/>
        <v>184</v>
      </c>
      <c r="AY370" s="8">
        <f t="shared" si="83"/>
        <v>345</v>
      </c>
      <c r="AZ370" s="234">
        <f t="shared" si="84"/>
        <v>308</v>
      </c>
      <c r="BE370" s="234"/>
      <c r="BF370" s="234"/>
      <c r="BH370" s="234"/>
      <c r="CG370" s="264"/>
      <c r="CH370" s="264"/>
      <c r="CI370" s="264"/>
      <c r="CJ370" s="264"/>
      <c r="CK370" s="264"/>
      <c r="CS370" s="269"/>
      <c r="DK370" s="271"/>
      <c r="DM370" s="2">
        <v>4</v>
      </c>
      <c r="DO370" s="25"/>
      <c r="DP370" s="249"/>
      <c r="DT370" s="11"/>
      <c r="DU370" s="11"/>
      <c r="DV370" s="11"/>
      <c r="DW370" s="237">
        <v>6.5</v>
      </c>
    </row>
    <row r="371" spans="1:127">
      <c r="A371" s="102">
        <v>398</v>
      </c>
      <c r="B371" s="56">
        <v>10</v>
      </c>
      <c r="R371" s="235">
        <f t="shared" si="77"/>
        <v>0</v>
      </c>
      <c r="S371" s="236">
        <v>240</v>
      </c>
      <c r="T371" s="56">
        <v>189</v>
      </c>
      <c r="U371" s="56"/>
      <c r="V371" s="56"/>
      <c r="W371" s="56"/>
      <c r="X371" s="56"/>
      <c r="Y371" s="56">
        <v>207</v>
      </c>
      <c r="Z371" s="56">
        <v>319</v>
      </c>
      <c r="AA371" s="56">
        <v>357</v>
      </c>
      <c r="AB371" s="56">
        <v>296</v>
      </c>
      <c r="AC371" s="56"/>
      <c r="AD371" s="56"/>
      <c r="AG371" s="2">
        <v>228</v>
      </c>
      <c r="AH371" s="2">
        <v>190</v>
      </c>
      <c r="AM371" s="102">
        <f t="shared" si="78"/>
        <v>2026</v>
      </c>
      <c r="AN371" s="257">
        <f t="shared" si="79"/>
        <v>2026</v>
      </c>
      <c r="AP371" s="8">
        <f t="shared" si="71"/>
        <v>2026</v>
      </c>
      <c r="AQ371" s="2">
        <f t="shared" si="80"/>
        <v>0</v>
      </c>
      <c r="AR371" s="264"/>
      <c r="AS371" s="264"/>
      <c r="AT371" s="264"/>
      <c r="AU371" s="264"/>
      <c r="AW371" s="8">
        <f t="shared" si="81"/>
        <v>0</v>
      </c>
      <c r="AX371" s="11">
        <f t="shared" si="82"/>
        <v>207</v>
      </c>
      <c r="AY371" s="8">
        <f t="shared" si="83"/>
        <v>357</v>
      </c>
      <c r="AZ371" s="234">
        <f t="shared" si="84"/>
        <v>296</v>
      </c>
      <c r="BE371" s="234"/>
      <c r="BF371" s="234"/>
      <c r="BH371" s="234"/>
      <c r="CG371" s="264"/>
      <c r="CH371" s="264"/>
      <c r="CI371" s="264"/>
      <c r="CJ371" s="264"/>
      <c r="CK371" s="264"/>
      <c r="CS371" s="269"/>
      <c r="DK371" s="271"/>
      <c r="DM371" s="2">
        <v>4</v>
      </c>
      <c r="DO371" s="25"/>
      <c r="DP371" s="249"/>
      <c r="DT371" s="11"/>
      <c r="DU371" s="11"/>
      <c r="DV371" s="11"/>
      <c r="DW371" s="237">
        <v>12</v>
      </c>
    </row>
    <row r="372" spans="1:127">
      <c r="A372" s="102">
        <v>399</v>
      </c>
      <c r="B372" s="56">
        <v>10</v>
      </c>
      <c r="R372" s="235">
        <f t="shared" si="77"/>
        <v>0</v>
      </c>
      <c r="S372" s="236">
        <v>233</v>
      </c>
      <c r="T372" s="56">
        <v>184</v>
      </c>
      <c r="U372" s="56"/>
      <c r="V372" s="56"/>
      <c r="W372" s="56"/>
      <c r="X372" s="56"/>
      <c r="Y372" s="56">
        <v>179</v>
      </c>
      <c r="Z372" s="56">
        <v>328</v>
      </c>
      <c r="AA372" s="56">
        <v>325</v>
      </c>
      <c r="AB372" s="56">
        <v>320</v>
      </c>
      <c r="AC372" s="56"/>
      <c r="AD372" s="56"/>
      <c r="AG372" s="2">
        <v>178</v>
      </c>
      <c r="AH372" s="2">
        <v>187</v>
      </c>
      <c r="AM372" s="102">
        <f t="shared" si="78"/>
        <v>1934</v>
      </c>
      <c r="AN372" s="257">
        <f t="shared" si="79"/>
        <v>1934</v>
      </c>
      <c r="AP372" s="8">
        <f t="shared" si="71"/>
        <v>1934</v>
      </c>
      <c r="AQ372" s="2">
        <f t="shared" si="80"/>
        <v>0</v>
      </c>
      <c r="AR372" s="264"/>
      <c r="AS372" s="264"/>
      <c r="AT372" s="264"/>
      <c r="AU372" s="264"/>
      <c r="AW372" s="8">
        <f t="shared" si="81"/>
        <v>0</v>
      </c>
      <c r="AX372" s="11">
        <f t="shared" si="82"/>
        <v>179</v>
      </c>
      <c r="AY372" s="8">
        <f t="shared" si="83"/>
        <v>325</v>
      </c>
      <c r="AZ372" s="234">
        <f t="shared" si="84"/>
        <v>320</v>
      </c>
      <c r="BE372" s="234"/>
      <c r="BF372" s="234"/>
      <c r="BH372" s="234"/>
      <c r="CG372" s="264"/>
      <c r="CH372" s="264"/>
      <c r="CI372" s="264"/>
      <c r="CJ372" s="264"/>
      <c r="CK372" s="264"/>
      <c r="CS372" s="269"/>
      <c r="DK372" s="271"/>
      <c r="DM372" s="2">
        <v>4</v>
      </c>
      <c r="DO372" s="25"/>
      <c r="DP372" s="249"/>
      <c r="DT372" s="11"/>
      <c r="DU372" s="11"/>
      <c r="DV372" s="11"/>
      <c r="DW372" s="237">
        <v>14</v>
      </c>
    </row>
    <row r="373" spans="1:127">
      <c r="A373" s="102">
        <v>400</v>
      </c>
      <c r="B373" s="56">
        <v>10</v>
      </c>
      <c r="R373" s="235">
        <f t="shared" si="77"/>
        <v>0</v>
      </c>
      <c r="S373" s="236">
        <v>215</v>
      </c>
      <c r="T373" s="56">
        <v>163</v>
      </c>
      <c r="U373" s="56"/>
      <c r="V373" s="56"/>
      <c r="W373" s="56"/>
      <c r="X373" s="56"/>
      <c r="Y373" s="56">
        <v>167</v>
      </c>
      <c r="Z373" s="56">
        <v>337</v>
      </c>
      <c r="AA373" s="56">
        <v>329</v>
      </c>
      <c r="AB373" s="56">
        <v>326</v>
      </c>
      <c r="AC373" s="56"/>
      <c r="AD373" s="56"/>
      <c r="AG373" s="2">
        <v>183</v>
      </c>
      <c r="AH373" s="2">
        <v>192</v>
      </c>
      <c r="AM373" s="102">
        <f t="shared" si="78"/>
        <v>1912</v>
      </c>
      <c r="AN373" s="257">
        <f t="shared" si="79"/>
        <v>1912</v>
      </c>
      <c r="AP373" s="8">
        <f t="shared" si="71"/>
        <v>1912</v>
      </c>
      <c r="AQ373" s="2">
        <f t="shared" si="80"/>
        <v>0</v>
      </c>
      <c r="AR373" s="264"/>
      <c r="AS373" s="264"/>
      <c r="AT373" s="264"/>
      <c r="AU373" s="264"/>
      <c r="AW373" s="8">
        <f t="shared" si="81"/>
        <v>0</v>
      </c>
      <c r="AX373" s="11">
        <f t="shared" si="82"/>
        <v>167</v>
      </c>
      <c r="AY373" s="8">
        <f t="shared" si="83"/>
        <v>329</v>
      </c>
      <c r="AZ373" s="234">
        <f t="shared" si="84"/>
        <v>326</v>
      </c>
      <c r="BE373" s="234"/>
      <c r="BF373" s="234"/>
      <c r="BH373" s="234"/>
      <c r="CG373" s="264"/>
      <c r="CH373" s="264"/>
      <c r="CI373" s="264"/>
      <c r="CJ373" s="264"/>
      <c r="CK373" s="264"/>
      <c r="CS373" s="269"/>
      <c r="DK373" s="271"/>
      <c r="DM373" s="2">
        <v>4</v>
      </c>
      <c r="DO373" s="25"/>
      <c r="DP373" s="249"/>
      <c r="DT373" s="11"/>
      <c r="DU373" s="11"/>
      <c r="DV373" s="11"/>
      <c r="DW373" s="237">
        <v>14</v>
      </c>
    </row>
    <row r="374" spans="1:127">
      <c r="A374" s="102">
        <v>401</v>
      </c>
      <c r="B374" s="56">
        <v>10</v>
      </c>
      <c r="R374" s="235">
        <f t="shared" si="77"/>
        <v>0</v>
      </c>
      <c r="S374" s="236">
        <v>216</v>
      </c>
      <c r="T374" s="56">
        <v>179</v>
      </c>
      <c r="U374" s="56"/>
      <c r="V374" s="56"/>
      <c r="W374" s="56"/>
      <c r="X374" s="56"/>
      <c r="Y374" s="56">
        <v>117</v>
      </c>
      <c r="Z374" s="56">
        <v>336</v>
      </c>
      <c r="AA374" s="56">
        <v>357</v>
      </c>
      <c r="AB374" s="56">
        <v>267</v>
      </c>
      <c r="AC374" s="56"/>
      <c r="AD374" s="56"/>
      <c r="AG374" s="2">
        <v>136</v>
      </c>
      <c r="AH374" s="2">
        <v>70</v>
      </c>
      <c r="AM374" s="102">
        <f t="shared" si="78"/>
        <v>1678</v>
      </c>
      <c r="AN374" s="257">
        <f t="shared" si="79"/>
        <v>1678</v>
      </c>
      <c r="AP374" s="8">
        <f t="shared" si="71"/>
        <v>1678</v>
      </c>
      <c r="AQ374" s="2">
        <f t="shared" si="80"/>
        <v>0</v>
      </c>
      <c r="AR374" s="264"/>
      <c r="AS374" s="264"/>
      <c r="AT374" s="264"/>
      <c r="AU374" s="264"/>
      <c r="AW374" s="8">
        <f t="shared" si="81"/>
        <v>0</v>
      </c>
      <c r="AX374" s="11">
        <f t="shared" si="82"/>
        <v>117</v>
      </c>
      <c r="AY374" s="8">
        <f t="shared" si="83"/>
        <v>357</v>
      </c>
      <c r="AZ374" s="234">
        <f t="shared" si="84"/>
        <v>267</v>
      </c>
      <c r="BE374" s="234"/>
      <c r="BF374" s="234"/>
      <c r="BH374" s="234"/>
      <c r="CG374" s="264"/>
      <c r="CH374" s="264"/>
      <c r="CI374" s="264"/>
      <c r="CJ374" s="264"/>
      <c r="CK374" s="264"/>
      <c r="CS374" s="269"/>
      <c r="DK374" s="271"/>
      <c r="DM374" s="2">
        <v>3</v>
      </c>
      <c r="DO374" s="25"/>
      <c r="DP374" s="249"/>
      <c r="DT374" s="11"/>
      <c r="DU374" s="11"/>
      <c r="DV374" s="11"/>
      <c r="DW374" s="237">
        <v>6.5</v>
      </c>
    </row>
    <row r="375" spans="1:127">
      <c r="A375" s="102">
        <v>402</v>
      </c>
      <c r="B375" s="56">
        <v>10</v>
      </c>
      <c r="R375" s="235">
        <f t="shared" si="77"/>
        <v>0</v>
      </c>
      <c r="S375" s="236">
        <v>300</v>
      </c>
      <c r="T375" s="56">
        <v>189</v>
      </c>
      <c r="U375" s="56"/>
      <c r="V375" s="56"/>
      <c r="W375" s="56"/>
      <c r="X375" s="56"/>
      <c r="Y375" s="56">
        <v>193</v>
      </c>
      <c r="Z375" s="56">
        <v>423</v>
      </c>
      <c r="AA375" s="56">
        <v>363</v>
      </c>
      <c r="AB375" s="56">
        <v>332</v>
      </c>
      <c r="AC375" s="56"/>
      <c r="AD375" s="56"/>
      <c r="AG375" s="2">
        <v>221</v>
      </c>
      <c r="AH375" s="2">
        <v>135</v>
      </c>
      <c r="AM375" s="102">
        <f t="shared" si="78"/>
        <v>2156</v>
      </c>
      <c r="AN375" s="257">
        <f t="shared" si="79"/>
        <v>2156</v>
      </c>
      <c r="AP375" s="8">
        <f t="shared" si="71"/>
        <v>2156</v>
      </c>
      <c r="AQ375" s="2">
        <f t="shared" si="80"/>
        <v>0</v>
      </c>
      <c r="AR375" s="264"/>
      <c r="AS375" s="264"/>
      <c r="AT375" s="264"/>
      <c r="AU375" s="264"/>
      <c r="AW375" s="8">
        <f t="shared" si="81"/>
        <v>0</v>
      </c>
      <c r="AX375" s="11">
        <f t="shared" si="82"/>
        <v>193</v>
      </c>
      <c r="AY375" s="8">
        <f t="shared" si="83"/>
        <v>363</v>
      </c>
      <c r="AZ375" s="234">
        <f t="shared" si="84"/>
        <v>332</v>
      </c>
      <c r="BE375" s="234"/>
      <c r="BF375" s="234"/>
      <c r="BH375" s="234"/>
      <c r="CG375" s="264"/>
      <c r="CH375" s="264"/>
      <c r="CI375" s="264"/>
      <c r="CJ375" s="264"/>
      <c r="CK375" s="264"/>
      <c r="CS375" s="269"/>
      <c r="DK375" s="271"/>
      <c r="DM375" s="2">
        <v>4</v>
      </c>
      <c r="DO375" s="25"/>
      <c r="DP375" s="249"/>
      <c r="DT375" s="11"/>
      <c r="DU375" s="11"/>
      <c r="DV375" s="11"/>
      <c r="DW375" s="237">
        <v>17.5</v>
      </c>
    </row>
    <row r="376" spans="1:127">
      <c r="A376" s="102">
        <v>403</v>
      </c>
      <c r="B376" s="56">
        <v>10</v>
      </c>
      <c r="R376" s="235">
        <f t="shared" si="77"/>
        <v>0</v>
      </c>
      <c r="S376" s="236">
        <v>214</v>
      </c>
      <c r="T376" s="56">
        <v>187</v>
      </c>
      <c r="U376" s="56"/>
      <c r="V376" s="56"/>
      <c r="W376" s="56"/>
      <c r="X376" s="56"/>
      <c r="Y376" s="56">
        <v>182</v>
      </c>
      <c r="Z376" s="56">
        <v>439</v>
      </c>
      <c r="AA376" s="56">
        <v>327</v>
      </c>
      <c r="AB376" s="56">
        <v>278</v>
      </c>
      <c r="AC376" s="56"/>
      <c r="AD376" s="56"/>
      <c r="AG376" s="2">
        <v>60</v>
      </c>
      <c r="AH376" s="2">
        <v>156</v>
      </c>
      <c r="AM376" s="102">
        <f t="shared" si="78"/>
        <v>1843</v>
      </c>
      <c r="AN376" s="257">
        <f t="shared" si="79"/>
        <v>1843</v>
      </c>
      <c r="AP376" s="8">
        <f t="shared" si="71"/>
        <v>1843</v>
      </c>
      <c r="AQ376" s="2">
        <f t="shared" si="80"/>
        <v>0</v>
      </c>
      <c r="AR376" s="264"/>
      <c r="AS376" s="264"/>
      <c r="AT376" s="264"/>
      <c r="AU376" s="264"/>
      <c r="AW376" s="8">
        <f t="shared" si="81"/>
        <v>0</v>
      </c>
      <c r="AX376" s="11">
        <f t="shared" si="82"/>
        <v>182</v>
      </c>
      <c r="AY376" s="8">
        <f t="shared" si="83"/>
        <v>327</v>
      </c>
      <c r="AZ376" s="234">
        <f t="shared" si="84"/>
        <v>278</v>
      </c>
      <c r="BE376" s="234"/>
      <c r="BF376" s="234"/>
      <c r="BH376" s="234"/>
      <c r="CG376" s="264"/>
      <c r="CH376" s="264"/>
      <c r="CI376" s="264"/>
      <c r="CJ376" s="264"/>
      <c r="CK376" s="264"/>
      <c r="CS376" s="269"/>
      <c r="DK376" s="271"/>
      <c r="DM376" s="2">
        <v>4</v>
      </c>
      <c r="DO376" s="25"/>
      <c r="DP376" s="249"/>
      <c r="DT376" s="11"/>
      <c r="DU376" s="11"/>
      <c r="DV376" s="11"/>
      <c r="DW376" s="237">
        <v>12</v>
      </c>
    </row>
    <row r="377" spans="1:127">
      <c r="A377" s="102">
        <v>404</v>
      </c>
      <c r="B377" s="56">
        <v>10</v>
      </c>
      <c r="R377" s="235">
        <f t="shared" si="77"/>
        <v>0</v>
      </c>
      <c r="S377" s="236">
        <v>219</v>
      </c>
      <c r="T377" s="56">
        <v>199</v>
      </c>
      <c r="U377" s="56"/>
      <c r="V377" s="56"/>
      <c r="W377" s="56"/>
      <c r="X377" s="56"/>
      <c r="Y377" s="56">
        <v>164</v>
      </c>
      <c r="Z377" s="56">
        <v>415</v>
      </c>
      <c r="AA377" s="56">
        <v>224</v>
      </c>
      <c r="AB377" s="56">
        <v>270</v>
      </c>
      <c r="AC377" s="56"/>
      <c r="AD377" s="56"/>
      <c r="AG377" s="2">
        <v>137</v>
      </c>
      <c r="AH377" s="2">
        <v>136</v>
      </c>
      <c r="AM377" s="102">
        <f t="shared" si="78"/>
        <v>1764</v>
      </c>
      <c r="AN377" s="257">
        <f t="shared" si="79"/>
        <v>1764</v>
      </c>
      <c r="AP377" s="8">
        <f t="shared" si="71"/>
        <v>1764</v>
      </c>
      <c r="AQ377" s="2">
        <f t="shared" si="80"/>
        <v>0</v>
      </c>
      <c r="AR377" s="264"/>
      <c r="AS377" s="264"/>
      <c r="AT377" s="264"/>
      <c r="AU377" s="264"/>
      <c r="AW377" s="8">
        <f t="shared" si="81"/>
        <v>0</v>
      </c>
      <c r="AX377" s="11">
        <f t="shared" si="82"/>
        <v>164</v>
      </c>
      <c r="AY377" s="8">
        <f t="shared" si="83"/>
        <v>224</v>
      </c>
      <c r="AZ377" s="234">
        <f t="shared" si="84"/>
        <v>270</v>
      </c>
      <c r="BE377" s="234"/>
      <c r="BF377" s="234"/>
      <c r="BH377" s="234"/>
      <c r="CG377" s="264"/>
      <c r="CH377" s="264"/>
      <c r="CI377" s="264"/>
      <c r="CJ377" s="264"/>
      <c r="CK377" s="264"/>
      <c r="CS377" s="269"/>
      <c r="DK377" s="271"/>
      <c r="DM377" s="2">
        <v>4</v>
      </c>
      <c r="DO377" s="25"/>
      <c r="DP377" s="249"/>
      <c r="DT377" s="11"/>
      <c r="DU377" s="11"/>
      <c r="DV377" s="11"/>
      <c r="DW377" s="237">
        <v>10</v>
      </c>
    </row>
    <row r="378" spans="1:127">
      <c r="A378" s="102">
        <v>405</v>
      </c>
      <c r="B378" s="56">
        <v>10</v>
      </c>
      <c r="R378" s="235">
        <f t="shared" si="77"/>
        <v>0</v>
      </c>
      <c r="S378" s="236">
        <v>148</v>
      </c>
      <c r="T378" s="56">
        <v>100</v>
      </c>
      <c r="U378" s="56"/>
      <c r="V378" s="56"/>
      <c r="W378" s="56"/>
      <c r="X378" s="56"/>
      <c r="Y378" s="56">
        <v>179</v>
      </c>
      <c r="Z378" s="56">
        <v>303</v>
      </c>
      <c r="AA378" s="56">
        <v>312</v>
      </c>
      <c r="AB378" s="56">
        <v>273</v>
      </c>
      <c r="AC378" s="56"/>
      <c r="AD378" s="56"/>
      <c r="AG378" s="2">
        <v>164</v>
      </c>
      <c r="AH378" s="2">
        <v>78</v>
      </c>
      <c r="AM378" s="102">
        <f t="shared" si="78"/>
        <v>1557</v>
      </c>
      <c r="AN378" s="257">
        <f t="shared" si="79"/>
        <v>1557</v>
      </c>
      <c r="AP378" s="8">
        <f t="shared" si="71"/>
        <v>1557</v>
      </c>
      <c r="AQ378" s="2">
        <f t="shared" si="80"/>
        <v>0</v>
      </c>
      <c r="AR378" s="264"/>
      <c r="AS378" s="264"/>
      <c r="AT378" s="264"/>
      <c r="AU378" s="264"/>
      <c r="AW378" s="8">
        <f t="shared" si="81"/>
        <v>0</v>
      </c>
      <c r="AX378" s="11">
        <f t="shared" si="82"/>
        <v>179</v>
      </c>
      <c r="AY378" s="8">
        <f t="shared" si="83"/>
        <v>312</v>
      </c>
      <c r="AZ378" s="234">
        <f t="shared" si="84"/>
        <v>273</v>
      </c>
      <c r="BE378" s="234"/>
      <c r="BF378" s="234"/>
      <c r="BH378" s="234"/>
      <c r="CG378" s="264"/>
      <c r="CH378" s="264"/>
      <c r="CI378" s="264"/>
      <c r="CJ378" s="264"/>
      <c r="CK378" s="264"/>
      <c r="CS378" s="269"/>
      <c r="DK378" s="271"/>
      <c r="DM378" s="2">
        <v>4</v>
      </c>
      <c r="DO378" s="25"/>
      <c r="DP378" s="249"/>
      <c r="DT378" s="11"/>
      <c r="DU378" s="11"/>
      <c r="DV378" s="11"/>
      <c r="DW378" s="237">
        <v>9</v>
      </c>
    </row>
    <row r="379" spans="1:127">
      <c r="A379" s="102">
        <v>406</v>
      </c>
      <c r="B379" s="56">
        <v>10</v>
      </c>
      <c r="R379" s="235">
        <f t="shared" si="77"/>
        <v>0</v>
      </c>
      <c r="S379" s="236">
        <v>183</v>
      </c>
      <c r="T379" s="56">
        <v>214</v>
      </c>
      <c r="U379" s="56"/>
      <c r="V379" s="56"/>
      <c r="W379" s="56"/>
      <c r="X379" s="56"/>
      <c r="Y379" s="56">
        <v>215</v>
      </c>
      <c r="Z379" s="56">
        <v>388</v>
      </c>
      <c r="AA379" s="56">
        <v>348</v>
      </c>
      <c r="AB379" s="56">
        <v>228</v>
      </c>
      <c r="AC379" s="56"/>
      <c r="AD379" s="56"/>
      <c r="AG379" s="2">
        <v>177</v>
      </c>
      <c r="AH379" s="2">
        <v>131</v>
      </c>
      <c r="AM379" s="102">
        <f t="shared" si="78"/>
        <v>1884</v>
      </c>
      <c r="AN379" s="257">
        <f t="shared" si="79"/>
        <v>1884</v>
      </c>
      <c r="AP379" s="8">
        <f t="shared" si="71"/>
        <v>1884</v>
      </c>
      <c r="AQ379" s="2">
        <f t="shared" si="80"/>
        <v>0</v>
      </c>
      <c r="AR379" s="264"/>
      <c r="AS379" s="264"/>
      <c r="AT379" s="264"/>
      <c r="AU379" s="264"/>
      <c r="AW379" s="8">
        <f t="shared" si="81"/>
        <v>0</v>
      </c>
      <c r="AX379" s="11">
        <f t="shared" si="82"/>
        <v>215</v>
      </c>
      <c r="AY379" s="8">
        <f t="shared" si="83"/>
        <v>348</v>
      </c>
      <c r="AZ379" s="234">
        <f t="shared" si="84"/>
        <v>228</v>
      </c>
      <c r="BE379" s="234"/>
      <c r="BF379" s="234"/>
      <c r="BH379" s="234"/>
      <c r="CG379" s="264"/>
      <c r="CH379" s="264"/>
      <c r="CI379" s="264"/>
      <c r="CJ379" s="264"/>
      <c r="CK379" s="264"/>
      <c r="CS379" s="269"/>
      <c r="DK379" s="271"/>
      <c r="DM379" s="2">
        <v>4</v>
      </c>
      <c r="DO379" s="25"/>
      <c r="DP379" s="249"/>
      <c r="DT379" s="11"/>
      <c r="DU379" s="11"/>
      <c r="DV379" s="11"/>
      <c r="DW379" s="237">
        <v>8</v>
      </c>
    </row>
    <row r="380" spans="1:127">
      <c r="A380" s="102">
        <v>407</v>
      </c>
      <c r="B380" s="56">
        <v>10</v>
      </c>
      <c r="R380" s="235">
        <f t="shared" si="77"/>
        <v>0</v>
      </c>
      <c r="S380" s="236">
        <v>211</v>
      </c>
      <c r="T380" s="56">
        <v>218</v>
      </c>
      <c r="U380" s="56"/>
      <c r="V380" s="56"/>
      <c r="W380" s="56"/>
      <c r="X380" s="56"/>
      <c r="Y380" s="56">
        <v>183</v>
      </c>
      <c r="Z380" s="56">
        <v>367</v>
      </c>
      <c r="AA380" s="56">
        <v>332</v>
      </c>
      <c r="AB380" s="56">
        <v>287</v>
      </c>
      <c r="AC380" s="56"/>
      <c r="AD380" s="56"/>
      <c r="AG380" s="2">
        <v>186</v>
      </c>
      <c r="AH380" s="2">
        <v>85</v>
      </c>
      <c r="AM380" s="102">
        <f t="shared" si="78"/>
        <v>1869</v>
      </c>
      <c r="AN380" s="257">
        <f t="shared" si="79"/>
        <v>1869</v>
      </c>
      <c r="AP380" s="8">
        <f t="shared" si="71"/>
        <v>1869</v>
      </c>
      <c r="AQ380" s="2">
        <f t="shared" si="80"/>
        <v>0</v>
      </c>
      <c r="AR380" s="264"/>
      <c r="AS380" s="264"/>
      <c r="AT380" s="264"/>
      <c r="AU380" s="264"/>
      <c r="AW380" s="8">
        <f t="shared" si="81"/>
        <v>0</v>
      </c>
      <c r="AX380" s="11">
        <f t="shared" si="82"/>
        <v>183</v>
      </c>
      <c r="AY380" s="8">
        <f t="shared" si="83"/>
        <v>332</v>
      </c>
      <c r="AZ380" s="234">
        <f t="shared" si="84"/>
        <v>287</v>
      </c>
      <c r="BE380" s="234"/>
      <c r="BF380" s="234"/>
      <c r="BH380" s="234"/>
      <c r="CG380" s="264"/>
      <c r="CH380" s="264"/>
      <c r="CI380" s="264"/>
      <c r="CJ380" s="264"/>
      <c r="CK380" s="264"/>
      <c r="CS380" s="269"/>
      <c r="DK380" s="271"/>
      <c r="DM380" s="2">
        <v>4</v>
      </c>
      <c r="DO380" s="25"/>
      <c r="DP380" s="249"/>
      <c r="DT380" s="11"/>
      <c r="DU380" s="11"/>
      <c r="DV380" s="11"/>
      <c r="DW380" s="237">
        <v>8</v>
      </c>
    </row>
    <row r="381" spans="1:127">
      <c r="A381" s="102">
        <v>408</v>
      </c>
      <c r="B381" s="56">
        <v>10</v>
      </c>
      <c r="R381" s="235">
        <f t="shared" si="77"/>
        <v>0</v>
      </c>
      <c r="S381" s="236">
        <v>230</v>
      </c>
      <c r="T381" s="56">
        <v>223</v>
      </c>
      <c r="U381" s="56"/>
      <c r="V381" s="56"/>
      <c r="W381" s="56"/>
      <c r="X381" s="56"/>
      <c r="Y381" s="56">
        <v>195</v>
      </c>
      <c r="Z381" s="56">
        <v>352</v>
      </c>
      <c r="AA381" s="56">
        <v>252</v>
      </c>
      <c r="AB381" s="56">
        <v>289</v>
      </c>
      <c r="AC381" s="56"/>
      <c r="AD381" s="56"/>
      <c r="AG381" s="2">
        <v>159</v>
      </c>
      <c r="AH381" s="2">
        <v>77</v>
      </c>
      <c r="AM381" s="102">
        <f t="shared" si="78"/>
        <v>1777</v>
      </c>
      <c r="AN381" s="257">
        <f t="shared" si="79"/>
        <v>1777</v>
      </c>
      <c r="AP381" s="8">
        <f t="shared" si="71"/>
        <v>1777</v>
      </c>
      <c r="AQ381" s="2">
        <f t="shared" si="80"/>
        <v>0</v>
      </c>
      <c r="AR381" s="264"/>
      <c r="AS381" s="264"/>
      <c r="AT381" s="264"/>
      <c r="AU381" s="264"/>
      <c r="AW381" s="8">
        <f t="shared" si="81"/>
        <v>0</v>
      </c>
      <c r="AX381" s="11">
        <f t="shared" si="82"/>
        <v>195</v>
      </c>
      <c r="AY381" s="8">
        <f t="shared" si="83"/>
        <v>252</v>
      </c>
      <c r="AZ381" s="234">
        <f t="shared" si="84"/>
        <v>289</v>
      </c>
      <c r="BE381" s="234"/>
      <c r="BF381" s="234"/>
      <c r="BH381" s="234"/>
      <c r="CG381" s="264"/>
      <c r="CH381" s="264"/>
      <c r="CI381" s="264"/>
      <c r="CJ381" s="264"/>
      <c r="CK381" s="264"/>
      <c r="CS381" s="269"/>
      <c r="DK381" s="271"/>
      <c r="DM381" s="2">
        <v>4</v>
      </c>
      <c r="DO381" s="25"/>
      <c r="DP381" s="249"/>
      <c r="DT381" s="11"/>
      <c r="DU381" s="11"/>
      <c r="DV381" s="11"/>
      <c r="DW381" s="237">
        <v>8</v>
      </c>
    </row>
    <row r="382" spans="1:127">
      <c r="A382" s="102">
        <v>409</v>
      </c>
      <c r="B382" s="56">
        <v>10</v>
      </c>
      <c r="R382" s="235">
        <f t="shared" si="77"/>
        <v>0</v>
      </c>
      <c r="S382" s="236">
        <v>153</v>
      </c>
      <c r="T382" s="56">
        <v>128</v>
      </c>
      <c r="U382" s="56"/>
      <c r="V382" s="56"/>
      <c r="W382" s="56"/>
      <c r="X382" s="56"/>
      <c r="Y382" s="56">
        <v>128</v>
      </c>
      <c r="Z382" s="56">
        <v>245</v>
      </c>
      <c r="AA382" s="56">
        <v>205</v>
      </c>
      <c r="AB382" s="56">
        <v>188</v>
      </c>
      <c r="AC382" s="56"/>
      <c r="AD382" s="56"/>
      <c r="AG382" s="2">
        <v>143</v>
      </c>
      <c r="AH382" s="2">
        <v>0</v>
      </c>
      <c r="AM382" s="102">
        <f t="shared" si="78"/>
        <v>1190</v>
      </c>
      <c r="AN382" s="257">
        <f t="shared" si="79"/>
        <v>1190</v>
      </c>
      <c r="AP382" s="8">
        <f t="shared" ref="AP382:AP400" si="85">AM382-AO382</f>
        <v>1190</v>
      </c>
      <c r="AQ382" s="2">
        <f t="shared" si="80"/>
        <v>0</v>
      </c>
      <c r="AR382" s="264"/>
      <c r="AS382" s="264"/>
      <c r="AT382" s="264"/>
      <c r="AU382" s="264"/>
      <c r="AW382" s="8">
        <f t="shared" si="81"/>
        <v>0</v>
      </c>
      <c r="AX382" s="11">
        <f t="shared" si="82"/>
        <v>128</v>
      </c>
      <c r="AY382" s="8">
        <f t="shared" si="83"/>
        <v>205</v>
      </c>
      <c r="AZ382" s="234">
        <f t="shared" si="84"/>
        <v>188</v>
      </c>
      <c r="BE382" s="234"/>
      <c r="BF382" s="234"/>
      <c r="BH382" s="234"/>
      <c r="CG382" s="264"/>
      <c r="CH382" s="264"/>
      <c r="CI382" s="264"/>
      <c r="CJ382" s="264"/>
      <c r="CK382" s="264"/>
      <c r="CS382" s="269"/>
      <c r="DK382" s="271"/>
      <c r="DM382" s="2">
        <v>4</v>
      </c>
      <c r="DO382" s="25"/>
      <c r="DP382" s="249"/>
      <c r="DT382" s="11"/>
      <c r="DU382" s="11"/>
      <c r="DV382" s="11"/>
      <c r="DW382" s="237">
        <v>6.5</v>
      </c>
    </row>
    <row r="383" spans="1:127">
      <c r="A383" s="102">
        <v>410</v>
      </c>
      <c r="B383" s="56">
        <v>10</v>
      </c>
      <c r="R383" s="235">
        <f t="shared" si="77"/>
        <v>0</v>
      </c>
      <c r="S383" s="236">
        <v>173</v>
      </c>
      <c r="T383" s="56">
        <v>126</v>
      </c>
      <c r="U383" s="56"/>
      <c r="V383" s="56"/>
      <c r="W383" s="56"/>
      <c r="X383" s="56"/>
      <c r="Y383" s="56">
        <v>137</v>
      </c>
      <c r="Z383" s="56">
        <v>235</v>
      </c>
      <c r="AA383" s="56">
        <v>173</v>
      </c>
      <c r="AB383" s="56">
        <v>185</v>
      </c>
      <c r="AC383" s="56"/>
      <c r="AD383" s="56"/>
      <c r="AG383" s="2">
        <v>183</v>
      </c>
      <c r="AH383" s="2">
        <v>0</v>
      </c>
      <c r="AM383" s="102">
        <f t="shared" si="78"/>
        <v>1212</v>
      </c>
      <c r="AN383" s="257">
        <f t="shared" si="79"/>
        <v>1212</v>
      </c>
      <c r="AP383" s="8">
        <f t="shared" si="85"/>
        <v>1212</v>
      </c>
      <c r="AQ383" s="2">
        <f t="shared" si="80"/>
        <v>0</v>
      </c>
      <c r="AR383" s="264"/>
      <c r="AS383" s="264"/>
      <c r="AT383" s="264"/>
      <c r="AU383" s="264"/>
      <c r="AW383" s="8">
        <f t="shared" si="81"/>
        <v>0</v>
      </c>
      <c r="AX383" s="11">
        <f t="shared" si="82"/>
        <v>137</v>
      </c>
      <c r="AY383" s="8">
        <f t="shared" si="83"/>
        <v>173</v>
      </c>
      <c r="AZ383" s="234">
        <f t="shared" si="84"/>
        <v>185</v>
      </c>
      <c r="BE383" s="234"/>
      <c r="BF383" s="234"/>
      <c r="BH383" s="234"/>
      <c r="CG383" s="264"/>
      <c r="CH383" s="264"/>
      <c r="CI383" s="264"/>
      <c r="CJ383" s="264"/>
      <c r="CK383" s="264"/>
      <c r="CS383" s="269"/>
      <c r="DK383" s="271"/>
      <c r="DM383" s="2">
        <v>4</v>
      </c>
      <c r="DO383" s="25"/>
      <c r="DP383" s="249"/>
      <c r="DT383" s="11"/>
      <c r="DU383" s="11"/>
      <c r="DV383" s="11"/>
      <c r="DW383" s="237">
        <v>6.5</v>
      </c>
    </row>
    <row r="384" spans="1:127">
      <c r="A384" s="102">
        <v>411</v>
      </c>
      <c r="B384" s="56">
        <v>10</v>
      </c>
      <c r="R384" s="235">
        <f t="shared" si="77"/>
        <v>0</v>
      </c>
      <c r="S384" s="236">
        <v>267</v>
      </c>
      <c r="T384" s="56">
        <v>219</v>
      </c>
      <c r="U384" s="56"/>
      <c r="V384" s="56"/>
      <c r="W384" s="56"/>
      <c r="X384" s="56"/>
      <c r="Y384" s="56">
        <v>189</v>
      </c>
      <c r="Z384" s="56">
        <v>323</v>
      </c>
      <c r="AA384" s="56">
        <v>338</v>
      </c>
      <c r="AB384" s="56">
        <v>368</v>
      </c>
      <c r="AC384" s="56"/>
      <c r="AD384" s="56"/>
      <c r="AG384" s="2">
        <v>129</v>
      </c>
      <c r="AH384" s="2">
        <v>107</v>
      </c>
      <c r="AM384" s="102">
        <f t="shared" si="78"/>
        <v>1940</v>
      </c>
      <c r="AN384" s="257">
        <f t="shared" si="79"/>
        <v>1940</v>
      </c>
      <c r="AP384" s="8">
        <f t="shared" si="85"/>
        <v>1940</v>
      </c>
      <c r="AQ384" s="2">
        <f t="shared" si="80"/>
        <v>0</v>
      </c>
      <c r="AR384" s="264"/>
      <c r="AS384" s="264"/>
      <c r="AT384" s="264"/>
      <c r="AU384" s="264"/>
      <c r="AW384" s="8">
        <f t="shared" si="81"/>
        <v>0</v>
      </c>
      <c r="AX384" s="11">
        <f t="shared" si="82"/>
        <v>189</v>
      </c>
      <c r="AY384" s="8">
        <f t="shared" si="83"/>
        <v>338</v>
      </c>
      <c r="AZ384" s="234">
        <f t="shared" si="84"/>
        <v>368</v>
      </c>
      <c r="BE384" s="234"/>
      <c r="BF384" s="234"/>
      <c r="BH384" s="234"/>
      <c r="CG384" s="264"/>
      <c r="CH384" s="264"/>
      <c r="CI384" s="264"/>
      <c r="CJ384" s="264"/>
      <c r="CK384" s="264"/>
      <c r="CS384" s="269"/>
      <c r="DK384" s="271"/>
      <c r="DM384" s="2">
        <v>4</v>
      </c>
      <c r="DO384" s="25"/>
      <c r="DP384" s="249"/>
      <c r="DT384" s="11"/>
      <c r="DU384" s="11"/>
      <c r="DV384" s="11"/>
      <c r="DW384" s="237">
        <v>8</v>
      </c>
    </row>
    <row r="385" spans="1:130">
      <c r="A385" s="102">
        <v>412</v>
      </c>
      <c r="B385" s="56">
        <v>10</v>
      </c>
      <c r="R385" s="235">
        <f t="shared" si="77"/>
        <v>0</v>
      </c>
      <c r="S385" s="236">
        <v>310</v>
      </c>
      <c r="T385" s="56">
        <v>211</v>
      </c>
      <c r="U385" s="56"/>
      <c r="V385" s="56"/>
      <c r="W385" s="56"/>
      <c r="X385" s="56"/>
      <c r="Y385" s="56">
        <v>177</v>
      </c>
      <c r="Z385" s="56">
        <v>331</v>
      </c>
      <c r="AA385" s="56">
        <v>334</v>
      </c>
      <c r="AB385" s="56">
        <v>323</v>
      </c>
      <c r="AC385" s="56"/>
      <c r="AD385" s="56"/>
      <c r="AG385" s="2">
        <v>128</v>
      </c>
      <c r="AH385" s="2">
        <v>106</v>
      </c>
      <c r="AM385" s="102">
        <f t="shared" si="78"/>
        <v>1920</v>
      </c>
      <c r="AN385" s="257">
        <f t="shared" si="79"/>
        <v>1920</v>
      </c>
      <c r="AP385" s="8">
        <f t="shared" si="85"/>
        <v>1920</v>
      </c>
      <c r="AQ385" s="2">
        <f t="shared" si="80"/>
        <v>0</v>
      </c>
      <c r="AR385" s="264"/>
      <c r="AS385" s="264"/>
      <c r="AT385" s="264"/>
      <c r="AU385" s="264"/>
      <c r="AW385" s="8">
        <f t="shared" si="81"/>
        <v>0</v>
      </c>
      <c r="AX385" s="11">
        <f t="shared" si="82"/>
        <v>177</v>
      </c>
      <c r="AY385" s="8">
        <f t="shared" si="83"/>
        <v>334</v>
      </c>
      <c r="AZ385" s="234">
        <f t="shared" si="84"/>
        <v>323</v>
      </c>
      <c r="BE385" s="234"/>
      <c r="BF385" s="234"/>
      <c r="BH385" s="234"/>
      <c r="CG385" s="264"/>
      <c r="CH385" s="264"/>
      <c r="CI385" s="264"/>
      <c r="CJ385" s="264"/>
      <c r="CK385" s="264"/>
      <c r="CS385" s="269"/>
      <c r="DK385" s="271"/>
      <c r="DM385" s="2">
        <v>4</v>
      </c>
      <c r="DO385" s="25"/>
      <c r="DP385" s="249"/>
      <c r="DT385" s="11"/>
      <c r="DU385" s="11"/>
      <c r="DV385" s="11"/>
      <c r="DW385" s="237">
        <v>8</v>
      </c>
    </row>
    <row r="386" spans="1:130">
      <c r="A386" s="102">
        <v>413</v>
      </c>
      <c r="B386" s="56">
        <v>10</v>
      </c>
      <c r="R386" s="235">
        <f t="shared" si="77"/>
        <v>0</v>
      </c>
      <c r="S386" s="236">
        <v>300</v>
      </c>
      <c r="T386" s="56">
        <v>213</v>
      </c>
      <c r="U386" s="56"/>
      <c r="V386" s="56"/>
      <c r="W386" s="56"/>
      <c r="X386" s="56"/>
      <c r="Y386" s="56">
        <v>204</v>
      </c>
      <c r="Z386" s="56">
        <v>405</v>
      </c>
      <c r="AA386" s="56">
        <v>251</v>
      </c>
      <c r="AB386" s="56">
        <v>368</v>
      </c>
      <c r="AC386" s="56"/>
      <c r="AD386" s="56"/>
      <c r="AG386" s="2">
        <v>195</v>
      </c>
      <c r="AH386" s="2">
        <v>270</v>
      </c>
      <c r="AM386" s="102">
        <f t="shared" si="78"/>
        <v>2206</v>
      </c>
      <c r="AN386" s="257">
        <f t="shared" si="79"/>
        <v>2206</v>
      </c>
      <c r="AP386" s="8">
        <f t="shared" si="85"/>
        <v>2206</v>
      </c>
      <c r="AQ386" s="2">
        <f t="shared" si="80"/>
        <v>0</v>
      </c>
      <c r="AR386" s="264"/>
      <c r="AS386" s="264"/>
      <c r="AT386" s="264"/>
      <c r="AU386" s="264"/>
      <c r="AW386" s="8">
        <f t="shared" si="81"/>
        <v>0</v>
      </c>
      <c r="AX386" s="11">
        <f t="shared" si="82"/>
        <v>204</v>
      </c>
      <c r="AY386" s="8">
        <f t="shared" si="83"/>
        <v>251</v>
      </c>
      <c r="AZ386" s="234">
        <f t="shared" si="84"/>
        <v>368</v>
      </c>
      <c r="BE386" s="234"/>
      <c r="BF386" s="234"/>
      <c r="BH386" s="234"/>
      <c r="CG386" s="264"/>
      <c r="CH386" s="264"/>
      <c r="CI386" s="264"/>
      <c r="CJ386" s="264"/>
      <c r="CK386" s="264"/>
      <c r="CS386" s="269"/>
      <c r="DK386" s="271"/>
      <c r="DM386" s="2">
        <v>4</v>
      </c>
      <c r="DO386" s="25"/>
      <c r="DP386" s="249"/>
      <c r="DT386" s="11"/>
      <c r="DU386" s="11"/>
      <c r="DV386" s="11"/>
      <c r="DW386" s="237">
        <v>19</v>
      </c>
    </row>
    <row r="387" spans="1:130">
      <c r="A387" s="102">
        <v>414</v>
      </c>
      <c r="B387" s="56">
        <v>10</v>
      </c>
      <c r="R387" s="235">
        <f t="shared" si="77"/>
        <v>0</v>
      </c>
      <c r="S387" s="236">
        <v>341</v>
      </c>
      <c r="T387" s="56">
        <v>279</v>
      </c>
      <c r="U387" s="56"/>
      <c r="V387" s="56"/>
      <c r="W387" s="56"/>
      <c r="X387" s="56"/>
      <c r="Y387" s="56">
        <v>212</v>
      </c>
      <c r="Z387" s="56">
        <v>415</v>
      </c>
      <c r="AA387" s="56">
        <v>257</v>
      </c>
      <c r="AB387" s="56">
        <v>381</v>
      </c>
      <c r="AC387" s="56"/>
      <c r="AD387" s="56"/>
      <c r="AG387" s="2">
        <v>155</v>
      </c>
      <c r="AH387" s="2">
        <v>206</v>
      </c>
      <c r="AM387" s="102">
        <f t="shared" si="78"/>
        <v>2246</v>
      </c>
      <c r="AN387" s="257">
        <f t="shared" si="79"/>
        <v>2246</v>
      </c>
      <c r="AP387" s="8">
        <f t="shared" si="85"/>
        <v>2246</v>
      </c>
      <c r="AQ387" s="2">
        <f t="shared" si="80"/>
        <v>0</v>
      </c>
      <c r="AR387" s="264"/>
      <c r="AS387" s="264"/>
      <c r="AT387" s="264"/>
      <c r="AU387" s="264"/>
      <c r="AW387" s="8">
        <f t="shared" si="81"/>
        <v>0</v>
      </c>
      <c r="AX387" s="11">
        <f t="shared" si="82"/>
        <v>212</v>
      </c>
      <c r="AY387" s="8">
        <f t="shared" si="83"/>
        <v>257</v>
      </c>
      <c r="AZ387" s="234">
        <f t="shared" si="84"/>
        <v>381</v>
      </c>
      <c r="BE387" s="234"/>
      <c r="BF387" s="234"/>
      <c r="BH387" s="234"/>
      <c r="CG387" s="264"/>
      <c r="CH387" s="264"/>
      <c r="CI387" s="264"/>
      <c r="CJ387" s="264"/>
      <c r="CK387" s="264"/>
      <c r="CS387" s="269"/>
      <c r="DK387" s="271"/>
      <c r="DM387" s="2">
        <v>4</v>
      </c>
      <c r="DO387" s="25"/>
      <c r="DP387" s="249"/>
      <c r="DT387" s="11"/>
      <c r="DU387" s="11"/>
      <c r="DV387" s="11"/>
      <c r="DW387" s="237">
        <v>19</v>
      </c>
    </row>
    <row r="388" spans="1:130">
      <c r="A388" s="102">
        <v>415</v>
      </c>
      <c r="B388" s="56">
        <v>10</v>
      </c>
      <c r="R388" s="235">
        <f t="shared" si="77"/>
        <v>0</v>
      </c>
      <c r="S388" s="236">
        <v>283</v>
      </c>
      <c r="T388" s="56">
        <v>262</v>
      </c>
      <c r="U388" s="56"/>
      <c r="V388" s="56"/>
      <c r="W388" s="56"/>
      <c r="X388" s="56"/>
      <c r="Y388" s="56">
        <v>143</v>
      </c>
      <c r="Z388" s="56">
        <v>403</v>
      </c>
      <c r="AA388" s="56">
        <v>238</v>
      </c>
      <c r="AB388" s="56">
        <v>383</v>
      </c>
      <c r="AC388" s="56"/>
      <c r="AD388" s="56"/>
      <c r="AG388" s="2">
        <v>152</v>
      </c>
      <c r="AH388" s="2">
        <v>196</v>
      </c>
      <c r="AM388" s="102">
        <f t="shared" si="78"/>
        <v>2060</v>
      </c>
      <c r="AN388" s="257">
        <f t="shared" si="79"/>
        <v>2060</v>
      </c>
      <c r="AP388" s="8">
        <f t="shared" si="85"/>
        <v>2060</v>
      </c>
      <c r="AQ388" s="2">
        <f t="shared" si="80"/>
        <v>0</v>
      </c>
      <c r="AR388" s="264"/>
      <c r="AS388" s="264"/>
      <c r="AT388" s="264"/>
      <c r="AU388" s="264"/>
      <c r="AW388" s="8">
        <f t="shared" si="81"/>
        <v>0</v>
      </c>
      <c r="AX388" s="11">
        <f t="shared" si="82"/>
        <v>143</v>
      </c>
      <c r="AY388" s="8">
        <f t="shared" si="83"/>
        <v>238</v>
      </c>
      <c r="AZ388" s="234">
        <f t="shared" si="84"/>
        <v>383</v>
      </c>
      <c r="BE388" s="234"/>
      <c r="BF388" s="234"/>
      <c r="BH388" s="234"/>
      <c r="CG388" s="264"/>
      <c r="CH388" s="264"/>
      <c r="CI388" s="264"/>
      <c r="CJ388" s="264"/>
      <c r="CK388" s="264"/>
      <c r="CS388" s="269"/>
      <c r="DK388" s="271"/>
      <c r="DM388" s="2">
        <v>4</v>
      </c>
      <c r="DO388" s="25"/>
      <c r="DP388" s="249"/>
      <c r="DT388" s="11"/>
      <c r="DU388" s="11"/>
      <c r="DV388" s="11"/>
      <c r="DW388" s="237">
        <v>19</v>
      </c>
    </row>
    <row r="389" spans="1:130">
      <c r="A389" s="102">
        <v>416</v>
      </c>
      <c r="B389" s="56">
        <v>10</v>
      </c>
      <c r="R389" s="235">
        <f t="shared" si="77"/>
        <v>0</v>
      </c>
      <c r="S389" s="236">
        <v>223</v>
      </c>
      <c r="T389" s="56">
        <v>102</v>
      </c>
      <c r="U389" s="56"/>
      <c r="V389" s="56"/>
      <c r="W389" s="56"/>
      <c r="X389" s="56"/>
      <c r="Y389" s="56">
        <v>114</v>
      </c>
      <c r="Z389" s="56">
        <v>183</v>
      </c>
      <c r="AA389" s="56">
        <v>181</v>
      </c>
      <c r="AB389" s="56">
        <v>255</v>
      </c>
      <c r="AC389" s="56"/>
      <c r="AD389" s="56"/>
      <c r="AG389" s="2">
        <v>157</v>
      </c>
      <c r="AH389" s="2">
        <v>104</v>
      </c>
      <c r="AM389" s="102">
        <f t="shared" si="78"/>
        <v>1319</v>
      </c>
      <c r="AN389" s="257">
        <f t="shared" si="79"/>
        <v>1319</v>
      </c>
      <c r="AO389" s="8"/>
      <c r="AP389" s="8">
        <f t="shared" si="85"/>
        <v>1319</v>
      </c>
      <c r="AQ389" s="2">
        <f t="shared" si="80"/>
        <v>0</v>
      </c>
      <c r="AR389" s="264"/>
      <c r="AS389" s="264"/>
      <c r="AT389" s="264"/>
      <c r="AU389" s="264"/>
      <c r="AW389" s="8">
        <f t="shared" si="81"/>
        <v>0</v>
      </c>
      <c r="AX389" s="11">
        <f t="shared" si="82"/>
        <v>114</v>
      </c>
      <c r="AY389" s="8">
        <f t="shared" si="83"/>
        <v>181</v>
      </c>
      <c r="AZ389" s="234">
        <f t="shared" si="84"/>
        <v>255</v>
      </c>
      <c r="BE389" s="234"/>
      <c r="BF389" s="234"/>
      <c r="BH389" s="234"/>
      <c r="CG389" s="264"/>
      <c r="CH389" s="264"/>
      <c r="CI389" s="264"/>
      <c r="CJ389" s="264"/>
      <c r="CK389" s="264"/>
      <c r="CS389" s="269"/>
      <c r="DK389" s="271"/>
      <c r="DM389" s="2">
        <v>4</v>
      </c>
      <c r="DO389" s="25"/>
      <c r="DP389" s="249"/>
      <c r="DT389" s="11"/>
      <c r="DU389" s="11"/>
      <c r="DV389" s="11"/>
      <c r="DW389" s="237">
        <v>8.5</v>
      </c>
    </row>
    <row r="390" spans="1:130">
      <c r="A390" s="102">
        <v>417</v>
      </c>
      <c r="B390" s="56">
        <v>10</v>
      </c>
      <c r="R390" s="235">
        <f t="shared" si="77"/>
        <v>0</v>
      </c>
      <c r="S390" s="236">
        <v>300</v>
      </c>
      <c r="T390" s="56">
        <v>212</v>
      </c>
      <c r="U390" s="56"/>
      <c r="V390" s="56"/>
      <c r="W390" s="56"/>
      <c r="X390" s="56"/>
      <c r="Y390" s="56">
        <v>191</v>
      </c>
      <c r="Z390" s="56">
        <v>400</v>
      </c>
      <c r="AA390" s="56">
        <v>354</v>
      </c>
      <c r="AB390" s="56">
        <v>461</v>
      </c>
      <c r="AC390" s="56"/>
      <c r="AD390" s="56"/>
      <c r="AG390" s="2">
        <v>213</v>
      </c>
      <c r="AH390" s="2">
        <v>260</v>
      </c>
      <c r="AM390" s="102">
        <f t="shared" si="78"/>
        <v>2391</v>
      </c>
      <c r="AN390" s="257">
        <f t="shared" si="79"/>
        <v>2391</v>
      </c>
      <c r="AP390" s="8">
        <f t="shared" si="85"/>
        <v>2391</v>
      </c>
      <c r="AQ390" s="2">
        <f t="shared" si="80"/>
        <v>1</v>
      </c>
      <c r="AR390" s="264"/>
      <c r="AS390" s="264"/>
      <c r="AT390" s="264"/>
      <c r="AU390" s="264"/>
      <c r="AW390" s="8">
        <f t="shared" si="81"/>
        <v>0</v>
      </c>
      <c r="AX390" s="11">
        <f t="shared" si="82"/>
        <v>191</v>
      </c>
      <c r="AY390" s="8">
        <f t="shared" si="83"/>
        <v>354</v>
      </c>
      <c r="AZ390" s="234">
        <f t="shared" si="84"/>
        <v>461</v>
      </c>
      <c r="BE390" s="234"/>
      <c r="BF390" s="234"/>
      <c r="BH390" s="234"/>
      <c r="CG390" s="264"/>
      <c r="CH390" s="264"/>
      <c r="CI390" s="264"/>
      <c r="CJ390" s="264"/>
      <c r="CK390" s="264"/>
      <c r="CS390" s="269"/>
      <c r="DK390" s="271"/>
      <c r="DM390" s="2">
        <v>4</v>
      </c>
      <c r="DO390" s="25"/>
      <c r="DP390" s="249"/>
      <c r="DT390" s="11"/>
      <c r="DU390" s="11"/>
      <c r="DV390" s="11"/>
      <c r="DW390" s="237">
        <v>12</v>
      </c>
    </row>
    <row r="391" spans="1:130">
      <c r="A391" s="102">
        <v>418</v>
      </c>
      <c r="B391" s="56">
        <v>10</v>
      </c>
      <c r="R391" s="235">
        <f t="shared" si="77"/>
        <v>0</v>
      </c>
      <c r="S391" s="236">
        <v>315</v>
      </c>
      <c r="T391" s="56">
        <v>186</v>
      </c>
      <c r="U391" s="56"/>
      <c r="V391" s="56"/>
      <c r="W391" s="56"/>
      <c r="X391" s="56"/>
      <c r="Y391" s="56">
        <v>173</v>
      </c>
      <c r="Z391" s="56">
        <v>391</v>
      </c>
      <c r="AA391" s="56">
        <v>253</v>
      </c>
      <c r="AB391" s="56">
        <v>337</v>
      </c>
      <c r="AC391" s="56"/>
      <c r="AD391" s="56"/>
      <c r="AG391" s="2">
        <v>160</v>
      </c>
      <c r="AH391" s="2">
        <v>261</v>
      </c>
      <c r="AM391" s="102">
        <f t="shared" si="78"/>
        <v>2076</v>
      </c>
      <c r="AN391" s="257">
        <f t="shared" si="79"/>
        <v>2076</v>
      </c>
      <c r="AP391" s="8">
        <f t="shared" si="85"/>
        <v>2076</v>
      </c>
      <c r="AQ391" s="2">
        <f t="shared" si="80"/>
        <v>0</v>
      </c>
      <c r="AR391" s="264"/>
      <c r="AS391" s="264"/>
      <c r="AT391" s="264"/>
      <c r="AU391" s="264"/>
      <c r="AW391" s="8">
        <f t="shared" si="81"/>
        <v>0</v>
      </c>
      <c r="AX391" s="11">
        <f t="shared" si="82"/>
        <v>173</v>
      </c>
      <c r="AY391" s="8">
        <f t="shared" si="83"/>
        <v>253</v>
      </c>
      <c r="AZ391" s="234">
        <f t="shared" si="84"/>
        <v>337</v>
      </c>
      <c r="BE391" s="234"/>
      <c r="BF391" s="234"/>
      <c r="BH391" s="234"/>
      <c r="CG391" s="264"/>
      <c r="CH391" s="264"/>
      <c r="CI391" s="264"/>
      <c r="CJ391" s="264"/>
      <c r="CK391" s="264"/>
      <c r="CS391" s="269"/>
      <c r="DK391" s="271"/>
      <c r="DM391" s="2">
        <v>4</v>
      </c>
      <c r="DO391" s="25"/>
      <c r="DP391" s="249"/>
      <c r="DT391" s="11"/>
      <c r="DU391" s="11"/>
      <c r="DV391" s="11"/>
      <c r="DW391" s="237">
        <v>6</v>
      </c>
    </row>
    <row r="392" spans="1:130">
      <c r="A392" s="102">
        <v>419</v>
      </c>
      <c r="B392" s="56">
        <v>10</v>
      </c>
      <c r="R392" s="235">
        <f t="shared" si="77"/>
        <v>0</v>
      </c>
      <c r="S392" s="236">
        <v>352</v>
      </c>
      <c r="T392" s="56">
        <v>158</v>
      </c>
      <c r="U392" s="56"/>
      <c r="V392" s="28"/>
      <c r="W392" s="56"/>
      <c r="X392" s="56"/>
      <c r="Y392" s="56">
        <v>184</v>
      </c>
      <c r="Z392" s="56">
        <v>316</v>
      </c>
      <c r="AA392" s="56">
        <v>246</v>
      </c>
      <c r="AB392" s="56">
        <v>371</v>
      </c>
      <c r="AC392" s="56"/>
      <c r="AD392" s="56"/>
      <c r="AG392" s="2">
        <v>159</v>
      </c>
      <c r="AH392" s="2">
        <v>196</v>
      </c>
      <c r="AM392" s="102">
        <f t="shared" ref="AM392:AM400" si="86">SUM(S392:AL392)</f>
        <v>1982</v>
      </c>
      <c r="AN392" s="257">
        <f t="shared" ref="AN392:AN399" si="87">R392+AM392</f>
        <v>1982</v>
      </c>
      <c r="AP392" s="8">
        <f t="shared" si="85"/>
        <v>1982</v>
      </c>
      <c r="AQ392" s="2">
        <f t="shared" si="80"/>
        <v>0</v>
      </c>
      <c r="AR392" s="264"/>
      <c r="AS392" s="264"/>
      <c r="AT392" s="264"/>
      <c r="AU392" s="264"/>
      <c r="AW392" s="8">
        <f t="shared" si="81"/>
        <v>0</v>
      </c>
      <c r="AX392" s="11">
        <f t="shared" si="82"/>
        <v>184</v>
      </c>
      <c r="AY392" s="8">
        <f t="shared" si="83"/>
        <v>246</v>
      </c>
      <c r="AZ392" s="234">
        <f t="shared" si="84"/>
        <v>371</v>
      </c>
      <c r="BE392" s="234"/>
      <c r="BF392" s="234"/>
      <c r="BH392" s="234"/>
      <c r="CG392" s="264"/>
      <c r="CH392" s="264"/>
      <c r="CI392" s="264"/>
      <c r="CJ392" s="264"/>
      <c r="CK392" s="264"/>
      <c r="CS392" s="269"/>
      <c r="DK392" s="271"/>
      <c r="DM392" s="2">
        <v>4</v>
      </c>
      <c r="DO392" s="25"/>
      <c r="DP392" s="249"/>
      <c r="DT392" s="11"/>
      <c r="DU392" s="11"/>
      <c r="DV392" s="11"/>
      <c r="DW392" s="237">
        <v>6</v>
      </c>
      <c r="DZ392" s="102"/>
    </row>
    <row r="393" spans="1:130">
      <c r="A393" s="102">
        <v>420</v>
      </c>
      <c r="B393" s="56">
        <v>10</v>
      </c>
      <c r="S393" s="236">
        <v>211</v>
      </c>
      <c r="T393" s="56">
        <v>340</v>
      </c>
      <c r="U393" s="56"/>
      <c r="V393" s="28"/>
      <c r="W393" s="56"/>
      <c r="X393" s="56"/>
      <c r="Y393" s="56">
        <v>279</v>
      </c>
      <c r="Z393" s="56">
        <v>362</v>
      </c>
      <c r="AA393" s="56">
        <v>280</v>
      </c>
      <c r="AB393" s="56">
        <v>312</v>
      </c>
      <c r="AC393" s="56"/>
      <c r="AD393" s="56"/>
      <c r="AG393" s="2">
        <v>231</v>
      </c>
      <c r="AH393" s="2">
        <v>68</v>
      </c>
      <c r="AM393" s="102">
        <f t="shared" si="86"/>
        <v>2083</v>
      </c>
      <c r="AN393" s="257">
        <f t="shared" si="87"/>
        <v>2083</v>
      </c>
      <c r="AP393" s="8">
        <f t="shared" si="85"/>
        <v>2083</v>
      </c>
      <c r="AQ393" s="2">
        <f t="shared" ref="AQ393:AQ400" si="88">IF(AN393&gt;=$BA$4,1,0)</f>
        <v>0</v>
      </c>
      <c r="AR393" s="264"/>
      <c r="AS393" s="264"/>
      <c r="AT393" s="264"/>
      <c r="AU393" s="264"/>
      <c r="AW393" s="8">
        <f t="shared" si="81"/>
        <v>0</v>
      </c>
      <c r="AX393" s="11">
        <f t="shared" si="82"/>
        <v>279</v>
      </c>
      <c r="AY393" s="8">
        <f t="shared" si="83"/>
        <v>280</v>
      </c>
      <c r="AZ393" s="234">
        <f t="shared" si="84"/>
        <v>312</v>
      </c>
      <c r="BE393" s="234"/>
      <c r="BF393" s="234"/>
      <c r="BH393" s="234"/>
      <c r="CG393" s="264"/>
      <c r="CH393" s="264"/>
      <c r="CI393" s="264"/>
      <c r="CJ393" s="264"/>
      <c r="CK393" s="264"/>
      <c r="CS393" s="269"/>
      <c r="DK393" s="271"/>
      <c r="DM393" s="2">
        <v>4</v>
      </c>
      <c r="DO393" s="25"/>
      <c r="DP393" s="249"/>
      <c r="DT393" s="11"/>
      <c r="DU393" s="11"/>
      <c r="DV393" s="11"/>
      <c r="DW393" s="237">
        <v>12</v>
      </c>
      <c r="DZ393" s="102"/>
    </row>
    <row r="394" spans="1:130">
      <c r="A394" s="102">
        <v>421</v>
      </c>
      <c r="B394" s="56">
        <v>10</v>
      </c>
      <c r="S394" s="236">
        <v>229</v>
      </c>
      <c r="T394" s="56">
        <v>298</v>
      </c>
      <c r="U394" s="56"/>
      <c r="V394" s="28"/>
      <c r="W394" s="56"/>
      <c r="X394" s="56"/>
      <c r="Y394" s="56">
        <v>295</v>
      </c>
      <c r="Z394" s="56">
        <v>365</v>
      </c>
      <c r="AA394" s="56">
        <v>272</v>
      </c>
      <c r="AB394" s="56">
        <v>252</v>
      </c>
      <c r="AC394" s="56"/>
      <c r="AD394" s="56"/>
      <c r="AG394" s="2">
        <v>227</v>
      </c>
      <c r="AH394" s="2">
        <v>64</v>
      </c>
      <c r="AM394" s="102">
        <f t="shared" si="86"/>
        <v>2002</v>
      </c>
      <c r="AN394" s="257">
        <f t="shared" si="87"/>
        <v>2002</v>
      </c>
      <c r="AP394" s="8">
        <f t="shared" si="85"/>
        <v>2002</v>
      </c>
      <c r="AQ394" s="2">
        <f t="shared" si="88"/>
        <v>0</v>
      </c>
      <c r="AR394" s="264"/>
      <c r="AS394" s="264"/>
      <c r="AT394" s="264"/>
      <c r="AU394" s="264"/>
      <c r="AW394" s="8">
        <f t="shared" si="81"/>
        <v>0</v>
      </c>
      <c r="AX394" s="11">
        <f t="shared" si="82"/>
        <v>295</v>
      </c>
      <c r="AY394" s="8">
        <f t="shared" si="83"/>
        <v>272</v>
      </c>
      <c r="AZ394" s="234">
        <f t="shared" si="84"/>
        <v>252</v>
      </c>
      <c r="BE394" s="234"/>
      <c r="BF394" s="234"/>
      <c r="BH394" s="234"/>
      <c r="CG394" s="264"/>
      <c r="CH394" s="264"/>
      <c r="CI394" s="264"/>
      <c r="CJ394" s="264"/>
      <c r="CK394" s="264"/>
      <c r="CS394" s="269"/>
      <c r="DK394" s="271"/>
      <c r="DM394" s="2">
        <v>4</v>
      </c>
      <c r="DO394" s="25"/>
      <c r="DP394" s="249"/>
      <c r="DT394" s="11"/>
      <c r="DU394" s="11"/>
      <c r="DV394" s="11"/>
      <c r="DW394" s="237">
        <v>12</v>
      </c>
      <c r="DZ394" s="102"/>
    </row>
    <row r="395" spans="1:130">
      <c r="A395" s="102">
        <v>422</v>
      </c>
      <c r="B395" s="56">
        <v>10</v>
      </c>
      <c r="S395" s="236">
        <v>195</v>
      </c>
      <c r="T395" s="56">
        <v>319</v>
      </c>
      <c r="U395" s="56"/>
      <c r="V395" s="28"/>
      <c r="W395" s="56"/>
      <c r="X395" s="56"/>
      <c r="Y395" s="56">
        <v>272</v>
      </c>
      <c r="Z395" s="56">
        <v>191</v>
      </c>
      <c r="AA395" s="56">
        <v>283</v>
      </c>
      <c r="AB395" s="56">
        <v>264</v>
      </c>
      <c r="AC395" s="56"/>
      <c r="AD395" s="56"/>
      <c r="AG395" s="2">
        <v>98</v>
      </c>
      <c r="AH395" s="2">
        <v>0</v>
      </c>
      <c r="AM395" s="102">
        <f t="shared" si="86"/>
        <v>1622</v>
      </c>
      <c r="AN395" s="257">
        <f t="shared" si="87"/>
        <v>1622</v>
      </c>
      <c r="AP395" s="8">
        <f t="shared" si="85"/>
        <v>1622</v>
      </c>
      <c r="AQ395" s="2">
        <f t="shared" si="88"/>
        <v>0</v>
      </c>
      <c r="AR395" s="264"/>
      <c r="AS395" s="264"/>
      <c r="AT395" s="264"/>
      <c r="AU395" s="264"/>
      <c r="AW395" s="8">
        <f t="shared" si="81"/>
        <v>0</v>
      </c>
      <c r="AX395" s="11">
        <f t="shared" si="82"/>
        <v>272</v>
      </c>
      <c r="AY395" s="8">
        <f t="shared" si="83"/>
        <v>283</v>
      </c>
      <c r="AZ395" s="234">
        <f t="shared" si="84"/>
        <v>264</v>
      </c>
      <c r="BE395" s="234"/>
      <c r="BF395" s="234"/>
      <c r="BH395" s="234"/>
      <c r="CG395" s="264"/>
      <c r="CH395" s="264"/>
      <c r="CI395" s="264"/>
      <c r="CJ395" s="264"/>
      <c r="CK395" s="264"/>
      <c r="CS395" s="269"/>
      <c r="DK395" s="271"/>
      <c r="DM395" s="2">
        <v>4</v>
      </c>
      <c r="DO395" s="25"/>
      <c r="DP395" s="249"/>
      <c r="DT395" s="11"/>
      <c r="DU395" s="11"/>
      <c r="DV395" s="11"/>
      <c r="DW395" s="237">
        <v>6</v>
      </c>
      <c r="DZ395" s="102"/>
    </row>
    <row r="396" spans="1:130">
      <c r="A396" s="102">
        <v>423</v>
      </c>
      <c r="B396" s="56">
        <v>10</v>
      </c>
      <c r="S396" s="236">
        <v>196</v>
      </c>
      <c r="T396" s="56">
        <v>305</v>
      </c>
      <c r="U396" s="56"/>
      <c r="V396" s="28"/>
      <c r="W396" s="56"/>
      <c r="X396" s="56"/>
      <c r="Y396" s="56">
        <v>262</v>
      </c>
      <c r="Z396" s="56">
        <v>152</v>
      </c>
      <c r="AA396" s="56">
        <v>291</v>
      </c>
      <c r="AB396" s="56">
        <v>234</v>
      </c>
      <c r="AC396" s="56"/>
      <c r="AD396" s="56"/>
      <c r="AG396" s="2">
        <v>94</v>
      </c>
      <c r="AH396" s="2">
        <v>0</v>
      </c>
      <c r="AM396" s="102">
        <f t="shared" si="86"/>
        <v>1534</v>
      </c>
      <c r="AN396" s="257">
        <f t="shared" si="87"/>
        <v>1534</v>
      </c>
      <c r="AP396" s="8">
        <f t="shared" si="85"/>
        <v>1534</v>
      </c>
      <c r="AQ396" s="2">
        <f t="shared" si="88"/>
        <v>0</v>
      </c>
      <c r="AR396" s="264"/>
      <c r="AS396" s="264"/>
      <c r="AT396" s="264"/>
      <c r="AU396" s="264"/>
      <c r="AW396" s="8">
        <f t="shared" si="81"/>
        <v>0</v>
      </c>
      <c r="AX396" s="11">
        <f t="shared" si="82"/>
        <v>262</v>
      </c>
      <c r="AY396" s="8">
        <f t="shared" si="83"/>
        <v>291</v>
      </c>
      <c r="AZ396" s="234">
        <f t="shared" si="84"/>
        <v>234</v>
      </c>
      <c r="BE396" s="234"/>
      <c r="BF396" s="234"/>
      <c r="BH396" s="234"/>
      <c r="CG396" s="264"/>
      <c r="CH396" s="264"/>
      <c r="CI396" s="264"/>
      <c r="CJ396" s="264"/>
      <c r="CK396" s="264"/>
      <c r="CS396" s="269"/>
      <c r="DK396" s="271"/>
      <c r="DM396" s="2">
        <v>4</v>
      </c>
      <c r="DO396" s="25"/>
      <c r="DP396" s="249"/>
      <c r="DT396" s="11"/>
      <c r="DU396" s="11"/>
      <c r="DV396" s="11"/>
      <c r="DW396" s="237">
        <v>6</v>
      </c>
      <c r="DZ396" s="102"/>
    </row>
    <row r="397" spans="1:130">
      <c r="A397" s="102">
        <v>424</v>
      </c>
      <c r="B397" s="56">
        <v>10</v>
      </c>
      <c r="S397" s="236">
        <v>179</v>
      </c>
      <c r="T397" s="56">
        <v>174</v>
      </c>
      <c r="U397" s="56"/>
      <c r="V397" s="28"/>
      <c r="W397" s="56"/>
      <c r="X397" s="56"/>
      <c r="Y397" s="56">
        <v>239</v>
      </c>
      <c r="Z397" s="56">
        <v>269</v>
      </c>
      <c r="AA397" s="56">
        <v>289</v>
      </c>
      <c r="AB397" s="56">
        <v>254</v>
      </c>
      <c r="AC397" s="56"/>
      <c r="AD397" s="56"/>
      <c r="AG397" s="2">
        <v>174</v>
      </c>
      <c r="AH397" s="2">
        <v>83</v>
      </c>
      <c r="AM397" s="102">
        <f t="shared" si="86"/>
        <v>1661</v>
      </c>
      <c r="AN397" s="257">
        <f t="shared" si="87"/>
        <v>1661</v>
      </c>
      <c r="AP397" s="8">
        <f t="shared" si="85"/>
        <v>1661</v>
      </c>
      <c r="AQ397" s="2">
        <f t="shared" si="88"/>
        <v>0</v>
      </c>
      <c r="AR397" s="264"/>
      <c r="AS397" s="264"/>
      <c r="AT397" s="264"/>
      <c r="AU397" s="264"/>
      <c r="AW397" s="8">
        <f t="shared" si="81"/>
        <v>0</v>
      </c>
      <c r="AX397" s="11">
        <f t="shared" si="82"/>
        <v>239</v>
      </c>
      <c r="AY397" s="8">
        <f t="shared" si="83"/>
        <v>289</v>
      </c>
      <c r="AZ397" s="234">
        <f t="shared" si="84"/>
        <v>254</v>
      </c>
      <c r="BE397" s="234"/>
      <c r="BF397" s="234"/>
      <c r="BH397" s="234"/>
      <c r="CG397" s="264"/>
      <c r="CH397" s="264"/>
      <c r="CI397" s="264"/>
      <c r="CJ397" s="264"/>
      <c r="CK397" s="264"/>
      <c r="CS397" s="269"/>
      <c r="DK397" s="271"/>
      <c r="DM397" s="2">
        <v>4</v>
      </c>
      <c r="DO397" s="25"/>
      <c r="DP397" s="249"/>
      <c r="DT397" s="11"/>
      <c r="DU397" s="11"/>
      <c r="DV397" s="11"/>
      <c r="DW397" s="237">
        <v>9</v>
      </c>
      <c r="DZ397" s="102"/>
    </row>
    <row r="398" spans="1:130">
      <c r="A398" s="102">
        <v>425</v>
      </c>
      <c r="B398" s="56">
        <v>10</v>
      </c>
      <c r="S398" s="236">
        <v>222</v>
      </c>
      <c r="T398" s="56">
        <v>235</v>
      </c>
      <c r="U398" s="56"/>
      <c r="V398" s="28"/>
      <c r="W398" s="56"/>
      <c r="X398" s="56"/>
      <c r="Y398" s="56">
        <v>383</v>
      </c>
      <c r="Z398" s="56">
        <v>419</v>
      </c>
      <c r="AA398" s="56">
        <v>315</v>
      </c>
      <c r="AB398" s="56">
        <v>291</v>
      </c>
      <c r="AC398" s="56"/>
      <c r="AD398" s="56"/>
      <c r="AG398" s="2">
        <v>95</v>
      </c>
      <c r="AH398" s="2">
        <v>87</v>
      </c>
      <c r="AM398" s="102">
        <f t="shared" si="86"/>
        <v>2047</v>
      </c>
      <c r="AN398" s="257">
        <f t="shared" si="87"/>
        <v>2047</v>
      </c>
      <c r="AP398" s="8">
        <f t="shared" si="85"/>
        <v>2047</v>
      </c>
      <c r="AQ398" s="2">
        <f t="shared" si="88"/>
        <v>0</v>
      </c>
      <c r="AR398" s="264"/>
      <c r="AS398" s="264"/>
      <c r="AT398" s="264"/>
      <c r="AU398" s="264"/>
      <c r="AW398" s="8">
        <f t="shared" si="81"/>
        <v>0</v>
      </c>
      <c r="AX398" s="11">
        <f t="shared" si="82"/>
        <v>383</v>
      </c>
      <c r="AY398" s="8">
        <f t="shared" si="83"/>
        <v>315</v>
      </c>
      <c r="AZ398" s="234">
        <f t="shared" si="84"/>
        <v>291</v>
      </c>
      <c r="BE398" s="234"/>
      <c r="BF398" s="234"/>
      <c r="BH398" s="234"/>
      <c r="CG398" s="264"/>
      <c r="CH398" s="264"/>
      <c r="CI398" s="264"/>
      <c r="CJ398" s="264"/>
      <c r="CK398" s="264"/>
      <c r="CS398" s="269"/>
      <c r="DK398" s="271"/>
      <c r="DM398" s="2">
        <v>4</v>
      </c>
      <c r="DO398" s="25"/>
      <c r="DP398" s="249"/>
      <c r="DT398" s="11"/>
      <c r="DU398" s="11"/>
      <c r="DV398" s="11"/>
      <c r="DW398" s="237">
        <v>8</v>
      </c>
      <c r="DZ398" s="102"/>
    </row>
    <row r="399" spans="1:130">
      <c r="A399" s="102">
        <v>426</v>
      </c>
      <c r="B399" s="56">
        <v>10</v>
      </c>
      <c r="S399" s="236">
        <v>175</v>
      </c>
      <c r="T399" s="56">
        <v>333</v>
      </c>
      <c r="U399" s="56"/>
      <c r="V399" s="28"/>
      <c r="W399" s="56"/>
      <c r="X399" s="56"/>
      <c r="Y399" s="56">
        <v>219</v>
      </c>
      <c r="Z399" s="56">
        <v>454</v>
      </c>
      <c r="AA399" s="56">
        <v>351</v>
      </c>
      <c r="AB399" s="56">
        <v>259</v>
      </c>
      <c r="AC399" s="56"/>
      <c r="AD399" s="56"/>
      <c r="AG399" s="2">
        <v>173</v>
      </c>
      <c r="AH399" s="2">
        <v>125</v>
      </c>
      <c r="AM399" s="102">
        <f t="shared" si="86"/>
        <v>2089</v>
      </c>
      <c r="AN399" s="257">
        <f t="shared" si="87"/>
        <v>2089</v>
      </c>
      <c r="AP399" s="8">
        <f t="shared" si="85"/>
        <v>2089</v>
      </c>
      <c r="AQ399" s="2">
        <f t="shared" si="88"/>
        <v>0</v>
      </c>
      <c r="AR399" s="264"/>
      <c r="AS399" s="264"/>
      <c r="AT399" s="264"/>
      <c r="AU399" s="264"/>
      <c r="AW399" s="8">
        <f t="shared" si="81"/>
        <v>0</v>
      </c>
      <c r="AX399" s="11">
        <f t="shared" si="82"/>
        <v>219</v>
      </c>
      <c r="AY399" s="8">
        <f t="shared" si="83"/>
        <v>351</v>
      </c>
      <c r="AZ399" s="234">
        <f t="shared" si="84"/>
        <v>259</v>
      </c>
      <c r="BE399" s="234"/>
      <c r="BF399" s="234"/>
      <c r="BH399" s="234"/>
      <c r="CG399" s="264"/>
      <c r="CH399" s="264"/>
      <c r="CI399" s="264"/>
      <c r="CJ399" s="264"/>
      <c r="CK399" s="264"/>
      <c r="CS399" s="269"/>
      <c r="DK399" s="271"/>
      <c r="DM399" s="2">
        <v>4</v>
      </c>
      <c r="DO399" s="25"/>
      <c r="DP399" s="249"/>
      <c r="DT399" s="11"/>
      <c r="DU399" s="11"/>
      <c r="DV399" s="11"/>
      <c r="DW399" s="237">
        <v>17</v>
      </c>
      <c r="DZ399" s="102"/>
    </row>
    <row r="400" spans="1:130">
      <c r="A400" s="102">
        <v>427</v>
      </c>
      <c r="B400" s="56">
        <v>10</v>
      </c>
      <c r="S400" s="236">
        <v>265</v>
      </c>
      <c r="T400" s="56">
        <v>261</v>
      </c>
      <c r="U400" s="56"/>
      <c r="V400" s="28"/>
      <c r="W400" s="56"/>
      <c r="X400" s="56"/>
      <c r="Y400" s="56">
        <v>192</v>
      </c>
      <c r="Z400" s="56">
        <v>427</v>
      </c>
      <c r="AA400" s="56">
        <v>351</v>
      </c>
      <c r="AB400" s="56">
        <v>363</v>
      </c>
      <c r="AC400" s="56"/>
      <c r="AD400" s="56"/>
      <c r="AG400" s="2">
        <v>121</v>
      </c>
      <c r="AH400" s="2">
        <v>211</v>
      </c>
      <c r="AM400" s="102">
        <f t="shared" si="86"/>
        <v>2191</v>
      </c>
      <c r="AN400" s="257">
        <f>R400+AM400</f>
        <v>2191</v>
      </c>
      <c r="AP400" s="8">
        <f t="shared" si="85"/>
        <v>2191</v>
      </c>
      <c r="AQ400" s="2">
        <f t="shared" si="88"/>
        <v>0</v>
      </c>
      <c r="AR400" s="264"/>
      <c r="AS400" s="264"/>
      <c r="AT400" s="264"/>
      <c r="AU400" s="264"/>
      <c r="AW400" s="8">
        <f t="shared" si="81"/>
        <v>0</v>
      </c>
      <c r="AX400" s="11">
        <f t="shared" si="82"/>
        <v>192</v>
      </c>
      <c r="AY400" s="8">
        <f t="shared" si="83"/>
        <v>351</v>
      </c>
      <c r="AZ400" s="234">
        <f t="shared" si="84"/>
        <v>363</v>
      </c>
      <c r="BE400" s="234"/>
      <c r="BF400" s="234"/>
      <c r="BH400" s="234"/>
      <c r="CG400" s="264"/>
      <c r="CH400" s="264"/>
      <c r="CI400" s="264"/>
      <c r="CJ400" s="264"/>
      <c r="CK400" s="264"/>
      <c r="CS400" s="269"/>
      <c r="DK400" s="271"/>
      <c r="DM400" s="2">
        <v>4</v>
      </c>
      <c r="DO400" s="25"/>
      <c r="DP400" s="249"/>
      <c r="DT400" s="11"/>
      <c r="DU400" s="11"/>
      <c r="DV400" s="11"/>
      <c r="DW400" s="237">
        <v>10</v>
      </c>
      <c r="DZ400" s="102"/>
    </row>
    <row r="401" spans="1:130">
      <c r="T401" s="56"/>
      <c r="U401" s="56"/>
      <c r="V401" s="28" t="s">
        <v>71</v>
      </c>
      <c r="W401" s="56" t="s">
        <v>72</v>
      </c>
      <c r="X401" s="56" t="s">
        <v>3</v>
      </c>
      <c r="Y401" s="56" t="s">
        <v>70</v>
      </c>
      <c r="Z401" s="56"/>
      <c r="AA401" s="56"/>
      <c r="AC401" s="56"/>
      <c r="AD401" s="56" t="s">
        <v>3</v>
      </c>
      <c r="AE401" s="28" t="s">
        <v>70</v>
      </c>
      <c r="AF401" s="2" t="s">
        <v>71</v>
      </c>
      <c r="AG401" s="2" t="s">
        <v>72</v>
      </c>
      <c r="AM401" s="257"/>
      <c r="AN401" s="257"/>
      <c r="AP401" s="8"/>
      <c r="AR401" s="264"/>
      <c r="AS401" s="264"/>
      <c r="AT401" s="264"/>
      <c r="AU401" s="264"/>
      <c r="AY401" s="8"/>
      <c r="BE401" s="234"/>
      <c r="BF401" s="234"/>
      <c r="BH401" s="234"/>
      <c r="CG401" s="264"/>
      <c r="CH401" s="264"/>
      <c r="CI401" s="264"/>
      <c r="CJ401" s="264"/>
      <c r="CK401" s="264"/>
      <c r="CS401" s="269"/>
      <c r="DK401" s="271"/>
      <c r="DM401" s="25"/>
      <c r="DO401" s="25"/>
      <c r="DP401" s="249"/>
      <c r="DT401" s="11"/>
      <c r="DU401" s="11"/>
      <c r="DV401" s="11"/>
      <c r="DY401" s="102">
        <f>SUM(DY359:DY400)</f>
        <v>0</v>
      </c>
      <c r="DZ401" s="102">
        <f>SUM(DZ359:DZ400)</f>
        <v>0</v>
      </c>
    </row>
    <row r="402" spans="1:130" s="233" customFormat="1" ht="22.2" customHeight="1">
      <c r="A402" s="990" t="s">
        <v>1696</v>
      </c>
      <c r="B402" s="990"/>
      <c r="C402" s="233">
        <f>SUM(C403:C486)</f>
        <v>0</v>
      </c>
      <c r="D402" s="233">
        <f>SUM(D403:D486)</f>
        <v>0</v>
      </c>
      <c r="E402" s="233">
        <f>SUM(E403:E486)</f>
        <v>0</v>
      </c>
      <c r="R402" s="294">
        <f>SUM(C402:Q402)</f>
        <v>0</v>
      </c>
      <c r="S402" s="233">
        <f>SUM(S403:S498)</f>
        <v>0</v>
      </c>
      <c r="T402" s="233">
        <f t="shared" ref="T402:CE402" si="89">SUM(T403:T498)</f>
        <v>0</v>
      </c>
      <c r="U402" s="233">
        <f t="shared" si="89"/>
        <v>0</v>
      </c>
      <c r="V402" s="233">
        <f t="shared" si="89"/>
        <v>13054</v>
      </c>
      <c r="W402" s="233">
        <f t="shared" si="89"/>
        <v>19034</v>
      </c>
      <c r="X402" s="233">
        <f t="shared" si="89"/>
        <v>25582</v>
      </c>
      <c r="Y402" s="233">
        <f t="shared" si="89"/>
        <v>26012</v>
      </c>
      <c r="Z402" s="233">
        <f t="shared" si="89"/>
        <v>0</v>
      </c>
      <c r="AA402" s="233">
        <f t="shared" si="89"/>
        <v>0</v>
      </c>
      <c r="AB402" s="233">
        <f t="shared" si="89"/>
        <v>0</v>
      </c>
      <c r="AC402" s="233">
        <f t="shared" si="89"/>
        <v>0</v>
      </c>
      <c r="AD402" s="233">
        <f t="shared" si="89"/>
        <v>11559</v>
      </c>
      <c r="AE402" s="233">
        <f t="shared" si="89"/>
        <v>14729</v>
      </c>
      <c r="AF402" s="233">
        <f t="shared" si="89"/>
        <v>16713</v>
      </c>
      <c r="AG402" s="233">
        <f t="shared" si="89"/>
        <v>19426</v>
      </c>
      <c r="AH402" s="233">
        <f t="shared" si="89"/>
        <v>0</v>
      </c>
      <c r="AI402" s="233">
        <f t="shared" si="89"/>
        <v>0</v>
      </c>
      <c r="AJ402" s="233">
        <f t="shared" si="89"/>
        <v>0</v>
      </c>
      <c r="AK402" s="233">
        <f t="shared" si="89"/>
        <v>0</v>
      </c>
      <c r="AL402" s="233">
        <f t="shared" si="89"/>
        <v>0</v>
      </c>
      <c r="AM402" s="233">
        <f t="shared" si="89"/>
        <v>146109</v>
      </c>
      <c r="AN402" s="233">
        <f t="shared" si="89"/>
        <v>146109</v>
      </c>
      <c r="AO402" s="233">
        <f t="shared" si="89"/>
        <v>76621</v>
      </c>
      <c r="AP402" s="233">
        <f t="shared" si="89"/>
        <v>69488</v>
      </c>
      <c r="AQ402" s="233">
        <f t="shared" si="89"/>
        <v>0</v>
      </c>
      <c r="AR402" s="233">
        <f t="shared" si="89"/>
        <v>0</v>
      </c>
      <c r="AS402" s="233">
        <f t="shared" si="89"/>
        <v>0</v>
      </c>
      <c r="AT402" s="233">
        <f t="shared" si="89"/>
        <v>0</v>
      </c>
      <c r="AU402" s="233">
        <f t="shared" si="89"/>
        <v>0</v>
      </c>
      <c r="AV402" s="233">
        <f t="shared" si="89"/>
        <v>0</v>
      </c>
      <c r="AW402" s="233">
        <f t="shared" si="89"/>
        <v>25582</v>
      </c>
      <c r="AX402" s="233">
        <f t="shared" si="89"/>
        <v>26012</v>
      </c>
      <c r="AY402" s="233">
        <f t="shared" si="89"/>
        <v>0</v>
      </c>
      <c r="AZ402" s="233">
        <f t="shared" si="89"/>
        <v>0</v>
      </c>
      <c r="BA402" s="233">
        <f t="shared" si="89"/>
        <v>0</v>
      </c>
      <c r="BB402" s="233">
        <f t="shared" si="89"/>
        <v>0</v>
      </c>
      <c r="BC402" s="233">
        <f t="shared" si="89"/>
        <v>0</v>
      </c>
      <c r="BD402" s="233">
        <f t="shared" si="89"/>
        <v>0</v>
      </c>
      <c r="BE402" s="233">
        <f t="shared" si="89"/>
        <v>0</v>
      </c>
      <c r="BF402" s="233">
        <f t="shared" si="89"/>
        <v>0</v>
      </c>
      <c r="BG402" s="233">
        <f t="shared" si="89"/>
        <v>0</v>
      </c>
      <c r="BH402" s="233">
        <f t="shared" si="89"/>
        <v>0</v>
      </c>
      <c r="BI402" s="233">
        <f t="shared" si="89"/>
        <v>0</v>
      </c>
      <c r="BJ402" s="233">
        <f t="shared" si="89"/>
        <v>0</v>
      </c>
      <c r="BK402" s="233">
        <f t="shared" si="89"/>
        <v>0</v>
      </c>
      <c r="BL402" s="233">
        <f t="shared" si="89"/>
        <v>0</v>
      </c>
      <c r="BM402" s="233">
        <f t="shared" si="89"/>
        <v>0</v>
      </c>
      <c r="BN402" s="233">
        <f t="shared" si="89"/>
        <v>0</v>
      </c>
      <c r="BO402" s="233">
        <f t="shared" si="89"/>
        <v>0</v>
      </c>
      <c r="BP402" s="233">
        <f t="shared" si="89"/>
        <v>0</v>
      </c>
      <c r="BQ402" s="233">
        <f t="shared" si="89"/>
        <v>0</v>
      </c>
      <c r="BR402" s="233">
        <f t="shared" si="89"/>
        <v>0</v>
      </c>
      <c r="BS402" s="233">
        <f t="shared" si="89"/>
        <v>0</v>
      </c>
      <c r="BT402" s="233">
        <f t="shared" si="89"/>
        <v>0</v>
      </c>
      <c r="BU402" s="233">
        <f t="shared" si="89"/>
        <v>0</v>
      </c>
      <c r="BV402" s="233">
        <f t="shared" si="89"/>
        <v>0</v>
      </c>
      <c r="BW402" s="233">
        <f t="shared" si="89"/>
        <v>0</v>
      </c>
      <c r="BX402" s="233">
        <f t="shared" si="89"/>
        <v>0</v>
      </c>
      <c r="BY402" s="233">
        <f t="shared" si="89"/>
        <v>0</v>
      </c>
      <c r="BZ402" s="233">
        <f t="shared" si="89"/>
        <v>0</v>
      </c>
      <c r="CA402" s="233">
        <f t="shared" si="89"/>
        <v>0</v>
      </c>
      <c r="CB402" s="233">
        <f t="shared" si="89"/>
        <v>0</v>
      </c>
      <c r="CC402" s="233">
        <f t="shared" si="89"/>
        <v>0</v>
      </c>
      <c r="CD402" s="233">
        <f t="shared" si="89"/>
        <v>0</v>
      </c>
      <c r="CE402" s="233">
        <f t="shared" si="89"/>
        <v>0</v>
      </c>
      <c r="CF402" s="233">
        <f t="shared" ref="CF402:DW402" si="90">SUM(CF403:CF498)</f>
        <v>0</v>
      </c>
      <c r="CG402" s="233">
        <f t="shared" si="90"/>
        <v>0</v>
      </c>
      <c r="CH402" s="233">
        <f t="shared" si="90"/>
        <v>0</v>
      </c>
      <c r="CI402" s="233">
        <f t="shared" si="90"/>
        <v>0</v>
      </c>
      <c r="CJ402" s="233">
        <f t="shared" si="90"/>
        <v>0</v>
      </c>
      <c r="CK402" s="233">
        <f t="shared" si="90"/>
        <v>0</v>
      </c>
      <c r="CL402" s="233">
        <f t="shared" si="90"/>
        <v>0</v>
      </c>
      <c r="CM402" s="233">
        <f t="shared" si="90"/>
        <v>0</v>
      </c>
      <c r="CN402" s="233">
        <f t="shared" si="90"/>
        <v>0</v>
      </c>
      <c r="CO402" s="233">
        <f t="shared" si="90"/>
        <v>0</v>
      </c>
      <c r="CP402" s="233">
        <f t="shared" si="90"/>
        <v>0</v>
      </c>
      <c r="CQ402" s="233">
        <f t="shared" si="90"/>
        <v>0</v>
      </c>
      <c r="CR402" s="233">
        <f t="shared" si="90"/>
        <v>0</v>
      </c>
      <c r="CS402" s="233">
        <f t="shared" si="90"/>
        <v>0</v>
      </c>
      <c r="CT402" s="233">
        <f t="shared" si="90"/>
        <v>0</v>
      </c>
      <c r="CU402" s="233">
        <f t="shared" si="90"/>
        <v>0</v>
      </c>
      <c r="CV402" s="233">
        <f t="shared" si="90"/>
        <v>0</v>
      </c>
      <c r="CW402" s="233">
        <f t="shared" si="90"/>
        <v>0</v>
      </c>
      <c r="CX402" s="233">
        <f t="shared" si="90"/>
        <v>0</v>
      </c>
      <c r="CY402" s="233">
        <f t="shared" si="90"/>
        <v>0</v>
      </c>
      <c r="CZ402" s="233">
        <f t="shared" si="90"/>
        <v>0</v>
      </c>
      <c r="DA402" s="233">
        <f t="shared" si="90"/>
        <v>0</v>
      </c>
      <c r="DB402" s="233">
        <f t="shared" si="90"/>
        <v>0</v>
      </c>
      <c r="DC402" s="233">
        <f t="shared" si="90"/>
        <v>0</v>
      </c>
      <c r="DD402" s="233">
        <f t="shared" si="90"/>
        <v>0</v>
      </c>
      <c r="DE402" s="233">
        <f t="shared" si="90"/>
        <v>0</v>
      </c>
      <c r="DF402" s="233">
        <f t="shared" si="90"/>
        <v>0</v>
      </c>
      <c r="DG402" s="233">
        <f t="shared" si="90"/>
        <v>0</v>
      </c>
      <c r="DH402" s="233">
        <f t="shared" si="90"/>
        <v>0</v>
      </c>
      <c r="DI402" s="233">
        <f t="shared" si="90"/>
        <v>0</v>
      </c>
      <c r="DJ402" s="233">
        <f t="shared" si="90"/>
        <v>0</v>
      </c>
      <c r="DK402" s="233">
        <f t="shared" si="90"/>
        <v>0</v>
      </c>
      <c r="DL402" s="233">
        <f t="shared" si="90"/>
        <v>0</v>
      </c>
      <c r="DM402" s="233">
        <f t="shared" si="90"/>
        <v>368</v>
      </c>
      <c r="DN402" s="233">
        <f t="shared" si="90"/>
        <v>0</v>
      </c>
      <c r="DO402" s="233">
        <f t="shared" si="90"/>
        <v>0</v>
      </c>
      <c r="DP402" s="291">
        <f t="shared" si="90"/>
        <v>0</v>
      </c>
      <c r="DQ402" s="233">
        <f t="shared" si="90"/>
        <v>0</v>
      </c>
      <c r="DR402" s="233">
        <f t="shared" si="90"/>
        <v>0</v>
      </c>
      <c r="DS402" s="233">
        <f t="shared" si="90"/>
        <v>0</v>
      </c>
      <c r="DT402" s="233">
        <f t="shared" si="90"/>
        <v>0</v>
      </c>
      <c r="DU402" s="233">
        <f t="shared" si="90"/>
        <v>0</v>
      </c>
      <c r="DV402" s="233">
        <f t="shared" si="90"/>
        <v>0</v>
      </c>
      <c r="DW402" s="274">
        <f t="shared" si="90"/>
        <v>1150</v>
      </c>
      <c r="DX402" s="233">
        <f>SUM(DX359:DX392)</f>
        <v>0</v>
      </c>
      <c r="DY402" s="233">
        <f>SUM(DW403:DW453)</f>
        <v>595.29999999999995</v>
      </c>
      <c r="DZ402" s="274">
        <f>SUM(DZ359:DZ400)</f>
        <v>0</v>
      </c>
    </row>
    <row r="403" spans="1:130">
      <c r="A403" s="102">
        <v>293</v>
      </c>
      <c r="B403" s="256">
        <v>8</v>
      </c>
      <c r="P403" s="11"/>
      <c r="Q403" s="11"/>
      <c r="R403" s="235">
        <f>SUM(C403:Q403)</f>
        <v>0</v>
      </c>
      <c r="S403" s="249"/>
      <c r="V403" s="2">
        <v>56</v>
      </c>
      <c r="W403" s="2">
        <v>209</v>
      </c>
      <c r="X403" s="2">
        <v>60</v>
      </c>
      <c r="Y403" s="2">
        <v>266</v>
      </c>
      <c r="AB403" s="2"/>
      <c r="AD403" s="2">
        <v>57</v>
      </c>
      <c r="AE403" s="28">
        <v>89</v>
      </c>
      <c r="AF403" s="2">
        <v>87</v>
      </c>
      <c r="AG403" s="2">
        <v>206</v>
      </c>
      <c r="AM403" s="102">
        <f>SUM(S403:AL403)</f>
        <v>1030</v>
      </c>
      <c r="AN403" s="257">
        <f>R403+AM403</f>
        <v>1030</v>
      </c>
      <c r="AO403" s="8">
        <f>AM403-AP403</f>
        <v>1030</v>
      </c>
      <c r="AP403" s="8"/>
      <c r="AW403" s="8">
        <f>X403</f>
        <v>60</v>
      </c>
      <c r="AX403" s="11">
        <f>Y403</f>
        <v>266</v>
      </c>
      <c r="AY403" s="8">
        <f>AA403</f>
        <v>0</v>
      </c>
      <c r="AZ403" s="234">
        <f>AB403</f>
        <v>0</v>
      </c>
      <c r="BD403" s="11"/>
      <c r="BG403" s="11"/>
      <c r="CG403" s="239"/>
      <c r="CH403" s="239"/>
      <c r="CI403" s="239"/>
      <c r="CJ403" s="239"/>
      <c r="CK403" s="239"/>
      <c r="DM403" s="2">
        <v>4</v>
      </c>
      <c r="DP403" s="249"/>
      <c r="DT403" s="11"/>
      <c r="DU403" s="11"/>
      <c r="DV403" s="11"/>
      <c r="DW403" s="237">
        <v>15</v>
      </c>
      <c r="DX403" s="102"/>
    </row>
    <row r="404" spans="1:130">
      <c r="A404" s="102">
        <v>294</v>
      </c>
      <c r="B404" s="256">
        <v>8</v>
      </c>
      <c r="P404" s="11"/>
      <c r="Q404" s="11"/>
      <c r="S404" s="249"/>
      <c r="V404" s="2">
        <v>91</v>
      </c>
      <c r="W404" s="2">
        <v>184</v>
      </c>
      <c r="X404" s="2">
        <v>208</v>
      </c>
      <c r="Y404" s="2">
        <v>288</v>
      </c>
      <c r="AB404" s="2"/>
      <c r="AD404" s="2">
        <v>106</v>
      </c>
      <c r="AE404" s="28">
        <v>186</v>
      </c>
      <c r="AF404" s="2">
        <v>132</v>
      </c>
      <c r="AG404" s="2">
        <v>251</v>
      </c>
      <c r="AM404" s="102">
        <f t="shared" ref="AM404:AM472" si="91">SUM(S404:AL404)</f>
        <v>1446</v>
      </c>
      <c r="AN404" s="257">
        <f t="shared" ref="AN404:AN472" si="92">R404+AM404</f>
        <v>1446</v>
      </c>
      <c r="AO404" s="8">
        <f t="shared" ref="AO404:AO467" si="93">AM404-AP404</f>
        <v>1446</v>
      </c>
      <c r="AP404" s="8"/>
      <c r="AW404" s="8">
        <f t="shared" ref="AW404:AW472" si="94">X404</f>
        <v>208</v>
      </c>
      <c r="AX404" s="11">
        <f t="shared" ref="AX404:AX472" si="95">Y404</f>
        <v>288</v>
      </c>
      <c r="AY404" s="8">
        <f t="shared" ref="AY404:AY472" si="96">AA404</f>
        <v>0</v>
      </c>
      <c r="AZ404" s="234">
        <f t="shared" ref="AZ404:AZ472" si="97">AB404</f>
        <v>0</v>
      </c>
      <c r="BD404" s="11"/>
      <c r="BG404" s="11"/>
      <c r="CG404" s="239"/>
      <c r="CH404" s="239"/>
      <c r="CI404" s="239"/>
      <c r="CJ404" s="239"/>
      <c r="CK404" s="239"/>
      <c r="DM404" s="2">
        <v>4</v>
      </c>
      <c r="DP404" s="249"/>
      <c r="DT404" s="11"/>
      <c r="DU404" s="11"/>
      <c r="DV404" s="11"/>
      <c r="DW404" s="237">
        <v>11.7</v>
      </c>
      <c r="DX404" s="102"/>
    </row>
    <row r="405" spans="1:130">
      <c r="A405" s="102">
        <v>295</v>
      </c>
      <c r="B405" s="256">
        <v>8</v>
      </c>
      <c r="P405" s="11"/>
      <c r="Q405" s="11"/>
      <c r="S405" s="249"/>
      <c r="V405" s="2">
        <v>131</v>
      </c>
      <c r="W405" s="2">
        <v>244</v>
      </c>
      <c r="X405" s="2">
        <v>264</v>
      </c>
      <c r="Y405" s="2">
        <v>365</v>
      </c>
      <c r="AB405" s="2"/>
      <c r="AD405" s="2">
        <v>114</v>
      </c>
      <c r="AE405" s="28">
        <v>251</v>
      </c>
      <c r="AF405" s="2">
        <v>169</v>
      </c>
      <c r="AG405" s="2">
        <v>201</v>
      </c>
      <c r="AM405" s="102">
        <f t="shared" si="91"/>
        <v>1739</v>
      </c>
      <c r="AN405" s="257">
        <f t="shared" si="92"/>
        <v>1739</v>
      </c>
      <c r="AO405" s="8">
        <f t="shared" si="93"/>
        <v>1739</v>
      </c>
      <c r="AP405" s="8"/>
      <c r="AW405" s="8">
        <f t="shared" si="94"/>
        <v>264</v>
      </c>
      <c r="AX405" s="11">
        <f t="shared" si="95"/>
        <v>365</v>
      </c>
      <c r="AY405" s="8">
        <f t="shared" si="96"/>
        <v>0</v>
      </c>
      <c r="AZ405" s="234">
        <f t="shared" si="97"/>
        <v>0</v>
      </c>
      <c r="BD405" s="11"/>
      <c r="BG405" s="11"/>
      <c r="CG405" s="239"/>
      <c r="CH405" s="239"/>
      <c r="CI405" s="239"/>
      <c r="CJ405" s="239"/>
      <c r="CK405" s="239"/>
      <c r="DM405" s="2">
        <v>4</v>
      </c>
      <c r="DP405" s="249"/>
      <c r="DT405" s="11"/>
      <c r="DU405" s="11"/>
      <c r="DV405" s="11"/>
      <c r="DW405" s="237">
        <v>11.8</v>
      </c>
      <c r="DX405" s="102"/>
    </row>
    <row r="406" spans="1:130">
      <c r="A406" s="102">
        <v>296</v>
      </c>
      <c r="B406" s="256">
        <v>8</v>
      </c>
      <c r="P406" s="11"/>
      <c r="Q406" s="11"/>
      <c r="S406" s="249"/>
      <c r="V406" s="2">
        <v>116</v>
      </c>
      <c r="W406" s="2">
        <v>170</v>
      </c>
      <c r="X406" s="2">
        <v>260</v>
      </c>
      <c r="Y406" s="2">
        <v>299</v>
      </c>
      <c r="AB406" s="2"/>
      <c r="AD406" s="2">
        <v>102</v>
      </c>
      <c r="AE406" s="28">
        <v>100</v>
      </c>
      <c r="AF406" s="2">
        <v>106</v>
      </c>
      <c r="AG406" s="2">
        <v>173</v>
      </c>
      <c r="AM406" s="102">
        <f t="shared" si="91"/>
        <v>1326</v>
      </c>
      <c r="AN406" s="257">
        <f t="shared" si="92"/>
        <v>1326</v>
      </c>
      <c r="AO406" s="8">
        <f t="shared" si="93"/>
        <v>1326</v>
      </c>
      <c r="AP406" s="8"/>
      <c r="AW406" s="8">
        <f t="shared" si="94"/>
        <v>260</v>
      </c>
      <c r="AX406" s="11">
        <f t="shared" si="95"/>
        <v>299</v>
      </c>
      <c r="AY406" s="8">
        <f t="shared" si="96"/>
        <v>0</v>
      </c>
      <c r="AZ406" s="234">
        <f t="shared" si="97"/>
        <v>0</v>
      </c>
      <c r="BD406" s="11"/>
      <c r="BG406" s="11"/>
      <c r="CG406" s="239"/>
      <c r="CH406" s="239"/>
      <c r="CI406" s="239"/>
      <c r="CJ406" s="239"/>
      <c r="CK406" s="239"/>
      <c r="DM406" s="2">
        <v>4</v>
      </c>
      <c r="DP406" s="249"/>
      <c r="DT406" s="11"/>
      <c r="DU406" s="11"/>
      <c r="DV406" s="11"/>
      <c r="DW406" s="237">
        <v>18.2</v>
      </c>
      <c r="DX406" s="102"/>
    </row>
    <row r="407" spans="1:130">
      <c r="A407" s="102">
        <v>297</v>
      </c>
      <c r="B407" s="256">
        <v>8</v>
      </c>
      <c r="P407" s="11"/>
      <c r="Q407" s="11"/>
      <c r="S407" s="249"/>
      <c r="V407" s="2">
        <v>240</v>
      </c>
      <c r="W407" s="2">
        <v>223</v>
      </c>
      <c r="X407" s="2">
        <v>247</v>
      </c>
      <c r="Y407" s="2">
        <v>308</v>
      </c>
      <c r="AB407" s="2"/>
      <c r="AD407" s="2">
        <v>129</v>
      </c>
      <c r="AE407" s="28">
        <v>209</v>
      </c>
      <c r="AF407" s="2">
        <v>233</v>
      </c>
      <c r="AG407" s="2">
        <v>246</v>
      </c>
      <c r="AM407" s="102">
        <f t="shared" si="91"/>
        <v>1835</v>
      </c>
      <c r="AN407" s="257">
        <f t="shared" si="92"/>
        <v>1835</v>
      </c>
      <c r="AO407" s="8">
        <f t="shared" si="93"/>
        <v>1835</v>
      </c>
      <c r="AP407" s="8"/>
      <c r="AW407" s="8">
        <f t="shared" si="94"/>
        <v>247</v>
      </c>
      <c r="AX407" s="11">
        <f t="shared" si="95"/>
        <v>308</v>
      </c>
      <c r="AY407" s="8">
        <f t="shared" si="96"/>
        <v>0</v>
      </c>
      <c r="AZ407" s="234">
        <f t="shared" si="97"/>
        <v>0</v>
      </c>
      <c r="BD407" s="11"/>
      <c r="BG407" s="11"/>
      <c r="CG407" s="239"/>
      <c r="CH407" s="239"/>
      <c r="CI407" s="239"/>
      <c r="CJ407" s="239"/>
      <c r="CK407" s="239"/>
      <c r="DM407" s="2">
        <v>4</v>
      </c>
      <c r="DP407" s="249"/>
      <c r="DT407" s="11"/>
      <c r="DU407" s="11"/>
      <c r="DV407" s="11"/>
      <c r="DW407" s="237">
        <v>13.7</v>
      </c>
      <c r="DX407" s="102"/>
    </row>
    <row r="408" spans="1:130">
      <c r="A408" s="102">
        <v>298</v>
      </c>
      <c r="B408" s="256">
        <v>8</v>
      </c>
      <c r="P408" s="11"/>
      <c r="Q408" s="11"/>
      <c r="S408" s="249"/>
      <c r="V408" s="2">
        <v>45</v>
      </c>
      <c r="W408" s="2">
        <v>113</v>
      </c>
      <c r="X408" s="2">
        <v>192</v>
      </c>
      <c r="Y408" s="2">
        <v>219</v>
      </c>
      <c r="AB408" s="2"/>
      <c r="AD408" s="2">
        <v>0</v>
      </c>
      <c r="AE408" s="28">
        <v>62</v>
      </c>
      <c r="AF408" s="2">
        <v>90</v>
      </c>
      <c r="AG408" s="2">
        <v>118</v>
      </c>
      <c r="AM408" s="102">
        <f t="shared" si="91"/>
        <v>839</v>
      </c>
      <c r="AN408" s="257">
        <f t="shared" si="92"/>
        <v>839</v>
      </c>
      <c r="AO408" s="8">
        <f t="shared" si="93"/>
        <v>839</v>
      </c>
      <c r="AP408" s="8"/>
      <c r="AW408" s="8">
        <f t="shared" si="94"/>
        <v>192</v>
      </c>
      <c r="AX408" s="11">
        <f t="shared" si="95"/>
        <v>219</v>
      </c>
      <c r="AY408" s="8">
        <f t="shared" si="96"/>
        <v>0</v>
      </c>
      <c r="AZ408" s="234">
        <f t="shared" si="97"/>
        <v>0</v>
      </c>
      <c r="BD408" s="11"/>
      <c r="BG408" s="11"/>
      <c r="CG408" s="239"/>
      <c r="CH408" s="239"/>
      <c r="CI408" s="239"/>
      <c r="CJ408" s="239"/>
      <c r="CK408" s="239"/>
      <c r="DM408" s="2">
        <v>4</v>
      </c>
      <c r="DP408" s="249"/>
      <c r="DT408" s="11"/>
      <c r="DU408" s="11"/>
      <c r="DV408" s="11"/>
      <c r="DW408" s="237">
        <v>10.9</v>
      </c>
      <c r="DX408" s="102"/>
    </row>
    <row r="409" spans="1:130">
      <c r="A409" s="102">
        <v>299</v>
      </c>
      <c r="B409" s="256">
        <v>8</v>
      </c>
      <c r="P409" s="11"/>
      <c r="Q409" s="11"/>
      <c r="S409" s="249"/>
      <c r="V409" s="2">
        <v>111</v>
      </c>
      <c r="W409" s="2">
        <v>202</v>
      </c>
      <c r="X409" s="2">
        <v>268</v>
      </c>
      <c r="Y409" s="2">
        <v>394</v>
      </c>
      <c r="AB409" s="2"/>
      <c r="AD409" s="2">
        <v>95</v>
      </c>
      <c r="AE409" s="28">
        <v>137</v>
      </c>
      <c r="AF409" s="2">
        <v>159</v>
      </c>
      <c r="AG409" s="2">
        <v>241</v>
      </c>
      <c r="AM409" s="102">
        <f t="shared" si="91"/>
        <v>1607</v>
      </c>
      <c r="AN409" s="257">
        <f t="shared" si="92"/>
        <v>1607</v>
      </c>
      <c r="AO409" s="8">
        <f t="shared" si="93"/>
        <v>1607</v>
      </c>
      <c r="AP409" s="8"/>
      <c r="AW409" s="8">
        <f t="shared" si="94"/>
        <v>268</v>
      </c>
      <c r="AX409" s="11">
        <f t="shared" si="95"/>
        <v>394</v>
      </c>
      <c r="AY409" s="8">
        <f t="shared" si="96"/>
        <v>0</v>
      </c>
      <c r="AZ409" s="234">
        <f t="shared" si="97"/>
        <v>0</v>
      </c>
      <c r="BD409" s="11"/>
      <c r="BG409" s="11"/>
      <c r="CG409" s="239"/>
      <c r="CH409" s="239"/>
      <c r="CI409" s="239"/>
      <c r="CJ409" s="239"/>
      <c r="CK409" s="239"/>
      <c r="DM409" s="2">
        <v>4</v>
      </c>
      <c r="DP409" s="249"/>
      <c r="DT409" s="11"/>
      <c r="DU409" s="11"/>
      <c r="DV409" s="11"/>
      <c r="DW409" s="237">
        <v>9.3000000000000007</v>
      </c>
      <c r="DX409" s="102"/>
    </row>
    <row r="410" spans="1:130">
      <c r="A410" s="102">
        <v>300</v>
      </c>
      <c r="B410" s="256">
        <v>8</v>
      </c>
      <c r="P410" s="11"/>
      <c r="Q410" s="11"/>
      <c r="S410" s="249"/>
      <c r="V410" s="2">
        <v>123</v>
      </c>
      <c r="W410" s="2">
        <v>190</v>
      </c>
      <c r="X410" s="2">
        <v>303</v>
      </c>
      <c r="Y410" s="2">
        <v>183</v>
      </c>
      <c r="AB410" s="2"/>
      <c r="AD410" s="2">
        <v>90</v>
      </c>
      <c r="AE410" s="28">
        <v>183</v>
      </c>
      <c r="AF410" s="2">
        <v>183</v>
      </c>
      <c r="AG410" s="2">
        <v>226</v>
      </c>
      <c r="AM410" s="102">
        <f t="shared" si="91"/>
        <v>1481</v>
      </c>
      <c r="AN410" s="257">
        <f t="shared" si="92"/>
        <v>1481</v>
      </c>
      <c r="AO410" s="8">
        <f t="shared" si="93"/>
        <v>1481</v>
      </c>
      <c r="AP410" s="8"/>
      <c r="AW410" s="8">
        <f t="shared" si="94"/>
        <v>303</v>
      </c>
      <c r="AX410" s="11">
        <f t="shared" si="95"/>
        <v>183</v>
      </c>
      <c r="AY410" s="8">
        <f t="shared" si="96"/>
        <v>0</v>
      </c>
      <c r="AZ410" s="234">
        <f t="shared" si="97"/>
        <v>0</v>
      </c>
      <c r="BD410" s="11"/>
      <c r="BG410" s="11"/>
      <c r="CG410" s="239"/>
      <c r="CH410" s="239"/>
      <c r="CI410" s="239"/>
      <c r="CJ410" s="239"/>
      <c r="CK410" s="239"/>
      <c r="DM410" s="2">
        <v>4</v>
      </c>
      <c r="DP410" s="249"/>
      <c r="DT410" s="11"/>
      <c r="DU410" s="11"/>
      <c r="DV410" s="11"/>
      <c r="DW410" s="237">
        <v>14.1</v>
      </c>
      <c r="DX410" s="102"/>
    </row>
    <row r="411" spans="1:130">
      <c r="A411" s="102">
        <v>301</v>
      </c>
      <c r="B411" s="256">
        <v>8</v>
      </c>
      <c r="P411" s="11"/>
      <c r="Q411" s="11"/>
      <c r="S411" s="249"/>
      <c r="V411" s="2">
        <v>99</v>
      </c>
      <c r="W411" s="2">
        <v>151</v>
      </c>
      <c r="X411" s="2">
        <v>224</v>
      </c>
      <c r="Y411" s="2">
        <v>279</v>
      </c>
      <c r="AB411" s="2"/>
      <c r="AD411" s="2">
        <v>105</v>
      </c>
      <c r="AE411" s="28">
        <v>190</v>
      </c>
      <c r="AF411" s="2">
        <v>141</v>
      </c>
      <c r="AG411" s="2">
        <v>230</v>
      </c>
      <c r="AM411" s="102">
        <f t="shared" si="91"/>
        <v>1419</v>
      </c>
      <c r="AN411" s="257">
        <f t="shared" si="92"/>
        <v>1419</v>
      </c>
      <c r="AO411" s="8">
        <f t="shared" si="93"/>
        <v>950</v>
      </c>
      <c r="AP411" s="501">
        <v>469</v>
      </c>
      <c r="AW411" s="8">
        <f t="shared" si="94"/>
        <v>224</v>
      </c>
      <c r="AX411" s="11">
        <f t="shared" si="95"/>
        <v>279</v>
      </c>
      <c r="AY411" s="8">
        <f t="shared" si="96"/>
        <v>0</v>
      </c>
      <c r="AZ411" s="234">
        <f t="shared" si="97"/>
        <v>0</v>
      </c>
      <c r="BD411" s="11"/>
      <c r="BG411" s="11"/>
      <c r="CG411" s="239"/>
      <c r="CH411" s="239"/>
      <c r="CI411" s="239"/>
      <c r="CJ411" s="239"/>
      <c r="CK411" s="239"/>
      <c r="DM411" s="2">
        <v>4</v>
      </c>
      <c r="DP411" s="249"/>
      <c r="DT411" s="11"/>
      <c r="DU411" s="11"/>
      <c r="DV411" s="11"/>
      <c r="DW411" s="237">
        <v>14.4</v>
      </c>
      <c r="DX411" s="102"/>
    </row>
    <row r="412" spans="1:130">
      <c r="A412" s="102">
        <v>302</v>
      </c>
      <c r="B412" s="256">
        <v>8</v>
      </c>
      <c r="P412" s="11"/>
      <c r="Q412" s="11"/>
      <c r="S412" s="249"/>
      <c r="V412" s="2">
        <v>142</v>
      </c>
      <c r="W412" s="2">
        <v>114</v>
      </c>
      <c r="X412" s="2">
        <v>306</v>
      </c>
      <c r="Y412" s="2">
        <v>414</v>
      </c>
      <c r="AB412" s="2"/>
      <c r="AD412" s="2">
        <v>90</v>
      </c>
      <c r="AE412" s="28">
        <v>225</v>
      </c>
      <c r="AF412" s="2">
        <v>217</v>
      </c>
      <c r="AG412" s="2">
        <v>246</v>
      </c>
      <c r="AM412" s="102">
        <f t="shared" si="91"/>
        <v>1754</v>
      </c>
      <c r="AN412" s="257">
        <f t="shared" si="92"/>
        <v>1754</v>
      </c>
      <c r="AO412" s="8">
        <f t="shared" si="93"/>
        <v>1115</v>
      </c>
      <c r="AP412" s="501">
        <v>639</v>
      </c>
      <c r="AW412" s="8">
        <f t="shared" si="94"/>
        <v>306</v>
      </c>
      <c r="AX412" s="11">
        <f t="shared" si="95"/>
        <v>414</v>
      </c>
      <c r="AY412" s="8">
        <f t="shared" si="96"/>
        <v>0</v>
      </c>
      <c r="AZ412" s="234">
        <f t="shared" si="97"/>
        <v>0</v>
      </c>
      <c r="BD412" s="11"/>
      <c r="BG412" s="11"/>
      <c r="CG412" s="239"/>
      <c r="CH412" s="239"/>
      <c r="CI412" s="239"/>
      <c r="CJ412" s="239"/>
      <c r="CK412" s="239"/>
      <c r="DM412" s="2">
        <v>4</v>
      </c>
      <c r="DP412" s="249"/>
      <c r="DT412" s="11"/>
      <c r="DU412" s="11"/>
      <c r="DV412" s="11"/>
      <c r="DW412" s="237">
        <v>15.2</v>
      </c>
      <c r="DX412" s="102"/>
    </row>
    <row r="413" spans="1:130">
      <c r="A413" s="102">
        <v>303</v>
      </c>
      <c r="B413" s="256">
        <v>8</v>
      </c>
      <c r="P413" s="11"/>
      <c r="Q413" s="11"/>
      <c r="S413" s="249"/>
      <c r="V413" s="2">
        <v>110</v>
      </c>
      <c r="W413" s="2">
        <v>208</v>
      </c>
      <c r="X413" s="2">
        <v>285</v>
      </c>
      <c r="Y413" s="2">
        <v>257</v>
      </c>
      <c r="AB413" s="2"/>
      <c r="AD413" s="2">
        <v>98</v>
      </c>
      <c r="AE413" s="28">
        <v>199</v>
      </c>
      <c r="AF413" s="2">
        <v>153</v>
      </c>
      <c r="AG413" s="2">
        <v>194</v>
      </c>
      <c r="AM413" s="102">
        <f t="shared" si="91"/>
        <v>1504</v>
      </c>
      <c r="AN413" s="257">
        <f t="shared" si="92"/>
        <v>1504</v>
      </c>
      <c r="AO413" s="8">
        <f t="shared" si="93"/>
        <v>1048</v>
      </c>
      <c r="AP413" s="501">
        <v>456</v>
      </c>
      <c r="AW413" s="8">
        <f t="shared" si="94"/>
        <v>285</v>
      </c>
      <c r="AX413" s="11">
        <f t="shared" si="95"/>
        <v>257</v>
      </c>
      <c r="AY413" s="8">
        <f t="shared" si="96"/>
        <v>0</v>
      </c>
      <c r="AZ413" s="234">
        <f t="shared" si="97"/>
        <v>0</v>
      </c>
      <c r="BD413" s="11"/>
      <c r="BG413" s="11"/>
      <c r="CG413" s="239"/>
      <c r="CH413" s="239"/>
      <c r="CI413" s="239"/>
      <c r="CJ413" s="239"/>
      <c r="CK413" s="239"/>
      <c r="DM413" s="2">
        <v>4</v>
      </c>
      <c r="DP413" s="249"/>
      <c r="DT413" s="11"/>
      <c r="DU413" s="11"/>
      <c r="DV413" s="11"/>
      <c r="DW413" s="237">
        <v>13.1</v>
      </c>
      <c r="DX413" s="102"/>
    </row>
    <row r="414" spans="1:130">
      <c r="A414" s="102">
        <v>304</v>
      </c>
      <c r="B414" s="256">
        <v>8</v>
      </c>
      <c r="P414" s="11"/>
      <c r="Q414" s="11"/>
      <c r="S414" s="249"/>
      <c r="V414" s="2">
        <v>111</v>
      </c>
      <c r="W414" s="2">
        <v>202</v>
      </c>
      <c r="X414" s="2">
        <v>352</v>
      </c>
      <c r="Y414" s="2">
        <v>348</v>
      </c>
      <c r="AB414" s="2"/>
      <c r="AD414" s="2">
        <v>101</v>
      </c>
      <c r="AE414" s="28">
        <v>112</v>
      </c>
      <c r="AF414" s="2">
        <v>193</v>
      </c>
      <c r="AG414" s="2">
        <v>222</v>
      </c>
      <c r="AM414" s="102">
        <f t="shared" si="91"/>
        <v>1641</v>
      </c>
      <c r="AN414" s="257">
        <f t="shared" si="92"/>
        <v>1641</v>
      </c>
      <c r="AO414" s="8">
        <f t="shared" si="93"/>
        <v>1181</v>
      </c>
      <c r="AP414" s="501">
        <v>460</v>
      </c>
      <c r="AW414" s="8">
        <f t="shared" si="94"/>
        <v>352</v>
      </c>
      <c r="AX414" s="11">
        <f t="shared" si="95"/>
        <v>348</v>
      </c>
      <c r="AY414" s="8">
        <f t="shared" si="96"/>
        <v>0</v>
      </c>
      <c r="AZ414" s="234">
        <f t="shared" si="97"/>
        <v>0</v>
      </c>
      <c r="BD414" s="11"/>
      <c r="BG414" s="11"/>
      <c r="CG414" s="239"/>
      <c r="CH414" s="239"/>
      <c r="CI414" s="239"/>
      <c r="CJ414" s="239"/>
      <c r="CK414" s="239"/>
      <c r="DM414" s="2">
        <v>4</v>
      </c>
      <c r="DP414" s="249"/>
      <c r="DT414" s="11"/>
      <c r="DU414" s="11"/>
      <c r="DV414" s="11"/>
      <c r="DW414" s="237">
        <v>13</v>
      </c>
      <c r="DX414" s="102"/>
    </row>
    <row r="415" spans="1:130">
      <c r="A415" s="102">
        <v>305</v>
      </c>
      <c r="B415" s="256">
        <v>8</v>
      </c>
      <c r="P415" s="11"/>
      <c r="Q415" s="11"/>
      <c r="S415" s="249"/>
      <c r="V415" s="2">
        <v>50</v>
      </c>
      <c r="W415" s="2">
        <v>46</v>
      </c>
      <c r="X415" s="2">
        <v>108</v>
      </c>
      <c r="Y415" s="2">
        <v>160</v>
      </c>
      <c r="AB415" s="2"/>
      <c r="AD415" s="2">
        <v>0</v>
      </c>
      <c r="AE415" s="28">
        <v>69</v>
      </c>
      <c r="AF415" s="2">
        <v>54</v>
      </c>
      <c r="AG415" s="2">
        <v>76</v>
      </c>
      <c r="AM415" s="102">
        <f t="shared" si="91"/>
        <v>563</v>
      </c>
      <c r="AN415" s="257">
        <f t="shared" si="92"/>
        <v>563</v>
      </c>
      <c r="AO415" s="8">
        <f t="shared" si="93"/>
        <v>334</v>
      </c>
      <c r="AP415" s="501">
        <v>229</v>
      </c>
      <c r="AW415" s="8">
        <f t="shared" si="94"/>
        <v>108</v>
      </c>
      <c r="AX415" s="11">
        <f t="shared" si="95"/>
        <v>160</v>
      </c>
      <c r="AY415" s="8">
        <f t="shared" si="96"/>
        <v>0</v>
      </c>
      <c r="AZ415" s="234">
        <f t="shared" si="97"/>
        <v>0</v>
      </c>
      <c r="BD415" s="11"/>
      <c r="BG415" s="11"/>
      <c r="CG415" s="239"/>
      <c r="CH415" s="239"/>
      <c r="CI415" s="239"/>
      <c r="CJ415" s="239"/>
      <c r="CK415" s="239"/>
      <c r="DM415" s="2">
        <v>4</v>
      </c>
      <c r="DP415" s="249"/>
      <c r="DT415" s="11"/>
      <c r="DU415" s="11"/>
      <c r="DV415" s="11"/>
      <c r="DW415" s="237">
        <v>10.7</v>
      </c>
      <c r="DX415" s="102"/>
    </row>
    <row r="416" spans="1:130">
      <c r="A416" s="102">
        <v>306</v>
      </c>
      <c r="B416" s="256">
        <v>8</v>
      </c>
      <c r="P416" s="11"/>
      <c r="Q416" s="11"/>
      <c r="S416" s="249"/>
      <c r="V416" s="2">
        <v>54</v>
      </c>
      <c r="W416" s="2">
        <v>67</v>
      </c>
      <c r="X416" s="2">
        <v>179</v>
      </c>
      <c r="Y416" s="2">
        <v>230</v>
      </c>
      <c r="AB416" s="2"/>
      <c r="AD416" s="2">
        <v>75</v>
      </c>
      <c r="AE416" s="28">
        <v>164</v>
      </c>
      <c r="AF416" s="2">
        <v>87</v>
      </c>
      <c r="AG416" s="2">
        <v>119</v>
      </c>
      <c r="AM416" s="102">
        <f t="shared" si="91"/>
        <v>975</v>
      </c>
      <c r="AN416" s="257">
        <f t="shared" si="92"/>
        <v>975</v>
      </c>
      <c r="AO416" s="8">
        <f t="shared" si="93"/>
        <v>581</v>
      </c>
      <c r="AP416" s="501">
        <v>394</v>
      </c>
      <c r="AW416" s="8">
        <f t="shared" si="94"/>
        <v>179</v>
      </c>
      <c r="AX416" s="11">
        <f t="shared" si="95"/>
        <v>230</v>
      </c>
      <c r="AY416" s="8">
        <f t="shared" si="96"/>
        <v>0</v>
      </c>
      <c r="AZ416" s="234">
        <f t="shared" si="97"/>
        <v>0</v>
      </c>
      <c r="BD416" s="11"/>
      <c r="BG416" s="11"/>
      <c r="CG416" s="239"/>
      <c r="CH416" s="239"/>
      <c r="CI416" s="239"/>
      <c r="CJ416" s="239"/>
      <c r="CK416" s="239"/>
      <c r="DM416" s="2">
        <v>4</v>
      </c>
      <c r="DP416" s="249"/>
      <c r="DT416" s="11"/>
      <c r="DU416" s="11"/>
      <c r="DV416" s="11"/>
      <c r="DW416" s="237">
        <v>11.2</v>
      </c>
      <c r="DX416" s="102"/>
    </row>
    <row r="417" spans="1:128">
      <c r="A417" s="102">
        <v>307</v>
      </c>
      <c r="B417" s="256">
        <v>8</v>
      </c>
      <c r="P417" s="11"/>
      <c r="Q417" s="11"/>
      <c r="S417" s="249"/>
      <c r="V417" s="2">
        <v>55</v>
      </c>
      <c r="W417" s="2">
        <v>72</v>
      </c>
      <c r="X417" s="2">
        <v>187</v>
      </c>
      <c r="Y417" s="2">
        <v>276</v>
      </c>
      <c r="AB417" s="2"/>
      <c r="AD417" s="2">
        <v>84</v>
      </c>
      <c r="AE417" s="28">
        <v>178</v>
      </c>
      <c r="AF417" s="2">
        <v>62</v>
      </c>
      <c r="AG417" s="2">
        <v>115</v>
      </c>
      <c r="AM417" s="102">
        <f t="shared" si="91"/>
        <v>1029</v>
      </c>
      <c r="AN417" s="257">
        <f t="shared" si="92"/>
        <v>1029</v>
      </c>
      <c r="AO417" s="8">
        <f t="shared" si="93"/>
        <v>575</v>
      </c>
      <c r="AP417" s="501">
        <v>454</v>
      </c>
      <c r="AW417" s="8">
        <f t="shared" si="94"/>
        <v>187</v>
      </c>
      <c r="AX417" s="11">
        <f t="shared" si="95"/>
        <v>276</v>
      </c>
      <c r="AY417" s="8">
        <f t="shared" si="96"/>
        <v>0</v>
      </c>
      <c r="AZ417" s="234">
        <f t="shared" si="97"/>
        <v>0</v>
      </c>
      <c r="BD417" s="11"/>
      <c r="BG417" s="11"/>
      <c r="CG417" s="239"/>
      <c r="CH417" s="239"/>
      <c r="CI417" s="239"/>
      <c r="CJ417" s="239"/>
      <c r="CK417" s="239"/>
      <c r="DM417" s="2">
        <v>4</v>
      </c>
      <c r="DP417" s="249"/>
      <c r="DT417" s="11"/>
      <c r="DU417" s="11"/>
      <c r="DV417" s="11"/>
      <c r="DW417" s="237">
        <v>12.6</v>
      </c>
      <c r="DX417" s="102"/>
    </row>
    <row r="418" spans="1:128">
      <c r="A418" s="102">
        <v>308</v>
      </c>
      <c r="B418" s="256">
        <v>8</v>
      </c>
      <c r="P418" s="11"/>
      <c r="Q418" s="11"/>
      <c r="S418" s="249"/>
      <c r="V418" s="2">
        <v>78</v>
      </c>
      <c r="W418" s="2">
        <v>135</v>
      </c>
      <c r="X418" s="2">
        <v>250</v>
      </c>
      <c r="Y418" s="2">
        <v>247</v>
      </c>
      <c r="AB418" s="2"/>
      <c r="AD418" s="2">
        <v>130</v>
      </c>
      <c r="AE418" s="28">
        <v>155</v>
      </c>
      <c r="AF418" s="2">
        <v>119</v>
      </c>
      <c r="AG418" s="2">
        <v>173</v>
      </c>
      <c r="AM418" s="102">
        <f t="shared" si="91"/>
        <v>1287</v>
      </c>
      <c r="AN418" s="257">
        <f t="shared" si="92"/>
        <v>1287</v>
      </c>
      <c r="AO418" s="8">
        <f t="shared" si="93"/>
        <v>885</v>
      </c>
      <c r="AP418" s="501">
        <v>402</v>
      </c>
      <c r="AW418" s="8">
        <f t="shared" si="94"/>
        <v>250</v>
      </c>
      <c r="AX418" s="11">
        <f t="shared" si="95"/>
        <v>247</v>
      </c>
      <c r="AY418" s="8">
        <f t="shared" si="96"/>
        <v>0</v>
      </c>
      <c r="AZ418" s="234">
        <f t="shared" si="97"/>
        <v>0</v>
      </c>
      <c r="BD418" s="11"/>
      <c r="BG418" s="11"/>
      <c r="CG418" s="239"/>
      <c r="CH418" s="239"/>
      <c r="CI418" s="239"/>
      <c r="CJ418" s="239"/>
      <c r="CK418" s="239"/>
      <c r="DM418" s="2">
        <v>4</v>
      </c>
      <c r="DP418" s="249"/>
      <c r="DT418" s="11"/>
      <c r="DU418" s="11"/>
      <c r="DV418" s="11"/>
      <c r="DW418" s="237">
        <v>6.9</v>
      </c>
      <c r="DX418" s="102"/>
    </row>
    <row r="419" spans="1:128">
      <c r="A419" s="102">
        <v>309</v>
      </c>
      <c r="B419" s="256">
        <v>8</v>
      </c>
      <c r="P419" s="11"/>
      <c r="Q419" s="11"/>
      <c r="S419" s="249"/>
      <c r="V419" s="2">
        <v>71</v>
      </c>
      <c r="W419" s="2">
        <v>163</v>
      </c>
      <c r="X419" s="2">
        <v>92</v>
      </c>
      <c r="Y419" s="2">
        <v>236</v>
      </c>
      <c r="AB419" s="2"/>
      <c r="AD419" s="2">
        <v>61</v>
      </c>
      <c r="AE419" s="28">
        <v>91</v>
      </c>
      <c r="AF419" s="2">
        <v>90</v>
      </c>
      <c r="AG419" s="2">
        <v>217</v>
      </c>
      <c r="AM419" s="102">
        <f t="shared" si="91"/>
        <v>1021</v>
      </c>
      <c r="AN419" s="257">
        <f t="shared" si="92"/>
        <v>1021</v>
      </c>
      <c r="AO419" s="8">
        <f t="shared" si="93"/>
        <v>694</v>
      </c>
      <c r="AP419" s="501">
        <v>327</v>
      </c>
      <c r="AW419" s="8">
        <f t="shared" si="94"/>
        <v>92</v>
      </c>
      <c r="AX419" s="11">
        <f t="shared" si="95"/>
        <v>236</v>
      </c>
      <c r="AY419" s="8">
        <f t="shared" si="96"/>
        <v>0</v>
      </c>
      <c r="AZ419" s="234">
        <f t="shared" si="97"/>
        <v>0</v>
      </c>
      <c r="BD419" s="11"/>
      <c r="BG419" s="11"/>
      <c r="CG419" s="239"/>
      <c r="CH419" s="239"/>
      <c r="CI419" s="239"/>
      <c r="CJ419" s="239"/>
      <c r="CK419" s="239"/>
      <c r="DM419" s="2">
        <v>3</v>
      </c>
      <c r="DP419" s="249"/>
      <c r="DT419" s="11"/>
      <c r="DU419" s="11"/>
      <c r="DV419" s="11"/>
      <c r="DW419" s="237">
        <v>12</v>
      </c>
      <c r="DX419" s="102"/>
    </row>
    <row r="420" spans="1:128">
      <c r="A420" s="102">
        <v>310</v>
      </c>
      <c r="B420" s="256">
        <v>8</v>
      </c>
      <c r="P420" s="11"/>
      <c r="Q420" s="11"/>
      <c r="S420" s="249"/>
      <c r="V420" s="2">
        <v>81</v>
      </c>
      <c r="W420" s="2">
        <v>181</v>
      </c>
      <c r="X420" s="2">
        <v>183</v>
      </c>
      <c r="Y420" s="2">
        <v>257</v>
      </c>
      <c r="AB420" s="2"/>
      <c r="AD420" s="2">
        <v>84</v>
      </c>
      <c r="AE420" s="28">
        <v>188</v>
      </c>
      <c r="AF420" s="2">
        <v>113</v>
      </c>
      <c r="AG420" s="2">
        <v>127</v>
      </c>
      <c r="AM420" s="102">
        <f t="shared" si="91"/>
        <v>1214</v>
      </c>
      <c r="AN420" s="257">
        <f t="shared" si="92"/>
        <v>1214</v>
      </c>
      <c r="AO420" s="8">
        <f t="shared" si="93"/>
        <v>769</v>
      </c>
      <c r="AP420" s="501">
        <v>445</v>
      </c>
      <c r="AW420" s="8">
        <f t="shared" si="94"/>
        <v>183</v>
      </c>
      <c r="AX420" s="11">
        <f t="shared" si="95"/>
        <v>257</v>
      </c>
      <c r="AY420" s="8">
        <f t="shared" si="96"/>
        <v>0</v>
      </c>
      <c r="AZ420" s="234">
        <f t="shared" si="97"/>
        <v>0</v>
      </c>
      <c r="BD420" s="11"/>
      <c r="BG420" s="11"/>
      <c r="CG420" s="239"/>
      <c r="CH420" s="239"/>
      <c r="CI420" s="239"/>
      <c r="CJ420" s="239"/>
      <c r="CK420" s="239"/>
      <c r="DM420" s="2">
        <v>4</v>
      </c>
      <c r="DP420" s="249"/>
      <c r="DT420" s="11"/>
      <c r="DU420" s="11"/>
      <c r="DV420" s="11"/>
      <c r="DW420" s="237">
        <v>8.5</v>
      </c>
      <c r="DX420" s="102"/>
    </row>
    <row r="421" spans="1:128">
      <c r="A421" s="102">
        <v>311</v>
      </c>
      <c r="B421" s="256">
        <v>8</v>
      </c>
      <c r="P421" s="11"/>
      <c r="Q421" s="11"/>
      <c r="S421" s="249"/>
      <c r="V421" s="2">
        <v>54</v>
      </c>
      <c r="W421" s="2">
        <v>61</v>
      </c>
      <c r="X421" s="2">
        <v>137</v>
      </c>
      <c r="Y421" s="2">
        <v>330</v>
      </c>
      <c r="AB421" s="2"/>
      <c r="AD421" s="2">
        <v>76</v>
      </c>
      <c r="AE421" s="28">
        <v>285</v>
      </c>
      <c r="AF421" s="2">
        <v>263</v>
      </c>
      <c r="AG421" s="2">
        <v>0</v>
      </c>
      <c r="AM421" s="102">
        <f t="shared" si="91"/>
        <v>1206</v>
      </c>
      <c r="AN421" s="257">
        <f t="shared" si="92"/>
        <v>1206</v>
      </c>
      <c r="AO421" s="8">
        <f t="shared" si="93"/>
        <v>591</v>
      </c>
      <c r="AP421" s="501">
        <v>615</v>
      </c>
      <c r="AW421" s="8">
        <f t="shared" si="94"/>
        <v>137</v>
      </c>
      <c r="AX421" s="11">
        <f t="shared" si="95"/>
        <v>330</v>
      </c>
      <c r="AY421" s="8">
        <f t="shared" si="96"/>
        <v>0</v>
      </c>
      <c r="AZ421" s="234">
        <f t="shared" si="97"/>
        <v>0</v>
      </c>
      <c r="BD421" s="11"/>
      <c r="BG421" s="11"/>
      <c r="CG421" s="239"/>
      <c r="CH421" s="239"/>
      <c r="CI421" s="239"/>
      <c r="CJ421" s="239"/>
      <c r="CK421" s="239"/>
      <c r="DM421" s="2">
        <v>4</v>
      </c>
      <c r="DP421" s="249"/>
      <c r="DT421" s="11"/>
      <c r="DU421" s="11"/>
      <c r="DV421" s="11"/>
      <c r="DW421" s="237">
        <v>10.1</v>
      </c>
      <c r="DX421" s="102"/>
    </row>
    <row r="422" spans="1:128">
      <c r="A422" s="102">
        <v>312</v>
      </c>
      <c r="B422" s="256">
        <v>8</v>
      </c>
      <c r="P422" s="11"/>
      <c r="Q422" s="11"/>
      <c r="S422" s="249"/>
      <c r="V422" s="2">
        <v>125</v>
      </c>
      <c r="W422" s="2">
        <v>122</v>
      </c>
      <c r="X422" s="2">
        <v>238</v>
      </c>
      <c r="Y422" s="2">
        <v>384</v>
      </c>
      <c r="AB422" s="2"/>
      <c r="AD422" s="2">
        <v>110</v>
      </c>
      <c r="AE422" s="28">
        <v>235</v>
      </c>
      <c r="AF422" s="2">
        <v>164</v>
      </c>
      <c r="AG422" s="2">
        <v>112</v>
      </c>
      <c r="AM422" s="102">
        <f t="shared" si="91"/>
        <v>1490</v>
      </c>
      <c r="AN422" s="257">
        <f t="shared" si="92"/>
        <v>1490</v>
      </c>
      <c r="AO422" s="8">
        <f t="shared" si="93"/>
        <v>871</v>
      </c>
      <c r="AP422" s="501">
        <v>619</v>
      </c>
      <c r="AW422" s="8">
        <f t="shared" si="94"/>
        <v>238</v>
      </c>
      <c r="AX422" s="11">
        <f t="shared" si="95"/>
        <v>384</v>
      </c>
      <c r="AY422" s="8">
        <f t="shared" si="96"/>
        <v>0</v>
      </c>
      <c r="AZ422" s="234">
        <f t="shared" si="97"/>
        <v>0</v>
      </c>
      <c r="BD422" s="11"/>
      <c r="BG422" s="11"/>
      <c r="CG422" s="239"/>
      <c r="CH422" s="239"/>
      <c r="CI422" s="239"/>
      <c r="CJ422" s="239"/>
      <c r="CK422" s="239"/>
      <c r="DM422" s="2">
        <v>4</v>
      </c>
      <c r="DP422" s="249"/>
      <c r="DT422" s="11"/>
      <c r="DU422" s="11"/>
      <c r="DV422" s="11"/>
      <c r="DW422" s="237">
        <v>9</v>
      </c>
      <c r="DX422" s="102"/>
    </row>
    <row r="423" spans="1:128">
      <c r="A423" s="102">
        <v>313</v>
      </c>
      <c r="B423" s="256">
        <v>8</v>
      </c>
      <c r="P423" s="11"/>
      <c r="Q423" s="11"/>
      <c r="S423" s="249"/>
      <c r="V423" s="2">
        <v>102</v>
      </c>
      <c r="W423" s="2">
        <v>114</v>
      </c>
      <c r="X423" s="2">
        <v>233</v>
      </c>
      <c r="Y423" s="2">
        <v>379</v>
      </c>
      <c r="AB423" s="2"/>
      <c r="AD423" s="2">
        <v>91</v>
      </c>
      <c r="AE423" s="28">
        <v>242</v>
      </c>
      <c r="AF423" s="2">
        <v>189</v>
      </c>
      <c r="AG423" s="2">
        <v>96</v>
      </c>
      <c r="AM423" s="102">
        <f t="shared" si="91"/>
        <v>1446</v>
      </c>
      <c r="AN423" s="257">
        <f t="shared" si="92"/>
        <v>1446</v>
      </c>
      <c r="AO423" s="8">
        <f t="shared" si="93"/>
        <v>825</v>
      </c>
      <c r="AP423" s="501">
        <v>621</v>
      </c>
      <c r="AW423" s="8">
        <f t="shared" si="94"/>
        <v>233</v>
      </c>
      <c r="AX423" s="11">
        <f t="shared" si="95"/>
        <v>379</v>
      </c>
      <c r="AY423" s="8">
        <f t="shared" si="96"/>
        <v>0</v>
      </c>
      <c r="AZ423" s="234">
        <f t="shared" si="97"/>
        <v>0</v>
      </c>
      <c r="BD423" s="11"/>
      <c r="BG423" s="11"/>
      <c r="CG423" s="239"/>
      <c r="CH423" s="239"/>
      <c r="CI423" s="239"/>
      <c r="CJ423" s="239"/>
      <c r="CK423" s="239"/>
      <c r="DM423" s="2">
        <v>4</v>
      </c>
      <c r="DP423" s="249"/>
      <c r="DT423" s="11"/>
      <c r="DU423" s="11"/>
      <c r="DV423" s="11"/>
      <c r="DW423" s="237">
        <v>9</v>
      </c>
      <c r="DX423" s="102"/>
    </row>
    <row r="424" spans="1:128">
      <c r="A424" s="102">
        <v>314</v>
      </c>
      <c r="B424" s="256">
        <v>8</v>
      </c>
      <c r="P424" s="11"/>
      <c r="Q424" s="11"/>
      <c r="S424" s="249"/>
      <c r="V424" s="2">
        <v>103</v>
      </c>
      <c r="W424" s="2">
        <v>197</v>
      </c>
      <c r="X424" s="2">
        <v>319</v>
      </c>
      <c r="Y424" s="2">
        <v>268</v>
      </c>
      <c r="AB424" s="2"/>
      <c r="AD424" s="2">
        <v>97</v>
      </c>
      <c r="AE424" s="28">
        <v>80</v>
      </c>
      <c r="AF424" s="2">
        <v>143</v>
      </c>
      <c r="AG424" s="2">
        <v>220</v>
      </c>
      <c r="AM424" s="102">
        <f t="shared" si="91"/>
        <v>1427</v>
      </c>
      <c r="AN424" s="257">
        <f t="shared" si="92"/>
        <v>1427</v>
      </c>
      <c r="AO424" s="8">
        <f t="shared" si="93"/>
        <v>1079</v>
      </c>
      <c r="AP424" s="501">
        <v>348</v>
      </c>
      <c r="AW424" s="8">
        <f t="shared" si="94"/>
        <v>319</v>
      </c>
      <c r="AX424" s="11">
        <f t="shared" si="95"/>
        <v>268</v>
      </c>
      <c r="AY424" s="8">
        <f t="shared" si="96"/>
        <v>0</v>
      </c>
      <c r="AZ424" s="234">
        <f t="shared" si="97"/>
        <v>0</v>
      </c>
      <c r="BD424" s="11"/>
      <c r="BG424" s="11"/>
      <c r="CG424" s="239"/>
      <c r="CH424" s="239"/>
      <c r="CI424" s="239"/>
      <c r="CJ424" s="239"/>
      <c r="CK424" s="239"/>
      <c r="DM424" s="2">
        <v>4</v>
      </c>
      <c r="DP424" s="249"/>
      <c r="DT424" s="11"/>
      <c r="DU424" s="11"/>
      <c r="DV424" s="11"/>
      <c r="DW424" s="237">
        <v>13.4</v>
      </c>
      <c r="DX424" s="102"/>
    </row>
    <row r="425" spans="1:128">
      <c r="A425" s="102">
        <v>315</v>
      </c>
      <c r="B425" s="256">
        <v>8</v>
      </c>
      <c r="P425" s="11"/>
      <c r="Q425" s="11"/>
      <c r="S425" s="249"/>
      <c r="V425" s="2">
        <v>116</v>
      </c>
      <c r="W425" s="2">
        <v>171</v>
      </c>
      <c r="X425" s="2">
        <v>188</v>
      </c>
      <c r="Y425" s="2">
        <v>247</v>
      </c>
      <c r="AB425" s="2"/>
      <c r="AD425" s="2">
        <v>78</v>
      </c>
      <c r="AE425" s="28">
        <v>178</v>
      </c>
      <c r="AF425" s="2">
        <v>147</v>
      </c>
      <c r="AG425" s="2">
        <v>207</v>
      </c>
      <c r="AM425" s="102">
        <f t="shared" si="91"/>
        <v>1332</v>
      </c>
      <c r="AN425" s="257">
        <f t="shared" si="92"/>
        <v>1332</v>
      </c>
      <c r="AO425" s="8">
        <f t="shared" si="93"/>
        <v>907</v>
      </c>
      <c r="AP425" s="501">
        <v>425</v>
      </c>
      <c r="AW425" s="8">
        <f t="shared" si="94"/>
        <v>188</v>
      </c>
      <c r="AX425" s="11">
        <f t="shared" si="95"/>
        <v>247</v>
      </c>
      <c r="AY425" s="8">
        <f t="shared" si="96"/>
        <v>0</v>
      </c>
      <c r="AZ425" s="234">
        <f t="shared" si="97"/>
        <v>0</v>
      </c>
      <c r="BD425" s="11"/>
      <c r="BG425" s="11"/>
      <c r="CG425" s="239"/>
      <c r="CH425" s="239"/>
      <c r="CI425" s="239"/>
      <c r="CJ425" s="239"/>
      <c r="CK425" s="239"/>
      <c r="DM425" s="2">
        <v>4</v>
      </c>
      <c r="DP425" s="249"/>
      <c r="DT425" s="11"/>
      <c r="DU425" s="11"/>
      <c r="DV425" s="11"/>
      <c r="DW425" s="237">
        <v>9.1999999999999993</v>
      </c>
      <c r="DX425" s="102"/>
    </row>
    <row r="426" spans="1:128">
      <c r="A426" s="102">
        <v>316</v>
      </c>
      <c r="B426" s="256">
        <v>8</v>
      </c>
      <c r="P426" s="11"/>
      <c r="Q426" s="11"/>
      <c r="S426" s="249"/>
      <c r="V426" s="2">
        <v>61</v>
      </c>
      <c r="W426" s="2">
        <v>158</v>
      </c>
      <c r="X426" s="2">
        <v>132</v>
      </c>
      <c r="Y426" s="2">
        <v>206</v>
      </c>
      <c r="AB426" s="2"/>
      <c r="AD426" s="2">
        <v>60</v>
      </c>
      <c r="AE426" s="28">
        <v>106</v>
      </c>
      <c r="AF426" s="2">
        <v>136</v>
      </c>
      <c r="AG426" s="2">
        <v>176</v>
      </c>
      <c r="AM426" s="102">
        <f t="shared" si="91"/>
        <v>1035</v>
      </c>
      <c r="AN426" s="257">
        <f t="shared" si="92"/>
        <v>1035</v>
      </c>
      <c r="AO426" s="8">
        <f t="shared" si="93"/>
        <v>723</v>
      </c>
      <c r="AP426" s="501">
        <v>312</v>
      </c>
      <c r="AW426" s="8">
        <f t="shared" si="94"/>
        <v>132</v>
      </c>
      <c r="AX426" s="11">
        <f t="shared" si="95"/>
        <v>206</v>
      </c>
      <c r="AY426" s="8">
        <f t="shared" si="96"/>
        <v>0</v>
      </c>
      <c r="AZ426" s="234">
        <f t="shared" si="97"/>
        <v>0</v>
      </c>
      <c r="BD426" s="11"/>
      <c r="BG426" s="11"/>
      <c r="CG426" s="239"/>
      <c r="CH426" s="239"/>
      <c r="CI426" s="239"/>
      <c r="CJ426" s="239"/>
      <c r="CK426" s="239"/>
      <c r="DM426" s="2">
        <v>4</v>
      </c>
      <c r="DP426" s="249"/>
      <c r="DT426" s="11"/>
      <c r="DU426" s="11"/>
      <c r="DV426" s="11"/>
      <c r="DW426" s="237">
        <v>10.5</v>
      </c>
      <c r="DX426" s="102"/>
    </row>
    <row r="427" spans="1:128">
      <c r="A427" s="102">
        <v>317</v>
      </c>
      <c r="B427" s="256">
        <v>8</v>
      </c>
      <c r="P427" s="11"/>
      <c r="Q427" s="11"/>
      <c r="S427" s="249"/>
      <c r="V427" s="2">
        <v>101</v>
      </c>
      <c r="W427" s="2">
        <v>248</v>
      </c>
      <c r="X427" s="2">
        <v>269</v>
      </c>
      <c r="Y427" s="2">
        <v>339</v>
      </c>
      <c r="AB427" s="2"/>
      <c r="AD427" s="2">
        <v>113</v>
      </c>
      <c r="AE427" s="28">
        <v>230</v>
      </c>
      <c r="AF427" s="2">
        <v>149</v>
      </c>
      <c r="AG427" s="2">
        <v>197</v>
      </c>
      <c r="AM427" s="102">
        <f t="shared" si="91"/>
        <v>1646</v>
      </c>
      <c r="AN427" s="257">
        <f t="shared" si="92"/>
        <v>1646</v>
      </c>
      <c r="AO427" s="8">
        <f t="shared" si="93"/>
        <v>1077</v>
      </c>
      <c r="AP427" s="501">
        <v>569</v>
      </c>
      <c r="AW427" s="8">
        <f t="shared" si="94"/>
        <v>269</v>
      </c>
      <c r="AX427" s="11">
        <f t="shared" si="95"/>
        <v>339</v>
      </c>
      <c r="AY427" s="8">
        <f t="shared" si="96"/>
        <v>0</v>
      </c>
      <c r="AZ427" s="234">
        <f t="shared" si="97"/>
        <v>0</v>
      </c>
      <c r="BD427" s="11"/>
      <c r="BG427" s="11"/>
      <c r="CG427" s="239"/>
      <c r="CH427" s="239"/>
      <c r="CI427" s="239"/>
      <c r="CJ427" s="239"/>
      <c r="CK427" s="239"/>
      <c r="DM427" s="2">
        <v>4</v>
      </c>
      <c r="DP427" s="249"/>
      <c r="DT427" s="11"/>
      <c r="DU427" s="11"/>
      <c r="DV427" s="11"/>
      <c r="DW427" s="237">
        <v>15.8</v>
      </c>
      <c r="DX427" s="102"/>
    </row>
    <row r="428" spans="1:128">
      <c r="A428" s="102">
        <v>318</v>
      </c>
      <c r="B428" s="256">
        <v>8</v>
      </c>
      <c r="P428" s="11"/>
      <c r="Q428" s="11"/>
      <c r="S428" s="249"/>
      <c r="V428" s="2">
        <v>122</v>
      </c>
      <c r="W428" s="2">
        <v>209</v>
      </c>
      <c r="X428" s="2">
        <v>226</v>
      </c>
      <c r="Y428" s="2">
        <v>302</v>
      </c>
      <c r="AB428" s="2"/>
      <c r="AD428" s="2">
        <v>101</v>
      </c>
      <c r="AE428" s="28">
        <v>174</v>
      </c>
      <c r="AF428" s="2">
        <v>163</v>
      </c>
      <c r="AG428" s="2">
        <v>135</v>
      </c>
      <c r="AM428" s="102">
        <f t="shared" si="91"/>
        <v>1432</v>
      </c>
      <c r="AN428" s="257">
        <f t="shared" si="92"/>
        <v>1432</v>
      </c>
      <c r="AO428" s="8">
        <f t="shared" si="93"/>
        <v>956</v>
      </c>
      <c r="AP428" s="501">
        <v>476</v>
      </c>
      <c r="AW428" s="8">
        <f t="shared" si="94"/>
        <v>226</v>
      </c>
      <c r="AX428" s="11">
        <f t="shared" si="95"/>
        <v>302</v>
      </c>
      <c r="AY428" s="8">
        <f t="shared" si="96"/>
        <v>0</v>
      </c>
      <c r="AZ428" s="234">
        <f t="shared" si="97"/>
        <v>0</v>
      </c>
      <c r="BD428" s="11"/>
      <c r="BG428" s="11"/>
      <c r="CG428" s="239"/>
      <c r="CH428" s="239"/>
      <c r="CI428" s="239"/>
      <c r="CJ428" s="239"/>
      <c r="CK428" s="239"/>
      <c r="DM428" s="2">
        <v>4</v>
      </c>
      <c r="DP428" s="249"/>
      <c r="DT428" s="11"/>
      <c r="DU428" s="11"/>
      <c r="DV428" s="11"/>
      <c r="DW428" s="237">
        <v>13.7</v>
      </c>
      <c r="DX428" s="102"/>
    </row>
    <row r="429" spans="1:128">
      <c r="A429" s="102">
        <v>319</v>
      </c>
      <c r="B429" s="256">
        <v>8</v>
      </c>
      <c r="P429" s="11"/>
      <c r="Q429" s="11"/>
      <c r="S429" s="249"/>
      <c r="V429" s="2">
        <v>52</v>
      </c>
      <c r="W429" s="2">
        <v>221</v>
      </c>
      <c r="X429" s="2">
        <v>214</v>
      </c>
      <c r="Y429" s="2">
        <v>245</v>
      </c>
      <c r="AB429" s="2"/>
      <c r="AD429" s="2">
        <v>121</v>
      </c>
      <c r="AE429" s="28">
        <v>147</v>
      </c>
      <c r="AF429" s="2">
        <v>121</v>
      </c>
      <c r="AG429" s="2">
        <v>213</v>
      </c>
      <c r="AM429" s="102">
        <f t="shared" si="91"/>
        <v>1334</v>
      </c>
      <c r="AN429" s="257">
        <f t="shared" si="92"/>
        <v>1334</v>
      </c>
      <c r="AO429" s="8">
        <f t="shared" si="93"/>
        <v>942</v>
      </c>
      <c r="AP429" s="501">
        <v>392</v>
      </c>
      <c r="AW429" s="8">
        <f t="shared" si="94"/>
        <v>214</v>
      </c>
      <c r="AX429" s="11">
        <f t="shared" si="95"/>
        <v>245</v>
      </c>
      <c r="AY429" s="8">
        <f t="shared" si="96"/>
        <v>0</v>
      </c>
      <c r="AZ429" s="234">
        <f t="shared" si="97"/>
        <v>0</v>
      </c>
      <c r="BD429" s="11"/>
      <c r="BG429" s="11"/>
      <c r="CG429" s="239"/>
      <c r="CH429" s="239"/>
      <c r="CI429" s="239"/>
      <c r="CJ429" s="239"/>
      <c r="CK429" s="239"/>
      <c r="DM429" s="2">
        <v>4</v>
      </c>
      <c r="DP429" s="249"/>
      <c r="DT429" s="11"/>
      <c r="DU429" s="11"/>
      <c r="DV429" s="11"/>
      <c r="DW429" s="237">
        <v>15.5</v>
      </c>
      <c r="DX429" s="102"/>
    </row>
    <row r="430" spans="1:128">
      <c r="A430" s="102">
        <v>320</v>
      </c>
      <c r="B430" s="256">
        <v>8</v>
      </c>
      <c r="P430" s="11"/>
      <c r="Q430" s="11"/>
      <c r="S430" s="249"/>
      <c r="V430" s="2">
        <v>77</v>
      </c>
      <c r="W430" s="2">
        <v>172</v>
      </c>
      <c r="X430" s="2">
        <v>208</v>
      </c>
      <c r="Y430" s="2">
        <v>327</v>
      </c>
      <c r="AB430" s="2"/>
      <c r="AD430" s="2">
        <v>72</v>
      </c>
      <c r="AE430" s="28">
        <v>160</v>
      </c>
      <c r="AF430" s="2">
        <v>89</v>
      </c>
      <c r="AG430" s="2">
        <v>149</v>
      </c>
      <c r="AM430" s="102">
        <f t="shared" si="91"/>
        <v>1254</v>
      </c>
      <c r="AN430" s="257">
        <f t="shared" si="92"/>
        <v>1254</v>
      </c>
      <c r="AO430" s="8">
        <f t="shared" si="93"/>
        <v>767</v>
      </c>
      <c r="AP430" s="501">
        <v>487</v>
      </c>
      <c r="AW430" s="8">
        <f t="shared" si="94"/>
        <v>208</v>
      </c>
      <c r="AX430" s="11">
        <f t="shared" si="95"/>
        <v>327</v>
      </c>
      <c r="AY430" s="8">
        <f t="shared" si="96"/>
        <v>0</v>
      </c>
      <c r="AZ430" s="234">
        <f t="shared" si="97"/>
        <v>0</v>
      </c>
      <c r="BD430" s="11"/>
      <c r="BG430" s="11"/>
      <c r="CG430" s="239"/>
      <c r="CH430" s="239"/>
      <c r="CI430" s="239"/>
      <c r="CJ430" s="239"/>
      <c r="CK430" s="239"/>
      <c r="DM430" s="2">
        <v>4</v>
      </c>
      <c r="DP430" s="249"/>
      <c r="DT430" s="11"/>
      <c r="DU430" s="11"/>
      <c r="DV430" s="11"/>
      <c r="DW430" s="237">
        <v>15</v>
      </c>
      <c r="DX430" s="102"/>
    </row>
    <row r="431" spans="1:128">
      <c r="A431" s="102">
        <v>321</v>
      </c>
      <c r="B431" s="256">
        <v>8</v>
      </c>
      <c r="P431" s="11"/>
      <c r="Q431" s="11"/>
      <c r="S431" s="249"/>
      <c r="V431" s="2">
        <v>78</v>
      </c>
      <c r="W431" s="2">
        <v>242</v>
      </c>
      <c r="X431" s="2">
        <v>156</v>
      </c>
      <c r="Y431" s="2">
        <v>229</v>
      </c>
      <c r="AB431" s="2"/>
      <c r="AD431" s="2">
        <v>79</v>
      </c>
      <c r="AE431" s="28">
        <v>152</v>
      </c>
      <c r="AF431" s="2">
        <v>126</v>
      </c>
      <c r="AG431" s="2">
        <v>140</v>
      </c>
      <c r="AM431" s="102">
        <f t="shared" si="91"/>
        <v>1202</v>
      </c>
      <c r="AN431" s="257">
        <f t="shared" si="92"/>
        <v>1202</v>
      </c>
      <c r="AO431" s="8">
        <f t="shared" si="93"/>
        <v>821</v>
      </c>
      <c r="AP431" s="501">
        <v>381</v>
      </c>
      <c r="AW431" s="8">
        <f t="shared" si="94"/>
        <v>156</v>
      </c>
      <c r="AX431" s="11">
        <f t="shared" si="95"/>
        <v>229</v>
      </c>
      <c r="AY431" s="8">
        <f t="shared" si="96"/>
        <v>0</v>
      </c>
      <c r="AZ431" s="234">
        <f t="shared" si="97"/>
        <v>0</v>
      </c>
      <c r="BD431" s="11"/>
      <c r="BG431" s="11"/>
      <c r="CG431" s="239"/>
      <c r="CH431" s="239"/>
      <c r="CI431" s="239"/>
      <c r="CJ431" s="239"/>
      <c r="CK431" s="239"/>
      <c r="DM431" s="2">
        <v>4</v>
      </c>
      <c r="DP431" s="249"/>
      <c r="DT431" s="11"/>
      <c r="DU431" s="11"/>
      <c r="DV431" s="11"/>
      <c r="DW431" s="237">
        <v>16.100000000000001</v>
      </c>
      <c r="DX431" s="102"/>
    </row>
    <row r="432" spans="1:128">
      <c r="A432" s="102">
        <v>322</v>
      </c>
      <c r="B432" s="256">
        <v>8</v>
      </c>
      <c r="P432" s="11"/>
      <c r="Q432" s="11"/>
      <c r="S432" s="249"/>
      <c r="V432" s="2">
        <v>134</v>
      </c>
      <c r="W432" s="2">
        <v>145</v>
      </c>
      <c r="X432" s="2">
        <v>248</v>
      </c>
      <c r="Y432" s="2">
        <v>260</v>
      </c>
      <c r="AB432" s="2"/>
      <c r="AD432" s="2">
        <v>95</v>
      </c>
      <c r="AE432" s="28">
        <v>160</v>
      </c>
      <c r="AF432" s="2">
        <v>138</v>
      </c>
      <c r="AG432" s="2">
        <v>194</v>
      </c>
      <c r="AM432" s="102">
        <f t="shared" si="91"/>
        <v>1374</v>
      </c>
      <c r="AN432" s="257">
        <f t="shared" si="92"/>
        <v>1374</v>
      </c>
      <c r="AO432" s="8">
        <f t="shared" si="93"/>
        <v>954</v>
      </c>
      <c r="AP432" s="501">
        <v>420</v>
      </c>
      <c r="AW432" s="8">
        <f t="shared" si="94"/>
        <v>248</v>
      </c>
      <c r="AX432" s="11">
        <f t="shared" si="95"/>
        <v>260</v>
      </c>
      <c r="AY432" s="8">
        <f t="shared" si="96"/>
        <v>0</v>
      </c>
      <c r="AZ432" s="234">
        <f t="shared" si="97"/>
        <v>0</v>
      </c>
      <c r="BD432" s="11"/>
      <c r="BG432" s="11"/>
      <c r="CG432" s="239"/>
      <c r="CH432" s="239"/>
      <c r="CI432" s="239"/>
      <c r="CJ432" s="239"/>
      <c r="CK432" s="239"/>
      <c r="DM432" s="2">
        <v>4</v>
      </c>
      <c r="DP432" s="249"/>
      <c r="DT432" s="11"/>
      <c r="DU432" s="11"/>
      <c r="DV432" s="11"/>
      <c r="DW432" s="237">
        <v>9</v>
      </c>
      <c r="DX432" s="102"/>
    </row>
    <row r="433" spans="1:128">
      <c r="A433" s="102">
        <v>323</v>
      </c>
      <c r="B433" s="256">
        <v>8</v>
      </c>
      <c r="P433" s="11"/>
      <c r="Q433" s="11"/>
      <c r="S433" s="249"/>
      <c r="V433" s="2">
        <v>86</v>
      </c>
      <c r="W433" s="2">
        <v>128</v>
      </c>
      <c r="X433" s="2">
        <v>187</v>
      </c>
      <c r="Y433" s="2">
        <v>309</v>
      </c>
      <c r="AB433" s="2"/>
      <c r="AD433" s="2">
        <v>100</v>
      </c>
      <c r="AE433" s="28">
        <v>209</v>
      </c>
      <c r="AF433" s="2">
        <v>144</v>
      </c>
      <c r="AG433" s="2">
        <v>225</v>
      </c>
      <c r="AM433" s="102">
        <f t="shared" si="91"/>
        <v>1388</v>
      </c>
      <c r="AN433" s="257">
        <f t="shared" si="92"/>
        <v>1388</v>
      </c>
      <c r="AO433" s="8">
        <f t="shared" si="93"/>
        <v>870</v>
      </c>
      <c r="AP433" s="501">
        <v>518</v>
      </c>
      <c r="AW433" s="8">
        <f t="shared" si="94"/>
        <v>187</v>
      </c>
      <c r="AX433" s="11">
        <f t="shared" si="95"/>
        <v>309</v>
      </c>
      <c r="AY433" s="8">
        <f t="shared" si="96"/>
        <v>0</v>
      </c>
      <c r="AZ433" s="234">
        <f t="shared" si="97"/>
        <v>0</v>
      </c>
      <c r="BD433" s="11"/>
      <c r="BG433" s="11"/>
      <c r="CG433" s="239"/>
      <c r="CH433" s="239"/>
      <c r="CI433" s="239"/>
      <c r="CJ433" s="239"/>
      <c r="CK433" s="239"/>
      <c r="DM433" s="2">
        <v>4</v>
      </c>
      <c r="DP433" s="249"/>
      <c r="DT433" s="11"/>
      <c r="DU433" s="11"/>
      <c r="DV433" s="11"/>
      <c r="DW433" s="237">
        <v>10.8</v>
      </c>
      <c r="DX433" s="102"/>
    </row>
    <row r="434" spans="1:128">
      <c r="A434" s="102">
        <v>324</v>
      </c>
      <c r="B434" s="256">
        <v>8</v>
      </c>
      <c r="P434" s="11"/>
      <c r="Q434" s="11"/>
      <c r="S434" s="249"/>
      <c r="V434" s="2">
        <v>96</v>
      </c>
      <c r="W434" s="2">
        <v>130</v>
      </c>
      <c r="X434" s="2">
        <v>141</v>
      </c>
      <c r="Y434" s="2">
        <v>237</v>
      </c>
      <c r="AB434" s="2"/>
      <c r="AD434" s="2">
        <v>45</v>
      </c>
      <c r="AE434" s="28">
        <v>141</v>
      </c>
      <c r="AF434" s="2">
        <v>184</v>
      </c>
      <c r="AG434" s="2">
        <v>138</v>
      </c>
      <c r="AM434" s="102">
        <f t="shared" si="91"/>
        <v>1112</v>
      </c>
      <c r="AN434" s="257">
        <f t="shared" si="92"/>
        <v>1112</v>
      </c>
      <c r="AO434" s="8">
        <f t="shared" si="93"/>
        <v>734</v>
      </c>
      <c r="AP434" s="501">
        <v>378</v>
      </c>
      <c r="AW434" s="8">
        <f t="shared" si="94"/>
        <v>141</v>
      </c>
      <c r="AX434" s="11">
        <f t="shared" si="95"/>
        <v>237</v>
      </c>
      <c r="AY434" s="8">
        <f t="shared" si="96"/>
        <v>0</v>
      </c>
      <c r="AZ434" s="234">
        <f t="shared" si="97"/>
        <v>0</v>
      </c>
      <c r="BD434" s="11"/>
      <c r="BG434" s="11"/>
      <c r="CG434" s="239"/>
      <c r="CH434" s="239"/>
      <c r="CI434" s="239"/>
      <c r="CJ434" s="239"/>
      <c r="CK434" s="239"/>
      <c r="DM434" s="2">
        <v>3</v>
      </c>
      <c r="DP434" s="249"/>
      <c r="DT434" s="11"/>
      <c r="DU434" s="11"/>
      <c r="DV434" s="11"/>
      <c r="DW434" s="237">
        <v>11.5</v>
      </c>
      <c r="DX434" s="102"/>
    </row>
    <row r="435" spans="1:128">
      <c r="A435" s="102">
        <v>325</v>
      </c>
      <c r="B435" s="256">
        <v>8</v>
      </c>
      <c r="P435" s="11"/>
      <c r="Q435" s="11"/>
      <c r="S435" s="249"/>
      <c r="V435" s="2">
        <v>150</v>
      </c>
      <c r="W435" s="2">
        <v>130</v>
      </c>
      <c r="X435" s="2">
        <v>87</v>
      </c>
      <c r="Y435" s="2">
        <v>374</v>
      </c>
      <c r="AB435" s="2"/>
      <c r="AD435" s="2">
        <v>23</v>
      </c>
      <c r="AE435" s="28">
        <v>228</v>
      </c>
      <c r="AF435" s="2">
        <v>103</v>
      </c>
      <c r="AG435" s="2">
        <v>134</v>
      </c>
      <c r="AM435" s="102">
        <f t="shared" si="91"/>
        <v>1229</v>
      </c>
      <c r="AN435" s="257">
        <f t="shared" si="92"/>
        <v>1229</v>
      </c>
      <c r="AO435" s="8">
        <f t="shared" si="93"/>
        <v>627</v>
      </c>
      <c r="AP435" s="501">
        <v>602</v>
      </c>
      <c r="AW435" s="8">
        <f t="shared" si="94"/>
        <v>87</v>
      </c>
      <c r="AX435" s="11">
        <f t="shared" si="95"/>
        <v>374</v>
      </c>
      <c r="AY435" s="8">
        <f t="shared" si="96"/>
        <v>0</v>
      </c>
      <c r="AZ435" s="234">
        <f t="shared" si="97"/>
        <v>0</v>
      </c>
      <c r="BD435" s="11"/>
      <c r="BG435" s="11"/>
      <c r="CG435" s="239"/>
      <c r="CH435" s="239"/>
      <c r="CI435" s="239"/>
      <c r="CJ435" s="239"/>
      <c r="CK435" s="239"/>
      <c r="DM435" s="2">
        <v>4</v>
      </c>
      <c r="DP435" s="249"/>
      <c r="DT435" s="11"/>
      <c r="DU435" s="11"/>
      <c r="DV435" s="11"/>
      <c r="DW435" s="237">
        <v>14.9</v>
      </c>
      <c r="DX435" s="102"/>
    </row>
    <row r="436" spans="1:128">
      <c r="A436" s="102">
        <v>326</v>
      </c>
      <c r="B436" s="256">
        <v>8</v>
      </c>
      <c r="P436" s="11"/>
      <c r="Q436" s="11"/>
      <c r="S436" s="249"/>
      <c r="V436" s="2">
        <v>98</v>
      </c>
      <c r="W436" s="2">
        <v>96</v>
      </c>
      <c r="X436" s="2">
        <v>76</v>
      </c>
      <c r="Y436" s="2">
        <v>296</v>
      </c>
      <c r="AB436" s="2"/>
      <c r="AD436" s="2">
        <v>41</v>
      </c>
      <c r="AE436" s="28">
        <v>177</v>
      </c>
      <c r="AF436" s="2">
        <v>114</v>
      </c>
      <c r="AG436" s="2">
        <v>116</v>
      </c>
      <c r="AM436" s="102">
        <f t="shared" ref="AM436:AM452" si="98">SUM(S436:AL436)</f>
        <v>1014</v>
      </c>
      <c r="AN436" s="257">
        <f t="shared" ref="AN436:AN452" si="99">R436+AM436</f>
        <v>1014</v>
      </c>
      <c r="AO436" s="8">
        <f t="shared" si="93"/>
        <v>541</v>
      </c>
      <c r="AP436" s="501">
        <v>473</v>
      </c>
      <c r="AW436" s="8">
        <f t="shared" ref="AW436:AW452" si="100">X436</f>
        <v>76</v>
      </c>
      <c r="AX436" s="11">
        <f t="shared" ref="AX436:AX452" si="101">Y436</f>
        <v>296</v>
      </c>
      <c r="AY436" s="8">
        <f t="shared" ref="AY436:AY452" si="102">AA436</f>
        <v>0</v>
      </c>
      <c r="AZ436" s="234">
        <f t="shared" ref="AZ436:AZ452" si="103">AB436</f>
        <v>0</v>
      </c>
      <c r="BD436" s="11"/>
      <c r="BG436" s="11"/>
      <c r="CG436" s="239"/>
      <c r="CH436" s="239"/>
      <c r="CI436" s="239"/>
      <c r="CJ436" s="239"/>
      <c r="CK436" s="239"/>
      <c r="DM436" s="2">
        <v>4</v>
      </c>
      <c r="DP436" s="249"/>
      <c r="DT436" s="11"/>
      <c r="DU436" s="11"/>
      <c r="DV436" s="11"/>
      <c r="DW436" s="237">
        <v>14</v>
      </c>
      <c r="DX436" s="102"/>
    </row>
    <row r="437" spans="1:128">
      <c r="A437" s="102">
        <v>327</v>
      </c>
      <c r="B437" s="256">
        <v>8</v>
      </c>
      <c r="P437" s="11"/>
      <c r="Q437" s="11"/>
      <c r="S437" s="249"/>
      <c r="V437" s="2">
        <v>112</v>
      </c>
      <c r="W437" s="2">
        <v>126</v>
      </c>
      <c r="X437" s="2">
        <v>238</v>
      </c>
      <c r="Y437" s="2">
        <v>313</v>
      </c>
      <c r="AB437" s="2"/>
      <c r="AD437" s="2">
        <v>97</v>
      </c>
      <c r="AE437" s="28">
        <v>241</v>
      </c>
      <c r="AF437" s="2">
        <v>128</v>
      </c>
      <c r="AG437" s="2">
        <v>116</v>
      </c>
      <c r="AM437" s="102">
        <f t="shared" si="98"/>
        <v>1371</v>
      </c>
      <c r="AN437" s="257">
        <f t="shared" si="99"/>
        <v>1371</v>
      </c>
      <c r="AO437" s="8">
        <f t="shared" si="93"/>
        <v>817</v>
      </c>
      <c r="AP437" s="501">
        <v>554</v>
      </c>
      <c r="AW437" s="8">
        <f t="shared" si="100"/>
        <v>238</v>
      </c>
      <c r="AX437" s="11">
        <f t="shared" si="101"/>
        <v>313</v>
      </c>
      <c r="AY437" s="8">
        <f t="shared" si="102"/>
        <v>0</v>
      </c>
      <c r="AZ437" s="234">
        <f t="shared" si="103"/>
        <v>0</v>
      </c>
      <c r="BD437" s="11"/>
      <c r="BG437" s="11"/>
      <c r="CG437" s="239"/>
      <c r="CH437" s="239"/>
      <c r="CI437" s="239"/>
      <c r="CJ437" s="239"/>
      <c r="CK437" s="239"/>
      <c r="DM437" s="2">
        <v>3</v>
      </c>
      <c r="DP437" s="249"/>
      <c r="DT437" s="11"/>
      <c r="DU437" s="11"/>
      <c r="DV437" s="11"/>
      <c r="DW437" s="237">
        <v>10.5</v>
      </c>
      <c r="DX437" s="102"/>
    </row>
    <row r="438" spans="1:128">
      <c r="A438" s="102">
        <v>328</v>
      </c>
      <c r="B438" s="256">
        <v>8</v>
      </c>
      <c r="P438" s="11"/>
      <c r="Q438" s="11"/>
      <c r="S438" s="249"/>
      <c r="V438" s="2">
        <v>126</v>
      </c>
      <c r="W438" s="2">
        <v>103</v>
      </c>
      <c r="X438" s="2">
        <v>235</v>
      </c>
      <c r="Y438" s="2">
        <v>278</v>
      </c>
      <c r="AB438" s="2"/>
      <c r="AD438" s="2">
        <v>0</v>
      </c>
      <c r="AE438" s="28">
        <v>189</v>
      </c>
      <c r="AF438" s="2">
        <v>125</v>
      </c>
      <c r="AG438" s="2">
        <v>86</v>
      </c>
      <c r="AM438" s="102">
        <f t="shared" si="98"/>
        <v>1142</v>
      </c>
      <c r="AN438" s="257">
        <f t="shared" si="99"/>
        <v>1142</v>
      </c>
      <c r="AO438" s="8">
        <f t="shared" si="93"/>
        <v>675</v>
      </c>
      <c r="AP438" s="501">
        <v>467</v>
      </c>
      <c r="AW438" s="8">
        <f t="shared" si="100"/>
        <v>235</v>
      </c>
      <c r="AX438" s="11">
        <f t="shared" si="101"/>
        <v>278</v>
      </c>
      <c r="AY438" s="8">
        <f t="shared" si="102"/>
        <v>0</v>
      </c>
      <c r="AZ438" s="234">
        <f t="shared" si="103"/>
        <v>0</v>
      </c>
      <c r="BD438" s="11"/>
      <c r="BG438" s="11"/>
      <c r="CG438" s="239"/>
      <c r="CH438" s="239"/>
      <c r="CI438" s="239"/>
      <c r="CJ438" s="239"/>
      <c r="CK438" s="239"/>
      <c r="DM438" s="2">
        <v>4</v>
      </c>
      <c r="DP438" s="249"/>
      <c r="DT438" s="11"/>
      <c r="DU438" s="11"/>
      <c r="DV438" s="11"/>
      <c r="DW438" s="237">
        <v>11.9</v>
      </c>
      <c r="DX438" s="102"/>
    </row>
    <row r="439" spans="1:128">
      <c r="A439" s="102">
        <v>329</v>
      </c>
      <c r="B439" s="256">
        <v>8</v>
      </c>
      <c r="P439" s="11"/>
      <c r="Q439" s="11"/>
      <c r="S439" s="249"/>
      <c r="V439" s="2">
        <v>81</v>
      </c>
      <c r="W439" s="2">
        <v>99</v>
      </c>
      <c r="X439" s="2">
        <v>246</v>
      </c>
      <c r="Y439" s="2">
        <v>271</v>
      </c>
      <c r="AB439" s="2"/>
      <c r="AD439" s="2">
        <v>119</v>
      </c>
      <c r="AE439" s="28">
        <v>152</v>
      </c>
      <c r="AF439" s="2">
        <v>62</v>
      </c>
      <c r="AG439" s="2">
        <v>123</v>
      </c>
      <c r="AM439" s="102">
        <f t="shared" si="98"/>
        <v>1153</v>
      </c>
      <c r="AN439" s="257">
        <f t="shared" si="99"/>
        <v>1153</v>
      </c>
      <c r="AO439" s="8">
        <f t="shared" si="93"/>
        <v>730</v>
      </c>
      <c r="AP439" s="501">
        <v>423</v>
      </c>
      <c r="AW439" s="8">
        <f t="shared" si="100"/>
        <v>246</v>
      </c>
      <c r="AX439" s="11">
        <f t="shared" si="101"/>
        <v>271</v>
      </c>
      <c r="AY439" s="8">
        <f t="shared" si="102"/>
        <v>0</v>
      </c>
      <c r="AZ439" s="234">
        <f t="shared" si="103"/>
        <v>0</v>
      </c>
      <c r="BD439" s="11"/>
      <c r="BG439" s="11"/>
      <c r="CG439" s="239"/>
      <c r="CH439" s="239"/>
      <c r="CI439" s="239"/>
      <c r="CJ439" s="239"/>
      <c r="CK439" s="239"/>
      <c r="DM439" s="2">
        <v>4</v>
      </c>
      <c r="DP439" s="249"/>
      <c r="DT439" s="11"/>
      <c r="DU439" s="11"/>
      <c r="DV439" s="11"/>
      <c r="DW439" s="237">
        <v>8.1</v>
      </c>
      <c r="DX439" s="102"/>
    </row>
    <row r="440" spans="1:128">
      <c r="A440" s="102">
        <v>330</v>
      </c>
      <c r="B440" s="256">
        <v>8</v>
      </c>
      <c r="P440" s="11"/>
      <c r="Q440" s="11"/>
      <c r="S440" s="249"/>
      <c r="V440" s="2">
        <v>65</v>
      </c>
      <c r="W440" s="2">
        <v>122</v>
      </c>
      <c r="X440" s="2">
        <v>105</v>
      </c>
      <c r="Y440" s="2">
        <v>233</v>
      </c>
      <c r="AB440" s="2"/>
      <c r="AD440" s="2">
        <v>105</v>
      </c>
      <c r="AE440" s="28">
        <v>148</v>
      </c>
      <c r="AF440" s="2">
        <v>109</v>
      </c>
      <c r="AG440" s="2">
        <v>146</v>
      </c>
      <c r="AM440" s="102">
        <f t="shared" si="98"/>
        <v>1033</v>
      </c>
      <c r="AN440" s="257">
        <f t="shared" si="99"/>
        <v>1033</v>
      </c>
      <c r="AO440" s="8">
        <f t="shared" si="93"/>
        <v>652</v>
      </c>
      <c r="AP440" s="501">
        <v>381</v>
      </c>
      <c r="AW440" s="8">
        <f t="shared" si="100"/>
        <v>105</v>
      </c>
      <c r="AX440" s="11">
        <f t="shared" si="101"/>
        <v>233</v>
      </c>
      <c r="AY440" s="8">
        <f t="shared" si="102"/>
        <v>0</v>
      </c>
      <c r="AZ440" s="234">
        <f t="shared" si="103"/>
        <v>0</v>
      </c>
      <c r="BD440" s="11"/>
      <c r="BG440" s="11"/>
      <c r="CG440" s="239"/>
      <c r="CH440" s="239"/>
      <c r="CI440" s="239"/>
      <c r="CJ440" s="239"/>
      <c r="CK440" s="239"/>
      <c r="DM440" s="2">
        <v>3</v>
      </c>
      <c r="DP440" s="249"/>
      <c r="DT440" s="11"/>
      <c r="DU440" s="11"/>
      <c r="DV440" s="11"/>
      <c r="DW440" s="237">
        <v>4.4000000000000004</v>
      </c>
      <c r="DX440" s="102"/>
    </row>
    <row r="441" spans="1:128">
      <c r="A441" s="102">
        <v>331</v>
      </c>
      <c r="B441" s="256">
        <v>8</v>
      </c>
      <c r="P441" s="11"/>
      <c r="Q441" s="11"/>
      <c r="S441" s="249"/>
      <c r="V441" s="2">
        <v>97</v>
      </c>
      <c r="W441" s="2">
        <v>129</v>
      </c>
      <c r="X441" s="2">
        <v>100</v>
      </c>
      <c r="Y441" s="2">
        <v>234</v>
      </c>
      <c r="AB441" s="2"/>
      <c r="AD441" s="2">
        <v>110</v>
      </c>
      <c r="AE441" s="28">
        <v>145</v>
      </c>
      <c r="AF441" s="2">
        <v>108</v>
      </c>
      <c r="AG441" s="2">
        <v>133</v>
      </c>
      <c r="AM441" s="102">
        <f t="shared" si="98"/>
        <v>1056</v>
      </c>
      <c r="AN441" s="257">
        <f t="shared" si="99"/>
        <v>1056</v>
      </c>
      <c r="AO441" s="8">
        <f t="shared" si="93"/>
        <v>677</v>
      </c>
      <c r="AP441" s="501">
        <v>379</v>
      </c>
      <c r="AW441" s="8">
        <f t="shared" si="100"/>
        <v>100</v>
      </c>
      <c r="AX441" s="11">
        <f t="shared" si="101"/>
        <v>234</v>
      </c>
      <c r="AY441" s="8">
        <f t="shared" si="102"/>
        <v>0</v>
      </c>
      <c r="AZ441" s="234">
        <f t="shared" si="103"/>
        <v>0</v>
      </c>
      <c r="BD441" s="11"/>
      <c r="BG441" s="11"/>
      <c r="CG441" s="239"/>
      <c r="CH441" s="239"/>
      <c r="CI441" s="239"/>
      <c r="CJ441" s="239"/>
      <c r="CK441" s="239"/>
      <c r="DM441" s="2">
        <v>3</v>
      </c>
      <c r="DP441" s="249"/>
      <c r="DT441" s="11"/>
      <c r="DU441" s="11"/>
      <c r="DV441" s="11"/>
      <c r="DW441" s="237">
        <v>4.5999999999999996</v>
      </c>
      <c r="DX441" s="102"/>
    </row>
    <row r="442" spans="1:128">
      <c r="A442" s="102">
        <v>332</v>
      </c>
      <c r="B442" s="256">
        <v>8</v>
      </c>
      <c r="P442" s="11"/>
      <c r="Q442" s="11"/>
      <c r="S442" s="249"/>
      <c r="V442" s="2">
        <v>158</v>
      </c>
      <c r="W442" s="2">
        <v>176</v>
      </c>
      <c r="X442" s="2">
        <v>166</v>
      </c>
      <c r="Y442" s="2">
        <v>194</v>
      </c>
      <c r="AB442" s="2"/>
      <c r="AD442" s="2">
        <v>121</v>
      </c>
      <c r="AE442" s="28">
        <v>120</v>
      </c>
      <c r="AF442" s="2">
        <v>157</v>
      </c>
      <c r="AG442" s="2">
        <v>117</v>
      </c>
      <c r="AM442" s="102">
        <f t="shared" si="98"/>
        <v>1209</v>
      </c>
      <c r="AN442" s="257">
        <f t="shared" si="99"/>
        <v>1209</v>
      </c>
      <c r="AO442" s="8">
        <f t="shared" si="93"/>
        <v>1209</v>
      </c>
      <c r="AP442" s="501"/>
      <c r="AW442" s="8">
        <f t="shared" si="100"/>
        <v>166</v>
      </c>
      <c r="AX442" s="11">
        <f t="shared" si="101"/>
        <v>194</v>
      </c>
      <c r="AY442" s="8">
        <f t="shared" si="102"/>
        <v>0</v>
      </c>
      <c r="AZ442" s="234">
        <f t="shared" si="103"/>
        <v>0</v>
      </c>
      <c r="BD442" s="11"/>
      <c r="BG442" s="11"/>
      <c r="CG442" s="239"/>
      <c r="CH442" s="239"/>
      <c r="CI442" s="239"/>
      <c r="CJ442" s="239"/>
      <c r="CK442" s="239"/>
      <c r="DM442" s="2">
        <v>3</v>
      </c>
      <c r="DP442" s="249"/>
      <c r="DT442" s="11"/>
      <c r="DU442" s="11"/>
      <c r="DV442" s="11"/>
      <c r="DW442" s="237">
        <v>9.4</v>
      </c>
      <c r="DX442" s="102"/>
    </row>
    <row r="443" spans="1:128">
      <c r="A443" s="102">
        <v>333</v>
      </c>
      <c r="B443" s="256">
        <v>8</v>
      </c>
      <c r="P443" s="11"/>
      <c r="Q443" s="11"/>
      <c r="S443" s="249"/>
      <c r="V443" s="2">
        <v>113</v>
      </c>
      <c r="W443" s="2">
        <v>181</v>
      </c>
      <c r="X443" s="2">
        <v>283</v>
      </c>
      <c r="Y443" s="2">
        <v>260</v>
      </c>
      <c r="AB443" s="2"/>
      <c r="AD443" s="2">
        <v>110</v>
      </c>
      <c r="AE443" s="28">
        <v>152</v>
      </c>
      <c r="AF443" s="2">
        <v>131</v>
      </c>
      <c r="AG443" s="2">
        <v>159</v>
      </c>
      <c r="AM443" s="102">
        <f t="shared" si="98"/>
        <v>1389</v>
      </c>
      <c r="AN443" s="257">
        <f t="shared" si="99"/>
        <v>1389</v>
      </c>
      <c r="AO443" s="8">
        <f t="shared" si="93"/>
        <v>1389</v>
      </c>
      <c r="AP443" s="501"/>
      <c r="AW443" s="8">
        <f t="shared" si="100"/>
        <v>283</v>
      </c>
      <c r="AX443" s="11">
        <f t="shared" si="101"/>
        <v>260</v>
      </c>
      <c r="AY443" s="8">
        <f t="shared" si="102"/>
        <v>0</v>
      </c>
      <c r="AZ443" s="234">
        <f t="shared" si="103"/>
        <v>0</v>
      </c>
      <c r="BD443" s="11"/>
      <c r="BG443" s="11"/>
      <c r="CG443" s="239"/>
      <c r="CH443" s="239"/>
      <c r="CI443" s="239"/>
      <c r="CJ443" s="239"/>
      <c r="CK443" s="239"/>
      <c r="DM443" s="2">
        <v>4</v>
      </c>
      <c r="DP443" s="249"/>
      <c r="DT443" s="11"/>
      <c r="DU443" s="11"/>
      <c r="DV443" s="11"/>
      <c r="DW443" s="237">
        <v>11.4</v>
      </c>
      <c r="DX443" s="102"/>
    </row>
    <row r="444" spans="1:128">
      <c r="A444" s="102">
        <v>334</v>
      </c>
      <c r="B444" s="256">
        <v>8</v>
      </c>
      <c r="P444" s="11"/>
      <c r="Q444" s="11"/>
      <c r="S444" s="249"/>
      <c r="V444" s="2">
        <v>114</v>
      </c>
      <c r="W444" s="2">
        <v>164</v>
      </c>
      <c r="X444" s="2">
        <v>160</v>
      </c>
      <c r="Y444" s="2">
        <v>322</v>
      </c>
      <c r="AB444" s="2"/>
      <c r="AD444" s="2">
        <v>53</v>
      </c>
      <c r="AE444" s="28">
        <v>165</v>
      </c>
      <c r="AF444" s="2">
        <v>143</v>
      </c>
      <c r="AG444" s="2">
        <v>151</v>
      </c>
      <c r="AM444" s="102">
        <f t="shared" si="98"/>
        <v>1272</v>
      </c>
      <c r="AN444" s="257">
        <f t="shared" si="99"/>
        <v>1272</v>
      </c>
      <c r="AO444" s="8">
        <f t="shared" si="93"/>
        <v>1059</v>
      </c>
      <c r="AP444" s="501">
        <v>213</v>
      </c>
      <c r="AW444" s="8">
        <f t="shared" si="100"/>
        <v>160</v>
      </c>
      <c r="AX444" s="11">
        <f t="shared" si="101"/>
        <v>322</v>
      </c>
      <c r="AY444" s="8">
        <f t="shared" si="102"/>
        <v>0</v>
      </c>
      <c r="AZ444" s="234">
        <f t="shared" si="103"/>
        <v>0</v>
      </c>
      <c r="BD444" s="11"/>
      <c r="BG444" s="11"/>
      <c r="CG444" s="239"/>
      <c r="CH444" s="239"/>
      <c r="CI444" s="239"/>
      <c r="CJ444" s="239"/>
      <c r="CK444" s="239"/>
      <c r="DM444" s="2">
        <v>4</v>
      </c>
      <c r="DP444" s="249"/>
      <c r="DT444" s="11"/>
      <c r="DU444" s="11"/>
      <c r="DV444" s="11"/>
      <c r="DW444" s="237">
        <v>12.6</v>
      </c>
      <c r="DX444" s="102"/>
    </row>
    <row r="445" spans="1:128">
      <c r="A445" s="102">
        <v>335</v>
      </c>
      <c r="B445" s="256">
        <v>8</v>
      </c>
      <c r="P445" s="11"/>
      <c r="Q445" s="11"/>
      <c r="S445" s="249"/>
      <c r="V445" s="2">
        <v>150</v>
      </c>
      <c r="W445" s="2">
        <v>265</v>
      </c>
      <c r="X445" s="2">
        <v>372</v>
      </c>
      <c r="Y445" s="2">
        <v>348</v>
      </c>
      <c r="AB445" s="2"/>
      <c r="AD445" s="2">
        <v>132</v>
      </c>
      <c r="AE445" s="28">
        <v>214</v>
      </c>
      <c r="AF445" s="2">
        <v>192</v>
      </c>
      <c r="AG445" s="2">
        <v>262</v>
      </c>
      <c r="AM445" s="102">
        <f t="shared" si="98"/>
        <v>1935</v>
      </c>
      <c r="AN445" s="257">
        <f t="shared" si="99"/>
        <v>1935</v>
      </c>
      <c r="AO445" s="8">
        <f t="shared" si="93"/>
        <v>1431</v>
      </c>
      <c r="AP445" s="501">
        <v>504</v>
      </c>
      <c r="AW445" s="8">
        <f t="shared" si="100"/>
        <v>372</v>
      </c>
      <c r="AX445" s="11">
        <f t="shared" si="101"/>
        <v>348</v>
      </c>
      <c r="AY445" s="8">
        <f t="shared" si="102"/>
        <v>0</v>
      </c>
      <c r="AZ445" s="234">
        <f t="shared" si="103"/>
        <v>0</v>
      </c>
      <c r="BD445" s="11"/>
      <c r="BG445" s="11"/>
      <c r="CG445" s="239"/>
      <c r="CH445" s="239"/>
      <c r="CI445" s="239"/>
      <c r="CJ445" s="239"/>
      <c r="CK445" s="239"/>
      <c r="DM445" s="2">
        <v>4</v>
      </c>
      <c r="DP445" s="249"/>
      <c r="DT445" s="11"/>
      <c r="DU445" s="11"/>
      <c r="DV445" s="11"/>
      <c r="DW445" s="237">
        <v>12.6</v>
      </c>
      <c r="DX445" s="102"/>
    </row>
    <row r="446" spans="1:128">
      <c r="A446" s="102">
        <v>336</v>
      </c>
      <c r="B446" s="256">
        <v>8</v>
      </c>
      <c r="P446" s="11"/>
      <c r="Q446" s="11"/>
      <c r="S446" s="249"/>
      <c r="V446" s="2">
        <v>147</v>
      </c>
      <c r="W446" s="2">
        <v>204</v>
      </c>
      <c r="X446" s="2">
        <v>387</v>
      </c>
      <c r="Y446" s="2">
        <v>329</v>
      </c>
      <c r="AB446" s="2"/>
      <c r="AD446" s="2">
        <v>129</v>
      </c>
      <c r="AE446" s="28">
        <v>209</v>
      </c>
      <c r="AF446" s="2">
        <v>190</v>
      </c>
      <c r="AG446" s="2">
        <v>259</v>
      </c>
      <c r="AM446" s="102">
        <f t="shared" si="98"/>
        <v>1854</v>
      </c>
      <c r="AN446" s="257">
        <f t="shared" si="99"/>
        <v>1854</v>
      </c>
      <c r="AO446" s="8">
        <f t="shared" si="93"/>
        <v>1338</v>
      </c>
      <c r="AP446" s="501">
        <v>516</v>
      </c>
      <c r="AW446" s="8">
        <f t="shared" si="100"/>
        <v>387</v>
      </c>
      <c r="AX446" s="11">
        <f t="shared" si="101"/>
        <v>329</v>
      </c>
      <c r="AY446" s="8">
        <f t="shared" si="102"/>
        <v>0</v>
      </c>
      <c r="AZ446" s="234">
        <f t="shared" si="103"/>
        <v>0</v>
      </c>
      <c r="BD446" s="11"/>
      <c r="BG446" s="11"/>
      <c r="CG446" s="239"/>
      <c r="CH446" s="239"/>
      <c r="CI446" s="239"/>
      <c r="CJ446" s="239"/>
      <c r="CK446" s="239"/>
      <c r="DM446" s="2">
        <v>4</v>
      </c>
      <c r="DP446" s="249"/>
      <c r="DT446" s="11"/>
      <c r="DU446" s="11"/>
      <c r="DV446" s="11"/>
      <c r="DW446" s="237">
        <v>13.7</v>
      </c>
      <c r="DX446" s="102"/>
    </row>
    <row r="447" spans="1:128">
      <c r="A447" s="102">
        <v>337</v>
      </c>
      <c r="B447" s="256">
        <v>8</v>
      </c>
      <c r="P447" s="11"/>
      <c r="Q447" s="11"/>
      <c r="S447" s="249"/>
      <c r="V447" s="2">
        <v>94</v>
      </c>
      <c r="W447" s="2">
        <v>199</v>
      </c>
      <c r="X447" s="2">
        <v>169</v>
      </c>
      <c r="Y447" s="2">
        <v>216</v>
      </c>
      <c r="AB447" s="2"/>
      <c r="AD447" s="2">
        <v>83</v>
      </c>
      <c r="AE447" s="28">
        <v>150</v>
      </c>
      <c r="AF447" s="2">
        <v>145</v>
      </c>
      <c r="AG447" s="2">
        <v>244</v>
      </c>
      <c r="AM447" s="102">
        <f t="shared" si="98"/>
        <v>1300</v>
      </c>
      <c r="AN447" s="257">
        <f t="shared" si="99"/>
        <v>1300</v>
      </c>
      <c r="AO447" s="8">
        <f t="shared" si="93"/>
        <v>1048</v>
      </c>
      <c r="AP447" s="501">
        <v>252</v>
      </c>
      <c r="AW447" s="8">
        <f t="shared" si="100"/>
        <v>169</v>
      </c>
      <c r="AX447" s="11">
        <f t="shared" si="101"/>
        <v>216</v>
      </c>
      <c r="AY447" s="8">
        <f t="shared" si="102"/>
        <v>0</v>
      </c>
      <c r="AZ447" s="234">
        <f t="shared" si="103"/>
        <v>0</v>
      </c>
      <c r="BD447" s="11"/>
      <c r="BG447" s="11"/>
      <c r="CG447" s="239"/>
      <c r="CH447" s="239"/>
      <c r="CI447" s="239"/>
      <c r="CJ447" s="239"/>
      <c r="CK447" s="239"/>
      <c r="DM447" s="2">
        <v>4</v>
      </c>
      <c r="DP447" s="249"/>
      <c r="DT447" s="11"/>
      <c r="DU447" s="11"/>
      <c r="DV447" s="11"/>
      <c r="DW447" s="237">
        <v>18.100000000000001</v>
      </c>
      <c r="DX447" s="102"/>
    </row>
    <row r="448" spans="1:128">
      <c r="A448" s="102">
        <v>338</v>
      </c>
      <c r="B448" s="256">
        <v>8</v>
      </c>
      <c r="P448" s="11"/>
      <c r="Q448" s="11"/>
      <c r="S448" s="249"/>
      <c r="V448" s="2">
        <v>85</v>
      </c>
      <c r="W448" s="2">
        <v>132</v>
      </c>
      <c r="X448" s="2">
        <v>179</v>
      </c>
      <c r="Y448" s="2">
        <v>208</v>
      </c>
      <c r="AB448" s="2"/>
      <c r="AD448" s="2">
        <v>90</v>
      </c>
      <c r="AE448" s="28">
        <v>126</v>
      </c>
      <c r="AF448" s="2">
        <v>104</v>
      </c>
      <c r="AG448" s="2">
        <v>151</v>
      </c>
      <c r="AM448" s="102">
        <f t="shared" si="98"/>
        <v>1075</v>
      </c>
      <c r="AN448" s="257">
        <f t="shared" si="99"/>
        <v>1075</v>
      </c>
      <c r="AO448" s="8">
        <f t="shared" si="93"/>
        <v>806</v>
      </c>
      <c r="AP448" s="501">
        <v>269</v>
      </c>
      <c r="AW448" s="8">
        <f t="shared" si="100"/>
        <v>179</v>
      </c>
      <c r="AX448" s="11">
        <f t="shared" si="101"/>
        <v>208</v>
      </c>
      <c r="AY448" s="8">
        <f t="shared" si="102"/>
        <v>0</v>
      </c>
      <c r="AZ448" s="234">
        <f t="shared" si="103"/>
        <v>0</v>
      </c>
      <c r="BD448" s="11"/>
      <c r="BG448" s="11"/>
      <c r="CG448" s="239"/>
      <c r="CH448" s="239"/>
      <c r="CI448" s="239"/>
      <c r="CJ448" s="239"/>
      <c r="CK448" s="239"/>
      <c r="DM448" s="2">
        <v>4</v>
      </c>
      <c r="DP448" s="249"/>
      <c r="DT448" s="11"/>
      <c r="DU448" s="11"/>
      <c r="DV448" s="11"/>
      <c r="DW448" s="237">
        <v>7.4</v>
      </c>
      <c r="DX448" s="102"/>
    </row>
    <row r="449" spans="1:129">
      <c r="A449" s="102">
        <v>339</v>
      </c>
      <c r="B449" s="256">
        <v>8</v>
      </c>
      <c r="P449" s="11"/>
      <c r="Q449" s="11"/>
      <c r="S449" s="249"/>
      <c r="V449" s="2">
        <v>83</v>
      </c>
      <c r="W449" s="2">
        <v>137</v>
      </c>
      <c r="X449" s="2">
        <v>140</v>
      </c>
      <c r="Y449" s="2">
        <v>238</v>
      </c>
      <c r="AB449" s="2"/>
      <c r="AD449" s="2">
        <v>91</v>
      </c>
      <c r="AE449" s="28">
        <v>129</v>
      </c>
      <c r="AF449" s="2">
        <v>96</v>
      </c>
      <c r="AG449" s="2">
        <v>129</v>
      </c>
      <c r="AM449" s="102">
        <f t="shared" si="98"/>
        <v>1043</v>
      </c>
      <c r="AN449" s="257">
        <f t="shared" si="99"/>
        <v>1043</v>
      </c>
      <c r="AO449" s="8">
        <f t="shared" si="93"/>
        <v>812</v>
      </c>
      <c r="AP449" s="501">
        <v>231</v>
      </c>
      <c r="AW449" s="8">
        <f t="shared" si="100"/>
        <v>140</v>
      </c>
      <c r="AX449" s="11">
        <f t="shared" si="101"/>
        <v>238</v>
      </c>
      <c r="AY449" s="8">
        <f t="shared" si="102"/>
        <v>0</v>
      </c>
      <c r="AZ449" s="234">
        <f t="shared" si="103"/>
        <v>0</v>
      </c>
      <c r="BD449" s="11"/>
      <c r="BG449" s="11"/>
      <c r="CG449" s="239"/>
      <c r="CH449" s="239"/>
      <c r="CI449" s="239"/>
      <c r="CJ449" s="239"/>
      <c r="CK449" s="239"/>
      <c r="DM449" s="2">
        <v>4</v>
      </c>
      <c r="DP449" s="249"/>
      <c r="DT449" s="11"/>
      <c r="DU449" s="11"/>
      <c r="DV449" s="11"/>
      <c r="DW449" s="237">
        <v>7.4</v>
      </c>
      <c r="DX449" s="102"/>
    </row>
    <row r="450" spans="1:129">
      <c r="A450" s="102">
        <v>340</v>
      </c>
      <c r="B450" s="256">
        <v>8</v>
      </c>
      <c r="P450" s="11"/>
      <c r="Q450" s="11"/>
      <c r="S450" s="249"/>
      <c r="V450" s="2">
        <v>95</v>
      </c>
      <c r="W450" s="2">
        <v>136</v>
      </c>
      <c r="X450" s="2">
        <v>383</v>
      </c>
      <c r="Y450" s="2">
        <v>237</v>
      </c>
      <c r="AB450" s="2"/>
      <c r="AD450" s="2">
        <v>143</v>
      </c>
      <c r="AE450" s="28">
        <v>147</v>
      </c>
      <c r="AF450" s="2">
        <v>108</v>
      </c>
      <c r="AG450" s="2">
        <v>122</v>
      </c>
      <c r="AM450" s="102">
        <f t="shared" si="98"/>
        <v>1371</v>
      </c>
      <c r="AN450" s="257">
        <f t="shared" si="99"/>
        <v>1371</v>
      </c>
      <c r="AO450" s="8">
        <f t="shared" si="93"/>
        <v>845</v>
      </c>
      <c r="AP450" s="501">
        <v>526</v>
      </c>
      <c r="AW450" s="8">
        <f t="shared" si="100"/>
        <v>383</v>
      </c>
      <c r="AX450" s="11">
        <f t="shared" si="101"/>
        <v>237</v>
      </c>
      <c r="AY450" s="8">
        <f t="shared" si="102"/>
        <v>0</v>
      </c>
      <c r="AZ450" s="234">
        <f t="shared" si="103"/>
        <v>0</v>
      </c>
      <c r="BD450" s="11"/>
      <c r="BG450" s="11"/>
      <c r="CG450" s="239"/>
      <c r="CH450" s="239"/>
      <c r="CI450" s="239"/>
      <c r="CJ450" s="239"/>
      <c r="CK450" s="239"/>
      <c r="DM450" s="2">
        <v>4</v>
      </c>
      <c r="DP450" s="249"/>
      <c r="DT450" s="11"/>
      <c r="DU450" s="11"/>
      <c r="DV450" s="11"/>
      <c r="DW450" s="237">
        <v>8</v>
      </c>
      <c r="DX450" s="102"/>
    </row>
    <row r="451" spans="1:129">
      <c r="A451" s="102">
        <v>341</v>
      </c>
      <c r="B451" s="256">
        <v>8</v>
      </c>
      <c r="P451" s="11"/>
      <c r="Q451" s="11"/>
      <c r="S451" s="249"/>
      <c r="V451" s="2">
        <v>144</v>
      </c>
      <c r="W451" s="2">
        <v>207</v>
      </c>
      <c r="X451" s="2">
        <v>255</v>
      </c>
      <c r="Y451" s="2">
        <v>297</v>
      </c>
      <c r="AB451" s="2"/>
      <c r="AD451" s="2">
        <v>111</v>
      </c>
      <c r="AE451" s="28">
        <v>207</v>
      </c>
      <c r="AF451" s="2">
        <v>186</v>
      </c>
      <c r="AG451" s="2">
        <v>233</v>
      </c>
      <c r="AM451" s="102">
        <f t="shared" si="98"/>
        <v>1640</v>
      </c>
      <c r="AN451" s="257">
        <f t="shared" si="99"/>
        <v>1640</v>
      </c>
      <c r="AO451" s="8">
        <f t="shared" si="93"/>
        <v>1274</v>
      </c>
      <c r="AP451" s="501">
        <v>366</v>
      </c>
      <c r="AW451" s="8">
        <f t="shared" si="100"/>
        <v>255</v>
      </c>
      <c r="AX451" s="11">
        <f t="shared" si="101"/>
        <v>297</v>
      </c>
      <c r="AY451" s="8">
        <f t="shared" si="102"/>
        <v>0</v>
      </c>
      <c r="AZ451" s="234">
        <f t="shared" si="103"/>
        <v>0</v>
      </c>
      <c r="BD451" s="11"/>
      <c r="BG451" s="11"/>
      <c r="CG451" s="239"/>
      <c r="CH451" s="239"/>
      <c r="CI451" s="239"/>
      <c r="CJ451" s="239"/>
      <c r="CK451" s="239"/>
      <c r="DM451" s="2">
        <v>4</v>
      </c>
      <c r="DP451" s="249"/>
      <c r="DT451" s="11"/>
      <c r="DU451" s="11"/>
      <c r="DV451" s="11"/>
      <c r="DW451" s="237">
        <v>12</v>
      </c>
      <c r="DX451" s="102"/>
    </row>
    <row r="452" spans="1:129">
      <c r="A452" s="102">
        <v>342</v>
      </c>
      <c r="B452" s="256">
        <v>8</v>
      </c>
      <c r="P452" s="11"/>
      <c r="Q452" s="11"/>
      <c r="S452" s="249"/>
      <c r="V452" s="2">
        <v>67</v>
      </c>
      <c r="W452" s="2">
        <v>156</v>
      </c>
      <c r="X452" s="2">
        <v>285</v>
      </c>
      <c r="Y452" s="2">
        <v>243</v>
      </c>
      <c r="AB452" s="2"/>
      <c r="AD452" s="2">
        <v>162</v>
      </c>
      <c r="AE452" s="28">
        <v>155</v>
      </c>
      <c r="AF452" s="2">
        <v>85</v>
      </c>
      <c r="AG452" s="2">
        <v>111</v>
      </c>
      <c r="AM452" s="102">
        <f t="shared" si="98"/>
        <v>1264</v>
      </c>
      <c r="AN452" s="257">
        <f t="shared" si="99"/>
        <v>1264</v>
      </c>
      <c r="AO452" s="8">
        <f t="shared" si="93"/>
        <v>817</v>
      </c>
      <c r="AP452" s="501">
        <v>447</v>
      </c>
      <c r="AW452" s="8">
        <f t="shared" si="100"/>
        <v>285</v>
      </c>
      <c r="AX452" s="11">
        <f t="shared" si="101"/>
        <v>243</v>
      </c>
      <c r="AY452" s="8">
        <f t="shared" si="102"/>
        <v>0</v>
      </c>
      <c r="AZ452" s="234">
        <f t="shared" si="103"/>
        <v>0</v>
      </c>
      <c r="BD452" s="11"/>
      <c r="BG452" s="11"/>
      <c r="CG452" s="239"/>
      <c r="CH452" s="239"/>
      <c r="CI452" s="239"/>
      <c r="CJ452" s="239"/>
      <c r="CK452" s="239"/>
      <c r="DM452" s="2">
        <v>4</v>
      </c>
      <c r="DP452" s="249"/>
      <c r="DT452" s="11"/>
      <c r="DU452" s="11"/>
      <c r="DV452" s="11"/>
      <c r="DW452" s="237">
        <v>10.8</v>
      </c>
      <c r="DX452" s="102"/>
    </row>
    <row r="453" spans="1:129" s="406" customFormat="1">
      <c r="A453" s="404">
        <v>343</v>
      </c>
      <c r="B453" s="405">
        <v>8</v>
      </c>
      <c r="P453" s="407"/>
      <c r="Q453" s="407"/>
      <c r="R453" s="408"/>
      <c r="S453" s="409"/>
      <c r="V453" s="406">
        <v>0</v>
      </c>
      <c r="W453" s="406">
        <v>133</v>
      </c>
      <c r="X453" s="406">
        <v>72</v>
      </c>
      <c r="Y453" s="406">
        <v>42</v>
      </c>
      <c r="AD453" s="406">
        <v>70</v>
      </c>
      <c r="AE453" s="410">
        <v>173</v>
      </c>
      <c r="AF453" s="406">
        <v>189</v>
      </c>
      <c r="AG453" s="406">
        <v>94</v>
      </c>
      <c r="AM453" s="404">
        <f t="shared" ref="AM453:AM459" si="104">SUM(S453:AL453)</f>
        <v>773</v>
      </c>
      <c r="AN453" s="411">
        <f t="shared" ref="AN453:AN459" si="105">R453+AM453</f>
        <v>773</v>
      </c>
      <c r="AO453" s="8">
        <f t="shared" si="93"/>
        <v>631</v>
      </c>
      <c r="AP453" s="501">
        <v>142</v>
      </c>
      <c r="AW453" s="412">
        <f t="shared" ref="AW453:AW459" si="106">X453</f>
        <v>72</v>
      </c>
      <c r="AX453" s="407">
        <f t="shared" ref="AX453:AX459" si="107">Y453</f>
        <v>42</v>
      </c>
      <c r="AY453" s="412">
        <f t="shared" ref="AY453:AY459" si="108">AA453</f>
        <v>0</v>
      </c>
      <c r="AZ453" s="407">
        <f t="shared" ref="AZ453:AZ459" si="109">AB453</f>
        <v>0</v>
      </c>
      <c r="BD453" s="407"/>
      <c r="BG453" s="407"/>
      <c r="CG453" s="413"/>
      <c r="CH453" s="413"/>
      <c r="CI453" s="413"/>
      <c r="CJ453" s="413"/>
      <c r="CK453" s="413"/>
      <c r="DM453" s="406">
        <v>0</v>
      </c>
      <c r="DP453" s="409"/>
      <c r="DR453" s="407"/>
      <c r="DS453" s="407"/>
      <c r="DT453" s="407"/>
      <c r="DU453" s="407"/>
      <c r="DV453" s="407"/>
      <c r="DW453" s="414">
        <v>12.6</v>
      </c>
      <c r="DX453" s="404"/>
      <c r="DY453" s="434">
        <f>SUM(DW454:DW498)</f>
        <v>554.70000000000005</v>
      </c>
    </row>
    <row r="454" spans="1:129">
      <c r="A454" s="102">
        <v>428</v>
      </c>
      <c r="B454" s="256">
        <v>11</v>
      </c>
      <c r="P454" s="11"/>
      <c r="Q454" s="11"/>
      <c r="S454" s="249"/>
      <c r="V454" s="2">
        <v>104</v>
      </c>
      <c r="W454" s="2">
        <v>294</v>
      </c>
      <c r="X454" s="2">
        <v>191</v>
      </c>
      <c r="Y454" s="2">
        <v>203</v>
      </c>
      <c r="AB454" s="2"/>
      <c r="AD454" s="2">
        <v>0</v>
      </c>
      <c r="AE454" s="28">
        <v>122</v>
      </c>
      <c r="AF454" s="2">
        <v>123</v>
      </c>
      <c r="AG454" s="2">
        <v>245</v>
      </c>
      <c r="AM454" s="102">
        <f t="shared" si="104"/>
        <v>1282</v>
      </c>
      <c r="AN454" s="257">
        <f t="shared" si="105"/>
        <v>1282</v>
      </c>
      <c r="AO454" s="8">
        <f t="shared" si="93"/>
        <v>552</v>
      </c>
      <c r="AP454" s="8">
        <v>730</v>
      </c>
      <c r="AW454" s="8">
        <f t="shared" si="106"/>
        <v>191</v>
      </c>
      <c r="AX454" s="11">
        <f t="shared" si="107"/>
        <v>203</v>
      </c>
      <c r="AY454" s="8">
        <f t="shared" si="108"/>
        <v>0</v>
      </c>
      <c r="AZ454" s="234">
        <f t="shared" si="109"/>
        <v>0</v>
      </c>
      <c r="BD454" s="11"/>
      <c r="BG454" s="11"/>
      <c r="CG454" s="239"/>
      <c r="CH454" s="239"/>
      <c r="CI454" s="239"/>
      <c r="CJ454" s="239"/>
      <c r="CK454" s="239"/>
      <c r="DM454" s="2">
        <v>3</v>
      </c>
      <c r="DP454" s="249"/>
      <c r="DT454" s="11"/>
      <c r="DU454" s="11"/>
      <c r="DV454" s="11"/>
      <c r="DW454" s="237">
        <v>22</v>
      </c>
      <c r="DX454" s="102"/>
    </row>
    <row r="455" spans="1:129">
      <c r="A455" s="102">
        <v>429</v>
      </c>
      <c r="B455" s="256">
        <v>11</v>
      </c>
      <c r="P455" s="11"/>
      <c r="Q455" s="11"/>
      <c r="R455" s="235">
        <f t="shared" ref="R455:R477" si="110">SUM(C455:Q455)</f>
        <v>0</v>
      </c>
      <c r="S455" s="249"/>
      <c r="V455" s="2">
        <v>142</v>
      </c>
      <c r="W455" s="2">
        <v>220</v>
      </c>
      <c r="X455" s="2">
        <v>424</v>
      </c>
      <c r="Y455" s="2">
        <v>237</v>
      </c>
      <c r="AB455" s="2"/>
      <c r="AD455" s="2">
        <v>184</v>
      </c>
      <c r="AE455" s="28">
        <v>138</v>
      </c>
      <c r="AF455" s="2">
        <v>153</v>
      </c>
      <c r="AG455" s="2">
        <v>233</v>
      </c>
      <c r="AM455" s="102">
        <f t="shared" si="104"/>
        <v>1731</v>
      </c>
      <c r="AN455" s="257">
        <f t="shared" si="105"/>
        <v>1731</v>
      </c>
      <c r="AO455" s="8">
        <f t="shared" si="93"/>
        <v>670</v>
      </c>
      <c r="AP455" s="8">
        <v>1061</v>
      </c>
      <c r="AW455" s="8">
        <f t="shared" si="106"/>
        <v>424</v>
      </c>
      <c r="AX455" s="11">
        <f t="shared" si="107"/>
        <v>237</v>
      </c>
      <c r="AY455" s="8">
        <f t="shared" si="108"/>
        <v>0</v>
      </c>
      <c r="AZ455" s="234">
        <f t="shared" si="109"/>
        <v>0</v>
      </c>
      <c r="BD455" s="11"/>
      <c r="BG455" s="11"/>
      <c r="CG455" s="239"/>
      <c r="CH455" s="239"/>
      <c r="CI455" s="239"/>
      <c r="CJ455" s="239"/>
      <c r="CK455" s="239"/>
      <c r="DM455" s="2">
        <v>4</v>
      </c>
      <c r="DP455" s="249"/>
      <c r="DT455" s="11"/>
      <c r="DU455" s="11"/>
      <c r="DV455" s="11"/>
      <c r="DW455" s="237">
        <v>12.5</v>
      </c>
      <c r="DX455" s="102"/>
    </row>
    <row r="456" spans="1:129">
      <c r="A456" s="102">
        <v>430</v>
      </c>
      <c r="B456" s="256">
        <v>11</v>
      </c>
      <c r="P456" s="11"/>
      <c r="Q456" s="11"/>
      <c r="R456" s="235">
        <f t="shared" si="110"/>
        <v>0</v>
      </c>
      <c r="S456" s="249"/>
      <c r="V456" s="2">
        <v>152</v>
      </c>
      <c r="W456" s="2">
        <v>212</v>
      </c>
      <c r="X456" s="2">
        <v>340</v>
      </c>
      <c r="Y456" s="2">
        <v>247</v>
      </c>
      <c r="AB456" s="2"/>
      <c r="AD456" s="2">
        <v>120</v>
      </c>
      <c r="AE456" s="28">
        <v>114</v>
      </c>
      <c r="AF456" s="2">
        <v>163</v>
      </c>
      <c r="AG456" s="2">
        <v>229</v>
      </c>
      <c r="AM456" s="102">
        <f t="shared" si="104"/>
        <v>1577</v>
      </c>
      <c r="AN456" s="257">
        <f t="shared" si="105"/>
        <v>1577</v>
      </c>
      <c r="AO456" s="8">
        <f t="shared" si="93"/>
        <v>676</v>
      </c>
      <c r="AP456" s="8">
        <v>901</v>
      </c>
      <c r="AW456" s="8">
        <f t="shared" si="106"/>
        <v>340</v>
      </c>
      <c r="AX456" s="11">
        <f t="shared" si="107"/>
        <v>247</v>
      </c>
      <c r="AY456" s="8">
        <f t="shared" si="108"/>
        <v>0</v>
      </c>
      <c r="AZ456" s="234">
        <f t="shared" si="109"/>
        <v>0</v>
      </c>
      <c r="BD456" s="11"/>
      <c r="BG456" s="11"/>
      <c r="CG456" s="239"/>
      <c r="CH456" s="239"/>
      <c r="CI456" s="239"/>
      <c r="CJ456" s="239"/>
      <c r="CK456" s="239"/>
      <c r="DM456" s="2">
        <v>4</v>
      </c>
      <c r="DP456" s="249"/>
      <c r="DT456" s="11"/>
      <c r="DU456" s="11"/>
      <c r="DV456" s="11"/>
      <c r="DW456" s="237">
        <v>12.2</v>
      </c>
      <c r="DX456" s="102"/>
    </row>
    <row r="457" spans="1:129">
      <c r="A457" s="102">
        <v>431</v>
      </c>
      <c r="B457" s="256">
        <v>11</v>
      </c>
      <c r="P457" s="11"/>
      <c r="Q457" s="11"/>
      <c r="R457" s="235">
        <f t="shared" si="110"/>
        <v>0</v>
      </c>
      <c r="S457" s="249"/>
      <c r="V457" s="2">
        <v>200</v>
      </c>
      <c r="W457" s="2">
        <v>193</v>
      </c>
      <c r="X457" s="2">
        <v>371</v>
      </c>
      <c r="Y457" s="2">
        <v>236</v>
      </c>
      <c r="AB457" s="2"/>
      <c r="AD457" s="2">
        <v>185</v>
      </c>
      <c r="AE457" s="28">
        <v>80</v>
      </c>
      <c r="AF457" s="2">
        <v>256</v>
      </c>
      <c r="AG457" s="2">
        <v>245</v>
      </c>
      <c r="AM457" s="102">
        <f t="shared" si="104"/>
        <v>1766</v>
      </c>
      <c r="AN457" s="257">
        <f t="shared" si="105"/>
        <v>1766</v>
      </c>
      <c r="AO457" s="8">
        <f t="shared" si="93"/>
        <v>772</v>
      </c>
      <c r="AP457" s="8">
        <v>994</v>
      </c>
      <c r="AW457" s="8">
        <f t="shared" si="106"/>
        <v>371</v>
      </c>
      <c r="AX457" s="11">
        <f t="shared" si="107"/>
        <v>236</v>
      </c>
      <c r="AY457" s="8">
        <f t="shared" si="108"/>
        <v>0</v>
      </c>
      <c r="AZ457" s="234">
        <f t="shared" si="109"/>
        <v>0</v>
      </c>
      <c r="BD457" s="11"/>
      <c r="BG457" s="11"/>
      <c r="CG457" s="239"/>
      <c r="CH457" s="239"/>
      <c r="CI457" s="239"/>
      <c r="CJ457" s="239"/>
      <c r="CK457" s="239"/>
      <c r="DM457" s="2">
        <v>4</v>
      </c>
      <c r="DP457" s="249"/>
      <c r="DT457" s="11"/>
      <c r="DU457" s="11"/>
      <c r="DV457" s="11"/>
      <c r="DW457" s="237">
        <v>22.3</v>
      </c>
      <c r="DX457" s="102"/>
    </row>
    <row r="458" spans="1:129">
      <c r="A458" s="102">
        <v>432</v>
      </c>
      <c r="B458" s="256">
        <v>11</v>
      </c>
      <c r="P458" s="11"/>
      <c r="Q458" s="11"/>
      <c r="R458" s="235">
        <f t="shared" si="110"/>
        <v>0</v>
      </c>
      <c r="S458" s="249"/>
      <c r="V458" s="2">
        <v>157</v>
      </c>
      <c r="W458" s="2">
        <v>285</v>
      </c>
      <c r="X458" s="2">
        <v>394</v>
      </c>
      <c r="Y458" s="2">
        <v>285</v>
      </c>
      <c r="AB458" s="2"/>
      <c r="AD458" s="2">
        <v>164</v>
      </c>
      <c r="AE458" s="28">
        <v>87</v>
      </c>
      <c r="AF458" s="2">
        <v>230</v>
      </c>
      <c r="AG458" s="2">
        <v>295</v>
      </c>
      <c r="AM458" s="102">
        <f t="shared" si="104"/>
        <v>1897</v>
      </c>
      <c r="AN458" s="257">
        <f t="shared" si="105"/>
        <v>1897</v>
      </c>
      <c r="AO458" s="8">
        <f t="shared" si="93"/>
        <v>759</v>
      </c>
      <c r="AP458" s="8">
        <v>1138</v>
      </c>
      <c r="AW458" s="8">
        <f t="shared" si="106"/>
        <v>394</v>
      </c>
      <c r="AX458" s="11">
        <f t="shared" si="107"/>
        <v>285</v>
      </c>
      <c r="AY458" s="8">
        <f t="shared" si="108"/>
        <v>0</v>
      </c>
      <c r="AZ458" s="234">
        <f t="shared" si="109"/>
        <v>0</v>
      </c>
      <c r="BD458" s="11"/>
      <c r="BG458" s="11"/>
      <c r="CG458" s="239"/>
      <c r="CH458" s="239"/>
      <c r="CI458" s="239"/>
      <c r="CJ458" s="239"/>
      <c r="CK458" s="239"/>
      <c r="DM458" s="2">
        <v>4</v>
      </c>
      <c r="DP458" s="249"/>
      <c r="DT458" s="11"/>
      <c r="DU458" s="11"/>
      <c r="DV458" s="11"/>
      <c r="DW458" s="237">
        <v>13.3</v>
      </c>
      <c r="DX458" s="102"/>
    </row>
    <row r="459" spans="1:129">
      <c r="A459" s="102">
        <v>433</v>
      </c>
      <c r="B459" s="256">
        <v>11</v>
      </c>
      <c r="P459" s="11"/>
      <c r="Q459" s="11"/>
      <c r="R459" s="235">
        <f t="shared" si="110"/>
        <v>0</v>
      </c>
      <c r="S459" s="249"/>
      <c r="V459" s="2">
        <v>298</v>
      </c>
      <c r="W459" s="2">
        <v>261</v>
      </c>
      <c r="X459" s="2">
        <v>310</v>
      </c>
      <c r="Y459" s="2">
        <v>319</v>
      </c>
      <c r="AB459" s="2"/>
      <c r="AD459" s="2">
        <v>272</v>
      </c>
      <c r="AE459" s="28">
        <v>103</v>
      </c>
      <c r="AF459" s="2">
        <v>241</v>
      </c>
      <c r="AG459" s="2">
        <v>299</v>
      </c>
      <c r="AM459" s="102">
        <f t="shared" si="104"/>
        <v>2103</v>
      </c>
      <c r="AN459" s="257">
        <f t="shared" si="105"/>
        <v>2103</v>
      </c>
      <c r="AO459" s="8">
        <f t="shared" si="93"/>
        <v>961</v>
      </c>
      <c r="AP459" s="8">
        <v>1142</v>
      </c>
      <c r="AW459" s="8">
        <f t="shared" si="106"/>
        <v>310</v>
      </c>
      <c r="AX459" s="11">
        <f t="shared" si="107"/>
        <v>319</v>
      </c>
      <c r="AY459" s="8">
        <f t="shared" si="108"/>
        <v>0</v>
      </c>
      <c r="AZ459" s="234">
        <f t="shared" si="109"/>
        <v>0</v>
      </c>
      <c r="BD459" s="11"/>
      <c r="BG459" s="11"/>
      <c r="CG459" s="239"/>
      <c r="CH459" s="239"/>
      <c r="CI459" s="239"/>
      <c r="CJ459" s="239"/>
      <c r="CK459" s="239"/>
      <c r="DM459" s="2">
        <v>4</v>
      </c>
      <c r="DP459" s="249"/>
      <c r="DT459" s="11"/>
      <c r="DU459" s="11"/>
      <c r="DV459" s="11"/>
      <c r="DW459" s="237">
        <v>13.6</v>
      </c>
      <c r="DX459" s="102"/>
    </row>
    <row r="460" spans="1:129">
      <c r="A460" s="102">
        <v>434</v>
      </c>
      <c r="B460" s="256">
        <v>11</v>
      </c>
      <c r="P460" s="11"/>
      <c r="Q460" s="11"/>
      <c r="R460" s="235">
        <f t="shared" si="110"/>
        <v>0</v>
      </c>
      <c r="S460" s="249"/>
      <c r="V460" s="2">
        <v>128</v>
      </c>
      <c r="W460" s="2">
        <v>230</v>
      </c>
      <c r="X460" s="2">
        <v>390</v>
      </c>
      <c r="Y460" s="2">
        <v>250</v>
      </c>
      <c r="AB460" s="2"/>
      <c r="AD460" s="2">
        <v>106</v>
      </c>
      <c r="AE460" s="28">
        <v>66</v>
      </c>
      <c r="AF460" s="2">
        <v>152</v>
      </c>
      <c r="AG460" s="2">
        <v>232</v>
      </c>
      <c r="AM460" s="102">
        <f t="shared" si="91"/>
        <v>1554</v>
      </c>
      <c r="AN460" s="257">
        <f t="shared" si="92"/>
        <v>1554</v>
      </c>
      <c r="AO460" s="8">
        <f t="shared" si="93"/>
        <v>596</v>
      </c>
      <c r="AP460" s="8">
        <v>958</v>
      </c>
      <c r="AW460" s="8">
        <f t="shared" si="94"/>
        <v>390</v>
      </c>
      <c r="AX460" s="11">
        <f t="shared" si="95"/>
        <v>250</v>
      </c>
      <c r="AY460" s="8">
        <f t="shared" si="96"/>
        <v>0</v>
      </c>
      <c r="AZ460" s="234">
        <f t="shared" si="97"/>
        <v>0</v>
      </c>
      <c r="BD460" s="11"/>
      <c r="BG460" s="11"/>
      <c r="CG460" s="239"/>
      <c r="CH460" s="239"/>
      <c r="CI460" s="239"/>
      <c r="CJ460" s="239"/>
      <c r="CK460" s="239"/>
      <c r="DM460" s="2">
        <v>4</v>
      </c>
      <c r="DP460" s="249"/>
      <c r="DT460" s="11"/>
      <c r="DU460" s="11"/>
      <c r="DV460" s="11"/>
      <c r="DW460" s="237">
        <v>10.1</v>
      </c>
      <c r="DX460" s="102"/>
    </row>
    <row r="461" spans="1:129">
      <c r="A461" s="102">
        <v>435</v>
      </c>
      <c r="B461" s="256">
        <v>11</v>
      </c>
      <c r="P461" s="11"/>
      <c r="Q461" s="11"/>
      <c r="R461" s="235">
        <f t="shared" si="110"/>
        <v>0</v>
      </c>
      <c r="S461" s="249"/>
      <c r="V461" s="2">
        <v>103</v>
      </c>
      <c r="W461" s="2">
        <v>297</v>
      </c>
      <c r="X461" s="2">
        <v>451</v>
      </c>
      <c r="Y461" s="2">
        <v>187</v>
      </c>
      <c r="AB461" s="2"/>
      <c r="AD461" s="2">
        <v>237</v>
      </c>
      <c r="AE461" s="28">
        <v>87</v>
      </c>
      <c r="AF461" s="2">
        <v>100</v>
      </c>
      <c r="AG461" s="2">
        <v>256</v>
      </c>
      <c r="AM461" s="102">
        <f t="shared" si="91"/>
        <v>1718</v>
      </c>
      <c r="AN461" s="257">
        <f t="shared" si="92"/>
        <v>1718</v>
      </c>
      <c r="AO461" s="8">
        <f t="shared" si="93"/>
        <v>477</v>
      </c>
      <c r="AP461" s="8">
        <v>1241</v>
      </c>
      <c r="AW461" s="8">
        <f t="shared" si="94"/>
        <v>451</v>
      </c>
      <c r="AX461" s="11">
        <f t="shared" si="95"/>
        <v>187</v>
      </c>
      <c r="AY461" s="8">
        <f t="shared" si="96"/>
        <v>0</v>
      </c>
      <c r="AZ461" s="234">
        <f t="shared" si="97"/>
        <v>0</v>
      </c>
      <c r="BD461" s="11"/>
      <c r="BG461" s="11"/>
      <c r="CG461" s="239"/>
      <c r="CH461" s="239"/>
      <c r="CI461" s="239"/>
      <c r="CJ461" s="239"/>
      <c r="CK461" s="239"/>
      <c r="DM461" s="2">
        <v>3</v>
      </c>
      <c r="DP461" s="249"/>
      <c r="DT461" s="11"/>
      <c r="DU461" s="11"/>
      <c r="DV461" s="11"/>
      <c r="DW461" s="237">
        <v>12.3</v>
      </c>
      <c r="DX461" s="102"/>
    </row>
    <row r="462" spans="1:129">
      <c r="A462" s="102">
        <v>436</v>
      </c>
      <c r="B462" s="256">
        <v>11</v>
      </c>
      <c r="P462" s="11"/>
      <c r="Q462" s="11"/>
      <c r="R462" s="235">
        <f t="shared" si="110"/>
        <v>0</v>
      </c>
      <c r="S462" s="249"/>
      <c r="V462" s="2">
        <v>142</v>
      </c>
      <c r="W462" s="2">
        <v>218</v>
      </c>
      <c r="X462" s="2">
        <v>336</v>
      </c>
      <c r="Y462" s="2">
        <v>295</v>
      </c>
      <c r="AB462" s="2"/>
      <c r="AD462" s="2">
        <v>107</v>
      </c>
      <c r="AE462" s="28">
        <v>174</v>
      </c>
      <c r="AF462" s="2">
        <v>142</v>
      </c>
      <c r="AG462" s="2">
        <v>274</v>
      </c>
      <c r="AM462" s="102">
        <f t="shared" si="91"/>
        <v>1688</v>
      </c>
      <c r="AN462" s="257">
        <f t="shared" si="92"/>
        <v>1688</v>
      </c>
      <c r="AO462" s="8">
        <f t="shared" si="93"/>
        <v>753</v>
      </c>
      <c r="AP462" s="8">
        <v>935</v>
      </c>
      <c r="AW462" s="8">
        <f t="shared" si="94"/>
        <v>336</v>
      </c>
      <c r="AX462" s="11">
        <f t="shared" si="95"/>
        <v>295</v>
      </c>
      <c r="AY462" s="8">
        <f t="shared" si="96"/>
        <v>0</v>
      </c>
      <c r="AZ462" s="234">
        <f t="shared" si="97"/>
        <v>0</v>
      </c>
      <c r="BD462" s="11"/>
      <c r="BG462" s="11"/>
      <c r="CG462" s="239"/>
      <c r="CH462" s="239"/>
      <c r="CI462" s="239"/>
      <c r="CJ462" s="239"/>
      <c r="CK462" s="239"/>
      <c r="DM462" s="2">
        <v>4</v>
      </c>
      <c r="DP462" s="249"/>
      <c r="DT462" s="11"/>
      <c r="DU462" s="11"/>
      <c r="DV462" s="11"/>
      <c r="DW462" s="237">
        <v>10.9</v>
      </c>
      <c r="DX462" s="102"/>
    </row>
    <row r="463" spans="1:129">
      <c r="A463" s="102">
        <v>437</v>
      </c>
      <c r="B463" s="256">
        <v>11</v>
      </c>
      <c r="P463" s="11"/>
      <c r="Q463" s="11"/>
      <c r="R463" s="235">
        <f t="shared" si="110"/>
        <v>0</v>
      </c>
      <c r="S463" s="249"/>
      <c r="V463" s="2">
        <v>136</v>
      </c>
      <c r="W463" s="2">
        <v>264</v>
      </c>
      <c r="X463" s="2">
        <v>344</v>
      </c>
      <c r="Y463" s="2">
        <v>245</v>
      </c>
      <c r="AB463" s="2"/>
      <c r="AD463" s="2">
        <v>109</v>
      </c>
      <c r="AE463" s="28">
        <v>172</v>
      </c>
      <c r="AF463" s="2">
        <v>129</v>
      </c>
      <c r="AG463" s="2">
        <v>276</v>
      </c>
      <c r="AM463" s="102">
        <f t="shared" si="91"/>
        <v>1675</v>
      </c>
      <c r="AN463" s="257">
        <f t="shared" si="92"/>
        <v>1675</v>
      </c>
      <c r="AO463" s="8">
        <f t="shared" si="93"/>
        <v>682</v>
      </c>
      <c r="AP463" s="8">
        <v>993</v>
      </c>
      <c r="AW463" s="8">
        <f t="shared" si="94"/>
        <v>344</v>
      </c>
      <c r="AX463" s="11">
        <f t="shared" si="95"/>
        <v>245</v>
      </c>
      <c r="AY463" s="8">
        <f t="shared" si="96"/>
        <v>0</v>
      </c>
      <c r="AZ463" s="234">
        <f t="shared" si="97"/>
        <v>0</v>
      </c>
      <c r="BD463" s="11"/>
      <c r="BG463" s="11"/>
      <c r="CG463" s="239"/>
      <c r="CH463" s="239"/>
      <c r="CI463" s="239"/>
      <c r="CJ463" s="239"/>
      <c r="CK463" s="239"/>
      <c r="DM463" s="2">
        <v>4</v>
      </c>
      <c r="DP463" s="249"/>
      <c r="DT463" s="11"/>
      <c r="DU463" s="11"/>
      <c r="DV463" s="11"/>
      <c r="DW463" s="237">
        <v>11</v>
      </c>
      <c r="DX463" s="102"/>
    </row>
    <row r="464" spans="1:129">
      <c r="A464" s="102">
        <v>438</v>
      </c>
      <c r="B464" s="256">
        <v>11</v>
      </c>
      <c r="P464" s="11"/>
      <c r="Q464" s="11"/>
      <c r="R464" s="235">
        <f t="shared" si="110"/>
        <v>0</v>
      </c>
      <c r="S464" s="249"/>
      <c r="V464" s="2">
        <v>188</v>
      </c>
      <c r="W464" s="2">
        <v>304</v>
      </c>
      <c r="X464" s="2">
        <v>255</v>
      </c>
      <c r="Y464" s="2">
        <v>245</v>
      </c>
      <c r="AB464" s="2"/>
      <c r="AD464" s="2">
        <v>147</v>
      </c>
      <c r="AE464" s="28">
        <v>81</v>
      </c>
      <c r="AF464" s="2">
        <v>240</v>
      </c>
      <c r="AG464" s="2">
        <v>290</v>
      </c>
      <c r="AM464" s="102">
        <f t="shared" si="91"/>
        <v>1750</v>
      </c>
      <c r="AN464" s="257">
        <f t="shared" si="92"/>
        <v>1750</v>
      </c>
      <c r="AO464" s="8">
        <f t="shared" si="93"/>
        <v>754</v>
      </c>
      <c r="AP464" s="8">
        <v>996</v>
      </c>
      <c r="AW464" s="8">
        <f t="shared" si="94"/>
        <v>255</v>
      </c>
      <c r="AX464" s="11">
        <f t="shared" si="95"/>
        <v>245</v>
      </c>
      <c r="AY464" s="8">
        <f t="shared" si="96"/>
        <v>0</v>
      </c>
      <c r="AZ464" s="234">
        <f t="shared" si="97"/>
        <v>0</v>
      </c>
      <c r="BD464" s="11"/>
      <c r="BG464" s="11"/>
      <c r="CG464" s="239"/>
      <c r="CH464" s="239"/>
      <c r="CI464" s="239"/>
      <c r="CJ464" s="239"/>
      <c r="CK464" s="239"/>
      <c r="DM464" s="2">
        <v>4</v>
      </c>
      <c r="DP464" s="249"/>
      <c r="DT464" s="11"/>
      <c r="DU464" s="11"/>
      <c r="DV464" s="11"/>
      <c r="DW464" s="237">
        <v>19.899999999999999</v>
      </c>
      <c r="DX464" s="102"/>
    </row>
    <row r="465" spans="1:128">
      <c r="A465" s="102">
        <v>439</v>
      </c>
      <c r="B465" s="256">
        <v>11</v>
      </c>
      <c r="P465" s="11"/>
      <c r="Q465" s="11"/>
      <c r="R465" s="235">
        <f t="shared" si="110"/>
        <v>0</v>
      </c>
      <c r="S465" s="249"/>
      <c r="V465" s="2">
        <v>97</v>
      </c>
      <c r="W465" s="2">
        <v>245</v>
      </c>
      <c r="X465" s="2">
        <v>169</v>
      </c>
      <c r="Y465" s="2">
        <v>178</v>
      </c>
      <c r="AB465" s="2"/>
      <c r="AD465" s="2">
        <v>60</v>
      </c>
      <c r="AE465" s="28">
        <v>63</v>
      </c>
      <c r="AF465" s="2">
        <v>116</v>
      </c>
      <c r="AG465" s="2">
        <v>248</v>
      </c>
      <c r="AM465" s="102">
        <f t="shared" si="91"/>
        <v>1176</v>
      </c>
      <c r="AN465" s="257">
        <f t="shared" si="92"/>
        <v>1176</v>
      </c>
      <c r="AO465" s="8">
        <f t="shared" si="93"/>
        <v>454</v>
      </c>
      <c r="AP465" s="8">
        <v>722</v>
      </c>
      <c r="AW465" s="8">
        <f t="shared" si="94"/>
        <v>169</v>
      </c>
      <c r="AX465" s="11">
        <f t="shared" si="95"/>
        <v>178</v>
      </c>
      <c r="AY465" s="8">
        <f t="shared" si="96"/>
        <v>0</v>
      </c>
      <c r="AZ465" s="234">
        <f t="shared" si="97"/>
        <v>0</v>
      </c>
      <c r="BD465" s="11"/>
      <c r="BG465" s="11"/>
      <c r="CG465" s="239"/>
      <c r="CH465" s="239"/>
      <c r="CI465" s="239"/>
      <c r="CJ465" s="239"/>
      <c r="CK465" s="239"/>
      <c r="DM465" s="2">
        <v>4</v>
      </c>
      <c r="DP465" s="249"/>
      <c r="DT465" s="11"/>
      <c r="DU465" s="11"/>
      <c r="DV465" s="11"/>
      <c r="DW465" s="237">
        <v>8</v>
      </c>
      <c r="DX465" s="102"/>
    </row>
    <row r="466" spans="1:128">
      <c r="A466" s="102">
        <v>440</v>
      </c>
      <c r="B466" s="256">
        <v>11</v>
      </c>
      <c r="P466" s="11"/>
      <c r="Q466" s="11"/>
      <c r="R466" s="235">
        <f t="shared" si="110"/>
        <v>0</v>
      </c>
      <c r="S466" s="249"/>
      <c r="V466" s="2">
        <v>74</v>
      </c>
      <c r="W466" s="2">
        <v>202</v>
      </c>
      <c r="X466" s="2">
        <v>267</v>
      </c>
      <c r="Y466" s="2">
        <v>131</v>
      </c>
      <c r="AB466" s="2"/>
      <c r="AD466" s="2">
        <v>81</v>
      </c>
      <c r="AE466" s="28">
        <v>50</v>
      </c>
      <c r="AF466" s="2">
        <v>223</v>
      </c>
      <c r="AG466" s="2">
        <v>226</v>
      </c>
      <c r="AM466" s="102">
        <f t="shared" si="91"/>
        <v>1254</v>
      </c>
      <c r="AN466" s="257">
        <f t="shared" si="92"/>
        <v>1254</v>
      </c>
      <c r="AO466" s="8">
        <f t="shared" si="93"/>
        <v>478</v>
      </c>
      <c r="AP466" s="8">
        <v>776</v>
      </c>
      <c r="AW466" s="8">
        <f t="shared" si="94"/>
        <v>267</v>
      </c>
      <c r="AX466" s="11">
        <f t="shared" si="95"/>
        <v>131</v>
      </c>
      <c r="AY466" s="8">
        <f t="shared" si="96"/>
        <v>0</v>
      </c>
      <c r="AZ466" s="234">
        <f t="shared" si="97"/>
        <v>0</v>
      </c>
      <c r="BD466" s="11"/>
      <c r="BG466" s="11"/>
      <c r="CG466" s="239"/>
      <c r="CH466" s="239"/>
      <c r="CI466" s="239"/>
      <c r="CJ466" s="239"/>
      <c r="CK466" s="239"/>
      <c r="DM466" s="2">
        <v>4</v>
      </c>
      <c r="DP466" s="249"/>
      <c r="DT466" s="11"/>
      <c r="DU466" s="11"/>
      <c r="DV466" s="11"/>
      <c r="DW466" s="237">
        <v>16.3</v>
      </c>
      <c r="DX466" s="102"/>
    </row>
    <row r="467" spans="1:128">
      <c r="A467" s="102">
        <v>441</v>
      </c>
      <c r="B467" s="256">
        <v>11</v>
      </c>
      <c r="P467" s="11"/>
      <c r="Q467" s="11"/>
      <c r="R467" s="235">
        <f t="shared" si="110"/>
        <v>0</v>
      </c>
      <c r="S467" s="249"/>
      <c r="V467" s="2">
        <v>157</v>
      </c>
      <c r="W467" s="2">
        <v>276</v>
      </c>
      <c r="X467" s="2">
        <v>324</v>
      </c>
      <c r="Y467" s="2">
        <v>300</v>
      </c>
      <c r="AB467" s="2"/>
      <c r="AD467" s="2">
        <v>231</v>
      </c>
      <c r="AE467" s="28">
        <v>151</v>
      </c>
      <c r="AF467" s="2">
        <v>124</v>
      </c>
      <c r="AG467" s="2">
        <v>285</v>
      </c>
      <c r="AM467" s="102">
        <f t="shared" si="91"/>
        <v>1848</v>
      </c>
      <c r="AN467" s="257">
        <f t="shared" si="92"/>
        <v>1848</v>
      </c>
      <c r="AO467" s="8">
        <f t="shared" si="93"/>
        <v>732</v>
      </c>
      <c r="AP467" s="8">
        <v>1116</v>
      </c>
      <c r="AW467" s="8">
        <f t="shared" si="94"/>
        <v>324</v>
      </c>
      <c r="AX467" s="11">
        <f t="shared" si="95"/>
        <v>300</v>
      </c>
      <c r="AY467" s="8">
        <f t="shared" si="96"/>
        <v>0</v>
      </c>
      <c r="AZ467" s="234">
        <f t="shared" si="97"/>
        <v>0</v>
      </c>
      <c r="BD467" s="11"/>
      <c r="BG467" s="11"/>
      <c r="CG467" s="239"/>
      <c r="CH467" s="239"/>
      <c r="CI467" s="239"/>
      <c r="CJ467" s="239"/>
      <c r="CK467" s="239"/>
      <c r="DM467" s="2">
        <v>4</v>
      </c>
      <c r="DP467" s="249"/>
      <c r="DT467" s="11"/>
      <c r="DU467" s="11"/>
      <c r="DV467" s="11"/>
      <c r="DW467" s="237">
        <v>11</v>
      </c>
      <c r="DX467" s="102"/>
    </row>
    <row r="468" spans="1:128">
      <c r="A468" s="102">
        <v>442</v>
      </c>
      <c r="B468" s="256">
        <v>11</v>
      </c>
      <c r="P468" s="11"/>
      <c r="Q468" s="11"/>
      <c r="R468" s="235">
        <f t="shared" si="110"/>
        <v>0</v>
      </c>
      <c r="S468" s="249"/>
      <c r="V468" s="2">
        <v>158</v>
      </c>
      <c r="W468" s="2">
        <v>281</v>
      </c>
      <c r="X468" s="2">
        <v>339</v>
      </c>
      <c r="Y468" s="2">
        <v>298</v>
      </c>
      <c r="AB468" s="2"/>
      <c r="AD468" s="2">
        <v>216</v>
      </c>
      <c r="AE468" s="28">
        <v>191</v>
      </c>
      <c r="AF468" s="2">
        <v>117</v>
      </c>
      <c r="AG468" s="2">
        <v>283</v>
      </c>
      <c r="AM468" s="102">
        <f t="shared" si="91"/>
        <v>1883</v>
      </c>
      <c r="AN468" s="257">
        <f t="shared" si="92"/>
        <v>1883</v>
      </c>
      <c r="AO468" s="8">
        <f t="shared" ref="AO468:AO498" si="111">AM468-AP468</f>
        <v>764</v>
      </c>
      <c r="AP468" s="8">
        <v>1119</v>
      </c>
      <c r="AW468" s="8">
        <f t="shared" si="94"/>
        <v>339</v>
      </c>
      <c r="AX468" s="11">
        <f t="shared" si="95"/>
        <v>298</v>
      </c>
      <c r="AY468" s="8">
        <f t="shared" si="96"/>
        <v>0</v>
      </c>
      <c r="AZ468" s="234">
        <f t="shared" si="97"/>
        <v>0</v>
      </c>
      <c r="BD468" s="11"/>
      <c r="BG468" s="11"/>
      <c r="CG468" s="239"/>
      <c r="CH468" s="239"/>
      <c r="CI468" s="239"/>
      <c r="CJ468" s="239"/>
      <c r="CK468" s="239"/>
      <c r="DM468" s="2">
        <v>4</v>
      </c>
      <c r="DP468" s="249"/>
      <c r="DT468" s="11"/>
      <c r="DU468" s="11"/>
      <c r="DV468" s="11"/>
      <c r="DW468" s="237">
        <v>11</v>
      </c>
      <c r="DX468" s="102"/>
    </row>
    <row r="469" spans="1:128">
      <c r="A469" s="102">
        <v>443</v>
      </c>
      <c r="B469" s="256">
        <v>11</v>
      </c>
      <c r="P469" s="11"/>
      <c r="Q469" s="11"/>
      <c r="R469" s="235">
        <f t="shared" si="110"/>
        <v>0</v>
      </c>
      <c r="S469" s="249"/>
      <c r="V469" s="2">
        <v>164</v>
      </c>
      <c r="W469" s="2">
        <v>250</v>
      </c>
      <c r="X469" s="2">
        <v>286</v>
      </c>
      <c r="Y469" s="2">
        <v>251</v>
      </c>
      <c r="AB469" s="2"/>
      <c r="AD469" s="2">
        <v>170</v>
      </c>
      <c r="AE469" s="28">
        <v>187</v>
      </c>
      <c r="AF469" s="2">
        <v>245</v>
      </c>
      <c r="AG469" s="2">
        <v>374</v>
      </c>
      <c r="AM469" s="102">
        <f t="shared" si="91"/>
        <v>1927</v>
      </c>
      <c r="AN469" s="257">
        <f t="shared" si="92"/>
        <v>1927</v>
      </c>
      <c r="AO469" s="8">
        <f t="shared" si="111"/>
        <v>847</v>
      </c>
      <c r="AP469" s="8">
        <v>1080</v>
      </c>
      <c r="AW469" s="8">
        <f t="shared" si="94"/>
        <v>286</v>
      </c>
      <c r="AX469" s="11">
        <f t="shared" si="95"/>
        <v>251</v>
      </c>
      <c r="AY469" s="8">
        <f t="shared" si="96"/>
        <v>0</v>
      </c>
      <c r="AZ469" s="234">
        <f t="shared" si="97"/>
        <v>0</v>
      </c>
      <c r="BD469" s="11"/>
      <c r="BG469" s="11"/>
      <c r="CG469" s="239"/>
      <c r="CH469" s="239"/>
      <c r="CI469" s="239"/>
      <c r="CJ469" s="239"/>
      <c r="CK469" s="239"/>
      <c r="DM469" s="2">
        <v>3</v>
      </c>
      <c r="DP469" s="249"/>
      <c r="DT469" s="11"/>
      <c r="DU469" s="11"/>
      <c r="DV469" s="11"/>
      <c r="DW469" s="237">
        <v>4.7</v>
      </c>
      <c r="DX469" s="102"/>
    </row>
    <row r="470" spans="1:128">
      <c r="A470" s="102">
        <v>444</v>
      </c>
      <c r="B470" s="256">
        <v>11</v>
      </c>
      <c r="P470" s="11"/>
      <c r="Q470" s="11"/>
      <c r="R470" s="235">
        <f t="shared" si="110"/>
        <v>0</v>
      </c>
      <c r="S470" s="249"/>
      <c r="V470" s="2">
        <v>229</v>
      </c>
      <c r="W470" s="2">
        <v>187</v>
      </c>
      <c r="X470" s="2">
        <v>337</v>
      </c>
      <c r="Y470" s="2">
        <v>276</v>
      </c>
      <c r="AB470" s="2"/>
      <c r="AD470" s="2">
        <v>184</v>
      </c>
      <c r="AE470" s="28">
        <v>212</v>
      </c>
      <c r="AF470" s="2">
        <v>223</v>
      </c>
      <c r="AG470" s="2">
        <v>224</v>
      </c>
      <c r="AM470" s="102">
        <f t="shared" si="91"/>
        <v>1872</v>
      </c>
      <c r="AN470" s="257">
        <f t="shared" si="92"/>
        <v>1872</v>
      </c>
      <c r="AO470" s="8">
        <f t="shared" si="111"/>
        <v>940</v>
      </c>
      <c r="AP470" s="8">
        <v>932</v>
      </c>
      <c r="AW470" s="8">
        <f t="shared" si="94"/>
        <v>337</v>
      </c>
      <c r="AX470" s="11">
        <f t="shared" si="95"/>
        <v>276</v>
      </c>
      <c r="AY470" s="8">
        <f t="shared" si="96"/>
        <v>0</v>
      </c>
      <c r="AZ470" s="234">
        <f t="shared" si="97"/>
        <v>0</v>
      </c>
      <c r="BD470" s="11"/>
      <c r="BG470" s="11"/>
      <c r="CG470" s="239"/>
      <c r="CH470" s="239"/>
      <c r="CI470" s="239"/>
      <c r="CJ470" s="239"/>
      <c r="CK470" s="239"/>
      <c r="DM470" s="2">
        <v>4</v>
      </c>
      <c r="DP470" s="249"/>
      <c r="DT470" s="11"/>
      <c r="DU470" s="11"/>
      <c r="DV470" s="11"/>
      <c r="DW470" s="237">
        <v>17.399999999999999</v>
      </c>
      <c r="DX470" s="102"/>
    </row>
    <row r="471" spans="1:128">
      <c r="A471" s="102">
        <v>445</v>
      </c>
      <c r="B471" s="256">
        <v>11</v>
      </c>
      <c r="P471" s="11"/>
      <c r="Q471" s="11"/>
      <c r="R471" s="235">
        <f t="shared" si="110"/>
        <v>0</v>
      </c>
      <c r="S471" s="249"/>
      <c r="V471" s="2">
        <v>111</v>
      </c>
      <c r="W471" s="2">
        <v>264</v>
      </c>
      <c r="X471" s="2">
        <v>298</v>
      </c>
      <c r="Y471" s="2">
        <v>359</v>
      </c>
      <c r="AB471" s="2"/>
      <c r="AD471" s="2">
        <v>131</v>
      </c>
      <c r="AE471" s="28">
        <v>99</v>
      </c>
      <c r="AF471" s="2">
        <v>231</v>
      </c>
      <c r="AG471" s="2">
        <v>238</v>
      </c>
      <c r="AM471" s="102">
        <f t="shared" si="91"/>
        <v>1731</v>
      </c>
      <c r="AN471" s="257">
        <f t="shared" si="92"/>
        <v>1731</v>
      </c>
      <c r="AO471" s="8">
        <f t="shared" si="111"/>
        <v>800</v>
      </c>
      <c r="AP471" s="8">
        <v>931</v>
      </c>
      <c r="AW471" s="8">
        <f t="shared" si="94"/>
        <v>298</v>
      </c>
      <c r="AX471" s="11">
        <f t="shared" si="95"/>
        <v>359</v>
      </c>
      <c r="AY471" s="8">
        <f t="shared" si="96"/>
        <v>0</v>
      </c>
      <c r="AZ471" s="234">
        <f t="shared" si="97"/>
        <v>0</v>
      </c>
      <c r="BD471" s="11"/>
      <c r="BG471" s="11"/>
      <c r="CG471" s="239"/>
      <c r="CH471" s="239"/>
      <c r="CI471" s="239"/>
      <c r="CJ471" s="239"/>
      <c r="CK471" s="239"/>
      <c r="DM471" s="2">
        <v>4</v>
      </c>
      <c r="DP471" s="249"/>
      <c r="DT471" s="11"/>
      <c r="DU471" s="11"/>
      <c r="DV471" s="11"/>
      <c r="DW471" s="237">
        <v>5.2</v>
      </c>
      <c r="DX471" s="102"/>
    </row>
    <row r="472" spans="1:128">
      <c r="A472" s="102">
        <v>446</v>
      </c>
      <c r="B472" s="256">
        <v>11</v>
      </c>
      <c r="P472" s="11"/>
      <c r="Q472" s="11"/>
      <c r="R472" s="235">
        <f t="shared" si="110"/>
        <v>0</v>
      </c>
      <c r="S472" s="249"/>
      <c r="V472" s="2">
        <v>168</v>
      </c>
      <c r="W472" s="2">
        <v>156</v>
      </c>
      <c r="X472" s="2">
        <v>362</v>
      </c>
      <c r="Y472" s="2">
        <v>200</v>
      </c>
      <c r="AB472" s="2"/>
      <c r="AD472" s="2">
        <v>0</v>
      </c>
      <c r="AE472" s="28">
        <v>338</v>
      </c>
      <c r="AF472" s="2">
        <v>236</v>
      </c>
      <c r="AG472" s="2">
        <v>237</v>
      </c>
      <c r="AM472" s="102">
        <f t="shared" si="91"/>
        <v>1697</v>
      </c>
      <c r="AN472" s="257">
        <f t="shared" si="92"/>
        <v>1697</v>
      </c>
      <c r="AO472" s="8">
        <f t="shared" si="111"/>
        <v>942</v>
      </c>
      <c r="AP472" s="8">
        <v>755</v>
      </c>
      <c r="AW472" s="8">
        <f t="shared" si="94"/>
        <v>362</v>
      </c>
      <c r="AX472" s="11">
        <f t="shared" si="95"/>
        <v>200</v>
      </c>
      <c r="AY472" s="8">
        <f t="shared" si="96"/>
        <v>0</v>
      </c>
      <c r="AZ472" s="234">
        <f t="shared" si="97"/>
        <v>0</v>
      </c>
      <c r="BD472" s="11"/>
      <c r="BG472" s="11"/>
      <c r="CG472" s="239"/>
      <c r="CH472" s="239"/>
      <c r="CI472" s="239"/>
      <c r="CJ472" s="239"/>
      <c r="CK472" s="239"/>
      <c r="DM472" s="2">
        <v>4</v>
      </c>
      <c r="DP472" s="249"/>
      <c r="DT472" s="11"/>
      <c r="DU472" s="11"/>
      <c r="DV472" s="11"/>
      <c r="DW472" s="237">
        <v>11.1</v>
      </c>
      <c r="DX472" s="102"/>
    </row>
    <row r="473" spans="1:128">
      <c r="A473" s="102">
        <v>447</v>
      </c>
      <c r="B473" s="256">
        <v>11</v>
      </c>
      <c r="P473" s="11"/>
      <c r="Q473" s="11"/>
      <c r="R473" s="235">
        <f t="shared" si="110"/>
        <v>0</v>
      </c>
      <c r="S473" s="249"/>
      <c r="V473" s="2">
        <v>0</v>
      </c>
      <c r="W473" s="2">
        <v>193</v>
      </c>
      <c r="X473" s="2">
        <v>171</v>
      </c>
      <c r="Y473" s="2">
        <v>219</v>
      </c>
      <c r="AB473" s="2"/>
      <c r="AD473" s="2">
        <v>83</v>
      </c>
      <c r="AE473" s="28">
        <v>147</v>
      </c>
      <c r="AF473" s="2">
        <v>117</v>
      </c>
      <c r="AG473" s="2">
        <v>177</v>
      </c>
      <c r="AM473" s="102">
        <f t="shared" ref="AM473:AM498" si="112">SUM(S473:AL473)</f>
        <v>1107</v>
      </c>
      <c r="AN473" s="257">
        <f t="shared" ref="AN473:AN498" si="113">R473+AM473</f>
        <v>1107</v>
      </c>
      <c r="AO473" s="8">
        <f t="shared" si="111"/>
        <v>483</v>
      </c>
      <c r="AP473" s="8">
        <v>624</v>
      </c>
      <c r="AW473" s="8">
        <f t="shared" ref="AW473:AW498" si="114">X473</f>
        <v>171</v>
      </c>
      <c r="AX473" s="11">
        <f t="shared" ref="AX473:AX498" si="115">Y473</f>
        <v>219</v>
      </c>
      <c r="AY473" s="8">
        <f t="shared" ref="AY473:AY498" si="116">AA473</f>
        <v>0</v>
      </c>
      <c r="AZ473" s="234">
        <f t="shared" ref="AZ473:AZ498" si="117">AB473</f>
        <v>0</v>
      </c>
      <c r="BD473" s="11"/>
      <c r="BG473" s="11"/>
      <c r="CG473" s="239"/>
      <c r="CH473" s="239"/>
      <c r="CI473" s="239"/>
      <c r="CJ473" s="239"/>
      <c r="CK473" s="239"/>
      <c r="DM473" s="2">
        <v>3</v>
      </c>
      <c r="DP473" s="249"/>
      <c r="DT473" s="11"/>
      <c r="DU473" s="11"/>
      <c r="DV473" s="11"/>
      <c r="DW473" s="237">
        <v>13.4</v>
      </c>
      <c r="DX473" s="102"/>
    </row>
    <row r="474" spans="1:128">
      <c r="A474" s="102">
        <v>448</v>
      </c>
      <c r="B474" s="256">
        <v>11</v>
      </c>
      <c r="P474" s="11"/>
      <c r="Q474" s="11"/>
      <c r="R474" s="235">
        <f t="shared" si="110"/>
        <v>0</v>
      </c>
      <c r="S474" s="249"/>
      <c r="V474" s="2">
        <v>59</v>
      </c>
      <c r="W474" s="2">
        <v>191</v>
      </c>
      <c r="X474" s="2">
        <v>317</v>
      </c>
      <c r="Y474" s="2">
        <v>184</v>
      </c>
      <c r="AB474" s="2"/>
      <c r="AD474" s="2">
        <v>95</v>
      </c>
      <c r="AE474" s="28">
        <v>115</v>
      </c>
      <c r="AF474" s="2">
        <v>66</v>
      </c>
      <c r="AG474" s="2">
        <v>182</v>
      </c>
      <c r="AM474" s="102">
        <f t="shared" si="112"/>
        <v>1209</v>
      </c>
      <c r="AN474" s="257">
        <f t="shared" si="113"/>
        <v>1209</v>
      </c>
      <c r="AO474" s="8">
        <f t="shared" si="111"/>
        <v>424</v>
      </c>
      <c r="AP474" s="8">
        <v>785</v>
      </c>
      <c r="AW474" s="8">
        <f t="shared" si="114"/>
        <v>317</v>
      </c>
      <c r="AX474" s="11">
        <f t="shared" si="115"/>
        <v>184</v>
      </c>
      <c r="AY474" s="8">
        <f t="shared" si="116"/>
        <v>0</v>
      </c>
      <c r="AZ474" s="234">
        <f t="shared" si="117"/>
        <v>0</v>
      </c>
      <c r="BD474" s="11"/>
      <c r="BG474" s="11"/>
      <c r="CG474" s="239"/>
      <c r="CH474" s="239"/>
      <c r="CI474" s="239"/>
      <c r="CJ474" s="239"/>
      <c r="CK474" s="239"/>
      <c r="DM474" s="2">
        <v>4</v>
      </c>
      <c r="DP474" s="249"/>
      <c r="DT474" s="11"/>
      <c r="DU474" s="11"/>
      <c r="DV474" s="11"/>
      <c r="DW474" s="237">
        <v>13.9</v>
      </c>
      <c r="DX474" s="102"/>
    </row>
    <row r="475" spans="1:128">
      <c r="A475" s="102">
        <v>449</v>
      </c>
      <c r="B475" s="256">
        <v>11</v>
      </c>
      <c r="P475" s="11"/>
      <c r="Q475" s="11"/>
      <c r="R475" s="235">
        <f t="shared" si="110"/>
        <v>0</v>
      </c>
      <c r="S475" s="249"/>
      <c r="V475" s="2">
        <v>126</v>
      </c>
      <c r="W475" s="2">
        <v>204</v>
      </c>
      <c r="X475" s="2">
        <v>344</v>
      </c>
      <c r="Y475" s="2">
        <v>292</v>
      </c>
      <c r="AB475" s="2"/>
      <c r="AD475" s="2">
        <v>119</v>
      </c>
      <c r="AE475" s="28">
        <v>108</v>
      </c>
      <c r="AF475" s="2">
        <v>185</v>
      </c>
      <c r="AG475" s="2">
        <v>273</v>
      </c>
      <c r="AM475" s="102">
        <f t="shared" si="112"/>
        <v>1651</v>
      </c>
      <c r="AN475" s="257">
        <f t="shared" si="113"/>
        <v>1651</v>
      </c>
      <c r="AO475" s="8">
        <f t="shared" si="111"/>
        <v>711</v>
      </c>
      <c r="AP475" s="8">
        <v>940</v>
      </c>
      <c r="AW475" s="8">
        <f t="shared" si="114"/>
        <v>344</v>
      </c>
      <c r="AX475" s="11">
        <f t="shared" si="115"/>
        <v>292</v>
      </c>
      <c r="AY475" s="8">
        <f t="shared" si="116"/>
        <v>0</v>
      </c>
      <c r="AZ475" s="234">
        <f t="shared" si="117"/>
        <v>0</v>
      </c>
      <c r="BD475" s="11"/>
      <c r="BG475" s="11"/>
      <c r="CG475" s="239"/>
      <c r="CH475" s="239"/>
      <c r="CI475" s="239"/>
      <c r="CJ475" s="239"/>
      <c r="CK475" s="239"/>
      <c r="DM475" s="2">
        <v>4</v>
      </c>
      <c r="DP475" s="249"/>
      <c r="DT475" s="11"/>
      <c r="DU475" s="11"/>
      <c r="DV475" s="11"/>
      <c r="DW475" s="237">
        <v>4.5999999999999996</v>
      </c>
      <c r="DX475" s="102"/>
    </row>
    <row r="476" spans="1:128">
      <c r="A476" s="102">
        <v>450</v>
      </c>
      <c r="B476" s="256">
        <v>11</v>
      </c>
      <c r="P476" s="11"/>
      <c r="Q476" s="11"/>
      <c r="R476" s="235">
        <f t="shared" si="110"/>
        <v>0</v>
      </c>
      <c r="S476" s="249"/>
      <c r="V476" s="2">
        <v>222</v>
      </c>
      <c r="W476" s="2">
        <v>203</v>
      </c>
      <c r="X476" s="2">
        <v>366</v>
      </c>
      <c r="Y476" s="2">
        <v>280</v>
      </c>
      <c r="AB476" s="2"/>
      <c r="AD476" s="2">
        <v>216</v>
      </c>
      <c r="AE476" s="28">
        <v>170</v>
      </c>
      <c r="AF476" s="2">
        <v>366</v>
      </c>
      <c r="AG476" s="2">
        <v>222</v>
      </c>
      <c r="AM476" s="102">
        <f t="shared" si="112"/>
        <v>2045</v>
      </c>
      <c r="AN476" s="257">
        <f t="shared" si="113"/>
        <v>2045</v>
      </c>
      <c r="AO476" s="8">
        <f t="shared" si="111"/>
        <v>1038</v>
      </c>
      <c r="AP476" s="8">
        <v>1007</v>
      </c>
      <c r="AW476" s="8">
        <f t="shared" si="114"/>
        <v>366</v>
      </c>
      <c r="AX476" s="11">
        <f t="shared" si="115"/>
        <v>280</v>
      </c>
      <c r="AY476" s="8">
        <f t="shared" si="116"/>
        <v>0</v>
      </c>
      <c r="AZ476" s="234">
        <f t="shared" si="117"/>
        <v>0</v>
      </c>
      <c r="BD476" s="11"/>
      <c r="BG476" s="11"/>
      <c r="CG476" s="239"/>
      <c r="CH476" s="239"/>
      <c r="CI476" s="239"/>
      <c r="CJ476" s="239"/>
      <c r="CK476" s="239"/>
      <c r="DM476" s="2">
        <v>4</v>
      </c>
      <c r="DP476" s="249"/>
      <c r="DT476" s="11"/>
      <c r="DU476" s="11"/>
      <c r="DV476" s="11"/>
      <c r="DW476" s="237">
        <v>15.5</v>
      </c>
      <c r="DX476" s="102"/>
    </row>
    <row r="477" spans="1:128">
      <c r="A477" s="102">
        <v>451</v>
      </c>
      <c r="B477" s="256">
        <v>11</v>
      </c>
      <c r="P477" s="11"/>
      <c r="Q477" s="11"/>
      <c r="R477" s="235">
        <f t="shared" si="110"/>
        <v>0</v>
      </c>
      <c r="S477" s="249"/>
      <c r="V477" s="2">
        <v>158</v>
      </c>
      <c r="W477" s="2">
        <v>161</v>
      </c>
      <c r="X477" s="2">
        <v>302</v>
      </c>
      <c r="Y477" s="2">
        <v>147</v>
      </c>
      <c r="AB477" s="2"/>
      <c r="AD477" s="2">
        <v>0</v>
      </c>
      <c r="AE477" s="28">
        <v>340</v>
      </c>
      <c r="AF477" s="2">
        <v>158</v>
      </c>
      <c r="AG477" s="2">
        <v>197</v>
      </c>
      <c r="AM477" s="102">
        <f t="shared" si="112"/>
        <v>1463</v>
      </c>
      <c r="AN477" s="257">
        <f t="shared" si="113"/>
        <v>1463</v>
      </c>
      <c r="AO477" s="8">
        <f t="shared" si="111"/>
        <v>803</v>
      </c>
      <c r="AP477" s="8">
        <v>660</v>
      </c>
      <c r="AW477" s="8">
        <f t="shared" si="114"/>
        <v>302</v>
      </c>
      <c r="AX477" s="11">
        <f t="shared" si="115"/>
        <v>147</v>
      </c>
      <c r="AY477" s="8">
        <f t="shared" si="116"/>
        <v>0</v>
      </c>
      <c r="AZ477" s="234">
        <f t="shared" si="117"/>
        <v>0</v>
      </c>
      <c r="BD477" s="11"/>
      <c r="BG477" s="11"/>
      <c r="CG477" s="239"/>
      <c r="CH477" s="239"/>
      <c r="CI477" s="239"/>
      <c r="CJ477" s="239"/>
      <c r="CK477" s="239"/>
      <c r="DM477" s="2">
        <v>4</v>
      </c>
      <c r="DP477" s="249"/>
      <c r="DT477" s="11"/>
      <c r="DU477" s="11"/>
      <c r="DV477" s="11"/>
      <c r="DW477" s="237">
        <v>9.9</v>
      </c>
      <c r="DX477" s="102"/>
    </row>
    <row r="478" spans="1:128">
      <c r="A478" s="102">
        <v>452</v>
      </c>
      <c r="B478" s="256">
        <v>11</v>
      </c>
      <c r="P478" s="11"/>
      <c r="Q478" s="11"/>
      <c r="R478" s="235">
        <f t="shared" ref="R478:R486" si="118">SUM(C478:Q478)</f>
        <v>0</v>
      </c>
      <c r="S478" s="249"/>
      <c r="V478" s="2">
        <v>157</v>
      </c>
      <c r="W478" s="2">
        <v>188</v>
      </c>
      <c r="X478" s="2">
        <v>309</v>
      </c>
      <c r="Y478" s="2">
        <v>290</v>
      </c>
      <c r="AB478" s="2"/>
      <c r="AD478" s="2">
        <v>144</v>
      </c>
      <c r="AE478" s="28">
        <v>153</v>
      </c>
      <c r="AF478" s="2">
        <v>103</v>
      </c>
      <c r="AG478" s="2">
        <v>170</v>
      </c>
      <c r="AM478" s="102">
        <f t="shared" si="112"/>
        <v>1514</v>
      </c>
      <c r="AN478" s="257">
        <f t="shared" si="113"/>
        <v>1514</v>
      </c>
      <c r="AO478" s="8">
        <f t="shared" si="111"/>
        <v>703</v>
      </c>
      <c r="AP478" s="8">
        <v>811</v>
      </c>
      <c r="AW478" s="8">
        <f t="shared" si="114"/>
        <v>309</v>
      </c>
      <c r="AX478" s="11">
        <f t="shared" si="115"/>
        <v>290</v>
      </c>
      <c r="AY478" s="8">
        <f t="shared" si="116"/>
        <v>0</v>
      </c>
      <c r="AZ478" s="234">
        <f t="shared" si="117"/>
        <v>0</v>
      </c>
      <c r="BD478" s="11"/>
      <c r="BG478" s="11"/>
      <c r="CG478" s="239"/>
      <c r="CH478" s="239"/>
      <c r="CI478" s="239"/>
      <c r="CJ478" s="239"/>
      <c r="CK478" s="239"/>
      <c r="DM478" s="2">
        <v>4</v>
      </c>
      <c r="DP478" s="249"/>
      <c r="DT478" s="11"/>
      <c r="DU478" s="11"/>
      <c r="DV478" s="11"/>
      <c r="DW478" s="237">
        <v>4.0999999999999996</v>
      </c>
      <c r="DX478" s="102"/>
    </row>
    <row r="479" spans="1:128">
      <c r="A479" s="102">
        <v>453</v>
      </c>
      <c r="B479" s="256">
        <v>11</v>
      </c>
      <c r="P479" s="11"/>
      <c r="Q479" s="11"/>
      <c r="R479" s="235">
        <f t="shared" si="118"/>
        <v>0</v>
      </c>
      <c r="S479" s="249"/>
      <c r="V479" s="2">
        <v>170</v>
      </c>
      <c r="W479" s="2">
        <v>169</v>
      </c>
      <c r="X479" s="2">
        <v>319</v>
      </c>
      <c r="Y479" s="2">
        <v>279</v>
      </c>
      <c r="AB479" s="2"/>
      <c r="AD479" s="2">
        <v>140</v>
      </c>
      <c r="AE479" s="28">
        <v>153</v>
      </c>
      <c r="AF479" s="2">
        <v>106</v>
      </c>
      <c r="AG479" s="2">
        <v>186</v>
      </c>
      <c r="AM479" s="102">
        <f t="shared" si="112"/>
        <v>1522</v>
      </c>
      <c r="AN479" s="257">
        <f t="shared" si="113"/>
        <v>1522</v>
      </c>
      <c r="AO479" s="8">
        <f t="shared" si="111"/>
        <v>708</v>
      </c>
      <c r="AP479" s="8">
        <v>814</v>
      </c>
      <c r="AW479" s="8">
        <f t="shared" si="114"/>
        <v>319</v>
      </c>
      <c r="AX479" s="11">
        <f t="shared" si="115"/>
        <v>279</v>
      </c>
      <c r="AY479" s="8">
        <f t="shared" si="116"/>
        <v>0</v>
      </c>
      <c r="AZ479" s="234">
        <f t="shared" si="117"/>
        <v>0</v>
      </c>
      <c r="BD479" s="11"/>
      <c r="BG479" s="11"/>
      <c r="CG479" s="239"/>
      <c r="CH479" s="239"/>
      <c r="CI479" s="239"/>
      <c r="CJ479" s="239"/>
      <c r="CK479" s="239"/>
      <c r="DM479" s="2">
        <v>4</v>
      </c>
      <c r="DP479" s="249"/>
      <c r="DT479" s="11"/>
      <c r="DU479" s="11"/>
      <c r="DV479" s="11"/>
      <c r="DW479" s="237">
        <v>4</v>
      </c>
      <c r="DX479" s="102"/>
    </row>
    <row r="480" spans="1:128">
      <c r="A480" s="102">
        <v>454</v>
      </c>
      <c r="B480" s="256">
        <v>11</v>
      </c>
      <c r="P480" s="11"/>
      <c r="Q480" s="11"/>
      <c r="R480" s="235">
        <f t="shared" si="118"/>
        <v>0</v>
      </c>
      <c r="S480" s="249"/>
      <c r="V480" s="2">
        <v>169</v>
      </c>
      <c r="W480" s="2">
        <v>257</v>
      </c>
      <c r="X480" s="2">
        <v>458</v>
      </c>
      <c r="Y480" s="2">
        <v>302</v>
      </c>
      <c r="AB480" s="2"/>
      <c r="AD480" s="2">
        <v>117</v>
      </c>
      <c r="AE480" s="28">
        <v>85</v>
      </c>
      <c r="AF480" s="2">
        <v>256</v>
      </c>
      <c r="AG480" s="2">
        <v>173</v>
      </c>
      <c r="AM480" s="102">
        <f t="shared" si="112"/>
        <v>1817</v>
      </c>
      <c r="AN480" s="257">
        <f t="shared" si="113"/>
        <v>1817</v>
      </c>
      <c r="AO480" s="8">
        <f t="shared" si="111"/>
        <v>812</v>
      </c>
      <c r="AP480" s="8">
        <v>1005</v>
      </c>
      <c r="AW480" s="8">
        <f t="shared" si="114"/>
        <v>458</v>
      </c>
      <c r="AX480" s="11">
        <f t="shared" si="115"/>
        <v>302</v>
      </c>
      <c r="AY480" s="8">
        <f t="shared" si="116"/>
        <v>0</v>
      </c>
      <c r="AZ480" s="234">
        <f t="shared" si="117"/>
        <v>0</v>
      </c>
      <c r="BD480" s="11"/>
      <c r="BG480" s="11"/>
      <c r="CG480" s="239"/>
      <c r="CH480" s="239"/>
      <c r="CI480" s="239"/>
      <c r="CJ480" s="239"/>
      <c r="CK480" s="239"/>
      <c r="DM480" s="2">
        <v>4</v>
      </c>
      <c r="DP480" s="249"/>
      <c r="DT480" s="11"/>
      <c r="DU480" s="11"/>
      <c r="DV480" s="11"/>
      <c r="DW480" s="237">
        <v>18.5</v>
      </c>
      <c r="DX480" s="102"/>
    </row>
    <row r="481" spans="1:128">
      <c r="A481" s="102">
        <v>455</v>
      </c>
      <c r="B481" s="256">
        <v>11</v>
      </c>
      <c r="P481" s="11"/>
      <c r="Q481" s="11"/>
      <c r="R481" s="235">
        <f t="shared" si="118"/>
        <v>0</v>
      </c>
      <c r="S481" s="249"/>
      <c r="V481" s="2">
        <v>120</v>
      </c>
      <c r="W481" s="2">
        <v>208</v>
      </c>
      <c r="X481" s="2">
        <v>241</v>
      </c>
      <c r="Y481" s="2">
        <v>234</v>
      </c>
      <c r="AB481" s="2"/>
      <c r="AD481" s="2">
        <v>115</v>
      </c>
      <c r="AE481" s="28">
        <v>180</v>
      </c>
      <c r="AF481" s="2">
        <v>192</v>
      </c>
      <c r="AG481" s="2">
        <v>313</v>
      </c>
      <c r="AM481" s="102">
        <f t="shared" si="112"/>
        <v>1603</v>
      </c>
      <c r="AN481" s="257">
        <f t="shared" si="113"/>
        <v>1603</v>
      </c>
      <c r="AO481" s="8">
        <f t="shared" si="111"/>
        <v>726</v>
      </c>
      <c r="AP481" s="8">
        <v>877</v>
      </c>
      <c r="AW481" s="8">
        <f t="shared" si="114"/>
        <v>241</v>
      </c>
      <c r="AX481" s="11">
        <f t="shared" si="115"/>
        <v>234</v>
      </c>
      <c r="AY481" s="8">
        <f t="shared" si="116"/>
        <v>0</v>
      </c>
      <c r="AZ481" s="234">
        <f t="shared" si="117"/>
        <v>0</v>
      </c>
      <c r="BD481" s="11"/>
      <c r="BG481" s="11"/>
      <c r="CG481" s="239"/>
      <c r="CH481" s="239"/>
      <c r="CI481" s="239"/>
      <c r="CJ481" s="239"/>
      <c r="CK481" s="239"/>
      <c r="DM481" s="2">
        <v>2</v>
      </c>
      <c r="DP481" s="249"/>
      <c r="DT481" s="11"/>
      <c r="DU481" s="11"/>
      <c r="DV481" s="11"/>
      <c r="DW481" s="237">
        <v>4.5999999999999996</v>
      </c>
      <c r="DX481" s="102"/>
    </row>
    <row r="482" spans="1:128">
      <c r="A482" s="102">
        <v>456</v>
      </c>
      <c r="B482" s="256">
        <v>11</v>
      </c>
      <c r="P482" s="11"/>
      <c r="Q482" s="11"/>
      <c r="R482" s="235">
        <f t="shared" si="118"/>
        <v>0</v>
      </c>
      <c r="S482" s="249"/>
      <c r="V482" s="2">
        <v>229</v>
      </c>
      <c r="W482" s="2">
        <v>197</v>
      </c>
      <c r="X482" s="2">
        <v>366</v>
      </c>
      <c r="Y482" s="2">
        <v>306</v>
      </c>
      <c r="AB482" s="2"/>
      <c r="AD482" s="2">
        <v>97</v>
      </c>
      <c r="AE482" s="28">
        <v>111</v>
      </c>
      <c r="AF482" s="2">
        <v>174</v>
      </c>
      <c r="AG482" s="2">
        <v>212</v>
      </c>
      <c r="AM482" s="102">
        <f t="shared" si="112"/>
        <v>1692</v>
      </c>
      <c r="AN482" s="257">
        <f t="shared" si="113"/>
        <v>1692</v>
      </c>
      <c r="AO482" s="8">
        <f t="shared" si="111"/>
        <v>820</v>
      </c>
      <c r="AP482" s="8">
        <v>872</v>
      </c>
      <c r="AW482" s="8">
        <f t="shared" si="114"/>
        <v>366</v>
      </c>
      <c r="AX482" s="11">
        <f t="shared" si="115"/>
        <v>306</v>
      </c>
      <c r="AY482" s="8">
        <f t="shared" si="116"/>
        <v>0</v>
      </c>
      <c r="AZ482" s="234">
        <f t="shared" si="117"/>
        <v>0</v>
      </c>
      <c r="BD482" s="11"/>
      <c r="BG482" s="11"/>
      <c r="CG482" s="239"/>
      <c r="CH482" s="239"/>
      <c r="CI482" s="239"/>
      <c r="CJ482" s="239"/>
      <c r="CK482" s="239"/>
      <c r="DM482" s="2">
        <v>4</v>
      </c>
      <c r="DP482" s="249"/>
      <c r="DT482" s="11"/>
      <c r="DU482" s="11"/>
      <c r="DV482" s="11"/>
      <c r="DW482" s="237">
        <v>11.7</v>
      </c>
      <c r="DX482" s="102"/>
    </row>
    <row r="483" spans="1:128">
      <c r="A483" s="102">
        <v>457</v>
      </c>
      <c r="B483" s="256">
        <v>11</v>
      </c>
      <c r="P483" s="11"/>
      <c r="Q483" s="11"/>
      <c r="R483" s="235">
        <f t="shared" si="118"/>
        <v>0</v>
      </c>
      <c r="S483" s="249"/>
      <c r="V483" s="2">
        <v>313</v>
      </c>
      <c r="W483" s="2">
        <v>213</v>
      </c>
      <c r="X483" s="2">
        <v>390</v>
      </c>
      <c r="Y483" s="2">
        <v>293</v>
      </c>
      <c r="AB483" s="2"/>
      <c r="AD483" s="2">
        <v>222</v>
      </c>
      <c r="AE483" s="28">
        <v>92</v>
      </c>
      <c r="AF483" s="2">
        <v>348</v>
      </c>
      <c r="AG483" s="2">
        <v>209</v>
      </c>
      <c r="AM483" s="102">
        <f t="shared" si="112"/>
        <v>2080</v>
      </c>
      <c r="AN483" s="257">
        <f t="shared" si="113"/>
        <v>2080</v>
      </c>
      <c r="AO483" s="8">
        <f t="shared" si="111"/>
        <v>385</v>
      </c>
      <c r="AP483" s="501">
        <v>1695</v>
      </c>
      <c r="AW483" s="8">
        <f t="shared" si="114"/>
        <v>390</v>
      </c>
      <c r="AX483" s="11">
        <f t="shared" si="115"/>
        <v>293</v>
      </c>
      <c r="AY483" s="8">
        <f t="shared" si="116"/>
        <v>0</v>
      </c>
      <c r="AZ483" s="234">
        <f t="shared" si="117"/>
        <v>0</v>
      </c>
      <c r="BD483" s="11"/>
      <c r="BG483" s="11"/>
      <c r="CG483" s="239"/>
      <c r="CH483" s="239"/>
      <c r="CI483" s="239"/>
      <c r="CJ483" s="239"/>
      <c r="CK483" s="239"/>
      <c r="DM483" s="2">
        <v>4</v>
      </c>
      <c r="DP483" s="249"/>
      <c r="DT483" s="11"/>
      <c r="DU483" s="11"/>
      <c r="DV483" s="11"/>
      <c r="DW483" s="237">
        <v>17.600000000000001</v>
      </c>
      <c r="DX483" s="102"/>
    </row>
    <row r="484" spans="1:128">
      <c r="A484" s="102">
        <v>458</v>
      </c>
      <c r="B484" s="256">
        <v>11</v>
      </c>
      <c r="P484" s="11"/>
      <c r="Q484" s="11"/>
      <c r="R484" s="235">
        <f t="shared" si="118"/>
        <v>0</v>
      </c>
      <c r="S484" s="249"/>
      <c r="V484" s="2">
        <v>303</v>
      </c>
      <c r="W484" s="2">
        <v>218</v>
      </c>
      <c r="X484" s="2">
        <v>344</v>
      </c>
      <c r="Y484" s="2">
        <v>301</v>
      </c>
      <c r="AB484" s="2"/>
      <c r="AD484" s="2">
        <v>208</v>
      </c>
      <c r="AE484" s="28">
        <v>93</v>
      </c>
      <c r="AF484" s="2">
        <v>372</v>
      </c>
      <c r="AG484" s="2">
        <v>212</v>
      </c>
      <c r="AM484" s="102">
        <f t="shared" si="112"/>
        <v>2051</v>
      </c>
      <c r="AN484" s="257">
        <f t="shared" si="113"/>
        <v>2051</v>
      </c>
      <c r="AO484" s="8">
        <f t="shared" si="111"/>
        <v>394</v>
      </c>
      <c r="AP484" s="501">
        <v>1657</v>
      </c>
      <c r="AW484" s="8">
        <f t="shared" si="114"/>
        <v>344</v>
      </c>
      <c r="AX484" s="11">
        <f t="shared" si="115"/>
        <v>301</v>
      </c>
      <c r="AY484" s="8">
        <f t="shared" si="116"/>
        <v>0</v>
      </c>
      <c r="AZ484" s="234">
        <f t="shared" si="117"/>
        <v>0</v>
      </c>
      <c r="BD484" s="11"/>
      <c r="BG484" s="11"/>
      <c r="CG484" s="239"/>
      <c r="CH484" s="239"/>
      <c r="CI484" s="239"/>
      <c r="CJ484" s="239"/>
      <c r="CK484" s="239"/>
      <c r="DM484" s="2">
        <v>4</v>
      </c>
      <c r="DP484" s="249"/>
      <c r="DT484" s="11"/>
      <c r="DU484" s="11"/>
      <c r="DV484" s="11"/>
      <c r="DW484" s="237">
        <v>17.2</v>
      </c>
      <c r="DX484" s="102"/>
    </row>
    <row r="485" spans="1:128">
      <c r="A485" s="102">
        <v>459</v>
      </c>
      <c r="B485" s="256">
        <v>11</v>
      </c>
      <c r="P485" s="11"/>
      <c r="Q485" s="11"/>
      <c r="R485" s="235">
        <f t="shared" si="118"/>
        <v>0</v>
      </c>
      <c r="S485" s="249"/>
      <c r="V485" s="2">
        <v>249</v>
      </c>
      <c r="W485" s="2">
        <v>235</v>
      </c>
      <c r="X485" s="2">
        <v>373</v>
      </c>
      <c r="Y485" s="2">
        <v>258</v>
      </c>
      <c r="AB485" s="2"/>
      <c r="AD485" s="2">
        <v>201</v>
      </c>
      <c r="AE485" s="28">
        <v>78</v>
      </c>
      <c r="AF485" s="2">
        <v>262</v>
      </c>
      <c r="AG485" s="2">
        <v>187</v>
      </c>
      <c r="AM485" s="102">
        <f t="shared" si="112"/>
        <v>1843</v>
      </c>
      <c r="AN485" s="257">
        <f t="shared" si="113"/>
        <v>1843</v>
      </c>
      <c r="AO485" s="8">
        <f t="shared" si="111"/>
        <v>336</v>
      </c>
      <c r="AP485" s="501">
        <v>1507</v>
      </c>
      <c r="AW485" s="8">
        <f t="shared" si="114"/>
        <v>373</v>
      </c>
      <c r="AX485" s="11">
        <f t="shared" si="115"/>
        <v>258</v>
      </c>
      <c r="AY485" s="8">
        <f t="shared" si="116"/>
        <v>0</v>
      </c>
      <c r="AZ485" s="234">
        <f t="shared" si="117"/>
        <v>0</v>
      </c>
      <c r="BD485" s="11"/>
      <c r="BG485" s="11"/>
      <c r="CG485" s="239"/>
      <c r="CH485" s="239"/>
      <c r="CI485" s="239"/>
      <c r="CJ485" s="239"/>
      <c r="CK485" s="239"/>
      <c r="DM485" s="2">
        <v>4</v>
      </c>
      <c r="DP485" s="249"/>
      <c r="DT485" s="11"/>
      <c r="DU485" s="11"/>
      <c r="DV485" s="11"/>
      <c r="DW485" s="237">
        <v>21.6</v>
      </c>
      <c r="DX485" s="102"/>
    </row>
    <row r="486" spans="1:128">
      <c r="A486" s="102">
        <v>460</v>
      </c>
      <c r="B486" s="256">
        <v>11</v>
      </c>
      <c r="P486" s="11"/>
      <c r="Q486" s="11"/>
      <c r="R486" s="235">
        <f t="shared" si="118"/>
        <v>0</v>
      </c>
      <c r="S486" s="249"/>
      <c r="V486" s="2">
        <v>125</v>
      </c>
      <c r="W486" s="2">
        <v>141</v>
      </c>
      <c r="X486" s="2">
        <v>282</v>
      </c>
      <c r="Y486" s="2">
        <v>237</v>
      </c>
      <c r="AB486" s="2"/>
      <c r="AD486" s="2">
        <v>0</v>
      </c>
      <c r="AE486" s="28">
        <v>311</v>
      </c>
      <c r="AF486" s="2">
        <v>228</v>
      </c>
      <c r="AG486" s="2">
        <v>243</v>
      </c>
      <c r="AM486" s="102">
        <f t="shared" si="112"/>
        <v>1567</v>
      </c>
      <c r="AN486" s="257">
        <f t="shared" si="113"/>
        <v>1567</v>
      </c>
      <c r="AO486" s="8">
        <f t="shared" si="111"/>
        <v>548</v>
      </c>
      <c r="AP486" s="501">
        <v>1019</v>
      </c>
      <c r="AW486" s="8">
        <f t="shared" si="114"/>
        <v>282</v>
      </c>
      <c r="AX486" s="11">
        <f t="shared" si="115"/>
        <v>237</v>
      </c>
      <c r="AY486" s="8">
        <f t="shared" si="116"/>
        <v>0</v>
      </c>
      <c r="AZ486" s="234">
        <f t="shared" si="117"/>
        <v>0</v>
      </c>
      <c r="BD486" s="11"/>
      <c r="BG486" s="11"/>
      <c r="CG486" s="239"/>
      <c r="CH486" s="239"/>
      <c r="CI486" s="239"/>
      <c r="CJ486" s="239"/>
      <c r="CK486" s="239"/>
      <c r="DM486" s="2">
        <v>4</v>
      </c>
      <c r="DP486" s="249"/>
      <c r="DT486" s="11"/>
      <c r="DU486" s="11"/>
      <c r="DV486" s="11"/>
      <c r="DW486" s="237">
        <v>10.4</v>
      </c>
      <c r="DX486" s="102"/>
    </row>
    <row r="487" spans="1:128">
      <c r="A487" s="102">
        <v>461</v>
      </c>
      <c r="B487" s="256">
        <v>11</v>
      </c>
      <c r="P487" s="11"/>
      <c r="Q487" s="11"/>
      <c r="S487" s="249"/>
      <c r="V487" s="2">
        <v>191</v>
      </c>
      <c r="W487" s="2">
        <v>203</v>
      </c>
      <c r="X487" s="2">
        <v>385</v>
      </c>
      <c r="Y487" s="2">
        <v>293</v>
      </c>
      <c r="AB487" s="2"/>
      <c r="AD487" s="2">
        <v>252</v>
      </c>
      <c r="AE487" s="28">
        <v>186</v>
      </c>
      <c r="AF487" s="2">
        <v>253</v>
      </c>
      <c r="AG487" s="2">
        <v>187</v>
      </c>
      <c r="AM487" s="102">
        <f t="shared" si="112"/>
        <v>1950</v>
      </c>
      <c r="AN487" s="257">
        <f t="shared" si="113"/>
        <v>1950</v>
      </c>
      <c r="AO487" s="8">
        <f t="shared" si="111"/>
        <v>479</v>
      </c>
      <c r="AP487" s="501">
        <v>1471</v>
      </c>
      <c r="AW487" s="8">
        <f t="shared" si="114"/>
        <v>385</v>
      </c>
      <c r="AX487" s="11">
        <f t="shared" si="115"/>
        <v>293</v>
      </c>
      <c r="AY487" s="8">
        <f t="shared" si="116"/>
        <v>0</v>
      </c>
      <c r="AZ487" s="234">
        <f t="shared" si="117"/>
        <v>0</v>
      </c>
      <c r="BD487" s="11"/>
      <c r="BG487" s="11"/>
      <c r="CG487" s="239"/>
      <c r="CH487" s="239"/>
      <c r="CI487" s="239"/>
      <c r="CJ487" s="239"/>
      <c r="CK487" s="239"/>
      <c r="DM487" s="2">
        <v>4</v>
      </c>
      <c r="DP487" s="249"/>
      <c r="DT487" s="11"/>
      <c r="DU487" s="11"/>
      <c r="DV487" s="11"/>
      <c r="DW487" s="237">
        <v>12.8</v>
      </c>
      <c r="DX487" s="102"/>
    </row>
    <row r="488" spans="1:128">
      <c r="A488" s="102">
        <v>462</v>
      </c>
      <c r="B488" s="256">
        <v>11</v>
      </c>
      <c r="P488" s="11"/>
      <c r="Q488" s="11"/>
      <c r="S488" s="249"/>
      <c r="V488" s="2">
        <v>172</v>
      </c>
      <c r="W488" s="2">
        <v>209</v>
      </c>
      <c r="X488" s="2">
        <v>336</v>
      </c>
      <c r="Y488" s="2">
        <v>245</v>
      </c>
      <c r="AB488" s="2"/>
      <c r="AD488" s="2">
        <v>221</v>
      </c>
      <c r="AE488" s="28">
        <v>192</v>
      </c>
      <c r="AF488" s="2">
        <v>305</v>
      </c>
      <c r="AG488" s="2">
        <v>160</v>
      </c>
      <c r="AM488" s="102">
        <f t="shared" si="112"/>
        <v>1840</v>
      </c>
      <c r="AN488" s="257">
        <f t="shared" si="113"/>
        <v>1840</v>
      </c>
      <c r="AO488" s="8">
        <f t="shared" si="111"/>
        <v>437</v>
      </c>
      <c r="AP488" s="501">
        <v>1403</v>
      </c>
      <c r="AW488" s="8">
        <f t="shared" si="114"/>
        <v>336</v>
      </c>
      <c r="AX488" s="11">
        <f t="shared" si="115"/>
        <v>245</v>
      </c>
      <c r="AY488" s="8">
        <f t="shared" si="116"/>
        <v>0</v>
      </c>
      <c r="AZ488" s="234">
        <f t="shared" si="117"/>
        <v>0</v>
      </c>
      <c r="BD488" s="11"/>
      <c r="BG488" s="11"/>
      <c r="CG488" s="239"/>
      <c r="CH488" s="239"/>
      <c r="CI488" s="239"/>
      <c r="CJ488" s="239"/>
      <c r="CK488" s="239"/>
      <c r="DM488" s="2">
        <v>4</v>
      </c>
      <c r="DP488" s="249"/>
      <c r="DT488" s="11"/>
      <c r="DU488" s="11"/>
      <c r="DV488" s="11"/>
      <c r="DW488" s="237">
        <v>16.399999999999999</v>
      </c>
      <c r="DX488" s="102"/>
    </row>
    <row r="489" spans="1:128">
      <c r="A489" s="102">
        <v>463</v>
      </c>
      <c r="B489" s="256">
        <v>11</v>
      </c>
      <c r="P489" s="11"/>
      <c r="Q489" s="11"/>
      <c r="S489" s="249"/>
      <c r="V489" s="2">
        <v>174</v>
      </c>
      <c r="W489" s="2">
        <v>217</v>
      </c>
      <c r="X489" s="2">
        <v>271</v>
      </c>
      <c r="Y489" s="2">
        <v>202</v>
      </c>
      <c r="AB489" s="2"/>
      <c r="AD489" s="2">
        <v>205</v>
      </c>
      <c r="AE489" s="28">
        <v>178</v>
      </c>
      <c r="AF489" s="2">
        <v>206</v>
      </c>
      <c r="AG489" s="2">
        <v>228</v>
      </c>
      <c r="AM489" s="102">
        <f t="shared" si="112"/>
        <v>1681</v>
      </c>
      <c r="AN489" s="257">
        <f t="shared" si="113"/>
        <v>1681</v>
      </c>
      <c r="AO489" s="8">
        <f t="shared" si="111"/>
        <v>380</v>
      </c>
      <c r="AP489" s="501">
        <v>1301</v>
      </c>
      <c r="AW489" s="8">
        <f t="shared" si="114"/>
        <v>271</v>
      </c>
      <c r="AX489" s="11">
        <f t="shared" si="115"/>
        <v>202</v>
      </c>
      <c r="AY489" s="8">
        <f t="shared" si="116"/>
        <v>0</v>
      </c>
      <c r="AZ489" s="234">
        <f t="shared" si="117"/>
        <v>0</v>
      </c>
      <c r="BD489" s="11"/>
      <c r="BG489" s="11"/>
      <c r="CG489" s="239"/>
      <c r="CH489" s="239"/>
      <c r="CI489" s="239"/>
      <c r="CJ489" s="239"/>
      <c r="CK489" s="239"/>
      <c r="DM489" s="2">
        <v>4</v>
      </c>
      <c r="DP489" s="249"/>
      <c r="DT489" s="11"/>
      <c r="DU489" s="11"/>
      <c r="DV489" s="11"/>
      <c r="DW489" s="237">
        <v>6.5</v>
      </c>
      <c r="DX489" s="102"/>
    </row>
    <row r="490" spans="1:128">
      <c r="A490" s="102">
        <v>464</v>
      </c>
      <c r="B490" s="256">
        <v>11</v>
      </c>
      <c r="P490" s="11"/>
      <c r="Q490" s="11"/>
      <c r="S490" s="249"/>
      <c r="V490" s="2">
        <v>224</v>
      </c>
      <c r="W490" s="2">
        <v>201</v>
      </c>
      <c r="X490" s="2">
        <v>355</v>
      </c>
      <c r="Y490" s="2">
        <v>387</v>
      </c>
      <c r="AB490" s="2"/>
      <c r="AD490" s="2">
        <v>197</v>
      </c>
      <c r="AE490" s="28">
        <v>107</v>
      </c>
      <c r="AF490" s="2">
        <v>315</v>
      </c>
      <c r="AG490" s="2">
        <v>157</v>
      </c>
      <c r="AM490" s="102">
        <f t="shared" si="112"/>
        <v>1943</v>
      </c>
      <c r="AN490" s="257">
        <f t="shared" si="113"/>
        <v>1943</v>
      </c>
      <c r="AO490" s="8">
        <f t="shared" si="111"/>
        <v>494</v>
      </c>
      <c r="AP490" s="501">
        <v>1449</v>
      </c>
      <c r="AW490" s="8">
        <f t="shared" si="114"/>
        <v>355</v>
      </c>
      <c r="AX490" s="11">
        <f t="shared" si="115"/>
        <v>387</v>
      </c>
      <c r="AY490" s="8">
        <f t="shared" si="116"/>
        <v>0</v>
      </c>
      <c r="AZ490" s="234">
        <f t="shared" si="117"/>
        <v>0</v>
      </c>
      <c r="BD490" s="11"/>
      <c r="BG490" s="11"/>
      <c r="CG490" s="239"/>
      <c r="CH490" s="239"/>
      <c r="CI490" s="239"/>
      <c r="CJ490" s="239"/>
      <c r="CK490" s="239"/>
      <c r="DM490" s="2">
        <v>4</v>
      </c>
      <c r="DP490" s="249"/>
      <c r="DT490" s="11"/>
      <c r="DU490" s="11"/>
      <c r="DV490" s="11"/>
      <c r="DW490" s="237">
        <v>16.2</v>
      </c>
      <c r="DX490" s="102"/>
    </row>
    <row r="491" spans="1:128">
      <c r="A491" s="102">
        <v>465</v>
      </c>
      <c r="B491" s="256">
        <v>11</v>
      </c>
      <c r="P491" s="11"/>
      <c r="Q491" s="11"/>
      <c r="S491" s="249"/>
      <c r="V491" s="2">
        <v>243</v>
      </c>
      <c r="W491" s="2">
        <v>207</v>
      </c>
      <c r="X491" s="2">
        <v>529</v>
      </c>
      <c r="Y491" s="2">
        <v>356</v>
      </c>
      <c r="AB491" s="2"/>
      <c r="AD491" s="2">
        <v>121</v>
      </c>
      <c r="AE491" s="28">
        <v>95</v>
      </c>
      <c r="AF491" s="2">
        <v>307</v>
      </c>
      <c r="AG491" s="2">
        <v>287</v>
      </c>
      <c r="AM491" s="102">
        <f t="shared" si="112"/>
        <v>2145</v>
      </c>
      <c r="AN491" s="257">
        <f t="shared" si="113"/>
        <v>2145</v>
      </c>
      <c r="AO491" s="8">
        <f t="shared" si="111"/>
        <v>451</v>
      </c>
      <c r="AP491" s="501">
        <v>1694</v>
      </c>
      <c r="AW491" s="8">
        <f t="shared" si="114"/>
        <v>529</v>
      </c>
      <c r="AX491" s="11">
        <f t="shared" si="115"/>
        <v>356</v>
      </c>
      <c r="AY491" s="8">
        <f t="shared" si="116"/>
        <v>0</v>
      </c>
      <c r="AZ491" s="234">
        <f t="shared" si="117"/>
        <v>0</v>
      </c>
      <c r="BD491" s="11"/>
      <c r="BG491" s="11"/>
      <c r="CG491" s="239"/>
      <c r="CH491" s="239"/>
      <c r="CI491" s="239"/>
      <c r="CJ491" s="239"/>
      <c r="CK491" s="239"/>
      <c r="DM491" s="2">
        <v>4</v>
      </c>
      <c r="DP491" s="249"/>
      <c r="DT491" s="11"/>
      <c r="DU491" s="11"/>
      <c r="DV491" s="11"/>
      <c r="DW491" s="237">
        <v>19.3</v>
      </c>
      <c r="DX491" s="102"/>
    </row>
    <row r="492" spans="1:128">
      <c r="A492" s="102">
        <v>466</v>
      </c>
      <c r="B492" s="256">
        <v>11</v>
      </c>
      <c r="P492" s="11"/>
      <c r="Q492" s="11"/>
      <c r="S492" s="249"/>
      <c r="V492" s="2">
        <v>126</v>
      </c>
      <c r="W492" s="2">
        <v>203</v>
      </c>
      <c r="X492" s="2">
        <v>322</v>
      </c>
      <c r="Y492" s="2">
        <v>209</v>
      </c>
      <c r="AB492" s="2"/>
      <c r="AD492" s="2">
        <v>242</v>
      </c>
      <c r="AE492" s="28">
        <v>122</v>
      </c>
      <c r="AF492" s="2">
        <v>204</v>
      </c>
      <c r="AG492" s="2">
        <v>178</v>
      </c>
      <c r="AM492" s="102">
        <f t="shared" si="112"/>
        <v>1606</v>
      </c>
      <c r="AN492" s="257">
        <f t="shared" si="113"/>
        <v>1606</v>
      </c>
      <c r="AO492" s="8">
        <f t="shared" si="111"/>
        <v>331</v>
      </c>
      <c r="AP492" s="501">
        <v>1275</v>
      </c>
      <c r="AW492" s="8">
        <f t="shared" si="114"/>
        <v>322</v>
      </c>
      <c r="AX492" s="11">
        <f t="shared" si="115"/>
        <v>209</v>
      </c>
      <c r="AY492" s="8">
        <f t="shared" si="116"/>
        <v>0</v>
      </c>
      <c r="AZ492" s="234">
        <f t="shared" si="117"/>
        <v>0</v>
      </c>
      <c r="BD492" s="11"/>
      <c r="BG492" s="11"/>
      <c r="CG492" s="239"/>
      <c r="CH492" s="239"/>
      <c r="CI492" s="239"/>
      <c r="CJ492" s="239"/>
      <c r="CK492" s="239"/>
      <c r="DM492" s="2">
        <v>4</v>
      </c>
      <c r="DP492" s="249"/>
      <c r="DT492" s="11"/>
      <c r="DU492" s="11"/>
      <c r="DV492" s="11"/>
      <c r="DW492" s="237">
        <v>4.9000000000000004</v>
      </c>
      <c r="DX492" s="102"/>
    </row>
    <row r="493" spans="1:128">
      <c r="A493" s="102">
        <v>467</v>
      </c>
      <c r="B493" s="256">
        <v>11</v>
      </c>
      <c r="P493" s="11"/>
      <c r="Q493" s="11"/>
      <c r="S493" s="249"/>
      <c r="V493" s="2">
        <v>300</v>
      </c>
      <c r="W493" s="2">
        <v>210</v>
      </c>
      <c r="X493" s="2">
        <v>526</v>
      </c>
      <c r="Y493" s="2">
        <v>377</v>
      </c>
      <c r="AB493" s="2"/>
      <c r="AD493" s="2">
        <v>325</v>
      </c>
      <c r="AE493" s="28">
        <v>128</v>
      </c>
      <c r="AF493" s="2">
        <v>293</v>
      </c>
      <c r="AG493" s="2">
        <v>310</v>
      </c>
      <c r="AM493" s="102">
        <f t="shared" si="112"/>
        <v>2469</v>
      </c>
      <c r="AN493" s="257">
        <f t="shared" si="113"/>
        <v>2469</v>
      </c>
      <c r="AO493" s="8">
        <f t="shared" si="111"/>
        <v>505</v>
      </c>
      <c r="AP493" s="501">
        <v>1964</v>
      </c>
      <c r="AW493" s="8">
        <f t="shared" si="114"/>
        <v>526</v>
      </c>
      <c r="AX493" s="11">
        <f t="shared" si="115"/>
        <v>377</v>
      </c>
      <c r="AY493" s="8">
        <f t="shared" si="116"/>
        <v>0</v>
      </c>
      <c r="AZ493" s="234">
        <f t="shared" si="117"/>
        <v>0</v>
      </c>
      <c r="BD493" s="11"/>
      <c r="BG493" s="11"/>
      <c r="CG493" s="239"/>
      <c r="CH493" s="239"/>
      <c r="CI493" s="239"/>
      <c r="CJ493" s="239"/>
      <c r="CK493" s="239"/>
      <c r="DM493" s="2">
        <v>4</v>
      </c>
      <c r="DP493" s="249"/>
      <c r="DT493" s="11"/>
      <c r="DU493" s="11"/>
      <c r="DV493" s="11"/>
      <c r="DW493" s="237">
        <v>15.1</v>
      </c>
      <c r="DX493" s="102"/>
    </row>
    <row r="494" spans="1:128">
      <c r="A494" s="102">
        <v>468</v>
      </c>
      <c r="B494" s="256">
        <v>11</v>
      </c>
      <c r="P494" s="11"/>
      <c r="Q494" s="11"/>
      <c r="S494" s="249"/>
      <c r="V494" s="2">
        <v>268</v>
      </c>
      <c r="W494" s="2">
        <v>219</v>
      </c>
      <c r="X494" s="2">
        <v>542</v>
      </c>
      <c r="Y494" s="2">
        <v>399</v>
      </c>
      <c r="AB494" s="2"/>
      <c r="AD494" s="2">
        <v>320</v>
      </c>
      <c r="AE494" s="28">
        <v>139</v>
      </c>
      <c r="AF494" s="2">
        <v>309</v>
      </c>
      <c r="AG494" s="2">
        <v>273</v>
      </c>
      <c r="AM494" s="102">
        <f t="shared" si="112"/>
        <v>2469</v>
      </c>
      <c r="AN494" s="257">
        <f t="shared" si="113"/>
        <v>2469</v>
      </c>
      <c r="AO494" s="8">
        <f t="shared" si="111"/>
        <v>538</v>
      </c>
      <c r="AP494" s="501">
        <v>1931</v>
      </c>
      <c r="AW494" s="8">
        <f t="shared" si="114"/>
        <v>542</v>
      </c>
      <c r="AX494" s="11">
        <f t="shared" si="115"/>
        <v>399</v>
      </c>
      <c r="AY494" s="8">
        <f t="shared" si="116"/>
        <v>0</v>
      </c>
      <c r="AZ494" s="234">
        <f t="shared" si="117"/>
        <v>0</v>
      </c>
      <c r="BD494" s="11"/>
      <c r="BG494" s="11"/>
      <c r="CG494" s="239"/>
      <c r="CH494" s="239"/>
      <c r="CI494" s="239"/>
      <c r="CJ494" s="239"/>
      <c r="CK494" s="239"/>
      <c r="DM494" s="2">
        <v>4</v>
      </c>
      <c r="DP494" s="249"/>
      <c r="DT494" s="11"/>
      <c r="DU494" s="11"/>
      <c r="DV494" s="11"/>
      <c r="DW494" s="237">
        <v>14.9</v>
      </c>
      <c r="DX494" s="102"/>
    </row>
    <row r="495" spans="1:128">
      <c r="A495" s="102">
        <v>469</v>
      </c>
      <c r="B495" s="256">
        <v>11</v>
      </c>
      <c r="P495" s="11"/>
      <c r="Q495" s="11"/>
      <c r="S495" s="249"/>
      <c r="V495" s="2">
        <v>196</v>
      </c>
      <c r="W495" s="2">
        <v>297</v>
      </c>
      <c r="X495" s="2">
        <v>416</v>
      </c>
      <c r="Y495" s="2">
        <v>320</v>
      </c>
      <c r="AB495" s="2"/>
      <c r="AD495" s="2">
        <v>241</v>
      </c>
      <c r="AE495" s="28">
        <v>191</v>
      </c>
      <c r="AF495" s="2">
        <v>366</v>
      </c>
      <c r="AG495" s="2">
        <v>323</v>
      </c>
      <c r="AM495" s="102">
        <f t="shared" si="112"/>
        <v>2350</v>
      </c>
      <c r="AN495" s="257">
        <f t="shared" si="113"/>
        <v>2350</v>
      </c>
      <c r="AO495" s="8">
        <f t="shared" si="111"/>
        <v>511</v>
      </c>
      <c r="AP495" s="501">
        <v>1839</v>
      </c>
      <c r="AW495" s="8">
        <f t="shared" si="114"/>
        <v>416</v>
      </c>
      <c r="AX495" s="11">
        <f t="shared" si="115"/>
        <v>320</v>
      </c>
      <c r="AY495" s="8">
        <f t="shared" si="116"/>
        <v>0</v>
      </c>
      <c r="AZ495" s="234">
        <f t="shared" si="117"/>
        <v>0</v>
      </c>
      <c r="BD495" s="11"/>
      <c r="BG495" s="11"/>
      <c r="CG495" s="239"/>
      <c r="CH495" s="239"/>
      <c r="CI495" s="239"/>
      <c r="CJ495" s="239"/>
      <c r="CK495" s="239"/>
      <c r="DM495" s="2">
        <v>4</v>
      </c>
      <c r="DP495" s="249"/>
      <c r="DT495" s="11"/>
      <c r="DU495" s="11"/>
      <c r="DV495" s="11"/>
      <c r="DW495" s="237">
        <v>10.199999999999999</v>
      </c>
      <c r="DX495" s="102"/>
    </row>
    <row r="496" spans="1:128">
      <c r="A496" s="102">
        <v>470</v>
      </c>
      <c r="B496" s="256">
        <v>11</v>
      </c>
      <c r="P496" s="11"/>
      <c r="Q496" s="11"/>
      <c r="S496" s="249"/>
      <c r="V496" s="2">
        <v>191</v>
      </c>
      <c r="W496" s="2">
        <v>202</v>
      </c>
      <c r="X496" s="2">
        <v>328</v>
      </c>
      <c r="Y496" s="2">
        <v>198</v>
      </c>
      <c r="AB496" s="2"/>
      <c r="AD496" s="2">
        <v>78</v>
      </c>
      <c r="AE496" s="28">
        <v>53</v>
      </c>
      <c r="AF496" s="2">
        <v>232</v>
      </c>
      <c r="AG496" s="2">
        <v>223</v>
      </c>
      <c r="AM496" s="102">
        <f t="shared" si="112"/>
        <v>1505</v>
      </c>
      <c r="AN496" s="257">
        <f t="shared" si="113"/>
        <v>1505</v>
      </c>
      <c r="AO496" s="8">
        <f t="shared" si="111"/>
        <v>251</v>
      </c>
      <c r="AP496" s="501">
        <v>1254</v>
      </c>
      <c r="AW496" s="8">
        <f t="shared" si="114"/>
        <v>328</v>
      </c>
      <c r="AX496" s="11">
        <f t="shared" si="115"/>
        <v>198</v>
      </c>
      <c r="AY496" s="8">
        <f t="shared" si="116"/>
        <v>0</v>
      </c>
      <c r="AZ496" s="234">
        <f t="shared" si="117"/>
        <v>0</v>
      </c>
      <c r="BD496" s="11"/>
      <c r="BG496" s="11"/>
      <c r="CG496" s="239"/>
      <c r="CH496" s="239"/>
      <c r="CI496" s="239"/>
      <c r="CJ496" s="239"/>
      <c r="CK496" s="239"/>
      <c r="DM496" s="2">
        <v>4</v>
      </c>
      <c r="DP496" s="249"/>
      <c r="DT496" s="11"/>
      <c r="DU496" s="11"/>
      <c r="DV496" s="11"/>
      <c r="DW496" s="237">
        <v>17.600000000000001</v>
      </c>
      <c r="DX496" s="102"/>
    </row>
    <row r="497" spans="1:130">
      <c r="A497" s="102">
        <v>471</v>
      </c>
      <c r="B497" s="256">
        <v>11</v>
      </c>
      <c r="P497" s="11"/>
      <c r="Q497" s="11"/>
      <c r="S497" s="249"/>
      <c r="V497" s="2">
        <v>305</v>
      </c>
      <c r="W497" s="2">
        <v>667</v>
      </c>
      <c r="X497" s="2">
        <v>0</v>
      </c>
      <c r="Y497" s="2">
        <v>328</v>
      </c>
      <c r="AB497" s="2"/>
      <c r="AD497" s="2">
        <v>166</v>
      </c>
      <c r="AE497" s="28">
        <v>104</v>
      </c>
      <c r="AF497" s="2">
        <v>283</v>
      </c>
      <c r="AG497" s="2">
        <v>353</v>
      </c>
      <c r="AM497" s="102">
        <f t="shared" si="112"/>
        <v>2206</v>
      </c>
      <c r="AN497" s="257">
        <f t="shared" si="113"/>
        <v>2206</v>
      </c>
      <c r="AO497" s="8">
        <f t="shared" si="111"/>
        <v>432</v>
      </c>
      <c r="AP497" s="501">
        <v>1774</v>
      </c>
      <c r="AW497" s="8">
        <f t="shared" si="114"/>
        <v>0</v>
      </c>
      <c r="AX497" s="11">
        <f t="shared" si="115"/>
        <v>328</v>
      </c>
      <c r="AY497" s="8">
        <f t="shared" si="116"/>
        <v>0</v>
      </c>
      <c r="AZ497" s="234">
        <f t="shared" si="117"/>
        <v>0</v>
      </c>
      <c r="BD497" s="11"/>
      <c r="BG497" s="11"/>
      <c r="CG497" s="239"/>
      <c r="CH497" s="239"/>
      <c r="CI497" s="239"/>
      <c r="CJ497" s="239"/>
      <c r="CK497" s="239"/>
      <c r="DM497" s="2">
        <v>4</v>
      </c>
      <c r="DP497" s="249"/>
      <c r="DT497" s="11"/>
      <c r="DU497" s="11"/>
      <c r="DV497" s="11"/>
      <c r="DW497" s="237">
        <v>4.5</v>
      </c>
      <c r="DX497" s="102"/>
    </row>
    <row r="498" spans="1:130">
      <c r="A498" s="102">
        <v>472</v>
      </c>
      <c r="B498" s="256">
        <v>11</v>
      </c>
      <c r="P498" s="11"/>
      <c r="Q498" s="11"/>
      <c r="S498" s="249"/>
      <c r="V498" s="2">
        <v>306</v>
      </c>
      <c r="W498" s="2">
        <v>695</v>
      </c>
      <c r="X498" s="2">
        <v>0</v>
      </c>
      <c r="Y498" s="2">
        <v>313</v>
      </c>
      <c r="AB498" s="2"/>
      <c r="AD498" s="2">
        <v>181</v>
      </c>
      <c r="AE498" s="28">
        <v>69</v>
      </c>
      <c r="AF498" s="2">
        <v>244</v>
      </c>
      <c r="AG498" s="2">
        <v>333</v>
      </c>
      <c r="AM498" s="102">
        <f t="shared" si="112"/>
        <v>2141</v>
      </c>
      <c r="AN498" s="257">
        <f t="shared" si="113"/>
        <v>2141</v>
      </c>
      <c r="AO498" s="8">
        <f t="shared" si="111"/>
        <v>382</v>
      </c>
      <c r="AP498" s="501">
        <v>1759</v>
      </c>
      <c r="AW498" s="8">
        <f t="shared" si="114"/>
        <v>0</v>
      </c>
      <c r="AX498" s="11">
        <f t="shared" si="115"/>
        <v>313</v>
      </c>
      <c r="AY498" s="8">
        <f t="shared" si="116"/>
        <v>0</v>
      </c>
      <c r="AZ498" s="234">
        <f t="shared" si="117"/>
        <v>0</v>
      </c>
      <c r="BD498" s="11"/>
      <c r="BG498" s="11"/>
      <c r="CG498" s="239"/>
      <c r="CH498" s="239"/>
      <c r="CI498" s="239"/>
      <c r="CJ498" s="239"/>
      <c r="CK498" s="239"/>
      <c r="DM498" s="2">
        <v>4</v>
      </c>
      <c r="DP498" s="249"/>
      <c r="DT498" s="11"/>
      <c r="DU498" s="11"/>
      <c r="DV498" s="11"/>
      <c r="DW498" s="237">
        <v>4.5</v>
      </c>
      <c r="DX498" s="102"/>
    </row>
    <row r="499" spans="1:130">
      <c r="B499" s="102"/>
      <c r="P499" s="11"/>
      <c r="Q499" s="11"/>
      <c r="S499" s="249"/>
      <c r="AN499" s="257"/>
      <c r="AO499" s="8"/>
      <c r="AP499" s="8"/>
      <c r="AW499" s="8"/>
      <c r="AY499" s="8"/>
      <c r="BD499" s="11"/>
      <c r="BG499" s="11"/>
      <c r="CG499" s="239"/>
      <c r="CH499" s="239"/>
      <c r="CI499" s="239"/>
      <c r="CJ499" s="239"/>
      <c r="CK499" s="239"/>
      <c r="DM499" s="8"/>
      <c r="DP499" s="249"/>
      <c r="DT499" s="11"/>
      <c r="DU499" s="11"/>
      <c r="DV499" s="11"/>
      <c r="DX499" s="102"/>
      <c r="DY499" s="102"/>
      <c r="DZ499" s="102">
        <f>SUM(DZ403:DZ498)</f>
        <v>0</v>
      </c>
    </row>
    <row r="500" spans="1:130" s="102" customFormat="1" ht="33.6" customHeight="1">
      <c r="C500" s="233" t="e">
        <f>C8+C177+#REF!+#REF!+#REF!+#REF!+#REF!+#REF!+C316+#REF!+C402</f>
        <v>#REF!</v>
      </c>
      <c r="D500" s="233" t="e">
        <f>D8+D177+#REF!+#REF!+#REF!+#REF!+#REF!+#REF!+D316+#REF!+D402</f>
        <v>#REF!</v>
      </c>
      <c r="E500" s="233" t="e">
        <f>E8+E177+#REF!+#REF!+#REF!+#REF!+#REF!+#REF!+E316+#REF!+E402</f>
        <v>#REF!</v>
      </c>
      <c r="F500" s="233" t="e">
        <f>F8+F177+#REF!+#REF!+#REF!+#REF!+#REF!+#REF!+F316+#REF!+F402</f>
        <v>#REF!</v>
      </c>
      <c r="G500" s="233" t="e">
        <f>G8+G177+#REF!+#REF!+#REF!+#REF!+#REF!+#REF!+G316+#REF!+G402</f>
        <v>#REF!</v>
      </c>
      <c r="H500" s="233" t="e">
        <f>H8+H177+#REF!+#REF!+#REF!+#REF!+#REF!+#REF!+H316+#REF!+H402</f>
        <v>#REF!</v>
      </c>
      <c r="I500" s="233" t="e">
        <f>I8+I177+#REF!+#REF!+#REF!+#REF!+#REF!+#REF!+I316+#REF!+I402</f>
        <v>#REF!</v>
      </c>
      <c r="J500" s="233" t="e">
        <f>J8+J177+#REF!+#REF!+#REF!+#REF!+#REF!+#REF!+J316+#REF!+J402</f>
        <v>#REF!</v>
      </c>
      <c r="K500" s="233" t="e">
        <f>K8+K177+#REF!+#REF!+#REF!+#REF!+#REF!+#REF!+K316+#REF!+K402</f>
        <v>#REF!</v>
      </c>
      <c r="L500" s="233" t="e">
        <f>L8+L177+#REF!+#REF!+#REF!+#REF!+#REF!+#REF!+L316+#REF!</f>
        <v>#REF!</v>
      </c>
      <c r="M500" s="233" t="e">
        <f>M8+M177+#REF!+#REF!+#REF!+#REF!+#REF!+#REF!+M316+#REF!</f>
        <v>#REF!</v>
      </c>
      <c r="N500" s="233" t="e">
        <f>N8+N177+#REF!+#REF!+#REF!+#REF!+#REF!+#REF!+N316+#REF!</f>
        <v>#REF!</v>
      </c>
      <c r="O500" s="233" t="e">
        <f>O8+O177+#REF!+#REF!+#REF!+#REF!+#REF!+#REF!+O316+#REF!</f>
        <v>#REF!</v>
      </c>
      <c r="P500" s="233" t="e">
        <f>P8+P177+#REF!+#REF!+#REF!+#REF!+#REF!+#REF!+P316+#REF!</f>
        <v>#REF!</v>
      </c>
      <c r="Q500" s="233" t="e">
        <f>Q8+Q177+#REF!+#REF!+#REF!+#REF!+#REF!+#REF!+Q316+#REF!</f>
        <v>#REF!</v>
      </c>
      <c r="R500" s="294" t="e">
        <f>R8+R177+#REF!+#REF!+#REF!+#REF!+#REF!+#REF!+R316+#REF!</f>
        <v>#REF!</v>
      </c>
      <c r="S500" s="248">
        <f>S402+S316+S177+S8</f>
        <v>42192</v>
      </c>
      <c r="T500" s="248">
        <f t="shared" ref="T500:CE500" si="119">T402+T316+T177+T8</f>
        <v>82185</v>
      </c>
      <c r="U500" s="248">
        <f t="shared" si="119"/>
        <v>37130</v>
      </c>
      <c r="V500" s="248">
        <f t="shared" si="119"/>
        <v>57898</v>
      </c>
      <c r="W500" s="248">
        <f t="shared" si="119"/>
        <v>19034</v>
      </c>
      <c r="X500" s="248">
        <f t="shared" si="119"/>
        <v>25582</v>
      </c>
      <c r="Y500" s="248">
        <f t="shared" si="119"/>
        <v>68154</v>
      </c>
      <c r="Z500" s="248">
        <f t="shared" si="119"/>
        <v>73392</v>
      </c>
      <c r="AA500" s="248">
        <f t="shared" si="119"/>
        <v>86825</v>
      </c>
      <c r="AB500" s="248">
        <f t="shared" si="119"/>
        <v>101615</v>
      </c>
      <c r="AC500" s="248">
        <f t="shared" si="119"/>
        <v>0</v>
      </c>
      <c r="AD500" s="248">
        <f t="shared" si="119"/>
        <v>11559</v>
      </c>
      <c r="AE500" s="248">
        <f t="shared" si="119"/>
        <v>14729</v>
      </c>
      <c r="AF500" s="248">
        <f t="shared" si="119"/>
        <v>34642</v>
      </c>
      <c r="AG500" s="248">
        <f t="shared" si="119"/>
        <v>82912</v>
      </c>
      <c r="AH500" s="248">
        <f t="shared" si="119"/>
        <v>67560</v>
      </c>
      <c r="AI500" s="248">
        <f t="shared" si="119"/>
        <v>0</v>
      </c>
      <c r="AJ500" s="248">
        <f t="shared" si="119"/>
        <v>0</v>
      </c>
      <c r="AK500" s="248">
        <f t="shared" si="119"/>
        <v>0</v>
      </c>
      <c r="AL500" s="248">
        <f t="shared" si="119"/>
        <v>0</v>
      </c>
      <c r="AM500" s="248">
        <f t="shared" si="119"/>
        <v>805409</v>
      </c>
      <c r="AN500" s="248">
        <f t="shared" si="119"/>
        <v>805409</v>
      </c>
      <c r="AO500" s="508">
        <f t="shared" si="119"/>
        <v>139818</v>
      </c>
      <c r="AP500" s="508">
        <f t="shared" si="119"/>
        <v>429836</v>
      </c>
      <c r="AQ500" s="508" t="e">
        <f t="shared" si="119"/>
        <v>#N/A</v>
      </c>
      <c r="AR500" s="508">
        <f t="shared" si="119"/>
        <v>0</v>
      </c>
      <c r="AS500" s="508">
        <f t="shared" si="119"/>
        <v>0</v>
      </c>
      <c r="AT500" s="508">
        <f t="shared" si="119"/>
        <v>0</v>
      </c>
      <c r="AU500" s="508">
        <f t="shared" si="119"/>
        <v>0</v>
      </c>
      <c r="AV500" s="508">
        <f t="shared" si="119"/>
        <v>235755</v>
      </c>
      <c r="AW500" s="248">
        <f t="shared" si="119"/>
        <v>90273</v>
      </c>
      <c r="AX500" s="248">
        <f t="shared" si="119"/>
        <v>42676</v>
      </c>
      <c r="AY500" s="248">
        <f t="shared" si="119"/>
        <v>45105</v>
      </c>
      <c r="AZ500" s="248">
        <f t="shared" si="119"/>
        <v>23201</v>
      </c>
      <c r="BA500" s="248">
        <f t="shared" si="119"/>
        <v>0</v>
      </c>
      <c r="BB500" s="248">
        <f t="shared" si="119"/>
        <v>0</v>
      </c>
      <c r="BC500" s="248">
        <f t="shared" si="119"/>
        <v>0</v>
      </c>
      <c r="BD500" s="248">
        <f t="shared" si="119"/>
        <v>0</v>
      </c>
      <c r="BE500" s="248">
        <f t="shared" si="119"/>
        <v>0</v>
      </c>
      <c r="BF500" s="248">
        <f t="shared" si="119"/>
        <v>0</v>
      </c>
      <c r="BG500" s="248">
        <f t="shared" si="119"/>
        <v>0</v>
      </c>
      <c r="BH500" s="248">
        <f t="shared" si="119"/>
        <v>0</v>
      </c>
      <c r="BI500" s="248">
        <f t="shared" si="119"/>
        <v>0</v>
      </c>
      <c r="BJ500" s="248">
        <f t="shared" si="119"/>
        <v>0</v>
      </c>
      <c r="BK500" s="248">
        <f t="shared" si="119"/>
        <v>0</v>
      </c>
      <c r="BL500" s="248">
        <f t="shared" si="119"/>
        <v>0</v>
      </c>
      <c r="BM500" s="248">
        <f t="shared" si="119"/>
        <v>0</v>
      </c>
      <c r="BN500" s="248">
        <f t="shared" si="119"/>
        <v>0</v>
      </c>
      <c r="BO500" s="248">
        <f t="shared" si="119"/>
        <v>0</v>
      </c>
      <c r="BP500" s="248">
        <f t="shared" si="119"/>
        <v>0</v>
      </c>
      <c r="BQ500" s="248">
        <f t="shared" si="119"/>
        <v>0</v>
      </c>
      <c r="BR500" s="248">
        <f t="shared" si="119"/>
        <v>0</v>
      </c>
      <c r="BS500" s="248">
        <f t="shared" si="119"/>
        <v>0</v>
      </c>
      <c r="BT500" s="248">
        <f t="shared" si="119"/>
        <v>0</v>
      </c>
      <c r="BU500" s="248">
        <f t="shared" si="119"/>
        <v>0</v>
      </c>
      <c r="BV500" s="248">
        <f t="shared" si="119"/>
        <v>0</v>
      </c>
      <c r="BW500" s="248">
        <f t="shared" si="119"/>
        <v>0</v>
      </c>
      <c r="BX500" s="248">
        <f t="shared" si="119"/>
        <v>0</v>
      </c>
      <c r="BY500" s="248">
        <f t="shared" si="119"/>
        <v>0</v>
      </c>
      <c r="BZ500" s="248">
        <f t="shared" si="119"/>
        <v>0</v>
      </c>
      <c r="CA500" s="248">
        <f t="shared" si="119"/>
        <v>0</v>
      </c>
      <c r="CB500" s="248">
        <f t="shared" si="119"/>
        <v>0</v>
      </c>
      <c r="CC500" s="248">
        <f t="shared" si="119"/>
        <v>0</v>
      </c>
      <c r="CD500" s="248">
        <f t="shared" si="119"/>
        <v>0</v>
      </c>
      <c r="CE500" s="248">
        <f t="shared" si="119"/>
        <v>0</v>
      </c>
      <c r="CF500" s="248">
        <f t="shared" ref="CF500:DV500" si="120">CF402+CF316+CF177+CF8</f>
        <v>0</v>
      </c>
      <c r="CG500" s="248">
        <f t="shared" si="120"/>
        <v>0</v>
      </c>
      <c r="CH500" s="248">
        <f t="shared" si="120"/>
        <v>0</v>
      </c>
      <c r="CI500" s="248">
        <f t="shared" si="120"/>
        <v>0</v>
      </c>
      <c r="CJ500" s="248">
        <f t="shared" si="120"/>
        <v>0</v>
      </c>
      <c r="CK500" s="248">
        <f t="shared" si="120"/>
        <v>0</v>
      </c>
      <c r="CL500" s="248">
        <f t="shared" si="120"/>
        <v>0</v>
      </c>
      <c r="CM500" s="248">
        <f t="shared" si="120"/>
        <v>0</v>
      </c>
      <c r="CN500" s="248">
        <f t="shared" si="120"/>
        <v>0</v>
      </c>
      <c r="CO500" s="248">
        <f t="shared" si="120"/>
        <v>0</v>
      </c>
      <c r="CP500" s="248">
        <f t="shared" si="120"/>
        <v>0</v>
      </c>
      <c r="CQ500" s="248">
        <f t="shared" si="120"/>
        <v>0</v>
      </c>
      <c r="CR500" s="248">
        <f t="shared" si="120"/>
        <v>0</v>
      </c>
      <c r="CS500" s="248">
        <f t="shared" si="120"/>
        <v>0</v>
      </c>
      <c r="CT500" s="248">
        <f t="shared" si="120"/>
        <v>0</v>
      </c>
      <c r="CU500" s="248">
        <f t="shared" si="120"/>
        <v>0</v>
      </c>
      <c r="CV500" s="248">
        <f t="shared" si="120"/>
        <v>0</v>
      </c>
      <c r="CW500" s="248">
        <f t="shared" si="120"/>
        <v>0</v>
      </c>
      <c r="CX500" s="248">
        <f t="shared" si="120"/>
        <v>0</v>
      </c>
      <c r="CY500" s="248">
        <f t="shared" si="120"/>
        <v>0</v>
      </c>
      <c r="CZ500" s="248">
        <f t="shared" si="120"/>
        <v>0</v>
      </c>
      <c r="DA500" s="248">
        <f t="shared" si="120"/>
        <v>0</v>
      </c>
      <c r="DB500" s="248">
        <f t="shared" si="120"/>
        <v>0</v>
      </c>
      <c r="DC500" s="248">
        <f t="shared" si="120"/>
        <v>0</v>
      </c>
      <c r="DD500" s="248">
        <f t="shared" si="120"/>
        <v>0</v>
      </c>
      <c r="DE500" s="248">
        <f t="shared" si="120"/>
        <v>0</v>
      </c>
      <c r="DF500" s="248">
        <f t="shared" si="120"/>
        <v>0</v>
      </c>
      <c r="DG500" s="248">
        <f t="shared" si="120"/>
        <v>0</v>
      </c>
      <c r="DH500" s="248">
        <f t="shared" si="120"/>
        <v>0</v>
      </c>
      <c r="DI500" s="248">
        <f t="shared" si="120"/>
        <v>0</v>
      </c>
      <c r="DJ500" s="248">
        <f t="shared" si="120"/>
        <v>0</v>
      </c>
      <c r="DK500" s="248">
        <f t="shared" si="120"/>
        <v>0</v>
      </c>
      <c r="DL500" s="248">
        <f t="shared" si="120"/>
        <v>0</v>
      </c>
      <c r="DM500" s="433">
        <f t="shared" si="120"/>
        <v>1676</v>
      </c>
      <c r="DN500" s="248">
        <f t="shared" si="120"/>
        <v>0</v>
      </c>
      <c r="DO500" s="248">
        <f t="shared" si="120"/>
        <v>0</v>
      </c>
      <c r="DP500" s="248">
        <f t="shared" si="120"/>
        <v>0</v>
      </c>
      <c r="DQ500" s="248">
        <f t="shared" si="120"/>
        <v>0</v>
      </c>
      <c r="DR500" s="248">
        <f t="shared" si="120"/>
        <v>0</v>
      </c>
      <c r="DS500" s="248">
        <f t="shared" si="120"/>
        <v>0</v>
      </c>
      <c r="DT500" s="248">
        <f t="shared" si="120"/>
        <v>0</v>
      </c>
      <c r="DU500" s="248">
        <f t="shared" si="120"/>
        <v>0</v>
      </c>
      <c r="DV500" s="248">
        <f t="shared" si="120"/>
        <v>0</v>
      </c>
      <c r="DW500" s="433">
        <f>DW8+DW177+DW316+DW402</f>
        <v>8773.6000000000022</v>
      </c>
      <c r="DX500" s="248"/>
      <c r="DY500" s="248">
        <f>DY453+DY402+DY358+DY316+DY266+DY222+DY177+DY133+DY94+DY55+DY8</f>
        <v>8773.6</v>
      </c>
      <c r="DZ500" s="248"/>
    </row>
    <row r="501" spans="1:130">
      <c r="AM501" s="252">
        <f>AM500*0.44</f>
        <v>354379.96</v>
      </c>
      <c r="AN501" s="252">
        <f>AN500*0.44</f>
        <v>354379.96</v>
      </c>
      <c r="AO501" s="509">
        <f>AO500*0.44</f>
        <v>61519.92</v>
      </c>
      <c r="AP501" s="509">
        <f>AP500*0.44</f>
        <v>189127.84</v>
      </c>
      <c r="AQ501" s="510"/>
      <c r="AR501" s="511"/>
      <c r="AS501" s="511"/>
      <c r="AT501" s="511"/>
      <c r="AU501" s="511"/>
      <c r="AV501" s="509">
        <f>AV500*0.44</f>
        <v>103732.2</v>
      </c>
      <c r="BS501" s="293"/>
      <c r="DR501" s="11">
        <f>DR500*800</f>
        <v>0</v>
      </c>
      <c r="DS501" s="11">
        <f>DS500*800</f>
        <v>0</v>
      </c>
      <c r="DV501" s="266"/>
    </row>
    <row r="502" spans="1:130">
      <c r="AM502" s="263"/>
      <c r="AN502" s="263"/>
      <c r="AO502" s="271"/>
      <c r="AP502" s="234"/>
      <c r="AQ502" s="987"/>
      <c r="AR502" s="987"/>
      <c r="DM502" s="8"/>
      <c r="DN502" s="8"/>
      <c r="DO502" s="8"/>
      <c r="DR502" s="266"/>
      <c r="DS502" s="266"/>
      <c r="DV502" s="266"/>
      <c r="DY502" s="302"/>
      <c r="DZ502" s="22"/>
    </row>
    <row r="503" spans="1:130">
      <c r="AL503" s="2" t="s">
        <v>99</v>
      </c>
      <c r="AM503" s="257"/>
      <c r="AP503" s="298"/>
      <c r="AQ503" s="299"/>
      <c r="DM503" s="8"/>
      <c r="DN503" s="8"/>
      <c r="DO503" s="8"/>
      <c r="DV503" s="266"/>
    </row>
    <row r="504" spans="1:130">
      <c r="AL504" s="2" t="s">
        <v>100</v>
      </c>
      <c r="AM504" s="257"/>
      <c r="AP504" s="299"/>
      <c r="AX504" s="300"/>
      <c r="AY504" s="8"/>
      <c r="BA504" s="8"/>
      <c r="BB504" s="8"/>
      <c r="BC504" s="8"/>
      <c r="DM504" s="8"/>
      <c r="DN504" s="8"/>
      <c r="DO504" s="8"/>
      <c r="DV504" s="266"/>
    </row>
    <row r="505" spans="1:130">
      <c r="AL505" s="2" t="s">
        <v>101</v>
      </c>
      <c r="AM505" s="257"/>
      <c r="AX505" s="300"/>
      <c r="BA505" s="8"/>
      <c r="BB505" s="8"/>
      <c r="BC505" s="8"/>
      <c r="DM505" s="8"/>
    </row>
    <row r="506" spans="1:130">
      <c r="AM506" s="257"/>
      <c r="AX506" s="300"/>
      <c r="BA506" s="8"/>
      <c r="BB506" s="8"/>
      <c r="BC506" s="8"/>
      <c r="DM506" s="8"/>
    </row>
    <row r="507" spans="1:130">
      <c r="AX507" s="300"/>
      <c r="BA507" s="8"/>
      <c r="BB507" s="8"/>
      <c r="BC507" s="8"/>
    </row>
    <row r="508" spans="1:130">
      <c r="AX508" s="300"/>
      <c r="BA508" s="8"/>
      <c r="BB508" s="8"/>
      <c r="BC508" s="8"/>
    </row>
    <row r="509" spans="1:130">
      <c r="AH509" s="2" t="s">
        <v>63</v>
      </c>
      <c r="AM509" s="263"/>
      <c r="AX509" s="266"/>
      <c r="AY509" s="8"/>
      <c r="BA509" s="8"/>
      <c r="BB509" s="8"/>
      <c r="BC509" s="8"/>
    </row>
    <row r="510" spans="1:130">
      <c r="AH510" s="2" t="s">
        <v>64</v>
      </c>
      <c r="AM510" s="263">
        <f>AM501</f>
        <v>354379.96</v>
      </c>
      <c r="AW510" s="2" t="s">
        <v>63</v>
      </c>
      <c r="AX510" s="285"/>
      <c r="AY510" s="285"/>
      <c r="AZ510" s="234">
        <f>AX510*0.44</f>
        <v>0</v>
      </c>
      <c r="BA510" s="8">
        <f>AZ509+AZ510</f>
        <v>0</v>
      </c>
      <c r="BB510" s="301">
        <f>BC509-BB509</f>
        <v>0</v>
      </c>
    </row>
    <row r="511" spans="1:130">
      <c r="AM511" s="295">
        <f>AM509+AM510</f>
        <v>354379.96</v>
      </c>
      <c r="AO511" s="8">
        <f>AM500-AO500</f>
        <v>665591</v>
      </c>
      <c r="BA511" s="2" t="s">
        <v>102</v>
      </c>
      <c r="BB511" s="299">
        <f>'CHAM CONG'!BV500</f>
        <v>0</v>
      </c>
    </row>
    <row r="512" spans="1:130">
      <c r="AN512" s="102" t="s">
        <v>103</v>
      </c>
      <c r="BB512" s="299">
        <f>+BB511</f>
        <v>0</v>
      </c>
    </row>
    <row r="513" spans="39:117">
      <c r="AM513" s="296" t="s">
        <v>66</v>
      </c>
    </row>
    <row r="514" spans="39:117">
      <c r="AM514" s="297" t="e">
        <f>AM8+AM177+#REF!+#REF!+#REF!+#REF!+#REF!+#REF!</f>
        <v>#REF!</v>
      </c>
      <c r="AN514" s="295" t="e">
        <f>ROUND(AM514*0.44,0)</f>
        <v>#REF!</v>
      </c>
    </row>
    <row r="515" spans="39:117">
      <c r="AM515" s="297" t="s">
        <v>69</v>
      </c>
      <c r="DM515" s="8"/>
    </row>
    <row r="516" spans="39:117">
      <c r="AM516" s="297" t="e">
        <f>AM316+#REF!+AM402</f>
        <v>#REF!</v>
      </c>
      <c r="AN516" s="295" t="e">
        <f>ROUND(AM516*0.44,0)</f>
        <v>#REF!</v>
      </c>
    </row>
    <row r="517" spans="39:117">
      <c r="AM517" s="257" t="e">
        <f>AM514+AM516</f>
        <v>#REF!</v>
      </c>
      <c r="AN517" s="295" t="e">
        <f>AN514+AN516</f>
        <v>#REF!</v>
      </c>
    </row>
    <row r="518" spans="39:117">
      <c r="DM518" s="8"/>
    </row>
  </sheetData>
  <mergeCells count="14">
    <mergeCell ref="AN6:AN7"/>
    <mergeCell ref="A316:B316"/>
    <mergeCell ref="A402:B402"/>
    <mergeCell ref="A5:AL5"/>
    <mergeCell ref="BK5:CD5"/>
    <mergeCell ref="AR6:AU6"/>
    <mergeCell ref="AW6:AZ6"/>
    <mergeCell ref="A8:B8"/>
    <mergeCell ref="A177:B177"/>
    <mergeCell ref="DC6:DF6"/>
    <mergeCell ref="DY6:DZ6"/>
    <mergeCell ref="CG6:CJ6"/>
    <mergeCell ref="CM6:CP6"/>
    <mergeCell ref="AQ502:AR502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0CE22-CF5F-4613-9D46-55F33FEAE056}">
  <sheetPr>
    <tabColor theme="0"/>
  </sheetPr>
  <dimension ref="A1:DD531"/>
  <sheetViews>
    <sheetView tabSelected="1" topLeftCell="A2" zoomScale="80" zoomScaleNormal="80" zoomScaleSheetLayoutView="83" workbookViewId="0">
      <pane xSplit="6" ySplit="4" topLeftCell="AP409" activePane="bottomRight" state="frozen"/>
      <selection activeCell="A23" sqref="A23:G23"/>
      <selection pane="topRight" activeCell="A23" sqref="A23:G23"/>
      <selection pane="bottomLeft" activeCell="A23" sqref="A23:G23"/>
      <selection pane="bottomRight" activeCell="BO409" sqref="BO409"/>
    </sheetView>
  </sheetViews>
  <sheetFormatPr defaultColWidth="7.8984375" defaultRowHeight="29.4" customHeight="1"/>
  <cols>
    <col min="1" max="2" width="5.8984375" style="2" customWidth="1"/>
    <col min="3" max="3" width="8.09765625" style="2" customWidth="1"/>
    <col min="4" max="5" width="10.3984375" style="2" customWidth="1"/>
    <col min="6" max="6" width="4.5" style="293" customWidth="1"/>
    <col min="7" max="17" width="4.8984375" style="306" customWidth="1"/>
    <col min="18" max="20" width="4.8984375" style="104" customWidth="1"/>
    <col min="21" max="21" width="4.8984375" style="307" customWidth="1"/>
    <col min="22" max="22" width="4.69921875" style="293" customWidth="1"/>
    <col min="23" max="25" width="4.3984375" style="2" customWidth="1"/>
    <col min="26" max="26" width="4.8984375" style="2" customWidth="1"/>
    <col min="27" max="27" width="4.69921875" style="2" customWidth="1"/>
    <col min="28" max="33" width="4.3984375" style="2" customWidth="1"/>
    <col min="34" max="34" width="4.69921875" style="2" customWidth="1"/>
    <col min="35" max="35" width="4.3984375" style="2" customWidth="1"/>
    <col min="36" max="36" width="4.8984375" style="2" customWidth="1"/>
    <col min="37" max="37" width="5.09765625" style="2" hidden="1" customWidth="1"/>
    <col min="38" max="47" width="4.3984375" style="25" customWidth="1"/>
    <col min="48" max="52" width="4.3984375" style="25" hidden="1" customWidth="1"/>
    <col min="53" max="53" width="11.19921875" style="25" hidden="1" customWidth="1"/>
    <col min="54" max="55" width="10.5" style="2" bestFit="1" customWidth="1"/>
    <col min="56" max="56" width="10.5" style="2" customWidth="1"/>
    <col min="57" max="57" width="10.5" style="2" hidden="1" customWidth="1"/>
    <col min="58" max="58" width="11.19921875" style="102" customWidth="1"/>
    <col min="59" max="62" width="11.19921875" style="2" hidden="1" customWidth="1"/>
    <col min="63" max="63" width="11.19921875" style="234" hidden="1" customWidth="1"/>
    <col min="64" max="66" width="12.19921875" style="234" hidden="1" customWidth="1"/>
    <col min="67" max="67" width="13" style="2" customWidth="1"/>
    <col min="68" max="70" width="11.19921875" style="2" hidden="1" customWidth="1"/>
    <col min="71" max="71" width="11.19921875" style="25" hidden="1" customWidth="1"/>
    <col min="72" max="72" width="11" style="2" customWidth="1"/>
    <col min="73" max="73" width="9.8984375" style="2" customWidth="1"/>
    <col min="74" max="74" width="13.09765625" style="2" customWidth="1"/>
    <col min="75" max="75" width="12.3984375" style="234" customWidth="1"/>
    <col min="76" max="76" width="7.8984375" style="2" customWidth="1"/>
    <col min="77" max="81" width="7.8984375" style="2" hidden="1" customWidth="1"/>
    <col min="82" max="82" width="10.59765625" style="2" hidden="1" customWidth="1"/>
    <col min="83" max="83" width="10.59765625" style="2" customWidth="1"/>
    <col min="84" max="84" width="12.3984375" style="2" customWidth="1"/>
    <col min="85" max="87" width="7.8984375" style="2" hidden="1" customWidth="1"/>
    <col min="88" max="88" width="8.19921875" style="2" hidden="1" customWidth="1"/>
    <col min="89" max="89" width="7.8984375" style="2" hidden="1" customWidth="1"/>
    <col min="90" max="94" width="0" style="2" hidden="1" customWidth="1"/>
    <col min="95" max="95" width="12" style="2" hidden="1" customWidth="1"/>
    <col min="96" max="96" width="10.5" style="2" hidden="1" customWidth="1"/>
    <col min="97" max="99" width="0" style="2" hidden="1" customWidth="1"/>
    <col min="100" max="16384" width="7.8984375" style="2"/>
  </cols>
  <sheetData>
    <row r="1" spans="1:108" ht="29.4" customHeight="1">
      <c r="BY1" s="992" t="s">
        <v>0</v>
      </c>
      <c r="BZ1" s="992"/>
      <c r="CA1" s="992"/>
      <c r="CB1" s="992"/>
      <c r="CC1" s="992"/>
      <c r="CF1" s="289">
        <v>31</v>
      </c>
      <c r="CG1" s="270">
        <v>47</v>
      </c>
      <c r="CH1" s="2" t="s">
        <v>1</v>
      </c>
      <c r="CI1" s="2">
        <f>SUM(BB7:BB173)</f>
        <v>2195</v>
      </c>
      <c r="CJ1" s="2">
        <f>SUM(BC7:BC173)</f>
        <v>2482</v>
      </c>
      <c r="CK1" s="353">
        <f>ROUND((SUM(CI1:CJ1)/CG1/$CF$1)*100,1)</f>
        <v>321</v>
      </c>
      <c r="CL1" s="992" t="s">
        <v>2</v>
      </c>
      <c r="CM1" s="992"/>
      <c r="CN1" s="992"/>
      <c r="CO1" s="992"/>
      <c r="CP1" s="992"/>
      <c r="CT1" s="2" t="s">
        <v>1</v>
      </c>
      <c r="CU1" s="2">
        <f>SUM(BC7:BC173)</f>
        <v>2482</v>
      </c>
    </row>
    <row r="2" spans="1:108" ht="29.4" customHeight="1">
      <c r="A2" s="988" t="s">
        <v>2056</v>
      </c>
      <c r="B2" s="988"/>
      <c r="C2" s="988"/>
      <c r="D2" s="988"/>
      <c r="E2" s="988"/>
      <c r="F2" s="988"/>
      <c r="G2" s="988"/>
      <c r="H2" s="988"/>
      <c r="I2" s="988"/>
      <c r="J2" s="988"/>
      <c r="K2" s="988"/>
      <c r="L2" s="988"/>
      <c r="M2" s="988"/>
      <c r="N2" s="988"/>
      <c r="O2" s="988"/>
      <c r="P2" s="988"/>
      <c r="Q2" s="988"/>
      <c r="R2" s="988"/>
      <c r="S2" s="988"/>
      <c r="T2" s="988"/>
      <c r="U2" s="988"/>
      <c r="V2" s="988"/>
      <c r="W2" s="988"/>
      <c r="X2" s="988"/>
      <c r="Y2" s="988"/>
      <c r="Z2" s="988"/>
      <c r="AA2" s="988"/>
      <c r="AB2" s="988"/>
      <c r="AC2" s="988"/>
      <c r="AD2" s="988"/>
      <c r="AE2" s="988"/>
      <c r="AF2" s="988"/>
      <c r="AG2" s="988"/>
      <c r="AH2" s="988"/>
      <c r="AI2" s="988"/>
      <c r="AJ2" s="988"/>
      <c r="AK2" s="988"/>
      <c r="AL2" s="988"/>
      <c r="AM2" s="988"/>
      <c r="AN2" s="988"/>
      <c r="AO2" s="988"/>
      <c r="AP2" s="988"/>
      <c r="AQ2" s="988"/>
      <c r="AR2" s="988"/>
      <c r="AS2" s="988"/>
      <c r="AT2" s="988"/>
      <c r="AU2" s="988"/>
      <c r="AV2" s="988"/>
      <c r="AW2" s="988"/>
      <c r="AX2" s="988"/>
      <c r="AY2" s="988"/>
      <c r="AZ2" s="988"/>
      <c r="BA2" s="988"/>
      <c r="BB2" s="988"/>
      <c r="BC2" s="988"/>
      <c r="BD2" s="988"/>
      <c r="BE2" s="988"/>
      <c r="BF2" s="988"/>
      <c r="BG2" s="256"/>
      <c r="BH2" s="256"/>
      <c r="BI2" s="256"/>
      <c r="BJ2" s="256"/>
      <c r="BK2" s="241"/>
      <c r="BL2" s="241"/>
      <c r="BM2" s="241"/>
      <c r="BN2" s="241"/>
      <c r="BO2" s="256"/>
      <c r="BP2" s="256"/>
      <c r="BQ2" s="256"/>
      <c r="BR2" s="256" t="s">
        <v>3</v>
      </c>
      <c r="BS2" s="341"/>
      <c r="BT2" s="256"/>
      <c r="BU2" s="256"/>
      <c r="BV2" s="256"/>
      <c r="BW2" s="241"/>
      <c r="CD2" s="25">
        <v>2011</v>
      </c>
      <c r="CE2" s="25"/>
      <c r="CF2" s="264" t="e">
        <f>SUM(BY7:CA311)</f>
        <v>#N/A</v>
      </c>
      <c r="CG2" s="350">
        <v>45</v>
      </c>
      <c r="CH2" s="2" t="s">
        <v>4</v>
      </c>
      <c r="CI2" s="2">
        <f>SUM(BB175:BB311)</f>
        <v>1642</v>
      </c>
      <c r="CJ2" s="2">
        <f>SUM(BC175:BC311)</f>
        <v>1946</v>
      </c>
      <c r="CK2" s="353">
        <f t="shared" ref="CK2:CK8" si="0">ROUND((SUM(CI2:CJ2)/CG2/$CF$1)*100,1)</f>
        <v>257.2</v>
      </c>
      <c r="CL2" s="240">
        <f>CK1</f>
        <v>321</v>
      </c>
      <c r="CQ2" s="25">
        <v>2011</v>
      </c>
      <c r="CR2" s="264" t="e">
        <f>SUM(CL7:CN311)</f>
        <v>#N/A</v>
      </c>
      <c r="CS2" s="264"/>
      <c r="CT2" s="2" t="s">
        <v>4</v>
      </c>
      <c r="CU2" s="2">
        <f>SUM(BC175:BC311)</f>
        <v>1946</v>
      </c>
    </row>
    <row r="3" spans="1:108" ht="29.4" customHeight="1">
      <c r="A3" s="256"/>
      <c r="B3" s="256"/>
      <c r="C3" s="256"/>
      <c r="D3" s="256"/>
      <c r="E3" s="256"/>
      <c r="F3" s="308"/>
      <c r="AL3" s="993" t="s">
        <v>5</v>
      </c>
      <c r="AM3" s="993"/>
      <c r="AN3" s="993"/>
      <c r="AO3" s="993"/>
      <c r="AP3" s="993"/>
      <c r="AQ3" s="993"/>
      <c r="AR3" s="993"/>
      <c r="AS3" s="993"/>
      <c r="AT3" s="328"/>
      <c r="AU3" s="328"/>
      <c r="AV3" s="328"/>
      <c r="AW3" s="328"/>
      <c r="AX3" s="328"/>
      <c r="AY3" s="329"/>
      <c r="BB3" s="2">
        <f>SUM(BB7:BB355)/2</f>
        <v>4113</v>
      </c>
      <c r="BC3" s="2">
        <f>SUM(BC7:BC355)/2</f>
        <v>4741.5</v>
      </c>
      <c r="BE3" s="56" t="s">
        <v>5</v>
      </c>
      <c r="BO3" s="8">
        <f>BO498</f>
        <v>12192</v>
      </c>
      <c r="BP3" s="8">
        <v>16000</v>
      </c>
      <c r="BQ3" s="8">
        <v>25500</v>
      </c>
      <c r="BR3" s="256"/>
      <c r="BS3" s="292"/>
      <c r="BT3" s="8">
        <f>BT498</f>
        <v>432</v>
      </c>
      <c r="CD3" s="25">
        <v>2012</v>
      </c>
      <c r="CE3" s="25"/>
      <c r="CF3" s="264" t="e">
        <f>SUM(CB7:CB311)+SUM(#REF!)+SUM(#REF!)</f>
        <v>#N/A</v>
      </c>
      <c r="CG3" s="350">
        <v>44</v>
      </c>
      <c r="CH3" s="2" t="s">
        <v>6</v>
      </c>
      <c r="CI3" s="2" t="e">
        <f>SUM(#REF!)</f>
        <v>#REF!</v>
      </c>
      <c r="CJ3" s="2" t="e">
        <f>SUM(#REF!)</f>
        <v>#REF!</v>
      </c>
      <c r="CK3" s="353" t="e">
        <f t="shared" si="0"/>
        <v>#REF!</v>
      </c>
      <c r="CQ3" s="25">
        <v>2012</v>
      </c>
      <c r="CR3" s="264" t="e">
        <f>SUM(CO7:CO311)+SUM(#REF!)</f>
        <v>#N/A</v>
      </c>
      <c r="CS3" s="264"/>
      <c r="CT3" s="2" t="s">
        <v>6</v>
      </c>
      <c r="CU3" s="2" t="e">
        <f>SUM(#REF!)</f>
        <v>#REF!</v>
      </c>
    </row>
    <row r="4" spans="1:108" ht="29.4" customHeight="1">
      <c r="A4" s="1013" t="s">
        <v>7</v>
      </c>
      <c r="B4" s="1013" t="s">
        <v>1693</v>
      </c>
      <c r="C4" s="1013" t="s">
        <v>8</v>
      </c>
      <c r="D4" s="994" t="s">
        <v>9</v>
      </c>
      <c r="E4" s="995"/>
      <c r="F4" s="1015" t="s">
        <v>10</v>
      </c>
      <c r="G4" s="994" t="s">
        <v>11</v>
      </c>
      <c r="H4" s="996"/>
      <c r="I4" s="996"/>
      <c r="J4" s="996"/>
      <c r="K4" s="996"/>
      <c r="L4" s="996"/>
      <c r="M4" s="996"/>
      <c r="N4" s="996"/>
      <c r="O4" s="996"/>
      <c r="P4" s="996"/>
      <c r="Q4" s="996"/>
      <c r="R4" s="996"/>
      <c r="S4" s="996"/>
      <c r="T4" s="996"/>
      <c r="U4" s="996"/>
      <c r="V4" s="996"/>
      <c r="W4" s="996"/>
      <c r="X4" s="996"/>
      <c r="Y4" s="996"/>
      <c r="Z4" s="996"/>
      <c r="AA4" s="996"/>
      <c r="AB4" s="996"/>
      <c r="AC4" s="996"/>
      <c r="AD4" s="996"/>
      <c r="AE4" s="996"/>
      <c r="AF4" s="996"/>
      <c r="AG4" s="996"/>
      <c r="AH4" s="996"/>
      <c r="AI4" s="996"/>
      <c r="AJ4" s="996"/>
      <c r="AK4" s="995"/>
      <c r="AL4" s="997" t="s">
        <v>5</v>
      </c>
      <c r="AM4" s="998"/>
      <c r="AN4" s="998"/>
      <c r="AO4" s="998"/>
      <c r="AP4" s="998"/>
      <c r="AQ4" s="998"/>
      <c r="AR4" s="998"/>
      <c r="AS4" s="998"/>
      <c r="AT4" s="998"/>
      <c r="AU4" s="999"/>
      <c r="AV4" s="997" t="s">
        <v>12</v>
      </c>
      <c r="AW4" s="998"/>
      <c r="AX4" s="999"/>
      <c r="AY4" s="327">
        <v>29</v>
      </c>
      <c r="AZ4" s="327">
        <v>30</v>
      </c>
      <c r="BA4" s="327" t="s">
        <v>13</v>
      </c>
      <c r="BB4" s="1000" t="s">
        <v>14</v>
      </c>
      <c r="BC4" s="1000"/>
      <c r="BD4" s="1000"/>
      <c r="BE4" s="1000"/>
      <c r="BF4" s="1000"/>
      <c r="BG4" s="332"/>
      <c r="BH4" s="332"/>
      <c r="BI4" s="332"/>
      <c r="BJ4" s="332"/>
      <c r="BK4" s="337" t="s">
        <v>15</v>
      </c>
      <c r="BL4" s="337" t="s">
        <v>16</v>
      </c>
      <c r="BM4" s="337"/>
      <c r="BN4" s="337"/>
      <c r="BO4" s="338"/>
      <c r="BP4" s="338"/>
      <c r="BQ4" s="338"/>
      <c r="BR4" s="1034" t="s">
        <v>17</v>
      </c>
      <c r="BS4" s="1035" t="s">
        <v>18</v>
      </c>
      <c r="BT4" s="338" t="s">
        <v>19</v>
      </c>
      <c r="BU4" s="1001" t="s">
        <v>20</v>
      </c>
      <c r="BV4" s="992"/>
      <c r="BW4" s="992"/>
      <c r="BX4" s="992"/>
      <c r="CD4" s="25">
        <v>2013</v>
      </c>
      <c r="CE4" s="25"/>
      <c r="CF4" s="264" t="e">
        <f>SUM(#REF!)</f>
        <v>#REF!</v>
      </c>
      <c r="CG4" s="350">
        <v>52</v>
      </c>
      <c r="CH4" s="2" t="s">
        <v>21</v>
      </c>
      <c r="CI4" s="2" t="e">
        <f>SUM(#REF!)</f>
        <v>#REF!</v>
      </c>
      <c r="CJ4" s="2" t="e">
        <f>SUM(#REF!)</f>
        <v>#REF!</v>
      </c>
      <c r="CK4" s="353" t="e">
        <f>ROUND((SUM(CI4:CJ4)/CG4/$CF$1)*100,1)</f>
        <v>#REF!</v>
      </c>
      <c r="CQ4" s="25">
        <v>2013</v>
      </c>
      <c r="CR4" s="264" t="e">
        <f>SUM(#REF!)</f>
        <v>#REF!</v>
      </c>
      <c r="CS4" s="264"/>
      <c r="CT4" s="2" t="s">
        <v>21</v>
      </c>
      <c r="CU4" s="2" t="e">
        <f>SUM(#REF!)</f>
        <v>#REF!</v>
      </c>
    </row>
    <row r="5" spans="1:108" ht="51" customHeight="1">
      <c r="A5" s="1014"/>
      <c r="B5" s="1014"/>
      <c r="C5" s="1014"/>
      <c r="D5" s="1013" t="s">
        <v>22</v>
      </c>
      <c r="E5" s="1013" t="s">
        <v>23</v>
      </c>
      <c r="F5" s="1016"/>
      <c r="G5" s="310">
        <v>1</v>
      </c>
      <c r="H5" s="310">
        <v>2</v>
      </c>
      <c r="I5" s="310">
        <v>3</v>
      </c>
      <c r="J5" s="310">
        <v>4</v>
      </c>
      <c r="K5" s="310">
        <v>5</v>
      </c>
      <c r="L5" s="310">
        <v>6</v>
      </c>
      <c r="M5" s="310">
        <v>7</v>
      </c>
      <c r="N5" s="310">
        <v>8</v>
      </c>
      <c r="O5" s="310">
        <v>9</v>
      </c>
      <c r="P5" s="310">
        <v>10</v>
      </c>
      <c r="Q5" s="310">
        <v>11</v>
      </c>
      <c r="R5" s="310">
        <v>12</v>
      </c>
      <c r="S5" s="310">
        <v>13</v>
      </c>
      <c r="T5" s="310">
        <v>14</v>
      </c>
      <c r="U5" s="318">
        <v>15</v>
      </c>
      <c r="V5" s="32">
        <v>16</v>
      </c>
      <c r="W5" s="32">
        <v>17</v>
      </c>
      <c r="X5" s="32">
        <v>18</v>
      </c>
      <c r="Y5" s="32">
        <v>19</v>
      </c>
      <c r="Z5" s="32">
        <v>20</v>
      </c>
      <c r="AA5" s="32">
        <v>21</v>
      </c>
      <c r="AB5" s="32">
        <v>22</v>
      </c>
      <c r="AC5" s="32">
        <v>23</v>
      </c>
      <c r="AD5" s="32">
        <v>24</v>
      </c>
      <c r="AE5" s="32">
        <v>25</v>
      </c>
      <c r="AF5" s="32">
        <v>26</v>
      </c>
      <c r="AG5" s="32">
        <v>27</v>
      </c>
      <c r="AH5" s="32">
        <v>28</v>
      </c>
      <c r="AI5" s="32">
        <v>29</v>
      </c>
      <c r="AJ5" s="32">
        <v>30</v>
      </c>
      <c r="AK5" s="32">
        <v>31</v>
      </c>
      <c r="AL5" s="723">
        <v>16</v>
      </c>
      <c r="AM5" s="723">
        <v>18</v>
      </c>
      <c r="AN5" s="723">
        <v>19</v>
      </c>
      <c r="AO5" s="723">
        <v>20</v>
      </c>
      <c r="AP5" s="723">
        <v>21</v>
      </c>
      <c r="AQ5" s="723">
        <v>23</v>
      </c>
      <c r="AR5" s="723">
        <v>24</v>
      </c>
      <c r="AS5" s="723">
        <v>27</v>
      </c>
      <c r="AT5" s="723">
        <v>28</v>
      </c>
      <c r="AU5" s="723">
        <v>31</v>
      </c>
      <c r="AV5" s="330"/>
      <c r="AW5" s="330"/>
      <c r="AX5" s="330"/>
      <c r="AY5" s="67"/>
      <c r="AZ5" s="67"/>
      <c r="BA5" s="67"/>
      <c r="BB5" s="1008" t="s">
        <v>24</v>
      </c>
      <c r="BC5" s="1008" t="s">
        <v>25</v>
      </c>
      <c r="BD5" s="333" t="s">
        <v>5</v>
      </c>
      <c r="BE5" s="333" t="s">
        <v>26</v>
      </c>
      <c r="BF5" s="1027" t="s">
        <v>27</v>
      </c>
      <c r="BG5" s="1029" t="s">
        <v>28</v>
      </c>
      <c r="BH5" s="1010" t="s">
        <v>29</v>
      </c>
      <c r="BI5" s="1011">
        <v>255000</v>
      </c>
      <c r="BJ5" s="1011">
        <v>16000</v>
      </c>
      <c r="BK5" s="339"/>
      <c r="BL5" s="339"/>
      <c r="BM5" s="1030" t="s">
        <v>30</v>
      </c>
      <c r="BN5" s="1030" t="s">
        <v>31</v>
      </c>
      <c r="BO5" s="340" t="s">
        <v>32</v>
      </c>
      <c r="BP5" s="1034" t="s">
        <v>33</v>
      </c>
      <c r="BQ5" s="1034"/>
      <c r="BR5" s="1034"/>
      <c r="BS5" s="1035"/>
      <c r="BT5" s="340"/>
      <c r="BU5" s="343" t="s">
        <v>34</v>
      </c>
      <c r="BV5" s="344"/>
      <c r="BW5" s="345" t="s">
        <v>35</v>
      </c>
      <c r="BX5" s="346"/>
      <c r="BY5" s="1036" t="s">
        <v>36</v>
      </c>
      <c r="BZ5" s="1036" t="s">
        <v>37</v>
      </c>
      <c r="CA5" s="1036" t="s">
        <v>38</v>
      </c>
      <c r="CB5" s="1036" t="s">
        <v>39</v>
      </c>
      <c r="CC5" s="1032" t="s">
        <v>40</v>
      </c>
      <c r="CF5" s="264" t="e">
        <f>SUM(CF2:CF4)</f>
        <v>#N/A</v>
      </c>
      <c r="CG5" s="350">
        <v>52</v>
      </c>
      <c r="CH5" s="2" t="s">
        <v>41</v>
      </c>
      <c r="CI5" s="2" t="e">
        <f>SUM(#REF!)</f>
        <v>#REF!</v>
      </c>
      <c r="CJ5" s="2" t="e">
        <f>SUM(#REF!)</f>
        <v>#REF!</v>
      </c>
      <c r="CK5" s="353" t="e">
        <f>ROUND((SUM(CI5:CJ5)/CG5/$CF$1)*100,1)</f>
        <v>#REF!</v>
      </c>
      <c r="CL5" s="1036" t="s">
        <v>36</v>
      </c>
      <c r="CM5" s="1036" t="s">
        <v>37</v>
      </c>
      <c r="CN5" s="1036" t="s">
        <v>38</v>
      </c>
      <c r="CO5" s="1036" t="s">
        <v>39</v>
      </c>
      <c r="CP5" s="1032" t="s">
        <v>40</v>
      </c>
      <c r="CR5" s="264" t="e">
        <f>SUM(CR2:CR4)</f>
        <v>#N/A</v>
      </c>
      <c r="CS5" s="264"/>
      <c r="CT5" s="2" t="s">
        <v>41</v>
      </c>
      <c r="CU5" s="2" t="e">
        <f>SUM(#REF!)</f>
        <v>#REF!</v>
      </c>
    </row>
    <row r="6" spans="1:108" ht="29.4" customHeight="1">
      <c r="A6" s="1023" t="s">
        <v>1694</v>
      </c>
      <c r="B6" s="1024"/>
      <c r="C6" s="1025"/>
      <c r="D6" s="1014"/>
      <c r="E6" s="1014"/>
      <c r="F6" s="309" t="s">
        <v>42</v>
      </c>
      <c r="G6" s="311"/>
      <c r="H6" s="311"/>
      <c r="I6" s="311"/>
      <c r="J6" s="311"/>
      <c r="K6" s="311"/>
      <c r="L6" s="311"/>
      <c r="M6" s="311"/>
      <c r="N6" s="311"/>
      <c r="O6" s="311"/>
      <c r="P6" s="311"/>
      <c r="Q6" s="311"/>
      <c r="R6" s="311"/>
      <c r="S6" s="311"/>
      <c r="T6" s="311"/>
      <c r="U6" s="319"/>
      <c r="V6" s="320"/>
      <c r="W6" s="321"/>
      <c r="X6" s="322"/>
      <c r="Y6" s="321"/>
      <c r="Z6" s="320"/>
      <c r="AA6" s="321"/>
      <c r="AB6" s="320"/>
      <c r="AC6" s="320"/>
      <c r="AD6" s="320"/>
      <c r="AE6" s="321"/>
      <c r="AF6" s="322"/>
      <c r="AG6" s="321"/>
      <c r="AH6" s="321"/>
      <c r="AI6" s="321"/>
      <c r="AJ6" s="322"/>
      <c r="AK6" s="322"/>
      <c r="AL6" s="322"/>
      <c r="AM6" s="322"/>
      <c r="AN6" s="322"/>
      <c r="AO6" s="322"/>
      <c r="AP6" s="322"/>
      <c r="AQ6" s="322"/>
      <c r="AR6" s="322"/>
      <c r="AS6" s="322"/>
      <c r="AT6" s="322"/>
      <c r="AU6" s="322"/>
      <c r="AV6" s="322"/>
      <c r="AW6" s="322"/>
      <c r="AX6" s="322"/>
      <c r="AY6" s="322"/>
      <c r="AZ6" s="322"/>
      <c r="BA6" s="331"/>
      <c r="BB6" s="1009"/>
      <c r="BC6" s="1009"/>
      <c r="BD6" s="335" t="s">
        <v>43</v>
      </c>
      <c r="BE6" s="335" t="s">
        <v>44</v>
      </c>
      <c r="BF6" s="1028"/>
      <c r="BG6" s="1029"/>
      <c r="BH6" s="1010"/>
      <c r="BI6" s="1011"/>
      <c r="BJ6" s="1011"/>
      <c r="BK6" s="339"/>
      <c r="BL6" s="339"/>
      <c r="BM6" s="1030"/>
      <c r="BN6" s="1030"/>
      <c r="BO6" s="340"/>
      <c r="BP6" s="340" t="s">
        <v>45</v>
      </c>
      <c r="BQ6" s="340" t="s">
        <v>46</v>
      </c>
      <c r="BR6" s="340"/>
      <c r="BS6" s="342"/>
      <c r="BT6" s="340"/>
      <c r="BU6" s="334"/>
      <c r="BV6" s="334"/>
      <c r="BW6" s="339"/>
      <c r="BX6" s="347"/>
      <c r="BY6" s="1036"/>
      <c r="BZ6" s="1036"/>
      <c r="CA6" s="1036"/>
      <c r="CB6" s="1036"/>
      <c r="CC6" s="1032"/>
      <c r="CE6" s="1037" t="s">
        <v>47</v>
      </c>
      <c r="CF6" s="1037"/>
      <c r="CG6" s="350">
        <v>48</v>
      </c>
      <c r="CH6" s="2" t="s">
        <v>48</v>
      </c>
      <c r="CI6" s="2" t="e">
        <f>SUM(#REF!)</f>
        <v>#REF!</v>
      </c>
      <c r="CJ6" s="2" t="e">
        <f>SUM(#REF!)</f>
        <v>#REF!</v>
      </c>
      <c r="CK6" s="353" t="e">
        <f>ROUND((SUM(CI6:CJ6)/CG6/$CF$1)*100,1)</f>
        <v>#REF!</v>
      </c>
      <c r="CL6" s="1036"/>
      <c r="CM6" s="1036"/>
      <c r="CN6" s="1036"/>
      <c r="CO6" s="1036"/>
      <c r="CP6" s="1032"/>
      <c r="CR6" s="271" t="e">
        <f>SUM(CU1:CU7)-CR5</f>
        <v>#REF!</v>
      </c>
      <c r="CS6" s="271"/>
      <c r="CT6" s="2" t="s">
        <v>48</v>
      </c>
      <c r="CU6" s="2" t="e">
        <f>SUM(#REF!)</f>
        <v>#REF!</v>
      </c>
      <c r="DD6" s="2" t="e">
        <f>DD8+DD177+#REF!+#REF!+#REF!+#REF!+#REF!+#REF!</f>
        <v>#REF!</v>
      </c>
    </row>
    <row r="7" spans="1:108" s="1" customFormat="1" ht="29.4" customHeight="1">
      <c r="A7" s="46">
        <v>1</v>
      </c>
      <c r="B7" s="46">
        <v>1</v>
      </c>
      <c r="C7" s="46">
        <v>1</v>
      </c>
      <c r="D7" s="48"/>
      <c r="E7" s="48"/>
      <c r="F7" s="46"/>
      <c r="G7" s="310">
        <v>0</v>
      </c>
      <c r="H7" s="310">
        <v>0</v>
      </c>
      <c r="I7" s="310" t="s">
        <v>1991</v>
      </c>
      <c r="J7" s="310"/>
      <c r="K7" s="310">
        <v>0</v>
      </c>
      <c r="L7" s="310">
        <v>0</v>
      </c>
      <c r="M7" s="310" t="s">
        <v>1991</v>
      </c>
      <c r="N7" s="310" t="s">
        <v>1991</v>
      </c>
      <c r="O7" s="310" t="s">
        <v>1991</v>
      </c>
      <c r="P7" s="310" t="s">
        <v>1991</v>
      </c>
      <c r="Q7" s="310" t="s">
        <v>1991</v>
      </c>
      <c r="R7" s="310" t="s">
        <v>1991</v>
      </c>
      <c r="S7" s="310" t="s">
        <v>1991</v>
      </c>
      <c r="T7" s="505" t="s">
        <v>1991</v>
      </c>
      <c r="U7" s="310" t="s">
        <v>1991</v>
      </c>
      <c r="V7" s="32" t="s">
        <v>1991</v>
      </c>
      <c r="W7" s="506" t="s">
        <v>1991</v>
      </c>
      <c r="X7" s="506" t="s">
        <v>1991</v>
      </c>
      <c r="Y7" s="506" t="s">
        <v>1991</v>
      </c>
      <c r="Z7" s="32" t="s">
        <v>1991</v>
      </c>
      <c r="AA7" s="32" t="s">
        <v>1991</v>
      </c>
      <c r="AB7" s="32" t="s">
        <v>1991</v>
      </c>
      <c r="AC7" s="32" t="s">
        <v>1991</v>
      </c>
      <c r="AD7" s="32" t="s">
        <v>1991</v>
      </c>
      <c r="AE7" s="506" t="s">
        <v>1991</v>
      </c>
      <c r="AF7" s="506" t="s">
        <v>1991</v>
      </c>
      <c r="AG7" s="32">
        <v>0</v>
      </c>
      <c r="AH7" s="32" t="s">
        <v>1991</v>
      </c>
      <c r="AI7" s="32" t="s">
        <v>1991</v>
      </c>
      <c r="AJ7" s="32" t="s">
        <v>1991</v>
      </c>
      <c r="AK7" s="506" t="s">
        <v>1991</v>
      </c>
      <c r="AL7" s="327"/>
      <c r="AM7" s="327"/>
      <c r="AN7" s="327"/>
      <c r="AO7" s="327"/>
      <c r="AP7" s="327" t="s">
        <v>1991</v>
      </c>
      <c r="AQ7" s="327"/>
      <c r="AR7" s="327"/>
      <c r="AS7" s="327"/>
      <c r="AT7" s="327"/>
      <c r="AU7" s="327"/>
      <c r="AV7" s="327"/>
      <c r="AW7" s="327"/>
      <c r="AX7" s="327"/>
      <c r="AY7" s="327"/>
      <c r="AZ7" s="327"/>
      <c r="BA7" s="327"/>
      <c r="BB7" s="46">
        <f t="shared" ref="BB7:BB52" si="1">COUNTIF(G7:U7,"X")</f>
        <v>10</v>
      </c>
      <c r="BC7" s="46">
        <f t="shared" ref="BC7:BC52" si="2">COUNTIF(V7:AK7,"X")</f>
        <v>15</v>
      </c>
      <c r="BD7" s="46">
        <f>COUNTIF(AL7:BA7,"X")</f>
        <v>1</v>
      </c>
      <c r="BE7" s="46">
        <f t="shared" ref="BE7:BE52" si="3">COUNTIF(AU7:BA7,"x")</f>
        <v>0</v>
      </c>
      <c r="BF7" s="296">
        <f t="shared" ref="BF7:BF52" si="4">BB7+BC7</f>
        <v>25</v>
      </c>
      <c r="BG7" s="2"/>
      <c r="BH7" s="2"/>
      <c r="BI7" s="2"/>
      <c r="BJ7" s="2"/>
      <c r="BK7" s="279">
        <f t="shared" ref="BK7:BK52" si="5">IF(BO7&gt;=26,1,0)</f>
        <v>0</v>
      </c>
      <c r="BL7" s="279">
        <f t="shared" ref="BL7:BL52" si="6">(BB7+BC7)</f>
        <v>25</v>
      </c>
      <c r="BM7" s="279"/>
      <c r="BN7" s="279"/>
      <c r="BO7" s="2">
        <f>IF(BT7&gt;0,BF7,0)</f>
        <v>0</v>
      </c>
      <c r="BP7" s="430"/>
      <c r="BQ7" s="431"/>
      <c r="BR7" s="2"/>
      <c r="BS7" s="25"/>
      <c r="BT7" s="348">
        <f>IF(BF7&gt;=26,1,0)</f>
        <v>0</v>
      </c>
      <c r="BU7" s="2"/>
      <c r="BV7" s="282">
        <f t="shared" ref="BV7:BV70" si="7">IF(AND(BU7&gt;0,BU7&lt;=1),50000,IF(AND(BU7&gt;1,BU7&lt;=3),40000,IF(AND(BU7&gt;3,BU7&lt;=5),20000,IF(AND(BU7&gt;5,BU7&lt;=9),0,IF(AND(BU7&gt;9,BU7&lt;=11),-20000,IF(AND(BU7&gt;11,BU7&lt;=13),-40000,IF(BU7&gt;13,-50000,0)))))))</f>
        <v>0</v>
      </c>
      <c r="BW7" s="279"/>
      <c r="BX7" s="269">
        <f t="shared" ref="BX7:BX70" si="8">IF(AND(BW7&gt;0,BW7&lt;=1),1.15,IF(AND(BW7&gt;1,BW7&lt;=3),1.1,IF(AND(BW7&gt;3,BW7&lt;=5),1.05,IF(AND(BW7&gt;5,BW7&lt;=9),1,IF(AND(BW7&gt;9,BW7&lt;=11),-0.05,IF(AND(BW7&gt;11,BW7&lt;=13),-0.1,IF(BW7&gt;13,-0.15,0)))))))</f>
        <v>0</v>
      </c>
      <c r="BY7" s="349" t="e">
        <f>#N/A</f>
        <v>#N/A</v>
      </c>
      <c r="BZ7" s="349" t="e">
        <f>#N/A</f>
        <v>#N/A</v>
      </c>
      <c r="CA7" s="349" t="e">
        <f>#N/A</f>
        <v>#N/A</v>
      </c>
      <c r="CB7" s="351" t="e">
        <f>#N/A</f>
        <v>#N/A</v>
      </c>
      <c r="CC7" s="349" t="e">
        <f t="shared" ref="CC7:CC52" si="9">SUM(BY7:CB7)</f>
        <v>#N/A</v>
      </c>
      <c r="CD7" s="14" t="e">
        <f>CC7-BB7</f>
        <v>#N/A</v>
      </c>
      <c r="CE7" s="14">
        <f>IF(CF7&gt;0,BF7,0)</f>
        <v>0</v>
      </c>
      <c r="CF7" s="25">
        <f>IF(BF7&gt;=26,1,0)</f>
        <v>0</v>
      </c>
      <c r="CG7" s="270">
        <v>56</v>
      </c>
      <c r="CH7" s="2" t="s">
        <v>49</v>
      </c>
      <c r="CI7" s="2" t="e">
        <f>SUM(#REF!)</f>
        <v>#REF!</v>
      </c>
      <c r="CJ7" s="2" t="e">
        <f>SUM(#REF!)</f>
        <v>#REF!</v>
      </c>
      <c r="CK7" s="353" t="e">
        <f t="shared" si="0"/>
        <v>#REF!</v>
      </c>
      <c r="CL7" s="349" t="e">
        <f>#N/A</f>
        <v>#N/A</v>
      </c>
      <c r="CM7" s="349" t="e">
        <f>#N/A</f>
        <v>#N/A</v>
      </c>
      <c r="CN7" s="349" t="e">
        <f>#N/A</f>
        <v>#N/A</v>
      </c>
      <c r="CO7" s="349" t="e">
        <f>#N/A</f>
        <v>#N/A</v>
      </c>
      <c r="CP7" s="349" t="e">
        <f t="shared" ref="CP7:CP52" si="10">SUM(CL7:CO7)</f>
        <v>#N/A</v>
      </c>
      <c r="CQ7" s="14" t="e">
        <f t="shared" ref="CQ7:CQ52" si="11">CP7-BC7</f>
        <v>#N/A</v>
      </c>
      <c r="CT7" s="2" t="s">
        <v>49</v>
      </c>
      <c r="CU7" s="2" t="e">
        <f>SUM(#REF!)</f>
        <v>#REF!</v>
      </c>
      <c r="CV7" s="2"/>
      <c r="CW7" s="1">
        <f t="shared" ref="CW7:CW52" si="12">BU7</f>
        <v>0</v>
      </c>
      <c r="CX7" s="1">
        <f t="shared" ref="CX7:CX52" si="13">BW7</f>
        <v>0</v>
      </c>
      <c r="CY7" s="2">
        <f t="shared" ref="CY7:CY52" si="14">IF(COUNT(CW7:CX7)=2,ROUND((CW7+CX7)/2,2),CW7)</f>
        <v>0</v>
      </c>
    </row>
    <row r="8" spans="1:108" s="1" customFormat="1" ht="29.4" customHeight="1">
      <c r="A8" s="46">
        <v>2</v>
      </c>
      <c r="B8" s="46">
        <v>1</v>
      </c>
      <c r="C8" s="46">
        <v>2</v>
      </c>
      <c r="D8" s="48"/>
      <c r="E8" s="48"/>
      <c r="F8" s="46"/>
      <c r="G8" s="310">
        <v>0</v>
      </c>
      <c r="H8" s="310" t="s">
        <v>1991</v>
      </c>
      <c r="I8" s="310" t="s">
        <v>1991</v>
      </c>
      <c r="J8" s="310"/>
      <c r="K8" s="310" t="s">
        <v>1991</v>
      </c>
      <c r="L8" s="310" t="s">
        <v>1991</v>
      </c>
      <c r="M8" s="310" t="s">
        <v>1991</v>
      </c>
      <c r="N8" s="310" t="s">
        <v>1991</v>
      </c>
      <c r="O8" s="310" t="s">
        <v>1991</v>
      </c>
      <c r="P8" s="310" t="s">
        <v>1991</v>
      </c>
      <c r="Q8" s="310" t="s">
        <v>1991</v>
      </c>
      <c r="R8" s="310" t="s">
        <v>1991</v>
      </c>
      <c r="S8" s="310" t="s">
        <v>1991</v>
      </c>
      <c r="T8" s="505" t="s">
        <v>1991</v>
      </c>
      <c r="U8" s="310" t="s">
        <v>1991</v>
      </c>
      <c r="V8" s="32" t="s">
        <v>1991</v>
      </c>
      <c r="W8" s="506" t="s">
        <v>1991</v>
      </c>
      <c r="X8" s="506" t="s">
        <v>1991</v>
      </c>
      <c r="Y8" s="506" t="s">
        <v>1991</v>
      </c>
      <c r="Z8" s="32" t="s">
        <v>1991</v>
      </c>
      <c r="AA8" s="32" t="s">
        <v>1991</v>
      </c>
      <c r="AB8" s="32">
        <v>0</v>
      </c>
      <c r="AC8" s="32">
        <v>0</v>
      </c>
      <c r="AD8" s="32" t="s">
        <v>1991</v>
      </c>
      <c r="AE8" s="506" t="s">
        <v>1991</v>
      </c>
      <c r="AF8" s="506" t="s">
        <v>1991</v>
      </c>
      <c r="AG8" s="32" t="s">
        <v>1991</v>
      </c>
      <c r="AH8" s="32" t="s">
        <v>1991</v>
      </c>
      <c r="AI8" s="32" t="s">
        <v>1991</v>
      </c>
      <c r="AJ8" s="32" t="s">
        <v>1991</v>
      </c>
      <c r="AK8" s="506" t="s">
        <v>1991</v>
      </c>
      <c r="AL8" s="327"/>
      <c r="AM8" s="327"/>
      <c r="AN8" s="327"/>
      <c r="AO8" s="327"/>
      <c r="AP8" s="327" t="s">
        <v>1991</v>
      </c>
      <c r="AQ8" s="327"/>
      <c r="AR8" s="327"/>
      <c r="AS8" s="327"/>
      <c r="AT8" s="327"/>
      <c r="AU8" s="327"/>
      <c r="AV8" s="327"/>
      <c r="AW8" s="327"/>
      <c r="AX8" s="327"/>
      <c r="AY8" s="327"/>
      <c r="AZ8" s="327"/>
      <c r="BA8" s="327"/>
      <c r="BB8" s="46">
        <f t="shared" si="1"/>
        <v>13</v>
      </c>
      <c r="BC8" s="46">
        <f t="shared" si="2"/>
        <v>14</v>
      </c>
      <c r="BD8" s="46">
        <f t="shared" ref="BD8:BD71" si="15">COUNTIF(AL8:BA8,"X")</f>
        <v>1</v>
      </c>
      <c r="BE8" s="46">
        <f t="shared" si="3"/>
        <v>0</v>
      </c>
      <c r="BF8" s="296">
        <f t="shared" si="4"/>
        <v>27</v>
      </c>
      <c r="BG8" s="2"/>
      <c r="BH8" s="2"/>
      <c r="BI8" s="2"/>
      <c r="BJ8" s="2"/>
      <c r="BK8" s="279">
        <f t="shared" si="5"/>
        <v>1</v>
      </c>
      <c r="BL8" s="279">
        <f t="shared" si="6"/>
        <v>27</v>
      </c>
      <c r="BM8" s="279"/>
      <c r="BN8" s="279"/>
      <c r="BO8" s="2">
        <f t="shared" ref="BO8:BO52" si="16">IF(BT8&gt;0,BF8,0)</f>
        <v>27</v>
      </c>
      <c r="BP8" s="430"/>
      <c r="BQ8" s="431"/>
      <c r="BR8" s="2"/>
      <c r="BS8" s="25"/>
      <c r="BT8" s="348">
        <f t="shared" ref="BT8:BT71" si="17">IF(BF8&gt;=26,1,0)</f>
        <v>1</v>
      </c>
      <c r="BU8" s="2"/>
      <c r="BV8" s="282">
        <f t="shared" si="7"/>
        <v>0</v>
      </c>
      <c r="BW8" s="279"/>
      <c r="BX8" s="269">
        <f t="shared" si="8"/>
        <v>0</v>
      </c>
      <c r="BY8" s="349" t="e">
        <f>#N/A</f>
        <v>#N/A</v>
      </c>
      <c r="BZ8" s="349" t="e">
        <f>#N/A</f>
        <v>#N/A</v>
      </c>
      <c r="CA8" s="349" t="e">
        <f>#N/A</f>
        <v>#N/A</v>
      </c>
      <c r="CB8" s="351" t="e">
        <f>#N/A</f>
        <v>#N/A</v>
      </c>
      <c r="CC8" s="349" t="e">
        <f t="shared" si="9"/>
        <v>#N/A</v>
      </c>
      <c r="CD8" s="14" t="e">
        <f t="shared" ref="CD8:CD52" si="18">CC8-BB8</f>
        <v>#N/A</v>
      </c>
      <c r="CE8" s="14">
        <f t="shared" ref="CE8:CE52" si="19">IF(CF8&gt;0,BF8,0)</f>
        <v>27</v>
      </c>
      <c r="CF8" s="25">
        <f t="shared" ref="CF8:CF40" si="20">IF(BF8&gt;=26,1,0)</f>
        <v>1</v>
      </c>
      <c r="CG8" s="270">
        <v>51</v>
      </c>
      <c r="CH8" s="2" t="s">
        <v>50</v>
      </c>
      <c r="CI8" s="2">
        <f>BB313</f>
        <v>1642</v>
      </c>
      <c r="CJ8" s="2">
        <f>BC313</f>
        <v>1946</v>
      </c>
      <c r="CK8" s="353">
        <f t="shared" si="0"/>
        <v>226.9</v>
      </c>
      <c r="CL8" s="349" t="e">
        <f>#N/A</f>
        <v>#N/A</v>
      </c>
      <c r="CM8" s="349" t="e">
        <f>#N/A</f>
        <v>#N/A</v>
      </c>
      <c r="CN8" s="349" t="e">
        <f>#N/A</f>
        <v>#N/A</v>
      </c>
      <c r="CO8" s="349" t="e">
        <f>#N/A</f>
        <v>#N/A</v>
      </c>
      <c r="CP8" s="349" t="e">
        <f t="shared" si="10"/>
        <v>#N/A</v>
      </c>
      <c r="CQ8" s="14" t="e">
        <f t="shared" si="11"/>
        <v>#N/A</v>
      </c>
      <c r="CT8" s="2" t="s">
        <v>50</v>
      </c>
      <c r="CU8" s="2" t="e">
        <f>SUM(#REF!)</f>
        <v>#REF!</v>
      </c>
      <c r="CW8" s="1">
        <f t="shared" si="12"/>
        <v>0</v>
      </c>
      <c r="CX8" s="1">
        <f t="shared" si="13"/>
        <v>0</v>
      </c>
      <c r="CY8" s="2">
        <f t="shared" si="14"/>
        <v>0</v>
      </c>
      <c r="DD8" s="1">
        <f>SUM(DD9:DD175)</f>
        <v>0</v>
      </c>
    </row>
    <row r="9" spans="1:108" s="1" customFormat="1" ht="29.4" customHeight="1">
      <c r="A9" s="46">
        <v>3</v>
      </c>
      <c r="B9" s="46">
        <v>1</v>
      </c>
      <c r="C9" s="46">
        <v>3</v>
      </c>
      <c r="D9" s="48"/>
      <c r="E9" s="48"/>
      <c r="F9" s="46"/>
      <c r="G9" s="310" t="s">
        <v>1991</v>
      </c>
      <c r="H9" s="310" t="s">
        <v>1991</v>
      </c>
      <c r="I9" s="310" t="s">
        <v>1991</v>
      </c>
      <c r="J9" s="310"/>
      <c r="K9" s="310" t="s">
        <v>1991</v>
      </c>
      <c r="L9" s="310" t="s">
        <v>1991</v>
      </c>
      <c r="M9" s="310" t="s">
        <v>1991</v>
      </c>
      <c r="N9" s="310" t="s">
        <v>1991</v>
      </c>
      <c r="O9" s="310" t="s">
        <v>1991</v>
      </c>
      <c r="P9" s="310" t="s">
        <v>1991</v>
      </c>
      <c r="Q9" s="310" t="s">
        <v>1991</v>
      </c>
      <c r="R9" s="310" t="s">
        <v>1991</v>
      </c>
      <c r="S9" s="310" t="s">
        <v>1991</v>
      </c>
      <c r="T9" s="505" t="s">
        <v>1991</v>
      </c>
      <c r="U9" s="310" t="s">
        <v>1991</v>
      </c>
      <c r="V9" s="32" t="s">
        <v>1991</v>
      </c>
      <c r="W9" s="506" t="s">
        <v>1991</v>
      </c>
      <c r="X9" s="506" t="s">
        <v>1991</v>
      </c>
      <c r="Y9" s="506">
        <v>0</v>
      </c>
      <c r="Z9" s="32" t="s">
        <v>1991</v>
      </c>
      <c r="AA9" s="32" t="s">
        <v>1991</v>
      </c>
      <c r="AB9" s="32" t="s">
        <v>1991</v>
      </c>
      <c r="AC9" s="32" t="s">
        <v>1991</v>
      </c>
      <c r="AD9" s="32">
        <v>0</v>
      </c>
      <c r="AE9" s="506" t="s">
        <v>1991</v>
      </c>
      <c r="AF9" s="506" t="s">
        <v>1991</v>
      </c>
      <c r="AG9" s="32" t="s">
        <v>1991</v>
      </c>
      <c r="AH9" s="32" t="s">
        <v>1991</v>
      </c>
      <c r="AI9" s="32" t="s">
        <v>1991</v>
      </c>
      <c r="AJ9" s="32" t="s">
        <v>1991</v>
      </c>
      <c r="AK9" s="506" t="s">
        <v>1991</v>
      </c>
      <c r="AL9" s="327"/>
      <c r="AM9" s="327"/>
      <c r="AN9" s="327"/>
      <c r="AO9" s="327"/>
      <c r="AP9" s="327" t="s">
        <v>1991</v>
      </c>
      <c r="AQ9" s="327"/>
      <c r="AR9" s="327"/>
      <c r="AS9" s="327"/>
      <c r="AT9" s="327"/>
      <c r="AU9" s="327"/>
      <c r="AV9" s="327"/>
      <c r="AW9" s="327"/>
      <c r="AX9" s="327"/>
      <c r="AY9" s="327"/>
      <c r="AZ9" s="327"/>
      <c r="BA9" s="327"/>
      <c r="BB9" s="46">
        <f t="shared" si="1"/>
        <v>14</v>
      </c>
      <c r="BC9" s="46">
        <f t="shared" si="2"/>
        <v>14</v>
      </c>
      <c r="BD9" s="46">
        <f t="shared" si="15"/>
        <v>1</v>
      </c>
      <c r="BE9" s="46">
        <f t="shared" si="3"/>
        <v>0</v>
      </c>
      <c r="BF9" s="296">
        <f t="shared" si="4"/>
        <v>28</v>
      </c>
      <c r="BG9" s="2"/>
      <c r="BH9" s="2"/>
      <c r="BI9" s="2"/>
      <c r="BJ9" s="2"/>
      <c r="BK9" s="279">
        <f t="shared" si="5"/>
        <v>1</v>
      </c>
      <c r="BL9" s="279">
        <f t="shared" si="6"/>
        <v>28</v>
      </c>
      <c r="BM9" s="279"/>
      <c r="BN9" s="279"/>
      <c r="BO9" s="2">
        <f t="shared" si="16"/>
        <v>28</v>
      </c>
      <c r="BP9" s="430"/>
      <c r="BQ9" s="431"/>
      <c r="BR9" s="2"/>
      <c r="BS9" s="25"/>
      <c r="BT9" s="348">
        <f t="shared" si="17"/>
        <v>1</v>
      </c>
      <c r="BU9" s="2"/>
      <c r="BV9" s="282">
        <f t="shared" si="7"/>
        <v>0</v>
      </c>
      <c r="BW9" s="279"/>
      <c r="BX9" s="269">
        <f t="shared" si="8"/>
        <v>0</v>
      </c>
      <c r="BY9" s="349" t="e">
        <f>#N/A</f>
        <v>#N/A</v>
      </c>
      <c r="BZ9" s="349" t="e">
        <f>#N/A</f>
        <v>#N/A</v>
      </c>
      <c r="CA9" s="349" t="e">
        <f>#N/A</f>
        <v>#N/A</v>
      </c>
      <c r="CB9" s="351" t="e">
        <f>#N/A</f>
        <v>#N/A</v>
      </c>
      <c r="CC9" s="349" t="e">
        <f t="shared" si="9"/>
        <v>#N/A</v>
      </c>
      <c r="CD9" s="14" t="e">
        <f t="shared" si="18"/>
        <v>#N/A</v>
      </c>
      <c r="CE9" s="14">
        <f t="shared" si="19"/>
        <v>28</v>
      </c>
      <c r="CF9" s="25">
        <f t="shared" si="20"/>
        <v>1</v>
      </c>
      <c r="CG9" s="270"/>
      <c r="CH9" s="102" t="s">
        <v>51</v>
      </c>
      <c r="CL9" s="349" t="e">
        <f>#N/A</f>
        <v>#N/A</v>
      </c>
      <c r="CM9" s="349" t="e">
        <f>#N/A</f>
        <v>#N/A</v>
      </c>
      <c r="CN9" s="349" t="e">
        <f>#N/A</f>
        <v>#N/A</v>
      </c>
      <c r="CO9" s="349" t="e">
        <f>#N/A</f>
        <v>#N/A</v>
      </c>
      <c r="CP9" s="349" t="e">
        <f t="shared" si="10"/>
        <v>#N/A</v>
      </c>
      <c r="CQ9" s="14" t="e">
        <f t="shared" si="11"/>
        <v>#N/A</v>
      </c>
      <c r="CT9" s="2" t="s">
        <v>52</v>
      </c>
      <c r="CW9" s="1">
        <f t="shared" si="12"/>
        <v>0</v>
      </c>
      <c r="CX9" s="1">
        <f t="shared" si="13"/>
        <v>0</v>
      </c>
      <c r="CY9" s="2">
        <f t="shared" si="14"/>
        <v>0</v>
      </c>
    </row>
    <row r="10" spans="1:108" s="1" customFormat="1" ht="29.4" customHeight="1">
      <c r="A10" s="46">
        <v>4</v>
      </c>
      <c r="B10" s="46">
        <v>1</v>
      </c>
      <c r="C10" s="46">
        <v>4</v>
      </c>
      <c r="D10" s="48"/>
      <c r="E10" s="48"/>
      <c r="F10" s="46"/>
      <c r="G10" s="310">
        <v>0</v>
      </c>
      <c r="H10" s="310" t="s">
        <v>1991</v>
      </c>
      <c r="I10" s="310" t="s">
        <v>1991</v>
      </c>
      <c r="J10" s="310"/>
      <c r="K10" s="310" t="s">
        <v>1991</v>
      </c>
      <c r="L10" s="310" t="s">
        <v>1991</v>
      </c>
      <c r="M10" s="310" t="s">
        <v>1991</v>
      </c>
      <c r="N10" s="310" t="s">
        <v>1991</v>
      </c>
      <c r="O10" s="310" t="s">
        <v>1991</v>
      </c>
      <c r="P10" s="310" t="s">
        <v>1991</v>
      </c>
      <c r="Q10" s="310" t="s">
        <v>1991</v>
      </c>
      <c r="R10" s="310" t="s">
        <v>1991</v>
      </c>
      <c r="S10" s="310" t="s">
        <v>1991</v>
      </c>
      <c r="T10" s="505" t="s">
        <v>1991</v>
      </c>
      <c r="U10" s="310" t="s">
        <v>1991</v>
      </c>
      <c r="V10" s="32" t="s">
        <v>1991</v>
      </c>
      <c r="W10" s="506" t="s">
        <v>1991</v>
      </c>
      <c r="X10" s="506" t="s">
        <v>1991</v>
      </c>
      <c r="Y10" s="506" t="s">
        <v>1991</v>
      </c>
      <c r="Z10" s="32" t="s">
        <v>1991</v>
      </c>
      <c r="AA10" s="32" t="s">
        <v>1991</v>
      </c>
      <c r="AB10" s="32">
        <v>0</v>
      </c>
      <c r="AC10" s="32">
        <v>0</v>
      </c>
      <c r="AD10" s="32" t="s">
        <v>1991</v>
      </c>
      <c r="AE10" s="506" t="s">
        <v>1991</v>
      </c>
      <c r="AF10" s="506" t="s">
        <v>1991</v>
      </c>
      <c r="AG10" s="32" t="s">
        <v>1991</v>
      </c>
      <c r="AH10" s="32" t="s">
        <v>1991</v>
      </c>
      <c r="AI10" s="32" t="s">
        <v>1991</v>
      </c>
      <c r="AJ10" s="32" t="s">
        <v>1991</v>
      </c>
      <c r="AK10" s="506" t="s">
        <v>1991</v>
      </c>
      <c r="AL10" s="327"/>
      <c r="AM10" s="327"/>
      <c r="AN10" s="327"/>
      <c r="AO10" s="327"/>
      <c r="AP10" s="327" t="s">
        <v>1991</v>
      </c>
      <c r="AQ10" s="327"/>
      <c r="AR10" s="327"/>
      <c r="AS10" s="327"/>
      <c r="AT10" s="327"/>
      <c r="AU10" s="327"/>
      <c r="AV10" s="327"/>
      <c r="AW10" s="327"/>
      <c r="AX10" s="327"/>
      <c r="AY10" s="327"/>
      <c r="AZ10" s="327"/>
      <c r="BA10" s="327"/>
      <c r="BB10" s="46">
        <f t="shared" si="1"/>
        <v>13</v>
      </c>
      <c r="BC10" s="46">
        <f t="shared" si="2"/>
        <v>14</v>
      </c>
      <c r="BD10" s="46">
        <f t="shared" si="15"/>
        <v>1</v>
      </c>
      <c r="BE10" s="46">
        <f t="shared" si="3"/>
        <v>0</v>
      </c>
      <c r="BF10" s="296">
        <f t="shared" si="4"/>
        <v>27</v>
      </c>
      <c r="BG10" s="2"/>
      <c r="BH10" s="2"/>
      <c r="BI10" s="2"/>
      <c r="BJ10" s="2"/>
      <c r="BK10" s="279">
        <f t="shared" si="5"/>
        <v>1</v>
      </c>
      <c r="BL10" s="279">
        <f t="shared" si="6"/>
        <v>27</v>
      </c>
      <c r="BM10" s="279"/>
      <c r="BN10" s="279"/>
      <c r="BO10" s="2">
        <f t="shared" si="16"/>
        <v>27</v>
      </c>
      <c r="BP10" s="430"/>
      <c r="BQ10" s="431"/>
      <c r="BR10" s="2"/>
      <c r="BS10" s="25"/>
      <c r="BT10" s="348">
        <f t="shared" si="17"/>
        <v>1</v>
      </c>
      <c r="BU10" s="2"/>
      <c r="BV10" s="282">
        <f t="shared" si="7"/>
        <v>0</v>
      </c>
      <c r="BW10" s="279"/>
      <c r="BX10" s="269">
        <f t="shared" si="8"/>
        <v>0</v>
      </c>
      <c r="BY10" s="349" t="e">
        <f>#N/A</f>
        <v>#N/A</v>
      </c>
      <c r="BZ10" s="349" t="e">
        <f>#N/A</f>
        <v>#N/A</v>
      </c>
      <c r="CA10" s="349" t="e">
        <f>#N/A</f>
        <v>#N/A</v>
      </c>
      <c r="CB10" s="351" t="e">
        <f>#N/A</f>
        <v>#N/A</v>
      </c>
      <c r="CC10" s="349" t="e">
        <f t="shared" si="9"/>
        <v>#N/A</v>
      </c>
      <c r="CD10" s="14" t="e">
        <f t="shared" si="18"/>
        <v>#N/A</v>
      </c>
      <c r="CE10" s="14">
        <f t="shared" si="19"/>
        <v>27</v>
      </c>
      <c r="CF10" s="25">
        <f t="shared" si="20"/>
        <v>1</v>
      </c>
      <c r="CG10" s="270"/>
      <c r="CH10" s="2" t="s">
        <v>1</v>
      </c>
      <c r="CI10" s="1">
        <f>IF(CK1&gt;=98,60000,IF(CK1&gt;95,40000,0))</f>
        <v>60000</v>
      </c>
      <c r="CJ10" s="1" t="e">
        <f>SUM(CI10:CI12)</f>
        <v>#REF!</v>
      </c>
      <c r="CK10" s="354"/>
      <c r="CL10" s="349" t="e">
        <f>#N/A</f>
        <v>#N/A</v>
      </c>
      <c r="CM10" s="349" t="e">
        <f>#N/A</f>
        <v>#N/A</v>
      </c>
      <c r="CN10" s="349" t="e">
        <f>#N/A</f>
        <v>#N/A</v>
      </c>
      <c r="CO10" s="349" t="e">
        <f>#N/A</f>
        <v>#N/A</v>
      </c>
      <c r="CP10" s="349" t="e">
        <f t="shared" si="10"/>
        <v>#N/A</v>
      </c>
      <c r="CQ10" s="14" t="e">
        <f t="shared" si="11"/>
        <v>#N/A</v>
      </c>
      <c r="CW10" s="1">
        <f t="shared" si="12"/>
        <v>0</v>
      </c>
      <c r="CX10" s="1">
        <f t="shared" si="13"/>
        <v>0</v>
      </c>
      <c r="CY10" s="2">
        <f t="shared" si="14"/>
        <v>0</v>
      </c>
    </row>
    <row r="11" spans="1:108" s="1" customFormat="1" ht="29.4" customHeight="1">
      <c r="A11" s="46">
        <v>5</v>
      </c>
      <c r="B11" s="46">
        <v>1</v>
      </c>
      <c r="C11" s="46">
        <v>5</v>
      </c>
      <c r="D11" s="48"/>
      <c r="E11" s="48"/>
      <c r="F11" s="46"/>
      <c r="G11" s="310" t="s">
        <v>1991</v>
      </c>
      <c r="H11" s="310" t="s">
        <v>1991</v>
      </c>
      <c r="I11" s="310" t="s">
        <v>1991</v>
      </c>
      <c r="J11" s="310"/>
      <c r="K11" s="310" t="s">
        <v>1991</v>
      </c>
      <c r="L11" s="310" t="s">
        <v>1991</v>
      </c>
      <c r="M11" s="310" t="s">
        <v>1991</v>
      </c>
      <c r="N11" s="310" t="s">
        <v>1991</v>
      </c>
      <c r="O11" s="310" t="s">
        <v>1991</v>
      </c>
      <c r="P11" s="310" t="s">
        <v>1991</v>
      </c>
      <c r="Q11" s="310" t="s">
        <v>1991</v>
      </c>
      <c r="R11" s="310" t="s">
        <v>1991</v>
      </c>
      <c r="S11" s="310" t="s">
        <v>1991</v>
      </c>
      <c r="T11" s="505" t="s">
        <v>1991</v>
      </c>
      <c r="U11" s="310" t="s">
        <v>1991</v>
      </c>
      <c r="V11" s="32" t="s">
        <v>1991</v>
      </c>
      <c r="W11" s="506" t="s">
        <v>1991</v>
      </c>
      <c r="X11" s="506" t="s">
        <v>1991</v>
      </c>
      <c r="Y11" s="506" t="s">
        <v>1991</v>
      </c>
      <c r="Z11" s="32" t="s">
        <v>1991</v>
      </c>
      <c r="AA11" s="32" t="s">
        <v>1991</v>
      </c>
      <c r="AB11" s="32" t="s">
        <v>1991</v>
      </c>
      <c r="AC11" s="32" t="s">
        <v>1991</v>
      </c>
      <c r="AD11" s="32" t="s">
        <v>1991</v>
      </c>
      <c r="AE11" s="506" t="s">
        <v>1991</v>
      </c>
      <c r="AF11" s="506" t="s">
        <v>1991</v>
      </c>
      <c r="AG11" s="32" t="s">
        <v>1991</v>
      </c>
      <c r="AH11" s="32" t="s">
        <v>1991</v>
      </c>
      <c r="AI11" s="32" t="s">
        <v>1991</v>
      </c>
      <c r="AJ11" s="32" t="s">
        <v>1991</v>
      </c>
      <c r="AK11" s="506" t="s">
        <v>1991</v>
      </c>
      <c r="AL11" s="327"/>
      <c r="AM11" s="327"/>
      <c r="AN11" s="327"/>
      <c r="AO11" s="327"/>
      <c r="AP11" s="327" t="s">
        <v>1991</v>
      </c>
      <c r="AQ11" s="327"/>
      <c r="AR11" s="327"/>
      <c r="AS11" s="327"/>
      <c r="AT11" s="327"/>
      <c r="AU11" s="327"/>
      <c r="AV11" s="327"/>
      <c r="AW11" s="327"/>
      <c r="AX11" s="327"/>
      <c r="AY11" s="327"/>
      <c r="AZ11" s="327"/>
      <c r="BA11" s="327"/>
      <c r="BB11" s="46">
        <f t="shared" si="1"/>
        <v>14</v>
      </c>
      <c r="BC11" s="46">
        <f t="shared" si="2"/>
        <v>16</v>
      </c>
      <c r="BD11" s="46">
        <f t="shared" si="15"/>
        <v>1</v>
      </c>
      <c r="BE11" s="46">
        <f t="shared" si="3"/>
        <v>0</v>
      </c>
      <c r="BF11" s="296">
        <f t="shared" si="4"/>
        <v>30</v>
      </c>
      <c r="BG11" s="2"/>
      <c r="BH11" s="2"/>
      <c r="BI11" s="2"/>
      <c r="BJ11" s="2"/>
      <c r="BK11" s="279">
        <f t="shared" si="5"/>
        <v>1</v>
      </c>
      <c r="BL11" s="279">
        <f t="shared" si="6"/>
        <v>30</v>
      </c>
      <c r="BM11" s="279"/>
      <c r="BN11" s="279"/>
      <c r="BO11" s="2">
        <f t="shared" si="16"/>
        <v>30</v>
      </c>
      <c r="BP11" s="430"/>
      <c r="BQ11" s="431"/>
      <c r="BR11" s="2"/>
      <c r="BS11" s="25"/>
      <c r="BT11" s="348">
        <f t="shared" si="17"/>
        <v>1</v>
      </c>
      <c r="BU11" s="2"/>
      <c r="BV11" s="282">
        <f t="shared" si="7"/>
        <v>0</v>
      </c>
      <c r="BW11" s="279"/>
      <c r="BX11" s="269">
        <f t="shared" si="8"/>
        <v>0</v>
      </c>
      <c r="BY11" s="349" t="e">
        <f>#N/A</f>
        <v>#N/A</v>
      </c>
      <c r="BZ11" s="349" t="e">
        <f>#N/A</f>
        <v>#N/A</v>
      </c>
      <c r="CA11" s="349" t="e">
        <f>#N/A</f>
        <v>#N/A</v>
      </c>
      <c r="CB11" s="351" t="e">
        <f>#N/A</f>
        <v>#N/A</v>
      </c>
      <c r="CC11" s="349" t="e">
        <f t="shared" si="9"/>
        <v>#N/A</v>
      </c>
      <c r="CD11" s="14" t="e">
        <f t="shared" si="18"/>
        <v>#N/A</v>
      </c>
      <c r="CE11" s="14">
        <f t="shared" si="19"/>
        <v>30</v>
      </c>
      <c r="CF11" s="25">
        <f t="shared" si="20"/>
        <v>1</v>
      </c>
      <c r="CG11" s="270"/>
      <c r="CH11" s="2" t="s">
        <v>4</v>
      </c>
      <c r="CI11" s="1">
        <f t="shared" ref="CI11:CI17" si="21">IF(CK2&gt;=98,60000,IF(CK2&gt;95,40000,0))</f>
        <v>60000</v>
      </c>
      <c r="CL11" s="349" t="e">
        <f>#N/A</f>
        <v>#N/A</v>
      </c>
      <c r="CM11" s="349" t="e">
        <f>#N/A</f>
        <v>#N/A</v>
      </c>
      <c r="CN11" s="349" t="e">
        <f>#N/A</f>
        <v>#N/A</v>
      </c>
      <c r="CO11" s="349" t="e">
        <f>#N/A</f>
        <v>#N/A</v>
      </c>
      <c r="CP11" s="349" t="e">
        <f t="shared" si="10"/>
        <v>#N/A</v>
      </c>
      <c r="CQ11" s="14" t="e">
        <f t="shared" si="11"/>
        <v>#N/A</v>
      </c>
      <c r="CW11" s="1">
        <f t="shared" si="12"/>
        <v>0</v>
      </c>
      <c r="CX11" s="1">
        <f t="shared" si="13"/>
        <v>0</v>
      </c>
      <c r="CY11" s="2">
        <f t="shared" si="14"/>
        <v>0</v>
      </c>
    </row>
    <row r="12" spans="1:108" s="1" customFormat="1" ht="29.4" customHeight="1">
      <c r="A12" s="46">
        <v>6</v>
      </c>
      <c r="B12" s="46">
        <v>1</v>
      </c>
      <c r="C12" s="46">
        <v>6</v>
      </c>
      <c r="D12" s="48"/>
      <c r="E12" s="48"/>
      <c r="F12" s="46"/>
      <c r="G12" s="310" t="s">
        <v>1991</v>
      </c>
      <c r="H12" s="310" t="s">
        <v>1991</v>
      </c>
      <c r="I12" s="310" t="s">
        <v>1991</v>
      </c>
      <c r="J12" s="310"/>
      <c r="K12" s="310">
        <v>0</v>
      </c>
      <c r="L12" s="310" t="s">
        <v>1991</v>
      </c>
      <c r="M12" s="310" t="s">
        <v>1991</v>
      </c>
      <c r="N12" s="310" t="s">
        <v>1991</v>
      </c>
      <c r="O12" s="310" t="s">
        <v>1991</v>
      </c>
      <c r="P12" s="310" t="s">
        <v>1991</v>
      </c>
      <c r="Q12" s="310" t="s">
        <v>1991</v>
      </c>
      <c r="R12" s="310" t="s">
        <v>1991</v>
      </c>
      <c r="S12" s="310" t="s">
        <v>1991</v>
      </c>
      <c r="T12" s="505" t="s">
        <v>1991</v>
      </c>
      <c r="U12" s="310" t="s">
        <v>1991</v>
      </c>
      <c r="V12" s="32" t="s">
        <v>1991</v>
      </c>
      <c r="W12" s="506" t="s">
        <v>1991</v>
      </c>
      <c r="X12" s="506">
        <v>0</v>
      </c>
      <c r="Y12" s="506" t="s">
        <v>1991</v>
      </c>
      <c r="Z12" s="32" t="s">
        <v>1991</v>
      </c>
      <c r="AA12" s="32" t="s">
        <v>1991</v>
      </c>
      <c r="AB12" s="32">
        <v>0</v>
      </c>
      <c r="AC12" s="32" t="s">
        <v>1991</v>
      </c>
      <c r="AD12" s="32" t="s">
        <v>1991</v>
      </c>
      <c r="AE12" s="506" t="s">
        <v>1991</v>
      </c>
      <c r="AF12" s="506" t="s">
        <v>1991</v>
      </c>
      <c r="AG12" s="32" t="s">
        <v>1991</v>
      </c>
      <c r="AH12" s="32" t="s">
        <v>1991</v>
      </c>
      <c r="AI12" s="32" t="s">
        <v>1991</v>
      </c>
      <c r="AJ12" s="32" t="s">
        <v>1991</v>
      </c>
      <c r="AK12" s="506" t="s">
        <v>1991</v>
      </c>
      <c r="AL12" s="327"/>
      <c r="AM12" s="327"/>
      <c r="AN12" s="327"/>
      <c r="AO12" s="327"/>
      <c r="AP12" s="327" t="s">
        <v>1991</v>
      </c>
      <c r="AQ12" s="327"/>
      <c r="AR12" s="327"/>
      <c r="AS12" s="327"/>
      <c r="AT12" s="327"/>
      <c r="AU12" s="327"/>
      <c r="AV12" s="327"/>
      <c r="AW12" s="327"/>
      <c r="AX12" s="327"/>
      <c r="AY12" s="327"/>
      <c r="AZ12" s="327"/>
      <c r="BA12" s="327"/>
      <c r="BB12" s="46">
        <f t="shared" si="1"/>
        <v>13</v>
      </c>
      <c r="BC12" s="46">
        <f t="shared" si="2"/>
        <v>14</v>
      </c>
      <c r="BD12" s="46">
        <f t="shared" si="15"/>
        <v>1</v>
      </c>
      <c r="BE12" s="46">
        <f t="shared" si="3"/>
        <v>0</v>
      </c>
      <c r="BF12" s="296">
        <f t="shared" si="4"/>
        <v>27</v>
      </c>
      <c r="BG12" s="2"/>
      <c r="BH12" s="2"/>
      <c r="BI12" s="2"/>
      <c r="BJ12" s="2"/>
      <c r="BK12" s="279">
        <f t="shared" si="5"/>
        <v>1</v>
      </c>
      <c r="BL12" s="279">
        <f t="shared" si="6"/>
        <v>27</v>
      </c>
      <c r="BM12" s="279"/>
      <c r="BN12" s="279"/>
      <c r="BO12" s="2">
        <f t="shared" si="16"/>
        <v>27</v>
      </c>
      <c r="BP12" s="430"/>
      <c r="BQ12" s="431"/>
      <c r="BR12" s="2"/>
      <c r="BS12" s="25"/>
      <c r="BT12" s="348">
        <f t="shared" si="17"/>
        <v>1</v>
      </c>
      <c r="BU12" s="2"/>
      <c r="BV12" s="282">
        <f t="shared" si="7"/>
        <v>0</v>
      </c>
      <c r="BW12" s="279"/>
      <c r="BX12" s="269">
        <f t="shared" si="8"/>
        <v>0</v>
      </c>
      <c r="BY12" s="349" t="e">
        <f>#N/A</f>
        <v>#N/A</v>
      </c>
      <c r="BZ12" s="349" t="e">
        <f>#N/A</f>
        <v>#N/A</v>
      </c>
      <c r="CA12" s="349" t="e">
        <f>#N/A</f>
        <v>#N/A</v>
      </c>
      <c r="CB12" s="351" t="e">
        <f>#N/A</f>
        <v>#N/A</v>
      </c>
      <c r="CC12" s="349" t="e">
        <f t="shared" si="9"/>
        <v>#N/A</v>
      </c>
      <c r="CD12" s="14" t="e">
        <f t="shared" si="18"/>
        <v>#N/A</v>
      </c>
      <c r="CE12" s="14">
        <f t="shared" si="19"/>
        <v>27</v>
      </c>
      <c r="CF12" s="25">
        <f t="shared" si="20"/>
        <v>1</v>
      </c>
      <c r="CG12" s="270"/>
      <c r="CH12" s="2" t="s">
        <v>6</v>
      </c>
      <c r="CI12" s="1" t="e">
        <f t="shared" si="21"/>
        <v>#REF!</v>
      </c>
      <c r="CL12" s="349" t="e">
        <f>#N/A</f>
        <v>#N/A</v>
      </c>
      <c r="CM12" s="349" t="e">
        <f>#N/A</f>
        <v>#N/A</v>
      </c>
      <c r="CN12" s="349" t="e">
        <f>#N/A</f>
        <v>#N/A</v>
      </c>
      <c r="CO12" s="349" t="e">
        <f>#N/A</f>
        <v>#N/A</v>
      </c>
      <c r="CP12" s="349" t="e">
        <f t="shared" si="10"/>
        <v>#N/A</v>
      </c>
      <c r="CQ12" s="14" t="e">
        <f t="shared" si="11"/>
        <v>#N/A</v>
      </c>
      <c r="CW12" s="1">
        <f t="shared" si="12"/>
        <v>0</v>
      </c>
      <c r="CX12" s="1">
        <f t="shared" si="13"/>
        <v>0</v>
      </c>
      <c r="CY12" s="2">
        <f t="shared" si="14"/>
        <v>0</v>
      </c>
    </row>
    <row r="13" spans="1:108" s="1" customFormat="1" ht="29.4" customHeight="1">
      <c r="A13" s="46">
        <v>7</v>
      </c>
      <c r="B13" s="46">
        <v>1</v>
      </c>
      <c r="C13" s="46">
        <v>7</v>
      </c>
      <c r="D13" s="48"/>
      <c r="E13" s="48"/>
      <c r="F13" s="46"/>
      <c r="G13" s="310">
        <v>0</v>
      </c>
      <c r="H13" s="310" t="s">
        <v>1991</v>
      </c>
      <c r="I13" s="310" t="s">
        <v>1991</v>
      </c>
      <c r="J13" s="310"/>
      <c r="K13" s="310" t="s">
        <v>1991</v>
      </c>
      <c r="L13" s="310">
        <v>0</v>
      </c>
      <c r="M13" s="310" t="s">
        <v>1991</v>
      </c>
      <c r="N13" s="310" t="s">
        <v>1991</v>
      </c>
      <c r="O13" s="310" t="s">
        <v>1991</v>
      </c>
      <c r="P13" s="310" t="s">
        <v>1991</v>
      </c>
      <c r="Q13" s="310" t="s">
        <v>1991</v>
      </c>
      <c r="R13" s="310" t="s">
        <v>1991</v>
      </c>
      <c r="S13" s="310" t="s">
        <v>1991</v>
      </c>
      <c r="T13" s="505" t="s">
        <v>1991</v>
      </c>
      <c r="U13" s="310" t="s">
        <v>1991</v>
      </c>
      <c r="V13" s="32" t="s">
        <v>1991</v>
      </c>
      <c r="W13" s="506" t="s">
        <v>1991</v>
      </c>
      <c r="X13" s="506" t="s">
        <v>1991</v>
      </c>
      <c r="Y13" s="506" t="s">
        <v>1991</v>
      </c>
      <c r="Z13" s="32" t="s">
        <v>1991</v>
      </c>
      <c r="AA13" s="32" t="s">
        <v>1991</v>
      </c>
      <c r="AB13" s="32" t="s">
        <v>1991</v>
      </c>
      <c r="AC13" s="32" t="s">
        <v>1991</v>
      </c>
      <c r="AD13" s="32">
        <v>0</v>
      </c>
      <c r="AE13" s="506" t="s">
        <v>1991</v>
      </c>
      <c r="AF13" s="506" t="s">
        <v>1991</v>
      </c>
      <c r="AG13" s="32" t="s">
        <v>1991</v>
      </c>
      <c r="AH13" s="32">
        <v>0</v>
      </c>
      <c r="AI13" s="32" t="s">
        <v>1991</v>
      </c>
      <c r="AJ13" s="32" t="s">
        <v>1991</v>
      </c>
      <c r="AK13" s="506" t="s">
        <v>1991</v>
      </c>
      <c r="AL13" s="327"/>
      <c r="AM13" s="327"/>
      <c r="AN13" s="327"/>
      <c r="AO13" s="327"/>
      <c r="AP13" s="327" t="s">
        <v>1991</v>
      </c>
      <c r="AQ13" s="327"/>
      <c r="AR13" s="327"/>
      <c r="AS13" s="327"/>
      <c r="AT13" s="327"/>
      <c r="AU13" s="327"/>
      <c r="AV13" s="327"/>
      <c r="AW13" s="327"/>
      <c r="AX13" s="327"/>
      <c r="AY13" s="327"/>
      <c r="AZ13" s="327"/>
      <c r="BA13" s="327"/>
      <c r="BB13" s="46">
        <f t="shared" si="1"/>
        <v>12</v>
      </c>
      <c r="BC13" s="46">
        <f t="shared" si="2"/>
        <v>14</v>
      </c>
      <c r="BD13" s="46">
        <f t="shared" si="15"/>
        <v>1</v>
      </c>
      <c r="BE13" s="46">
        <f t="shared" si="3"/>
        <v>0</v>
      </c>
      <c r="BF13" s="296">
        <f t="shared" si="4"/>
        <v>26</v>
      </c>
      <c r="BG13" s="2"/>
      <c r="BH13" s="2"/>
      <c r="BI13" s="2"/>
      <c r="BJ13" s="2"/>
      <c r="BK13" s="279">
        <f t="shared" si="5"/>
        <v>1</v>
      </c>
      <c r="BL13" s="279">
        <f t="shared" si="6"/>
        <v>26</v>
      </c>
      <c r="BM13" s="279"/>
      <c r="BN13" s="279"/>
      <c r="BO13" s="2">
        <f t="shared" si="16"/>
        <v>26</v>
      </c>
      <c r="BP13" s="430"/>
      <c r="BQ13" s="431"/>
      <c r="BR13" s="2"/>
      <c r="BS13" s="25"/>
      <c r="BT13" s="348">
        <f t="shared" si="17"/>
        <v>1</v>
      </c>
      <c r="BU13" s="2"/>
      <c r="BV13" s="282">
        <f t="shared" si="7"/>
        <v>0</v>
      </c>
      <c r="BW13" s="279"/>
      <c r="BX13" s="269">
        <f t="shared" si="8"/>
        <v>0</v>
      </c>
      <c r="BY13" s="349" t="e">
        <f>#N/A</f>
        <v>#N/A</v>
      </c>
      <c r="BZ13" s="349" t="e">
        <f>#N/A</f>
        <v>#N/A</v>
      </c>
      <c r="CA13" s="349" t="e">
        <f>#N/A</f>
        <v>#N/A</v>
      </c>
      <c r="CB13" s="351" t="e">
        <f>#N/A</f>
        <v>#N/A</v>
      </c>
      <c r="CC13" s="349" t="e">
        <f t="shared" si="9"/>
        <v>#N/A</v>
      </c>
      <c r="CD13" s="14" t="e">
        <f t="shared" si="18"/>
        <v>#N/A</v>
      </c>
      <c r="CE13" s="14">
        <f t="shared" si="19"/>
        <v>26</v>
      </c>
      <c r="CF13" s="25">
        <f t="shared" si="20"/>
        <v>1</v>
      </c>
      <c r="CG13" s="270"/>
      <c r="CH13" s="2" t="s">
        <v>21</v>
      </c>
      <c r="CI13" s="1" t="e">
        <f t="shared" si="21"/>
        <v>#REF!</v>
      </c>
      <c r="CL13" s="349" t="e">
        <f>#N/A</f>
        <v>#N/A</v>
      </c>
      <c r="CM13" s="349" t="e">
        <f>#N/A</f>
        <v>#N/A</v>
      </c>
      <c r="CN13" s="349" t="e">
        <f>#N/A</f>
        <v>#N/A</v>
      </c>
      <c r="CO13" s="349" t="e">
        <f>#N/A</f>
        <v>#N/A</v>
      </c>
      <c r="CP13" s="349" t="e">
        <f t="shared" si="10"/>
        <v>#N/A</v>
      </c>
      <c r="CQ13" s="14" t="e">
        <f t="shared" si="11"/>
        <v>#N/A</v>
      </c>
      <c r="CW13" s="1">
        <f t="shared" si="12"/>
        <v>0</v>
      </c>
      <c r="CX13" s="1">
        <f t="shared" si="13"/>
        <v>0</v>
      </c>
      <c r="CY13" s="2">
        <f t="shared" si="14"/>
        <v>0</v>
      </c>
    </row>
    <row r="14" spans="1:108" s="1" customFormat="1" ht="29.4" customHeight="1">
      <c r="A14" s="46">
        <v>8</v>
      </c>
      <c r="B14" s="46">
        <v>1</v>
      </c>
      <c r="C14" s="46">
        <v>8</v>
      </c>
      <c r="D14" s="48"/>
      <c r="E14" s="48"/>
      <c r="F14" s="46"/>
      <c r="G14" s="310" t="s">
        <v>1991</v>
      </c>
      <c r="H14" s="310" t="s">
        <v>1991</v>
      </c>
      <c r="I14" s="310" t="s">
        <v>1991</v>
      </c>
      <c r="J14" s="310"/>
      <c r="K14" s="310" t="s">
        <v>1991</v>
      </c>
      <c r="L14" s="310" t="s">
        <v>1991</v>
      </c>
      <c r="M14" s="310" t="s">
        <v>1991</v>
      </c>
      <c r="N14" s="310" t="s">
        <v>1991</v>
      </c>
      <c r="O14" s="310" t="s">
        <v>1991</v>
      </c>
      <c r="P14" s="310" t="s">
        <v>1991</v>
      </c>
      <c r="Q14" s="310" t="s">
        <v>1991</v>
      </c>
      <c r="R14" s="310" t="s">
        <v>1991</v>
      </c>
      <c r="S14" s="310" t="s">
        <v>1991</v>
      </c>
      <c r="T14" s="505">
        <v>0</v>
      </c>
      <c r="U14" s="310" t="s">
        <v>1991</v>
      </c>
      <c r="V14" s="32" t="s">
        <v>1991</v>
      </c>
      <c r="W14" s="506" t="s">
        <v>1991</v>
      </c>
      <c r="X14" s="506">
        <v>0</v>
      </c>
      <c r="Y14" s="506" t="s">
        <v>1991</v>
      </c>
      <c r="Z14" s="32" t="s">
        <v>1991</v>
      </c>
      <c r="AA14" s="32" t="s">
        <v>1991</v>
      </c>
      <c r="AB14" s="32" t="s">
        <v>1991</v>
      </c>
      <c r="AC14" s="32" t="s">
        <v>1991</v>
      </c>
      <c r="AD14" s="32" t="s">
        <v>1991</v>
      </c>
      <c r="AE14" s="506" t="s">
        <v>1991</v>
      </c>
      <c r="AF14" s="506" t="s">
        <v>1991</v>
      </c>
      <c r="AG14" s="32" t="s">
        <v>1991</v>
      </c>
      <c r="AH14" s="32" t="s">
        <v>1991</v>
      </c>
      <c r="AI14" s="32" t="s">
        <v>1991</v>
      </c>
      <c r="AJ14" s="32" t="s">
        <v>1991</v>
      </c>
      <c r="AK14" s="506" t="s">
        <v>1991</v>
      </c>
      <c r="AL14" s="327"/>
      <c r="AM14" s="327"/>
      <c r="AN14" s="327"/>
      <c r="AO14" s="327"/>
      <c r="AP14" s="327" t="s">
        <v>1991</v>
      </c>
      <c r="AQ14" s="327"/>
      <c r="AR14" s="327"/>
      <c r="AS14" s="327"/>
      <c r="AT14" s="327"/>
      <c r="AU14" s="327"/>
      <c r="AV14" s="327"/>
      <c r="AW14" s="327"/>
      <c r="AX14" s="327"/>
      <c r="AY14" s="327"/>
      <c r="AZ14" s="327"/>
      <c r="BA14" s="327"/>
      <c r="BB14" s="46">
        <f t="shared" si="1"/>
        <v>13</v>
      </c>
      <c r="BC14" s="46">
        <f t="shared" si="2"/>
        <v>15</v>
      </c>
      <c r="BD14" s="46">
        <f t="shared" si="15"/>
        <v>1</v>
      </c>
      <c r="BE14" s="46">
        <f t="shared" si="3"/>
        <v>0</v>
      </c>
      <c r="BF14" s="296">
        <f t="shared" si="4"/>
        <v>28</v>
      </c>
      <c r="BG14" s="26"/>
      <c r="BH14" s="2"/>
      <c r="BI14" s="2"/>
      <c r="BJ14" s="2"/>
      <c r="BK14" s="279">
        <f t="shared" si="5"/>
        <v>1</v>
      </c>
      <c r="BL14" s="279">
        <f t="shared" si="6"/>
        <v>28</v>
      </c>
      <c r="BM14" s="279"/>
      <c r="BN14" s="279"/>
      <c r="BO14" s="2">
        <f t="shared" si="16"/>
        <v>28</v>
      </c>
      <c r="BP14" s="430"/>
      <c r="BQ14" s="431"/>
      <c r="BR14" s="2"/>
      <c r="BS14" s="25"/>
      <c r="BT14" s="348">
        <f t="shared" si="17"/>
        <v>1</v>
      </c>
      <c r="BU14" s="2"/>
      <c r="BV14" s="282">
        <f t="shared" si="7"/>
        <v>0</v>
      </c>
      <c r="BW14" s="279"/>
      <c r="BX14" s="269">
        <f t="shared" si="8"/>
        <v>0</v>
      </c>
      <c r="BY14" s="349" t="e">
        <f>#N/A</f>
        <v>#N/A</v>
      </c>
      <c r="BZ14" s="349" t="e">
        <f>#N/A</f>
        <v>#N/A</v>
      </c>
      <c r="CA14" s="349" t="e">
        <f>#N/A</f>
        <v>#N/A</v>
      </c>
      <c r="CB14" s="351" t="e">
        <f>#N/A</f>
        <v>#N/A</v>
      </c>
      <c r="CC14" s="349" t="e">
        <f t="shared" si="9"/>
        <v>#N/A</v>
      </c>
      <c r="CD14" s="14" t="e">
        <f t="shared" si="18"/>
        <v>#N/A</v>
      </c>
      <c r="CE14" s="14">
        <f t="shared" si="19"/>
        <v>28</v>
      </c>
      <c r="CF14" s="25">
        <f t="shared" si="20"/>
        <v>1</v>
      </c>
      <c r="CG14" s="270"/>
      <c r="CH14" s="2" t="s">
        <v>41</v>
      </c>
      <c r="CI14" s="1" t="e">
        <f t="shared" si="21"/>
        <v>#REF!</v>
      </c>
      <c r="CL14" s="349" t="e">
        <f>#N/A</f>
        <v>#N/A</v>
      </c>
      <c r="CM14" s="349" t="e">
        <f>#N/A</f>
        <v>#N/A</v>
      </c>
      <c r="CN14" s="349" t="e">
        <f>#N/A</f>
        <v>#N/A</v>
      </c>
      <c r="CO14" s="349" t="e">
        <f>#N/A</f>
        <v>#N/A</v>
      </c>
      <c r="CP14" s="349" t="e">
        <f t="shared" si="10"/>
        <v>#N/A</v>
      </c>
      <c r="CQ14" s="14" t="e">
        <f t="shared" si="11"/>
        <v>#N/A</v>
      </c>
      <c r="CW14" s="1">
        <f t="shared" si="12"/>
        <v>0</v>
      </c>
      <c r="CX14" s="1">
        <f t="shared" si="13"/>
        <v>0</v>
      </c>
      <c r="CY14" s="2">
        <f t="shared" si="14"/>
        <v>0</v>
      </c>
    </row>
    <row r="15" spans="1:108" s="1" customFormat="1" ht="29.4" customHeight="1">
      <c r="A15" s="46">
        <v>9</v>
      </c>
      <c r="B15" s="46">
        <v>1</v>
      </c>
      <c r="C15" s="46">
        <v>9</v>
      </c>
      <c r="D15" s="48"/>
      <c r="E15" s="48"/>
      <c r="F15" s="46"/>
      <c r="G15" s="310" t="s">
        <v>1991</v>
      </c>
      <c r="H15" s="310" t="s">
        <v>1991</v>
      </c>
      <c r="I15" s="310" t="s">
        <v>1991</v>
      </c>
      <c r="J15" s="310"/>
      <c r="K15" s="310" t="s">
        <v>1991</v>
      </c>
      <c r="L15" s="310" t="s">
        <v>1991</v>
      </c>
      <c r="M15" s="310" t="s">
        <v>1991</v>
      </c>
      <c r="N15" s="310">
        <v>0</v>
      </c>
      <c r="O15" s="310" t="s">
        <v>1991</v>
      </c>
      <c r="P15" s="310" t="s">
        <v>1991</v>
      </c>
      <c r="Q15" s="310">
        <v>0</v>
      </c>
      <c r="R15" s="310" t="s">
        <v>1991</v>
      </c>
      <c r="S15" s="310" t="s">
        <v>1991</v>
      </c>
      <c r="T15" s="505" t="s">
        <v>1991</v>
      </c>
      <c r="U15" s="310" t="s">
        <v>1991</v>
      </c>
      <c r="V15" s="32" t="s">
        <v>1991</v>
      </c>
      <c r="W15" s="506">
        <v>0</v>
      </c>
      <c r="X15" s="506" t="s">
        <v>1991</v>
      </c>
      <c r="Y15" s="506" t="s">
        <v>1991</v>
      </c>
      <c r="Z15" s="32" t="s">
        <v>1991</v>
      </c>
      <c r="AA15" s="32" t="s">
        <v>1991</v>
      </c>
      <c r="AB15" s="32">
        <v>0</v>
      </c>
      <c r="AC15" s="32" t="s">
        <v>1991</v>
      </c>
      <c r="AD15" s="32" t="s">
        <v>1991</v>
      </c>
      <c r="AE15" s="506" t="s">
        <v>1991</v>
      </c>
      <c r="AF15" s="506" t="s">
        <v>1991</v>
      </c>
      <c r="AG15" s="32" t="s">
        <v>1991</v>
      </c>
      <c r="AH15" s="32" t="s">
        <v>1991</v>
      </c>
      <c r="AI15" s="32" t="s">
        <v>1991</v>
      </c>
      <c r="AJ15" s="32">
        <v>0</v>
      </c>
      <c r="AK15" s="506" t="s">
        <v>1991</v>
      </c>
      <c r="AL15" s="327"/>
      <c r="AM15" s="327"/>
      <c r="AN15" s="327"/>
      <c r="AO15" s="327"/>
      <c r="AP15" s="327" t="s">
        <v>1991</v>
      </c>
      <c r="AQ15" s="327"/>
      <c r="AR15" s="327"/>
      <c r="AS15" s="327"/>
      <c r="AT15" s="327"/>
      <c r="AU15" s="327"/>
      <c r="AV15" s="327"/>
      <c r="AW15" s="327"/>
      <c r="AX15" s="327"/>
      <c r="AY15" s="327"/>
      <c r="AZ15" s="327"/>
      <c r="BA15" s="327"/>
      <c r="BB15" s="46">
        <f t="shared" si="1"/>
        <v>12</v>
      </c>
      <c r="BC15" s="46">
        <f t="shared" si="2"/>
        <v>13</v>
      </c>
      <c r="BD15" s="46">
        <f t="shared" si="15"/>
        <v>1</v>
      </c>
      <c r="BE15" s="46">
        <f t="shared" si="3"/>
        <v>0</v>
      </c>
      <c r="BF15" s="296">
        <f t="shared" si="4"/>
        <v>25</v>
      </c>
      <c r="BG15" s="2"/>
      <c r="BH15" s="2"/>
      <c r="BI15" s="2"/>
      <c r="BJ15" s="2"/>
      <c r="BK15" s="279">
        <f t="shared" si="5"/>
        <v>0</v>
      </c>
      <c r="BL15" s="279">
        <f t="shared" si="6"/>
        <v>25</v>
      </c>
      <c r="BM15" s="279"/>
      <c r="BN15" s="279"/>
      <c r="BO15" s="2">
        <f t="shared" si="16"/>
        <v>0</v>
      </c>
      <c r="BP15" s="430"/>
      <c r="BQ15" s="431"/>
      <c r="BR15" s="2"/>
      <c r="BS15" s="25"/>
      <c r="BT15" s="348">
        <f t="shared" si="17"/>
        <v>0</v>
      </c>
      <c r="BU15" s="2"/>
      <c r="BV15" s="282">
        <f t="shared" si="7"/>
        <v>0</v>
      </c>
      <c r="BW15" s="279"/>
      <c r="BX15" s="269">
        <f t="shared" si="8"/>
        <v>0</v>
      </c>
      <c r="BY15" s="349" t="e">
        <f>#N/A</f>
        <v>#N/A</v>
      </c>
      <c r="BZ15" s="349" t="e">
        <f>#N/A</f>
        <v>#N/A</v>
      </c>
      <c r="CA15" s="349" t="e">
        <f>#N/A</f>
        <v>#N/A</v>
      </c>
      <c r="CB15" s="351" t="e">
        <f>#N/A</f>
        <v>#N/A</v>
      </c>
      <c r="CC15" s="349" t="e">
        <f t="shared" si="9"/>
        <v>#N/A</v>
      </c>
      <c r="CD15" s="14" t="e">
        <f t="shared" si="18"/>
        <v>#N/A</v>
      </c>
      <c r="CE15" s="14">
        <f t="shared" si="19"/>
        <v>0</v>
      </c>
      <c r="CF15" s="25">
        <f t="shared" si="20"/>
        <v>0</v>
      </c>
      <c r="CG15" s="270"/>
      <c r="CH15" s="2" t="s">
        <v>48</v>
      </c>
      <c r="CI15" s="1" t="e">
        <f t="shared" si="21"/>
        <v>#REF!</v>
      </c>
      <c r="CJ15" s="1" t="e">
        <f>SUM(CI15:CI16)</f>
        <v>#REF!</v>
      </c>
      <c r="CK15" s="354"/>
      <c r="CL15" s="349" t="e">
        <f>#N/A</f>
        <v>#N/A</v>
      </c>
      <c r="CM15" s="349" t="e">
        <f>#N/A</f>
        <v>#N/A</v>
      </c>
      <c r="CN15" s="349" t="e">
        <f>#N/A</f>
        <v>#N/A</v>
      </c>
      <c r="CO15" s="349" t="e">
        <f>#N/A</f>
        <v>#N/A</v>
      </c>
      <c r="CP15" s="349" t="e">
        <f t="shared" si="10"/>
        <v>#N/A</v>
      </c>
      <c r="CQ15" s="14" t="e">
        <f t="shared" si="11"/>
        <v>#N/A</v>
      </c>
      <c r="CW15" s="1">
        <f t="shared" si="12"/>
        <v>0</v>
      </c>
      <c r="CX15" s="1">
        <f t="shared" si="13"/>
        <v>0</v>
      </c>
      <c r="CY15" s="2">
        <f t="shared" si="14"/>
        <v>0</v>
      </c>
    </row>
    <row r="16" spans="1:108" s="1" customFormat="1" ht="29.4" customHeight="1">
      <c r="A16" s="46">
        <v>10</v>
      </c>
      <c r="B16" s="46">
        <v>1</v>
      </c>
      <c r="C16" s="46">
        <v>10</v>
      </c>
      <c r="D16" s="48"/>
      <c r="E16" s="48"/>
      <c r="F16" s="46"/>
      <c r="G16" s="310" t="s">
        <v>1991</v>
      </c>
      <c r="H16" s="310" t="s">
        <v>1991</v>
      </c>
      <c r="I16" s="310" t="s">
        <v>1991</v>
      </c>
      <c r="J16" s="310"/>
      <c r="K16" s="310">
        <v>0</v>
      </c>
      <c r="L16" s="310" t="s">
        <v>1991</v>
      </c>
      <c r="M16" s="310" t="s">
        <v>1991</v>
      </c>
      <c r="N16" s="310" t="s">
        <v>1991</v>
      </c>
      <c r="O16" s="310" t="s">
        <v>1991</v>
      </c>
      <c r="P16" s="310" t="s">
        <v>1991</v>
      </c>
      <c r="Q16" s="310" t="s">
        <v>1991</v>
      </c>
      <c r="R16" s="310" t="s">
        <v>1991</v>
      </c>
      <c r="S16" s="310" t="s">
        <v>1991</v>
      </c>
      <c r="T16" s="505" t="s">
        <v>1991</v>
      </c>
      <c r="U16" s="310" t="s">
        <v>1991</v>
      </c>
      <c r="V16" s="32">
        <v>0</v>
      </c>
      <c r="W16" s="506" t="s">
        <v>1991</v>
      </c>
      <c r="X16" s="506" t="s">
        <v>1991</v>
      </c>
      <c r="Y16" s="506" t="s">
        <v>1991</v>
      </c>
      <c r="Z16" s="32" t="s">
        <v>1991</v>
      </c>
      <c r="AA16" s="32" t="s">
        <v>1991</v>
      </c>
      <c r="AB16" s="32" t="s">
        <v>1991</v>
      </c>
      <c r="AC16" s="32" t="s">
        <v>1991</v>
      </c>
      <c r="AD16" s="32" t="s">
        <v>1991</v>
      </c>
      <c r="AE16" s="506" t="s">
        <v>1991</v>
      </c>
      <c r="AF16" s="506" t="s">
        <v>1991</v>
      </c>
      <c r="AG16" s="32" t="s">
        <v>1991</v>
      </c>
      <c r="AH16" s="32">
        <v>0</v>
      </c>
      <c r="AI16" s="32" t="s">
        <v>1991</v>
      </c>
      <c r="AJ16" s="32" t="s">
        <v>1991</v>
      </c>
      <c r="AK16" s="506" t="s">
        <v>1991</v>
      </c>
      <c r="AL16" s="327"/>
      <c r="AM16" s="327"/>
      <c r="AN16" s="327"/>
      <c r="AO16" s="327"/>
      <c r="AP16" s="327" t="s">
        <v>1991</v>
      </c>
      <c r="AQ16" s="327"/>
      <c r="AR16" s="327"/>
      <c r="AS16" s="327"/>
      <c r="AT16" s="327"/>
      <c r="AU16" s="327"/>
      <c r="AV16" s="327"/>
      <c r="AW16" s="327"/>
      <c r="AX16" s="327"/>
      <c r="AY16" s="327"/>
      <c r="AZ16" s="327"/>
      <c r="BA16" s="327"/>
      <c r="BB16" s="46">
        <f t="shared" si="1"/>
        <v>13</v>
      </c>
      <c r="BC16" s="46">
        <f t="shared" si="2"/>
        <v>14</v>
      </c>
      <c r="BD16" s="46">
        <f t="shared" si="15"/>
        <v>1</v>
      </c>
      <c r="BE16" s="46">
        <f t="shared" si="3"/>
        <v>0</v>
      </c>
      <c r="BF16" s="296">
        <f t="shared" si="4"/>
        <v>27</v>
      </c>
      <c r="BG16" s="2"/>
      <c r="BH16" s="2"/>
      <c r="BI16" s="2"/>
      <c r="BJ16" s="2"/>
      <c r="BK16" s="279">
        <f t="shared" si="5"/>
        <v>1</v>
      </c>
      <c r="BL16" s="279">
        <f t="shared" si="6"/>
        <v>27</v>
      </c>
      <c r="BM16" s="279"/>
      <c r="BN16" s="279"/>
      <c r="BO16" s="2">
        <f t="shared" si="16"/>
        <v>27</v>
      </c>
      <c r="BP16" s="430"/>
      <c r="BQ16" s="431"/>
      <c r="BR16" s="2"/>
      <c r="BS16" s="25"/>
      <c r="BT16" s="348">
        <f t="shared" si="17"/>
        <v>1</v>
      </c>
      <c r="BU16" s="2"/>
      <c r="BV16" s="282">
        <f t="shared" si="7"/>
        <v>0</v>
      </c>
      <c r="BW16" s="279"/>
      <c r="BX16" s="269">
        <f t="shared" si="8"/>
        <v>0</v>
      </c>
      <c r="BY16" s="349" t="e">
        <f>#N/A</f>
        <v>#N/A</v>
      </c>
      <c r="BZ16" s="349" t="e">
        <f>#N/A</f>
        <v>#N/A</v>
      </c>
      <c r="CA16" s="349" t="e">
        <f>#N/A</f>
        <v>#N/A</v>
      </c>
      <c r="CB16" s="351" t="e">
        <f>#N/A</f>
        <v>#N/A</v>
      </c>
      <c r="CC16" s="349" t="e">
        <f t="shared" si="9"/>
        <v>#N/A</v>
      </c>
      <c r="CD16" s="14" t="e">
        <f t="shared" si="18"/>
        <v>#N/A</v>
      </c>
      <c r="CE16" s="14">
        <f t="shared" si="19"/>
        <v>27</v>
      </c>
      <c r="CF16" s="25">
        <f t="shared" si="20"/>
        <v>1</v>
      </c>
      <c r="CG16" s="270"/>
      <c r="CH16" s="2" t="s">
        <v>49</v>
      </c>
      <c r="CI16" s="1" t="e">
        <f t="shared" si="21"/>
        <v>#REF!</v>
      </c>
      <c r="CL16" s="349" t="e">
        <f>#N/A</f>
        <v>#N/A</v>
      </c>
      <c r="CM16" s="349" t="e">
        <f>#N/A</f>
        <v>#N/A</v>
      </c>
      <c r="CN16" s="349" t="e">
        <f>#N/A</f>
        <v>#N/A</v>
      </c>
      <c r="CO16" s="349" t="e">
        <f>#N/A</f>
        <v>#N/A</v>
      </c>
      <c r="CP16" s="349" t="e">
        <f t="shared" si="10"/>
        <v>#N/A</v>
      </c>
      <c r="CQ16" s="14" t="e">
        <f t="shared" si="11"/>
        <v>#N/A</v>
      </c>
      <c r="CW16" s="1">
        <f t="shared" si="12"/>
        <v>0</v>
      </c>
      <c r="CX16" s="1">
        <f t="shared" si="13"/>
        <v>0</v>
      </c>
      <c r="CY16" s="2">
        <f t="shared" si="14"/>
        <v>0</v>
      </c>
    </row>
    <row r="17" spans="1:103" s="1" customFormat="1" ht="29.4" customHeight="1">
      <c r="A17" s="46">
        <v>11</v>
      </c>
      <c r="B17" s="46">
        <v>1</v>
      </c>
      <c r="C17" s="46">
        <v>11</v>
      </c>
      <c r="D17" s="48"/>
      <c r="E17" s="48"/>
      <c r="F17" s="46"/>
      <c r="G17" s="310" t="s">
        <v>1991</v>
      </c>
      <c r="H17" s="310" t="s">
        <v>1991</v>
      </c>
      <c r="I17" s="310">
        <v>0</v>
      </c>
      <c r="J17" s="310"/>
      <c r="K17" s="310">
        <v>0</v>
      </c>
      <c r="L17" s="310" t="s">
        <v>1991</v>
      </c>
      <c r="M17" s="310" t="s">
        <v>1991</v>
      </c>
      <c r="N17" s="310" t="s">
        <v>1991</v>
      </c>
      <c r="O17" s="310" t="s">
        <v>1991</v>
      </c>
      <c r="P17" s="310" t="s">
        <v>1991</v>
      </c>
      <c r="Q17" s="310" t="s">
        <v>1991</v>
      </c>
      <c r="R17" s="310" t="s">
        <v>1991</v>
      </c>
      <c r="S17" s="310" t="s">
        <v>1991</v>
      </c>
      <c r="T17" s="505" t="s">
        <v>1991</v>
      </c>
      <c r="U17" s="310" t="s">
        <v>1991</v>
      </c>
      <c r="V17" s="32" t="s">
        <v>1991</v>
      </c>
      <c r="W17" s="506" t="s">
        <v>1991</v>
      </c>
      <c r="X17" s="506" t="s">
        <v>1991</v>
      </c>
      <c r="Y17" s="506" t="s">
        <v>1991</v>
      </c>
      <c r="Z17" s="32" t="s">
        <v>1991</v>
      </c>
      <c r="AA17" s="32" t="s">
        <v>1991</v>
      </c>
      <c r="AB17" s="32" t="s">
        <v>1991</v>
      </c>
      <c r="AC17" s="32">
        <v>0</v>
      </c>
      <c r="AD17" s="32" t="s">
        <v>1991</v>
      </c>
      <c r="AE17" s="506" t="s">
        <v>1991</v>
      </c>
      <c r="AF17" s="506" t="s">
        <v>1991</v>
      </c>
      <c r="AG17" s="32" t="s">
        <v>1991</v>
      </c>
      <c r="AH17" s="32" t="s">
        <v>1991</v>
      </c>
      <c r="AI17" s="32" t="s">
        <v>1991</v>
      </c>
      <c r="AJ17" s="32" t="s">
        <v>1991</v>
      </c>
      <c r="AK17" s="506" t="s">
        <v>1991</v>
      </c>
      <c r="AL17" s="327"/>
      <c r="AM17" s="327"/>
      <c r="AN17" s="327"/>
      <c r="AO17" s="327"/>
      <c r="AP17" s="327" t="s">
        <v>1991</v>
      </c>
      <c r="AQ17" s="327"/>
      <c r="AR17" s="327"/>
      <c r="AS17" s="327"/>
      <c r="AT17" s="327"/>
      <c r="AU17" s="327"/>
      <c r="AV17" s="327"/>
      <c r="AW17" s="327"/>
      <c r="AX17" s="327"/>
      <c r="AY17" s="327"/>
      <c r="AZ17" s="327"/>
      <c r="BA17" s="327"/>
      <c r="BB17" s="46">
        <f t="shared" si="1"/>
        <v>12</v>
      </c>
      <c r="BC17" s="46">
        <f t="shared" si="2"/>
        <v>15</v>
      </c>
      <c r="BD17" s="46">
        <f t="shared" si="15"/>
        <v>1</v>
      </c>
      <c r="BE17" s="46">
        <f t="shared" si="3"/>
        <v>0</v>
      </c>
      <c r="BF17" s="296">
        <f t="shared" si="4"/>
        <v>27</v>
      </c>
      <c r="BG17" s="2"/>
      <c r="BH17" s="2"/>
      <c r="BI17" s="2"/>
      <c r="BJ17" s="2"/>
      <c r="BK17" s="279">
        <f t="shared" si="5"/>
        <v>1</v>
      </c>
      <c r="BL17" s="279">
        <f t="shared" si="6"/>
        <v>27</v>
      </c>
      <c r="BM17" s="279"/>
      <c r="BN17" s="279"/>
      <c r="BO17" s="2">
        <f t="shared" si="16"/>
        <v>27</v>
      </c>
      <c r="BP17" s="430"/>
      <c r="BQ17" s="431"/>
      <c r="BR17" s="2"/>
      <c r="BS17" s="25"/>
      <c r="BT17" s="348">
        <f t="shared" si="17"/>
        <v>1</v>
      </c>
      <c r="BU17" s="2"/>
      <c r="BV17" s="282">
        <f t="shared" si="7"/>
        <v>0</v>
      </c>
      <c r="BW17" s="279"/>
      <c r="BX17" s="269">
        <f t="shared" si="8"/>
        <v>0</v>
      </c>
      <c r="BY17" s="349" t="e">
        <f>#N/A</f>
        <v>#N/A</v>
      </c>
      <c r="BZ17" s="349" t="e">
        <f>#N/A</f>
        <v>#N/A</v>
      </c>
      <c r="CA17" s="349" t="e">
        <f>#N/A</f>
        <v>#N/A</v>
      </c>
      <c r="CB17" s="351" t="e">
        <f>#N/A</f>
        <v>#N/A</v>
      </c>
      <c r="CC17" s="349" t="e">
        <f t="shared" si="9"/>
        <v>#N/A</v>
      </c>
      <c r="CD17" s="14" t="e">
        <f t="shared" si="18"/>
        <v>#N/A</v>
      </c>
      <c r="CE17" s="14">
        <f t="shared" si="19"/>
        <v>27</v>
      </c>
      <c r="CF17" s="25">
        <f t="shared" si="20"/>
        <v>1</v>
      </c>
      <c r="CG17" s="270"/>
      <c r="CH17" s="2" t="s">
        <v>50</v>
      </c>
      <c r="CI17" s="1">
        <f t="shared" si="21"/>
        <v>60000</v>
      </c>
      <c r="CJ17" s="1" t="e">
        <f>SUM(CI13:CI14,CI17)</f>
        <v>#REF!</v>
      </c>
      <c r="CK17" s="354"/>
      <c r="CL17" s="349" t="e">
        <f>#N/A</f>
        <v>#N/A</v>
      </c>
      <c r="CM17" s="349" t="e">
        <f>#N/A</f>
        <v>#N/A</v>
      </c>
      <c r="CN17" s="349" t="e">
        <f>#N/A</f>
        <v>#N/A</v>
      </c>
      <c r="CO17" s="349" t="e">
        <f>#N/A</f>
        <v>#N/A</v>
      </c>
      <c r="CP17" s="349" t="e">
        <f t="shared" si="10"/>
        <v>#N/A</v>
      </c>
      <c r="CQ17" s="14" t="e">
        <f t="shared" si="11"/>
        <v>#N/A</v>
      </c>
      <c r="CW17" s="1">
        <f t="shared" si="12"/>
        <v>0</v>
      </c>
      <c r="CX17" s="1">
        <f t="shared" si="13"/>
        <v>0</v>
      </c>
      <c r="CY17" s="2">
        <f t="shared" si="14"/>
        <v>0</v>
      </c>
    </row>
    <row r="18" spans="1:103" s="1" customFormat="1" ht="29.4" customHeight="1">
      <c r="A18" s="46">
        <v>12</v>
      </c>
      <c r="B18" s="46">
        <v>1</v>
      </c>
      <c r="C18" s="46">
        <v>12</v>
      </c>
      <c r="D18" s="48"/>
      <c r="E18" s="48"/>
      <c r="F18" s="46"/>
      <c r="G18" s="310" t="s">
        <v>1991</v>
      </c>
      <c r="H18" s="310" t="s">
        <v>1991</v>
      </c>
      <c r="I18" s="310" t="s">
        <v>1991</v>
      </c>
      <c r="J18" s="310"/>
      <c r="K18" s="310" t="s">
        <v>1991</v>
      </c>
      <c r="L18" s="310" t="s">
        <v>1991</v>
      </c>
      <c r="M18" s="310">
        <v>0</v>
      </c>
      <c r="N18" s="310" t="s">
        <v>1991</v>
      </c>
      <c r="O18" s="310">
        <v>0</v>
      </c>
      <c r="P18" s="310" t="s">
        <v>1991</v>
      </c>
      <c r="Q18" s="310" t="s">
        <v>1991</v>
      </c>
      <c r="R18" s="310" t="s">
        <v>1991</v>
      </c>
      <c r="S18" s="310" t="s">
        <v>1991</v>
      </c>
      <c r="T18" s="505" t="s">
        <v>1991</v>
      </c>
      <c r="U18" s="310" t="s">
        <v>1991</v>
      </c>
      <c r="V18" s="32" t="s">
        <v>1991</v>
      </c>
      <c r="W18" s="506" t="s">
        <v>1991</v>
      </c>
      <c r="X18" s="506" t="s">
        <v>1991</v>
      </c>
      <c r="Y18" s="506" t="s">
        <v>1991</v>
      </c>
      <c r="Z18" s="32" t="s">
        <v>1991</v>
      </c>
      <c r="AA18" s="32" t="s">
        <v>1991</v>
      </c>
      <c r="AB18" s="32">
        <v>0</v>
      </c>
      <c r="AC18" s="32" t="s">
        <v>1991</v>
      </c>
      <c r="AD18" s="32" t="s">
        <v>1991</v>
      </c>
      <c r="AE18" s="506" t="s">
        <v>1991</v>
      </c>
      <c r="AF18" s="506" t="s">
        <v>1991</v>
      </c>
      <c r="AG18" s="32">
        <v>0</v>
      </c>
      <c r="AH18" s="32" t="s">
        <v>1991</v>
      </c>
      <c r="AI18" s="32" t="s">
        <v>1991</v>
      </c>
      <c r="AJ18" s="32">
        <v>0</v>
      </c>
      <c r="AK18" s="506" t="s">
        <v>1991</v>
      </c>
      <c r="AL18" s="327"/>
      <c r="AM18" s="327"/>
      <c r="AN18" s="327"/>
      <c r="AO18" s="327"/>
      <c r="AP18" s="327" t="s">
        <v>1991</v>
      </c>
      <c r="AQ18" s="327"/>
      <c r="AR18" s="327"/>
      <c r="AS18" s="327"/>
      <c r="AT18" s="327"/>
      <c r="AU18" s="327"/>
      <c r="AV18" s="327"/>
      <c r="AW18" s="327"/>
      <c r="AX18" s="327"/>
      <c r="AY18" s="327"/>
      <c r="AZ18" s="327"/>
      <c r="BA18" s="327"/>
      <c r="BB18" s="46">
        <f t="shared" si="1"/>
        <v>12</v>
      </c>
      <c r="BC18" s="46">
        <f t="shared" si="2"/>
        <v>13</v>
      </c>
      <c r="BD18" s="46">
        <f t="shared" si="15"/>
        <v>1</v>
      </c>
      <c r="BE18" s="46">
        <f t="shared" si="3"/>
        <v>0</v>
      </c>
      <c r="BF18" s="296">
        <f t="shared" si="4"/>
        <v>25</v>
      </c>
      <c r="BG18" s="2"/>
      <c r="BH18" s="2"/>
      <c r="BI18" s="2"/>
      <c r="BJ18" s="2"/>
      <c r="BK18" s="279">
        <f t="shared" si="5"/>
        <v>0</v>
      </c>
      <c r="BL18" s="279">
        <f t="shared" si="6"/>
        <v>25</v>
      </c>
      <c r="BM18" s="279"/>
      <c r="BN18" s="279"/>
      <c r="BO18" s="2">
        <f t="shared" si="16"/>
        <v>0</v>
      </c>
      <c r="BP18" s="430"/>
      <c r="BQ18" s="431"/>
      <c r="BR18" s="2"/>
      <c r="BS18" s="25"/>
      <c r="BT18" s="348">
        <f t="shared" si="17"/>
        <v>0</v>
      </c>
      <c r="BU18" s="2"/>
      <c r="BV18" s="282">
        <f t="shared" si="7"/>
        <v>0</v>
      </c>
      <c r="BW18" s="279"/>
      <c r="BX18" s="269">
        <f t="shared" si="8"/>
        <v>0</v>
      </c>
      <c r="BY18" s="349" t="e">
        <f>#N/A</f>
        <v>#N/A</v>
      </c>
      <c r="BZ18" s="349" t="e">
        <f>#N/A</f>
        <v>#N/A</v>
      </c>
      <c r="CA18" s="349" t="e">
        <f>#N/A</f>
        <v>#N/A</v>
      </c>
      <c r="CB18" s="351" t="e">
        <f>#N/A</f>
        <v>#N/A</v>
      </c>
      <c r="CC18" s="349" t="e">
        <f t="shared" si="9"/>
        <v>#N/A</v>
      </c>
      <c r="CD18" s="14" t="e">
        <f t="shared" si="18"/>
        <v>#N/A</v>
      </c>
      <c r="CE18" s="14">
        <f t="shared" si="19"/>
        <v>0</v>
      </c>
      <c r="CF18" s="25">
        <f t="shared" si="20"/>
        <v>0</v>
      </c>
      <c r="CG18" s="270">
        <v>42</v>
      </c>
      <c r="CH18" s="2" t="s">
        <v>52</v>
      </c>
      <c r="CI18" s="1" t="e">
        <f>IF(CK18&gt;=98,60000,IF(CK18&gt;95,40000,0))</f>
        <v>#REF!</v>
      </c>
      <c r="CJ18" s="1" t="e">
        <f>#REF!</f>
        <v>#REF!</v>
      </c>
      <c r="CK18" s="240" t="e">
        <f>ROUND((SUM(CJ18)/CG18/$CF$1)*100,1)</f>
        <v>#REF!</v>
      </c>
      <c r="CL18" s="349" t="e">
        <f>#N/A</f>
        <v>#N/A</v>
      </c>
      <c r="CM18" s="349" t="e">
        <f>#N/A</f>
        <v>#N/A</v>
      </c>
      <c r="CN18" s="349" t="e">
        <f>#N/A</f>
        <v>#N/A</v>
      </c>
      <c r="CO18" s="349" t="e">
        <f>#N/A</f>
        <v>#N/A</v>
      </c>
      <c r="CP18" s="349" t="e">
        <f t="shared" si="10"/>
        <v>#N/A</v>
      </c>
      <c r="CQ18" s="14" t="e">
        <f t="shared" si="11"/>
        <v>#N/A</v>
      </c>
      <c r="CW18" s="1">
        <f t="shared" si="12"/>
        <v>0</v>
      </c>
      <c r="CX18" s="1">
        <f t="shared" si="13"/>
        <v>0</v>
      </c>
      <c r="CY18" s="2">
        <f t="shared" si="14"/>
        <v>0</v>
      </c>
    </row>
    <row r="19" spans="1:103" s="1" customFormat="1" ht="29.4" customHeight="1">
      <c r="A19" s="46">
        <v>13</v>
      </c>
      <c r="B19" s="46">
        <v>1</v>
      </c>
      <c r="C19" s="313">
        <v>13</v>
      </c>
      <c r="D19" s="48"/>
      <c r="E19" s="48"/>
      <c r="F19" s="46"/>
      <c r="G19" s="310">
        <v>0</v>
      </c>
      <c r="H19" s="310" t="s">
        <v>1991</v>
      </c>
      <c r="I19" s="310" t="s">
        <v>1991</v>
      </c>
      <c r="J19" s="310"/>
      <c r="K19" s="310">
        <v>0</v>
      </c>
      <c r="L19" s="310" t="s">
        <v>1991</v>
      </c>
      <c r="M19" s="310">
        <v>0</v>
      </c>
      <c r="N19" s="310" t="s">
        <v>1991</v>
      </c>
      <c r="O19" s="310" t="s">
        <v>1991</v>
      </c>
      <c r="P19" s="310" t="s">
        <v>1991</v>
      </c>
      <c r="Q19" s="310" t="s">
        <v>1991</v>
      </c>
      <c r="R19" s="310" t="s">
        <v>1991</v>
      </c>
      <c r="S19" s="310" t="s">
        <v>1991</v>
      </c>
      <c r="T19" s="505" t="s">
        <v>1991</v>
      </c>
      <c r="U19" s="310" t="s">
        <v>1991</v>
      </c>
      <c r="V19" s="32" t="s">
        <v>1991</v>
      </c>
      <c r="W19" s="506" t="s">
        <v>1991</v>
      </c>
      <c r="X19" s="506" t="s">
        <v>1991</v>
      </c>
      <c r="Y19" s="506" t="s">
        <v>1991</v>
      </c>
      <c r="Z19" s="32" t="s">
        <v>1991</v>
      </c>
      <c r="AA19" s="32" t="s">
        <v>1991</v>
      </c>
      <c r="AB19" s="32" t="s">
        <v>1991</v>
      </c>
      <c r="AC19" s="32" t="s">
        <v>1991</v>
      </c>
      <c r="AD19" s="67" t="s">
        <v>1991</v>
      </c>
      <c r="AE19" s="67" t="s">
        <v>1991</v>
      </c>
      <c r="AF19" s="67">
        <v>0</v>
      </c>
      <c r="AG19" s="67" t="s">
        <v>1991</v>
      </c>
      <c r="AH19" s="67" t="s">
        <v>1991</v>
      </c>
      <c r="AI19" s="67" t="s">
        <v>1991</v>
      </c>
      <c r="AJ19" s="67" t="s">
        <v>1991</v>
      </c>
      <c r="AK19" s="506" t="s">
        <v>1991</v>
      </c>
      <c r="AL19" s="327"/>
      <c r="AM19" s="327"/>
      <c r="AN19" s="327"/>
      <c r="AO19" s="327"/>
      <c r="AP19" s="327" t="s">
        <v>1991</v>
      </c>
      <c r="AQ19" s="327"/>
      <c r="AR19" s="327"/>
      <c r="AS19" s="327"/>
      <c r="AT19" s="327"/>
      <c r="AU19" s="327"/>
      <c r="AV19" s="327"/>
      <c r="AW19" s="327"/>
      <c r="AX19" s="327"/>
      <c r="AY19" s="327"/>
      <c r="AZ19" s="327"/>
      <c r="BA19" s="327"/>
      <c r="BB19" s="46">
        <f t="shared" si="1"/>
        <v>11</v>
      </c>
      <c r="BC19" s="46">
        <f t="shared" si="2"/>
        <v>15</v>
      </c>
      <c r="BD19" s="46">
        <f t="shared" si="15"/>
        <v>1</v>
      </c>
      <c r="BE19" s="46">
        <f t="shared" si="3"/>
        <v>0</v>
      </c>
      <c r="BF19" s="296">
        <f t="shared" si="4"/>
        <v>26</v>
      </c>
      <c r="BG19" s="2"/>
      <c r="BH19" s="2"/>
      <c r="BI19" s="2"/>
      <c r="BJ19" s="2"/>
      <c r="BK19" s="279">
        <f t="shared" si="5"/>
        <v>1</v>
      </c>
      <c r="BL19" s="279">
        <f t="shared" si="6"/>
        <v>26</v>
      </c>
      <c r="BM19" s="279"/>
      <c r="BN19" s="279"/>
      <c r="BO19" s="2">
        <f t="shared" si="16"/>
        <v>26</v>
      </c>
      <c r="BP19" s="430"/>
      <c r="BQ19" s="431"/>
      <c r="BR19" s="2"/>
      <c r="BS19" s="25"/>
      <c r="BT19" s="348">
        <f t="shared" si="17"/>
        <v>1</v>
      </c>
      <c r="BU19" s="2"/>
      <c r="BV19" s="282">
        <f t="shared" si="7"/>
        <v>0</v>
      </c>
      <c r="BW19" s="279"/>
      <c r="BX19" s="269">
        <f t="shared" si="8"/>
        <v>0</v>
      </c>
      <c r="BY19" s="349" t="e">
        <f>#N/A</f>
        <v>#N/A</v>
      </c>
      <c r="BZ19" s="349" t="e">
        <f>#N/A</f>
        <v>#N/A</v>
      </c>
      <c r="CA19" s="349" t="e">
        <f>#N/A</f>
        <v>#N/A</v>
      </c>
      <c r="CB19" s="351" t="e">
        <f>#N/A</f>
        <v>#N/A</v>
      </c>
      <c r="CC19" s="349" t="e">
        <f t="shared" si="9"/>
        <v>#N/A</v>
      </c>
      <c r="CD19" s="14" t="e">
        <f t="shared" si="18"/>
        <v>#N/A</v>
      </c>
      <c r="CE19" s="14">
        <f t="shared" si="19"/>
        <v>26</v>
      </c>
      <c r="CF19" s="25">
        <f t="shared" si="20"/>
        <v>1</v>
      </c>
      <c r="CG19" s="270">
        <v>42</v>
      </c>
      <c r="CH19" s="2" t="s">
        <v>53</v>
      </c>
      <c r="CI19" s="1">
        <f>IF(CK19&gt;=98,60000,IF(CK19&gt;95,40000,0))</f>
        <v>60000</v>
      </c>
      <c r="CJ19" s="1">
        <f>BF399</f>
        <v>2394</v>
      </c>
      <c r="CK19" s="240">
        <f>ROUND((SUM(CJ19)/CG19/$CF$1)*100,1)</f>
        <v>183.9</v>
      </c>
      <c r="CL19" s="349" t="e">
        <f>#N/A</f>
        <v>#N/A</v>
      </c>
      <c r="CM19" s="349" t="e">
        <f>#N/A</f>
        <v>#N/A</v>
      </c>
      <c r="CN19" s="349" t="e">
        <f>#N/A</f>
        <v>#N/A</v>
      </c>
      <c r="CO19" s="349" t="e">
        <f>#N/A</f>
        <v>#N/A</v>
      </c>
      <c r="CP19" s="349" t="e">
        <f t="shared" si="10"/>
        <v>#N/A</v>
      </c>
      <c r="CQ19" s="14" t="e">
        <f t="shared" si="11"/>
        <v>#N/A</v>
      </c>
      <c r="CW19" s="1">
        <f t="shared" si="12"/>
        <v>0</v>
      </c>
      <c r="CX19" s="1">
        <f t="shared" si="13"/>
        <v>0</v>
      </c>
      <c r="CY19" s="2">
        <f t="shared" si="14"/>
        <v>0</v>
      </c>
    </row>
    <row r="20" spans="1:103" s="1" customFormat="1" ht="29.4" customHeight="1">
      <c r="A20" s="46">
        <v>14</v>
      </c>
      <c r="B20" s="46">
        <v>1</v>
      </c>
      <c r="C20" s="46">
        <v>14</v>
      </c>
      <c r="D20" s="48"/>
      <c r="E20" s="48"/>
      <c r="F20" s="46"/>
      <c r="G20" s="310">
        <v>0</v>
      </c>
      <c r="H20" s="310">
        <v>0</v>
      </c>
      <c r="I20" s="310" t="s">
        <v>1991</v>
      </c>
      <c r="J20" s="310"/>
      <c r="K20" s="310">
        <v>0</v>
      </c>
      <c r="L20" s="310">
        <v>0</v>
      </c>
      <c r="M20" s="310" t="s">
        <v>1991</v>
      </c>
      <c r="N20" s="310" t="s">
        <v>1991</v>
      </c>
      <c r="O20" s="310" t="s">
        <v>1991</v>
      </c>
      <c r="P20" s="310" t="s">
        <v>1991</v>
      </c>
      <c r="Q20" s="310" t="s">
        <v>1991</v>
      </c>
      <c r="R20" s="310" t="s">
        <v>1991</v>
      </c>
      <c r="S20" s="310" t="s">
        <v>1991</v>
      </c>
      <c r="T20" s="505" t="s">
        <v>1991</v>
      </c>
      <c r="U20" s="310" t="s">
        <v>1991</v>
      </c>
      <c r="V20" s="32" t="s">
        <v>1991</v>
      </c>
      <c r="W20" s="506" t="s">
        <v>1991</v>
      </c>
      <c r="X20" s="506" t="s">
        <v>1991</v>
      </c>
      <c r="Y20" s="506" t="s">
        <v>1991</v>
      </c>
      <c r="Z20" s="32" t="s">
        <v>1991</v>
      </c>
      <c r="AA20" s="32" t="s">
        <v>1991</v>
      </c>
      <c r="AB20" s="32" t="s">
        <v>1991</v>
      </c>
      <c r="AC20" s="32" t="s">
        <v>1991</v>
      </c>
      <c r="AD20" s="32" t="s">
        <v>1991</v>
      </c>
      <c r="AE20" s="506" t="s">
        <v>1991</v>
      </c>
      <c r="AF20" s="506" t="s">
        <v>1991</v>
      </c>
      <c r="AG20" s="32">
        <v>0</v>
      </c>
      <c r="AH20" s="32" t="s">
        <v>1991</v>
      </c>
      <c r="AI20" s="32" t="s">
        <v>1991</v>
      </c>
      <c r="AJ20" s="32" t="s">
        <v>1991</v>
      </c>
      <c r="AK20" s="506" t="s">
        <v>1991</v>
      </c>
      <c r="AL20" s="327"/>
      <c r="AM20" s="327"/>
      <c r="AN20" s="327"/>
      <c r="AO20" s="327"/>
      <c r="AP20" s="327" t="s">
        <v>1991</v>
      </c>
      <c r="AQ20" s="327"/>
      <c r="AR20" s="327"/>
      <c r="AS20" s="327"/>
      <c r="AT20" s="327"/>
      <c r="AU20" s="327"/>
      <c r="AV20" s="327"/>
      <c r="AW20" s="327"/>
      <c r="AX20" s="327"/>
      <c r="AY20" s="327"/>
      <c r="AZ20" s="327"/>
      <c r="BA20" s="327"/>
      <c r="BB20" s="46">
        <f t="shared" si="1"/>
        <v>10</v>
      </c>
      <c r="BC20" s="46">
        <f t="shared" si="2"/>
        <v>15</v>
      </c>
      <c r="BD20" s="46">
        <f t="shared" si="15"/>
        <v>1</v>
      </c>
      <c r="BE20" s="46">
        <f t="shared" si="3"/>
        <v>0</v>
      </c>
      <c r="BF20" s="296">
        <f t="shared" si="4"/>
        <v>25</v>
      </c>
      <c r="BG20" s="2"/>
      <c r="BH20" s="2"/>
      <c r="BI20" s="2"/>
      <c r="BJ20" s="2"/>
      <c r="BK20" s="279">
        <f t="shared" si="5"/>
        <v>0</v>
      </c>
      <c r="BL20" s="279">
        <f t="shared" si="6"/>
        <v>25</v>
      </c>
      <c r="BM20" s="279"/>
      <c r="BN20" s="279"/>
      <c r="BO20" s="2">
        <f t="shared" si="16"/>
        <v>0</v>
      </c>
      <c r="BP20" s="430"/>
      <c r="BQ20" s="431"/>
      <c r="BR20" s="2"/>
      <c r="BS20" s="25"/>
      <c r="BT20" s="348">
        <f t="shared" si="17"/>
        <v>0</v>
      </c>
      <c r="BU20" s="2"/>
      <c r="BV20" s="282">
        <f t="shared" si="7"/>
        <v>0</v>
      </c>
      <c r="BW20" s="279"/>
      <c r="BX20" s="269">
        <f t="shared" si="8"/>
        <v>0</v>
      </c>
      <c r="BY20" s="349" t="e">
        <f>#N/A</f>
        <v>#N/A</v>
      </c>
      <c r="BZ20" s="349" t="e">
        <f>#N/A</f>
        <v>#N/A</v>
      </c>
      <c r="CA20" s="349" t="e">
        <f>#N/A</f>
        <v>#N/A</v>
      </c>
      <c r="CB20" s="351" t="e">
        <f>#N/A</f>
        <v>#N/A</v>
      </c>
      <c r="CC20" s="349" t="e">
        <f t="shared" si="9"/>
        <v>#N/A</v>
      </c>
      <c r="CD20" s="14" t="e">
        <f t="shared" si="18"/>
        <v>#N/A</v>
      </c>
      <c r="CE20" s="14">
        <f t="shared" si="19"/>
        <v>0</v>
      </c>
      <c r="CF20" s="25">
        <f t="shared" si="20"/>
        <v>0</v>
      </c>
      <c r="CG20" s="270">
        <v>45</v>
      </c>
      <c r="CH20" s="2" t="s">
        <v>54</v>
      </c>
      <c r="CI20" s="1">
        <f>IF(CK20&gt;=98,60000,IF(CK20&gt;95,40000,0))</f>
        <v>60000</v>
      </c>
      <c r="CJ20" s="1">
        <f>BF497</f>
        <v>2669</v>
      </c>
      <c r="CK20" s="240">
        <f>ROUND((SUM(CJ20)/CG20/$CF$1)*100,1)</f>
        <v>191.3</v>
      </c>
      <c r="CL20" s="349" t="e">
        <f>#N/A</f>
        <v>#N/A</v>
      </c>
      <c r="CM20" s="349" t="e">
        <f>#N/A</f>
        <v>#N/A</v>
      </c>
      <c r="CN20" s="349" t="e">
        <f>#N/A</f>
        <v>#N/A</v>
      </c>
      <c r="CO20" s="349" t="e">
        <f>#N/A</f>
        <v>#N/A</v>
      </c>
      <c r="CP20" s="349" t="e">
        <f t="shared" si="10"/>
        <v>#N/A</v>
      </c>
      <c r="CQ20" s="14" t="e">
        <f t="shared" si="11"/>
        <v>#N/A</v>
      </c>
      <c r="CW20" s="1">
        <f t="shared" si="12"/>
        <v>0</v>
      </c>
      <c r="CX20" s="1">
        <f t="shared" si="13"/>
        <v>0</v>
      </c>
      <c r="CY20" s="2">
        <f t="shared" si="14"/>
        <v>0</v>
      </c>
    </row>
    <row r="21" spans="1:103" s="1" customFormat="1" ht="29.4" customHeight="1">
      <c r="A21" s="46">
        <v>15</v>
      </c>
      <c r="B21" s="46">
        <v>1</v>
      </c>
      <c r="C21" s="46">
        <v>15</v>
      </c>
      <c r="D21" s="48"/>
      <c r="E21" s="48"/>
      <c r="F21" s="46"/>
      <c r="G21" s="310">
        <v>0</v>
      </c>
      <c r="H21" s="310">
        <v>0</v>
      </c>
      <c r="I21" s="310" t="s">
        <v>1991</v>
      </c>
      <c r="J21" s="310"/>
      <c r="K21" s="310" t="s">
        <v>1991</v>
      </c>
      <c r="L21" s="310" t="s">
        <v>1991</v>
      </c>
      <c r="M21" s="310" t="s">
        <v>1991</v>
      </c>
      <c r="N21" s="310" t="s">
        <v>1991</v>
      </c>
      <c r="O21" s="310" t="s">
        <v>1991</v>
      </c>
      <c r="P21" s="310" t="s">
        <v>1991</v>
      </c>
      <c r="Q21" s="310" t="s">
        <v>1991</v>
      </c>
      <c r="R21" s="310" t="s">
        <v>1991</v>
      </c>
      <c r="S21" s="310" t="s">
        <v>1991</v>
      </c>
      <c r="T21" s="505" t="s">
        <v>1991</v>
      </c>
      <c r="U21" s="310" t="s">
        <v>1991</v>
      </c>
      <c r="V21" s="32" t="s">
        <v>1991</v>
      </c>
      <c r="W21" s="506" t="s">
        <v>1991</v>
      </c>
      <c r="X21" s="506" t="s">
        <v>1991</v>
      </c>
      <c r="Y21" s="506" t="s">
        <v>1991</v>
      </c>
      <c r="Z21" s="32" t="s">
        <v>1991</v>
      </c>
      <c r="AA21" s="32" t="s">
        <v>1991</v>
      </c>
      <c r="AB21" s="32" t="s">
        <v>1991</v>
      </c>
      <c r="AC21" s="32" t="s">
        <v>1991</v>
      </c>
      <c r="AD21" s="32" t="s">
        <v>1991</v>
      </c>
      <c r="AE21" s="506" t="s">
        <v>1991</v>
      </c>
      <c r="AF21" s="506" t="s">
        <v>1991</v>
      </c>
      <c r="AG21" s="32">
        <v>0</v>
      </c>
      <c r="AH21" s="32" t="s">
        <v>1991</v>
      </c>
      <c r="AI21" s="32" t="s">
        <v>1991</v>
      </c>
      <c r="AJ21" s="32" t="s">
        <v>1991</v>
      </c>
      <c r="AK21" s="506" t="s">
        <v>1991</v>
      </c>
      <c r="AL21" s="327"/>
      <c r="AM21" s="327"/>
      <c r="AN21" s="327"/>
      <c r="AO21" s="327"/>
      <c r="AP21" s="327" t="s">
        <v>1991</v>
      </c>
      <c r="AQ21" s="327"/>
      <c r="AR21" s="327"/>
      <c r="AS21" s="327"/>
      <c r="AT21" s="327"/>
      <c r="AU21" s="327"/>
      <c r="AV21" s="327"/>
      <c r="AW21" s="327"/>
      <c r="AX21" s="327"/>
      <c r="AY21" s="327"/>
      <c r="AZ21" s="327"/>
      <c r="BA21" s="327"/>
      <c r="BB21" s="46">
        <f t="shared" si="1"/>
        <v>12</v>
      </c>
      <c r="BC21" s="46">
        <f t="shared" si="2"/>
        <v>15</v>
      </c>
      <c r="BD21" s="46">
        <f t="shared" si="15"/>
        <v>1</v>
      </c>
      <c r="BE21" s="46">
        <f t="shared" si="3"/>
        <v>0</v>
      </c>
      <c r="BF21" s="296">
        <f t="shared" si="4"/>
        <v>27</v>
      </c>
      <c r="BG21" s="2"/>
      <c r="BH21" s="2"/>
      <c r="BI21" s="2"/>
      <c r="BJ21" s="2"/>
      <c r="BK21" s="279">
        <f t="shared" si="5"/>
        <v>1</v>
      </c>
      <c r="BL21" s="279">
        <f t="shared" si="6"/>
        <v>27</v>
      </c>
      <c r="BM21" s="279"/>
      <c r="BN21" s="279"/>
      <c r="BO21" s="2">
        <f t="shared" si="16"/>
        <v>27</v>
      </c>
      <c r="BP21" s="430"/>
      <c r="BQ21" s="431"/>
      <c r="BR21" s="2"/>
      <c r="BS21" s="25"/>
      <c r="BT21" s="348">
        <f t="shared" si="17"/>
        <v>1</v>
      </c>
      <c r="BU21" s="2"/>
      <c r="BV21" s="282">
        <f t="shared" si="7"/>
        <v>0</v>
      </c>
      <c r="BW21" s="279"/>
      <c r="BX21" s="269">
        <f t="shared" si="8"/>
        <v>0</v>
      </c>
      <c r="BY21" s="349" t="e">
        <f>#N/A</f>
        <v>#N/A</v>
      </c>
      <c r="BZ21" s="349" t="e">
        <f>#N/A</f>
        <v>#N/A</v>
      </c>
      <c r="CA21" s="349" t="e">
        <f>#N/A</f>
        <v>#N/A</v>
      </c>
      <c r="CB21" s="349" t="e">
        <f>#N/A</f>
        <v>#N/A</v>
      </c>
      <c r="CC21" s="349" t="e">
        <f t="shared" si="9"/>
        <v>#N/A</v>
      </c>
      <c r="CD21" s="14" t="e">
        <f t="shared" si="18"/>
        <v>#N/A</v>
      </c>
      <c r="CE21" s="14">
        <f t="shared" si="19"/>
        <v>27</v>
      </c>
      <c r="CF21" s="25">
        <f t="shared" si="20"/>
        <v>1</v>
      </c>
      <c r="CG21" s="270"/>
      <c r="CH21" s="2" t="s">
        <v>55</v>
      </c>
      <c r="CI21" s="1">
        <v>420</v>
      </c>
      <c r="CL21" s="349" t="e">
        <f>#N/A</f>
        <v>#N/A</v>
      </c>
      <c r="CM21" s="349" t="e">
        <f>#N/A</f>
        <v>#N/A</v>
      </c>
      <c r="CN21" s="349" t="e">
        <f>#N/A</f>
        <v>#N/A</v>
      </c>
      <c r="CO21" s="349" t="e">
        <f>#N/A</f>
        <v>#N/A</v>
      </c>
      <c r="CP21" s="349" t="e">
        <f t="shared" si="10"/>
        <v>#N/A</v>
      </c>
      <c r="CQ21" s="14" t="e">
        <f t="shared" si="11"/>
        <v>#N/A</v>
      </c>
      <c r="CW21" s="1">
        <f t="shared" si="12"/>
        <v>0</v>
      </c>
      <c r="CX21" s="1">
        <f t="shared" si="13"/>
        <v>0</v>
      </c>
      <c r="CY21" s="2">
        <f t="shared" si="14"/>
        <v>0</v>
      </c>
    </row>
    <row r="22" spans="1:103" s="1" customFormat="1" ht="29.4" customHeight="1">
      <c r="A22" s="46">
        <v>16</v>
      </c>
      <c r="B22" s="46">
        <v>1</v>
      </c>
      <c r="C22" s="46">
        <v>16</v>
      </c>
      <c r="D22" s="48"/>
      <c r="E22" s="48"/>
      <c r="F22" s="46"/>
      <c r="G22" s="310">
        <v>0</v>
      </c>
      <c r="H22" s="310">
        <v>0</v>
      </c>
      <c r="I22" s="310" t="s">
        <v>1991</v>
      </c>
      <c r="J22" s="310"/>
      <c r="K22" s="310" t="s">
        <v>1991</v>
      </c>
      <c r="L22" s="310" t="s">
        <v>1991</v>
      </c>
      <c r="M22" s="310" t="s">
        <v>1991</v>
      </c>
      <c r="N22" s="310" t="s">
        <v>1991</v>
      </c>
      <c r="O22" s="310" t="s">
        <v>1991</v>
      </c>
      <c r="P22" s="310" t="s">
        <v>1991</v>
      </c>
      <c r="Q22" s="310" t="s">
        <v>1991</v>
      </c>
      <c r="R22" s="310" t="s">
        <v>1991</v>
      </c>
      <c r="S22" s="310" t="s">
        <v>1991</v>
      </c>
      <c r="T22" s="505" t="s">
        <v>1991</v>
      </c>
      <c r="U22" s="310" t="s">
        <v>1991</v>
      </c>
      <c r="V22" s="32" t="s">
        <v>1991</v>
      </c>
      <c r="W22" s="506" t="s">
        <v>1991</v>
      </c>
      <c r="X22" s="506" t="s">
        <v>1991</v>
      </c>
      <c r="Y22" s="506" t="s">
        <v>1991</v>
      </c>
      <c r="Z22" s="32" t="s">
        <v>1991</v>
      </c>
      <c r="AA22" s="32" t="s">
        <v>1991</v>
      </c>
      <c r="AB22" s="32" t="s">
        <v>1991</v>
      </c>
      <c r="AC22" s="32" t="s">
        <v>1991</v>
      </c>
      <c r="AD22" s="32" t="s">
        <v>1991</v>
      </c>
      <c r="AE22" s="506" t="s">
        <v>1991</v>
      </c>
      <c r="AF22" s="506" t="s">
        <v>1991</v>
      </c>
      <c r="AG22" s="32" t="s">
        <v>1991</v>
      </c>
      <c r="AH22" s="32" t="s">
        <v>1991</v>
      </c>
      <c r="AI22" s="32" t="s">
        <v>1991</v>
      </c>
      <c r="AJ22" s="32" t="s">
        <v>1991</v>
      </c>
      <c r="AK22" s="506" t="s">
        <v>1991</v>
      </c>
      <c r="AL22" s="327"/>
      <c r="AM22" s="327"/>
      <c r="AN22" s="327"/>
      <c r="AO22" s="327"/>
      <c r="AP22" s="327">
        <v>0</v>
      </c>
      <c r="AQ22" s="327"/>
      <c r="AR22" s="327"/>
      <c r="AS22" s="327" t="s">
        <v>1991</v>
      </c>
      <c r="AT22" s="327"/>
      <c r="AU22" s="327"/>
      <c r="AV22" s="327"/>
      <c r="AW22" s="327"/>
      <c r="AX22" s="327"/>
      <c r="AY22" s="327"/>
      <c r="AZ22" s="327"/>
      <c r="BA22" s="327"/>
      <c r="BB22" s="46">
        <f t="shared" si="1"/>
        <v>12</v>
      </c>
      <c r="BC22" s="46">
        <f t="shared" si="2"/>
        <v>16</v>
      </c>
      <c r="BD22" s="46">
        <f t="shared" si="15"/>
        <v>1</v>
      </c>
      <c r="BE22" s="46">
        <f t="shared" si="3"/>
        <v>0</v>
      </c>
      <c r="BF22" s="296">
        <f t="shared" si="4"/>
        <v>28</v>
      </c>
      <c r="BG22" s="2"/>
      <c r="BH22" s="2"/>
      <c r="BI22" s="2"/>
      <c r="BJ22" s="2"/>
      <c r="BK22" s="279">
        <f t="shared" si="5"/>
        <v>1</v>
      </c>
      <c r="BL22" s="279">
        <f t="shared" si="6"/>
        <v>28</v>
      </c>
      <c r="BM22" s="279"/>
      <c r="BN22" s="279"/>
      <c r="BO22" s="2">
        <f t="shared" si="16"/>
        <v>28</v>
      </c>
      <c r="BP22" s="430"/>
      <c r="BQ22" s="431"/>
      <c r="BR22" s="2"/>
      <c r="BS22" s="25"/>
      <c r="BT22" s="348">
        <f t="shared" si="17"/>
        <v>1</v>
      </c>
      <c r="BU22" s="2"/>
      <c r="BV22" s="282">
        <f t="shared" si="7"/>
        <v>0</v>
      </c>
      <c r="BW22" s="279"/>
      <c r="BX22" s="269">
        <f t="shared" si="8"/>
        <v>0</v>
      </c>
      <c r="BY22" s="349" t="e">
        <f>#N/A</f>
        <v>#N/A</v>
      </c>
      <c r="BZ22" s="349" t="e">
        <f>#N/A</f>
        <v>#N/A</v>
      </c>
      <c r="CA22" s="349" t="e">
        <f>#N/A</f>
        <v>#N/A</v>
      </c>
      <c r="CB22" s="351" t="e">
        <f>#N/A</f>
        <v>#N/A</v>
      </c>
      <c r="CC22" s="349" t="e">
        <f t="shared" si="9"/>
        <v>#N/A</v>
      </c>
      <c r="CD22" s="14" t="e">
        <f t="shared" si="18"/>
        <v>#N/A</v>
      </c>
      <c r="CE22" s="14">
        <f t="shared" si="19"/>
        <v>28</v>
      </c>
      <c r="CF22" s="25">
        <f t="shared" si="20"/>
        <v>1</v>
      </c>
      <c r="CG22" s="270"/>
      <c r="CH22" s="2" t="s">
        <v>56</v>
      </c>
      <c r="CI22" s="1">
        <v>440</v>
      </c>
      <c r="CL22" s="349" t="e">
        <f>#N/A</f>
        <v>#N/A</v>
      </c>
      <c r="CM22" s="349" t="e">
        <f>#N/A</f>
        <v>#N/A</v>
      </c>
      <c r="CN22" s="349" t="e">
        <f>#N/A</f>
        <v>#N/A</v>
      </c>
      <c r="CO22" s="349" t="e">
        <f>#N/A</f>
        <v>#N/A</v>
      </c>
      <c r="CP22" s="349" t="e">
        <f t="shared" si="10"/>
        <v>#N/A</v>
      </c>
      <c r="CQ22" s="14" t="e">
        <f t="shared" si="11"/>
        <v>#N/A</v>
      </c>
      <c r="CW22" s="1">
        <f t="shared" si="12"/>
        <v>0</v>
      </c>
      <c r="CX22" s="1">
        <f t="shared" si="13"/>
        <v>0</v>
      </c>
      <c r="CY22" s="2">
        <f t="shared" si="14"/>
        <v>0</v>
      </c>
    </row>
    <row r="23" spans="1:103" s="1" customFormat="1" ht="29.4" customHeight="1">
      <c r="A23" s="46">
        <v>17</v>
      </c>
      <c r="B23" s="46">
        <v>1</v>
      </c>
      <c r="C23" s="46">
        <v>17</v>
      </c>
      <c r="D23" s="48"/>
      <c r="E23" s="48"/>
      <c r="F23" s="46"/>
      <c r="G23" s="310">
        <v>0</v>
      </c>
      <c r="H23" s="310" t="s">
        <v>1991</v>
      </c>
      <c r="I23" s="310" t="s">
        <v>1991</v>
      </c>
      <c r="J23" s="310"/>
      <c r="K23" s="310" t="s">
        <v>1991</v>
      </c>
      <c r="L23" s="310" t="s">
        <v>1991</v>
      </c>
      <c r="M23" s="310">
        <v>0</v>
      </c>
      <c r="N23" s="310" t="s">
        <v>1991</v>
      </c>
      <c r="O23" s="310" t="s">
        <v>1991</v>
      </c>
      <c r="P23" s="310" t="s">
        <v>1991</v>
      </c>
      <c r="Q23" s="310" t="s">
        <v>1991</v>
      </c>
      <c r="R23" s="310" t="s">
        <v>1991</v>
      </c>
      <c r="S23" s="310" t="s">
        <v>1991</v>
      </c>
      <c r="T23" s="505" t="s">
        <v>1991</v>
      </c>
      <c r="U23" s="310">
        <v>0</v>
      </c>
      <c r="V23" s="32" t="s">
        <v>1991</v>
      </c>
      <c r="W23" s="506" t="s">
        <v>1991</v>
      </c>
      <c r="X23" s="506" t="s">
        <v>1991</v>
      </c>
      <c r="Y23" s="506" t="s">
        <v>1991</v>
      </c>
      <c r="Z23" s="32" t="s">
        <v>1991</v>
      </c>
      <c r="AA23" s="32" t="s">
        <v>1991</v>
      </c>
      <c r="AB23" s="32" t="s">
        <v>1991</v>
      </c>
      <c r="AC23" s="32" t="s">
        <v>1991</v>
      </c>
      <c r="AD23" s="32" t="s">
        <v>1991</v>
      </c>
      <c r="AE23" s="506" t="s">
        <v>1991</v>
      </c>
      <c r="AF23" s="506" t="s">
        <v>1991</v>
      </c>
      <c r="AG23" s="32" t="s">
        <v>1991</v>
      </c>
      <c r="AH23" s="32" t="s">
        <v>1991</v>
      </c>
      <c r="AI23" s="32">
        <v>0</v>
      </c>
      <c r="AJ23" s="32" t="s">
        <v>1991</v>
      </c>
      <c r="AK23" s="506" t="s">
        <v>1991</v>
      </c>
      <c r="AL23" s="327"/>
      <c r="AM23" s="327"/>
      <c r="AN23" s="327"/>
      <c r="AO23" s="327"/>
      <c r="AP23" s="327" t="s">
        <v>1991</v>
      </c>
      <c r="AQ23" s="327"/>
      <c r="AR23" s="327"/>
      <c r="AS23" s="327"/>
      <c r="AT23" s="327"/>
      <c r="AU23" s="327"/>
      <c r="AV23" s="327"/>
      <c r="AW23" s="327"/>
      <c r="AX23" s="327"/>
      <c r="AY23" s="327"/>
      <c r="AZ23" s="327"/>
      <c r="BA23" s="327"/>
      <c r="BB23" s="46">
        <f t="shared" si="1"/>
        <v>11</v>
      </c>
      <c r="BC23" s="46">
        <f t="shared" si="2"/>
        <v>15</v>
      </c>
      <c r="BD23" s="46">
        <f t="shared" si="15"/>
        <v>1</v>
      </c>
      <c r="BE23" s="46">
        <f t="shared" si="3"/>
        <v>0</v>
      </c>
      <c r="BF23" s="296">
        <f t="shared" si="4"/>
        <v>26</v>
      </c>
      <c r="BG23" s="26"/>
      <c r="BH23" s="2"/>
      <c r="BI23" s="2"/>
      <c r="BJ23" s="2"/>
      <c r="BK23" s="279">
        <f t="shared" si="5"/>
        <v>1</v>
      </c>
      <c r="BL23" s="279">
        <f t="shared" si="6"/>
        <v>26</v>
      </c>
      <c r="BM23" s="279"/>
      <c r="BN23" s="279"/>
      <c r="BO23" s="2">
        <f t="shared" si="16"/>
        <v>26</v>
      </c>
      <c r="BP23" s="430"/>
      <c r="BQ23" s="431"/>
      <c r="BR23" s="2"/>
      <c r="BS23" s="25"/>
      <c r="BT23" s="348">
        <f t="shared" si="17"/>
        <v>1</v>
      </c>
      <c r="BU23" s="2"/>
      <c r="BV23" s="282">
        <f t="shared" si="7"/>
        <v>0</v>
      </c>
      <c r="BW23" s="279"/>
      <c r="BX23" s="269">
        <f t="shared" si="8"/>
        <v>0</v>
      </c>
      <c r="BY23" s="349" t="e">
        <f>#N/A</f>
        <v>#N/A</v>
      </c>
      <c r="BZ23" s="349" t="e">
        <f>#N/A</f>
        <v>#N/A</v>
      </c>
      <c r="CA23" s="349" t="e">
        <f>#N/A</f>
        <v>#N/A</v>
      </c>
      <c r="CB23" s="351" t="e">
        <f>#N/A</f>
        <v>#N/A</v>
      </c>
      <c r="CC23" s="349" t="e">
        <f t="shared" si="9"/>
        <v>#N/A</v>
      </c>
      <c r="CD23" s="14" t="e">
        <f t="shared" si="18"/>
        <v>#N/A</v>
      </c>
      <c r="CE23" s="14">
        <f t="shared" si="19"/>
        <v>26</v>
      </c>
      <c r="CF23" s="25">
        <f t="shared" si="20"/>
        <v>1</v>
      </c>
      <c r="CG23" s="270"/>
      <c r="CH23" s="2" t="s">
        <v>57</v>
      </c>
      <c r="CI23" s="1">
        <v>505</v>
      </c>
      <c r="CL23" s="349" t="e">
        <f>#N/A</f>
        <v>#N/A</v>
      </c>
      <c r="CM23" s="349" t="e">
        <f>#N/A</f>
        <v>#N/A</v>
      </c>
      <c r="CN23" s="349" t="e">
        <f>#N/A</f>
        <v>#N/A</v>
      </c>
      <c r="CO23" s="349" t="e">
        <f>#N/A</f>
        <v>#N/A</v>
      </c>
      <c r="CP23" s="349" t="e">
        <f t="shared" si="10"/>
        <v>#N/A</v>
      </c>
      <c r="CQ23" s="14" t="e">
        <f t="shared" si="11"/>
        <v>#N/A</v>
      </c>
      <c r="CW23" s="1">
        <f t="shared" si="12"/>
        <v>0</v>
      </c>
      <c r="CX23" s="1">
        <f t="shared" si="13"/>
        <v>0</v>
      </c>
      <c r="CY23" s="2">
        <f t="shared" si="14"/>
        <v>0</v>
      </c>
    </row>
    <row r="24" spans="1:103" s="1" customFormat="1" ht="29.4" customHeight="1">
      <c r="A24" s="46">
        <v>18</v>
      </c>
      <c r="B24" s="46">
        <v>1</v>
      </c>
      <c r="C24" s="46">
        <v>18</v>
      </c>
      <c r="D24" s="48"/>
      <c r="E24" s="48"/>
      <c r="F24" s="46"/>
      <c r="G24" s="310">
        <v>0</v>
      </c>
      <c r="H24" s="310" t="s">
        <v>1991</v>
      </c>
      <c r="I24" s="310" t="s">
        <v>1991</v>
      </c>
      <c r="J24" s="310"/>
      <c r="K24" s="310">
        <v>0</v>
      </c>
      <c r="L24" s="310" t="s">
        <v>1991</v>
      </c>
      <c r="M24" s="310" t="s">
        <v>1991</v>
      </c>
      <c r="N24" s="310">
        <v>0</v>
      </c>
      <c r="O24" s="310" t="s">
        <v>1991</v>
      </c>
      <c r="P24" s="310" t="s">
        <v>1991</v>
      </c>
      <c r="Q24" s="310" t="s">
        <v>1991</v>
      </c>
      <c r="R24" s="310" t="s">
        <v>1991</v>
      </c>
      <c r="S24" s="310" t="s">
        <v>1991</v>
      </c>
      <c r="T24" s="505" t="s">
        <v>1991</v>
      </c>
      <c r="U24" s="310" t="s">
        <v>1991</v>
      </c>
      <c r="V24" s="32">
        <v>0</v>
      </c>
      <c r="W24" s="506" t="s">
        <v>1991</v>
      </c>
      <c r="X24" s="506" t="s">
        <v>1991</v>
      </c>
      <c r="Y24" s="506" t="s">
        <v>1991</v>
      </c>
      <c r="Z24" s="32" t="s">
        <v>1991</v>
      </c>
      <c r="AA24" s="32" t="s">
        <v>1991</v>
      </c>
      <c r="AB24" s="32" t="s">
        <v>1991</v>
      </c>
      <c r="AC24" s="32" t="s">
        <v>1991</v>
      </c>
      <c r="AD24" s="32" t="s">
        <v>1991</v>
      </c>
      <c r="AE24" s="506" t="s">
        <v>1991</v>
      </c>
      <c r="AF24" s="506" t="s">
        <v>1991</v>
      </c>
      <c r="AG24" s="32" t="s">
        <v>1991</v>
      </c>
      <c r="AH24" s="32" t="s">
        <v>1991</v>
      </c>
      <c r="AI24" s="32">
        <v>0</v>
      </c>
      <c r="AJ24" s="32" t="s">
        <v>1991</v>
      </c>
      <c r="AK24" s="506">
        <v>0</v>
      </c>
      <c r="AL24" s="327"/>
      <c r="AM24" s="327"/>
      <c r="AN24" s="327"/>
      <c r="AO24" s="327"/>
      <c r="AP24" s="327" t="s">
        <v>1991</v>
      </c>
      <c r="AQ24" s="327"/>
      <c r="AR24" s="327"/>
      <c r="AS24" s="327"/>
      <c r="AT24" s="327"/>
      <c r="AU24" s="327"/>
      <c r="AV24" s="327"/>
      <c r="AW24" s="327"/>
      <c r="AX24" s="327"/>
      <c r="AY24" s="327"/>
      <c r="AZ24" s="327"/>
      <c r="BA24" s="327"/>
      <c r="BB24" s="46">
        <f t="shared" si="1"/>
        <v>11</v>
      </c>
      <c r="BC24" s="46">
        <f t="shared" si="2"/>
        <v>13</v>
      </c>
      <c r="BD24" s="46">
        <f t="shared" si="15"/>
        <v>1</v>
      </c>
      <c r="BE24" s="46">
        <f t="shared" si="3"/>
        <v>0</v>
      </c>
      <c r="BF24" s="296">
        <f t="shared" si="4"/>
        <v>24</v>
      </c>
      <c r="BG24" s="2"/>
      <c r="BH24" s="2"/>
      <c r="BI24" s="2"/>
      <c r="BJ24" s="2"/>
      <c r="BK24" s="279">
        <f t="shared" si="5"/>
        <v>0</v>
      </c>
      <c r="BL24" s="279">
        <f t="shared" si="6"/>
        <v>24</v>
      </c>
      <c r="BM24" s="279"/>
      <c r="BN24" s="279"/>
      <c r="BO24" s="2">
        <f t="shared" si="16"/>
        <v>0</v>
      </c>
      <c r="BP24" s="430"/>
      <c r="BQ24" s="431"/>
      <c r="BR24" s="2"/>
      <c r="BS24" s="25"/>
      <c r="BT24" s="348">
        <f t="shared" si="17"/>
        <v>0</v>
      </c>
      <c r="BU24" s="2"/>
      <c r="BV24" s="282">
        <f t="shared" si="7"/>
        <v>0</v>
      </c>
      <c r="BW24" s="279"/>
      <c r="BX24" s="269">
        <f t="shared" si="8"/>
        <v>0</v>
      </c>
      <c r="BY24" s="349" t="e">
        <f>#N/A</f>
        <v>#N/A</v>
      </c>
      <c r="BZ24" s="349" t="e">
        <f>#N/A</f>
        <v>#N/A</v>
      </c>
      <c r="CA24" s="349" t="e">
        <f>#N/A</f>
        <v>#N/A</v>
      </c>
      <c r="CB24" s="351" t="e">
        <f>#N/A</f>
        <v>#N/A</v>
      </c>
      <c r="CC24" s="349" t="e">
        <f t="shared" si="9"/>
        <v>#N/A</v>
      </c>
      <c r="CD24" s="14" t="e">
        <f t="shared" si="18"/>
        <v>#N/A</v>
      </c>
      <c r="CE24" s="14">
        <f t="shared" si="19"/>
        <v>0</v>
      </c>
      <c r="CF24" s="25">
        <f t="shared" si="20"/>
        <v>0</v>
      </c>
      <c r="CG24" s="270"/>
      <c r="CH24" s="2" t="s">
        <v>58</v>
      </c>
      <c r="CI24" s="1">
        <v>570</v>
      </c>
      <c r="CL24" s="349" t="e">
        <f>#N/A</f>
        <v>#N/A</v>
      </c>
      <c r="CM24" s="349" t="e">
        <f>#N/A</f>
        <v>#N/A</v>
      </c>
      <c r="CN24" s="349" t="e">
        <f>#N/A</f>
        <v>#N/A</v>
      </c>
      <c r="CO24" s="349" t="e">
        <f>#N/A</f>
        <v>#N/A</v>
      </c>
      <c r="CP24" s="349" t="e">
        <f t="shared" si="10"/>
        <v>#N/A</v>
      </c>
      <c r="CQ24" s="14" t="e">
        <f t="shared" si="11"/>
        <v>#N/A</v>
      </c>
      <c r="CW24" s="1">
        <f t="shared" si="12"/>
        <v>0</v>
      </c>
      <c r="CX24" s="1">
        <f t="shared" si="13"/>
        <v>0</v>
      </c>
      <c r="CY24" s="2">
        <f t="shared" si="14"/>
        <v>0</v>
      </c>
    </row>
    <row r="25" spans="1:103" s="1" customFormat="1" ht="29.4" customHeight="1">
      <c r="A25" s="46">
        <v>19</v>
      </c>
      <c r="B25" s="46">
        <v>1</v>
      </c>
      <c r="C25" s="46">
        <v>19</v>
      </c>
      <c r="D25" s="48"/>
      <c r="E25" s="48"/>
      <c r="F25" s="46"/>
      <c r="G25" s="310">
        <v>0</v>
      </c>
      <c r="H25" s="310">
        <v>0</v>
      </c>
      <c r="I25" s="310" t="s">
        <v>1991</v>
      </c>
      <c r="J25" s="310"/>
      <c r="K25" s="310" t="s">
        <v>1991</v>
      </c>
      <c r="L25" s="310" t="s">
        <v>1991</v>
      </c>
      <c r="M25" s="310" t="s">
        <v>1991</v>
      </c>
      <c r="N25" s="310" t="s">
        <v>1991</v>
      </c>
      <c r="O25" s="310" t="s">
        <v>1991</v>
      </c>
      <c r="P25" s="310" t="s">
        <v>1991</v>
      </c>
      <c r="Q25" s="310" t="s">
        <v>1991</v>
      </c>
      <c r="R25" s="310" t="s">
        <v>1991</v>
      </c>
      <c r="S25" s="310" t="s">
        <v>1991</v>
      </c>
      <c r="T25" s="505" t="s">
        <v>1991</v>
      </c>
      <c r="U25" s="310" t="s">
        <v>1991</v>
      </c>
      <c r="V25" s="32" t="s">
        <v>1991</v>
      </c>
      <c r="W25" s="506" t="s">
        <v>1991</v>
      </c>
      <c r="X25" s="506" t="s">
        <v>1991</v>
      </c>
      <c r="Y25" s="506" t="s">
        <v>1991</v>
      </c>
      <c r="Z25" s="32" t="s">
        <v>1991</v>
      </c>
      <c r="AA25" s="32" t="s">
        <v>1991</v>
      </c>
      <c r="AB25" s="32" t="s">
        <v>1991</v>
      </c>
      <c r="AC25" s="32" t="s">
        <v>1991</v>
      </c>
      <c r="AD25" s="32" t="s">
        <v>1991</v>
      </c>
      <c r="AE25" s="506" t="s">
        <v>1991</v>
      </c>
      <c r="AF25" s="506" t="s">
        <v>1991</v>
      </c>
      <c r="AG25" s="32">
        <v>0</v>
      </c>
      <c r="AH25" s="32" t="s">
        <v>1991</v>
      </c>
      <c r="AI25" s="32" t="s">
        <v>1991</v>
      </c>
      <c r="AJ25" s="32" t="s">
        <v>1991</v>
      </c>
      <c r="AK25" s="506" t="s">
        <v>1991</v>
      </c>
      <c r="AL25" s="327"/>
      <c r="AM25" s="327"/>
      <c r="AN25" s="327"/>
      <c r="AO25" s="327"/>
      <c r="AP25" s="327" t="s">
        <v>1991</v>
      </c>
      <c r="AQ25" s="327"/>
      <c r="AR25" s="327"/>
      <c r="AS25" s="327"/>
      <c r="AT25" s="327"/>
      <c r="AU25" s="327"/>
      <c r="AV25" s="327"/>
      <c r="AW25" s="327"/>
      <c r="AX25" s="327"/>
      <c r="AY25" s="327"/>
      <c r="AZ25" s="327"/>
      <c r="BA25" s="327"/>
      <c r="BB25" s="46">
        <f t="shared" si="1"/>
        <v>12</v>
      </c>
      <c r="BC25" s="46">
        <f t="shared" si="2"/>
        <v>15</v>
      </c>
      <c r="BD25" s="46">
        <f t="shared" si="15"/>
        <v>1</v>
      </c>
      <c r="BE25" s="46">
        <f t="shared" si="3"/>
        <v>0</v>
      </c>
      <c r="BF25" s="296">
        <f t="shared" si="4"/>
        <v>27</v>
      </c>
      <c r="BG25" s="26"/>
      <c r="BH25" s="2"/>
      <c r="BI25" s="2"/>
      <c r="BJ25" s="2"/>
      <c r="BK25" s="279">
        <f t="shared" si="5"/>
        <v>1</v>
      </c>
      <c r="BL25" s="279">
        <f t="shared" si="6"/>
        <v>27</v>
      </c>
      <c r="BM25" s="279"/>
      <c r="BN25" s="279"/>
      <c r="BO25" s="2">
        <f t="shared" si="16"/>
        <v>27</v>
      </c>
      <c r="BP25" s="430"/>
      <c r="BQ25" s="431"/>
      <c r="BR25" s="2"/>
      <c r="BS25" s="25"/>
      <c r="BT25" s="348">
        <f t="shared" si="17"/>
        <v>1</v>
      </c>
      <c r="BU25" s="2"/>
      <c r="BV25" s="282">
        <f t="shared" si="7"/>
        <v>0</v>
      </c>
      <c r="BW25" s="279"/>
      <c r="BX25" s="269">
        <f t="shared" si="8"/>
        <v>0</v>
      </c>
      <c r="BY25" s="349" t="e">
        <f>#N/A</f>
        <v>#N/A</v>
      </c>
      <c r="BZ25" s="349" t="e">
        <f>#N/A</f>
        <v>#N/A</v>
      </c>
      <c r="CA25" s="349" t="e">
        <f>#N/A</f>
        <v>#N/A</v>
      </c>
      <c r="CB25" s="351" t="e">
        <f>#N/A</f>
        <v>#N/A</v>
      </c>
      <c r="CC25" s="349" t="e">
        <f t="shared" si="9"/>
        <v>#N/A</v>
      </c>
      <c r="CD25" s="14" t="e">
        <f t="shared" si="18"/>
        <v>#N/A</v>
      </c>
      <c r="CE25" s="14">
        <f t="shared" si="19"/>
        <v>27</v>
      </c>
      <c r="CF25" s="25">
        <f t="shared" si="20"/>
        <v>1</v>
      </c>
      <c r="CG25" s="270"/>
      <c r="CH25" s="2" t="s">
        <v>59</v>
      </c>
      <c r="CI25" s="1">
        <v>600</v>
      </c>
      <c r="CL25" s="349" t="e">
        <f>#N/A</f>
        <v>#N/A</v>
      </c>
      <c r="CM25" s="349" t="e">
        <f>#N/A</f>
        <v>#N/A</v>
      </c>
      <c r="CN25" s="349" t="e">
        <f>#N/A</f>
        <v>#N/A</v>
      </c>
      <c r="CO25" s="349" t="e">
        <f>#N/A</f>
        <v>#N/A</v>
      </c>
      <c r="CP25" s="349" t="e">
        <f t="shared" si="10"/>
        <v>#N/A</v>
      </c>
      <c r="CQ25" s="14" t="e">
        <f t="shared" si="11"/>
        <v>#N/A</v>
      </c>
      <c r="CW25" s="1">
        <f t="shared" si="12"/>
        <v>0</v>
      </c>
      <c r="CX25" s="1">
        <f t="shared" si="13"/>
        <v>0</v>
      </c>
      <c r="CY25" s="2">
        <f t="shared" si="14"/>
        <v>0</v>
      </c>
    </row>
    <row r="26" spans="1:103" s="1" customFormat="1" ht="29.4" customHeight="1">
      <c r="A26" s="46">
        <v>20</v>
      </c>
      <c r="B26" s="46">
        <v>1</v>
      </c>
      <c r="C26" s="46">
        <v>20</v>
      </c>
      <c r="D26" s="48"/>
      <c r="E26" s="48"/>
      <c r="F26" s="46"/>
      <c r="G26" s="310" t="s">
        <v>1991</v>
      </c>
      <c r="H26" s="310" t="s">
        <v>1991</v>
      </c>
      <c r="I26" s="310" t="s">
        <v>1991</v>
      </c>
      <c r="J26" s="310" t="s">
        <v>1991</v>
      </c>
      <c r="K26" s="310">
        <v>0</v>
      </c>
      <c r="L26" s="310" t="s">
        <v>1991</v>
      </c>
      <c r="M26" s="310" t="s">
        <v>1991</v>
      </c>
      <c r="N26" s="310" t="s">
        <v>1991</v>
      </c>
      <c r="O26" s="310" t="s">
        <v>1991</v>
      </c>
      <c r="P26" s="310" t="s">
        <v>1991</v>
      </c>
      <c r="Q26" s="310" t="s">
        <v>1991</v>
      </c>
      <c r="R26" s="310" t="s">
        <v>1991</v>
      </c>
      <c r="S26" s="310">
        <v>0</v>
      </c>
      <c r="T26" s="505" t="s">
        <v>1991</v>
      </c>
      <c r="U26" s="310" t="s">
        <v>1991</v>
      </c>
      <c r="V26" s="32" t="s">
        <v>1991</v>
      </c>
      <c r="W26" s="506" t="s">
        <v>1991</v>
      </c>
      <c r="X26" s="506" t="s">
        <v>1991</v>
      </c>
      <c r="Y26" s="506" t="s">
        <v>1991</v>
      </c>
      <c r="Z26" s="32" t="s">
        <v>1991</v>
      </c>
      <c r="AA26" s="32">
        <v>0</v>
      </c>
      <c r="AB26" s="32">
        <v>0</v>
      </c>
      <c r="AC26" s="32" t="s">
        <v>1991</v>
      </c>
      <c r="AD26" s="32" t="s">
        <v>1991</v>
      </c>
      <c r="AE26" s="506" t="s">
        <v>1991</v>
      </c>
      <c r="AF26" s="506">
        <v>0</v>
      </c>
      <c r="AG26" s="32" t="s">
        <v>1991</v>
      </c>
      <c r="AH26" s="32" t="s">
        <v>1991</v>
      </c>
      <c r="AI26" s="32" t="s">
        <v>1991</v>
      </c>
      <c r="AJ26" s="32" t="s">
        <v>1991</v>
      </c>
      <c r="AK26" s="506" t="s">
        <v>1991</v>
      </c>
      <c r="AL26" s="327"/>
      <c r="AM26" s="327"/>
      <c r="AN26" s="327"/>
      <c r="AO26" s="327"/>
      <c r="AP26" s="327" t="s">
        <v>1991</v>
      </c>
      <c r="AQ26" s="327"/>
      <c r="AR26" s="327"/>
      <c r="AS26" s="327"/>
      <c r="AT26" s="327"/>
      <c r="AU26" s="327"/>
      <c r="AV26" s="327"/>
      <c r="AW26" s="327"/>
      <c r="AX26" s="327"/>
      <c r="AY26" s="327"/>
      <c r="AZ26" s="327"/>
      <c r="BA26" s="327"/>
      <c r="BB26" s="46">
        <f t="shared" si="1"/>
        <v>13</v>
      </c>
      <c r="BC26" s="46">
        <f t="shared" si="2"/>
        <v>13</v>
      </c>
      <c r="BD26" s="46">
        <f t="shared" si="15"/>
        <v>1</v>
      </c>
      <c r="BE26" s="46">
        <f t="shared" si="3"/>
        <v>0</v>
      </c>
      <c r="BF26" s="296">
        <f t="shared" si="4"/>
        <v>26</v>
      </c>
      <c r="BG26" s="2"/>
      <c r="BH26" s="2"/>
      <c r="BI26" s="2"/>
      <c r="BJ26" s="2"/>
      <c r="BK26" s="279">
        <f t="shared" si="5"/>
        <v>1</v>
      </c>
      <c r="BL26" s="279">
        <f t="shared" si="6"/>
        <v>26</v>
      </c>
      <c r="BM26" s="279"/>
      <c r="BN26" s="279"/>
      <c r="BO26" s="2">
        <f t="shared" si="16"/>
        <v>26</v>
      </c>
      <c r="BP26" s="430"/>
      <c r="BQ26" s="431"/>
      <c r="BR26" s="2"/>
      <c r="BS26" s="25"/>
      <c r="BT26" s="348">
        <f t="shared" si="17"/>
        <v>1</v>
      </c>
      <c r="BU26" s="2"/>
      <c r="BV26" s="282">
        <f t="shared" si="7"/>
        <v>0</v>
      </c>
      <c r="BW26" s="279"/>
      <c r="BX26" s="269">
        <f t="shared" si="8"/>
        <v>0</v>
      </c>
      <c r="BY26" s="349" t="e">
        <f>#N/A</f>
        <v>#N/A</v>
      </c>
      <c r="BZ26" s="349" t="e">
        <f>#N/A</f>
        <v>#N/A</v>
      </c>
      <c r="CA26" s="349" t="e">
        <f>#N/A</f>
        <v>#N/A</v>
      </c>
      <c r="CB26" s="351" t="e">
        <f>#N/A</f>
        <v>#N/A</v>
      </c>
      <c r="CC26" s="349" t="e">
        <f t="shared" si="9"/>
        <v>#N/A</v>
      </c>
      <c r="CD26" s="14" t="e">
        <f t="shared" si="18"/>
        <v>#N/A</v>
      </c>
      <c r="CE26" s="14">
        <f t="shared" si="19"/>
        <v>26</v>
      </c>
      <c r="CF26" s="25">
        <f t="shared" si="20"/>
        <v>1</v>
      </c>
      <c r="CG26" s="270"/>
      <c r="CH26" s="2"/>
      <c r="CL26" s="349" t="e">
        <f>#N/A</f>
        <v>#N/A</v>
      </c>
      <c r="CM26" s="349" t="e">
        <f>#N/A</f>
        <v>#N/A</v>
      </c>
      <c r="CN26" s="349" t="e">
        <f>#N/A</f>
        <v>#N/A</v>
      </c>
      <c r="CO26" s="349" t="e">
        <f>#N/A</f>
        <v>#N/A</v>
      </c>
      <c r="CP26" s="349" t="e">
        <f t="shared" si="10"/>
        <v>#N/A</v>
      </c>
      <c r="CQ26" s="14" t="e">
        <f t="shared" si="11"/>
        <v>#N/A</v>
      </c>
      <c r="CW26" s="1">
        <f t="shared" si="12"/>
        <v>0</v>
      </c>
      <c r="CX26" s="1">
        <f t="shared" si="13"/>
        <v>0</v>
      </c>
      <c r="CY26" s="2">
        <f t="shared" si="14"/>
        <v>0</v>
      </c>
    </row>
    <row r="27" spans="1:103" s="1" customFormat="1" ht="29.4" customHeight="1">
      <c r="A27" s="46">
        <v>21</v>
      </c>
      <c r="B27" s="46">
        <v>1</v>
      </c>
      <c r="C27" s="46">
        <v>21</v>
      </c>
      <c r="D27" s="48"/>
      <c r="E27" s="48"/>
      <c r="F27" s="46"/>
      <c r="G27" s="310" t="s">
        <v>1991</v>
      </c>
      <c r="H27" s="310">
        <v>0</v>
      </c>
      <c r="I27" s="310" t="s">
        <v>1991</v>
      </c>
      <c r="J27" s="310"/>
      <c r="K27" s="310" t="s">
        <v>1991</v>
      </c>
      <c r="L27" s="310" t="s">
        <v>1991</v>
      </c>
      <c r="M27" s="310" t="s">
        <v>1991</v>
      </c>
      <c r="N27" s="310" t="s">
        <v>1991</v>
      </c>
      <c r="O27" s="310" t="s">
        <v>1991</v>
      </c>
      <c r="P27" s="310" t="s">
        <v>1991</v>
      </c>
      <c r="Q27" s="310" t="s">
        <v>1991</v>
      </c>
      <c r="R27" s="310" t="s">
        <v>1991</v>
      </c>
      <c r="S27" s="310" t="s">
        <v>1991</v>
      </c>
      <c r="T27" s="505" t="s">
        <v>1991</v>
      </c>
      <c r="U27" s="310" t="s">
        <v>1991</v>
      </c>
      <c r="V27" s="32" t="s">
        <v>1991</v>
      </c>
      <c r="W27" s="506" t="s">
        <v>1991</v>
      </c>
      <c r="X27" s="506" t="s">
        <v>1991</v>
      </c>
      <c r="Y27" s="506" t="s">
        <v>1991</v>
      </c>
      <c r="Z27" s="32" t="s">
        <v>1991</v>
      </c>
      <c r="AA27" s="32" t="s">
        <v>1991</v>
      </c>
      <c r="AB27" s="32">
        <v>0</v>
      </c>
      <c r="AC27" s="32" t="s">
        <v>1991</v>
      </c>
      <c r="AD27" s="32" t="s">
        <v>1991</v>
      </c>
      <c r="AE27" s="506" t="s">
        <v>1991</v>
      </c>
      <c r="AF27" s="506" t="s">
        <v>1991</v>
      </c>
      <c r="AG27" s="32" t="s">
        <v>1991</v>
      </c>
      <c r="AH27" s="32" t="s">
        <v>1991</v>
      </c>
      <c r="AI27" s="32" t="s">
        <v>1991</v>
      </c>
      <c r="AJ27" s="32" t="s">
        <v>1991</v>
      </c>
      <c r="AK27" s="506" t="s">
        <v>1991</v>
      </c>
      <c r="AL27" s="327"/>
      <c r="AM27" s="327"/>
      <c r="AN27" s="327"/>
      <c r="AO27" s="327"/>
      <c r="AP27" s="327" t="s">
        <v>1991</v>
      </c>
      <c r="AQ27" s="327"/>
      <c r="AR27" s="327"/>
      <c r="AS27" s="327"/>
      <c r="AT27" s="327"/>
      <c r="AU27" s="327"/>
      <c r="AV27" s="327"/>
      <c r="AW27" s="327"/>
      <c r="AX27" s="327"/>
      <c r="AY27" s="327"/>
      <c r="AZ27" s="327"/>
      <c r="BA27" s="327"/>
      <c r="BB27" s="46">
        <f t="shared" si="1"/>
        <v>13</v>
      </c>
      <c r="BC27" s="46">
        <f t="shared" si="2"/>
        <v>15</v>
      </c>
      <c r="BD27" s="46">
        <f t="shared" si="15"/>
        <v>1</v>
      </c>
      <c r="BE27" s="46">
        <f t="shared" si="3"/>
        <v>0</v>
      </c>
      <c r="BF27" s="296">
        <f t="shared" si="4"/>
        <v>28</v>
      </c>
      <c r="BG27" s="2"/>
      <c r="BH27" s="2"/>
      <c r="BI27" s="2"/>
      <c r="BJ27" s="2"/>
      <c r="BK27" s="279">
        <f t="shared" si="5"/>
        <v>1</v>
      </c>
      <c r="BL27" s="279">
        <f t="shared" si="6"/>
        <v>28</v>
      </c>
      <c r="BM27" s="279"/>
      <c r="BN27" s="279"/>
      <c r="BO27" s="2">
        <f t="shared" si="16"/>
        <v>28</v>
      </c>
      <c r="BP27" s="430"/>
      <c r="BQ27" s="431"/>
      <c r="BR27" s="2"/>
      <c r="BS27" s="25"/>
      <c r="BT27" s="348">
        <f t="shared" si="17"/>
        <v>1</v>
      </c>
      <c r="BU27" s="2"/>
      <c r="BV27" s="282">
        <f t="shared" si="7"/>
        <v>0</v>
      </c>
      <c r="BW27" s="279"/>
      <c r="BX27" s="269">
        <f t="shared" si="8"/>
        <v>0</v>
      </c>
      <c r="BY27" s="349" t="e">
        <f>#N/A</f>
        <v>#N/A</v>
      </c>
      <c r="BZ27" s="349" t="e">
        <f>#N/A</f>
        <v>#N/A</v>
      </c>
      <c r="CA27" s="349" t="e">
        <f>#N/A</f>
        <v>#N/A</v>
      </c>
      <c r="CB27" s="351" t="e">
        <f>#N/A</f>
        <v>#N/A</v>
      </c>
      <c r="CC27" s="349" t="e">
        <f t="shared" si="9"/>
        <v>#N/A</v>
      </c>
      <c r="CD27" s="14" t="e">
        <f t="shared" si="18"/>
        <v>#N/A</v>
      </c>
      <c r="CE27" s="14">
        <f t="shared" si="19"/>
        <v>28</v>
      </c>
      <c r="CF27" s="25">
        <f t="shared" si="20"/>
        <v>1</v>
      </c>
      <c r="CG27" s="270"/>
      <c r="CH27" s="2"/>
      <c r="CL27" s="349" t="e">
        <f>#N/A</f>
        <v>#N/A</v>
      </c>
      <c r="CM27" s="349" t="e">
        <f>#N/A</f>
        <v>#N/A</v>
      </c>
      <c r="CN27" s="349" t="e">
        <f>#N/A</f>
        <v>#N/A</v>
      </c>
      <c r="CO27" s="349" t="e">
        <f>#N/A</f>
        <v>#N/A</v>
      </c>
      <c r="CP27" s="349" t="e">
        <f t="shared" si="10"/>
        <v>#N/A</v>
      </c>
      <c r="CQ27" s="14" t="e">
        <f t="shared" si="11"/>
        <v>#N/A</v>
      </c>
      <c r="CW27" s="1">
        <f t="shared" si="12"/>
        <v>0</v>
      </c>
      <c r="CX27" s="1">
        <f t="shared" si="13"/>
        <v>0</v>
      </c>
      <c r="CY27" s="2">
        <f t="shared" si="14"/>
        <v>0</v>
      </c>
    </row>
    <row r="28" spans="1:103" s="1" customFormat="1" ht="29.4" customHeight="1">
      <c r="A28" s="46">
        <v>22</v>
      </c>
      <c r="B28" s="46">
        <v>1</v>
      </c>
      <c r="C28" s="46">
        <v>22</v>
      </c>
      <c r="D28" s="48"/>
      <c r="E28" s="48"/>
      <c r="F28" s="46"/>
      <c r="G28" s="310">
        <v>0</v>
      </c>
      <c r="H28" s="310" t="s">
        <v>1991</v>
      </c>
      <c r="I28" s="310" t="s">
        <v>1991</v>
      </c>
      <c r="J28" s="310"/>
      <c r="K28" s="310" t="s">
        <v>1991</v>
      </c>
      <c r="L28" s="310">
        <v>0</v>
      </c>
      <c r="M28" s="310" t="s">
        <v>1991</v>
      </c>
      <c r="N28" s="310" t="s">
        <v>1991</v>
      </c>
      <c r="O28" s="310">
        <v>0</v>
      </c>
      <c r="P28" s="310">
        <v>0</v>
      </c>
      <c r="Q28" s="310">
        <v>0</v>
      </c>
      <c r="R28" s="310">
        <v>0</v>
      </c>
      <c r="S28" s="310">
        <v>0</v>
      </c>
      <c r="T28" s="505">
        <v>0</v>
      </c>
      <c r="U28" s="310">
        <v>0</v>
      </c>
      <c r="V28" s="32">
        <v>0</v>
      </c>
      <c r="W28" s="506">
        <v>0</v>
      </c>
      <c r="X28" s="506">
        <v>0</v>
      </c>
      <c r="Y28" s="506">
        <v>0</v>
      </c>
      <c r="Z28" s="32">
        <v>0</v>
      </c>
      <c r="AA28" s="32">
        <v>0</v>
      </c>
      <c r="AB28" s="32">
        <v>0</v>
      </c>
      <c r="AC28" s="32">
        <v>0</v>
      </c>
      <c r="AD28" s="32">
        <v>0</v>
      </c>
      <c r="AE28" s="506">
        <v>0</v>
      </c>
      <c r="AF28" s="506">
        <v>0</v>
      </c>
      <c r="AG28" s="32">
        <v>0</v>
      </c>
      <c r="AH28" s="32">
        <v>0</v>
      </c>
      <c r="AI28" s="32">
        <v>0</v>
      </c>
      <c r="AJ28" s="32">
        <v>0</v>
      </c>
      <c r="AK28" s="506">
        <v>0</v>
      </c>
      <c r="AL28" s="327"/>
      <c r="AM28" s="327"/>
      <c r="AN28" s="327"/>
      <c r="AO28" s="327"/>
      <c r="AP28" s="327" t="s">
        <v>1991</v>
      </c>
      <c r="AQ28" s="327"/>
      <c r="AR28" s="327"/>
      <c r="AS28" s="327"/>
      <c r="AT28" s="327"/>
      <c r="AU28" s="327"/>
      <c r="AV28" s="327"/>
      <c r="AW28" s="327"/>
      <c r="AX28" s="327"/>
      <c r="AY28" s="327"/>
      <c r="AZ28" s="327"/>
      <c r="BA28" s="327"/>
      <c r="BB28" s="46">
        <f t="shared" si="1"/>
        <v>5</v>
      </c>
      <c r="BC28" s="46">
        <f t="shared" si="2"/>
        <v>0</v>
      </c>
      <c r="BD28" s="46">
        <f t="shared" si="15"/>
        <v>1</v>
      </c>
      <c r="BE28" s="46">
        <f t="shared" si="3"/>
        <v>0</v>
      </c>
      <c r="BF28" s="296">
        <f t="shared" si="4"/>
        <v>5</v>
      </c>
      <c r="BG28" s="2"/>
      <c r="BH28" s="2"/>
      <c r="BI28" s="2"/>
      <c r="BJ28" s="2"/>
      <c r="BK28" s="279">
        <f t="shared" si="5"/>
        <v>0</v>
      </c>
      <c r="BL28" s="279">
        <f t="shared" si="6"/>
        <v>5</v>
      </c>
      <c r="BM28" s="279"/>
      <c r="BN28" s="279"/>
      <c r="BO28" s="2">
        <f t="shared" si="16"/>
        <v>0</v>
      </c>
      <c r="BP28" s="430"/>
      <c r="BQ28" s="431"/>
      <c r="BR28" s="2"/>
      <c r="BS28" s="25"/>
      <c r="BT28" s="348">
        <f t="shared" si="17"/>
        <v>0</v>
      </c>
      <c r="BU28" s="2"/>
      <c r="BV28" s="282">
        <f t="shared" si="7"/>
        <v>0</v>
      </c>
      <c r="BW28" s="279"/>
      <c r="BX28" s="269">
        <f t="shared" si="8"/>
        <v>0</v>
      </c>
      <c r="BY28" s="349" t="e">
        <f>#N/A</f>
        <v>#N/A</v>
      </c>
      <c r="BZ28" s="349" t="e">
        <f>#N/A</f>
        <v>#N/A</v>
      </c>
      <c r="CA28" s="349" t="e">
        <f>#N/A</f>
        <v>#N/A</v>
      </c>
      <c r="CB28" s="351" t="e">
        <f>#N/A</f>
        <v>#N/A</v>
      </c>
      <c r="CC28" s="349" t="e">
        <f t="shared" si="9"/>
        <v>#N/A</v>
      </c>
      <c r="CD28" s="14" t="e">
        <f t="shared" si="18"/>
        <v>#N/A</v>
      </c>
      <c r="CE28" s="14">
        <f t="shared" si="19"/>
        <v>0</v>
      </c>
      <c r="CF28" s="25">
        <f t="shared" si="20"/>
        <v>0</v>
      </c>
      <c r="CG28" s="270"/>
      <c r="CH28" s="2"/>
      <c r="CL28" s="349" t="e">
        <f>#N/A</f>
        <v>#N/A</v>
      </c>
      <c r="CM28" s="349" t="e">
        <f>#N/A</f>
        <v>#N/A</v>
      </c>
      <c r="CN28" s="349" t="e">
        <f>#N/A</f>
        <v>#N/A</v>
      </c>
      <c r="CO28" s="349" t="e">
        <f>#N/A</f>
        <v>#N/A</v>
      </c>
      <c r="CP28" s="349" t="e">
        <f t="shared" si="10"/>
        <v>#N/A</v>
      </c>
      <c r="CQ28" s="14" t="e">
        <f t="shared" si="11"/>
        <v>#N/A</v>
      </c>
      <c r="CW28" s="1">
        <f t="shared" si="12"/>
        <v>0</v>
      </c>
      <c r="CX28" s="1">
        <f t="shared" si="13"/>
        <v>0</v>
      </c>
      <c r="CY28" s="2">
        <f t="shared" si="14"/>
        <v>0</v>
      </c>
    </row>
    <row r="29" spans="1:103" s="1" customFormat="1" ht="29.4" customHeight="1">
      <c r="A29" s="46">
        <v>23</v>
      </c>
      <c r="B29" s="46">
        <v>1</v>
      </c>
      <c r="C29" s="46">
        <v>23</v>
      </c>
      <c r="D29" s="48"/>
      <c r="E29" s="48"/>
      <c r="F29" s="46"/>
      <c r="G29" s="310">
        <v>0</v>
      </c>
      <c r="H29" s="310" t="s">
        <v>1991</v>
      </c>
      <c r="I29" s="310" t="s">
        <v>1991</v>
      </c>
      <c r="J29" s="310"/>
      <c r="K29" s="310" t="s">
        <v>1991</v>
      </c>
      <c r="L29" s="310" t="s">
        <v>1991</v>
      </c>
      <c r="M29" s="310" t="s">
        <v>1991</v>
      </c>
      <c r="N29" s="310" t="s">
        <v>1991</v>
      </c>
      <c r="O29" s="310" t="s">
        <v>1991</v>
      </c>
      <c r="P29" s="310" t="s">
        <v>1991</v>
      </c>
      <c r="Q29" s="310" t="s">
        <v>1991</v>
      </c>
      <c r="R29" s="310" t="s">
        <v>1991</v>
      </c>
      <c r="S29" s="310" t="s">
        <v>1991</v>
      </c>
      <c r="T29" s="505" t="s">
        <v>1991</v>
      </c>
      <c r="U29" s="310" t="s">
        <v>1991</v>
      </c>
      <c r="V29" s="32" t="s">
        <v>1991</v>
      </c>
      <c r="W29" s="506" t="s">
        <v>1991</v>
      </c>
      <c r="X29" s="506" t="s">
        <v>1991</v>
      </c>
      <c r="Y29" s="506" t="s">
        <v>1991</v>
      </c>
      <c r="Z29" s="32" t="s">
        <v>1991</v>
      </c>
      <c r="AA29" s="32" t="s">
        <v>1991</v>
      </c>
      <c r="AB29" s="32" t="s">
        <v>1991</v>
      </c>
      <c r="AC29" s="32" t="s">
        <v>1991</v>
      </c>
      <c r="AD29" s="32" t="s">
        <v>1991</v>
      </c>
      <c r="AE29" s="506" t="s">
        <v>1991</v>
      </c>
      <c r="AF29" s="506" t="s">
        <v>1991</v>
      </c>
      <c r="AG29" s="32" t="s">
        <v>1991</v>
      </c>
      <c r="AH29" s="32" t="s">
        <v>1991</v>
      </c>
      <c r="AI29" s="32" t="s">
        <v>1991</v>
      </c>
      <c r="AJ29" s="32" t="s">
        <v>1991</v>
      </c>
      <c r="AK29" s="506" t="s">
        <v>1991</v>
      </c>
      <c r="AL29" s="327"/>
      <c r="AM29" s="327"/>
      <c r="AN29" s="327"/>
      <c r="AO29" s="327"/>
      <c r="AP29" s="327" t="s">
        <v>1991</v>
      </c>
      <c r="AQ29" s="327"/>
      <c r="AR29" s="327"/>
      <c r="AS29" s="327"/>
      <c r="AT29" s="327"/>
      <c r="AU29" s="327"/>
      <c r="AV29" s="327"/>
      <c r="AW29" s="327"/>
      <c r="AX29" s="327"/>
      <c r="AY29" s="327"/>
      <c r="AZ29" s="327"/>
      <c r="BA29" s="327"/>
      <c r="BB29" s="46">
        <f t="shared" si="1"/>
        <v>13</v>
      </c>
      <c r="BC29" s="46">
        <f t="shared" si="2"/>
        <v>16</v>
      </c>
      <c r="BD29" s="46">
        <f t="shared" si="15"/>
        <v>1</v>
      </c>
      <c r="BE29" s="46">
        <f t="shared" si="3"/>
        <v>0</v>
      </c>
      <c r="BF29" s="296">
        <f t="shared" si="4"/>
        <v>29</v>
      </c>
      <c r="BG29" s="26"/>
      <c r="BH29" s="2"/>
      <c r="BI29" s="2"/>
      <c r="BJ29" s="2"/>
      <c r="BK29" s="279">
        <f t="shared" si="5"/>
        <v>1</v>
      </c>
      <c r="BL29" s="279">
        <f t="shared" si="6"/>
        <v>29</v>
      </c>
      <c r="BM29" s="279"/>
      <c r="BN29" s="279"/>
      <c r="BO29" s="2">
        <f t="shared" si="16"/>
        <v>29</v>
      </c>
      <c r="BP29" s="430"/>
      <c r="BQ29" s="431"/>
      <c r="BR29" s="2"/>
      <c r="BS29" s="25"/>
      <c r="BT29" s="348">
        <f t="shared" si="17"/>
        <v>1</v>
      </c>
      <c r="BU29" s="2"/>
      <c r="BV29" s="282">
        <f t="shared" si="7"/>
        <v>0</v>
      </c>
      <c r="BW29" s="279"/>
      <c r="BX29" s="269">
        <f t="shared" si="8"/>
        <v>0</v>
      </c>
      <c r="BY29" s="349" t="e">
        <f>#N/A</f>
        <v>#N/A</v>
      </c>
      <c r="BZ29" s="349" t="e">
        <f>#N/A</f>
        <v>#N/A</v>
      </c>
      <c r="CA29" s="349" t="e">
        <f>#N/A</f>
        <v>#N/A</v>
      </c>
      <c r="CB29" s="351" t="e">
        <f>#N/A</f>
        <v>#N/A</v>
      </c>
      <c r="CC29" s="349" t="e">
        <f t="shared" si="9"/>
        <v>#N/A</v>
      </c>
      <c r="CD29" s="14" t="e">
        <f t="shared" si="18"/>
        <v>#N/A</v>
      </c>
      <c r="CE29" s="14">
        <f t="shared" si="19"/>
        <v>29</v>
      </c>
      <c r="CF29" s="25">
        <f t="shared" si="20"/>
        <v>1</v>
      </c>
      <c r="CG29" s="270"/>
      <c r="CH29" s="2"/>
      <c r="CL29" s="349" t="e">
        <f>#N/A</f>
        <v>#N/A</v>
      </c>
      <c r="CM29" s="349" t="e">
        <f>#N/A</f>
        <v>#N/A</v>
      </c>
      <c r="CN29" s="349" t="e">
        <f>#N/A</f>
        <v>#N/A</v>
      </c>
      <c r="CO29" s="349" t="e">
        <f>#N/A</f>
        <v>#N/A</v>
      </c>
      <c r="CP29" s="349" t="e">
        <f t="shared" si="10"/>
        <v>#N/A</v>
      </c>
      <c r="CQ29" s="14" t="e">
        <f t="shared" si="11"/>
        <v>#N/A</v>
      </c>
      <c r="CW29" s="1">
        <f t="shared" si="12"/>
        <v>0</v>
      </c>
      <c r="CX29" s="1">
        <f t="shared" si="13"/>
        <v>0</v>
      </c>
      <c r="CY29" s="2">
        <f t="shared" si="14"/>
        <v>0</v>
      </c>
    </row>
    <row r="30" spans="1:103" s="1" customFormat="1" ht="29.4" customHeight="1">
      <c r="A30" s="46">
        <v>24</v>
      </c>
      <c r="B30" s="46">
        <v>1</v>
      </c>
      <c r="C30" s="46">
        <v>24</v>
      </c>
      <c r="D30" s="48"/>
      <c r="E30" s="48"/>
      <c r="F30" s="46"/>
      <c r="G30" s="310" t="s">
        <v>1991</v>
      </c>
      <c r="H30" s="310" t="s">
        <v>1991</v>
      </c>
      <c r="I30" s="310" t="s">
        <v>1991</v>
      </c>
      <c r="J30" s="310"/>
      <c r="K30" s="310" t="s">
        <v>1991</v>
      </c>
      <c r="L30" s="310" t="s">
        <v>1991</v>
      </c>
      <c r="M30" s="310" t="s">
        <v>1991</v>
      </c>
      <c r="N30" s="310" t="s">
        <v>1991</v>
      </c>
      <c r="O30" s="310" t="s">
        <v>1991</v>
      </c>
      <c r="P30" s="310" t="s">
        <v>1991</v>
      </c>
      <c r="Q30" s="310" t="s">
        <v>1991</v>
      </c>
      <c r="R30" s="310" t="s">
        <v>1991</v>
      </c>
      <c r="S30" s="310" t="s">
        <v>1991</v>
      </c>
      <c r="T30" s="505" t="s">
        <v>1991</v>
      </c>
      <c r="U30" s="310" t="s">
        <v>1991</v>
      </c>
      <c r="V30" s="32">
        <v>0</v>
      </c>
      <c r="W30" s="506" t="s">
        <v>1991</v>
      </c>
      <c r="X30" s="506" t="s">
        <v>1991</v>
      </c>
      <c r="Y30" s="506" t="s">
        <v>1991</v>
      </c>
      <c r="Z30" s="32" t="s">
        <v>1991</v>
      </c>
      <c r="AA30" s="32" t="s">
        <v>1991</v>
      </c>
      <c r="AB30" s="32" t="s">
        <v>1991</v>
      </c>
      <c r="AC30" s="32" t="s">
        <v>1991</v>
      </c>
      <c r="AD30" s="32" t="s">
        <v>1991</v>
      </c>
      <c r="AE30" s="506" t="s">
        <v>1991</v>
      </c>
      <c r="AF30" s="506" t="s">
        <v>1991</v>
      </c>
      <c r="AG30" s="32" t="s">
        <v>1991</v>
      </c>
      <c r="AH30" s="32" t="s">
        <v>1991</v>
      </c>
      <c r="AI30" s="32" t="s">
        <v>1991</v>
      </c>
      <c r="AJ30" s="32" t="s">
        <v>1991</v>
      </c>
      <c r="AK30" s="506" t="s">
        <v>1991</v>
      </c>
      <c r="AL30" s="327"/>
      <c r="AM30" s="327"/>
      <c r="AN30" s="327"/>
      <c r="AO30" s="327"/>
      <c r="AP30" s="327" t="s">
        <v>1991</v>
      </c>
      <c r="AQ30" s="327"/>
      <c r="AR30" s="327"/>
      <c r="AS30" s="327"/>
      <c r="AT30" s="327"/>
      <c r="AU30" s="327"/>
      <c r="AV30" s="327"/>
      <c r="AW30" s="327"/>
      <c r="AX30" s="327"/>
      <c r="AY30" s="327"/>
      <c r="AZ30" s="327"/>
      <c r="BA30" s="327"/>
      <c r="BB30" s="46">
        <f t="shared" si="1"/>
        <v>14</v>
      </c>
      <c r="BC30" s="46">
        <f t="shared" si="2"/>
        <v>15</v>
      </c>
      <c r="BD30" s="46">
        <f t="shared" si="15"/>
        <v>1</v>
      </c>
      <c r="BE30" s="46">
        <f t="shared" si="3"/>
        <v>0</v>
      </c>
      <c r="BF30" s="296">
        <f t="shared" si="4"/>
        <v>29</v>
      </c>
      <c r="BG30" s="2"/>
      <c r="BH30" s="2"/>
      <c r="BI30" s="2"/>
      <c r="BJ30" s="2"/>
      <c r="BK30" s="279">
        <f t="shared" si="5"/>
        <v>1</v>
      </c>
      <c r="BL30" s="279">
        <f t="shared" si="6"/>
        <v>29</v>
      </c>
      <c r="BM30" s="279"/>
      <c r="BN30" s="279"/>
      <c r="BO30" s="2">
        <f t="shared" si="16"/>
        <v>29</v>
      </c>
      <c r="BP30" s="430"/>
      <c r="BQ30" s="431"/>
      <c r="BR30" s="2"/>
      <c r="BS30" s="25"/>
      <c r="BT30" s="348">
        <f t="shared" si="17"/>
        <v>1</v>
      </c>
      <c r="BU30" s="2"/>
      <c r="BV30" s="282">
        <f t="shared" si="7"/>
        <v>0</v>
      </c>
      <c r="BW30" s="279"/>
      <c r="BX30" s="269">
        <f t="shared" si="8"/>
        <v>0</v>
      </c>
      <c r="BY30" s="349" t="e">
        <f>#N/A</f>
        <v>#N/A</v>
      </c>
      <c r="BZ30" s="349" t="e">
        <f>#N/A</f>
        <v>#N/A</v>
      </c>
      <c r="CA30" s="349" t="e">
        <f>#N/A</f>
        <v>#N/A</v>
      </c>
      <c r="CB30" s="351" t="e">
        <f>#N/A</f>
        <v>#N/A</v>
      </c>
      <c r="CC30" s="349" t="e">
        <f t="shared" si="9"/>
        <v>#N/A</v>
      </c>
      <c r="CD30" s="14" t="e">
        <f t="shared" si="18"/>
        <v>#N/A</v>
      </c>
      <c r="CE30" s="14">
        <f t="shared" si="19"/>
        <v>29</v>
      </c>
      <c r="CF30" s="25">
        <f t="shared" si="20"/>
        <v>1</v>
      </c>
      <c r="CG30" s="270"/>
      <c r="CH30" s="2"/>
      <c r="CL30" s="349" t="e">
        <f>#N/A</f>
        <v>#N/A</v>
      </c>
      <c r="CM30" s="349" t="e">
        <f>#N/A</f>
        <v>#N/A</v>
      </c>
      <c r="CN30" s="349" t="e">
        <f>#N/A</f>
        <v>#N/A</v>
      </c>
      <c r="CO30" s="349" t="e">
        <f>#N/A</f>
        <v>#N/A</v>
      </c>
      <c r="CP30" s="349" t="e">
        <f t="shared" si="10"/>
        <v>#N/A</v>
      </c>
      <c r="CQ30" s="14" t="e">
        <f t="shared" si="11"/>
        <v>#N/A</v>
      </c>
      <c r="CW30" s="1">
        <f t="shared" si="12"/>
        <v>0</v>
      </c>
      <c r="CX30" s="1">
        <f t="shared" si="13"/>
        <v>0</v>
      </c>
      <c r="CY30" s="2">
        <f t="shared" si="14"/>
        <v>0</v>
      </c>
    </row>
    <row r="31" spans="1:103" s="1" customFormat="1" ht="29.4" customHeight="1">
      <c r="A31" s="46">
        <v>25</v>
      </c>
      <c r="B31" s="46">
        <v>1</v>
      </c>
      <c r="C31" s="46">
        <v>25</v>
      </c>
      <c r="D31" s="48"/>
      <c r="E31" s="48"/>
      <c r="F31" s="46"/>
      <c r="G31" s="310">
        <v>0</v>
      </c>
      <c r="H31" s="310" t="s">
        <v>1991</v>
      </c>
      <c r="I31" s="310" t="s">
        <v>1991</v>
      </c>
      <c r="J31" s="310"/>
      <c r="K31" s="310" t="s">
        <v>1991</v>
      </c>
      <c r="L31" s="310" t="s">
        <v>1991</v>
      </c>
      <c r="M31" s="310" t="s">
        <v>1991</v>
      </c>
      <c r="N31" s="310" t="s">
        <v>1991</v>
      </c>
      <c r="O31" s="310" t="s">
        <v>1991</v>
      </c>
      <c r="P31" s="310" t="s">
        <v>1991</v>
      </c>
      <c r="Q31" s="310" t="s">
        <v>1991</v>
      </c>
      <c r="R31" s="310" t="s">
        <v>1991</v>
      </c>
      <c r="S31" s="310" t="s">
        <v>1991</v>
      </c>
      <c r="T31" s="505" t="s">
        <v>1991</v>
      </c>
      <c r="U31" s="310" t="s">
        <v>1991</v>
      </c>
      <c r="V31" s="32" t="s">
        <v>1991</v>
      </c>
      <c r="W31" s="506" t="s">
        <v>1991</v>
      </c>
      <c r="X31" s="506" t="s">
        <v>1991</v>
      </c>
      <c r="Y31" s="506" t="s">
        <v>1991</v>
      </c>
      <c r="Z31" s="32" t="s">
        <v>1991</v>
      </c>
      <c r="AA31" s="32" t="s">
        <v>1991</v>
      </c>
      <c r="AB31" s="32" t="s">
        <v>1991</v>
      </c>
      <c r="AC31" s="32" t="s">
        <v>1991</v>
      </c>
      <c r="AD31" s="32" t="s">
        <v>1991</v>
      </c>
      <c r="AE31" s="506" t="s">
        <v>1991</v>
      </c>
      <c r="AF31" s="506" t="s">
        <v>1991</v>
      </c>
      <c r="AG31" s="32" t="s">
        <v>1991</v>
      </c>
      <c r="AH31" s="32" t="s">
        <v>1991</v>
      </c>
      <c r="AI31" s="32" t="s">
        <v>1991</v>
      </c>
      <c r="AJ31" s="32" t="s">
        <v>1991</v>
      </c>
      <c r="AK31" s="506" t="s">
        <v>1991</v>
      </c>
      <c r="AL31" s="327"/>
      <c r="AM31" s="327"/>
      <c r="AN31" s="327"/>
      <c r="AO31" s="327"/>
      <c r="AP31" s="327" t="s">
        <v>1991</v>
      </c>
      <c r="AQ31" s="327"/>
      <c r="AR31" s="327"/>
      <c r="AS31" s="327"/>
      <c r="AT31" s="327"/>
      <c r="AU31" s="327"/>
      <c r="AV31" s="327"/>
      <c r="AW31" s="327"/>
      <c r="AX31" s="327"/>
      <c r="AY31" s="327"/>
      <c r="AZ31" s="327"/>
      <c r="BA31" s="327"/>
      <c r="BB31" s="46">
        <f t="shared" si="1"/>
        <v>13</v>
      </c>
      <c r="BC31" s="46">
        <f t="shared" si="2"/>
        <v>16</v>
      </c>
      <c r="BD31" s="46">
        <f t="shared" si="15"/>
        <v>1</v>
      </c>
      <c r="BE31" s="46">
        <f t="shared" si="3"/>
        <v>0</v>
      </c>
      <c r="BF31" s="296">
        <f t="shared" si="4"/>
        <v>29</v>
      </c>
      <c r="BG31" s="2"/>
      <c r="BH31" s="2"/>
      <c r="BI31" s="2"/>
      <c r="BJ31" s="2"/>
      <c r="BK31" s="279">
        <f t="shared" si="5"/>
        <v>1</v>
      </c>
      <c r="BL31" s="279">
        <f t="shared" si="6"/>
        <v>29</v>
      </c>
      <c r="BM31" s="279"/>
      <c r="BN31" s="279"/>
      <c r="BO31" s="2">
        <f t="shared" si="16"/>
        <v>29</v>
      </c>
      <c r="BP31" s="430"/>
      <c r="BQ31" s="431"/>
      <c r="BR31" s="2"/>
      <c r="BS31" s="25"/>
      <c r="BT31" s="348">
        <f t="shared" si="17"/>
        <v>1</v>
      </c>
      <c r="BU31" s="2"/>
      <c r="BV31" s="282">
        <f t="shared" si="7"/>
        <v>0</v>
      </c>
      <c r="BW31" s="279"/>
      <c r="BX31" s="269">
        <f t="shared" si="8"/>
        <v>0</v>
      </c>
      <c r="BY31" s="349" t="e">
        <f>#N/A</f>
        <v>#N/A</v>
      </c>
      <c r="BZ31" s="349" t="e">
        <f>#N/A</f>
        <v>#N/A</v>
      </c>
      <c r="CA31" s="349" t="e">
        <f>#N/A</f>
        <v>#N/A</v>
      </c>
      <c r="CB31" s="351" t="e">
        <f>#N/A</f>
        <v>#N/A</v>
      </c>
      <c r="CC31" s="349" t="e">
        <f t="shared" si="9"/>
        <v>#N/A</v>
      </c>
      <c r="CD31" s="14" t="e">
        <f t="shared" si="18"/>
        <v>#N/A</v>
      </c>
      <c r="CE31" s="14">
        <f t="shared" si="19"/>
        <v>29</v>
      </c>
      <c r="CF31" s="25">
        <f t="shared" si="20"/>
        <v>1</v>
      </c>
      <c r="CG31" s="270"/>
      <c r="CH31" s="2"/>
      <c r="CL31" s="349" t="e">
        <f>#N/A</f>
        <v>#N/A</v>
      </c>
      <c r="CM31" s="349" t="e">
        <f>#N/A</f>
        <v>#N/A</v>
      </c>
      <c r="CN31" s="349" t="e">
        <f>#N/A</f>
        <v>#N/A</v>
      </c>
      <c r="CO31" s="349" t="e">
        <f>#N/A</f>
        <v>#N/A</v>
      </c>
      <c r="CP31" s="349" t="e">
        <f t="shared" si="10"/>
        <v>#N/A</v>
      </c>
      <c r="CQ31" s="14" t="e">
        <f t="shared" si="11"/>
        <v>#N/A</v>
      </c>
      <c r="CW31" s="1">
        <f t="shared" si="12"/>
        <v>0</v>
      </c>
      <c r="CX31" s="1">
        <f t="shared" si="13"/>
        <v>0</v>
      </c>
      <c r="CY31" s="2">
        <f t="shared" si="14"/>
        <v>0</v>
      </c>
    </row>
    <row r="32" spans="1:103" s="1" customFormat="1" ht="29.4" customHeight="1">
      <c r="A32" s="46">
        <v>26</v>
      </c>
      <c r="B32" s="46">
        <v>1</v>
      </c>
      <c r="C32" s="46">
        <v>26</v>
      </c>
      <c r="D32" s="48"/>
      <c r="E32" s="48"/>
      <c r="F32" s="46"/>
      <c r="G32" s="310">
        <v>0</v>
      </c>
      <c r="H32" s="310" t="s">
        <v>1991</v>
      </c>
      <c r="I32" s="310" t="s">
        <v>1991</v>
      </c>
      <c r="J32" s="310"/>
      <c r="K32" s="310" t="s">
        <v>1991</v>
      </c>
      <c r="L32" s="310" t="s">
        <v>1991</v>
      </c>
      <c r="M32" s="310" t="s">
        <v>1991</v>
      </c>
      <c r="N32" s="310" t="s">
        <v>1991</v>
      </c>
      <c r="O32" s="310" t="s">
        <v>1991</v>
      </c>
      <c r="P32" s="310" t="s">
        <v>1991</v>
      </c>
      <c r="Q32" s="310" t="s">
        <v>1991</v>
      </c>
      <c r="R32" s="310" t="s">
        <v>1991</v>
      </c>
      <c r="S32" s="310" t="s">
        <v>1991</v>
      </c>
      <c r="T32" s="505" t="s">
        <v>1991</v>
      </c>
      <c r="U32" s="310" t="s">
        <v>1991</v>
      </c>
      <c r="V32" s="32" t="s">
        <v>1991</v>
      </c>
      <c r="W32" s="506" t="s">
        <v>1991</v>
      </c>
      <c r="X32" s="506" t="s">
        <v>1991</v>
      </c>
      <c r="Y32" s="506" t="s">
        <v>1991</v>
      </c>
      <c r="Z32" s="32" t="s">
        <v>1991</v>
      </c>
      <c r="AA32" s="32" t="s">
        <v>1991</v>
      </c>
      <c r="AB32" s="32" t="s">
        <v>1991</v>
      </c>
      <c r="AC32" s="32" t="s">
        <v>1991</v>
      </c>
      <c r="AD32" s="32" t="s">
        <v>1991</v>
      </c>
      <c r="AE32" s="506" t="s">
        <v>1991</v>
      </c>
      <c r="AF32" s="506" t="s">
        <v>1991</v>
      </c>
      <c r="AG32" s="32" t="s">
        <v>1991</v>
      </c>
      <c r="AH32" s="32" t="s">
        <v>1991</v>
      </c>
      <c r="AI32" s="32" t="s">
        <v>1991</v>
      </c>
      <c r="AJ32" s="32" t="s">
        <v>1991</v>
      </c>
      <c r="AK32" s="506" t="s">
        <v>1991</v>
      </c>
      <c r="AL32" s="327"/>
      <c r="AM32" s="327"/>
      <c r="AN32" s="327"/>
      <c r="AO32" s="327"/>
      <c r="AP32" s="327" t="s">
        <v>1991</v>
      </c>
      <c r="AQ32" s="327"/>
      <c r="AR32" s="327"/>
      <c r="AS32" s="327"/>
      <c r="AT32" s="327"/>
      <c r="AU32" s="327"/>
      <c r="AV32" s="327"/>
      <c r="AW32" s="327"/>
      <c r="AX32" s="327"/>
      <c r="AY32" s="327"/>
      <c r="AZ32" s="327"/>
      <c r="BA32" s="327"/>
      <c r="BB32" s="46">
        <f t="shared" si="1"/>
        <v>13</v>
      </c>
      <c r="BC32" s="46">
        <f t="shared" si="2"/>
        <v>16</v>
      </c>
      <c r="BD32" s="46">
        <f t="shared" si="15"/>
        <v>1</v>
      </c>
      <c r="BE32" s="46">
        <f t="shared" si="3"/>
        <v>0</v>
      </c>
      <c r="BF32" s="296">
        <f t="shared" si="4"/>
        <v>29</v>
      </c>
      <c r="BG32" s="2"/>
      <c r="BH32" s="2"/>
      <c r="BI32" s="2"/>
      <c r="BJ32" s="2"/>
      <c r="BK32" s="279">
        <f t="shared" si="5"/>
        <v>1</v>
      </c>
      <c r="BL32" s="279">
        <f t="shared" si="6"/>
        <v>29</v>
      </c>
      <c r="BM32" s="279"/>
      <c r="BN32" s="279"/>
      <c r="BO32" s="2">
        <f t="shared" si="16"/>
        <v>29</v>
      </c>
      <c r="BP32" s="430"/>
      <c r="BQ32" s="431"/>
      <c r="BR32" s="2"/>
      <c r="BS32" s="25"/>
      <c r="BT32" s="348">
        <f t="shared" si="17"/>
        <v>1</v>
      </c>
      <c r="BU32" s="2"/>
      <c r="BV32" s="282">
        <f t="shared" si="7"/>
        <v>0</v>
      </c>
      <c r="BW32" s="279"/>
      <c r="BX32" s="269">
        <f t="shared" si="8"/>
        <v>0</v>
      </c>
      <c r="BY32" s="349" t="e">
        <f>#N/A</f>
        <v>#N/A</v>
      </c>
      <c r="BZ32" s="349" t="e">
        <f>#N/A</f>
        <v>#N/A</v>
      </c>
      <c r="CA32" s="349" t="e">
        <f>#N/A</f>
        <v>#N/A</v>
      </c>
      <c r="CB32" s="351" t="e">
        <f>#N/A</f>
        <v>#N/A</v>
      </c>
      <c r="CC32" s="349" t="e">
        <f t="shared" si="9"/>
        <v>#N/A</v>
      </c>
      <c r="CD32" s="14" t="e">
        <f t="shared" si="18"/>
        <v>#N/A</v>
      </c>
      <c r="CE32" s="14">
        <f t="shared" si="19"/>
        <v>29</v>
      </c>
      <c r="CF32" s="25">
        <f t="shared" si="20"/>
        <v>1</v>
      </c>
      <c r="CG32" s="270"/>
      <c r="CH32" s="2"/>
      <c r="CL32" s="349" t="e">
        <f>#N/A</f>
        <v>#N/A</v>
      </c>
      <c r="CM32" s="349" t="e">
        <f>#N/A</f>
        <v>#N/A</v>
      </c>
      <c r="CN32" s="349" t="e">
        <f>#N/A</f>
        <v>#N/A</v>
      </c>
      <c r="CO32" s="349" t="e">
        <f>#N/A</f>
        <v>#N/A</v>
      </c>
      <c r="CP32" s="349" t="e">
        <f t="shared" si="10"/>
        <v>#N/A</v>
      </c>
      <c r="CQ32" s="14" t="e">
        <f t="shared" si="11"/>
        <v>#N/A</v>
      </c>
      <c r="CW32" s="1">
        <f t="shared" si="12"/>
        <v>0</v>
      </c>
      <c r="CX32" s="1">
        <f t="shared" si="13"/>
        <v>0</v>
      </c>
      <c r="CY32" s="2">
        <f t="shared" si="14"/>
        <v>0</v>
      </c>
    </row>
    <row r="33" spans="1:103" s="1" customFormat="1" ht="29.4" customHeight="1">
      <c r="A33" s="46">
        <v>27</v>
      </c>
      <c r="B33" s="46">
        <v>1</v>
      </c>
      <c r="C33" s="46">
        <v>27</v>
      </c>
      <c r="D33" s="48"/>
      <c r="E33" s="48"/>
      <c r="F33" s="46"/>
      <c r="G33" s="310">
        <v>0</v>
      </c>
      <c r="H33" s="310" t="s">
        <v>1991</v>
      </c>
      <c r="I33" s="310" t="s">
        <v>1991</v>
      </c>
      <c r="J33" s="310"/>
      <c r="K33" s="310" t="s">
        <v>1991</v>
      </c>
      <c r="L33" s="310" t="s">
        <v>1991</v>
      </c>
      <c r="M33" s="310" t="s">
        <v>1991</v>
      </c>
      <c r="N33" s="310">
        <v>0</v>
      </c>
      <c r="O33" s="310" t="s">
        <v>1991</v>
      </c>
      <c r="P33" s="310" t="s">
        <v>1991</v>
      </c>
      <c r="Q33" s="310" t="s">
        <v>1991</v>
      </c>
      <c r="R33" s="310" t="s">
        <v>1991</v>
      </c>
      <c r="S33" s="310" t="s">
        <v>1991</v>
      </c>
      <c r="T33" s="505" t="s">
        <v>1991</v>
      </c>
      <c r="U33" s="310" t="s">
        <v>1991</v>
      </c>
      <c r="V33" s="32" t="s">
        <v>1991</v>
      </c>
      <c r="W33" s="506" t="s">
        <v>1991</v>
      </c>
      <c r="X33" s="506" t="s">
        <v>1991</v>
      </c>
      <c r="Y33" s="506" t="s">
        <v>1991</v>
      </c>
      <c r="Z33" s="32" t="s">
        <v>1991</v>
      </c>
      <c r="AA33" s="32" t="s">
        <v>1991</v>
      </c>
      <c r="AB33" s="32" t="s">
        <v>1991</v>
      </c>
      <c r="AC33" s="32" t="s">
        <v>1991</v>
      </c>
      <c r="AD33" s="32" t="s">
        <v>1991</v>
      </c>
      <c r="AE33" s="506" t="s">
        <v>1991</v>
      </c>
      <c r="AF33" s="506" t="s">
        <v>1991</v>
      </c>
      <c r="AG33" s="32">
        <v>0</v>
      </c>
      <c r="AH33" s="32" t="s">
        <v>1991</v>
      </c>
      <c r="AI33" s="32" t="s">
        <v>1991</v>
      </c>
      <c r="AJ33" s="32" t="s">
        <v>1991</v>
      </c>
      <c r="AK33" s="506" t="s">
        <v>1991</v>
      </c>
      <c r="AL33" s="327"/>
      <c r="AM33" s="327"/>
      <c r="AN33" s="327"/>
      <c r="AO33" s="327"/>
      <c r="AP33" s="327" t="s">
        <v>1991</v>
      </c>
      <c r="AQ33" s="327"/>
      <c r="AR33" s="327"/>
      <c r="AS33" s="327"/>
      <c r="AT33" s="327"/>
      <c r="AU33" s="327"/>
      <c r="AV33" s="327"/>
      <c r="AW33" s="327"/>
      <c r="AX33" s="327"/>
      <c r="AY33" s="327"/>
      <c r="AZ33" s="327"/>
      <c r="BA33" s="327"/>
      <c r="BB33" s="46">
        <f t="shared" si="1"/>
        <v>12</v>
      </c>
      <c r="BC33" s="46">
        <f t="shared" si="2"/>
        <v>15</v>
      </c>
      <c r="BD33" s="46">
        <f t="shared" si="15"/>
        <v>1</v>
      </c>
      <c r="BE33" s="46">
        <f t="shared" si="3"/>
        <v>0</v>
      </c>
      <c r="BF33" s="296">
        <f t="shared" si="4"/>
        <v>27</v>
      </c>
      <c r="BG33" s="2"/>
      <c r="BH33" s="2"/>
      <c r="BI33" s="2"/>
      <c r="BJ33" s="2"/>
      <c r="BK33" s="279">
        <f t="shared" si="5"/>
        <v>1</v>
      </c>
      <c r="BL33" s="279">
        <f t="shared" si="6"/>
        <v>27</v>
      </c>
      <c r="BM33" s="279"/>
      <c r="BN33" s="279"/>
      <c r="BO33" s="2">
        <f t="shared" si="16"/>
        <v>27</v>
      </c>
      <c r="BP33" s="430"/>
      <c r="BQ33" s="431"/>
      <c r="BR33" s="2"/>
      <c r="BS33" s="25"/>
      <c r="BT33" s="348">
        <f t="shared" si="17"/>
        <v>1</v>
      </c>
      <c r="BU33" s="2"/>
      <c r="BV33" s="282">
        <f t="shared" si="7"/>
        <v>0</v>
      </c>
      <c r="BW33" s="279"/>
      <c r="BX33" s="269">
        <f t="shared" si="8"/>
        <v>0</v>
      </c>
      <c r="BY33" s="349" t="e">
        <f>#N/A</f>
        <v>#N/A</v>
      </c>
      <c r="BZ33" s="349" t="e">
        <f>#N/A</f>
        <v>#N/A</v>
      </c>
      <c r="CA33" s="349" t="e">
        <f>#N/A</f>
        <v>#N/A</v>
      </c>
      <c r="CB33" s="351" t="e">
        <f>#N/A</f>
        <v>#N/A</v>
      </c>
      <c r="CC33" s="349" t="e">
        <f t="shared" si="9"/>
        <v>#N/A</v>
      </c>
      <c r="CD33" s="14" t="e">
        <f t="shared" si="18"/>
        <v>#N/A</v>
      </c>
      <c r="CE33" s="14">
        <f t="shared" si="19"/>
        <v>27</v>
      </c>
      <c r="CF33" s="25">
        <f t="shared" si="20"/>
        <v>1</v>
      </c>
      <c r="CG33" s="270"/>
      <c r="CH33" s="2"/>
      <c r="CL33" s="349" t="e">
        <f>#N/A</f>
        <v>#N/A</v>
      </c>
      <c r="CM33" s="349" t="e">
        <f>#N/A</f>
        <v>#N/A</v>
      </c>
      <c r="CN33" s="349" t="e">
        <f>#N/A</f>
        <v>#N/A</v>
      </c>
      <c r="CO33" s="349" t="e">
        <f>#N/A</f>
        <v>#N/A</v>
      </c>
      <c r="CP33" s="349" t="e">
        <f t="shared" si="10"/>
        <v>#N/A</v>
      </c>
      <c r="CQ33" s="14" t="e">
        <f t="shared" si="11"/>
        <v>#N/A</v>
      </c>
      <c r="CW33" s="1">
        <f t="shared" si="12"/>
        <v>0</v>
      </c>
      <c r="CX33" s="1">
        <f t="shared" si="13"/>
        <v>0</v>
      </c>
      <c r="CY33" s="2">
        <f t="shared" si="14"/>
        <v>0</v>
      </c>
    </row>
    <row r="34" spans="1:103" s="1" customFormat="1" ht="29.4" customHeight="1">
      <c r="A34" s="46">
        <v>28</v>
      </c>
      <c r="B34" s="46">
        <v>1</v>
      </c>
      <c r="C34" s="46">
        <v>28</v>
      </c>
      <c r="D34" s="48"/>
      <c r="E34" s="48"/>
      <c r="F34" s="46"/>
      <c r="G34" s="310" t="s">
        <v>1991</v>
      </c>
      <c r="H34" s="310" t="s">
        <v>1991</v>
      </c>
      <c r="I34" s="310" t="s">
        <v>1991</v>
      </c>
      <c r="J34" s="310"/>
      <c r="K34" s="310" t="s">
        <v>1991</v>
      </c>
      <c r="L34" s="310" t="s">
        <v>1991</v>
      </c>
      <c r="M34" s="310">
        <v>0</v>
      </c>
      <c r="N34" s="310" t="s">
        <v>1991</v>
      </c>
      <c r="O34" s="310" t="s">
        <v>1991</v>
      </c>
      <c r="P34" s="310" t="s">
        <v>1991</v>
      </c>
      <c r="Q34" s="310" t="s">
        <v>1991</v>
      </c>
      <c r="R34" s="310" t="s">
        <v>1991</v>
      </c>
      <c r="S34" s="310" t="s">
        <v>1991</v>
      </c>
      <c r="T34" s="505" t="s">
        <v>1991</v>
      </c>
      <c r="U34" s="310" t="s">
        <v>1991</v>
      </c>
      <c r="V34" s="32" t="s">
        <v>1991</v>
      </c>
      <c r="W34" s="506" t="s">
        <v>1991</v>
      </c>
      <c r="X34" s="506" t="s">
        <v>1991</v>
      </c>
      <c r="Y34" s="506" t="s">
        <v>1991</v>
      </c>
      <c r="Z34" s="32" t="s">
        <v>1991</v>
      </c>
      <c r="AA34" s="32" t="s">
        <v>1991</v>
      </c>
      <c r="AB34" s="32">
        <v>0</v>
      </c>
      <c r="AC34" s="32" t="s">
        <v>1991</v>
      </c>
      <c r="AD34" s="32" t="s">
        <v>1991</v>
      </c>
      <c r="AE34" s="506" t="s">
        <v>1991</v>
      </c>
      <c r="AF34" s="506" t="s">
        <v>1991</v>
      </c>
      <c r="AG34" s="32" t="s">
        <v>1991</v>
      </c>
      <c r="AH34" s="32" t="s">
        <v>1991</v>
      </c>
      <c r="AI34" s="32" t="s">
        <v>1991</v>
      </c>
      <c r="AJ34" s="32">
        <v>0</v>
      </c>
      <c r="AK34" s="506" t="s">
        <v>1991</v>
      </c>
      <c r="AL34" s="327"/>
      <c r="AM34" s="327"/>
      <c r="AN34" s="327"/>
      <c r="AO34" s="327"/>
      <c r="AP34" s="327" t="s">
        <v>1991</v>
      </c>
      <c r="AQ34" s="327"/>
      <c r="AR34" s="327"/>
      <c r="AS34" s="327"/>
      <c r="AT34" s="327"/>
      <c r="AU34" s="327"/>
      <c r="AV34" s="327"/>
      <c r="AW34" s="327"/>
      <c r="AX34" s="327"/>
      <c r="AY34" s="327"/>
      <c r="AZ34" s="327"/>
      <c r="BA34" s="327"/>
      <c r="BB34" s="46">
        <f t="shared" si="1"/>
        <v>13</v>
      </c>
      <c r="BC34" s="46">
        <f t="shared" si="2"/>
        <v>14</v>
      </c>
      <c r="BD34" s="46">
        <f t="shared" si="15"/>
        <v>1</v>
      </c>
      <c r="BE34" s="46">
        <f t="shared" si="3"/>
        <v>0</v>
      </c>
      <c r="BF34" s="296">
        <f t="shared" si="4"/>
        <v>27</v>
      </c>
      <c r="BG34" s="2"/>
      <c r="BH34" s="2"/>
      <c r="BI34" s="2"/>
      <c r="BJ34" s="2"/>
      <c r="BK34" s="279">
        <f t="shared" si="5"/>
        <v>1</v>
      </c>
      <c r="BL34" s="279">
        <f t="shared" si="6"/>
        <v>27</v>
      </c>
      <c r="BM34" s="279"/>
      <c r="BN34" s="279"/>
      <c r="BO34" s="2">
        <f t="shared" si="16"/>
        <v>27</v>
      </c>
      <c r="BP34" s="430"/>
      <c r="BQ34" s="431"/>
      <c r="BR34" s="2"/>
      <c r="BS34" s="25"/>
      <c r="BT34" s="348">
        <f t="shared" si="17"/>
        <v>1</v>
      </c>
      <c r="BU34" s="2"/>
      <c r="BV34" s="282">
        <f t="shared" si="7"/>
        <v>0</v>
      </c>
      <c r="BW34" s="279"/>
      <c r="BX34" s="269">
        <f t="shared" si="8"/>
        <v>0</v>
      </c>
      <c r="BY34" s="349" t="e">
        <f>#N/A</f>
        <v>#N/A</v>
      </c>
      <c r="BZ34" s="349" t="e">
        <f>#N/A</f>
        <v>#N/A</v>
      </c>
      <c r="CA34" s="349" t="e">
        <f>#N/A</f>
        <v>#N/A</v>
      </c>
      <c r="CB34" s="351" t="e">
        <f>#N/A</f>
        <v>#N/A</v>
      </c>
      <c r="CC34" s="349" t="e">
        <f t="shared" si="9"/>
        <v>#N/A</v>
      </c>
      <c r="CD34" s="14" t="e">
        <f t="shared" si="18"/>
        <v>#N/A</v>
      </c>
      <c r="CE34" s="14">
        <f t="shared" si="19"/>
        <v>27</v>
      </c>
      <c r="CF34" s="25">
        <f t="shared" si="20"/>
        <v>1</v>
      </c>
      <c r="CG34" s="270"/>
      <c r="CH34" s="2"/>
      <c r="CL34" s="349" t="e">
        <f>#N/A</f>
        <v>#N/A</v>
      </c>
      <c r="CM34" s="349" t="e">
        <f>#N/A</f>
        <v>#N/A</v>
      </c>
      <c r="CN34" s="349" t="e">
        <f>#N/A</f>
        <v>#N/A</v>
      </c>
      <c r="CO34" s="349" t="e">
        <f>#N/A</f>
        <v>#N/A</v>
      </c>
      <c r="CP34" s="349" t="e">
        <f t="shared" si="10"/>
        <v>#N/A</v>
      </c>
      <c r="CQ34" s="14" t="e">
        <f t="shared" si="11"/>
        <v>#N/A</v>
      </c>
      <c r="CW34" s="1">
        <f t="shared" si="12"/>
        <v>0</v>
      </c>
      <c r="CX34" s="1">
        <f t="shared" si="13"/>
        <v>0</v>
      </c>
      <c r="CY34" s="2">
        <f t="shared" si="14"/>
        <v>0</v>
      </c>
    </row>
    <row r="35" spans="1:103" s="1" customFormat="1" ht="29.4" customHeight="1">
      <c r="A35" s="46">
        <v>29</v>
      </c>
      <c r="B35" s="46">
        <v>1</v>
      </c>
      <c r="C35" s="46">
        <v>29</v>
      </c>
      <c r="D35" s="48"/>
      <c r="E35" s="48"/>
      <c r="F35" s="46"/>
      <c r="G35" s="310" t="s">
        <v>1991</v>
      </c>
      <c r="H35" s="310" t="s">
        <v>1991</v>
      </c>
      <c r="I35" s="310">
        <v>0</v>
      </c>
      <c r="J35" s="310"/>
      <c r="K35" s="310" t="s">
        <v>1991</v>
      </c>
      <c r="L35" s="310">
        <v>0</v>
      </c>
      <c r="M35" s="310" t="s">
        <v>1991</v>
      </c>
      <c r="N35" s="310" t="s">
        <v>1991</v>
      </c>
      <c r="O35" s="310" t="s">
        <v>1991</v>
      </c>
      <c r="P35" s="310" t="s">
        <v>1991</v>
      </c>
      <c r="Q35" s="310" t="s">
        <v>1991</v>
      </c>
      <c r="R35" s="310" t="s">
        <v>1991</v>
      </c>
      <c r="S35" s="310" t="s">
        <v>1991</v>
      </c>
      <c r="T35" s="505">
        <v>0</v>
      </c>
      <c r="U35" s="310" t="s">
        <v>1991</v>
      </c>
      <c r="V35" s="32" t="s">
        <v>1991</v>
      </c>
      <c r="W35" s="506" t="s">
        <v>1991</v>
      </c>
      <c r="X35" s="506" t="s">
        <v>1991</v>
      </c>
      <c r="Y35" s="506" t="s">
        <v>1991</v>
      </c>
      <c r="Z35" s="32">
        <v>0</v>
      </c>
      <c r="AA35" s="32" t="s">
        <v>1991</v>
      </c>
      <c r="AB35" s="32" t="s">
        <v>1991</v>
      </c>
      <c r="AC35" s="32">
        <v>0</v>
      </c>
      <c r="AD35" s="32" t="s">
        <v>1991</v>
      </c>
      <c r="AE35" s="506" t="s">
        <v>1991</v>
      </c>
      <c r="AF35" s="506" t="s">
        <v>1991</v>
      </c>
      <c r="AG35" s="32" t="s">
        <v>1991</v>
      </c>
      <c r="AH35" s="32" t="s">
        <v>1991</v>
      </c>
      <c r="AI35" s="32" t="s">
        <v>1991</v>
      </c>
      <c r="AJ35" s="32" t="s">
        <v>1991</v>
      </c>
      <c r="AK35" s="506" t="s">
        <v>1991</v>
      </c>
      <c r="AL35" s="327"/>
      <c r="AM35" s="327"/>
      <c r="AN35" s="327"/>
      <c r="AO35" s="327"/>
      <c r="AP35" s="327" t="s">
        <v>1991</v>
      </c>
      <c r="AQ35" s="327"/>
      <c r="AR35" s="327"/>
      <c r="AS35" s="327"/>
      <c r="AT35" s="327"/>
      <c r="AU35" s="327"/>
      <c r="AV35" s="327"/>
      <c r="AW35" s="327"/>
      <c r="AX35" s="327"/>
      <c r="AY35" s="327"/>
      <c r="AZ35" s="327"/>
      <c r="BA35" s="327"/>
      <c r="BB35" s="46">
        <f t="shared" si="1"/>
        <v>11</v>
      </c>
      <c r="BC35" s="46">
        <f t="shared" si="2"/>
        <v>14</v>
      </c>
      <c r="BD35" s="46">
        <f t="shared" si="15"/>
        <v>1</v>
      </c>
      <c r="BE35" s="46">
        <f t="shared" si="3"/>
        <v>0</v>
      </c>
      <c r="BF35" s="296">
        <f t="shared" si="4"/>
        <v>25</v>
      </c>
      <c r="BG35" s="2"/>
      <c r="BH35" s="2"/>
      <c r="BI35" s="2"/>
      <c r="BJ35" s="2"/>
      <c r="BK35" s="279">
        <f t="shared" si="5"/>
        <v>0</v>
      </c>
      <c r="BL35" s="279">
        <f t="shared" si="6"/>
        <v>25</v>
      </c>
      <c r="BM35" s="279"/>
      <c r="BN35" s="279"/>
      <c r="BO35" s="2">
        <f t="shared" si="16"/>
        <v>0</v>
      </c>
      <c r="BP35" s="430"/>
      <c r="BQ35" s="431"/>
      <c r="BR35" s="26"/>
      <c r="BS35" s="25"/>
      <c r="BT35" s="348">
        <f t="shared" si="17"/>
        <v>0</v>
      </c>
      <c r="BU35" s="2"/>
      <c r="BV35" s="282">
        <f t="shared" si="7"/>
        <v>0</v>
      </c>
      <c r="BW35" s="279"/>
      <c r="BX35" s="269">
        <f t="shared" si="8"/>
        <v>0</v>
      </c>
      <c r="BY35" s="349" t="e">
        <f>#N/A</f>
        <v>#N/A</v>
      </c>
      <c r="BZ35" s="349" t="e">
        <f>#N/A</f>
        <v>#N/A</v>
      </c>
      <c r="CA35" s="349" t="e">
        <f>#N/A</f>
        <v>#N/A</v>
      </c>
      <c r="CB35" s="351" t="e">
        <f>#N/A</f>
        <v>#N/A</v>
      </c>
      <c r="CC35" s="349" t="e">
        <f t="shared" si="9"/>
        <v>#N/A</v>
      </c>
      <c r="CD35" s="14" t="e">
        <f t="shared" si="18"/>
        <v>#N/A</v>
      </c>
      <c r="CE35" s="14">
        <f t="shared" si="19"/>
        <v>0</v>
      </c>
      <c r="CF35" s="25">
        <f t="shared" si="20"/>
        <v>0</v>
      </c>
      <c r="CG35" s="270"/>
      <c r="CH35" s="2"/>
      <c r="CL35" s="349" t="e">
        <f>#N/A</f>
        <v>#N/A</v>
      </c>
      <c r="CM35" s="349" t="e">
        <f>#N/A</f>
        <v>#N/A</v>
      </c>
      <c r="CN35" s="349" t="e">
        <f>#N/A</f>
        <v>#N/A</v>
      </c>
      <c r="CO35" s="349" t="e">
        <f>#N/A</f>
        <v>#N/A</v>
      </c>
      <c r="CP35" s="349" t="e">
        <f t="shared" si="10"/>
        <v>#N/A</v>
      </c>
      <c r="CQ35" s="14" t="e">
        <f t="shared" si="11"/>
        <v>#N/A</v>
      </c>
      <c r="CW35" s="1">
        <f t="shared" si="12"/>
        <v>0</v>
      </c>
      <c r="CX35" s="1">
        <f t="shared" si="13"/>
        <v>0</v>
      </c>
      <c r="CY35" s="2">
        <f t="shared" si="14"/>
        <v>0</v>
      </c>
    </row>
    <row r="36" spans="1:103" s="1" customFormat="1" ht="29.4" customHeight="1">
      <c r="A36" s="46">
        <v>30</v>
      </c>
      <c r="B36" s="46">
        <v>1</v>
      </c>
      <c r="C36" s="46">
        <v>30</v>
      </c>
      <c r="D36" s="48"/>
      <c r="E36" s="48"/>
      <c r="F36" s="46"/>
      <c r="G36" s="310" t="s">
        <v>1991</v>
      </c>
      <c r="H36" s="310" t="s">
        <v>1991</v>
      </c>
      <c r="I36" s="310" t="s">
        <v>1991</v>
      </c>
      <c r="J36" s="310"/>
      <c r="K36" s="310" t="s">
        <v>1991</v>
      </c>
      <c r="L36" s="310" t="s">
        <v>1991</v>
      </c>
      <c r="M36" s="310" t="s">
        <v>1991</v>
      </c>
      <c r="N36" s="310" t="s">
        <v>1991</v>
      </c>
      <c r="O36" s="310" t="s">
        <v>1991</v>
      </c>
      <c r="P36" s="310" t="s">
        <v>1991</v>
      </c>
      <c r="Q36" s="310" t="s">
        <v>1991</v>
      </c>
      <c r="R36" s="310" t="s">
        <v>1991</v>
      </c>
      <c r="S36" s="310" t="s">
        <v>1991</v>
      </c>
      <c r="T36" s="505" t="s">
        <v>1991</v>
      </c>
      <c r="U36" s="310" t="s">
        <v>1991</v>
      </c>
      <c r="V36" s="32" t="s">
        <v>1991</v>
      </c>
      <c r="W36" s="506" t="s">
        <v>1991</v>
      </c>
      <c r="X36" s="506" t="s">
        <v>1991</v>
      </c>
      <c r="Y36" s="506" t="s">
        <v>1991</v>
      </c>
      <c r="Z36" s="32" t="s">
        <v>1991</v>
      </c>
      <c r="AA36" s="32" t="s">
        <v>1991</v>
      </c>
      <c r="AB36" s="32">
        <v>0</v>
      </c>
      <c r="AC36" s="32" t="s">
        <v>1991</v>
      </c>
      <c r="AD36" s="32" t="s">
        <v>1991</v>
      </c>
      <c r="AE36" s="506" t="s">
        <v>1991</v>
      </c>
      <c r="AF36" s="506" t="s">
        <v>1991</v>
      </c>
      <c r="AG36" s="32" t="s">
        <v>1991</v>
      </c>
      <c r="AH36" s="32">
        <v>0</v>
      </c>
      <c r="AI36" s="32" t="s">
        <v>1991</v>
      </c>
      <c r="AJ36" s="32" t="s">
        <v>1991</v>
      </c>
      <c r="AK36" s="506" t="s">
        <v>1991</v>
      </c>
      <c r="AL36" s="327"/>
      <c r="AM36" s="327"/>
      <c r="AN36" s="327"/>
      <c r="AO36" s="327"/>
      <c r="AP36" s="327" t="s">
        <v>1991</v>
      </c>
      <c r="AQ36" s="327"/>
      <c r="AR36" s="327"/>
      <c r="AS36" s="327"/>
      <c r="AT36" s="327"/>
      <c r="AU36" s="327"/>
      <c r="AV36" s="327"/>
      <c r="AW36" s="327"/>
      <c r="AX36" s="327"/>
      <c r="AY36" s="327"/>
      <c r="AZ36" s="327"/>
      <c r="BA36" s="327"/>
      <c r="BB36" s="46">
        <f t="shared" si="1"/>
        <v>14</v>
      </c>
      <c r="BC36" s="46">
        <f t="shared" si="2"/>
        <v>14</v>
      </c>
      <c r="BD36" s="46">
        <f t="shared" si="15"/>
        <v>1</v>
      </c>
      <c r="BE36" s="46">
        <f t="shared" si="3"/>
        <v>0</v>
      </c>
      <c r="BF36" s="296">
        <f t="shared" si="4"/>
        <v>28</v>
      </c>
      <c r="BG36" s="2"/>
      <c r="BH36" s="2"/>
      <c r="BI36" s="2"/>
      <c r="BJ36" s="2"/>
      <c r="BK36" s="279">
        <f t="shared" si="5"/>
        <v>1</v>
      </c>
      <c r="BL36" s="279">
        <f t="shared" si="6"/>
        <v>28</v>
      </c>
      <c r="BM36" s="279"/>
      <c r="BN36" s="279"/>
      <c r="BO36" s="2">
        <f t="shared" si="16"/>
        <v>28</v>
      </c>
      <c r="BP36" s="430"/>
      <c r="BQ36" s="431"/>
      <c r="BR36" s="2"/>
      <c r="BS36" s="25"/>
      <c r="BT36" s="348">
        <f t="shared" si="17"/>
        <v>1</v>
      </c>
      <c r="BU36" s="2"/>
      <c r="BV36" s="282">
        <f t="shared" si="7"/>
        <v>0</v>
      </c>
      <c r="BW36" s="279"/>
      <c r="BX36" s="269">
        <f t="shared" si="8"/>
        <v>0</v>
      </c>
      <c r="BY36" s="349" t="e">
        <f>#N/A</f>
        <v>#N/A</v>
      </c>
      <c r="BZ36" s="349" t="e">
        <f>#N/A</f>
        <v>#N/A</v>
      </c>
      <c r="CA36" s="349" t="e">
        <f>#N/A</f>
        <v>#N/A</v>
      </c>
      <c r="CB36" s="351" t="e">
        <f>#N/A</f>
        <v>#N/A</v>
      </c>
      <c r="CC36" s="349" t="e">
        <f t="shared" si="9"/>
        <v>#N/A</v>
      </c>
      <c r="CD36" s="14" t="e">
        <f t="shared" si="18"/>
        <v>#N/A</v>
      </c>
      <c r="CE36" s="14">
        <f t="shared" si="19"/>
        <v>28</v>
      </c>
      <c r="CF36" s="25">
        <f t="shared" si="20"/>
        <v>1</v>
      </c>
      <c r="CG36" s="270"/>
      <c r="CH36" s="2"/>
      <c r="CL36" s="349" t="e">
        <f>#N/A</f>
        <v>#N/A</v>
      </c>
      <c r="CM36" s="349" t="e">
        <f>#N/A</f>
        <v>#N/A</v>
      </c>
      <c r="CN36" s="349" t="e">
        <f>#N/A</f>
        <v>#N/A</v>
      </c>
      <c r="CO36" s="349" t="e">
        <f>#N/A</f>
        <v>#N/A</v>
      </c>
      <c r="CP36" s="349" t="e">
        <f t="shared" si="10"/>
        <v>#N/A</v>
      </c>
      <c r="CQ36" s="14" t="e">
        <f t="shared" si="11"/>
        <v>#N/A</v>
      </c>
      <c r="CW36" s="1">
        <f t="shared" si="12"/>
        <v>0</v>
      </c>
      <c r="CX36" s="1">
        <f t="shared" si="13"/>
        <v>0</v>
      </c>
      <c r="CY36" s="2">
        <f t="shared" si="14"/>
        <v>0</v>
      </c>
    </row>
    <row r="37" spans="1:103" s="1" customFormat="1" ht="29.4" customHeight="1">
      <c r="A37" s="46">
        <v>31</v>
      </c>
      <c r="B37" s="46">
        <v>1</v>
      </c>
      <c r="C37" s="46">
        <v>31</v>
      </c>
      <c r="D37" s="48"/>
      <c r="E37" s="48"/>
      <c r="F37" s="46"/>
      <c r="G37" s="310" t="s">
        <v>1991</v>
      </c>
      <c r="H37" s="310">
        <v>0</v>
      </c>
      <c r="I37" s="310" t="s">
        <v>1991</v>
      </c>
      <c r="J37" s="310"/>
      <c r="K37" s="310" t="s">
        <v>1991</v>
      </c>
      <c r="L37" s="310" t="s">
        <v>1991</v>
      </c>
      <c r="M37" s="310" t="s">
        <v>1991</v>
      </c>
      <c r="N37" s="310" t="s">
        <v>1991</v>
      </c>
      <c r="O37" s="310" t="s">
        <v>1991</v>
      </c>
      <c r="P37" s="310" t="s">
        <v>1991</v>
      </c>
      <c r="Q37" s="310" t="s">
        <v>1991</v>
      </c>
      <c r="R37" s="310" t="s">
        <v>1991</v>
      </c>
      <c r="S37" s="310" t="s">
        <v>1991</v>
      </c>
      <c r="T37" s="505" t="s">
        <v>1991</v>
      </c>
      <c r="U37" s="310" t="s">
        <v>1991</v>
      </c>
      <c r="V37" s="32" t="s">
        <v>1991</v>
      </c>
      <c r="W37" s="506" t="s">
        <v>1991</v>
      </c>
      <c r="X37" s="506" t="s">
        <v>1991</v>
      </c>
      <c r="Y37" s="506" t="s">
        <v>1991</v>
      </c>
      <c r="Z37" s="32" t="s">
        <v>1991</v>
      </c>
      <c r="AA37" s="32" t="s">
        <v>1991</v>
      </c>
      <c r="AB37" s="32">
        <v>0</v>
      </c>
      <c r="AC37" s="32" t="s">
        <v>1991</v>
      </c>
      <c r="AD37" s="32" t="s">
        <v>1991</v>
      </c>
      <c r="AE37" s="506" t="s">
        <v>1991</v>
      </c>
      <c r="AF37" s="506">
        <v>0</v>
      </c>
      <c r="AG37" s="32" t="s">
        <v>1991</v>
      </c>
      <c r="AH37" s="32" t="s">
        <v>1991</v>
      </c>
      <c r="AI37" s="32" t="s">
        <v>1991</v>
      </c>
      <c r="AJ37" s="32" t="s">
        <v>1991</v>
      </c>
      <c r="AK37" s="506" t="s">
        <v>1991</v>
      </c>
      <c r="AL37" s="327"/>
      <c r="AM37" s="327"/>
      <c r="AN37" s="327"/>
      <c r="AO37" s="327"/>
      <c r="AP37" s="327" t="s">
        <v>1991</v>
      </c>
      <c r="AQ37" s="327"/>
      <c r="AR37" s="327"/>
      <c r="AS37" s="327"/>
      <c r="AT37" s="327"/>
      <c r="AU37" s="327"/>
      <c r="AV37" s="327"/>
      <c r="AW37" s="327"/>
      <c r="AX37" s="327"/>
      <c r="AY37" s="327"/>
      <c r="AZ37" s="327"/>
      <c r="BA37" s="327"/>
      <c r="BB37" s="46">
        <f t="shared" si="1"/>
        <v>13</v>
      </c>
      <c r="BC37" s="46">
        <f t="shared" si="2"/>
        <v>14</v>
      </c>
      <c r="BD37" s="46">
        <f t="shared" si="15"/>
        <v>1</v>
      </c>
      <c r="BE37" s="46">
        <f t="shared" si="3"/>
        <v>0</v>
      </c>
      <c r="BF37" s="296">
        <f t="shared" si="4"/>
        <v>27</v>
      </c>
      <c r="BG37" s="2"/>
      <c r="BH37" s="2"/>
      <c r="BI37" s="2"/>
      <c r="BJ37" s="2"/>
      <c r="BK37" s="279">
        <f t="shared" si="5"/>
        <v>1</v>
      </c>
      <c r="BL37" s="279">
        <f t="shared" si="6"/>
        <v>27</v>
      </c>
      <c r="BM37" s="279"/>
      <c r="BN37" s="279"/>
      <c r="BO37" s="2">
        <f t="shared" si="16"/>
        <v>27</v>
      </c>
      <c r="BP37" s="430"/>
      <c r="BQ37" s="431"/>
      <c r="BR37" s="2"/>
      <c r="BS37" s="25"/>
      <c r="BT37" s="348">
        <f t="shared" si="17"/>
        <v>1</v>
      </c>
      <c r="BU37" s="2"/>
      <c r="BV37" s="282">
        <f t="shared" si="7"/>
        <v>0</v>
      </c>
      <c r="BW37" s="279"/>
      <c r="BX37" s="269">
        <f t="shared" si="8"/>
        <v>0</v>
      </c>
      <c r="BY37" s="349" t="e">
        <f>#N/A</f>
        <v>#N/A</v>
      </c>
      <c r="BZ37" s="349" t="e">
        <f>#N/A</f>
        <v>#N/A</v>
      </c>
      <c r="CA37" s="349" t="e">
        <f>#N/A</f>
        <v>#N/A</v>
      </c>
      <c r="CB37" s="351" t="e">
        <f>#N/A</f>
        <v>#N/A</v>
      </c>
      <c r="CC37" s="349" t="e">
        <f t="shared" si="9"/>
        <v>#N/A</v>
      </c>
      <c r="CD37" s="14" t="e">
        <f t="shared" si="18"/>
        <v>#N/A</v>
      </c>
      <c r="CE37" s="14">
        <f t="shared" si="19"/>
        <v>27</v>
      </c>
      <c r="CF37" s="25">
        <f t="shared" si="20"/>
        <v>1</v>
      </c>
      <c r="CG37" s="270"/>
      <c r="CH37" s="2"/>
      <c r="CL37" s="349" t="e">
        <f>#N/A</f>
        <v>#N/A</v>
      </c>
      <c r="CM37" s="349" t="e">
        <f>#N/A</f>
        <v>#N/A</v>
      </c>
      <c r="CN37" s="349" t="e">
        <f>#N/A</f>
        <v>#N/A</v>
      </c>
      <c r="CO37" s="349" t="e">
        <f>#N/A</f>
        <v>#N/A</v>
      </c>
      <c r="CP37" s="349" t="e">
        <f t="shared" si="10"/>
        <v>#N/A</v>
      </c>
      <c r="CQ37" s="14" t="e">
        <f t="shared" si="11"/>
        <v>#N/A</v>
      </c>
      <c r="CW37" s="1">
        <f t="shared" si="12"/>
        <v>0</v>
      </c>
      <c r="CX37" s="1">
        <f t="shared" si="13"/>
        <v>0</v>
      </c>
      <c r="CY37" s="2">
        <f t="shared" si="14"/>
        <v>0</v>
      </c>
    </row>
    <row r="38" spans="1:103" s="1" customFormat="1" ht="29.4" customHeight="1">
      <c r="A38" s="46">
        <v>32</v>
      </c>
      <c r="B38" s="46">
        <v>1</v>
      </c>
      <c r="C38" s="46">
        <v>32</v>
      </c>
      <c r="D38" s="48"/>
      <c r="E38" s="48"/>
      <c r="F38" s="46"/>
      <c r="G38" s="310" t="s">
        <v>1991</v>
      </c>
      <c r="H38" s="310" t="s">
        <v>1991</v>
      </c>
      <c r="I38" s="310" t="s">
        <v>1991</v>
      </c>
      <c r="J38" s="310"/>
      <c r="K38" s="310" t="s">
        <v>1991</v>
      </c>
      <c r="L38" s="310" t="s">
        <v>1991</v>
      </c>
      <c r="M38" s="310" t="s">
        <v>1991</v>
      </c>
      <c r="N38" s="310" t="s">
        <v>1991</v>
      </c>
      <c r="O38" s="310" t="s">
        <v>1991</v>
      </c>
      <c r="P38" s="310" t="s">
        <v>1991</v>
      </c>
      <c r="Q38" s="310" t="s">
        <v>1991</v>
      </c>
      <c r="R38" s="310" t="s">
        <v>1991</v>
      </c>
      <c r="S38" s="310" t="s">
        <v>1991</v>
      </c>
      <c r="T38" s="505" t="s">
        <v>1991</v>
      </c>
      <c r="U38" s="310" t="s">
        <v>1991</v>
      </c>
      <c r="V38" s="32" t="s">
        <v>1991</v>
      </c>
      <c r="W38" s="506" t="s">
        <v>1991</v>
      </c>
      <c r="X38" s="506" t="s">
        <v>1991</v>
      </c>
      <c r="Y38" s="506" t="s">
        <v>1991</v>
      </c>
      <c r="Z38" s="32" t="s">
        <v>1991</v>
      </c>
      <c r="AA38" s="32" t="s">
        <v>1991</v>
      </c>
      <c r="AB38" s="32" t="s">
        <v>1991</v>
      </c>
      <c r="AC38" s="32" t="s">
        <v>1991</v>
      </c>
      <c r="AD38" s="32" t="s">
        <v>1991</v>
      </c>
      <c r="AE38" s="506">
        <v>0</v>
      </c>
      <c r="AF38" s="506" t="s">
        <v>1991</v>
      </c>
      <c r="AG38" s="32" t="s">
        <v>1991</v>
      </c>
      <c r="AH38" s="32" t="s">
        <v>1991</v>
      </c>
      <c r="AI38" s="32" t="s">
        <v>1991</v>
      </c>
      <c r="AJ38" s="32" t="s">
        <v>1991</v>
      </c>
      <c r="AK38" s="506" t="s">
        <v>1991</v>
      </c>
      <c r="AL38" s="327"/>
      <c r="AM38" s="327"/>
      <c r="AN38" s="327"/>
      <c r="AO38" s="327"/>
      <c r="AP38" s="327" t="s">
        <v>1991</v>
      </c>
      <c r="AQ38" s="327"/>
      <c r="AR38" s="327"/>
      <c r="AS38" s="327"/>
      <c r="AT38" s="327"/>
      <c r="AU38" s="327"/>
      <c r="AV38" s="327"/>
      <c r="AW38" s="327"/>
      <c r="AX38" s="327"/>
      <c r="AY38" s="327"/>
      <c r="AZ38" s="327"/>
      <c r="BA38" s="327"/>
      <c r="BB38" s="46">
        <f t="shared" si="1"/>
        <v>14</v>
      </c>
      <c r="BC38" s="46">
        <f t="shared" si="2"/>
        <v>15</v>
      </c>
      <c r="BD38" s="46">
        <f t="shared" si="15"/>
        <v>1</v>
      </c>
      <c r="BE38" s="46">
        <f t="shared" si="3"/>
        <v>0</v>
      </c>
      <c r="BF38" s="296">
        <f t="shared" si="4"/>
        <v>29</v>
      </c>
      <c r="BG38" s="2"/>
      <c r="BH38" s="2"/>
      <c r="BI38" s="2"/>
      <c r="BJ38" s="2"/>
      <c r="BK38" s="279">
        <f t="shared" si="5"/>
        <v>1</v>
      </c>
      <c r="BL38" s="279">
        <f t="shared" si="6"/>
        <v>29</v>
      </c>
      <c r="BM38" s="279"/>
      <c r="BN38" s="279"/>
      <c r="BO38" s="2">
        <f t="shared" si="16"/>
        <v>29</v>
      </c>
      <c r="BP38" s="430"/>
      <c r="BQ38" s="431"/>
      <c r="BR38" s="2"/>
      <c r="BS38" s="25"/>
      <c r="BT38" s="348">
        <f t="shared" si="17"/>
        <v>1</v>
      </c>
      <c r="BU38" s="2"/>
      <c r="BV38" s="282">
        <f t="shared" si="7"/>
        <v>0</v>
      </c>
      <c r="BW38" s="279"/>
      <c r="BX38" s="269">
        <f t="shared" si="8"/>
        <v>0</v>
      </c>
      <c r="BY38" s="349" t="e">
        <f>#N/A</f>
        <v>#N/A</v>
      </c>
      <c r="BZ38" s="349" t="e">
        <f>#N/A</f>
        <v>#N/A</v>
      </c>
      <c r="CA38" s="349" t="e">
        <f>#N/A</f>
        <v>#N/A</v>
      </c>
      <c r="CB38" s="351" t="e">
        <f>#N/A</f>
        <v>#N/A</v>
      </c>
      <c r="CC38" s="349" t="e">
        <f t="shared" si="9"/>
        <v>#N/A</v>
      </c>
      <c r="CD38" s="14" t="e">
        <f t="shared" si="18"/>
        <v>#N/A</v>
      </c>
      <c r="CE38" s="14">
        <f t="shared" si="19"/>
        <v>29</v>
      </c>
      <c r="CF38" s="25">
        <f t="shared" si="20"/>
        <v>1</v>
      </c>
      <c r="CG38" s="270"/>
      <c r="CH38" s="2"/>
      <c r="CL38" s="349" t="e">
        <f>#N/A</f>
        <v>#N/A</v>
      </c>
      <c r="CM38" s="349" t="e">
        <f>#N/A</f>
        <v>#N/A</v>
      </c>
      <c r="CN38" s="349" t="e">
        <f>#N/A</f>
        <v>#N/A</v>
      </c>
      <c r="CO38" s="349" t="e">
        <f>#N/A</f>
        <v>#N/A</v>
      </c>
      <c r="CP38" s="349" t="e">
        <f t="shared" si="10"/>
        <v>#N/A</v>
      </c>
      <c r="CQ38" s="14" t="e">
        <f t="shared" si="11"/>
        <v>#N/A</v>
      </c>
      <c r="CW38" s="1">
        <f t="shared" si="12"/>
        <v>0</v>
      </c>
      <c r="CX38" s="1">
        <f t="shared" si="13"/>
        <v>0</v>
      </c>
      <c r="CY38" s="2">
        <f t="shared" si="14"/>
        <v>0</v>
      </c>
    </row>
    <row r="39" spans="1:103" s="1" customFormat="1" ht="29.4" customHeight="1">
      <c r="A39" s="46">
        <v>33</v>
      </c>
      <c r="B39" s="46">
        <v>1</v>
      </c>
      <c r="C39" s="46">
        <v>33</v>
      </c>
      <c r="D39" s="48"/>
      <c r="E39" s="48"/>
      <c r="F39" s="46"/>
      <c r="G39" s="310" t="s">
        <v>1991</v>
      </c>
      <c r="H39" s="310" t="s">
        <v>1991</v>
      </c>
      <c r="I39" s="310" t="s">
        <v>1991</v>
      </c>
      <c r="J39" s="310"/>
      <c r="K39" s="310" t="s">
        <v>1991</v>
      </c>
      <c r="L39" s="310" t="s">
        <v>1991</v>
      </c>
      <c r="M39" s="310" t="s">
        <v>1991</v>
      </c>
      <c r="N39" s="310" t="s">
        <v>1991</v>
      </c>
      <c r="O39" s="310" t="s">
        <v>1991</v>
      </c>
      <c r="P39" s="310" t="s">
        <v>1991</v>
      </c>
      <c r="Q39" s="310" t="s">
        <v>1991</v>
      </c>
      <c r="R39" s="310" t="s">
        <v>1991</v>
      </c>
      <c r="S39" s="310" t="s">
        <v>1991</v>
      </c>
      <c r="T39" s="505" t="s">
        <v>1991</v>
      </c>
      <c r="U39" s="310" t="s">
        <v>1991</v>
      </c>
      <c r="V39" s="32" t="s">
        <v>1991</v>
      </c>
      <c r="W39" s="506" t="s">
        <v>1991</v>
      </c>
      <c r="X39" s="506" t="s">
        <v>1991</v>
      </c>
      <c r="Y39" s="506" t="s">
        <v>1991</v>
      </c>
      <c r="Z39" s="32" t="s">
        <v>1991</v>
      </c>
      <c r="AA39" s="32" t="s">
        <v>1991</v>
      </c>
      <c r="AB39" s="32">
        <v>0</v>
      </c>
      <c r="AC39" s="32" t="s">
        <v>1991</v>
      </c>
      <c r="AD39" s="32" t="s">
        <v>1991</v>
      </c>
      <c r="AE39" s="506" t="s">
        <v>1991</v>
      </c>
      <c r="AF39" s="506" t="s">
        <v>1991</v>
      </c>
      <c r="AG39" s="32" t="s">
        <v>1991</v>
      </c>
      <c r="AH39" s="32" t="s">
        <v>1991</v>
      </c>
      <c r="AI39" s="32" t="s">
        <v>1991</v>
      </c>
      <c r="AJ39" s="32" t="s">
        <v>1991</v>
      </c>
      <c r="AK39" s="506" t="s">
        <v>1991</v>
      </c>
      <c r="AL39" s="327"/>
      <c r="AM39" s="327"/>
      <c r="AN39" s="327"/>
      <c r="AO39" s="327"/>
      <c r="AP39" s="327" t="s">
        <v>1991</v>
      </c>
      <c r="AQ39" s="327"/>
      <c r="AR39" s="327"/>
      <c r="AS39" s="327"/>
      <c r="AT39" s="327"/>
      <c r="AU39" s="327"/>
      <c r="AV39" s="327"/>
      <c r="AW39" s="327"/>
      <c r="AX39" s="327"/>
      <c r="AY39" s="327"/>
      <c r="AZ39" s="327"/>
      <c r="BA39" s="327"/>
      <c r="BB39" s="46">
        <f t="shared" si="1"/>
        <v>14</v>
      </c>
      <c r="BC39" s="46">
        <f t="shared" si="2"/>
        <v>15</v>
      </c>
      <c r="BD39" s="46">
        <f t="shared" si="15"/>
        <v>1</v>
      </c>
      <c r="BE39" s="46">
        <f t="shared" si="3"/>
        <v>0</v>
      </c>
      <c r="BF39" s="296">
        <f t="shared" si="4"/>
        <v>29</v>
      </c>
      <c r="BG39" s="2"/>
      <c r="BH39" s="2"/>
      <c r="BI39" s="2"/>
      <c r="BJ39" s="2"/>
      <c r="BK39" s="279">
        <f t="shared" si="5"/>
        <v>1</v>
      </c>
      <c r="BL39" s="279">
        <f t="shared" si="6"/>
        <v>29</v>
      </c>
      <c r="BM39" s="279"/>
      <c r="BN39" s="279"/>
      <c r="BO39" s="2">
        <f t="shared" si="16"/>
        <v>29</v>
      </c>
      <c r="BP39" s="430"/>
      <c r="BQ39" s="431"/>
      <c r="BR39" s="2"/>
      <c r="BS39" s="25"/>
      <c r="BT39" s="348">
        <f t="shared" si="17"/>
        <v>1</v>
      </c>
      <c r="BU39" s="2"/>
      <c r="BV39" s="282">
        <f t="shared" si="7"/>
        <v>0</v>
      </c>
      <c r="BW39" s="279"/>
      <c r="BX39" s="269">
        <f t="shared" si="8"/>
        <v>0</v>
      </c>
      <c r="BY39" s="349" t="e">
        <f>#N/A</f>
        <v>#N/A</v>
      </c>
      <c r="BZ39" s="349" t="e">
        <f>#N/A</f>
        <v>#N/A</v>
      </c>
      <c r="CA39" s="349" t="e">
        <f>#N/A</f>
        <v>#N/A</v>
      </c>
      <c r="CB39" s="351" t="e">
        <f>#N/A</f>
        <v>#N/A</v>
      </c>
      <c r="CC39" s="349" t="e">
        <f t="shared" si="9"/>
        <v>#N/A</v>
      </c>
      <c r="CD39" s="14" t="e">
        <f t="shared" si="18"/>
        <v>#N/A</v>
      </c>
      <c r="CE39" s="14">
        <f t="shared" si="19"/>
        <v>29</v>
      </c>
      <c r="CF39" s="25">
        <f t="shared" si="20"/>
        <v>1</v>
      </c>
      <c r="CG39" s="270"/>
      <c r="CH39" s="2"/>
      <c r="CL39" s="349" t="e">
        <f>#N/A</f>
        <v>#N/A</v>
      </c>
      <c r="CM39" s="349" t="e">
        <f>#N/A</f>
        <v>#N/A</v>
      </c>
      <c r="CN39" s="349" t="e">
        <f>#N/A</f>
        <v>#N/A</v>
      </c>
      <c r="CO39" s="349" t="e">
        <f>#N/A</f>
        <v>#N/A</v>
      </c>
      <c r="CP39" s="349" t="e">
        <f t="shared" si="10"/>
        <v>#N/A</v>
      </c>
      <c r="CQ39" s="14" t="e">
        <f t="shared" si="11"/>
        <v>#N/A</v>
      </c>
      <c r="CW39" s="1">
        <f t="shared" si="12"/>
        <v>0</v>
      </c>
      <c r="CX39" s="1">
        <f t="shared" si="13"/>
        <v>0</v>
      </c>
      <c r="CY39" s="2">
        <f t="shared" si="14"/>
        <v>0</v>
      </c>
    </row>
    <row r="40" spans="1:103" s="1" customFormat="1" ht="29.4" customHeight="1">
      <c r="A40" s="46">
        <v>34</v>
      </c>
      <c r="B40" s="46">
        <v>1</v>
      </c>
      <c r="C40" s="46">
        <v>34</v>
      </c>
      <c r="D40" s="48"/>
      <c r="E40" s="48"/>
      <c r="F40" s="46"/>
      <c r="G40" s="310" t="s">
        <v>1991</v>
      </c>
      <c r="H40" s="310" t="s">
        <v>1991</v>
      </c>
      <c r="I40" s="310" t="s">
        <v>1991</v>
      </c>
      <c r="J40" s="310"/>
      <c r="K40" s="310" t="s">
        <v>1991</v>
      </c>
      <c r="L40" s="310" t="s">
        <v>1991</v>
      </c>
      <c r="M40" s="310" t="s">
        <v>1991</v>
      </c>
      <c r="N40" s="310" t="s">
        <v>1991</v>
      </c>
      <c r="O40" s="310" t="s">
        <v>1991</v>
      </c>
      <c r="P40" s="310" t="s">
        <v>1991</v>
      </c>
      <c r="Q40" s="310" t="s">
        <v>1991</v>
      </c>
      <c r="R40" s="310" t="s">
        <v>1991</v>
      </c>
      <c r="S40" s="310" t="s">
        <v>1991</v>
      </c>
      <c r="T40" s="505" t="s">
        <v>1991</v>
      </c>
      <c r="U40" s="310" t="s">
        <v>1991</v>
      </c>
      <c r="V40" s="32" t="s">
        <v>1991</v>
      </c>
      <c r="W40" s="506" t="s">
        <v>1991</v>
      </c>
      <c r="X40" s="506" t="s">
        <v>1991</v>
      </c>
      <c r="Y40" s="506" t="s">
        <v>1991</v>
      </c>
      <c r="Z40" s="32" t="s">
        <v>1991</v>
      </c>
      <c r="AA40" s="32" t="s">
        <v>1991</v>
      </c>
      <c r="AB40" s="32" t="s">
        <v>1991</v>
      </c>
      <c r="AC40" s="32" t="s">
        <v>1991</v>
      </c>
      <c r="AD40" s="32" t="s">
        <v>1991</v>
      </c>
      <c r="AE40" s="506" t="s">
        <v>1991</v>
      </c>
      <c r="AF40" s="506" t="s">
        <v>1991</v>
      </c>
      <c r="AG40" s="32" t="s">
        <v>1991</v>
      </c>
      <c r="AH40" s="32" t="s">
        <v>1991</v>
      </c>
      <c r="AI40" s="32" t="s">
        <v>1991</v>
      </c>
      <c r="AJ40" s="32" t="s">
        <v>1991</v>
      </c>
      <c r="AK40" s="506" t="s">
        <v>1991</v>
      </c>
      <c r="AL40" s="327"/>
      <c r="AM40" s="327"/>
      <c r="AN40" s="327"/>
      <c r="AO40" s="327"/>
      <c r="AP40" s="327" t="s">
        <v>1991</v>
      </c>
      <c r="AQ40" s="327"/>
      <c r="AR40" s="327"/>
      <c r="AS40" s="327"/>
      <c r="AT40" s="327"/>
      <c r="AU40" s="327"/>
      <c r="AV40" s="327"/>
      <c r="AW40" s="327"/>
      <c r="AX40" s="327"/>
      <c r="AY40" s="327"/>
      <c r="AZ40" s="327"/>
      <c r="BA40" s="327"/>
      <c r="BB40" s="46">
        <f t="shared" si="1"/>
        <v>14</v>
      </c>
      <c r="BC40" s="46">
        <f t="shared" si="2"/>
        <v>16</v>
      </c>
      <c r="BD40" s="46">
        <f t="shared" si="15"/>
        <v>1</v>
      </c>
      <c r="BE40" s="46">
        <f t="shared" si="3"/>
        <v>0</v>
      </c>
      <c r="BF40" s="296">
        <f t="shared" si="4"/>
        <v>30</v>
      </c>
      <c r="BG40" s="2"/>
      <c r="BH40" s="2"/>
      <c r="BI40" s="2"/>
      <c r="BJ40" s="2"/>
      <c r="BK40" s="279">
        <f t="shared" si="5"/>
        <v>1</v>
      </c>
      <c r="BL40" s="279">
        <f t="shared" si="6"/>
        <v>30</v>
      </c>
      <c r="BM40" s="279"/>
      <c r="BN40" s="279"/>
      <c r="BO40" s="2">
        <f t="shared" si="16"/>
        <v>30</v>
      </c>
      <c r="BP40" s="430"/>
      <c r="BQ40" s="431"/>
      <c r="BR40" s="2"/>
      <c r="BS40" s="25"/>
      <c r="BT40" s="348">
        <f t="shared" si="17"/>
        <v>1</v>
      </c>
      <c r="BU40" s="2"/>
      <c r="BV40" s="282">
        <f t="shared" si="7"/>
        <v>0</v>
      </c>
      <c r="BW40" s="279"/>
      <c r="BX40" s="269">
        <f t="shared" si="8"/>
        <v>0</v>
      </c>
      <c r="BY40" s="349" t="e">
        <f>#N/A</f>
        <v>#N/A</v>
      </c>
      <c r="BZ40" s="349" t="e">
        <f>#N/A</f>
        <v>#N/A</v>
      </c>
      <c r="CA40" s="349" t="e">
        <f>#N/A</f>
        <v>#N/A</v>
      </c>
      <c r="CB40" s="351" t="e">
        <f>#N/A</f>
        <v>#N/A</v>
      </c>
      <c r="CC40" s="349" t="e">
        <f t="shared" si="9"/>
        <v>#N/A</v>
      </c>
      <c r="CD40" s="14" t="e">
        <f t="shared" si="18"/>
        <v>#N/A</v>
      </c>
      <c r="CE40" s="14">
        <f t="shared" si="19"/>
        <v>30</v>
      </c>
      <c r="CF40" s="25">
        <f t="shared" si="20"/>
        <v>1</v>
      </c>
      <c r="CG40" s="270"/>
      <c r="CH40" s="2"/>
      <c r="CL40" s="349" t="e">
        <f>#N/A</f>
        <v>#N/A</v>
      </c>
      <c r="CM40" s="349" t="e">
        <f>#N/A</f>
        <v>#N/A</v>
      </c>
      <c r="CN40" s="349" t="e">
        <f>#N/A</f>
        <v>#N/A</v>
      </c>
      <c r="CO40" s="349" t="e">
        <f>#N/A</f>
        <v>#N/A</v>
      </c>
      <c r="CP40" s="349" t="e">
        <f t="shared" si="10"/>
        <v>#N/A</v>
      </c>
      <c r="CQ40" s="14" t="e">
        <f t="shared" si="11"/>
        <v>#N/A</v>
      </c>
      <c r="CW40" s="1">
        <f t="shared" si="12"/>
        <v>0</v>
      </c>
      <c r="CX40" s="1">
        <f t="shared" si="13"/>
        <v>0</v>
      </c>
      <c r="CY40" s="2">
        <f t="shared" si="14"/>
        <v>0</v>
      </c>
    </row>
    <row r="41" spans="1:103" s="1" customFormat="1" ht="29.4" customHeight="1">
      <c r="A41" s="46">
        <v>35</v>
      </c>
      <c r="B41" s="46">
        <v>1</v>
      </c>
      <c r="C41" s="46">
        <v>35</v>
      </c>
      <c r="D41" s="48"/>
      <c r="E41" s="48"/>
      <c r="F41" s="46"/>
      <c r="G41" s="310" t="s">
        <v>1991</v>
      </c>
      <c r="H41" s="310" t="s">
        <v>1991</v>
      </c>
      <c r="I41" s="310" t="s">
        <v>1991</v>
      </c>
      <c r="J41" s="310"/>
      <c r="K41" s="310" t="s">
        <v>1991</v>
      </c>
      <c r="L41" s="310" t="s">
        <v>1991</v>
      </c>
      <c r="M41" s="310" t="s">
        <v>1991</v>
      </c>
      <c r="N41" s="310" t="s">
        <v>1991</v>
      </c>
      <c r="O41" s="310" t="s">
        <v>1991</v>
      </c>
      <c r="P41" s="310" t="s">
        <v>1991</v>
      </c>
      <c r="Q41" s="310" t="s">
        <v>1991</v>
      </c>
      <c r="R41" s="310" t="s">
        <v>1991</v>
      </c>
      <c r="S41" s="310" t="s">
        <v>1991</v>
      </c>
      <c r="T41" s="505" t="s">
        <v>1991</v>
      </c>
      <c r="U41" s="310" t="s">
        <v>1991</v>
      </c>
      <c r="V41" s="32" t="s">
        <v>1991</v>
      </c>
      <c r="W41" s="506" t="s">
        <v>1991</v>
      </c>
      <c r="X41" s="506" t="s">
        <v>1991</v>
      </c>
      <c r="Y41" s="506" t="s">
        <v>1991</v>
      </c>
      <c r="Z41" s="32" t="s">
        <v>1991</v>
      </c>
      <c r="AA41" s="32" t="s">
        <v>1991</v>
      </c>
      <c r="AB41" s="32" t="s">
        <v>1991</v>
      </c>
      <c r="AC41" s="32" t="s">
        <v>1991</v>
      </c>
      <c r="AD41" s="32" t="s">
        <v>1991</v>
      </c>
      <c r="AE41" s="506">
        <v>0</v>
      </c>
      <c r="AF41" s="506" t="s">
        <v>1991</v>
      </c>
      <c r="AG41" s="32" t="s">
        <v>1991</v>
      </c>
      <c r="AH41" s="32" t="s">
        <v>1991</v>
      </c>
      <c r="AI41" s="32" t="s">
        <v>1991</v>
      </c>
      <c r="AJ41" s="32" t="s">
        <v>1991</v>
      </c>
      <c r="AK41" s="506" t="s">
        <v>1991</v>
      </c>
      <c r="AL41" s="327"/>
      <c r="AM41" s="327"/>
      <c r="AN41" s="327"/>
      <c r="AO41" s="327"/>
      <c r="AP41" s="327" t="s">
        <v>1991</v>
      </c>
      <c r="AQ41" s="327"/>
      <c r="AR41" s="327"/>
      <c r="AS41" s="327"/>
      <c r="AT41" s="327"/>
      <c r="AU41" s="327"/>
      <c r="AV41" s="327"/>
      <c r="AW41" s="327"/>
      <c r="AX41" s="327"/>
      <c r="AY41" s="327"/>
      <c r="AZ41" s="327"/>
      <c r="BA41" s="327"/>
      <c r="BB41" s="46">
        <f t="shared" si="1"/>
        <v>14</v>
      </c>
      <c r="BC41" s="46">
        <f t="shared" si="2"/>
        <v>15</v>
      </c>
      <c r="BD41" s="46">
        <f t="shared" si="15"/>
        <v>1</v>
      </c>
      <c r="BE41" s="46">
        <f t="shared" si="3"/>
        <v>0</v>
      </c>
      <c r="BF41" s="296">
        <f t="shared" si="4"/>
        <v>29</v>
      </c>
      <c r="BG41" s="2"/>
      <c r="BH41" s="2"/>
      <c r="BI41" s="2"/>
      <c r="BJ41" s="2"/>
      <c r="BK41" s="279">
        <f t="shared" si="5"/>
        <v>1</v>
      </c>
      <c r="BL41" s="279">
        <f t="shared" si="6"/>
        <v>29</v>
      </c>
      <c r="BM41" s="279"/>
      <c r="BN41" s="279"/>
      <c r="BO41" s="2">
        <f t="shared" si="16"/>
        <v>29</v>
      </c>
      <c r="BP41" s="430"/>
      <c r="BQ41" s="431"/>
      <c r="BR41" s="2"/>
      <c r="BS41" s="25"/>
      <c r="BT41" s="348">
        <f t="shared" si="17"/>
        <v>1</v>
      </c>
      <c r="BU41" s="2"/>
      <c r="BV41" s="282">
        <f t="shared" si="7"/>
        <v>0</v>
      </c>
      <c r="BW41" s="279"/>
      <c r="BX41" s="269">
        <f t="shared" si="8"/>
        <v>0</v>
      </c>
      <c r="BY41" s="349" t="e">
        <f>#N/A</f>
        <v>#N/A</v>
      </c>
      <c r="BZ41" s="349" t="e">
        <f>#N/A</f>
        <v>#N/A</v>
      </c>
      <c r="CA41" s="349" t="e">
        <f>#N/A</f>
        <v>#N/A</v>
      </c>
      <c r="CB41" s="351" t="e">
        <f>#N/A</f>
        <v>#N/A</v>
      </c>
      <c r="CC41" s="349" t="e">
        <f t="shared" si="9"/>
        <v>#N/A</v>
      </c>
      <c r="CD41" s="14" t="e">
        <f t="shared" si="18"/>
        <v>#N/A</v>
      </c>
      <c r="CE41" s="14">
        <f t="shared" si="19"/>
        <v>0</v>
      </c>
      <c r="CF41" s="25"/>
      <c r="CG41" s="270"/>
      <c r="CH41" s="2"/>
      <c r="CL41" s="349" t="e">
        <f>#N/A</f>
        <v>#N/A</v>
      </c>
      <c r="CM41" s="349" t="e">
        <f>#N/A</f>
        <v>#N/A</v>
      </c>
      <c r="CN41" s="349" t="e">
        <f>#N/A</f>
        <v>#N/A</v>
      </c>
      <c r="CO41" s="349" t="e">
        <f>#N/A</f>
        <v>#N/A</v>
      </c>
      <c r="CP41" s="349" t="e">
        <f t="shared" si="10"/>
        <v>#N/A</v>
      </c>
      <c r="CQ41" s="14" t="e">
        <f t="shared" si="11"/>
        <v>#N/A</v>
      </c>
      <c r="CW41" s="1">
        <f t="shared" si="12"/>
        <v>0</v>
      </c>
      <c r="CX41" s="1">
        <f t="shared" si="13"/>
        <v>0</v>
      </c>
      <c r="CY41" s="2">
        <f t="shared" si="14"/>
        <v>0</v>
      </c>
    </row>
    <row r="42" spans="1:103" s="1" customFormat="1" ht="29.4" customHeight="1">
      <c r="A42" s="46">
        <v>36</v>
      </c>
      <c r="B42" s="46">
        <v>1</v>
      </c>
      <c r="C42" s="46">
        <v>36</v>
      </c>
      <c r="D42" s="48"/>
      <c r="E42" s="48"/>
      <c r="F42" s="46"/>
      <c r="G42" s="310" t="s">
        <v>1991</v>
      </c>
      <c r="H42" s="310" t="s">
        <v>1991</v>
      </c>
      <c r="I42" s="310" t="s">
        <v>1991</v>
      </c>
      <c r="J42" s="310"/>
      <c r="K42" s="310" t="s">
        <v>1991</v>
      </c>
      <c r="L42" s="310" t="s">
        <v>1991</v>
      </c>
      <c r="M42" s="310" t="s">
        <v>1991</v>
      </c>
      <c r="N42" s="310" t="s">
        <v>1991</v>
      </c>
      <c r="O42" s="310" t="s">
        <v>1991</v>
      </c>
      <c r="P42" s="310" t="s">
        <v>1991</v>
      </c>
      <c r="Q42" s="310" t="s">
        <v>1991</v>
      </c>
      <c r="R42" s="310" t="s">
        <v>1991</v>
      </c>
      <c r="S42" s="310" t="s">
        <v>1991</v>
      </c>
      <c r="T42" s="505" t="s">
        <v>1991</v>
      </c>
      <c r="U42" s="310" t="s">
        <v>1991</v>
      </c>
      <c r="V42" s="32" t="s">
        <v>1991</v>
      </c>
      <c r="W42" s="506" t="s">
        <v>1991</v>
      </c>
      <c r="X42" s="506" t="s">
        <v>1991</v>
      </c>
      <c r="Y42" s="506" t="s">
        <v>1991</v>
      </c>
      <c r="Z42" s="32">
        <v>0</v>
      </c>
      <c r="AA42" s="32" t="s">
        <v>1991</v>
      </c>
      <c r="AB42" s="32" t="s">
        <v>1991</v>
      </c>
      <c r="AC42" s="32" t="s">
        <v>1991</v>
      </c>
      <c r="AD42" s="32" t="s">
        <v>1991</v>
      </c>
      <c r="AE42" s="506" t="s">
        <v>1991</v>
      </c>
      <c r="AF42" s="506" t="s">
        <v>1991</v>
      </c>
      <c r="AG42" s="32" t="s">
        <v>1991</v>
      </c>
      <c r="AH42" s="32" t="s">
        <v>1991</v>
      </c>
      <c r="AI42" s="32" t="s">
        <v>1991</v>
      </c>
      <c r="AJ42" s="32" t="s">
        <v>1991</v>
      </c>
      <c r="AK42" s="506" t="s">
        <v>1991</v>
      </c>
      <c r="AL42" s="327"/>
      <c r="AM42" s="327"/>
      <c r="AN42" s="327"/>
      <c r="AO42" s="327"/>
      <c r="AP42" s="327" t="s">
        <v>1991</v>
      </c>
      <c r="AQ42" s="327"/>
      <c r="AR42" s="327"/>
      <c r="AS42" s="327"/>
      <c r="AT42" s="327"/>
      <c r="AU42" s="327"/>
      <c r="AV42" s="327"/>
      <c r="AW42" s="327"/>
      <c r="AX42" s="327"/>
      <c r="AY42" s="327"/>
      <c r="AZ42" s="327"/>
      <c r="BA42" s="327"/>
      <c r="BB42" s="46">
        <f t="shared" si="1"/>
        <v>14</v>
      </c>
      <c r="BC42" s="46">
        <f t="shared" si="2"/>
        <v>15</v>
      </c>
      <c r="BD42" s="46">
        <f t="shared" si="15"/>
        <v>1</v>
      </c>
      <c r="BE42" s="46">
        <f t="shared" si="3"/>
        <v>0</v>
      </c>
      <c r="BF42" s="296">
        <f t="shared" si="4"/>
        <v>29</v>
      </c>
      <c r="BG42" s="2"/>
      <c r="BH42" s="2"/>
      <c r="BI42" s="2"/>
      <c r="BJ42" s="2"/>
      <c r="BK42" s="279">
        <f t="shared" si="5"/>
        <v>1</v>
      </c>
      <c r="BL42" s="279">
        <f t="shared" si="6"/>
        <v>29</v>
      </c>
      <c r="BM42" s="279"/>
      <c r="BN42" s="279"/>
      <c r="BO42" s="2">
        <f t="shared" si="16"/>
        <v>29</v>
      </c>
      <c r="BP42" s="430"/>
      <c r="BQ42" s="431"/>
      <c r="BR42" s="2"/>
      <c r="BS42" s="25"/>
      <c r="BT42" s="348">
        <f t="shared" si="17"/>
        <v>1</v>
      </c>
      <c r="BU42" s="2"/>
      <c r="BV42" s="282">
        <f t="shared" si="7"/>
        <v>0</v>
      </c>
      <c r="BW42" s="279"/>
      <c r="BX42" s="269">
        <f t="shared" si="8"/>
        <v>0</v>
      </c>
      <c r="BY42" s="349" t="e">
        <f>#N/A</f>
        <v>#N/A</v>
      </c>
      <c r="BZ42" s="349" t="e">
        <f>#N/A</f>
        <v>#N/A</v>
      </c>
      <c r="CA42" s="349" t="e">
        <f>#N/A</f>
        <v>#N/A</v>
      </c>
      <c r="CB42" s="351" t="e">
        <f>#N/A</f>
        <v>#N/A</v>
      </c>
      <c r="CC42" s="349" t="e">
        <f t="shared" si="9"/>
        <v>#N/A</v>
      </c>
      <c r="CD42" s="14" t="e">
        <f t="shared" si="18"/>
        <v>#N/A</v>
      </c>
      <c r="CE42" s="14">
        <f t="shared" si="19"/>
        <v>0</v>
      </c>
      <c r="CF42" s="25"/>
      <c r="CG42" s="270"/>
      <c r="CH42" s="2"/>
      <c r="CL42" s="349" t="e">
        <f>#N/A</f>
        <v>#N/A</v>
      </c>
      <c r="CM42" s="349" t="e">
        <f>#N/A</f>
        <v>#N/A</v>
      </c>
      <c r="CN42" s="349" t="e">
        <f>#N/A</f>
        <v>#N/A</v>
      </c>
      <c r="CO42" s="349" t="e">
        <f>#N/A</f>
        <v>#N/A</v>
      </c>
      <c r="CP42" s="349" t="e">
        <f t="shared" si="10"/>
        <v>#N/A</v>
      </c>
      <c r="CQ42" s="14" t="e">
        <f t="shared" si="11"/>
        <v>#N/A</v>
      </c>
      <c r="CW42" s="1">
        <f t="shared" si="12"/>
        <v>0</v>
      </c>
      <c r="CX42" s="1">
        <f t="shared" si="13"/>
        <v>0</v>
      </c>
      <c r="CY42" s="2">
        <f t="shared" si="14"/>
        <v>0</v>
      </c>
    </row>
    <row r="43" spans="1:103" s="1" customFormat="1" ht="29.4" customHeight="1">
      <c r="A43" s="46">
        <v>37</v>
      </c>
      <c r="B43" s="46">
        <v>1</v>
      </c>
      <c r="C43" s="46">
        <v>37</v>
      </c>
      <c r="D43" s="48"/>
      <c r="E43" s="48"/>
      <c r="F43" s="46"/>
      <c r="G43" s="310" t="s">
        <v>1991</v>
      </c>
      <c r="H43" s="310" t="s">
        <v>1991</v>
      </c>
      <c r="I43" s="310" t="s">
        <v>1991</v>
      </c>
      <c r="J43" s="310"/>
      <c r="K43" s="310" t="s">
        <v>1991</v>
      </c>
      <c r="L43" s="310" t="s">
        <v>1991</v>
      </c>
      <c r="M43" s="310" t="s">
        <v>1991</v>
      </c>
      <c r="N43" s="310" t="s">
        <v>1991</v>
      </c>
      <c r="O43" s="310" t="s">
        <v>1991</v>
      </c>
      <c r="P43" s="310" t="s">
        <v>1991</v>
      </c>
      <c r="Q43" s="310" t="s">
        <v>1991</v>
      </c>
      <c r="R43" s="310" t="s">
        <v>1991</v>
      </c>
      <c r="S43" s="310" t="s">
        <v>1991</v>
      </c>
      <c r="T43" s="505" t="s">
        <v>1991</v>
      </c>
      <c r="U43" s="310" t="s">
        <v>1991</v>
      </c>
      <c r="V43" s="32" t="s">
        <v>1991</v>
      </c>
      <c r="W43" s="506" t="s">
        <v>1991</v>
      </c>
      <c r="X43" s="506" t="s">
        <v>1991</v>
      </c>
      <c r="Y43" s="506" t="s">
        <v>1991</v>
      </c>
      <c r="Z43" s="32" t="s">
        <v>1991</v>
      </c>
      <c r="AA43" s="32" t="s">
        <v>1991</v>
      </c>
      <c r="AB43" s="32" t="s">
        <v>1991</v>
      </c>
      <c r="AC43" s="32" t="s">
        <v>1991</v>
      </c>
      <c r="AD43" s="32" t="s">
        <v>1991</v>
      </c>
      <c r="AE43" s="506" t="s">
        <v>1991</v>
      </c>
      <c r="AF43" s="506" t="s">
        <v>1991</v>
      </c>
      <c r="AG43" s="32" t="s">
        <v>1991</v>
      </c>
      <c r="AH43" s="32" t="s">
        <v>1991</v>
      </c>
      <c r="AI43" s="32" t="s">
        <v>1991</v>
      </c>
      <c r="AJ43" s="32" t="s">
        <v>1991</v>
      </c>
      <c r="AK43" s="506">
        <v>0</v>
      </c>
      <c r="AL43" s="327"/>
      <c r="AM43" s="327"/>
      <c r="AN43" s="327"/>
      <c r="AO43" s="327"/>
      <c r="AP43" s="327" t="s">
        <v>1991</v>
      </c>
      <c r="AQ43" s="327"/>
      <c r="AR43" s="327"/>
      <c r="AS43" s="327"/>
      <c r="AT43" s="327"/>
      <c r="AU43" s="327"/>
      <c r="AV43" s="327"/>
      <c r="AW43" s="327"/>
      <c r="AX43" s="327"/>
      <c r="AY43" s="327"/>
      <c r="AZ43" s="327"/>
      <c r="BA43" s="327"/>
      <c r="BB43" s="46">
        <f t="shared" si="1"/>
        <v>14</v>
      </c>
      <c r="BC43" s="46">
        <f t="shared" si="2"/>
        <v>15</v>
      </c>
      <c r="BD43" s="46">
        <f t="shared" si="15"/>
        <v>1</v>
      </c>
      <c r="BE43" s="46">
        <f t="shared" si="3"/>
        <v>0</v>
      </c>
      <c r="BF43" s="296">
        <f t="shared" si="4"/>
        <v>29</v>
      </c>
      <c r="BG43" s="2"/>
      <c r="BH43" s="2"/>
      <c r="BI43" s="2"/>
      <c r="BJ43" s="2"/>
      <c r="BK43" s="279">
        <f t="shared" si="5"/>
        <v>1</v>
      </c>
      <c r="BL43" s="279">
        <f t="shared" si="6"/>
        <v>29</v>
      </c>
      <c r="BM43" s="279"/>
      <c r="BN43" s="279"/>
      <c r="BO43" s="2">
        <f t="shared" si="16"/>
        <v>29</v>
      </c>
      <c r="BP43" s="430"/>
      <c r="BQ43" s="431"/>
      <c r="BR43" s="2"/>
      <c r="BS43" s="25"/>
      <c r="BT43" s="348">
        <f t="shared" si="17"/>
        <v>1</v>
      </c>
      <c r="BU43" s="2"/>
      <c r="BV43" s="282">
        <f t="shared" si="7"/>
        <v>0</v>
      </c>
      <c r="BW43" s="279"/>
      <c r="BX43" s="269">
        <f t="shared" si="8"/>
        <v>0</v>
      </c>
      <c r="BY43" s="349" t="e">
        <f>#N/A</f>
        <v>#N/A</v>
      </c>
      <c r="BZ43" s="349" t="e">
        <f>#N/A</f>
        <v>#N/A</v>
      </c>
      <c r="CA43" s="349" t="e">
        <f>#N/A</f>
        <v>#N/A</v>
      </c>
      <c r="CB43" s="351" t="e">
        <f>#N/A</f>
        <v>#N/A</v>
      </c>
      <c r="CC43" s="349" t="e">
        <f t="shared" si="9"/>
        <v>#N/A</v>
      </c>
      <c r="CD43" s="14" t="e">
        <f t="shared" si="18"/>
        <v>#N/A</v>
      </c>
      <c r="CE43" s="14">
        <f t="shared" si="19"/>
        <v>29</v>
      </c>
      <c r="CF43" s="25">
        <f t="shared" ref="CF43:CF52" si="22">IF(BF43&gt;=26,1,0)</f>
        <v>1</v>
      </c>
      <c r="CG43" s="270"/>
      <c r="CH43" s="2"/>
      <c r="CL43" s="349" t="e">
        <f>#N/A</f>
        <v>#N/A</v>
      </c>
      <c r="CM43" s="349" t="e">
        <f>#N/A</f>
        <v>#N/A</v>
      </c>
      <c r="CN43" s="349" t="e">
        <f>#N/A</f>
        <v>#N/A</v>
      </c>
      <c r="CO43" s="349" t="e">
        <f>#N/A</f>
        <v>#N/A</v>
      </c>
      <c r="CP43" s="349" t="e">
        <f t="shared" si="10"/>
        <v>#N/A</v>
      </c>
      <c r="CQ43" s="14" t="e">
        <f t="shared" si="11"/>
        <v>#N/A</v>
      </c>
      <c r="CW43" s="1">
        <f t="shared" si="12"/>
        <v>0</v>
      </c>
      <c r="CX43" s="1">
        <f t="shared" si="13"/>
        <v>0</v>
      </c>
      <c r="CY43" s="2">
        <f t="shared" si="14"/>
        <v>0</v>
      </c>
    </row>
    <row r="44" spans="1:103" s="1" customFormat="1" ht="29.4" customHeight="1">
      <c r="A44" s="46">
        <v>38</v>
      </c>
      <c r="B44" s="46">
        <v>1</v>
      </c>
      <c r="C44" s="46">
        <v>38</v>
      </c>
      <c r="D44" s="48"/>
      <c r="E44" s="48"/>
      <c r="F44" s="46"/>
      <c r="G44" s="310" t="s">
        <v>1991</v>
      </c>
      <c r="H44" s="310" t="s">
        <v>1991</v>
      </c>
      <c r="I44" s="310" t="s">
        <v>1991</v>
      </c>
      <c r="J44" s="310"/>
      <c r="K44" s="310" t="s">
        <v>1991</v>
      </c>
      <c r="L44" s="310" t="s">
        <v>1991</v>
      </c>
      <c r="M44" s="310" t="s">
        <v>1991</v>
      </c>
      <c r="N44" s="310" t="s">
        <v>1991</v>
      </c>
      <c r="O44" s="310" t="s">
        <v>1991</v>
      </c>
      <c r="P44" s="310" t="s">
        <v>1991</v>
      </c>
      <c r="Q44" s="310" t="s">
        <v>1991</v>
      </c>
      <c r="R44" s="310" t="s">
        <v>1991</v>
      </c>
      <c r="S44" s="310" t="s">
        <v>1991</v>
      </c>
      <c r="T44" s="505" t="s">
        <v>1991</v>
      </c>
      <c r="U44" s="310" t="s">
        <v>1991</v>
      </c>
      <c r="V44" s="32" t="s">
        <v>1991</v>
      </c>
      <c r="W44" s="506" t="s">
        <v>1991</v>
      </c>
      <c r="X44" s="506" t="s">
        <v>1991</v>
      </c>
      <c r="Y44" s="506" t="s">
        <v>1991</v>
      </c>
      <c r="Z44" s="32" t="s">
        <v>1991</v>
      </c>
      <c r="AA44" s="32" t="s">
        <v>1991</v>
      </c>
      <c r="AB44" s="32" t="s">
        <v>1991</v>
      </c>
      <c r="AC44" s="32" t="s">
        <v>1991</v>
      </c>
      <c r="AD44" s="32" t="s">
        <v>1991</v>
      </c>
      <c r="AE44" s="506" t="s">
        <v>1991</v>
      </c>
      <c r="AF44" s="506" t="s">
        <v>1991</v>
      </c>
      <c r="AG44" s="32" t="s">
        <v>1991</v>
      </c>
      <c r="AH44" s="32" t="s">
        <v>1991</v>
      </c>
      <c r="AI44" s="32" t="s">
        <v>1991</v>
      </c>
      <c r="AJ44" s="32" t="s">
        <v>1991</v>
      </c>
      <c r="AK44" s="506">
        <v>0</v>
      </c>
      <c r="AL44" s="327"/>
      <c r="AM44" s="327"/>
      <c r="AN44" s="327"/>
      <c r="AO44" s="327"/>
      <c r="AP44" s="327" t="s">
        <v>1991</v>
      </c>
      <c r="AQ44" s="327"/>
      <c r="AR44" s="327"/>
      <c r="AS44" s="327"/>
      <c r="AT44" s="327"/>
      <c r="AU44" s="327"/>
      <c r="AV44" s="327"/>
      <c r="AW44" s="327"/>
      <c r="AX44" s="327"/>
      <c r="AY44" s="327"/>
      <c r="AZ44" s="327"/>
      <c r="BA44" s="327"/>
      <c r="BB44" s="46">
        <f t="shared" si="1"/>
        <v>14</v>
      </c>
      <c r="BC44" s="46">
        <f t="shared" si="2"/>
        <v>15</v>
      </c>
      <c r="BD44" s="46">
        <f t="shared" si="15"/>
        <v>1</v>
      </c>
      <c r="BE44" s="46">
        <f t="shared" si="3"/>
        <v>0</v>
      </c>
      <c r="BF44" s="296">
        <f t="shared" si="4"/>
        <v>29</v>
      </c>
      <c r="BG44" s="2"/>
      <c r="BH44" s="2"/>
      <c r="BI44" s="2"/>
      <c r="BJ44" s="2"/>
      <c r="BK44" s="279">
        <f t="shared" si="5"/>
        <v>1</v>
      </c>
      <c r="BL44" s="279">
        <f t="shared" si="6"/>
        <v>29</v>
      </c>
      <c r="BM44" s="279"/>
      <c r="BN44" s="279"/>
      <c r="BO44" s="2">
        <f t="shared" si="16"/>
        <v>29</v>
      </c>
      <c r="BP44" s="430"/>
      <c r="BQ44" s="431"/>
      <c r="BR44" s="2"/>
      <c r="BS44" s="25"/>
      <c r="BT44" s="348">
        <f t="shared" si="17"/>
        <v>1</v>
      </c>
      <c r="BU44" s="2"/>
      <c r="BV44" s="282">
        <f t="shared" si="7"/>
        <v>0</v>
      </c>
      <c r="BW44" s="279"/>
      <c r="BX44" s="269">
        <f t="shared" si="8"/>
        <v>0</v>
      </c>
      <c r="BY44" s="349" t="e">
        <f>#N/A</f>
        <v>#N/A</v>
      </c>
      <c r="BZ44" s="349" t="e">
        <f>#N/A</f>
        <v>#N/A</v>
      </c>
      <c r="CA44" s="349" t="e">
        <f>#N/A</f>
        <v>#N/A</v>
      </c>
      <c r="CB44" s="351" t="e">
        <f>#N/A</f>
        <v>#N/A</v>
      </c>
      <c r="CC44" s="349" t="e">
        <f t="shared" si="9"/>
        <v>#N/A</v>
      </c>
      <c r="CD44" s="14" t="e">
        <f t="shared" si="18"/>
        <v>#N/A</v>
      </c>
      <c r="CE44" s="14">
        <f t="shared" si="19"/>
        <v>29</v>
      </c>
      <c r="CF44" s="25">
        <f t="shared" si="22"/>
        <v>1</v>
      </c>
      <c r="CG44" s="270"/>
      <c r="CH44" s="2"/>
      <c r="CL44" s="349" t="e">
        <f>#N/A</f>
        <v>#N/A</v>
      </c>
      <c r="CM44" s="349" t="e">
        <f>#N/A</f>
        <v>#N/A</v>
      </c>
      <c r="CN44" s="349" t="e">
        <f>#N/A</f>
        <v>#N/A</v>
      </c>
      <c r="CO44" s="349" t="e">
        <f>#N/A</f>
        <v>#N/A</v>
      </c>
      <c r="CP44" s="349" t="e">
        <f t="shared" si="10"/>
        <v>#N/A</v>
      </c>
      <c r="CQ44" s="14" t="e">
        <f t="shared" si="11"/>
        <v>#N/A</v>
      </c>
      <c r="CW44" s="1">
        <f t="shared" si="12"/>
        <v>0</v>
      </c>
      <c r="CX44" s="1">
        <f t="shared" si="13"/>
        <v>0</v>
      </c>
      <c r="CY44" s="2">
        <f t="shared" si="14"/>
        <v>0</v>
      </c>
    </row>
    <row r="45" spans="1:103" s="1" customFormat="1" ht="29.4" customHeight="1">
      <c r="A45" s="46">
        <v>39</v>
      </c>
      <c r="B45" s="46">
        <v>1</v>
      </c>
      <c r="C45" s="313">
        <v>39</v>
      </c>
      <c r="D45" s="48"/>
      <c r="E45" s="48"/>
      <c r="F45" s="46"/>
      <c r="G45" s="310" t="s">
        <v>1991</v>
      </c>
      <c r="H45" s="310" t="s">
        <v>1991</v>
      </c>
      <c r="I45" s="310" t="s">
        <v>1991</v>
      </c>
      <c r="J45" s="310"/>
      <c r="K45" s="310" t="s">
        <v>1991</v>
      </c>
      <c r="L45" s="310" t="s">
        <v>1991</v>
      </c>
      <c r="M45" s="310">
        <v>0</v>
      </c>
      <c r="N45" s="310" t="s">
        <v>1991</v>
      </c>
      <c r="O45" s="310" t="s">
        <v>1991</v>
      </c>
      <c r="P45" s="310" t="s">
        <v>1991</v>
      </c>
      <c r="Q45" s="310" t="s">
        <v>1991</v>
      </c>
      <c r="R45" s="310" t="s">
        <v>1991</v>
      </c>
      <c r="S45" s="310" t="s">
        <v>1991</v>
      </c>
      <c r="T45" s="505" t="s">
        <v>1991</v>
      </c>
      <c r="U45" s="310" t="s">
        <v>1991</v>
      </c>
      <c r="V45" s="32" t="s">
        <v>1991</v>
      </c>
      <c r="W45" s="506" t="s">
        <v>1991</v>
      </c>
      <c r="X45" s="506">
        <v>0</v>
      </c>
      <c r="Y45" s="506">
        <v>0</v>
      </c>
      <c r="Z45" s="32">
        <v>0</v>
      </c>
      <c r="AA45" s="32">
        <v>0</v>
      </c>
      <c r="AB45" s="32">
        <v>0</v>
      </c>
      <c r="AC45" s="32">
        <v>0</v>
      </c>
      <c r="AD45" s="32">
        <v>0</v>
      </c>
      <c r="AE45" s="506" t="s">
        <v>1991</v>
      </c>
      <c r="AF45" s="67" t="s">
        <v>1991</v>
      </c>
      <c r="AG45" s="67" t="s">
        <v>1991</v>
      </c>
      <c r="AH45" s="67" t="s">
        <v>1991</v>
      </c>
      <c r="AI45" s="67" t="s">
        <v>1991</v>
      </c>
      <c r="AJ45" s="67" t="s">
        <v>1991</v>
      </c>
      <c r="AK45" s="506" t="s">
        <v>1991</v>
      </c>
      <c r="AL45" s="327"/>
      <c r="AM45" s="327"/>
      <c r="AN45" s="327"/>
      <c r="AO45" s="327"/>
      <c r="AP45" s="327" t="s">
        <v>1991</v>
      </c>
      <c r="AQ45" s="327"/>
      <c r="AR45" s="327"/>
      <c r="AS45" s="327"/>
      <c r="AT45" s="327"/>
      <c r="AU45" s="327"/>
      <c r="AV45" s="327"/>
      <c r="AW45" s="327"/>
      <c r="AX45" s="327"/>
      <c r="AY45" s="327"/>
      <c r="AZ45" s="327"/>
      <c r="BA45" s="327"/>
      <c r="BB45" s="46">
        <f t="shared" si="1"/>
        <v>13</v>
      </c>
      <c r="BC45" s="46">
        <f t="shared" si="2"/>
        <v>9</v>
      </c>
      <c r="BD45" s="46">
        <f t="shared" si="15"/>
        <v>1</v>
      </c>
      <c r="BE45" s="46">
        <f t="shared" si="3"/>
        <v>0</v>
      </c>
      <c r="BF45" s="296">
        <f t="shared" si="4"/>
        <v>22</v>
      </c>
      <c r="BG45" s="2"/>
      <c r="BH45" s="2"/>
      <c r="BI45" s="2"/>
      <c r="BJ45" s="2"/>
      <c r="BK45" s="279">
        <f t="shared" si="5"/>
        <v>0</v>
      </c>
      <c r="BL45" s="279">
        <f t="shared" si="6"/>
        <v>22</v>
      </c>
      <c r="BM45" s="279"/>
      <c r="BN45" s="279"/>
      <c r="BO45" s="2">
        <f t="shared" si="16"/>
        <v>0</v>
      </c>
      <c r="BP45" s="430"/>
      <c r="BQ45" s="431"/>
      <c r="BR45" s="2"/>
      <c r="BS45" s="25"/>
      <c r="BT45" s="348">
        <f t="shared" si="17"/>
        <v>0</v>
      </c>
      <c r="BU45" s="2"/>
      <c r="BV45" s="282">
        <f t="shared" si="7"/>
        <v>0</v>
      </c>
      <c r="BW45" s="279"/>
      <c r="BX45" s="269">
        <f t="shared" si="8"/>
        <v>0</v>
      </c>
      <c r="BY45" s="349" t="e">
        <f>#N/A</f>
        <v>#N/A</v>
      </c>
      <c r="BZ45" s="349" t="e">
        <f>#N/A</f>
        <v>#N/A</v>
      </c>
      <c r="CA45" s="349" t="e">
        <f>#N/A</f>
        <v>#N/A</v>
      </c>
      <c r="CB45" s="351" t="e">
        <f>#N/A</f>
        <v>#N/A</v>
      </c>
      <c r="CC45" s="349" t="e">
        <f t="shared" si="9"/>
        <v>#N/A</v>
      </c>
      <c r="CD45" s="14" t="e">
        <f t="shared" si="18"/>
        <v>#N/A</v>
      </c>
      <c r="CE45" s="14">
        <f t="shared" si="19"/>
        <v>0</v>
      </c>
      <c r="CF45" s="25">
        <f t="shared" si="22"/>
        <v>0</v>
      </c>
      <c r="CG45" s="270"/>
      <c r="CH45" s="2"/>
      <c r="CL45" s="349" t="e">
        <f>#N/A</f>
        <v>#N/A</v>
      </c>
      <c r="CM45" s="349" t="e">
        <f>#N/A</f>
        <v>#N/A</v>
      </c>
      <c r="CN45" s="349" t="e">
        <f>#N/A</f>
        <v>#N/A</v>
      </c>
      <c r="CO45" s="349" t="e">
        <f>#N/A</f>
        <v>#N/A</v>
      </c>
      <c r="CP45" s="349" t="e">
        <f t="shared" si="10"/>
        <v>#N/A</v>
      </c>
      <c r="CQ45" s="14" t="e">
        <f t="shared" si="11"/>
        <v>#N/A</v>
      </c>
      <c r="CW45" s="1">
        <f t="shared" si="12"/>
        <v>0</v>
      </c>
      <c r="CX45" s="1">
        <f t="shared" si="13"/>
        <v>0</v>
      </c>
      <c r="CY45" s="2">
        <f t="shared" si="14"/>
        <v>0</v>
      </c>
    </row>
    <row r="46" spans="1:103" s="1" customFormat="1" ht="29.4" customHeight="1">
      <c r="A46" s="46">
        <v>40</v>
      </c>
      <c r="B46" s="46">
        <v>1</v>
      </c>
      <c r="C46" s="46">
        <v>40</v>
      </c>
      <c r="D46" s="48"/>
      <c r="E46" s="48"/>
      <c r="F46" s="46"/>
      <c r="G46" s="310" t="s">
        <v>1991</v>
      </c>
      <c r="H46" s="310" t="s">
        <v>1991</v>
      </c>
      <c r="I46" s="310" t="s">
        <v>1991</v>
      </c>
      <c r="J46" s="310"/>
      <c r="K46" s="310" t="s">
        <v>1991</v>
      </c>
      <c r="L46" s="310" t="s">
        <v>1991</v>
      </c>
      <c r="M46" s="310" t="s">
        <v>1991</v>
      </c>
      <c r="N46" s="310">
        <v>0</v>
      </c>
      <c r="O46" s="310" t="s">
        <v>1991</v>
      </c>
      <c r="P46" s="310" t="s">
        <v>1991</v>
      </c>
      <c r="Q46" s="310" t="s">
        <v>1991</v>
      </c>
      <c r="R46" s="310" t="s">
        <v>1991</v>
      </c>
      <c r="S46" s="310" t="s">
        <v>1991</v>
      </c>
      <c r="T46" s="505" t="s">
        <v>1991</v>
      </c>
      <c r="U46" s="310" t="s">
        <v>1991</v>
      </c>
      <c r="V46" s="32" t="s">
        <v>1991</v>
      </c>
      <c r="W46" s="506" t="s">
        <v>1991</v>
      </c>
      <c r="X46" s="506" t="s">
        <v>1991</v>
      </c>
      <c r="Y46" s="506" t="s">
        <v>1991</v>
      </c>
      <c r="Z46" s="32" t="s">
        <v>1991</v>
      </c>
      <c r="AA46" s="32" t="s">
        <v>1991</v>
      </c>
      <c r="AB46" s="32">
        <v>0</v>
      </c>
      <c r="AC46" s="32" t="s">
        <v>1991</v>
      </c>
      <c r="AD46" s="32" t="s">
        <v>1991</v>
      </c>
      <c r="AE46" s="506" t="s">
        <v>1991</v>
      </c>
      <c r="AF46" s="506" t="s">
        <v>1991</v>
      </c>
      <c r="AG46" s="32" t="s">
        <v>1991</v>
      </c>
      <c r="AH46" s="32" t="s">
        <v>1991</v>
      </c>
      <c r="AI46" s="32" t="s">
        <v>1991</v>
      </c>
      <c r="AJ46" s="32" t="s">
        <v>1991</v>
      </c>
      <c r="AK46" s="506" t="s">
        <v>1991</v>
      </c>
      <c r="AL46" s="327"/>
      <c r="AM46" s="327"/>
      <c r="AN46" s="327"/>
      <c r="AO46" s="327"/>
      <c r="AP46" s="327" t="s">
        <v>1991</v>
      </c>
      <c r="AQ46" s="327"/>
      <c r="AR46" s="327"/>
      <c r="AS46" s="327" t="s">
        <v>1991</v>
      </c>
      <c r="AT46" s="327"/>
      <c r="AU46" s="327"/>
      <c r="AV46" s="327"/>
      <c r="AW46" s="327"/>
      <c r="AX46" s="327"/>
      <c r="AY46" s="327"/>
      <c r="AZ46" s="327"/>
      <c r="BA46" s="327"/>
      <c r="BB46" s="46">
        <f t="shared" si="1"/>
        <v>13</v>
      </c>
      <c r="BC46" s="46">
        <f t="shared" si="2"/>
        <v>15</v>
      </c>
      <c r="BD46" s="46">
        <f t="shared" si="15"/>
        <v>2</v>
      </c>
      <c r="BE46" s="46">
        <f t="shared" si="3"/>
        <v>0</v>
      </c>
      <c r="BF46" s="296">
        <f t="shared" si="4"/>
        <v>28</v>
      </c>
      <c r="BG46" s="2"/>
      <c r="BH46" s="2"/>
      <c r="BI46" s="2"/>
      <c r="BJ46" s="2"/>
      <c r="BK46" s="279">
        <f t="shared" si="5"/>
        <v>1</v>
      </c>
      <c r="BL46" s="279">
        <f t="shared" si="6"/>
        <v>28</v>
      </c>
      <c r="BM46" s="279"/>
      <c r="BN46" s="279"/>
      <c r="BO46" s="2">
        <f t="shared" si="16"/>
        <v>28</v>
      </c>
      <c r="BP46" s="430"/>
      <c r="BQ46" s="431"/>
      <c r="BR46" s="2"/>
      <c r="BS46" s="25"/>
      <c r="BT46" s="348">
        <f t="shared" si="17"/>
        <v>1</v>
      </c>
      <c r="BU46" s="2"/>
      <c r="BV46" s="282">
        <f t="shared" si="7"/>
        <v>0</v>
      </c>
      <c r="BW46" s="279"/>
      <c r="BX46" s="269">
        <f t="shared" si="8"/>
        <v>0</v>
      </c>
      <c r="BY46" s="349" t="e">
        <f>#N/A</f>
        <v>#N/A</v>
      </c>
      <c r="BZ46" s="349" t="e">
        <f>#N/A</f>
        <v>#N/A</v>
      </c>
      <c r="CA46" s="349" t="e">
        <f>#N/A</f>
        <v>#N/A</v>
      </c>
      <c r="CB46" s="351" t="e">
        <f>#N/A</f>
        <v>#N/A</v>
      </c>
      <c r="CC46" s="349" t="e">
        <f t="shared" si="9"/>
        <v>#N/A</v>
      </c>
      <c r="CD46" s="14" t="e">
        <f t="shared" si="18"/>
        <v>#N/A</v>
      </c>
      <c r="CE46" s="14">
        <f t="shared" si="19"/>
        <v>28</v>
      </c>
      <c r="CF46" s="25">
        <f t="shared" si="22"/>
        <v>1</v>
      </c>
      <c r="CG46" s="270"/>
      <c r="CH46" s="2"/>
      <c r="CL46" s="349" t="e">
        <f>#N/A</f>
        <v>#N/A</v>
      </c>
      <c r="CM46" s="349" t="e">
        <f>#N/A</f>
        <v>#N/A</v>
      </c>
      <c r="CN46" s="349" t="e">
        <f>#N/A</f>
        <v>#N/A</v>
      </c>
      <c r="CO46" s="349" t="e">
        <f>#N/A</f>
        <v>#N/A</v>
      </c>
      <c r="CP46" s="349" t="e">
        <f t="shared" si="10"/>
        <v>#N/A</v>
      </c>
      <c r="CQ46" s="14" t="e">
        <f t="shared" si="11"/>
        <v>#N/A</v>
      </c>
      <c r="CW46" s="1">
        <f t="shared" si="12"/>
        <v>0</v>
      </c>
      <c r="CX46" s="1">
        <f t="shared" si="13"/>
        <v>0</v>
      </c>
      <c r="CY46" s="2">
        <f t="shared" si="14"/>
        <v>0</v>
      </c>
    </row>
    <row r="47" spans="1:103" s="1" customFormat="1" ht="29.4" customHeight="1">
      <c r="A47" s="46">
        <v>41</v>
      </c>
      <c r="B47" s="46">
        <v>1</v>
      </c>
      <c r="C47" s="46">
        <v>41</v>
      </c>
      <c r="D47" s="48"/>
      <c r="E47" s="48"/>
      <c r="F47" s="46"/>
      <c r="G47" s="310" t="s">
        <v>1991</v>
      </c>
      <c r="H47" s="310" t="s">
        <v>1991</v>
      </c>
      <c r="I47" s="310" t="s">
        <v>1991</v>
      </c>
      <c r="J47" s="310"/>
      <c r="K47" s="310" t="s">
        <v>1991</v>
      </c>
      <c r="L47" s="310" t="s">
        <v>1991</v>
      </c>
      <c r="M47" s="310" t="s">
        <v>1991</v>
      </c>
      <c r="N47" s="310">
        <v>0</v>
      </c>
      <c r="O47" s="310" t="s">
        <v>1991</v>
      </c>
      <c r="P47" s="310" t="s">
        <v>1991</v>
      </c>
      <c r="Q47" s="310" t="s">
        <v>1991</v>
      </c>
      <c r="R47" s="310" t="s">
        <v>1991</v>
      </c>
      <c r="S47" s="310" t="s">
        <v>1991</v>
      </c>
      <c r="T47" s="505" t="s">
        <v>1991</v>
      </c>
      <c r="U47" s="310" t="s">
        <v>1991</v>
      </c>
      <c r="V47" s="32" t="s">
        <v>1991</v>
      </c>
      <c r="W47" s="506" t="s">
        <v>1991</v>
      </c>
      <c r="X47" s="506" t="s">
        <v>1991</v>
      </c>
      <c r="Y47" s="506" t="s">
        <v>1991</v>
      </c>
      <c r="Z47" s="32" t="s">
        <v>1991</v>
      </c>
      <c r="AA47" s="32" t="s">
        <v>1991</v>
      </c>
      <c r="AB47" s="32">
        <v>0</v>
      </c>
      <c r="AC47" s="32" t="s">
        <v>1991</v>
      </c>
      <c r="AD47" s="32" t="s">
        <v>1991</v>
      </c>
      <c r="AE47" s="506" t="s">
        <v>1991</v>
      </c>
      <c r="AF47" s="506" t="s">
        <v>1991</v>
      </c>
      <c r="AG47" s="32" t="s">
        <v>1991</v>
      </c>
      <c r="AH47" s="32" t="s">
        <v>1991</v>
      </c>
      <c r="AI47" s="32" t="s">
        <v>1991</v>
      </c>
      <c r="AJ47" s="32" t="s">
        <v>1991</v>
      </c>
      <c r="AK47" s="506">
        <v>0</v>
      </c>
      <c r="AL47" s="327"/>
      <c r="AM47" s="327"/>
      <c r="AN47" s="327"/>
      <c r="AO47" s="327"/>
      <c r="AP47" s="327" t="s">
        <v>1991</v>
      </c>
      <c r="AQ47" s="327"/>
      <c r="AR47" s="327"/>
      <c r="AS47" s="327" t="s">
        <v>1991</v>
      </c>
      <c r="AT47" s="327"/>
      <c r="AU47" s="327"/>
      <c r="AV47" s="327"/>
      <c r="AW47" s="327"/>
      <c r="AX47" s="327"/>
      <c r="AY47" s="327"/>
      <c r="AZ47" s="327"/>
      <c r="BA47" s="327"/>
      <c r="BB47" s="46">
        <f t="shared" si="1"/>
        <v>13</v>
      </c>
      <c r="BC47" s="46">
        <f t="shared" si="2"/>
        <v>14</v>
      </c>
      <c r="BD47" s="46">
        <f t="shared" si="15"/>
        <v>2</v>
      </c>
      <c r="BE47" s="46">
        <f t="shared" si="3"/>
        <v>0</v>
      </c>
      <c r="BF47" s="296">
        <f t="shared" si="4"/>
        <v>27</v>
      </c>
      <c r="BG47" s="2"/>
      <c r="BH47" s="2"/>
      <c r="BI47" s="2"/>
      <c r="BJ47" s="2"/>
      <c r="BK47" s="279">
        <f t="shared" si="5"/>
        <v>1</v>
      </c>
      <c r="BL47" s="279">
        <f t="shared" si="6"/>
        <v>27</v>
      </c>
      <c r="BM47" s="279"/>
      <c r="BN47" s="279"/>
      <c r="BO47" s="2">
        <f t="shared" si="16"/>
        <v>27</v>
      </c>
      <c r="BP47" s="430"/>
      <c r="BQ47" s="431"/>
      <c r="BR47" s="2"/>
      <c r="BS47" s="25"/>
      <c r="BT47" s="348">
        <f t="shared" si="17"/>
        <v>1</v>
      </c>
      <c r="BU47" s="2"/>
      <c r="BV47" s="282">
        <f t="shared" si="7"/>
        <v>0</v>
      </c>
      <c r="BW47" s="279"/>
      <c r="BX47" s="269">
        <f t="shared" si="8"/>
        <v>0</v>
      </c>
      <c r="BY47" s="349" t="e">
        <f>#N/A</f>
        <v>#N/A</v>
      </c>
      <c r="BZ47" s="349" t="e">
        <f>#N/A</f>
        <v>#N/A</v>
      </c>
      <c r="CA47" s="349" t="e">
        <f>#N/A</f>
        <v>#N/A</v>
      </c>
      <c r="CB47" s="351" t="e">
        <f>#N/A</f>
        <v>#N/A</v>
      </c>
      <c r="CC47" s="349" t="e">
        <f t="shared" si="9"/>
        <v>#N/A</v>
      </c>
      <c r="CD47" s="14" t="e">
        <f t="shared" si="18"/>
        <v>#N/A</v>
      </c>
      <c r="CE47" s="14">
        <f t="shared" si="19"/>
        <v>27</v>
      </c>
      <c r="CF47" s="25">
        <f t="shared" si="22"/>
        <v>1</v>
      </c>
      <c r="CG47" s="270"/>
      <c r="CH47" s="2"/>
      <c r="CL47" s="349" t="e">
        <f>#N/A</f>
        <v>#N/A</v>
      </c>
      <c r="CM47" s="349" t="e">
        <f>#N/A</f>
        <v>#N/A</v>
      </c>
      <c r="CN47" s="349" t="e">
        <f>#N/A</f>
        <v>#N/A</v>
      </c>
      <c r="CO47" s="349" t="e">
        <f>#N/A</f>
        <v>#N/A</v>
      </c>
      <c r="CP47" s="349" t="e">
        <f t="shared" si="10"/>
        <v>#N/A</v>
      </c>
      <c r="CQ47" s="14" t="e">
        <f t="shared" si="11"/>
        <v>#N/A</v>
      </c>
      <c r="CW47" s="1">
        <f t="shared" si="12"/>
        <v>0</v>
      </c>
      <c r="CX47" s="1">
        <f t="shared" si="13"/>
        <v>0</v>
      </c>
      <c r="CY47" s="2">
        <f t="shared" si="14"/>
        <v>0</v>
      </c>
    </row>
    <row r="48" spans="1:103" s="1" customFormat="1" ht="29.4" customHeight="1">
      <c r="A48" s="46">
        <v>42</v>
      </c>
      <c r="B48" s="46">
        <v>1</v>
      </c>
      <c r="C48" s="46">
        <v>42</v>
      </c>
      <c r="D48" s="48"/>
      <c r="E48" s="48"/>
      <c r="F48" s="46"/>
      <c r="G48" s="310">
        <v>0</v>
      </c>
      <c r="H48" s="310" t="s">
        <v>1991</v>
      </c>
      <c r="I48" s="310" t="s">
        <v>1991</v>
      </c>
      <c r="J48" s="310"/>
      <c r="K48" s="310" t="s">
        <v>1991</v>
      </c>
      <c r="L48" s="310" t="s">
        <v>1991</v>
      </c>
      <c r="M48" s="310" t="s">
        <v>1991</v>
      </c>
      <c r="N48" s="310" t="s">
        <v>1991</v>
      </c>
      <c r="O48" s="310" t="s">
        <v>1991</v>
      </c>
      <c r="P48" s="310" t="s">
        <v>1991</v>
      </c>
      <c r="Q48" s="310" t="s">
        <v>1991</v>
      </c>
      <c r="R48" s="310" t="s">
        <v>1991</v>
      </c>
      <c r="S48" s="310" t="s">
        <v>1991</v>
      </c>
      <c r="T48" s="505" t="s">
        <v>1991</v>
      </c>
      <c r="U48" s="310" t="s">
        <v>1991</v>
      </c>
      <c r="V48" s="32">
        <v>0</v>
      </c>
      <c r="W48" s="506" t="s">
        <v>1991</v>
      </c>
      <c r="X48" s="506" t="s">
        <v>1991</v>
      </c>
      <c r="Y48" s="506" t="s">
        <v>1991</v>
      </c>
      <c r="Z48" s="32" t="s">
        <v>1991</v>
      </c>
      <c r="AA48" s="32" t="s">
        <v>1991</v>
      </c>
      <c r="AB48" s="32" t="s">
        <v>1991</v>
      </c>
      <c r="AC48" s="32" t="s">
        <v>1991</v>
      </c>
      <c r="AD48" s="32" t="s">
        <v>1991</v>
      </c>
      <c r="AE48" s="506" t="s">
        <v>1991</v>
      </c>
      <c r="AF48" s="506" t="s">
        <v>1991</v>
      </c>
      <c r="AG48" s="32" t="s">
        <v>1991</v>
      </c>
      <c r="AH48" s="32" t="s">
        <v>1991</v>
      </c>
      <c r="AI48" s="32" t="s">
        <v>1991</v>
      </c>
      <c r="AJ48" s="32" t="s">
        <v>1991</v>
      </c>
      <c r="AK48" s="506" t="s">
        <v>1991</v>
      </c>
      <c r="AL48" s="327"/>
      <c r="AM48" s="327"/>
      <c r="AN48" s="327"/>
      <c r="AO48" s="327"/>
      <c r="AP48" s="327">
        <v>0</v>
      </c>
      <c r="AQ48" s="327"/>
      <c r="AR48" s="327"/>
      <c r="AS48" s="327"/>
      <c r="AT48" s="327"/>
      <c r="AU48" s="327"/>
      <c r="AV48" s="327"/>
      <c r="AW48" s="327"/>
      <c r="AX48" s="327"/>
      <c r="AY48" s="327"/>
      <c r="AZ48" s="327"/>
      <c r="BA48" s="327"/>
      <c r="BB48" s="46">
        <f t="shared" si="1"/>
        <v>13</v>
      </c>
      <c r="BC48" s="46">
        <f t="shared" si="2"/>
        <v>15</v>
      </c>
      <c r="BD48" s="46">
        <f t="shared" si="15"/>
        <v>0</v>
      </c>
      <c r="BE48" s="46">
        <f t="shared" si="3"/>
        <v>0</v>
      </c>
      <c r="BF48" s="296">
        <f t="shared" si="4"/>
        <v>28</v>
      </c>
      <c r="BG48" s="2"/>
      <c r="BH48" s="2"/>
      <c r="BI48" s="2"/>
      <c r="BJ48" s="2"/>
      <c r="BK48" s="279">
        <f t="shared" si="5"/>
        <v>1</v>
      </c>
      <c r="BL48" s="279">
        <f t="shared" si="6"/>
        <v>28</v>
      </c>
      <c r="BM48" s="279"/>
      <c r="BN48" s="279"/>
      <c r="BO48" s="2">
        <f t="shared" si="16"/>
        <v>28</v>
      </c>
      <c r="BP48" s="430"/>
      <c r="BQ48" s="431"/>
      <c r="BR48" s="2"/>
      <c r="BS48" s="25"/>
      <c r="BT48" s="348">
        <f t="shared" si="17"/>
        <v>1</v>
      </c>
      <c r="BU48" s="2"/>
      <c r="BV48" s="282">
        <f t="shared" si="7"/>
        <v>0</v>
      </c>
      <c r="BW48" s="279"/>
      <c r="BX48" s="269">
        <f t="shared" si="8"/>
        <v>0</v>
      </c>
      <c r="BY48" s="349" t="e">
        <f>#N/A</f>
        <v>#N/A</v>
      </c>
      <c r="BZ48" s="349" t="e">
        <f>#N/A</f>
        <v>#N/A</v>
      </c>
      <c r="CA48" s="349" t="e">
        <f>#N/A</f>
        <v>#N/A</v>
      </c>
      <c r="CB48" s="351" t="e">
        <f>#N/A</f>
        <v>#N/A</v>
      </c>
      <c r="CC48" s="349" t="e">
        <f t="shared" si="9"/>
        <v>#N/A</v>
      </c>
      <c r="CD48" s="14" t="e">
        <f t="shared" si="18"/>
        <v>#N/A</v>
      </c>
      <c r="CE48" s="14">
        <f t="shared" si="19"/>
        <v>28</v>
      </c>
      <c r="CF48" s="25">
        <f t="shared" si="22"/>
        <v>1</v>
      </c>
      <c r="CG48" s="270"/>
      <c r="CH48" s="2"/>
      <c r="CL48" s="349" t="e">
        <f>#N/A</f>
        <v>#N/A</v>
      </c>
      <c r="CM48" s="349" t="e">
        <f>#N/A</f>
        <v>#N/A</v>
      </c>
      <c r="CN48" s="349" t="e">
        <f>#N/A</f>
        <v>#N/A</v>
      </c>
      <c r="CO48" s="349" t="e">
        <f>#N/A</f>
        <v>#N/A</v>
      </c>
      <c r="CP48" s="349" t="e">
        <f t="shared" si="10"/>
        <v>#N/A</v>
      </c>
      <c r="CQ48" s="14" t="e">
        <f t="shared" si="11"/>
        <v>#N/A</v>
      </c>
      <c r="CW48" s="1">
        <f t="shared" si="12"/>
        <v>0</v>
      </c>
      <c r="CX48" s="1">
        <f t="shared" si="13"/>
        <v>0</v>
      </c>
      <c r="CY48" s="2">
        <f t="shared" si="14"/>
        <v>0</v>
      </c>
    </row>
    <row r="49" spans="1:103" s="1" customFormat="1" ht="29.4" customHeight="1">
      <c r="A49" s="46">
        <v>43</v>
      </c>
      <c r="B49" s="46">
        <v>1</v>
      </c>
      <c r="C49" s="46">
        <v>43</v>
      </c>
      <c r="D49" s="48"/>
      <c r="E49" s="48"/>
      <c r="F49" s="46"/>
      <c r="G49" s="310">
        <v>0</v>
      </c>
      <c r="H49" s="310" t="s">
        <v>1991</v>
      </c>
      <c r="I49" s="310" t="s">
        <v>1991</v>
      </c>
      <c r="J49" s="310"/>
      <c r="K49" s="310">
        <v>0</v>
      </c>
      <c r="L49" s="310" t="s">
        <v>1991</v>
      </c>
      <c r="M49" s="310" t="s">
        <v>1991</v>
      </c>
      <c r="N49" s="310" t="s">
        <v>1991</v>
      </c>
      <c r="O49" s="310" t="s">
        <v>1991</v>
      </c>
      <c r="P49" s="310" t="s">
        <v>1991</v>
      </c>
      <c r="Q49" s="310" t="s">
        <v>1991</v>
      </c>
      <c r="R49" s="310" t="s">
        <v>1991</v>
      </c>
      <c r="S49" s="310" t="s">
        <v>1991</v>
      </c>
      <c r="T49" s="505">
        <v>0</v>
      </c>
      <c r="U49" s="310" t="s">
        <v>1991</v>
      </c>
      <c r="V49" s="32" t="s">
        <v>1991</v>
      </c>
      <c r="W49" s="506" t="s">
        <v>1991</v>
      </c>
      <c r="X49" s="506" t="s">
        <v>1991</v>
      </c>
      <c r="Y49" s="506" t="s">
        <v>1991</v>
      </c>
      <c r="Z49" s="32" t="s">
        <v>1991</v>
      </c>
      <c r="AA49" s="32" t="s">
        <v>1991</v>
      </c>
      <c r="AB49" s="32">
        <v>0</v>
      </c>
      <c r="AC49" s="32" t="s">
        <v>1991</v>
      </c>
      <c r="AD49" s="32" t="s">
        <v>1991</v>
      </c>
      <c r="AE49" s="506" t="s">
        <v>1991</v>
      </c>
      <c r="AF49" s="506" t="s">
        <v>1991</v>
      </c>
      <c r="AG49" s="32" t="s">
        <v>1991</v>
      </c>
      <c r="AH49" s="32" t="s">
        <v>1991</v>
      </c>
      <c r="AI49" s="32" t="s">
        <v>1991</v>
      </c>
      <c r="AJ49" s="32" t="s">
        <v>1991</v>
      </c>
      <c r="AK49" s="506" t="s">
        <v>1991</v>
      </c>
      <c r="AL49" s="327"/>
      <c r="AM49" s="327"/>
      <c r="AN49" s="327"/>
      <c r="AO49" s="327"/>
      <c r="AP49" s="327" t="s">
        <v>1991</v>
      </c>
      <c r="AQ49" s="327"/>
      <c r="AR49" s="327"/>
      <c r="AS49" s="327"/>
      <c r="AT49" s="327"/>
      <c r="AU49" s="327"/>
      <c r="AV49" s="327"/>
      <c r="AW49" s="327"/>
      <c r="AX49" s="327"/>
      <c r="AY49" s="327"/>
      <c r="AZ49" s="327"/>
      <c r="BA49" s="327"/>
      <c r="BB49" s="46">
        <f t="shared" si="1"/>
        <v>11</v>
      </c>
      <c r="BC49" s="46">
        <f t="shared" si="2"/>
        <v>15</v>
      </c>
      <c r="BD49" s="46">
        <f t="shared" si="15"/>
        <v>1</v>
      </c>
      <c r="BE49" s="46">
        <f t="shared" si="3"/>
        <v>0</v>
      </c>
      <c r="BF49" s="296">
        <f t="shared" si="4"/>
        <v>26</v>
      </c>
      <c r="BG49" s="2"/>
      <c r="BH49" s="2"/>
      <c r="BI49" s="2"/>
      <c r="BJ49" s="2"/>
      <c r="BK49" s="279">
        <f t="shared" si="5"/>
        <v>1</v>
      </c>
      <c r="BL49" s="279">
        <f t="shared" si="6"/>
        <v>26</v>
      </c>
      <c r="BM49" s="279"/>
      <c r="BN49" s="279"/>
      <c r="BO49" s="2">
        <f t="shared" si="16"/>
        <v>26</v>
      </c>
      <c r="BP49" s="430"/>
      <c r="BQ49" s="431"/>
      <c r="BR49" s="2"/>
      <c r="BS49" s="25"/>
      <c r="BT49" s="348">
        <f t="shared" si="17"/>
        <v>1</v>
      </c>
      <c r="BU49" s="2"/>
      <c r="BV49" s="282">
        <f t="shared" si="7"/>
        <v>0</v>
      </c>
      <c r="BW49" s="279"/>
      <c r="BX49" s="269">
        <f t="shared" si="8"/>
        <v>0</v>
      </c>
      <c r="BY49" s="349" t="e">
        <f>#N/A</f>
        <v>#N/A</v>
      </c>
      <c r="BZ49" s="349" t="e">
        <f>#N/A</f>
        <v>#N/A</v>
      </c>
      <c r="CA49" s="349" t="e">
        <f>#N/A</f>
        <v>#N/A</v>
      </c>
      <c r="CB49" s="351" t="e">
        <f>#N/A</f>
        <v>#N/A</v>
      </c>
      <c r="CC49" s="349" t="e">
        <f t="shared" si="9"/>
        <v>#N/A</v>
      </c>
      <c r="CD49" s="14" t="e">
        <f t="shared" si="18"/>
        <v>#N/A</v>
      </c>
      <c r="CE49" s="14">
        <f t="shared" si="19"/>
        <v>26</v>
      </c>
      <c r="CF49" s="25">
        <f t="shared" si="22"/>
        <v>1</v>
      </c>
      <c r="CG49" s="270"/>
      <c r="CH49" s="2"/>
      <c r="CL49" s="349" t="e">
        <f>#N/A</f>
        <v>#N/A</v>
      </c>
      <c r="CM49" s="349" t="e">
        <f>#N/A</f>
        <v>#N/A</v>
      </c>
      <c r="CN49" s="349" t="e">
        <f>#N/A</f>
        <v>#N/A</v>
      </c>
      <c r="CO49" s="349" t="e">
        <f>#N/A</f>
        <v>#N/A</v>
      </c>
      <c r="CP49" s="349" t="e">
        <f t="shared" si="10"/>
        <v>#N/A</v>
      </c>
      <c r="CQ49" s="14" t="e">
        <f t="shared" si="11"/>
        <v>#N/A</v>
      </c>
      <c r="CW49" s="1">
        <f t="shared" si="12"/>
        <v>0</v>
      </c>
      <c r="CX49" s="1">
        <f t="shared" si="13"/>
        <v>0</v>
      </c>
      <c r="CY49" s="2">
        <f t="shared" si="14"/>
        <v>0</v>
      </c>
    </row>
    <row r="50" spans="1:103" s="1" customFormat="1" ht="29.4" customHeight="1">
      <c r="A50" s="46">
        <v>44</v>
      </c>
      <c r="B50" s="46">
        <v>1</v>
      </c>
      <c r="C50" s="46">
        <v>44</v>
      </c>
      <c r="D50" s="48"/>
      <c r="E50" s="48"/>
      <c r="F50" s="46"/>
      <c r="G50" s="310" t="s">
        <v>1991</v>
      </c>
      <c r="H50" s="310">
        <v>0</v>
      </c>
      <c r="I50" s="310" t="s">
        <v>1991</v>
      </c>
      <c r="J50" s="310"/>
      <c r="K50" s="310" t="s">
        <v>1991</v>
      </c>
      <c r="L50" s="310" t="s">
        <v>1991</v>
      </c>
      <c r="M50" s="310" t="s">
        <v>1991</v>
      </c>
      <c r="N50" s="310" t="s">
        <v>1991</v>
      </c>
      <c r="O50" s="310" t="s">
        <v>1991</v>
      </c>
      <c r="P50" s="310" t="s">
        <v>1991</v>
      </c>
      <c r="Q50" s="310" t="s">
        <v>1991</v>
      </c>
      <c r="R50" s="310" t="s">
        <v>1991</v>
      </c>
      <c r="S50" s="310" t="s">
        <v>1991</v>
      </c>
      <c r="T50" s="505" t="s">
        <v>1991</v>
      </c>
      <c r="U50" s="310" t="s">
        <v>1991</v>
      </c>
      <c r="V50" s="32" t="s">
        <v>1991</v>
      </c>
      <c r="W50" s="506" t="s">
        <v>1991</v>
      </c>
      <c r="X50" s="506">
        <v>0</v>
      </c>
      <c r="Y50" s="506" t="s">
        <v>1991</v>
      </c>
      <c r="Z50" s="32" t="s">
        <v>1991</v>
      </c>
      <c r="AA50" s="32" t="s">
        <v>1991</v>
      </c>
      <c r="AB50" s="32" t="s">
        <v>1991</v>
      </c>
      <c r="AC50" s="32" t="s">
        <v>1991</v>
      </c>
      <c r="AD50" s="32" t="s">
        <v>1991</v>
      </c>
      <c r="AE50" s="506" t="s">
        <v>1991</v>
      </c>
      <c r="AF50" s="506">
        <v>0</v>
      </c>
      <c r="AG50" s="32" t="s">
        <v>1991</v>
      </c>
      <c r="AH50" s="32" t="s">
        <v>1991</v>
      </c>
      <c r="AI50" s="32" t="s">
        <v>1991</v>
      </c>
      <c r="AJ50" s="32" t="s">
        <v>1991</v>
      </c>
      <c r="AK50" s="506" t="s">
        <v>1991</v>
      </c>
      <c r="AL50" s="327"/>
      <c r="AM50" s="327"/>
      <c r="AN50" s="327"/>
      <c r="AO50" s="327"/>
      <c r="AP50" s="327" t="s">
        <v>1991</v>
      </c>
      <c r="AQ50" s="327"/>
      <c r="AR50" s="327"/>
      <c r="AS50" s="327"/>
      <c r="AT50" s="327"/>
      <c r="AU50" s="327"/>
      <c r="AV50" s="327"/>
      <c r="AW50" s="327"/>
      <c r="AX50" s="327"/>
      <c r="AY50" s="327"/>
      <c r="AZ50" s="327"/>
      <c r="BA50" s="327"/>
      <c r="BB50" s="46">
        <f t="shared" si="1"/>
        <v>13</v>
      </c>
      <c r="BC50" s="46">
        <f t="shared" si="2"/>
        <v>14</v>
      </c>
      <c r="BD50" s="46">
        <f t="shared" si="15"/>
        <v>1</v>
      </c>
      <c r="BE50" s="46">
        <f t="shared" si="3"/>
        <v>0</v>
      </c>
      <c r="BF50" s="296">
        <f t="shared" si="4"/>
        <v>27</v>
      </c>
      <c r="BG50" s="2"/>
      <c r="BH50" s="2"/>
      <c r="BI50" s="2"/>
      <c r="BJ50" s="2"/>
      <c r="BK50" s="279">
        <f t="shared" si="5"/>
        <v>1</v>
      </c>
      <c r="BL50" s="279">
        <f t="shared" si="6"/>
        <v>27</v>
      </c>
      <c r="BM50" s="279"/>
      <c r="BN50" s="279"/>
      <c r="BO50" s="2">
        <f t="shared" si="16"/>
        <v>27</v>
      </c>
      <c r="BP50" s="430"/>
      <c r="BQ50" s="431"/>
      <c r="BR50" s="2"/>
      <c r="BS50" s="25"/>
      <c r="BT50" s="348">
        <f t="shared" si="17"/>
        <v>1</v>
      </c>
      <c r="BU50" s="2"/>
      <c r="BV50" s="282">
        <f t="shared" si="7"/>
        <v>0</v>
      </c>
      <c r="BW50" s="279"/>
      <c r="BX50" s="269">
        <f t="shared" si="8"/>
        <v>0</v>
      </c>
      <c r="BY50" s="349" t="e">
        <f>#N/A</f>
        <v>#N/A</v>
      </c>
      <c r="BZ50" s="349" t="e">
        <f>#N/A</f>
        <v>#N/A</v>
      </c>
      <c r="CA50" s="349" t="e">
        <f>#N/A</f>
        <v>#N/A</v>
      </c>
      <c r="CB50" s="351" t="e">
        <f>#N/A</f>
        <v>#N/A</v>
      </c>
      <c r="CC50" s="349" t="e">
        <f t="shared" si="9"/>
        <v>#N/A</v>
      </c>
      <c r="CD50" s="14" t="e">
        <f t="shared" si="18"/>
        <v>#N/A</v>
      </c>
      <c r="CE50" s="14">
        <f t="shared" si="19"/>
        <v>27</v>
      </c>
      <c r="CF50" s="25">
        <f t="shared" si="22"/>
        <v>1</v>
      </c>
      <c r="CG50" s="270"/>
      <c r="CH50" s="2"/>
      <c r="CL50" s="349" t="e">
        <f>#N/A</f>
        <v>#N/A</v>
      </c>
      <c r="CM50" s="349" t="e">
        <f>#N/A</f>
        <v>#N/A</v>
      </c>
      <c r="CN50" s="349" t="e">
        <f>#N/A</f>
        <v>#N/A</v>
      </c>
      <c r="CO50" s="349" t="e">
        <f>#N/A</f>
        <v>#N/A</v>
      </c>
      <c r="CP50" s="349" t="e">
        <f t="shared" si="10"/>
        <v>#N/A</v>
      </c>
      <c r="CQ50" s="14" t="e">
        <f t="shared" si="11"/>
        <v>#N/A</v>
      </c>
      <c r="CW50" s="1">
        <f t="shared" si="12"/>
        <v>0</v>
      </c>
      <c r="CX50" s="1">
        <f t="shared" si="13"/>
        <v>0</v>
      </c>
      <c r="CY50" s="2">
        <f t="shared" si="14"/>
        <v>0</v>
      </c>
    </row>
    <row r="51" spans="1:103" s="1" customFormat="1" ht="29.4" customHeight="1">
      <c r="A51" s="46">
        <v>45</v>
      </c>
      <c r="B51" s="46">
        <v>1</v>
      </c>
      <c r="C51" s="46">
        <v>45</v>
      </c>
      <c r="D51" s="48"/>
      <c r="E51" s="48"/>
      <c r="F51" s="46"/>
      <c r="G51" s="310">
        <v>0</v>
      </c>
      <c r="H51" s="310" t="s">
        <v>1991</v>
      </c>
      <c r="I51" s="310" t="s">
        <v>1991</v>
      </c>
      <c r="J51" s="310"/>
      <c r="K51" s="310" t="s">
        <v>1991</v>
      </c>
      <c r="L51" s="310" t="s">
        <v>1991</v>
      </c>
      <c r="M51" s="310">
        <v>0</v>
      </c>
      <c r="N51" s="310" t="s">
        <v>1991</v>
      </c>
      <c r="O51" s="310" t="s">
        <v>1991</v>
      </c>
      <c r="P51" s="310" t="s">
        <v>1991</v>
      </c>
      <c r="Q51" s="310" t="s">
        <v>1991</v>
      </c>
      <c r="R51" s="310" t="s">
        <v>1991</v>
      </c>
      <c r="S51" s="310" t="s">
        <v>1991</v>
      </c>
      <c r="T51" s="505">
        <v>0</v>
      </c>
      <c r="U51" s="310" t="s">
        <v>1991</v>
      </c>
      <c r="V51" s="32" t="s">
        <v>1991</v>
      </c>
      <c r="W51" s="506" t="s">
        <v>1991</v>
      </c>
      <c r="X51" s="506" t="s">
        <v>1991</v>
      </c>
      <c r="Y51" s="506" t="s">
        <v>1991</v>
      </c>
      <c r="Z51" s="32">
        <v>0</v>
      </c>
      <c r="AA51" s="32">
        <v>0</v>
      </c>
      <c r="AB51" s="32" t="s">
        <v>1991</v>
      </c>
      <c r="AC51" s="32" t="s">
        <v>1991</v>
      </c>
      <c r="AD51" s="32" t="s">
        <v>1991</v>
      </c>
      <c r="AE51" s="506">
        <v>0</v>
      </c>
      <c r="AF51" s="506" t="s">
        <v>1991</v>
      </c>
      <c r="AG51" s="32">
        <v>0</v>
      </c>
      <c r="AH51" s="32" t="s">
        <v>1991</v>
      </c>
      <c r="AI51" s="32">
        <v>0</v>
      </c>
      <c r="AJ51" s="32" t="s">
        <v>1991</v>
      </c>
      <c r="AK51" s="506" t="s">
        <v>1991</v>
      </c>
      <c r="AL51" s="327"/>
      <c r="AM51" s="327"/>
      <c r="AN51" s="327"/>
      <c r="AO51" s="327"/>
      <c r="AP51" s="327" t="s">
        <v>1991</v>
      </c>
      <c r="AQ51" s="327"/>
      <c r="AR51" s="327"/>
      <c r="AS51" s="327"/>
      <c r="AT51" s="327"/>
      <c r="AU51" s="327"/>
      <c r="AV51" s="327"/>
      <c r="AW51" s="327"/>
      <c r="AX51" s="327"/>
      <c r="AY51" s="327"/>
      <c r="AZ51" s="327"/>
      <c r="BA51" s="327"/>
      <c r="BB51" s="46">
        <f t="shared" si="1"/>
        <v>11</v>
      </c>
      <c r="BC51" s="46">
        <f t="shared" si="2"/>
        <v>11</v>
      </c>
      <c r="BD51" s="46">
        <f t="shared" si="15"/>
        <v>1</v>
      </c>
      <c r="BE51" s="46">
        <f t="shared" si="3"/>
        <v>0</v>
      </c>
      <c r="BF51" s="296">
        <f t="shared" si="4"/>
        <v>22</v>
      </c>
      <c r="BG51" s="2"/>
      <c r="BH51" s="2"/>
      <c r="BI51" s="2"/>
      <c r="BJ51" s="2"/>
      <c r="BK51" s="279">
        <f t="shared" si="5"/>
        <v>0</v>
      </c>
      <c r="BL51" s="279">
        <f t="shared" si="6"/>
        <v>22</v>
      </c>
      <c r="BM51" s="279"/>
      <c r="BN51" s="279"/>
      <c r="BO51" s="2">
        <f t="shared" si="16"/>
        <v>0</v>
      </c>
      <c r="BP51" s="430"/>
      <c r="BQ51" s="431"/>
      <c r="BR51" s="2"/>
      <c r="BS51" s="25"/>
      <c r="BT51" s="348">
        <f t="shared" si="17"/>
        <v>0</v>
      </c>
      <c r="BU51" s="2"/>
      <c r="BV51" s="282">
        <f t="shared" si="7"/>
        <v>0</v>
      </c>
      <c r="BW51" s="279"/>
      <c r="BX51" s="269">
        <f t="shared" si="8"/>
        <v>0</v>
      </c>
      <c r="BY51" s="349" t="e">
        <f>#N/A</f>
        <v>#N/A</v>
      </c>
      <c r="BZ51" s="349" t="e">
        <f>#N/A</f>
        <v>#N/A</v>
      </c>
      <c r="CA51" s="349" t="e">
        <f>#N/A</f>
        <v>#N/A</v>
      </c>
      <c r="CB51" s="351" t="e">
        <f>#N/A</f>
        <v>#N/A</v>
      </c>
      <c r="CC51" s="349" t="e">
        <f t="shared" si="9"/>
        <v>#N/A</v>
      </c>
      <c r="CD51" s="14" t="e">
        <f t="shared" si="18"/>
        <v>#N/A</v>
      </c>
      <c r="CE51" s="14">
        <f t="shared" si="19"/>
        <v>0</v>
      </c>
      <c r="CF51" s="25">
        <f t="shared" si="22"/>
        <v>0</v>
      </c>
      <c r="CG51" s="270"/>
      <c r="CH51" s="2"/>
      <c r="CL51" s="349" t="e">
        <f>#N/A</f>
        <v>#N/A</v>
      </c>
      <c r="CM51" s="349" t="e">
        <f>#N/A</f>
        <v>#N/A</v>
      </c>
      <c r="CN51" s="349" t="e">
        <f>#N/A</f>
        <v>#N/A</v>
      </c>
      <c r="CO51" s="349" t="e">
        <f>#N/A</f>
        <v>#N/A</v>
      </c>
      <c r="CP51" s="349" t="e">
        <f t="shared" si="10"/>
        <v>#N/A</v>
      </c>
      <c r="CQ51" s="14" t="e">
        <f t="shared" si="11"/>
        <v>#N/A</v>
      </c>
      <c r="CW51" s="1">
        <f t="shared" si="12"/>
        <v>0</v>
      </c>
      <c r="CX51" s="1">
        <f t="shared" si="13"/>
        <v>0</v>
      </c>
      <c r="CY51" s="2">
        <f t="shared" si="14"/>
        <v>0</v>
      </c>
    </row>
    <row r="52" spans="1:103" s="1" customFormat="1" ht="29.4" customHeight="1">
      <c r="A52" s="46">
        <v>46</v>
      </c>
      <c r="B52" s="46">
        <v>1</v>
      </c>
      <c r="C52" s="46">
        <v>46</v>
      </c>
      <c r="D52" s="48"/>
      <c r="E52" s="48"/>
      <c r="F52" s="46"/>
      <c r="G52" s="310">
        <v>0</v>
      </c>
      <c r="H52" s="310" t="s">
        <v>1991</v>
      </c>
      <c r="I52" s="310" t="s">
        <v>1991</v>
      </c>
      <c r="J52" s="310"/>
      <c r="K52" s="310" t="s">
        <v>1991</v>
      </c>
      <c r="L52" s="310" t="s">
        <v>1991</v>
      </c>
      <c r="M52" s="310" t="s">
        <v>1991</v>
      </c>
      <c r="N52" s="310">
        <v>0</v>
      </c>
      <c r="O52" s="310" t="s">
        <v>1991</v>
      </c>
      <c r="P52" s="310" t="s">
        <v>1991</v>
      </c>
      <c r="Q52" s="310" t="s">
        <v>1991</v>
      </c>
      <c r="R52" s="310" t="s">
        <v>1991</v>
      </c>
      <c r="S52" s="310" t="s">
        <v>1991</v>
      </c>
      <c r="T52" s="505" t="s">
        <v>1991</v>
      </c>
      <c r="U52" s="310" t="s">
        <v>1991</v>
      </c>
      <c r="V52" s="32" t="s">
        <v>1991</v>
      </c>
      <c r="W52" s="506" t="s">
        <v>1991</v>
      </c>
      <c r="X52" s="506">
        <v>0</v>
      </c>
      <c r="Y52" s="506" t="s">
        <v>1991</v>
      </c>
      <c r="Z52" s="32" t="s">
        <v>1991</v>
      </c>
      <c r="AA52" s="32" t="s">
        <v>1991</v>
      </c>
      <c r="AB52" s="32" t="s">
        <v>1991</v>
      </c>
      <c r="AC52" s="32">
        <v>0</v>
      </c>
      <c r="AD52" s="32" t="s">
        <v>1991</v>
      </c>
      <c r="AE52" s="506" t="s">
        <v>1991</v>
      </c>
      <c r="AF52" s="506">
        <v>0</v>
      </c>
      <c r="AG52" s="32" t="s">
        <v>1991</v>
      </c>
      <c r="AH52" s="32" t="s">
        <v>1991</v>
      </c>
      <c r="AI52" s="32" t="s">
        <v>1991</v>
      </c>
      <c r="AJ52" s="32" t="s">
        <v>1991</v>
      </c>
      <c r="AK52" s="506" t="s">
        <v>1991</v>
      </c>
      <c r="AL52" s="327"/>
      <c r="AM52" s="327"/>
      <c r="AN52" s="327"/>
      <c r="AO52" s="327"/>
      <c r="AP52" s="327" t="s">
        <v>1991</v>
      </c>
      <c r="AQ52" s="327"/>
      <c r="AR52" s="327"/>
      <c r="AS52" s="327"/>
      <c r="AT52" s="327"/>
      <c r="AU52" s="327"/>
      <c r="AV52" s="327"/>
      <c r="AW52" s="327"/>
      <c r="AX52" s="327"/>
      <c r="AY52" s="327"/>
      <c r="AZ52" s="327"/>
      <c r="BA52" s="327"/>
      <c r="BB52" s="46">
        <f t="shared" si="1"/>
        <v>12</v>
      </c>
      <c r="BC52" s="46">
        <f t="shared" si="2"/>
        <v>13</v>
      </c>
      <c r="BD52" s="46">
        <f t="shared" si="15"/>
        <v>1</v>
      </c>
      <c r="BE52" s="46">
        <f t="shared" si="3"/>
        <v>0</v>
      </c>
      <c r="BF52" s="296">
        <f t="shared" si="4"/>
        <v>25</v>
      </c>
      <c r="BG52" s="26"/>
      <c r="BH52" s="2"/>
      <c r="BI52" s="2"/>
      <c r="BJ52" s="2"/>
      <c r="BK52" s="279">
        <f t="shared" si="5"/>
        <v>0</v>
      </c>
      <c r="BL52" s="279">
        <f t="shared" si="6"/>
        <v>25</v>
      </c>
      <c r="BM52" s="279"/>
      <c r="BN52" s="279"/>
      <c r="BO52" s="2">
        <f t="shared" si="16"/>
        <v>0</v>
      </c>
      <c r="BP52" s="430"/>
      <c r="BQ52" s="431"/>
      <c r="BR52" s="2"/>
      <c r="BS52" s="25"/>
      <c r="BT52" s="348">
        <f t="shared" si="17"/>
        <v>0</v>
      </c>
      <c r="BU52" s="2"/>
      <c r="BV52" s="282">
        <f t="shared" si="7"/>
        <v>0</v>
      </c>
      <c r="BW52" s="279"/>
      <c r="BX52" s="269">
        <f t="shared" si="8"/>
        <v>0</v>
      </c>
      <c r="BY52" s="349" t="e">
        <f>#N/A</f>
        <v>#N/A</v>
      </c>
      <c r="BZ52" s="349" t="e">
        <f>#N/A</f>
        <v>#N/A</v>
      </c>
      <c r="CA52" s="349" t="e">
        <f>#N/A</f>
        <v>#N/A</v>
      </c>
      <c r="CB52" s="351" t="e">
        <f>#N/A</f>
        <v>#N/A</v>
      </c>
      <c r="CC52" s="349" t="e">
        <f t="shared" si="9"/>
        <v>#N/A</v>
      </c>
      <c r="CD52" s="14" t="e">
        <f t="shared" si="18"/>
        <v>#N/A</v>
      </c>
      <c r="CE52" s="14">
        <f t="shared" si="19"/>
        <v>0</v>
      </c>
      <c r="CF52" s="25">
        <f t="shared" si="22"/>
        <v>0</v>
      </c>
      <c r="CG52" s="270"/>
      <c r="CH52" s="2"/>
      <c r="CL52" s="349" t="e">
        <f>#N/A</f>
        <v>#N/A</v>
      </c>
      <c r="CM52" s="349" t="e">
        <f>#N/A</f>
        <v>#N/A</v>
      </c>
      <c r="CN52" s="349" t="e">
        <f>#N/A</f>
        <v>#N/A</v>
      </c>
      <c r="CO52" s="349" t="e">
        <f>#N/A</f>
        <v>#N/A</v>
      </c>
      <c r="CP52" s="349" t="e">
        <f t="shared" si="10"/>
        <v>#N/A</v>
      </c>
      <c r="CQ52" s="14" t="e">
        <f t="shared" si="11"/>
        <v>#N/A</v>
      </c>
      <c r="CW52" s="1">
        <f t="shared" si="12"/>
        <v>0</v>
      </c>
      <c r="CX52" s="1">
        <f t="shared" si="13"/>
        <v>0</v>
      </c>
      <c r="CY52" s="2">
        <f t="shared" si="14"/>
        <v>0</v>
      </c>
    </row>
    <row r="53" spans="1:103" s="1" customFormat="1" ht="29.4" customHeight="1">
      <c r="A53" s="46">
        <v>47</v>
      </c>
      <c r="B53" s="46">
        <v>1</v>
      </c>
      <c r="C53" s="46">
        <v>47</v>
      </c>
      <c r="D53" s="48"/>
      <c r="E53" s="48"/>
      <c r="F53" s="46"/>
      <c r="G53" s="310" t="s">
        <v>1991</v>
      </c>
      <c r="H53" s="310" t="s">
        <v>1991</v>
      </c>
      <c r="I53" s="310" t="s">
        <v>1991</v>
      </c>
      <c r="J53" s="310"/>
      <c r="K53" s="310" t="s">
        <v>1991</v>
      </c>
      <c r="L53" s="310" t="s">
        <v>1991</v>
      </c>
      <c r="M53" s="310">
        <v>0</v>
      </c>
      <c r="N53" s="310" t="s">
        <v>1991</v>
      </c>
      <c r="O53" s="310" t="s">
        <v>1991</v>
      </c>
      <c r="P53" s="310" t="s">
        <v>1991</v>
      </c>
      <c r="Q53" s="310" t="s">
        <v>1991</v>
      </c>
      <c r="R53" s="310" t="s">
        <v>1991</v>
      </c>
      <c r="S53" s="310">
        <v>0</v>
      </c>
      <c r="T53" s="505" t="s">
        <v>1991</v>
      </c>
      <c r="U53" s="310" t="s">
        <v>1991</v>
      </c>
      <c r="V53" s="32" t="s">
        <v>1991</v>
      </c>
      <c r="W53" s="506" t="s">
        <v>1991</v>
      </c>
      <c r="X53" s="506" t="s">
        <v>1991</v>
      </c>
      <c r="Y53" s="506" t="s">
        <v>1991</v>
      </c>
      <c r="Z53" s="32" t="s">
        <v>1991</v>
      </c>
      <c r="AA53" s="32" t="s">
        <v>1991</v>
      </c>
      <c r="AB53" s="32">
        <v>0</v>
      </c>
      <c r="AC53" s="32" t="s">
        <v>1991</v>
      </c>
      <c r="AD53" s="32" t="s">
        <v>1991</v>
      </c>
      <c r="AE53" s="506" t="s">
        <v>1991</v>
      </c>
      <c r="AF53" s="506" t="s">
        <v>1991</v>
      </c>
      <c r="AG53" s="32" t="s">
        <v>1991</v>
      </c>
      <c r="AH53" s="32" t="s">
        <v>1991</v>
      </c>
      <c r="AI53" s="32">
        <v>0</v>
      </c>
      <c r="AJ53" s="32">
        <v>0</v>
      </c>
      <c r="AK53" s="506" t="s">
        <v>1991</v>
      </c>
      <c r="AL53" s="327"/>
      <c r="AM53" s="327"/>
      <c r="AN53" s="327"/>
      <c r="AO53" s="327"/>
      <c r="AP53" s="327" t="s">
        <v>1991</v>
      </c>
      <c r="AQ53" s="327"/>
      <c r="AR53" s="327"/>
      <c r="AS53" s="327"/>
      <c r="AT53" s="327"/>
      <c r="AU53" s="327"/>
      <c r="AV53" s="327"/>
      <c r="AW53" s="327"/>
      <c r="AX53" s="327"/>
      <c r="AY53" s="327"/>
      <c r="AZ53" s="327"/>
      <c r="BA53" s="327"/>
      <c r="BB53" s="46">
        <f t="shared" ref="BB53:BB116" si="23">COUNTIF(G53:U53,"X")</f>
        <v>12</v>
      </c>
      <c r="BC53" s="46">
        <f t="shared" ref="BC53:BC116" si="24">COUNTIF(V53:AK53,"X")</f>
        <v>13</v>
      </c>
      <c r="BD53" s="46">
        <f t="shared" si="15"/>
        <v>1</v>
      </c>
      <c r="BE53" s="46">
        <f t="shared" ref="BE53:BE116" si="25">COUNTIF(AU53:BA53,"x")</f>
        <v>0</v>
      </c>
      <c r="BF53" s="296">
        <f t="shared" ref="BF53:BF116" si="26">BB53+BC53</f>
        <v>25</v>
      </c>
      <c r="BG53" s="26"/>
      <c r="BH53" s="2"/>
      <c r="BI53" s="2"/>
      <c r="BJ53" s="2"/>
      <c r="BK53" s="279">
        <f t="shared" ref="BK53:BK116" si="27">IF(BO53&gt;=26,1,0)</f>
        <v>0</v>
      </c>
      <c r="BL53" s="279">
        <f t="shared" ref="BL53:BL116" si="28">(BB53+BC53)</f>
        <v>25</v>
      </c>
      <c r="BM53" s="279"/>
      <c r="BN53" s="279"/>
      <c r="BO53" s="2">
        <f t="shared" ref="BO53:BO116" si="29">IF(BT53&gt;0,BF53,0)</f>
        <v>0</v>
      </c>
      <c r="BP53" s="430"/>
      <c r="BQ53" s="431"/>
      <c r="BR53" s="2"/>
      <c r="BS53" s="25"/>
      <c r="BT53" s="348">
        <f t="shared" si="17"/>
        <v>0</v>
      </c>
      <c r="BU53" s="2"/>
      <c r="BV53" s="282">
        <f t="shared" si="7"/>
        <v>0</v>
      </c>
      <c r="BW53" s="279"/>
      <c r="BX53" s="269">
        <f t="shared" si="8"/>
        <v>0</v>
      </c>
      <c r="BY53" s="349" t="e">
        <f>#N/A</f>
        <v>#N/A</v>
      </c>
      <c r="BZ53" s="349" t="e">
        <f>#N/A</f>
        <v>#N/A</v>
      </c>
      <c r="CA53" s="349" t="e">
        <f>#N/A</f>
        <v>#N/A</v>
      </c>
      <c r="CB53" s="351" t="e">
        <f>#N/A</f>
        <v>#N/A</v>
      </c>
      <c r="CC53" s="349" t="e">
        <f t="shared" ref="CC53:CC116" si="30">SUM(BY53:CB53)</f>
        <v>#N/A</v>
      </c>
      <c r="CD53" s="14" t="e">
        <f t="shared" ref="CD53:CD116" si="31">CC53-BB53</f>
        <v>#N/A</v>
      </c>
      <c r="CE53" s="14">
        <f t="shared" ref="CE53:CE116" si="32">IF(CF53&gt;0,BF53,0)</f>
        <v>0</v>
      </c>
      <c r="CF53" s="25">
        <f t="shared" ref="CF53:CF116" si="33">IF(BF53&gt;=26,1,0)</f>
        <v>0</v>
      </c>
      <c r="CG53" s="270"/>
      <c r="CH53" s="2"/>
      <c r="CL53" s="349"/>
      <c r="CM53" s="349"/>
      <c r="CN53" s="349"/>
      <c r="CO53" s="349"/>
      <c r="CP53" s="349"/>
      <c r="CQ53" s="14"/>
      <c r="CY53" s="2"/>
    </row>
    <row r="54" spans="1:103" s="1" customFormat="1" ht="29.4" customHeight="1">
      <c r="A54" s="46">
        <v>48</v>
      </c>
      <c r="B54" s="46">
        <v>4</v>
      </c>
      <c r="C54" s="46">
        <v>137</v>
      </c>
      <c r="D54" s="48"/>
      <c r="E54" s="48"/>
      <c r="F54" s="46"/>
      <c r="G54" s="310" t="s">
        <v>1991</v>
      </c>
      <c r="H54" s="310" t="s">
        <v>1991</v>
      </c>
      <c r="I54" s="310" t="s">
        <v>1991</v>
      </c>
      <c r="J54" s="310" t="s">
        <v>1991</v>
      </c>
      <c r="K54" s="310" t="s">
        <v>1991</v>
      </c>
      <c r="L54" s="310" t="s">
        <v>1991</v>
      </c>
      <c r="M54" s="310" t="s">
        <v>1991</v>
      </c>
      <c r="N54" s="310" t="s">
        <v>1991</v>
      </c>
      <c r="O54" s="310" t="s">
        <v>1991</v>
      </c>
      <c r="P54" s="310" t="s">
        <v>1991</v>
      </c>
      <c r="Q54" s="310" t="s">
        <v>1991</v>
      </c>
      <c r="R54" s="310" t="s">
        <v>1991</v>
      </c>
      <c r="S54" s="310" t="s">
        <v>1991</v>
      </c>
      <c r="T54" s="505" t="s">
        <v>1991</v>
      </c>
      <c r="U54" s="310" t="s">
        <v>1991</v>
      </c>
      <c r="V54" s="32" t="s">
        <v>1991</v>
      </c>
      <c r="W54" s="506" t="s">
        <v>1991</v>
      </c>
      <c r="X54" s="506" t="s">
        <v>1991</v>
      </c>
      <c r="Y54" s="506" t="s">
        <v>1991</v>
      </c>
      <c r="Z54" s="32" t="s">
        <v>1991</v>
      </c>
      <c r="AA54" s="32" t="s">
        <v>1991</v>
      </c>
      <c r="AB54" s="32" t="s">
        <v>1991</v>
      </c>
      <c r="AC54" s="32" t="s">
        <v>1991</v>
      </c>
      <c r="AD54" s="32" t="s">
        <v>1991</v>
      </c>
      <c r="AE54" s="506" t="s">
        <v>1991</v>
      </c>
      <c r="AF54" s="506" t="s">
        <v>1991</v>
      </c>
      <c r="AG54" s="32" t="s">
        <v>1991</v>
      </c>
      <c r="AH54" s="32" t="s">
        <v>1991</v>
      </c>
      <c r="AI54" s="32" t="s">
        <v>1991</v>
      </c>
      <c r="AJ54" s="32" t="s">
        <v>1991</v>
      </c>
      <c r="AK54" s="506" t="s">
        <v>1991</v>
      </c>
      <c r="AL54" s="327"/>
      <c r="AM54" s="327"/>
      <c r="AN54" s="327" t="s">
        <v>1991</v>
      </c>
      <c r="AO54" s="327" t="s">
        <v>1991</v>
      </c>
      <c r="AP54" s="327"/>
      <c r="AQ54" s="327"/>
      <c r="AR54" s="327"/>
      <c r="AS54" s="327" t="s">
        <v>1991</v>
      </c>
      <c r="AT54" s="327" t="s">
        <v>1991</v>
      </c>
      <c r="AU54" s="327"/>
      <c r="AV54" s="327"/>
      <c r="AW54" s="327"/>
      <c r="AX54" s="327"/>
      <c r="AY54" s="327"/>
      <c r="AZ54" s="327"/>
      <c r="BA54" s="327"/>
      <c r="BB54" s="46">
        <f t="shared" si="23"/>
        <v>15</v>
      </c>
      <c r="BC54" s="46">
        <f t="shared" si="24"/>
        <v>16</v>
      </c>
      <c r="BD54" s="46">
        <f t="shared" si="15"/>
        <v>4</v>
      </c>
      <c r="BE54" s="46">
        <f t="shared" si="25"/>
        <v>0</v>
      </c>
      <c r="BF54" s="296">
        <f t="shared" si="26"/>
        <v>31</v>
      </c>
      <c r="BG54" s="26"/>
      <c r="BH54" s="2"/>
      <c r="BI54" s="2"/>
      <c r="BJ54" s="2"/>
      <c r="BK54" s="279">
        <f t="shared" si="27"/>
        <v>1</v>
      </c>
      <c r="BL54" s="279">
        <f t="shared" si="28"/>
        <v>31</v>
      </c>
      <c r="BM54" s="279"/>
      <c r="BN54" s="279"/>
      <c r="BO54" s="2">
        <f t="shared" si="29"/>
        <v>31</v>
      </c>
      <c r="BP54" s="430"/>
      <c r="BQ54" s="431"/>
      <c r="BR54" s="2"/>
      <c r="BS54" s="25"/>
      <c r="BT54" s="348">
        <f t="shared" si="17"/>
        <v>1</v>
      </c>
      <c r="BU54" s="2"/>
      <c r="BV54" s="282">
        <f t="shared" si="7"/>
        <v>0</v>
      </c>
      <c r="BW54" s="279"/>
      <c r="BX54" s="269">
        <f t="shared" si="8"/>
        <v>0</v>
      </c>
      <c r="BY54" s="349" t="e">
        <f>#N/A</f>
        <v>#N/A</v>
      </c>
      <c r="BZ54" s="349" t="e">
        <f>#N/A</f>
        <v>#N/A</v>
      </c>
      <c r="CA54" s="349" t="e">
        <f>#N/A</f>
        <v>#N/A</v>
      </c>
      <c r="CB54" s="351" t="e">
        <f>#N/A</f>
        <v>#N/A</v>
      </c>
      <c r="CC54" s="349" t="e">
        <f t="shared" si="30"/>
        <v>#N/A</v>
      </c>
      <c r="CD54" s="14" t="e">
        <f t="shared" si="31"/>
        <v>#N/A</v>
      </c>
      <c r="CE54" s="14">
        <f t="shared" si="32"/>
        <v>31</v>
      </c>
      <c r="CF54" s="25">
        <f t="shared" si="33"/>
        <v>1</v>
      </c>
      <c r="CG54" s="270"/>
      <c r="CH54" s="2"/>
      <c r="CL54" s="349"/>
      <c r="CM54" s="349"/>
      <c r="CN54" s="349"/>
      <c r="CO54" s="349"/>
      <c r="CP54" s="349"/>
      <c r="CQ54" s="14"/>
      <c r="CY54" s="2"/>
    </row>
    <row r="55" spans="1:103" s="1" customFormat="1" ht="29.4" customHeight="1">
      <c r="A55" s="46">
        <v>49</v>
      </c>
      <c r="B55" s="46">
        <v>4</v>
      </c>
      <c r="C55" s="46">
        <v>138</v>
      </c>
      <c r="D55" s="48"/>
      <c r="E55" s="48"/>
      <c r="F55" s="46"/>
      <c r="G55" s="310" t="s">
        <v>1991</v>
      </c>
      <c r="H55" s="310" t="s">
        <v>1991</v>
      </c>
      <c r="I55" s="310" t="s">
        <v>1991</v>
      </c>
      <c r="J55" s="310" t="s">
        <v>1991</v>
      </c>
      <c r="K55" s="310" t="s">
        <v>1991</v>
      </c>
      <c r="L55" s="310" t="s">
        <v>1991</v>
      </c>
      <c r="M55" s="310" t="s">
        <v>1991</v>
      </c>
      <c r="N55" s="310" t="s">
        <v>1991</v>
      </c>
      <c r="O55" s="310" t="s">
        <v>1991</v>
      </c>
      <c r="P55" s="310" t="s">
        <v>1991</v>
      </c>
      <c r="Q55" s="310" t="s">
        <v>1991</v>
      </c>
      <c r="R55" s="310" t="s">
        <v>1991</v>
      </c>
      <c r="S55" s="310" t="s">
        <v>1991</v>
      </c>
      <c r="T55" s="505" t="s">
        <v>1991</v>
      </c>
      <c r="U55" s="310" t="s">
        <v>1991</v>
      </c>
      <c r="V55" s="32" t="s">
        <v>1991</v>
      </c>
      <c r="W55" s="506" t="s">
        <v>1991</v>
      </c>
      <c r="X55" s="506" t="s">
        <v>1991</v>
      </c>
      <c r="Y55" s="506" t="s">
        <v>1991</v>
      </c>
      <c r="Z55" s="32" t="s">
        <v>1991</v>
      </c>
      <c r="AA55" s="32" t="s">
        <v>1991</v>
      </c>
      <c r="AB55" s="32" t="s">
        <v>1991</v>
      </c>
      <c r="AC55" s="32" t="s">
        <v>1991</v>
      </c>
      <c r="AD55" s="32" t="s">
        <v>1991</v>
      </c>
      <c r="AE55" s="506" t="s">
        <v>1991</v>
      </c>
      <c r="AF55" s="506" t="s">
        <v>1991</v>
      </c>
      <c r="AG55" s="32" t="s">
        <v>1991</v>
      </c>
      <c r="AH55" s="32" t="s">
        <v>1991</v>
      </c>
      <c r="AI55" s="32" t="s">
        <v>1991</v>
      </c>
      <c r="AJ55" s="32" t="s">
        <v>1991</v>
      </c>
      <c r="AK55" s="506" t="s">
        <v>1991</v>
      </c>
      <c r="AL55" s="327"/>
      <c r="AM55" s="327"/>
      <c r="AN55" s="327" t="s">
        <v>1991</v>
      </c>
      <c r="AO55" s="327" t="s">
        <v>1991</v>
      </c>
      <c r="AP55" s="327"/>
      <c r="AQ55" s="327"/>
      <c r="AR55" s="327"/>
      <c r="AS55" s="327" t="s">
        <v>1991</v>
      </c>
      <c r="AT55" s="327" t="s">
        <v>1991</v>
      </c>
      <c r="AU55" s="327"/>
      <c r="AV55" s="327"/>
      <c r="AW55" s="327"/>
      <c r="AX55" s="327"/>
      <c r="AY55" s="327"/>
      <c r="AZ55" s="327"/>
      <c r="BA55" s="327"/>
      <c r="BB55" s="46">
        <f t="shared" si="23"/>
        <v>15</v>
      </c>
      <c r="BC55" s="46">
        <f t="shared" si="24"/>
        <v>16</v>
      </c>
      <c r="BD55" s="46">
        <f t="shared" si="15"/>
        <v>4</v>
      </c>
      <c r="BE55" s="46">
        <f t="shared" si="25"/>
        <v>0</v>
      </c>
      <c r="BF55" s="296">
        <f t="shared" si="26"/>
        <v>31</v>
      </c>
      <c r="BG55" s="26"/>
      <c r="BH55" s="2"/>
      <c r="BI55" s="2"/>
      <c r="BJ55" s="2"/>
      <c r="BK55" s="279">
        <f t="shared" si="27"/>
        <v>1</v>
      </c>
      <c r="BL55" s="279">
        <f t="shared" si="28"/>
        <v>31</v>
      </c>
      <c r="BM55" s="279"/>
      <c r="BN55" s="279"/>
      <c r="BO55" s="2">
        <f t="shared" si="29"/>
        <v>31</v>
      </c>
      <c r="BP55" s="430"/>
      <c r="BQ55" s="431"/>
      <c r="BR55" s="2"/>
      <c r="BS55" s="25"/>
      <c r="BT55" s="348">
        <f t="shared" si="17"/>
        <v>1</v>
      </c>
      <c r="BU55" s="2"/>
      <c r="BV55" s="282">
        <f t="shared" si="7"/>
        <v>0</v>
      </c>
      <c r="BW55" s="279"/>
      <c r="BX55" s="269">
        <f t="shared" si="8"/>
        <v>0</v>
      </c>
      <c r="BY55" s="349" t="e">
        <f>#N/A</f>
        <v>#N/A</v>
      </c>
      <c r="BZ55" s="349" t="e">
        <f>#N/A</f>
        <v>#N/A</v>
      </c>
      <c r="CA55" s="349" t="e">
        <f>#N/A</f>
        <v>#N/A</v>
      </c>
      <c r="CB55" s="351" t="e">
        <f>#N/A</f>
        <v>#N/A</v>
      </c>
      <c r="CC55" s="349" t="e">
        <f t="shared" si="30"/>
        <v>#N/A</v>
      </c>
      <c r="CD55" s="14" t="e">
        <f t="shared" si="31"/>
        <v>#N/A</v>
      </c>
      <c r="CE55" s="14">
        <f t="shared" si="32"/>
        <v>31</v>
      </c>
      <c r="CF55" s="25">
        <f t="shared" si="33"/>
        <v>1</v>
      </c>
      <c r="CG55" s="270"/>
      <c r="CH55" s="2"/>
      <c r="CL55" s="349"/>
      <c r="CM55" s="349"/>
      <c r="CN55" s="349"/>
      <c r="CO55" s="349"/>
      <c r="CP55" s="349"/>
      <c r="CQ55" s="14"/>
      <c r="CY55" s="2"/>
    </row>
    <row r="56" spans="1:103" s="1" customFormat="1" ht="29.4" customHeight="1">
      <c r="A56" s="46">
        <v>50</v>
      </c>
      <c r="B56" s="46">
        <v>4</v>
      </c>
      <c r="C56" s="46">
        <v>139</v>
      </c>
      <c r="D56" s="48"/>
      <c r="E56" s="48"/>
      <c r="F56" s="46"/>
      <c r="G56" s="310" t="s">
        <v>1991</v>
      </c>
      <c r="H56" s="310" t="s">
        <v>1991</v>
      </c>
      <c r="I56" s="310" t="s">
        <v>1991</v>
      </c>
      <c r="J56" s="310" t="s">
        <v>1991</v>
      </c>
      <c r="K56" s="310" t="s">
        <v>1991</v>
      </c>
      <c r="L56" s="310" t="s">
        <v>1991</v>
      </c>
      <c r="M56" s="310" t="s">
        <v>1991</v>
      </c>
      <c r="N56" s="310" t="s">
        <v>1991</v>
      </c>
      <c r="O56" s="310" t="s">
        <v>1991</v>
      </c>
      <c r="P56" s="310" t="s">
        <v>1991</v>
      </c>
      <c r="Q56" s="310" t="s">
        <v>1991</v>
      </c>
      <c r="R56" s="310" t="s">
        <v>1991</v>
      </c>
      <c r="S56" s="310" t="s">
        <v>1991</v>
      </c>
      <c r="T56" s="505" t="s">
        <v>1991</v>
      </c>
      <c r="U56" s="310" t="s">
        <v>1991</v>
      </c>
      <c r="V56" s="32" t="s">
        <v>1991</v>
      </c>
      <c r="W56" s="506" t="s">
        <v>1991</v>
      </c>
      <c r="X56" s="506" t="s">
        <v>1991</v>
      </c>
      <c r="Y56" s="506" t="s">
        <v>1991</v>
      </c>
      <c r="Z56" s="32" t="s">
        <v>1991</v>
      </c>
      <c r="AA56" s="32" t="s">
        <v>1991</v>
      </c>
      <c r="AB56" s="32" t="s">
        <v>1991</v>
      </c>
      <c r="AC56" s="32" t="s">
        <v>1991</v>
      </c>
      <c r="AD56" s="32" t="s">
        <v>1991</v>
      </c>
      <c r="AE56" s="506" t="s">
        <v>1991</v>
      </c>
      <c r="AF56" s="506" t="s">
        <v>1991</v>
      </c>
      <c r="AG56" s="32">
        <v>0</v>
      </c>
      <c r="AH56" s="32" t="s">
        <v>1991</v>
      </c>
      <c r="AI56" s="32" t="s">
        <v>1991</v>
      </c>
      <c r="AJ56" s="32" t="s">
        <v>1991</v>
      </c>
      <c r="AK56" s="506" t="s">
        <v>1991</v>
      </c>
      <c r="AL56" s="327"/>
      <c r="AM56" s="327"/>
      <c r="AN56" s="327" t="s">
        <v>1991</v>
      </c>
      <c r="AO56" s="327" t="s">
        <v>1991</v>
      </c>
      <c r="AP56" s="327"/>
      <c r="AQ56" s="327"/>
      <c r="AR56" s="327"/>
      <c r="AS56" s="327">
        <v>0</v>
      </c>
      <c r="AT56" s="327" t="s">
        <v>1991</v>
      </c>
      <c r="AU56" s="327"/>
      <c r="AV56" s="327"/>
      <c r="AW56" s="327"/>
      <c r="AX56" s="327"/>
      <c r="AY56" s="327"/>
      <c r="AZ56" s="327"/>
      <c r="BA56" s="327"/>
      <c r="BB56" s="46">
        <f t="shared" si="23"/>
        <v>15</v>
      </c>
      <c r="BC56" s="46">
        <f t="shared" si="24"/>
        <v>15</v>
      </c>
      <c r="BD56" s="46">
        <f t="shared" si="15"/>
        <v>3</v>
      </c>
      <c r="BE56" s="46">
        <f t="shared" si="25"/>
        <v>0</v>
      </c>
      <c r="BF56" s="296">
        <f t="shared" si="26"/>
        <v>30</v>
      </c>
      <c r="BG56" s="26"/>
      <c r="BH56" s="2"/>
      <c r="BI56" s="2"/>
      <c r="BJ56" s="2"/>
      <c r="BK56" s="279">
        <f t="shared" si="27"/>
        <v>1</v>
      </c>
      <c r="BL56" s="279">
        <f t="shared" si="28"/>
        <v>30</v>
      </c>
      <c r="BM56" s="279"/>
      <c r="BN56" s="279"/>
      <c r="BO56" s="2">
        <f t="shared" si="29"/>
        <v>30</v>
      </c>
      <c r="BP56" s="430"/>
      <c r="BQ56" s="431"/>
      <c r="BR56" s="2"/>
      <c r="BS56" s="25"/>
      <c r="BT56" s="348">
        <f t="shared" si="17"/>
        <v>1</v>
      </c>
      <c r="BU56" s="2"/>
      <c r="BV56" s="282">
        <f t="shared" si="7"/>
        <v>0</v>
      </c>
      <c r="BW56" s="279"/>
      <c r="BX56" s="269">
        <f t="shared" si="8"/>
        <v>0</v>
      </c>
      <c r="BY56" s="349" t="e">
        <f>#N/A</f>
        <v>#N/A</v>
      </c>
      <c r="BZ56" s="349" t="e">
        <f>#N/A</f>
        <v>#N/A</v>
      </c>
      <c r="CA56" s="349" t="e">
        <f>#N/A</f>
        <v>#N/A</v>
      </c>
      <c r="CB56" s="351" t="e">
        <f>#N/A</f>
        <v>#N/A</v>
      </c>
      <c r="CC56" s="349" t="e">
        <f t="shared" si="30"/>
        <v>#N/A</v>
      </c>
      <c r="CD56" s="14" t="e">
        <f t="shared" si="31"/>
        <v>#N/A</v>
      </c>
      <c r="CE56" s="14">
        <f t="shared" si="32"/>
        <v>30</v>
      </c>
      <c r="CF56" s="25">
        <f t="shared" si="33"/>
        <v>1</v>
      </c>
      <c r="CG56" s="270"/>
      <c r="CH56" s="2"/>
      <c r="CL56" s="349"/>
      <c r="CM56" s="349"/>
      <c r="CN56" s="349"/>
      <c r="CO56" s="349"/>
      <c r="CP56" s="349"/>
      <c r="CQ56" s="14"/>
      <c r="CY56" s="2"/>
    </row>
    <row r="57" spans="1:103" s="1" customFormat="1" ht="29.4" customHeight="1">
      <c r="A57" s="46">
        <v>51</v>
      </c>
      <c r="B57" s="46">
        <v>4</v>
      </c>
      <c r="C57" s="46">
        <v>140</v>
      </c>
      <c r="D57" s="48"/>
      <c r="E57" s="48"/>
      <c r="F57" s="46"/>
      <c r="G57" s="310">
        <v>0</v>
      </c>
      <c r="H57" s="310" t="s">
        <v>1991</v>
      </c>
      <c r="I57" s="310" t="s">
        <v>1991</v>
      </c>
      <c r="J57" s="310" t="s">
        <v>1991</v>
      </c>
      <c r="K57" s="310" t="s">
        <v>1991</v>
      </c>
      <c r="L57" s="310" t="s">
        <v>1991</v>
      </c>
      <c r="M57" s="310">
        <v>0</v>
      </c>
      <c r="N57" s="310" t="s">
        <v>1991</v>
      </c>
      <c r="O57" s="310" t="s">
        <v>1991</v>
      </c>
      <c r="P57" s="310" t="s">
        <v>1991</v>
      </c>
      <c r="Q57" s="310" t="s">
        <v>1991</v>
      </c>
      <c r="R57" s="310" t="s">
        <v>1991</v>
      </c>
      <c r="S57" s="310" t="s">
        <v>1991</v>
      </c>
      <c r="T57" s="505" t="s">
        <v>1991</v>
      </c>
      <c r="U57" s="310" t="s">
        <v>1991</v>
      </c>
      <c r="V57" s="32" t="s">
        <v>1991</v>
      </c>
      <c r="W57" s="506" t="s">
        <v>1991</v>
      </c>
      <c r="X57" s="506" t="s">
        <v>1991</v>
      </c>
      <c r="Y57" s="506" t="s">
        <v>1991</v>
      </c>
      <c r="Z57" s="32" t="s">
        <v>1991</v>
      </c>
      <c r="AA57" s="32" t="s">
        <v>1991</v>
      </c>
      <c r="AB57" s="32" t="s">
        <v>1991</v>
      </c>
      <c r="AC57" s="32" t="s">
        <v>1991</v>
      </c>
      <c r="AD57" s="32" t="s">
        <v>1991</v>
      </c>
      <c r="AE57" s="506">
        <v>0</v>
      </c>
      <c r="AF57" s="506" t="s">
        <v>1991</v>
      </c>
      <c r="AG57" s="32" t="s">
        <v>1991</v>
      </c>
      <c r="AH57" s="32" t="s">
        <v>1991</v>
      </c>
      <c r="AI57" s="32" t="s">
        <v>1991</v>
      </c>
      <c r="AJ57" s="32" t="s">
        <v>1991</v>
      </c>
      <c r="AK57" s="506" t="s">
        <v>1991</v>
      </c>
      <c r="AL57" s="327"/>
      <c r="AM57" s="327"/>
      <c r="AN57" s="327" t="s">
        <v>1991</v>
      </c>
      <c r="AO57" s="327" t="s">
        <v>1991</v>
      </c>
      <c r="AP57" s="327"/>
      <c r="AQ57" s="327"/>
      <c r="AR57" s="327"/>
      <c r="AS57" s="327" t="s">
        <v>1991</v>
      </c>
      <c r="AT57" s="327" t="s">
        <v>1991</v>
      </c>
      <c r="AU57" s="327"/>
      <c r="AV57" s="327"/>
      <c r="AW57" s="327"/>
      <c r="AX57" s="327"/>
      <c r="AY57" s="327"/>
      <c r="AZ57" s="327"/>
      <c r="BA57" s="327"/>
      <c r="BB57" s="46">
        <f t="shared" si="23"/>
        <v>13</v>
      </c>
      <c r="BC57" s="46">
        <f t="shared" si="24"/>
        <v>15</v>
      </c>
      <c r="BD57" s="46">
        <f t="shared" si="15"/>
        <v>4</v>
      </c>
      <c r="BE57" s="46">
        <f t="shared" si="25"/>
        <v>0</v>
      </c>
      <c r="BF57" s="296">
        <f t="shared" si="26"/>
        <v>28</v>
      </c>
      <c r="BG57" s="26"/>
      <c r="BH57" s="2"/>
      <c r="BI57" s="2"/>
      <c r="BJ57" s="2"/>
      <c r="BK57" s="279">
        <f t="shared" si="27"/>
        <v>1</v>
      </c>
      <c r="BL57" s="279">
        <f t="shared" si="28"/>
        <v>28</v>
      </c>
      <c r="BM57" s="279"/>
      <c r="BN57" s="279"/>
      <c r="BO57" s="2">
        <f t="shared" si="29"/>
        <v>28</v>
      </c>
      <c r="BP57" s="430"/>
      <c r="BQ57" s="431"/>
      <c r="BR57" s="2"/>
      <c r="BS57" s="25"/>
      <c r="BT57" s="348">
        <f t="shared" si="17"/>
        <v>1</v>
      </c>
      <c r="BU57" s="2"/>
      <c r="BV57" s="282">
        <f t="shared" si="7"/>
        <v>0</v>
      </c>
      <c r="BW57" s="279"/>
      <c r="BX57" s="269">
        <f t="shared" si="8"/>
        <v>0</v>
      </c>
      <c r="BY57" s="349" t="e">
        <f>#N/A</f>
        <v>#N/A</v>
      </c>
      <c r="BZ57" s="349" t="e">
        <f>#N/A</f>
        <v>#N/A</v>
      </c>
      <c r="CA57" s="349" t="e">
        <f>#N/A</f>
        <v>#N/A</v>
      </c>
      <c r="CB57" s="351" t="e">
        <f>#N/A</f>
        <v>#N/A</v>
      </c>
      <c r="CC57" s="349" t="e">
        <f t="shared" si="30"/>
        <v>#N/A</v>
      </c>
      <c r="CD57" s="14" t="e">
        <f t="shared" si="31"/>
        <v>#N/A</v>
      </c>
      <c r="CE57" s="14">
        <f t="shared" si="32"/>
        <v>28</v>
      </c>
      <c r="CF57" s="25">
        <f t="shared" si="33"/>
        <v>1</v>
      </c>
      <c r="CG57" s="270"/>
      <c r="CH57" s="2"/>
      <c r="CL57" s="349"/>
      <c r="CM57" s="349"/>
      <c r="CN57" s="349"/>
      <c r="CO57" s="349"/>
      <c r="CP57" s="349"/>
      <c r="CQ57" s="14"/>
      <c r="CY57" s="2"/>
    </row>
    <row r="58" spans="1:103" s="1" customFormat="1" ht="29.4" customHeight="1">
      <c r="A58" s="46">
        <v>52</v>
      </c>
      <c r="B58" s="46">
        <v>4</v>
      </c>
      <c r="C58" s="46">
        <v>141</v>
      </c>
      <c r="D58" s="48"/>
      <c r="E58" s="48"/>
      <c r="F58" s="46"/>
      <c r="G58" s="310" t="s">
        <v>1991</v>
      </c>
      <c r="H58" s="310" t="s">
        <v>1991</v>
      </c>
      <c r="I58" s="310" t="s">
        <v>1991</v>
      </c>
      <c r="J58" s="310" t="s">
        <v>1991</v>
      </c>
      <c r="K58" s="310" t="s">
        <v>1991</v>
      </c>
      <c r="L58" s="310" t="s">
        <v>1991</v>
      </c>
      <c r="M58" s="310" t="s">
        <v>1991</v>
      </c>
      <c r="N58" s="310" t="s">
        <v>1991</v>
      </c>
      <c r="O58" s="310" t="s">
        <v>1991</v>
      </c>
      <c r="P58" s="310" t="s">
        <v>1991</v>
      </c>
      <c r="Q58" s="310" t="s">
        <v>1991</v>
      </c>
      <c r="R58" s="310" t="s">
        <v>1991</v>
      </c>
      <c r="S58" s="310" t="s">
        <v>1991</v>
      </c>
      <c r="T58" s="505" t="s">
        <v>1991</v>
      </c>
      <c r="U58" s="310" t="s">
        <v>1991</v>
      </c>
      <c r="V58" s="32" t="s">
        <v>1991</v>
      </c>
      <c r="W58" s="506" t="s">
        <v>1991</v>
      </c>
      <c r="X58" s="506" t="s">
        <v>1991</v>
      </c>
      <c r="Y58" s="506" t="s">
        <v>1991</v>
      </c>
      <c r="Z58" s="32" t="s">
        <v>1991</v>
      </c>
      <c r="AA58" s="32" t="s">
        <v>1991</v>
      </c>
      <c r="AB58" s="32" t="s">
        <v>1991</v>
      </c>
      <c r="AC58" s="32" t="s">
        <v>1991</v>
      </c>
      <c r="AD58" s="32" t="s">
        <v>1991</v>
      </c>
      <c r="AE58" s="506" t="s">
        <v>1991</v>
      </c>
      <c r="AF58" s="506" t="s">
        <v>1991</v>
      </c>
      <c r="AG58" s="32" t="s">
        <v>1991</v>
      </c>
      <c r="AH58" s="32" t="s">
        <v>1991</v>
      </c>
      <c r="AI58" s="32" t="s">
        <v>1991</v>
      </c>
      <c r="AJ58" s="32" t="s">
        <v>1991</v>
      </c>
      <c r="AK58" s="506" t="s">
        <v>1991</v>
      </c>
      <c r="AL58" s="327"/>
      <c r="AM58" s="327"/>
      <c r="AN58" s="327" t="s">
        <v>1991</v>
      </c>
      <c r="AO58" s="327" t="s">
        <v>1991</v>
      </c>
      <c r="AP58" s="327"/>
      <c r="AQ58" s="327"/>
      <c r="AR58" s="327"/>
      <c r="AS58" s="327" t="s">
        <v>1991</v>
      </c>
      <c r="AT58" s="327" t="s">
        <v>1991</v>
      </c>
      <c r="AU58" s="327"/>
      <c r="AV58" s="327"/>
      <c r="AW58" s="327"/>
      <c r="AX58" s="327"/>
      <c r="AY58" s="327"/>
      <c r="AZ58" s="327"/>
      <c r="BA58" s="327"/>
      <c r="BB58" s="46">
        <f t="shared" si="23"/>
        <v>15</v>
      </c>
      <c r="BC58" s="46">
        <f t="shared" si="24"/>
        <v>16</v>
      </c>
      <c r="BD58" s="46">
        <f t="shared" si="15"/>
        <v>4</v>
      </c>
      <c r="BE58" s="46">
        <f t="shared" si="25"/>
        <v>0</v>
      </c>
      <c r="BF58" s="296">
        <f t="shared" si="26"/>
        <v>31</v>
      </c>
      <c r="BG58" s="26"/>
      <c r="BH58" s="2"/>
      <c r="BI58" s="2"/>
      <c r="BJ58" s="2"/>
      <c r="BK58" s="279">
        <f t="shared" si="27"/>
        <v>1</v>
      </c>
      <c r="BL58" s="279">
        <f t="shared" si="28"/>
        <v>31</v>
      </c>
      <c r="BM58" s="279"/>
      <c r="BN58" s="279"/>
      <c r="BO58" s="2">
        <f t="shared" si="29"/>
        <v>31</v>
      </c>
      <c r="BP58" s="430"/>
      <c r="BQ58" s="431"/>
      <c r="BR58" s="2"/>
      <c r="BS58" s="25"/>
      <c r="BT58" s="348">
        <f t="shared" si="17"/>
        <v>1</v>
      </c>
      <c r="BU58" s="2"/>
      <c r="BV58" s="282">
        <f t="shared" si="7"/>
        <v>0</v>
      </c>
      <c r="BW58" s="279"/>
      <c r="BX58" s="269">
        <f t="shared" si="8"/>
        <v>0</v>
      </c>
      <c r="BY58" s="349" t="e">
        <f>#N/A</f>
        <v>#N/A</v>
      </c>
      <c r="BZ58" s="349" t="e">
        <f>#N/A</f>
        <v>#N/A</v>
      </c>
      <c r="CA58" s="349" t="e">
        <f>#N/A</f>
        <v>#N/A</v>
      </c>
      <c r="CB58" s="351" t="e">
        <f>#N/A</f>
        <v>#N/A</v>
      </c>
      <c r="CC58" s="349" t="e">
        <f t="shared" si="30"/>
        <v>#N/A</v>
      </c>
      <c r="CD58" s="14" t="e">
        <f t="shared" si="31"/>
        <v>#N/A</v>
      </c>
      <c r="CE58" s="14">
        <f t="shared" si="32"/>
        <v>31</v>
      </c>
      <c r="CF58" s="25">
        <f t="shared" si="33"/>
        <v>1</v>
      </c>
      <c r="CG58" s="270"/>
      <c r="CH58" s="2"/>
      <c r="CL58" s="349"/>
      <c r="CM58" s="349"/>
      <c r="CN58" s="349"/>
      <c r="CO58" s="349"/>
      <c r="CP58" s="349"/>
      <c r="CQ58" s="14"/>
      <c r="CY58" s="2"/>
    </row>
    <row r="59" spans="1:103" s="1" customFormat="1" ht="29.4" customHeight="1">
      <c r="A59" s="46">
        <v>53</v>
      </c>
      <c r="B59" s="46">
        <v>4</v>
      </c>
      <c r="C59" s="46">
        <v>142</v>
      </c>
      <c r="D59" s="48"/>
      <c r="E59" s="48"/>
      <c r="F59" s="46"/>
      <c r="G59" s="310" t="s">
        <v>1991</v>
      </c>
      <c r="H59" s="310" t="s">
        <v>1991</v>
      </c>
      <c r="I59" s="310" t="s">
        <v>1991</v>
      </c>
      <c r="J59" s="310">
        <v>0</v>
      </c>
      <c r="K59" s="310" t="s">
        <v>1991</v>
      </c>
      <c r="L59" s="310" t="s">
        <v>1991</v>
      </c>
      <c r="M59" s="310" t="s">
        <v>1991</v>
      </c>
      <c r="N59" s="310" t="s">
        <v>1991</v>
      </c>
      <c r="O59" s="310" t="s">
        <v>1991</v>
      </c>
      <c r="P59" s="310" t="s">
        <v>1991</v>
      </c>
      <c r="Q59" s="310" t="s">
        <v>1991</v>
      </c>
      <c r="R59" s="310" t="s">
        <v>1991</v>
      </c>
      <c r="S59" s="310" t="s">
        <v>1991</v>
      </c>
      <c r="T59" s="505" t="s">
        <v>1991</v>
      </c>
      <c r="U59" s="310" t="s">
        <v>1991</v>
      </c>
      <c r="V59" s="32" t="s">
        <v>1991</v>
      </c>
      <c r="W59" s="506" t="s">
        <v>1991</v>
      </c>
      <c r="X59" s="506" t="s">
        <v>1991</v>
      </c>
      <c r="Y59" s="506" t="s">
        <v>1991</v>
      </c>
      <c r="Z59" s="32" t="s">
        <v>1991</v>
      </c>
      <c r="AA59" s="32">
        <v>0</v>
      </c>
      <c r="AB59" s="32" t="s">
        <v>1991</v>
      </c>
      <c r="AC59" s="32" t="s">
        <v>1991</v>
      </c>
      <c r="AD59" s="32" t="s">
        <v>1991</v>
      </c>
      <c r="AE59" s="506" t="s">
        <v>1991</v>
      </c>
      <c r="AF59" s="506" t="s">
        <v>1991</v>
      </c>
      <c r="AG59" s="32" t="s">
        <v>1991</v>
      </c>
      <c r="AH59" s="32" t="s">
        <v>1991</v>
      </c>
      <c r="AI59" s="32" t="s">
        <v>1991</v>
      </c>
      <c r="AJ59" s="32" t="s">
        <v>1991</v>
      </c>
      <c r="AK59" s="506" t="s">
        <v>1991</v>
      </c>
      <c r="AL59" s="327"/>
      <c r="AM59" s="327"/>
      <c r="AN59" s="327" t="s">
        <v>1991</v>
      </c>
      <c r="AO59" s="327">
        <v>0</v>
      </c>
      <c r="AP59" s="327"/>
      <c r="AQ59" s="327"/>
      <c r="AR59" s="327"/>
      <c r="AS59" s="327" t="s">
        <v>1991</v>
      </c>
      <c r="AT59" s="327" t="s">
        <v>1991</v>
      </c>
      <c r="AU59" s="327"/>
      <c r="AV59" s="327"/>
      <c r="AW59" s="327"/>
      <c r="AX59" s="327"/>
      <c r="AY59" s="327"/>
      <c r="AZ59" s="327"/>
      <c r="BA59" s="327"/>
      <c r="BB59" s="46">
        <f t="shared" si="23"/>
        <v>14</v>
      </c>
      <c r="BC59" s="46">
        <f t="shared" si="24"/>
        <v>15</v>
      </c>
      <c r="BD59" s="46">
        <f t="shared" si="15"/>
        <v>3</v>
      </c>
      <c r="BE59" s="46">
        <f t="shared" si="25"/>
        <v>0</v>
      </c>
      <c r="BF59" s="296">
        <f t="shared" si="26"/>
        <v>29</v>
      </c>
      <c r="BG59" s="26"/>
      <c r="BH59" s="2"/>
      <c r="BI59" s="2"/>
      <c r="BJ59" s="2"/>
      <c r="BK59" s="279">
        <f t="shared" si="27"/>
        <v>1</v>
      </c>
      <c r="BL59" s="279">
        <f t="shared" si="28"/>
        <v>29</v>
      </c>
      <c r="BM59" s="279"/>
      <c r="BN59" s="279"/>
      <c r="BO59" s="2">
        <f t="shared" si="29"/>
        <v>29</v>
      </c>
      <c r="BP59" s="430"/>
      <c r="BQ59" s="431"/>
      <c r="BR59" s="2"/>
      <c r="BS59" s="25"/>
      <c r="BT59" s="348">
        <f t="shared" si="17"/>
        <v>1</v>
      </c>
      <c r="BU59" s="2"/>
      <c r="BV59" s="282">
        <f t="shared" si="7"/>
        <v>0</v>
      </c>
      <c r="BW59" s="279"/>
      <c r="BX59" s="269">
        <f t="shared" si="8"/>
        <v>0</v>
      </c>
      <c r="BY59" s="349" t="e">
        <f>#N/A</f>
        <v>#N/A</v>
      </c>
      <c r="BZ59" s="349" t="e">
        <f>#N/A</f>
        <v>#N/A</v>
      </c>
      <c r="CA59" s="349" t="e">
        <f>#N/A</f>
        <v>#N/A</v>
      </c>
      <c r="CB59" s="351" t="e">
        <f>#N/A</f>
        <v>#N/A</v>
      </c>
      <c r="CC59" s="349" t="e">
        <f t="shared" si="30"/>
        <v>#N/A</v>
      </c>
      <c r="CD59" s="14" t="e">
        <f t="shared" si="31"/>
        <v>#N/A</v>
      </c>
      <c r="CE59" s="14">
        <f t="shared" si="32"/>
        <v>29</v>
      </c>
      <c r="CF59" s="25">
        <f t="shared" si="33"/>
        <v>1</v>
      </c>
      <c r="CG59" s="270"/>
      <c r="CH59" s="2"/>
      <c r="CL59" s="349"/>
      <c r="CM59" s="349"/>
      <c r="CN59" s="349"/>
      <c r="CO59" s="349"/>
      <c r="CP59" s="349"/>
      <c r="CQ59" s="14"/>
      <c r="CY59" s="2"/>
    </row>
    <row r="60" spans="1:103" s="1" customFormat="1" ht="29.4" customHeight="1">
      <c r="A60" s="46">
        <v>54</v>
      </c>
      <c r="B60" s="46">
        <v>4</v>
      </c>
      <c r="C60" s="46">
        <v>143</v>
      </c>
      <c r="D60" s="48"/>
      <c r="E60" s="48"/>
      <c r="F60" s="46"/>
      <c r="G60" s="310" t="s">
        <v>1991</v>
      </c>
      <c r="H60" s="310" t="s">
        <v>1991</v>
      </c>
      <c r="I60" s="310" t="s">
        <v>1991</v>
      </c>
      <c r="J60" s="310" t="s">
        <v>1991</v>
      </c>
      <c r="K60" s="310" t="s">
        <v>1991</v>
      </c>
      <c r="L60" s="310" t="s">
        <v>1991</v>
      </c>
      <c r="M60" s="310" t="s">
        <v>1991</v>
      </c>
      <c r="N60" s="310" t="s">
        <v>1991</v>
      </c>
      <c r="O60" s="310" t="s">
        <v>1991</v>
      </c>
      <c r="P60" s="310" t="s">
        <v>1991</v>
      </c>
      <c r="Q60" s="310" t="s">
        <v>1991</v>
      </c>
      <c r="R60" s="310" t="s">
        <v>1991</v>
      </c>
      <c r="S60" s="310" t="s">
        <v>1991</v>
      </c>
      <c r="T60" s="505" t="s">
        <v>1991</v>
      </c>
      <c r="U60" s="310" t="s">
        <v>1991</v>
      </c>
      <c r="V60" s="32" t="s">
        <v>1991</v>
      </c>
      <c r="W60" s="506" t="s">
        <v>1991</v>
      </c>
      <c r="X60" s="506" t="s">
        <v>1991</v>
      </c>
      <c r="Y60" s="506" t="s">
        <v>1991</v>
      </c>
      <c r="Z60" s="32" t="s">
        <v>1991</v>
      </c>
      <c r="AA60" s="32" t="s">
        <v>1991</v>
      </c>
      <c r="AB60" s="32" t="s">
        <v>1991</v>
      </c>
      <c r="AC60" s="32" t="s">
        <v>1991</v>
      </c>
      <c r="AD60" s="32" t="s">
        <v>1991</v>
      </c>
      <c r="AE60" s="506" t="s">
        <v>1991</v>
      </c>
      <c r="AF60" s="506" t="s">
        <v>1991</v>
      </c>
      <c r="AG60" s="32" t="s">
        <v>1991</v>
      </c>
      <c r="AH60" s="32" t="s">
        <v>1991</v>
      </c>
      <c r="AI60" s="32" t="s">
        <v>1991</v>
      </c>
      <c r="AJ60" s="32" t="s">
        <v>1991</v>
      </c>
      <c r="AK60" s="506" t="s">
        <v>1991</v>
      </c>
      <c r="AL60" s="327"/>
      <c r="AM60" s="327"/>
      <c r="AN60" s="327" t="s">
        <v>1991</v>
      </c>
      <c r="AO60" s="327" t="s">
        <v>1991</v>
      </c>
      <c r="AP60" s="327"/>
      <c r="AQ60" s="327"/>
      <c r="AR60" s="327"/>
      <c r="AS60" s="327" t="s">
        <v>1991</v>
      </c>
      <c r="AT60" s="327" t="s">
        <v>1991</v>
      </c>
      <c r="AU60" s="327"/>
      <c r="AV60" s="327"/>
      <c r="AW60" s="327"/>
      <c r="AX60" s="327"/>
      <c r="AY60" s="327"/>
      <c r="AZ60" s="327"/>
      <c r="BA60" s="327"/>
      <c r="BB60" s="46">
        <f t="shared" si="23"/>
        <v>15</v>
      </c>
      <c r="BC60" s="46">
        <f t="shared" si="24"/>
        <v>16</v>
      </c>
      <c r="BD60" s="46">
        <f t="shared" si="15"/>
        <v>4</v>
      </c>
      <c r="BE60" s="46">
        <f t="shared" si="25"/>
        <v>0</v>
      </c>
      <c r="BF60" s="296">
        <f t="shared" si="26"/>
        <v>31</v>
      </c>
      <c r="BG60" s="26"/>
      <c r="BH60" s="2"/>
      <c r="BI60" s="2"/>
      <c r="BJ60" s="2"/>
      <c r="BK60" s="279">
        <f t="shared" si="27"/>
        <v>1</v>
      </c>
      <c r="BL60" s="279">
        <f t="shared" si="28"/>
        <v>31</v>
      </c>
      <c r="BM60" s="279"/>
      <c r="BN60" s="279"/>
      <c r="BO60" s="2">
        <f t="shared" si="29"/>
        <v>31</v>
      </c>
      <c r="BP60" s="430"/>
      <c r="BQ60" s="431"/>
      <c r="BR60" s="2"/>
      <c r="BS60" s="25"/>
      <c r="BT60" s="348">
        <f t="shared" si="17"/>
        <v>1</v>
      </c>
      <c r="BU60" s="2"/>
      <c r="BV60" s="282">
        <f t="shared" si="7"/>
        <v>0</v>
      </c>
      <c r="BW60" s="279"/>
      <c r="BX60" s="269">
        <f t="shared" si="8"/>
        <v>0</v>
      </c>
      <c r="BY60" s="349" t="e">
        <f>#N/A</f>
        <v>#N/A</v>
      </c>
      <c r="BZ60" s="349" t="e">
        <f>#N/A</f>
        <v>#N/A</v>
      </c>
      <c r="CA60" s="349" t="e">
        <f>#N/A</f>
        <v>#N/A</v>
      </c>
      <c r="CB60" s="351" t="e">
        <f>#N/A</f>
        <v>#N/A</v>
      </c>
      <c r="CC60" s="349" t="e">
        <f t="shared" si="30"/>
        <v>#N/A</v>
      </c>
      <c r="CD60" s="14" t="e">
        <f t="shared" si="31"/>
        <v>#N/A</v>
      </c>
      <c r="CE60" s="14">
        <f t="shared" si="32"/>
        <v>31</v>
      </c>
      <c r="CF60" s="25">
        <f t="shared" si="33"/>
        <v>1</v>
      </c>
      <c r="CG60" s="270"/>
      <c r="CH60" s="2"/>
      <c r="CL60" s="349"/>
      <c r="CM60" s="349"/>
      <c r="CN60" s="349"/>
      <c r="CO60" s="349"/>
      <c r="CP60" s="349"/>
      <c r="CQ60" s="14"/>
      <c r="CY60" s="2"/>
    </row>
    <row r="61" spans="1:103" s="1" customFormat="1" ht="29.4" customHeight="1">
      <c r="A61" s="46">
        <v>55</v>
      </c>
      <c r="B61" s="46">
        <v>4</v>
      </c>
      <c r="C61" s="46">
        <v>144</v>
      </c>
      <c r="D61" s="48"/>
      <c r="E61" s="48"/>
      <c r="F61" s="46"/>
      <c r="G61" s="310" t="s">
        <v>1991</v>
      </c>
      <c r="H61" s="310" t="s">
        <v>1991</v>
      </c>
      <c r="I61" s="310" t="s">
        <v>1991</v>
      </c>
      <c r="J61" s="310">
        <v>0</v>
      </c>
      <c r="K61" s="310" t="s">
        <v>1991</v>
      </c>
      <c r="L61" s="310" t="s">
        <v>1991</v>
      </c>
      <c r="M61" s="310" t="s">
        <v>1991</v>
      </c>
      <c r="N61" s="310" t="s">
        <v>1991</v>
      </c>
      <c r="O61" s="310" t="s">
        <v>1991</v>
      </c>
      <c r="P61" s="310" t="s">
        <v>1991</v>
      </c>
      <c r="Q61" s="310" t="s">
        <v>1991</v>
      </c>
      <c r="R61" s="310" t="s">
        <v>1991</v>
      </c>
      <c r="S61" s="310" t="s">
        <v>1991</v>
      </c>
      <c r="T61" s="505" t="s">
        <v>1991</v>
      </c>
      <c r="U61" s="310" t="s">
        <v>1991</v>
      </c>
      <c r="V61" s="32" t="s">
        <v>1991</v>
      </c>
      <c r="W61" s="506" t="s">
        <v>1991</v>
      </c>
      <c r="X61" s="506" t="s">
        <v>1991</v>
      </c>
      <c r="Y61" s="506" t="s">
        <v>1991</v>
      </c>
      <c r="Z61" s="32" t="s">
        <v>1991</v>
      </c>
      <c r="AA61" s="32" t="s">
        <v>1991</v>
      </c>
      <c r="AB61" s="32" t="s">
        <v>1991</v>
      </c>
      <c r="AC61" s="32" t="s">
        <v>1991</v>
      </c>
      <c r="AD61" s="32" t="s">
        <v>1991</v>
      </c>
      <c r="AE61" s="506" t="s">
        <v>1991</v>
      </c>
      <c r="AF61" s="506" t="s">
        <v>1991</v>
      </c>
      <c r="AG61" s="32" t="s">
        <v>1991</v>
      </c>
      <c r="AH61" s="32" t="s">
        <v>1991</v>
      </c>
      <c r="AI61" s="32" t="s">
        <v>1991</v>
      </c>
      <c r="AJ61" s="32" t="s">
        <v>1991</v>
      </c>
      <c r="AK61" s="506" t="s">
        <v>1991</v>
      </c>
      <c r="AL61" s="327"/>
      <c r="AM61" s="327"/>
      <c r="AN61" s="327" t="s">
        <v>1991</v>
      </c>
      <c r="AO61" s="327" t="s">
        <v>1991</v>
      </c>
      <c r="AP61" s="327"/>
      <c r="AQ61" s="327"/>
      <c r="AR61" s="327"/>
      <c r="AS61" s="327" t="s">
        <v>1991</v>
      </c>
      <c r="AT61" s="327" t="s">
        <v>1991</v>
      </c>
      <c r="AU61" s="327"/>
      <c r="AV61" s="327"/>
      <c r="AW61" s="327"/>
      <c r="AX61" s="327"/>
      <c r="AY61" s="327"/>
      <c r="AZ61" s="327"/>
      <c r="BA61" s="327"/>
      <c r="BB61" s="46">
        <f t="shared" si="23"/>
        <v>14</v>
      </c>
      <c r="BC61" s="46">
        <f t="shared" si="24"/>
        <v>16</v>
      </c>
      <c r="BD61" s="46">
        <f t="shared" si="15"/>
        <v>4</v>
      </c>
      <c r="BE61" s="46">
        <f t="shared" si="25"/>
        <v>0</v>
      </c>
      <c r="BF61" s="296">
        <f t="shared" si="26"/>
        <v>30</v>
      </c>
      <c r="BG61" s="26"/>
      <c r="BH61" s="2"/>
      <c r="BI61" s="2"/>
      <c r="BJ61" s="2"/>
      <c r="BK61" s="279">
        <f t="shared" si="27"/>
        <v>1</v>
      </c>
      <c r="BL61" s="279">
        <f t="shared" si="28"/>
        <v>30</v>
      </c>
      <c r="BM61" s="279"/>
      <c r="BN61" s="279"/>
      <c r="BO61" s="2">
        <f t="shared" si="29"/>
        <v>30</v>
      </c>
      <c r="BP61" s="430"/>
      <c r="BQ61" s="431"/>
      <c r="BR61" s="2"/>
      <c r="BS61" s="25"/>
      <c r="BT61" s="348">
        <f t="shared" si="17"/>
        <v>1</v>
      </c>
      <c r="BU61" s="2"/>
      <c r="BV61" s="282">
        <f t="shared" si="7"/>
        <v>0</v>
      </c>
      <c r="BW61" s="279"/>
      <c r="BX61" s="269">
        <f t="shared" si="8"/>
        <v>0</v>
      </c>
      <c r="BY61" s="349" t="e">
        <f>#N/A</f>
        <v>#N/A</v>
      </c>
      <c r="BZ61" s="349" t="e">
        <f>#N/A</f>
        <v>#N/A</v>
      </c>
      <c r="CA61" s="349" t="e">
        <f>#N/A</f>
        <v>#N/A</v>
      </c>
      <c r="CB61" s="351" t="e">
        <f>#N/A</f>
        <v>#N/A</v>
      </c>
      <c r="CC61" s="349" t="e">
        <f t="shared" si="30"/>
        <v>#N/A</v>
      </c>
      <c r="CD61" s="14" t="e">
        <f t="shared" si="31"/>
        <v>#N/A</v>
      </c>
      <c r="CE61" s="14">
        <f t="shared" si="32"/>
        <v>30</v>
      </c>
      <c r="CF61" s="25">
        <f t="shared" si="33"/>
        <v>1</v>
      </c>
      <c r="CG61" s="270"/>
      <c r="CH61" s="2"/>
      <c r="CL61" s="349"/>
      <c r="CM61" s="349"/>
      <c r="CN61" s="349"/>
      <c r="CO61" s="349"/>
      <c r="CP61" s="349"/>
      <c r="CQ61" s="14"/>
      <c r="CY61" s="2"/>
    </row>
    <row r="62" spans="1:103" s="1" customFormat="1" ht="29.4" customHeight="1">
      <c r="A62" s="46">
        <v>56</v>
      </c>
      <c r="B62" s="46">
        <v>4</v>
      </c>
      <c r="C62" s="46">
        <v>145</v>
      </c>
      <c r="D62" s="48"/>
      <c r="E62" s="48"/>
      <c r="F62" s="46"/>
      <c r="G62" s="310" t="s">
        <v>1991</v>
      </c>
      <c r="H62" s="310" t="s">
        <v>1991</v>
      </c>
      <c r="I62" s="310" t="s">
        <v>1991</v>
      </c>
      <c r="J62" s="310" t="s">
        <v>1991</v>
      </c>
      <c r="K62" s="310" t="s">
        <v>1991</v>
      </c>
      <c r="L62" s="310" t="s">
        <v>1991</v>
      </c>
      <c r="M62" s="310" t="s">
        <v>1991</v>
      </c>
      <c r="N62" s="310" t="s">
        <v>1991</v>
      </c>
      <c r="O62" s="310" t="s">
        <v>1991</v>
      </c>
      <c r="P62" s="310" t="s">
        <v>1991</v>
      </c>
      <c r="Q62" s="310" t="s">
        <v>1991</v>
      </c>
      <c r="R62" s="310" t="s">
        <v>1991</v>
      </c>
      <c r="S62" s="310" t="s">
        <v>1991</v>
      </c>
      <c r="T62" s="505" t="s">
        <v>1991</v>
      </c>
      <c r="U62" s="310" t="s">
        <v>1991</v>
      </c>
      <c r="V62" s="32" t="s">
        <v>1991</v>
      </c>
      <c r="W62" s="506" t="s">
        <v>1991</v>
      </c>
      <c r="X62" s="506" t="s">
        <v>1991</v>
      </c>
      <c r="Y62" s="506" t="s">
        <v>1991</v>
      </c>
      <c r="Z62" s="32">
        <v>0</v>
      </c>
      <c r="AA62" s="32">
        <v>0</v>
      </c>
      <c r="AB62" s="32">
        <v>0</v>
      </c>
      <c r="AC62" s="32" t="s">
        <v>1991</v>
      </c>
      <c r="AD62" s="32" t="s">
        <v>1991</v>
      </c>
      <c r="AE62" s="506" t="s">
        <v>1991</v>
      </c>
      <c r="AF62" s="506" t="s">
        <v>1991</v>
      </c>
      <c r="AG62" s="32" t="s">
        <v>1991</v>
      </c>
      <c r="AH62" s="32" t="s">
        <v>1991</v>
      </c>
      <c r="AI62" s="32" t="s">
        <v>1991</v>
      </c>
      <c r="AJ62" s="32" t="s">
        <v>1991</v>
      </c>
      <c r="AK62" s="506" t="s">
        <v>1991</v>
      </c>
      <c r="AL62" s="327"/>
      <c r="AM62" s="327"/>
      <c r="AN62" s="327" t="s">
        <v>1991</v>
      </c>
      <c r="AO62" s="327">
        <v>0</v>
      </c>
      <c r="AP62" s="327"/>
      <c r="AQ62" s="327"/>
      <c r="AR62" s="327"/>
      <c r="AS62" s="327" t="s">
        <v>1991</v>
      </c>
      <c r="AT62" s="327" t="s">
        <v>1991</v>
      </c>
      <c r="AU62" s="327"/>
      <c r="AV62" s="327"/>
      <c r="AW62" s="327"/>
      <c r="AX62" s="327"/>
      <c r="AY62" s="327"/>
      <c r="AZ62" s="327"/>
      <c r="BA62" s="327"/>
      <c r="BB62" s="46">
        <f t="shared" si="23"/>
        <v>15</v>
      </c>
      <c r="BC62" s="46">
        <f t="shared" si="24"/>
        <v>13</v>
      </c>
      <c r="BD62" s="46">
        <f t="shared" si="15"/>
        <v>3</v>
      </c>
      <c r="BE62" s="46">
        <f t="shared" si="25"/>
        <v>0</v>
      </c>
      <c r="BF62" s="296">
        <f t="shared" si="26"/>
        <v>28</v>
      </c>
      <c r="BG62" s="26"/>
      <c r="BH62" s="2"/>
      <c r="BI62" s="2"/>
      <c r="BJ62" s="2"/>
      <c r="BK62" s="279">
        <f t="shared" si="27"/>
        <v>1</v>
      </c>
      <c r="BL62" s="279">
        <f t="shared" si="28"/>
        <v>28</v>
      </c>
      <c r="BM62" s="279"/>
      <c r="BN62" s="279"/>
      <c r="BO62" s="2">
        <f t="shared" si="29"/>
        <v>28</v>
      </c>
      <c r="BP62" s="430"/>
      <c r="BQ62" s="431"/>
      <c r="BR62" s="2"/>
      <c r="BS62" s="25"/>
      <c r="BT62" s="348">
        <f t="shared" si="17"/>
        <v>1</v>
      </c>
      <c r="BU62" s="2"/>
      <c r="BV62" s="282">
        <f t="shared" si="7"/>
        <v>0</v>
      </c>
      <c r="BW62" s="279"/>
      <c r="BX62" s="269">
        <f t="shared" si="8"/>
        <v>0</v>
      </c>
      <c r="BY62" s="349" t="e">
        <f>#N/A</f>
        <v>#N/A</v>
      </c>
      <c r="BZ62" s="349" t="e">
        <f>#N/A</f>
        <v>#N/A</v>
      </c>
      <c r="CA62" s="349" t="e">
        <f>#N/A</f>
        <v>#N/A</v>
      </c>
      <c r="CB62" s="351" t="e">
        <f>#N/A</f>
        <v>#N/A</v>
      </c>
      <c r="CC62" s="349" t="e">
        <f t="shared" si="30"/>
        <v>#N/A</v>
      </c>
      <c r="CD62" s="14" t="e">
        <f t="shared" si="31"/>
        <v>#N/A</v>
      </c>
      <c r="CE62" s="14">
        <f t="shared" si="32"/>
        <v>28</v>
      </c>
      <c r="CF62" s="25">
        <f t="shared" si="33"/>
        <v>1</v>
      </c>
      <c r="CG62" s="270"/>
      <c r="CH62" s="2"/>
      <c r="CL62" s="349"/>
      <c r="CM62" s="349"/>
      <c r="CN62" s="349"/>
      <c r="CO62" s="349"/>
      <c r="CP62" s="349"/>
      <c r="CQ62" s="14"/>
      <c r="CY62" s="2"/>
    </row>
    <row r="63" spans="1:103" s="1" customFormat="1" ht="29.4" customHeight="1">
      <c r="A63" s="46">
        <v>57</v>
      </c>
      <c r="B63" s="46">
        <v>4</v>
      </c>
      <c r="C63" s="46">
        <v>146</v>
      </c>
      <c r="D63" s="48"/>
      <c r="E63" s="48"/>
      <c r="F63" s="46"/>
      <c r="G63" s="310" t="s">
        <v>1991</v>
      </c>
      <c r="H63" s="310" t="s">
        <v>1991</v>
      </c>
      <c r="I63" s="310" t="s">
        <v>1991</v>
      </c>
      <c r="J63" s="310">
        <v>0</v>
      </c>
      <c r="K63" s="310" t="s">
        <v>1991</v>
      </c>
      <c r="L63" s="310" t="s">
        <v>1991</v>
      </c>
      <c r="M63" s="310" t="s">
        <v>1991</v>
      </c>
      <c r="N63" s="310" t="s">
        <v>1991</v>
      </c>
      <c r="O63" s="310" t="s">
        <v>1991</v>
      </c>
      <c r="P63" s="310" t="s">
        <v>1991</v>
      </c>
      <c r="Q63" s="310" t="s">
        <v>1991</v>
      </c>
      <c r="R63" s="310" t="s">
        <v>1991</v>
      </c>
      <c r="S63" s="310" t="s">
        <v>1991</v>
      </c>
      <c r="T63" s="505" t="s">
        <v>1991</v>
      </c>
      <c r="U63" s="310" t="s">
        <v>1991</v>
      </c>
      <c r="V63" s="32" t="s">
        <v>1991</v>
      </c>
      <c r="W63" s="506" t="s">
        <v>1991</v>
      </c>
      <c r="X63" s="506" t="s">
        <v>1991</v>
      </c>
      <c r="Y63" s="506" t="s">
        <v>1991</v>
      </c>
      <c r="Z63" s="32" t="s">
        <v>1991</v>
      </c>
      <c r="AA63" s="32" t="s">
        <v>1991</v>
      </c>
      <c r="AB63" s="32" t="s">
        <v>1991</v>
      </c>
      <c r="AC63" s="32" t="s">
        <v>1991</v>
      </c>
      <c r="AD63" s="32" t="s">
        <v>1991</v>
      </c>
      <c r="AE63" s="506" t="s">
        <v>1991</v>
      </c>
      <c r="AF63" s="506" t="s">
        <v>1991</v>
      </c>
      <c r="AG63" s="32" t="s">
        <v>1991</v>
      </c>
      <c r="AH63" s="32" t="s">
        <v>1991</v>
      </c>
      <c r="AI63" s="32" t="s">
        <v>1991</v>
      </c>
      <c r="AJ63" s="32" t="s">
        <v>1991</v>
      </c>
      <c r="AK63" s="506" t="s">
        <v>1991</v>
      </c>
      <c r="AL63" s="327"/>
      <c r="AM63" s="327"/>
      <c r="AN63" s="327" t="s">
        <v>1991</v>
      </c>
      <c r="AO63" s="327" t="s">
        <v>1991</v>
      </c>
      <c r="AP63" s="327"/>
      <c r="AQ63" s="327"/>
      <c r="AR63" s="327"/>
      <c r="AS63" s="327" t="s">
        <v>1991</v>
      </c>
      <c r="AT63" s="327" t="s">
        <v>1991</v>
      </c>
      <c r="AU63" s="327"/>
      <c r="AV63" s="327"/>
      <c r="AW63" s="327"/>
      <c r="AX63" s="327"/>
      <c r="AY63" s="327"/>
      <c r="AZ63" s="327"/>
      <c r="BA63" s="327"/>
      <c r="BB63" s="46">
        <f t="shared" si="23"/>
        <v>14</v>
      </c>
      <c r="BC63" s="46">
        <f t="shared" si="24"/>
        <v>16</v>
      </c>
      <c r="BD63" s="46">
        <f t="shared" si="15"/>
        <v>4</v>
      </c>
      <c r="BE63" s="46">
        <f t="shared" si="25"/>
        <v>0</v>
      </c>
      <c r="BF63" s="296">
        <f t="shared" si="26"/>
        <v>30</v>
      </c>
      <c r="BG63" s="26"/>
      <c r="BH63" s="2"/>
      <c r="BI63" s="2"/>
      <c r="BJ63" s="2"/>
      <c r="BK63" s="279">
        <f t="shared" si="27"/>
        <v>1</v>
      </c>
      <c r="BL63" s="279">
        <f t="shared" si="28"/>
        <v>30</v>
      </c>
      <c r="BM63" s="279"/>
      <c r="BN63" s="279"/>
      <c r="BO63" s="2">
        <f t="shared" si="29"/>
        <v>30</v>
      </c>
      <c r="BP63" s="430"/>
      <c r="BQ63" s="431"/>
      <c r="BR63" s="2"/>
      <c r="BS63" s="25"/>
      <c r="BT63" s="348">
        <f t="shared" si="17"/>
        <v>1</v>
      </c>
      <c r="BU63" s="2"/>
      <c r="BV63" s="282">
        <f t="shared" si="7"/>
        <v>0</v>
      </c>
      <c r="BW63" s="279"/>
      <c r="BX63" s="269">
        <f t="shared" si="8"/>
        <v>0</v>
      </c>
      <c r="BY63" s="349" t="e">
        <f>#N/A</f>
        <v>#N/A</v>
      </c>
      <c r="BZ63" s="349" t="e">
        <f>#N/A</f>
        <v>#N/A</v>
      </c>
      <c r="CA63" s="349" t="e">
        <f>#N/A</f>
        <v>#N/A</v>
      </c>
      <c r="CB63" s="351" t="e">
        <f>#N/A</f>
        <v>#N/A</v>
      </c>
      <c r="CC63" s="349" t="e">
        <f t="shared" si="30"/>
        <v>#N/A</v>
      </c>
      <c r="CD63" s="14" t="e">
        <f t="shared" si="31"/>
        <v>#N/A</v>
      </c>
      <c r="CE63" s="14">
        <f t="shared" si="32"/>
        <v>30</v>
      </c>
      <c r="CF63" s="25">
        <f t="shared" si="33"/>
        <v>1</v>
      </c>
      <c r="CG63" s="270"/>
      <c r="CH63" s="2"/>
      <c r="CL63" s="349"/>
      <c r="CM63" s="349"/>
      <c r="CN63" s="349"/>
      <c r="CO63" s="349"/>
      <c r="CP63" s="349"/>
      <c r="CQ63" s="14"/>
      <c r="CY63" s="2"/>
    </row>
    <row r="64" spans="1:103" s="1" customFormat="1" ht="29.4" customHeight="1">
      <c r="A64" s="46">
        <v>58</v>
      </c>
      <c r="B64" s="46">
        <v>4</v>
      </c>
      <c r="C64" s="46">
        <v>147</v>
      </c>
      <c r="D64" s="48"/>
      <c r="E64" s="48"/>
      <c r="F64" s="46"/>
      <c r="G64" s="310" t="s">
        <v>1991</v>
      </c>
      <c r="H64" s="310" t="s">
        <v>1991</v>
      </c>
      <c r="I64" s="310" t="s">
        <v>1991</v>
      </c>
      <c r="J64" s="310">
        <v>0</v>
      </c>
      <c r="K64" s="310" t="s">
        <v>1991</v>
      </c>
      <c r="L64" s="310" t="s">
        <v>1991</v>
      </c>
      <c r="M64" s="310" t="s">
        <v>1991</v>
      </c>
      <c r="N64" s="310" t="s">
        <v>1991</v>
      </c>
      <c r="O64" s="310" t="s">
        <v>1991</v>
      </c>
      <c r="P64" s="310" t="s">
        <v>1991</v>
      </c>
      <c r="Q64" s="310" t="s">
        <v>1991</v>
      </c>
      <c r="R64" s="310" t="s">
        <v>1991</v>
      </c>
      <c r="S64" s="310" t="s">
        <v>1991</v>
      </c>
      <c r="T64" s="505" t="s">
        <v>1991</v>
      </c>
      <c r="U64" s="310" t="s">
        <v>1991</v>
      </c>
      <c r="V64" s="32" t="s">
        <v>1991</v>
      </c>
      <c r="W64" s="506" t="s">
        <v>1991</v>
      </c>
      <c r="X64" s="506" t="s">
        <v>1991</v>
      </c>
      <c r="Y64" s="506" t="s">
        <v>1991</v>
      </c>
      <c r="Z64" s="32" t="s">
        <v>1991</v>
      </c>
      <c r="AA64" s="32" t="s">
        <v>1991</v>
      </c>
      <c r="AB64" s="32" t="s">
        <v>1991</v>
      </c>
      <c r="AC64" s="32" t="s">
        <v>1991</v>
      </c>
      <c r="AD64" s="32" t="s">
        <v>1991</v>
      </c>
      <c r="AE64" s="506" t="s">
        <v>1991</v>
      </c>
      <c r="AF64" s="506" t="s">
        <v>1991</v>
      </c>
      <c r="AG64" s="32" t="s">
        <v>1991</v>
      </c>
      <c r="AH64" s="32" t="s">
        <v>1991</v>
      </c>
      <c r="AI64" s="32" t="s">
        <v>1991</v>
      </c>
      <c r="AJ64" s="32" t="s">
        <v>1991</v>
      </c>
      <c r="AK64" s="506" t="s">
        <v>1991</v>
      </c>
      <c r="AL64" s="327"/>
      <c r="AM64" s="327"/>
      <c r="AN64" s="327" t="s">
        <v>1991</v>
      </c>
      <c r="AO64" s="327" t="s">
        <v>1991</v>
      </c>
      <c r="AP64" s="327"/>
      <c r="AQ64" s="327"/>
      <c r="AR64" s="327"/>
      <c r="AS64" s="327" t="s">
        <v>1991</v>
      </c>
      <c r="AT64" s="327" t="s">
        <v>1991</v>
      </c>
      <c r="AU64" s="327"/>
      <c r="AV64" s="327"/>
      <c r="AW64" s="327"/>
      <c r="AX64" s="327"/>
      <c r="AY64" s="327"/>
      <c r="AZ64" s="327"/>
      <c r="BA64" s="327"/>
      <c r="BB64" s="46">
        <f t="shared" si="23"/>
        <v>14</v>
      </c>
      <c r="BC64" s="46">
        <f t="shared" si="24"/>
        <v>16</v>
      </c>
      <c r="BD64" s="46">
        <f t="shared" si="15"/>
        <v>4</v>
      </c>
      <c r="BE64" s="46">
        <f t="shared" si="25"/>
        <v>0</v>
      </c>
      <c r="BF64" s="296">
        <f t="shared" si="26"/>
        <v>30</v>
      </c>
      <c r="BG64" s="26"/>
      <c r="BH64" s="2"/>
      <c r="BI64" s="2"/>
      <c r="BJ64" s="2"/>
      <c r="BK64" s="279">
        <f t="shared" si="27"/>
        <v>1</v>
      </c>
      <c r="BL64" s="279">
        <f t="shared" si="28"/>
        <v>30</v>
      </c>
      <c r="BM64" s="279"/>
      <c r="BN64" s="279"/>
      <c r="BO64" s="2">
        <f t="shared" si="29"/>
        <v>30</v>
      </c>
      <c r="BP64" s="430"/>
      <c r="BQ64" s="431"/>
      <c r="BR64" s="2"/>
      <c r="BS64" s="25"/>
      <c r="BT64" s="348">
        <f t="shared" si="17"/>
        <v>1</v>
      </c>
      <c r="BU64" s="2"/>
      <c r="BV64" s="282">
        <f t="shared" si="7"/>
        <v>0</v>
      </c>
      <c r="BW64" s="279"/>
      <c r="BX64" s="269">
        <f t="shared" si="8"/>
        <v>0</v>
      </c>
      <c r="BY64" s="349" t="e">
        <f>#N/A</f>
        <v>#N/A</v>
      </c>
      <c r="BZ64" s="349" t="e">
        <f>#N/A</f>
        <v>#N/A</v>
      </c>
      <c r="CA64" s="349" t="e">
        <f>#N/A</f>
        <v>#N/A</v>
      </c>
      <c r="CB64" s="351" t="e">
        <f>#N/A</f>
        <v>#N/A</v>
      </c>
      <c r="CC64" s="349" t="e">
        <f t="shared" si="30"/>
        <v>#N/A</v>
      </c>
      <c r="CD64" s="14" t="e">
        <f t="shared" si="31"/>
        <v>#N/A</v>
      </c>
      <c r="CE64" s="14">
        <f t="shared" si="32"/>
        <v>30</v>
      </c>
      <c r="CF64" s="25">
        <f t="shared" si="33"/>
        <v>1</v>
      </c>
      <c r="CG64" s="270"/>
      <c r="CH64" s="2"/>
      <c r="CL64" s="349"/>
      <c r="CM64" s="349"/>
      <c r="CN64" s="349"/>
      <c r="CO64" s="349"/>
      <c r="CP64" s="349"/>
      <c r="CQ64" s="14"/>
      <c r="CY64" s="2"/>
    </row>
    <row r="65" spans="1:103" s="1" customFormat="1" ht="29.4" customHeight="1">
      <c r="A65" s="46">
        <v>59</v>
      </c>
      <c r="B65" s="46">
        <v>4</v>
      </c>
      <c r="C65" s="46">
        <v>148</v>
      </c>
      <c r="D65" s="48"/>
      <c r="E65" s="48"/>
      <c r="F65" s="46"/>
      <c r="G65" s="310" t="s">
        <v>1991</v>
      </c>
      <c r="H65" s="310" t="s">
        <v>1991</v>
      </c>
      <c r="I65" s="310" t="s">
        <v>1991</v>
      </c>
      <c r="J65" s="310" t="s">
        <v>1991</v>
      </c>
      <c r="K65" s="310" t="s">
        <v>1991</v>
      </c>
      <c r="L65" s="310" t="s">
        <v>1991</v>
      </c>
      <c r="M65" s="310" t="s">
        <v>1991</v>
      </c>
      <c r="N65" s="310" t="s">
        <v>1991</v>
      </c>
      <c r="O65" s="310" t="s">
        <v>1991</v>
      </c>
      <c r="P65" s="310" t="s">
        <v>1991</v>
      </c>
      <c r="Q65" s="310" t="s">
        <v>1991</v>
      </c>
      <c r="R65" s="310" t="s">
        <v>1991</v>
      </c>
      <c r="S65" s="310" t="s">
        <v>1991</v>
      </c>
      <c r="T65" s="505" t="s">
        <v>1991</v>
      </c>
      <c r="U65" s="310" t="s">
        <v>1991</v>
      </c>
      <c r="V65" s="32" t="s">
        <v>1991</v>
      </c>
      <c r="W65" s="506" t="s">
        <v>1991</v>
      </c>
      <c r="X65" s="506" t="s">
        <v>1991</v>
      </c>
      <c r="Y65" s="506" t="s">
        <v>1991</v>
      </c>
      <c r="Z65" s="32" t="s">
        <v>1991</v>
      </c>
      <c r="AA65" s="32" t="s">
        <v>1991</v>
      </c>
      <c r="AB65" s="32" t="s">
        <v>1991</v>
      </c>
      <c r="AC65" s="32" t="s">
        <v>1991</v>
      </c>
      <c r="AD65" s="32" t="s">
        <v>1991</v>
      </c>
      <c r="AE65" s="506" t="s">
        <v>1991</v>
      </c>
      <c r="AF65" s="506" t="s">
        <v>1991</v>
      </c>
      <c r="AG65" s="32" t="s">
        <v>1991</v>
      </c>
      <c r="AH65" s="32" t="s">
        <v>1991</v>
      </c>
      <c r="AI65" s="32" t="s">
        <v>1991</v>
      </c>
      <c r="AJ65" s="32" t="s">
        <v>1991</v>
      </c>
      <c r="AK65" s="506" t="s">
        <v>1991</v>
      </c>
      <c r="AL65" s="327"/>
      <c r="AM65" s="327"/>
      <c r="AN65" s="327" t="s">
        <v>1991</v>
      </c>
      <c r="AO65" s="327" t="s">
        <v>1991</v>
      </c>
      <c r="AP65" s="327"/>
      <c r="AQ65" s="327"/>
      <c r="AR65" s="327"/>
      <c r="AS65" s="327" t="s">
        <v>1991</v>
      </c>
      <c r="AT65" s="327" t="s">
        <v>1991</v>
      </c>
      <c r="AU65" s="327"/>
      <c r="AV65" s="327"/>
      <c r="AW65" s="327"/>
      <c r="AX65" s="327"/>
      <c r="AY65" s="327"/>
      <c r="AZ65" s="327"/>
      <c r="BA65" s="327"/>
      <c r="BB65" s="46">
        <f t="shared" si="23"/>
        <v>15</v>
      </c>
      <c r="BC65" s="46">
        <f t="shared" si="24"/>
        <v>16</v>
      </c>
      <c r="BD65" s="46">
        <f t="shared" si="15"/>
        <v>4</v>
      </c>
      <c r="BE65" s="46">
        <f t="shared" si="25"/>
        <v>0</v>
      </c>
      <c r="BF65" s="296">
        <f t="shared" si="26"/>
        <v>31</v>
      </c>
      <c r="BG65" s="26"/>
      <c r="BH65" s="2"/>
      <c r="BI65" s="2"/>
      <c r="BJ65" s="2"/>
      <c r="BK65" s="279">
        <f t="shared" si="27"/>
        <v>1</v>
      </c>
      <c r="BL65" s="279">
        <f t="shared" si="28"/>
        <v>31</v>
      </c>
      <c r="BM65" s="279"/>
      <c r="BN65" s="279"/>
      <c r="BO65" s="2">
        <f t="shared" si="29"/>
        <v>31</v>
      </c>
      <c r="BP65" s="430"/>
      <c r="BQ65" s="431"/>
      <c r="BR65" s="2"/>
      <c r="BS65" s="25"/>
      <c r="BT65" s="348">
        <f t="shared" si="17"/>
        <v>1</v>
      </c>
      <c r="BU65" s="2"/>
      <c r="BV65" s="282">
        <f t="shared" si="7"/>
        <v>0</v>
      </c>
      <c r="BW65" s="279"/>
      <c r="BX65" s="269">
        <f t="shared" si="8"/>
        <v>0</v>
      </c>
      <c r="BY65" s="349" t="e">
        <f>#N/A</f>
        <v>#N/A</v>
      </c>
      <c r="BZ65" s="349" t="e">
        <f>#N/A</f>
        <v>#N/A</v>
      </c>
      <c r="CA65" s="349" t="e">
        <f>#N/A</f>
        <v>#N/A</v>
      </c>
      <c r="CB65" s="351" t="e">
        <f>#N/A</f>
        <v>#N/A</v>
      </c>
      <c r="CC65" s="349" t="e">
        <f t="shared" si="30"/>
        <v>#N/A</v>
      </c>
      <c r="CD65" s="14" t="e">
        <f t="shared" si="31"/>
        <v>#N/A</v>
      </c>
      <c r="CE65" s="14">
        <f t="shared" si="32"/>
        <v>31</v>
      </c>
      <c r="CF65" s="25">
        <f t="shared" si="33"/>
        <v>1</v>
      </c>
      <c r="CG65" s="270"/>
      <c r="CH65" s="2"/>
      <c r="CL65" s="349"/>
      <c r="CM65" s="349"/>
      <c r="CN65" s="349"/>
      <c r="CO65" s="349"/>
      <c r="CP65" s="349"/>
      <c r="CQ65" s="14"/>
      <c r="CY65" s="2"/>
    </row>
    <row r="66" spans="1:103" s="1" customFormat="1" ht="29.4" customHeight="1">
      <c r="A66" s="46">
        <v>60</v>
      </c>
      <c r="B66" s="46">
        <v>4</v>
      </c>
      <c r="C66" s="46">
        <v>149</v>
      </c>
      <c r="D66" s="48"/>
      <c r="E66" s="48"/>
      <c r="F66" s="46"/>
      <c r="G66" s="310" t="s">
        <v>1991</v>
      </c>
      <c r="H66" s="310" t="s">
        <v>1991</v>
      </c>
      <c r="I66" s="310" t="s">
        <v>1991</v>
      </c>
      <c r="J66" s="310">
        <v>0</v>
      </c>
      <c r="K66" s="310" t="s">
        <v>1991</v>
      </c>
      <c r="L66" s="310" t="s">
        <v>1991</v>
      </c>
      <c r="M66" s="310" t="s">
        <v>1991</v>
      </c>
      <c r="N66" s="310">
        <v>0</v>
      </c>
      <c r="O66" s="310" t="s">
        <v>1991</v>
      </c>
      <c r="P66" s="310" t="s">
        <v>1991</v>
      </c>
      <c r="Q66" s="310" t="s">
        <v>1991</v>
      </c>
      <c r="R66" s="310" t="s">
        <v>1991</v>
      </c>
      <c r="S66" s="310" t="s">
        <v>1991</v>
      </c>
      <c r="T66" s="505" t="s">
        <v>1991</v>
      </c>
      <c r="U66" s="310" t="s">
        <v>1991</v>
      </c>
      <c r="V66" s="32" t="s">
        <v>1991</v>
      </c>
      <c r="W66" s="506" t="s">
        <v>1991</v>
      </c>
      <c r="X66" s="506" t="s">
        <v>1991</v>
      </c>
      <c r="Y66" s="506" t="s">
        <v>1991</v>
      </c>
      <c r="Z66" s="32" t="s">
        <v>1991</v>
      </c>
      <c r="AA66" s="32">
        <v>0</v>
      </c>
      <c r="AB66" s="32" t="s">
        <v>1991</v>
      </c>
      <c r="AC66" s="32" t="s">
        <v>1991</v>
      </c>
      <c r="AD66" s="32" t="s">
        <v>1991</v>
      </c>
      <c r="AE66" s="506" t="s">
        <v>1991</v>
      </c>
      <c r="AF66" s="506" t="s">
        <v>1991</v>
      </c>
      <c r="AG66" s="32" t="s">
        <v>1991</v>
      </c>
      <c r="AH66" s="32" t="s">
        <v>1991</v>
      </c>
      <c r="AI66" s="32" t="s">
        <v>1991</v>
      </c>
      <c r="AJ66" s="32" t="s">
        <v>1991</v>
      </c>
      <c r="AK66" s="506" t="s">
        <v>1991</v>
      </c>
      <c r="AL66" s="327"/>
      <c r="AM66" s="327"/>
      <c r="AN66" s="327" t="s">
        <v>1991</v>
      </c>
      <c r="AO66" s="327" t="s">
        <v>1991</v>
      </c>
      <c r="AP66" s="327"/>
      <c r="AQ66" s="327"/>
      <c r="AR66" s="327"/>
      <c r="AS66" s="327" t="s">
        <v>1991</v>
      </c>
      <c r="AT66" s="327" t="s">
        <v>1991</v>
      </c>
      <c r="AU66" s="327"/>
      <c r="AV66" s="327"/>
      <c r="AW66" s="327"/>
      <c r="AX66" s="327"/>
      <c r="AY66" s="327"/>
      <c r="AZ66" s="327"/>
      <c r="BA66" s="327"/>
      <c r="BB66" s="46">
        <f t="shared" si="23"/>
        <v>13</v>
      </c>
      <c r="BC66" s="46">
        <f t="shared" si="24"/>
        <v>15</v>
      </c>
      <c r="BD66" s="46">
        <f t="shared" si="15"/>
        <v>4</v>
      </c>
      <c r="BE66" s="46">
        <f t="shared" si="25"/>
        <v>0</v>
      </c>
      <c r="BF66" s="296">
        <f t="shared" si="26"/>
        <v>28</v>
      </c>
      <c r="BG66" s="26"/>
      <c r="BH66" s="2"/>
      <c r="BI66" s="2"/>
      <c r="BJ66" s="2"/>
      <c r="BK66" s="279">
        <f t="shared" si="27"/>
        <v>1</v>
      </c>
      <c r="BL66" s="279">
        <f t="shared" si="28"/>
        <v>28</v>
      </c>
      <c r="BM66" s="279"/>
      <c r="BN66" s="279"/>
      <c r="BO66" s="2">
        <f t="shared" si="29"/>
        <v>28</v>
      </c>
      <c r="BP66" s="430"/>
      <c r="BQ66" s="431"/>
      <c r="BR66" s="2"/>
      <c r="BS66" s="25"/>
      <c r="BT66" s="348">
        <f t="shared" si="17"/>
        <v>1</v>
      </c>
      <c r="BU66" s="2"/>
      <c r="BV66" s="282">
        <f t="shared" si="7"/>
        <v>0</v>
      </c>
      <c r="BW66" s="279"/>
      <c r="BX66" s="269">
        <f t="shared" si="8"/>
        <v>0</v>
      </c>
      <c r="BY66" s="349" t="e">
        <f>#N/A</f>
        <v>#N/A</v>
      </c>
      <c r="BZ66" s="349" t="e">
        <f>#N/A</f>
        <v>#N/A</v>
      </c>
      <c r="CA66" s="349" t="e">
        <f>#N/A</f>
        <v>#N/A</v>
      </c>
      <c r="CB66" s="351" t="e">
        <f>#N/A</f>
        <v>#N/A</v>
      </c>
      <c r="CC66" s="349" t="e">
        <f t="shared" si="30"/>
        <v>#N/A</v>
      </c>
      <c r="CD66" s="14" t="e">
        <f t="shared" si="31"/>
        <v>#N/A</v>
      </c>
      <c r="CE66" s="14">
        <f t="shared" si="32"/>
        <v>28</v>
      </c>
      <c r="CF66" s="25">
        <f t="shared" si="33"/>
        <v>1</v>
      </c>
      <c r="CG66" s="270"/>
      <c r="CH66" s="2"/>
      <c r="CL66" s="349"/>
      <c r="CM66" s="349"/>
      <c r="CN66" s="349"/>
      <c r="CO66" s="349"/>
      <c r="CP66" s="349"/>
      <c r="CQ66" s="14"/>
      <c r="CY66" s="2"/>
    </row>
    <row r="67" spans="1:103" s="1" customFormat="1" ht="29.4" customHeight="1">
      <c r="A67" s="46">
        <v>61</v>
      </c>
      <c r="B67" s="46">
        <v>4</v>
      </c>
      <c r="C67" s="46">
        <v>150</v>
      </c>
      <c r="D67" s="48"/>
      <c r="E67" s="48"/>
      <c r="F67" s="46"/>
      <c r="G67" s="310" t="s">
        <v>1991</v>
      </c>
      <c r="H67" s="310">
        <v>0</v>
      </c>
      <c r="I67" s="310" t="s">
        <v>1991</v>
      </c>
      <c r="J67" s="310">
        <v>0</v>
      </c>
      <c r="K67" s="310" t="s">
        <v>1991</v>
      </c>
      <c r="L67" s="310" t="s">
        <v>1991</v>
      </c>
      <c r="M67" s="310" t="s">
        <v>1991</v>
      </c>
      <c r="N67" s="310" t="s">
        <v>1991</v>
      </c>
      <c r="O67" s="310" t="s">
        <v>1991</v>
      </c>
      <c r="P67" s="310" t="s">
        <v>1991</v>
      </c>
      <c r="Q67" s="310" t="s">
        <v>1991</v>
      </c>
      <c r="R67" s="310" t="s">
        <v>1991</v>
      </c>
      <c r="S67" s="310" t="s">
        <v>1991</v>
      </c>
      <c r="T67" s="505" t="s">
        <v>1991</v>
      </c>
      <c r="U67" s="310" t="s">
        <v>1991</v>
      </c>
      <c r="V67" s="32" t="s">
        <v>1991</v>
      </c>
      <c r="W67" s="506" t="s">
        <v>1991</v>
      </c>
      <c r="X67" s="506" t="s">
        <v>1991</v>
      </c>
      <c r="Y67" s="506" t="s">
        <v>1991</v>
      </c>
      <c r="Z67" s="32" t="s">
        <v>1991</v>
      </c>
      <c r="AA67" s="32" t="s">
        <v>1991</v>
      </c>
      <c r="AB67" s="32" t="s">
        <v>1991</v>
      </c>
      <c r="AC67" s="32" t="s">
        <v>1991</v>
      </c>
      <c r="AD67" s="32" t="s">
        <v>1991</v>
      </c>
      <c r="AE67" s="506" t="s">
        <v>1991</v>
      </c>
      <c r="AF67" s="506" t="s">
        <v>1991</v>
      </c>
      <c r="AG67" s="32" t="s">
        <v>1991</v>
      </c>
      <c r="AH67" s="32" t="s">
        <v>1991</v>
      </c>
      <c r="AI67" s="32" t="s">
        <v>1991</v>
      </c>
      <c r="AJ67" s="32" t="s">
        <v>1991</v>
      </c>
      <c r="AK67" s="506">
        <v>0</v>
      </c>
      <c r="AL67" s="327"/>
      <c r="AM67" s="327"/>
      <c r="AN67" s="327" t="s">
        <v>1991</v>
      </c>
      <c r="AO67" s="327" t="s">
        <v>1991</v>
      </c>
      <c r="AP67" s="327"/>
      <c r="AQ67" s="327"/>
      <c r="AR67" s="327"/>
      <c r="AS67" s="327" t="s">
        <v>1991</v>
      </c>
      <c r="AT67" s="327" t="s">
        <v>1991</v>
      </c>
      <c r="AU67" s="327"/>
      <c r="AV67" s="327"/>
      <c r="AW67" s="327"/>
      <c r="AX67" s="327"/>
      <c r="AY67" s="327"/>
      <c r="AZ67" s="327"/>
      <c r="BA67" s="327"/>
      <c r="BB67" s="46">
        <f t="shared" si="23"/>
        <v>13</v>
      </c>
      <c r="BC67" s="46">
        <f t="shared" si="24"/>
        <v>15</v>
      </c>
      <c r="BD67" s="46">
        <f t="shared" si="15"/>
        <v>4</v>
      </c>
      <c r="BE67" s="46">
        <f t="shared" si="25"/>
        <v>0</v>
      </c>
      <c r="BF67" s="296">
        <f t="shared" si="26"/>
        <v>28</v>
      </c>
      <c r="BG67" s="26"/>
      <c r="BH67" s="2"/>
      <c r="BI67" s="2"/>
      <c r="BJ67" s="2"/>
      <c r="BK67" s="279">
        <f t="shared" si="27"/>
        <v>1</v>
      </c>
      <c r="BL67" s="279">
        <f t="shared" si="28"/>
        <v>28</v>
      </c>
      <c r="BM67" s="279"/>
      <c r="BN67" s="279"/>
      <c r="BO67" s="2">
        <f t="shared" si="29"/>
        <v>28</v>
      </c>
      <c r="BP67" s="430"/>
      <c r="BQ67" s="431"/>
      <c r="BR67" s="2"/>
      <c r="BS67" s="25"/>
      <c r="BT67" s="348">
        <f t="shared" si="17"/>
        <v>1</v>
      </c>
      <c r="BU67" s="2"/>
      <c r="BV67" s="282">
        <f t="shared" si="7"/>
        <v>0</v>
      </c>
      <c r="BW67" s="279"/>
      <c r="BX67" s="269">
        <f t="shared" si="8"/>
        <v>0</v>
      </c>
      <c r="BY67" s="349" t="e">
        <f>#N/A</f>
        <v>#N/A</v>
      </c>
      <c r="BZ67" s="349" t="e">
        <f>#N/A</f>
        <v>#N/A</v>
      </c>
      <c r="CA67" s="349" t="e">
        <f>#N/A</f>
        <v>#N/A</v>
      </c>
      <c r="CB67" s="351" t="e">
        <f>#N/A</f>
        <v>#N/A</v>
      </c>
      <c r="CC67" s="349" t="e">
        <f t="shared" si="30"/>
        <v>#N/A</v>
      </c>
      <c r="CD67" s="14" t="e">
        <f t="shared" si="31"/>
        <v>#N/A</v>
      </c>
      <c r="CE67" s="14">
        <f t="shared" si="32"/>
        <v>28</v>
      </c>
      <c r="CF67" s="25">
        <f t="shared" si="33"/>
        <v>1</v>
      </c>
      <c r="CG67" s="270"/>
      <c r="CH67" s="2"/>
      <c r="CL67" s="349"/>
      <c r="CM67" s="349"/>
      <c r="CN67" s="349"/>
      <c r="CO67" s="349"/>
      <c r="CP67" s="349"/>
      <c r="CQ67" s="14"/>
      <c r="CY67" s="2"/>
    </row>
    <row r="68" spans="1:103" s="1" customFormat="1" ht="29.4" customHeight="1">
      <c r="A68" s="46">
        <v>62</v>
      </c>
      <c r="B68" s="46">
        <v>4</v>
      </c>
      <c r="C68" s="46">
        <v>151</v>
      </c>
      <c r="D68" s="48"/>
      <c r="E68" s="48"/>
      <c r="F68" s="46"/>
      <c r="G68" s="310" t="s">
        <v>1991</v>
      </c>
      <c r="H68" s="310" t="s">
        <v>1991</v>
      </c>
      <c r="I68" s="310" t="s">
        <v>1991</v>
      </c>
      <c r="J68" s="310">
        <v>0</v>
      </c>
      <c r="K68" s="310" t="s">
        <v>1991</v>
      </c>
      <c r="L68" s="310" t="s">
        <v>1991</v>
      </c>
      <c r="M68" s="310" t="s">
        <v>1991</v>
      </c>
      <c r="N68" s="310" t="s">
        <v>1991</v>
      </c>
      <c r="O68" s="310" t="s">
        <v>1991</v>
      </c>
      <c r="P68" s="310" t="s">
        <v>1991</v>
      </c>
      <c r="Q68" s="310">
        <v>0</v>
      </c>
      <c r="R68" s="310" t="s">
        <v>1991</v>
      </c>
      <c r="S68" s="310" t="s">
        <v>1991</v>
      </c>
      <c r="T68" s="505" t="s">
        <v>1991</v>
      </c>
      <c r="U68" s="310" t="s">
        <v>1991</v>
      </c>
      <c r="V68" s="32" t="s">
        <v>1991</v>
      </c>
      <c r="W68" s="506" t="s">
        <v>1991</v>
      </c>
      <c r="X68" s="506" t="s">
        <v>1991</v>
      </c>
      <c r="Y68" s="506" t="s">
        <v>1991</v>
      </c>
      <c r="Z68" s="32" t="s">
        <v>1991</v>
      </c>
      <c r="AA68" s="32" t="s">
        <v>1991</v>
      </c>
      <c r="AB68" s="32" t="s">
        <v>1991</v>
      </c>
      <c r="AC68" s="32">
        <v>0</v>
      </c>
      <c r="AD68" s="32" t="s">
        <v>1991</v>
      </c>
      <c r="AE68" s="506" t="s">
        <v>1991</v>
      </c>
      <c r="AF68" s="506" t="s">
        <v>1991</v>
      </c>
      <c r="AG68" s="32" t="s">
        <v>1991</v>
      </c>
      <c r="AH68" s="32" t="s">
        <v>1991</v>
      </c>
      <c r="AI68" s="32" t="s">
        <v>1991</v>
      </c>
      <c r="AJ68" s="32" t="s">
        <v>1991</v>
      </c>
      <c r="AK68" s="506" t="s">
        <v>1991</v>
      </c>
      <c r="AL68" s="327"/>
      <c r="AM68" s="327"/>
      <c r="AN68" s="327" t="s">
        <v>1991</v>
      </c>
      <c r="AO68" s="327" t="s">
        <v>1991</v>
      </c>
      <c r="AP68" s="327"/>
      <c r="AQ68" s="327"/>
      <c r="AR68" s="327"/>
      <c r="AS68" s="327" t="s">
        <v>1991</v>
      </c>
      <c r="AT68" s="327" t="s">
        <v>1991</v>
      </c>
      <c r="AU68" s="327"/>
      <c r="AV68" s="327"/>
      <c r="AW68" s="327"/>
      <c r="AX68" s="327"/>
      <c r="AY68" s="327"/>
      <c r="AZ68" s="327"/>
      <c r="BA68" s="327"/>
      <c r="BB68" s="46">
        <f t="shared" si="23"/>
        <v>13</v>
      </c>
      <c r="BC68" s="46">
        <f t="shared" si="24"/>
        <v>15</v>
      </c>
      <c r="BD68" s="46">
        <f t="shared" si="15"/>
        <v>4</v>
      </c>
      <c r="BE68" s="46">
        <f t="shared" si="25"/>
        <v>0</v>
      </c>
      <c r="BF68" s="296">
        <f t="shared" si="26"/>
        <v>28</v>
      </c>
      <c r="BG68" s="26"/>
      <c r="BH68" s="2"/>
      <c r="BI68" s="2"/>
      <c r="BJ68" s="2"/>
      <c r="BK68" s="279">
        <f t="shared" si="27"/>
        <v>1</v>
      </c>
      <c r="BL68" s="279">
        <f t="shared" si="28"/>
        <v>28</v>
      </c>
      <c r="BM68" s="279"/>
      <c r="BN68" s="279"/>
      <c r="BO68" s="2">
        <f t="shared" si="29"/>
        <v>28</v>
      </c>
      <c r="BP68" s="430"/>
      <c r="BQ68" s="431"/>
      <c r="BR68" s="2"/>
      <c r="BS68" s="25"/>
      <c r="BT68" s="348">
        <f t="shared" si="17"/>
        <v>1</v>
      </c>
      <c r="BU68" s="2"/>
      <c r="BV68" s="282">
        <f t="shared" si="7"/>
        <v>0</v>
      </c>
      <c r="BW68" s="279"/>
      <c r="BX68" s="269">
        <f t="shared" si="8"/>
        <v>0</v>
      </c>
      <c r="BY68" s="349" t="e">
        <f>#N/A</f>
        <v>#N/A</v>
      </c>
      <c r="BZ68" s="349" t="e">
        <f>#N/A</f>
        <v>#N/A</v>
      </c>
      <c r="CA68" s="349" t="e">
        <f>#N/A</f>
        <v>#N/A</v>
      </c>
      <c r="CB68" s="351" t="e">
        <f>#N/A</f>
        <v>#N/A</v>
      </c>
      <c r="CC68" s="349" t="e">
        <f t="shared" si="30"/>
        <v>#N/A</v>
      </c>
      <c r="CD68" s="14" t="e">
        <f t="shared" si="31"/>
        <v>#N/A</v>
      </c>
      <c r="CE68" s="14">
        <f t="shared" si="32"/>
        <v>28</v>
      </c>
      <c r="CF68" s="25">
        <f t="shared" si="33"/>
        <v>1</v>
      </c>
      <c r="CG68" s="270"/>
      <c r="CH68" s="2"/>
      <c r="CL68" s="349"/>
      <c r="CM68" s="349"/>
      <c r="CN68" s="349"/>
      <c r="CO68" s="349"/>
      <c r="CP68" s="349"/>
      <c r="CQ68" s="14"/>
      <c r="CY68" s="2"/>
    </row>
    <row r="69" spans="1:103" s="1" customFormat="1" ht="29.4" customHeight="1">
      <c r="A69" s="46">
        <v>63</v>
      </c>
      <c r="B69" s="46">
        <v>4</v>
      </c>
      <c r="C69" s="46">
        <v>152</v>
      </c>
      <c r="D69" s="48"/>
      <c r="E69" s="48"/>
      <c r="F69" s="46"/>
      <c r="G69" s="310" t="s">
        <v>1991</v>
      </c>
      <c r="H69" s="310" t="s">
        <v>1991</v>
      </c>
      <c r="I69" s="310" t="s">
        <v>1991</v>
      </c>
      <c r="J69" s="310" t="s">
        <v>1991</v>
      </c>
      <c r="K69" s="310" t="s">
        <v>1991</v>
      </c>
      <c r="L69" s="310" t="s">
        <v>1991</v>
      </c>
      <c r="M69" s="310" t="s">
        <v>1991</v>
      </c>
      <c r="N69" s="310" t="s">
        <v>1991</v>
      </c>
      <c r="O69" s="310" t="s">
        <v>1991</v>
      </c>
      <c r="P69" s="310" t="s">
        <v>1991</v>
      </c>
      <c r="Q69" s="310">
        <v>0</v>
      </c>
      <c r="R69" s="310" t="s">
        <v>1991</v>
      </c>
      <c r="S69" s="310" t="s">
        <v>1991</v>
      </c>
      <c r="T69" s="505" t="s">
        <v>1991</v>
      </c>
      <c r="U69" s="310" t="s">
        <v>1991</v>
      </c>
      <c r="V69" s="32" t="s">
        <v>1991</v>
      </c>
      <c r="W69" s="506" t="s">
        <v>1991</v>
      </c>
      <c r="X69" s="506" t="s">
        <v>1991</v>
      </c>
      <c r="Y69" s="506" t="s">
        <v>1991</v>
      </c>
      <c r="Z69" s="32" t="s">
        <v>1991</v>
      </c>
      <c r="AA69" s="32" t="s">
        <v>1991</v>
      </c>
      <c r="AB69" s="32" t="s">
        <v>1991</v>
      </c>
      <c r="AC69" s="32">
        <v>0</v>
      </c>
      <c r="AD69" s="32" t="s">
        <v>1991</v>
      </c>
      <c r="AE69" s="506" t="s">
        <v>1991</v>
      </c>
      <c r="AF69" s="506" t="s">
        <v>1991</v>
      </c>
      <c r="AG69" s="32" t="s">
        <v>1991</v>
      </c>
      <c r="AH69" s="32" t="s">
        <v>1991</v>
      </c>
      <c r="AI69" s="32" t="s">
        <v>1991</v>
      </c>
      <c r="AJ69" s="32" t="s">
        <v>1991</v>
      </c>
      <c r="AK69" s="506" t="s">
        <v>1991</v>
      </c>
      <c r="AL69" s="327"/>
      <c r="AM69" s="327"/>
      <c r="AN69" s="327" t="s">
        <v>1991</v>
      </c>
      <c r="AO69" s="327" t="s">
        <v>1991</v>
      </c>
      <c r="AP69" s="327"/>
      <c r="AQ69" s="327"/>
      <c r="AR69" s="327"/>
      <c r="AS69" s="327" t="s">
        <v>1991</v>
      </c>
      <c r="AT69" s="327" t="s">
        <v>1991</v>
      </c>
      <c r="AU69" s="327"/>
      <c r="AV69" s="327"/>
      <c r="AW69" s="327"/>
      <c r="AX69" s="327"/>
      <c r="AY69" s="327"/>
      <c r="AZ69" s="327"/>
      <c r="BA69" s="327"/>
      <c r="BB69" s="46">
        <f t="shared" si="23"/>
        <v>14</v>
      </c>
      <c r="BC69" s="46">
        <f t="shared" si="24"/>
        <v>15</v>
      </c>
      <c r="BD69" s="46">
        <f t="shared" si="15"/>
        <v>4</v>
      </c>
      <c r="BE69" s="46">
        <f t="shared" si="25"/>
        <v>0</v>
      </c>
      <c r="BF69" s="296">
        <f t="shared" si="26"/>
        <v>29</v>
      </c>
      <c r="BG69" s="26"/>
      <c r="BH69" s="2"/>
      <c r="BI69" s="2"/>
      <c r="BJ69" s="2"/>
      <c r="BK69" s="279">
        <f t="shared" si="27"/>
        <v>1</v>
      </c>
      <c r="BL69" s="279">
        <f t="shared" si="28"/>
        <v>29</v>
      </c>
      <c r="BM69" s="279"/>
      <c r="BN69" s="279"/>
      <c r="BO69" s="2">
        <f t="shared" si="29"/>
        <v>29</v>
      </c>
      <c r="BP69" s="430"/>
      <c r="BQ69" s="431"/>
      <c r="BR69" s="2"/>
      <c r="BS69" s="25"/>
      <c r="BT69" s="348">
        <f t="shared" si="17"/>
        <v>1</v>
      </c>
      <c r="BU69" s="2"/>
      <c r="BV69" s="282">
        <f t="shared" si="7"/>
        <v>0</v>
      </c>
      <c r="BW69" s="279"/>
      <c r="BX69" s="269">
        <f t="shared" si="8"/>
        <v>0</v>
      </c>
      <c r="BY69" s="349" t="e">
        <f>#N/A</f>
        <v>#N/A</v>
      </c>
      <c r="BZ69" s="349" t="e">
        <f>#N/A</f>
        <v>#N/A</v>
      </c>
      <c r="CA69" s="349" t="e">
        <f>#N/A</f>
        <v>#N/A</v>
      </c>
      <c r="CB69" s="351" t="e">
        <f>#N/A</f>
        <v>#N/A</v>
      </c>
      <c r="CC69" s="349" t="e">
        <f t="shared" si="30"/>
        <v>#N/A</v>
      </c>
      <c r="CD69" s="14" t="e">
        <f t="shared" si="31"/>
        <v>#N/A</v>
      </c>
      <c r="CE69" s="14">
        <f t="shared" si="32"/>
        <v>29</v>
      </c>
      <c r="CF69" s="25">
        <f t="shared" si="33"/>
        <v>1</v>
      </c>
      <c r="CG69" s="270"/>
      <c r="CH69" s="2"/>
      <c r="CL69" s="349"/>
      <c r="CM69" s="349"/>
      <c r="CN69" s="349"/>
      <c r="CO69" s="349"/>
      <c r="CP69" s="349"/>
      <c r="CQ69" s="14"/>
      <c r="CY69" s="2"/>
    </row>
    <row r="70" spans="1:103" s="1" customFormat="1" ht="29.4" customHeight="1">
      <c r="A70" s="46">
        <v>64</v>
      </c>
      <c r="B70" s="46">
        <v>4</v>
      </c>
      <c r="C70" s="46">
        <v>153</v>
      </c>
      <c r="D70" s="48"/>
      <c r="E70" s="48"/>
      <c r="F70" s="46"/>
      <c r="G70" s="310" t="s">
        <v>1991</v>
      </c>
      <c r="H70" s="310" t="s">
        <v>1991</v>
      </c>
      <c r="I70" s="310" t="s">
        <v>1991</v>
      </c>
      <c r="J70" s="310">
        <v>0</v>
      </c>
      <c r="K70" s="310" t="s">
        <v>1991</v>
      </c>
      <c r="L70" s="310" t="s">
        <v>1991</v>
      </c>
      <c r="M70" s="310" t="s">
        <v>1991</v>
      </c>
      <c r="N70" s="310" t="s">
        <v>1991</v>
      </c>
      <c r="O70" s="310" t="s">
        <v>1991</v>
      </c>
      <c r="P70" s="310" t="s">
        <v>1991</v>
      </c>
      <c r="Q70" s="310" t="s">
        <v>1991</v>
      </c>
      <c r="R70" s="310" t="s">
        <v>1991</v>
      </c>
      <c r="S70" s="310" t="s">
        <v>1991</v>
      </c>
      <c r="T70" s="505" t="s">
        <v>1991</v>
      </c>
      <c r="U70" s="310" t="s">
        <v>1991</v>
      </c>
      <c r="V70" s="32" t="s">
        <v>1991</v>
      </c>
      <c r="W70" s="506" t="s">
        <v>1991</v>
      </c>
      <c r="X70" s="506" t="s">
        <v>1991</v>
      </c>
      <c r="Y70" s="506" t="s">
        <v>1991</v>
      </c>
      <c r="Z70" s="32" t="s">
        <v>1991</v>
      </c>
      <c r="AA70" s="32" t="s">
        <v>1991</v>
      </c>
      <c r="AB70" s="32" t="s">
        <v>1991</v>
      </c>
      <c r="AC70" s="32" t="s">
        <v>1991</v>
      </c>
      <c r="AD70" s="32" t="s">
        <v>1991</v>
      </c>
      <c r="AE70" s="506" t="s">
        <v>1991</v>
      </c>
      <c r="AF70" s="506" t="s">
        <v>1991</v>
      </c>
      <c r="AG70" s="32" t="s">
        <v>1991</v>
      </c>
      <c r="AH70" s="32" t="s">
        <v>1991</v>
      </c>
      <c r="AI70" s="32" t="s">
        <v>1991</v>
      </c>
      <c r="AJ70" s="32" t="s">
        <v>1991</v>
      </c>
      <c r="AK70" s="506" t="s">
        <v>1991</v>
      </c>
      <c r="AL70" s="327"/>
      <c r="AM70" s="327"/>
      <c r="AN70" s="327" t="s">
        <v>1991</v>
      </c>
      <c r="AO70" s="327" t="s">
        <v>1991</v>
      </c>
      <c r="AP70" s="327"/>
      <c r="AQ70" s="327"/>
      <c r="AR70" s="327"/>
      <c r="AS70" s="327" t="s">
        <v>1991</v>
      </c>
      <c r="AT70" s="327" t="s">
        <v>1991</v>
      </c>
      <c r="AU70" s="327"/>
      <c r="AV70" s="327"/>
      <c r="AW70" s="327"/>
      <c r="AX70" s="327"/>
      <c r="AY70" s="327"/>
      <c r="AZ70" s="327"/>
      <c r="BA70" s="327"/>
      <c r="BB70" s="46">
        <f t="shared" si="23"/>
        <v>14</v>
      </c>
      <c r="BC70" s="46">
        <f t="shared" si="24"/>
        <v>16</v>
      </c>
      <c r="BD70" s="46">
        <f t="shared" si="15"/>
        <v>4</v>
      </c>
      <c r="BE70" s="46">
        <f t="shared" si="25"/>
        <v>0</v>
      </c>
      <c r="BF70" s="296">
        <f t="shared" si="26"/>
        <v>30</v>
      </c>
      <c r="BG70" s="26"/>
      <c r="BH70" s="2"/>
      <c r="BI70" s="2"/>
      <c r="BJ70" s="2"/>
      <c r="BK70" s="279">
        <f t="shared" si="27"/>
        <v>1</v>
      </c>
      <c r="BL70" s="279">
        <f t="shared" si="28"/>
        <v>30</v>
      </c>
      <c r="BM70" s="279"/>
      <c r="BN70" s="279"/>
      <c r="BO70" s="2">
        <f t="shared" si="29"/>
        <v>30</v>
      </c>
      <c r="BP70" s="430"/>
      <c r="BQ70" s="431"/>
      <c r="BR70" s="2"/>
      <c r="BS70" s="25"/>
      <c r="BT70" s="348">
        <f t="shared" si="17"/>
        <v>1</v>
      </c>
      <c r="BU70" s="2"/>
      <c r="BV70" s="282">
        <f t="shared" si="7"/>
        <v>0</v>
      </c>
      <c r="BW70" s="279"/>
      <c r="BX70" s="269">
        <f t="shared" si="8"/>
        <v>0</v>
      </c>
      <c r="BY70" s="349" t="e">
        <f>#N/A</f>
        <v>#N/A</v>
      </c>
      <c r="BZ70" s="349" t="e">
        <f>#N/A</f>
        <v>#N/A</v>
      </c>
      <c r="CA70" s="349" t="e">
        <f>#N/A</f>
        <v>#N/A</v>
      </c>
      <c r="CB70" s="351" t="e">
        <f>#N/A</f>
        <v>#N/A</v>
      </c>
      <c r="CC70" s="349" t="e">
        <f t="shared" si="30"/>
        <v>#N/A</v>
      </c>
      <c r="CD70" s="14" t="e">
        <f t="shared" si="31"/>
        <v>#N/A</v>
      </c>
      <c r="CE70" s="14">
        <f t="shared" si="32"/>
        <v>30</v>
      </c>
      <c r="CF70" s="25">
        <f t="shared" si="33"/>
        <v>1</v>
      </c>
      <c r="CG70" s="270"/>
      <c r="CH70" s="2"/>
      <c r="CL70" s="349"/>
      <c r="CM70" s="349"/>
      <c r="CN70" s="349"/>
      <c r="CO70" s="349"/>
      <c r="CP70" s="349"/>
      <c r="CQ70" s="14"/>
      <c r="CY70" s="2"/>
    </row>
    <row r="71" spans="1:103" s="1" customFormat="1" ht="29.4" customHeight="1">
      <c r="A71" s="46">
        <v>65</v>
      </c>
      <c r="B71" s="46">
        <v>4</v>
      </c>
      <c r="C71" s="46">
        <v>154</v>
      </c>
      <c r="D71" s="48"/>
      <c r="E71" s="48"/>
      <c r="F71" s="46"/>
      <c r="G71" s="310" t="s">
        <v>1991</v>
      </c>
      <c r="H71" s="310" t="s">
        <v>1991</v>
      </c>
      <c r="I71" s="310" t="s">
        <v>1991</v>
      </c>
      <c r="J71" s="310" t="s">
        <v>1991</v>
      </c>
      <c r="K71" s="310" t="s">
        <v>1991</v>
      </c>
      <c r="L71" s="310" t="s">
        <v>1991</v>
      </c>
      <c r="M71" s="310" t="s">
        <v>1991</v>
      </c>
      <c r="N71" s="310" t="s">
        <v>1991</v>
      </c>
      <c r="O71" s="310" t="s">
        <v>1991</v>
      </c>
      <c r="P71" s="310" t="s">
        <v>1991</v>
      </c>
      <c r="Q71" s="310" t="s">
        <v>1991</v>
      </c>
      <c r="R71" s="310" t="s">
        <v>1991</v>
      </c>
      <c r="S71" s="310" t="s">
        <v>1991</v>
      </c>
      <c r="T71" s="505" t="s">
        <v>1991</v>
      </c>
      <c r="U71" s="310" t="s">
        <v>1991</v>
      </c>
      <c r="V71" s="32" t="s">
        <v>1991</v>
      </c>
      <c r="W71" s="506" t="s">
        <v>1991</v>
      </c>
      <c r="X71" s="506" t="s">
        <v>1991</v>
      </c>
      <c r="Y71" s="506" t="s">
        <v>1991</v>
      </c>
      <c r="Z71" s="32" t="s">
        <v>1991</v>
      </c>
      <c r="AA71" s="32" t="s">
        <v>1991</v>
      </c>
      <c r="AB71" s="32" t="s">
        <v>1991</v>
      </c>
      <c r="AC71" s="32" t="s">
        <v>1991</v>
      </c>
      <c r="AD71" s="32" t="s">
        <v>1991</v>
      </c>
      <c r="AE71" s="506" t="s">
        <v>1991</v>
      </c>
      <c r="AF71" s="506" t="s">
        <v>1991</v>
      </c>
      <c r="AG71" s="32" t="s">
        <v>1991</v>
      </c>
      <c r="AH71" s="32" t="s">
        <v>1991</v>
      </c>
      <c r="AI71" s="32" t="s">
        <v>1991</v>
      </c>
      <c r="AJ71" s="32" t="s">
        <v>1991</v>
      </c>
      <c r="AK71" s="506" t="s">
        <v>1991</v>
      </c>
      <c r="AL71" s="327"/>
      <c r="AM71" s="327"/>
      <c r="AN71" s="327" t="s">
        <v>1991</v>
      </c>
      <c r="AO71" s="327" t="s">
        <v>1991</v>
      </c>
      <c r="AP71" s="327"/>
      <c r="AQ71" s="327"/>
      <c r="AR71" s="327"/>
      <c r="AS71" s="327" t="s">
        <v>1991</v>
      </c>
      <c r="AT71" s="327" t="s">
        <v>1991</v>
      </c>
      <c r="AU71" s="327"/>
      <c r="AV71" s="327"/>
      <c r="AW71" s="327"/>
      <c r="AX71" s="327"/>
      <c r="AY71" s="327"/>
      <c r="AZ71" s="327"/>
      <c r="BA71" s="327"/>
      <c r="BB71" s="46">
        <f t="shared" si="23"/>
        <v>15</v>
      </c>
      <c r="BC71" s="46">
        <f t="shared" si="24"/>
        <v>16</v>
      </c>
      <c r="BD71" s="46">
        <f t="shared" si="15"/>
        <v>4</v>
      </c>
      <c r="BE71" s="46">
        <f t="shared" si="25"/>
        <v>0</v>
      </c>
      <c r="BF71" s="296">
        <f t="shared" si="26"/>
        <v>31</v>
      </c>
      <c r="BG71" s="26"/>
      <c r="BH71" s="2"/>
      <c r="BI71" s="2"/>
      <c r="BJ71" s="2"/>
      <c r="BK71" s="279">
        <f t="shared" si="27"/>
        <v>1</v>
      </c>
      <c r="BL71" s="279">
        <f t="shared" si="28"/>
        <v>31</v>
      </c>
      <c r="BM71" s="279"/>
      <c r="BN71" s="279"/>
      <c r="BO71" s="2">
        <f t="shared" si="29"/>
        <v>31</v>
      </c>
      <c r="BP71" s="430"/>
      <c r="BQ71" s="431"/>
      <c r="BR71" s="2"/>
      <c r="BS71" s="25"/>
      <c r="BT71" s="348">
        <f t="shared" si="17"/>
        <v>1</v>
      </c>
      <c r="BU71" s="2"/>
      <c r="BV71" s="282">
        <f t="shared" ref="BV71:BV134" si="34">IF(AND(BU71&gt;0,BU71&lt;=1),50000,IF(AND(BU71&gt;1,BU71&lt;=3),40000,IF(AND(BU71&gt;3,BU71&lt;=5),20000,IF(AND(BU71&gt;5,BU71&lt;=9),0,IF(AND(BU71&gt;9,BU71&lt;=11),-20000,IF(AND(BU71&gt;11,BU71&lt;=13),-40000,IF(BU71&gt;13,-50000,0)))))))</f>
        <v>0</v>
      </c>
      <c r="BW71" s="279"/>
      <c r="BX71" s="269">
        <f t="shared" ref="BX71:BX134" si="35">IF(AND(BW71&gt;0,BW71&lt;=1),1.15,IF(AND(BW71&gt;1,BW71&lt;=3),1.1,IF(AND(BW71&gt;3,BW71&lt;=5),1.05,IF(AND(BW71&gt;5,BW71&lt;=9),1,IF(AND(BW71&gt;9,BW71&lt;=11),-0.05,IF(AND(BW71&gt;11,BW71&lt;=13),-0.1,IF(BW71&gt;13,-0.15,0)))))))</f>
        <v>0</v>
      </c>
      <c r="BY71" s="349" t="e">
        <f>#N/A</f>
        <v>#N/A</v>
      </c>
      <c r="BZ71" s="349" t="e">
        <f>#N/A</f>
        <v>#N/A</v>
      </c>
      <c r="CA71" s="349" t="e">
        <f>#N/A</f>
        <v>#N/A</v>
      </c>
      <c r="CB71" s="351" t="e">
        <f>#N/A</f>
        <v>#N/A</v>
      </c>
      <c r="CC71" s="349" t="e">
        <f t="shared" si="30"/>
        <v>#N/A</v>
      </c>
      <c r="CD71" s="14" t="e">
        <f t="shared" si="31"/>
        <v>#N/A</v>
      </c>
      <c r="CE71" s="14">
        <f t="shared" si="32"/>
        <v>31</v>
      </c>
      <c r="CF71" s="25">
        <f t="shared" si="33"/>
        <v>1</v>
      </c>
      <c r="CG71" s="270"/>
      <c r="CH71" s="2"/>
      <c r="CL71" s="349"/>
      <c r="CM71" s="349"/>
      <c r="CN71" s="349"/>
      <c r="CO71" s="349"/>
      <c r="CP71" s="349"/>
      <c r="CQ71" s="14"/>
      <c r="CY71" s="2"/>
    </row>
    <row r="72" spans="1:103" s="1" customFormat="1" ht="29.4" customHeight="1">
      <c r="A72" s="46">
        <v>66</v>
      </c>
      <c r="B72" s="46">
        <v>4</v>
      </c>
      <c r="C72" s="46">
        <v>155</v>
      </c>
      <c r="D72" s="48"/>
      <c r="E72" s="48"/>
      <c r="F72" s="46"/>
      <c r="G72" s="310" t="s">
        <v>1991</v>
      </c>
      <c r="H72" s="310" t="s">
        <v>1991</v>
      </c>
      <c r="I72" s="310" t="s">
        <v>1991</v>
      </c>
      <c r="J72" s="310" t="s">
        <v>1991</v>
      </c>
      <c r="K72" s="310" t="s">
        <v>1991</v>
      </c>
      <c r="L72" s="310">
        <v>0</v>
      </c>
      <c r="M72" s="310" t="s">
        <v>1991</v>
      </c>
      <c r="N72" s="310" t="s">
        <v>1991</v>
      </c>
      <c r="O72" s="310" t="s">
        <v>1991</v>
      </c>
      <c r="P72" s="310" t="s">
        <v>1991</v>
      </c>
      <c r="Q72" s="310" t="s">
        <v>1991</v>
      </c>
      <c r="R72" s="310" t="s">
        <v>1991</v>
      </c>
      <c r="S72" s="310" t="s">
        <v>1991</v>
      </c>
      <c r="T72" s="505" t="s">
        <v>1991</v>
      </c>
      <c r="U72" s="310" t="s">
        <v>1991</v>
      </c>
      <c r="V72" s="32" t="s">
        <v>1991</v>
      </c>
      <c r="W72" s="506" t="s">
        <v>1991</v>
      </c>
      <c r="X72" s="506" t="s">
        <v>1991</v>
      </c>
      <c r="Y72" s="506" t="s">
        <v>1991</v>
      </c>
      <c r="Z72" s="32" t="s">
        <v>1991</v>
      </c>
      <c r="AA72" s="32" t="s">
        <v>1991</v>
      </c>
      <c r="AB72" s="32" t="s">
        <v>1991</v>
      </c>
      <c r="AC72" s="32" t="s">
        <v>1991</v>
      </c>
      <c r="AD72" s="32" t="s">
        <v>1991</v>
      </c>
      <c r="AE72" s="506" t="s">
        <v>1991</v>
      </c>
      <c r="AF72" s="506" t="s">
        <v>1991</v>
      </c>
      <c r="AG72" s="32" t="s">
        <v>1991</v>
      </c>
      <c r="AH72" s="32" t="s">
        <v>1991</v>
      </c>
      <c r="AI72" s="32" t="s">
        <v>1991</v>
      </c>
      <c r="AJ72" s="32" t="s">
        <v>1991</v>
      </c>
      <c r="AK72" s="506" t="s">
        <v>1991</v>
      </c>
      <c r="AL72" s="327"/>
      <c r="AM72" s="327"/>
      <c r="AN72" s="327" t="s">
        <v>1991</v>
      </c>
      <c r="AO72" s="327" t="s">
        <v>1991</v>
      </c>
      <c r="AP72" s="327"/>
      <c r="AQ72" s="327"/>
      <c r="AR72" s="327"/>
      <c r="AS72" s="327" t="s">
        <v>1991</v>
      </c>
      <c r="AT72" s="327" t="s">
        <v>1991</v>
      </c>
      <c r="AU72" s="327"/>
      <c r="AV72" s="327"/>
      <c r="AW72" s="327"/>
      <c r="AX72" s="327"/>
      <c r="AY72" s="327"/>
      <c r="AZ72" s="327"/>
      <c r="BA72" s="327"/>
      <c r="BB72" s="46">
        <f t="shared" si="23"/>
        <v>14</v>
      </c>
      <c r="BC72" s="46">
        <f t="shared" si="24"/>
        <v>16</v>
      </c>
      <c r="BD72" s="46">
        <f t="shared" ref="BD72:BD130" si="36">COUNTIF(AL72:BA72,"X")</f>
        <v>4</v>
      </c>
      <c r="BE72" s="46">
        <f t="shared" si="25"/>
        <v>0</v>
      </c>
      <c r="BF72" s="296">
        <f t="shared" si="26"/>
        <v>30</v>
      </c>
      <c r="BG72" s="26"/>
      <c r="BH72" s="2"/>
      <c r="BI72" s="2"/>
      <c r="BJ72" s="2"/>
      <c r="BK72" s="279">
        <f t="shared" si="27"/>
        <v>1</v>
      </c>
      <c r="BL72" s="279">
        <f t="shared" si="28"/>
        <v>30</v>
      </c>
      <c r="BM72" s="279"/>
      <c r="BN72" s="279"/>
      <c r="BO72" s="2">
        <f t="shared" si="29"/>
        <v>30</v>
      </c>
      <c r="BP72" s="430"/>
      <c r="BQ72" s="431"/>
      <c r="BR72" s="2"/>
      <c r="BS72" s="25"/>
      <c r="BT72" s="348">
        <f t="shared" ref="BT72:BT135" si="37">IF(BF72&gt;=26,1,0)</f>
        <v>1</v>
      </c>
      <c r="BU72" s="2"/>
      <c r="BV72" s="282">
        <f t="shared" si="34"/>
        <v>0</v>
      </c>
      <c r="BW72" s="279"/>
      <c r="BX72" s="269">
        <f t="shared" si="35"/>
        <v>0</v>
      </c>
      <c r="BY72" s="349" t="e">
        <f>#N/A</f>
        <v>#N/A</v>
      </c>
      <c r="BZ72" s="349" t="e">
        <f>#N/A</f>
        <v>#N/A</v>
      </c>
      <c r="CA72" s="349" t="e">
        <f>#N/A</f>
        <v>#N/A</v>
      </c>
      <c r="CB72" s="351" t="e">
        <f>#N/A</f>
        <v>#N/A</v>
      </c>
      <c r="CC72" s="349" t="e">
        <f t="shared" si="30"/>
        <v>#N/A</v>
      </c>
      <c r="CD72" s="14" t="e">
        <f t="shared" si="31"/>
        <v>#N/A</v>
      </c>
      <c r="CE72" s="14">
        <f t="shared" si="32"/>
        <v>30</v>
      </c>
      <c r="CF72" s="25">
        <f t="shared" si="33"/>
        <v>1</v>
      </c>
      <c r="CG72" s="270"/>
      <c r="CH72" s="2"/>
      <c r="CL72" s="349"/>
      <c r="CM72" s="349"/>
      <c r="CN72" s="349"/>
      <c r="CO72" s="349"/>
      <c r="CP72" s="349"/>
      <c r="CQ72" s="14"/>
      <c r="CY72" s="2"/>
    </row>
    <row r="73" spans="1:103" s="1" customFormat="1" ht="29.4" customHeight="1">
      <c r="A73" s="46">
        <v>67</v>
      </c>
      <c r="B73" s="46">
        <v>4</v>
      </c>
      <c r="C73" s="46">
        <v>156</v>
      </c>
      <c r="D73" s="48"/>
      <c r="E73" s="48"/>
      <c r="F73" s="46"/>
      <c r="G73" s="310">
        <v>0</v>
      </c>
      <c r="H73" s="310" t="s">
        <v>1991</v>
      </c>
      <c r="I73" s="310" t="s">
        <v>1991</v>
      </c>
      <c r="J73" s="310" t="s">
        <v>1991</v>
      </c>
      <c r="K73" s="310" t="s">
        <v>1991</v>
      </c>
      <c r="L73" s="310" t="s">
        <v>1991</v>
      </c>
      <c r="M73" s="310">
        <v>0</v>
      </c>
      <c r="N73" s="310" t="s">
        <v>1991</v>
      </c>
      <c r="O73" s="310" t="s">
        <v>1991</v>
      </c>
      <c r="P73" s="310" t="s">
        <v>1991</v>
      </c>
      <c r="Q73" s="310" t="s">
        <v>1991</v>
      </c>
      <c r="R73" s="310" t="s">
        <v>1991</v>
      </c>
      <c r="S73" s="310" t="s">
        <v>1991</v>
      </c>
      <c r="T73" s="505" t="s">
        <v>1991</v>
      </c>
      <c r="U73" s="310" t="s">
        <v>1991</v>
      </c>
      <c r="V73" s="32" t="s">
        <v>1991</v>
      </c>
      <c r="W73" s="506" t="s">
        <v>1991</v>
      </c>
      <c r="X73" s="506" t="s">
        <v>1991</v>
      </c>
      <c r="Y73" s="506" t="s">
        <v>1991</v>
      </c>
      <c r="Z73" s="32" t="s">
        <v>1991</v>
      </c>
      <c r="AA73" s="32" t="s">
        <v>1991</v>
      </c>
      <c r="AB73" s="32" t="s">
        <v>1991</v>
      </c>
      <c r="AC73" s="32" t="s">
        <v>1991</v>
      </c>
      <c r="AD73" s="32" t="s">
        <v>1991</v>
      </c>
      <c r="AE73" s="506" t="s">
        <v>1991</v>
      </c>
      <c r="AF73" s="506" t="s">
        <v>1991</v>
      </c>
      <c r="AG73" s="32" t="s">
        <v>1991</v>
      </c>
      <c r="AH73" s="32" t="s">
        <v>1991</v>
      </c>
      <c r="AI73" s="32" t="s">
        <v>1991</v>
      </c>
      <c r="AJ73" s="32" t="s">
        <v>1991</v>
      </c>
      <c r="AK73" s="506" t="s">
        <v>1991</v>
      </c>
      <c r="AL73" s="327"/>
      <c r="AM73" s="327"/>
      <c r="AN73" s="327" t="s">
        <v>1991</v>
      </c>
      <c r="AO73" s="327" t="s">
        <v>1991</v>
      </c>
      <c r="AP73" s="327"/>
      <c r="AQ73" s="327"/>
      <c r="AR73" s="327"/>
      <c r="AS73" s="327" t="s">
        <v>1991</v>
      </c>
      <c r="AT73" s="327" t="s">
        <v>1991</v>
      </c>
      <c r="AU73" s="327"/>
      <c r="AV73" s="327"/>
      <c r="AW73" s="327"/>
      <c r="AX73" s="327"/>
      <c r="AY73" s="327"/>
      <c r="AZ73" s="327"/>
      <c r="BA73" s="327"/>
      <c r="BB73" s="46">
        <f t="shared" si="23"/>
        <v>13</v>
      </c>
      <c r="BC73" s="46">
        <f t="shared" si="24"/>
        <v>16</v>
      </c>
      <c r="BD73" s="46">
        <f t="shared" si="36"/>
        <v>4</v>
      </c>
      <c r="BE73" s="46">
        <f t="shared" si="25"/>
        <v>0</v>
      </c>
      <c r="BF73" s="296">
        <f t="shared" si="26"/>
        <v>29</v>
      </c>
      <c r="BG73" s="26"/>
      <c r="BH73" s="2"/>
      <c r="BI73" s="2"/>
      <c r="BJ73" s="2"/>
      <c r="BK73" s="279">
        <f t="shared" si="27"/>
        <v>1</v>
      </c>
      <c r="BL73" s="279">
        <f t="shared" si="28"/>
        <v>29</v>
      </c>
      <c r="BM73" s="279"/>
      <c r="BN73" s="279"/>
      <c r="BO73" s="2">
        <f t="shared" si="29"/>
        <v>29</v>
      </c>
      <c r="BP73" s="430"/>
      <c r="BQ73" s="431"/>
      <c r="BR73" s="2"/>
      <c r="BS73" s="25"/>
      <c r="BT73" s="348">
        <f t="shared" si="37"/>
        <v>1</v>
      </c>
      <c r="BU73" s="2"/>
      <c r="BV73" s="282">
        <f t="shared" si="34"/>
        <v>0</v>
      </c>
      <c r="BW73" s="279"/>
      <c r="BX73" s="269">
        <f t="shared" si="35"/>
        <v>0</v>
      </c>
      <c r="BY73" s="349" t="e">
        <f>#N/A</f>
        <v>#N/A</v>
      </c>
      <c r="BZ73" s="349" t="e">
        <f>#N/A</f>
        <v>#N/A</v>
      </c>
      <c r="CA73" s="349" t="e">
        <f>#N/A</f>
        <v>#N/A</v>
      </c>
      <c r="CB73" s="351" t="e">
        <f>#N/A</f>
        <v>#N/A</v>
      </c>
      <c r="CC73" s="349" t="e">
        <f t="shared" si="30"/>
        <v>#N/A</v>
      </c>
      <c r="CD73" s="14" t="e">
        <f t="shared" si="31"/>
        <v>#N/A</v>
      </c>
      <c r="CE73" s="14">
        <f t="shared" si="32"/>
        <v>29</v>
      </c>
      <c r="CF73" s="25">
        <f t="shared" si="33"/>
        <v>1</v>
      </c>
      <c r="CG73" s="270"/>
      <c r="CH73" s="2"/>
      <c r="CL73" s="349"/>
      <c r="CM73" s="349"/>
      <c r="CN73" s="349"/>
      <c r="CO73" s="349"/>
      <c r="CP73" s="349"/>
      <c r="CQ73" s="14"/>
      <c r="CY73" s="2"/>
    </row>
    <row r="74" spans="1:103" s="1" customFormat="1" ht="29.4" customHeight="1">
      <c r="A74" s="46">
        <v>68</v>
      </c>
      <c r="B74" s="46">
        <v>4</v>
      </c>
      <c r="C74" s="46">
        <v>157</v>
      </c>
      <c r="D74" s="48"/>
      <c r="E74" s="48"/>
      <c r="F74" s="46"/>
      <c r="G74" s="310">
        <v>0</v>
      </c>
      <c r="H74" s="310" t="s">
        <v>1991</v>
      </c>
      <c r="I74" s="310" t="s">
        <v>1991</v>
      </c>
      <c r="J74" s="310" t="s">
        <v>1991</v>
      </c>
      <c r="K74" s="310" t="s">
        <v>1991</v>
      </c>
      <c r="L74" s="310" t="s">
        <v>1991</v>
      </c>
      <c r="M74" s="310">
        <v>0</v>
      </c>
      <c r="N74" s="310" t="s">
        <v>1991</v>
      </c>
      <c r="O74" s="310" t="s">
        <v>1991</v>
      </c>
      <c r="P74" s="310" t="s">
        <v>1991</v>
      </c>
      <c r="Q74" s="310" t="s">
        <v>1991</v>
      </c>
      <c r="R74" s="310" t="s">
        <v>1991</v>
      </c>
      <c r="S74" s="310" t="s">
        <v>1991</v>
      </c>
      <c r="T74" s="505" t="s">
        <v>1991</v>
      </c>
      <c r="U74" s="310" t="s">
        <v>1991</v>
      </c>
      <c r="V74" s="32" t="s">
        <v>1991</v>
      </c>
      <c r="W74" s="506" t="s">
        <v>1991</v>
      </c>
      <c r="X74" s="506" t="s">
        <v>1991</v>
      </c>
      <c r="Y74" s="506" t="s">
        <v>1991</v>
      </c>
      <c r="Z74" s="32" t="s">
        <v>1991</v>
      </c>
      <c r="AA74" s="32" t="s">
        <v>1991</v>
      </c>
      <c r="AB74" s="32" t="s">
        <v>1991</v>
      </c>
      <c r="AC74" s="32" t="s">
        <v>1991</v>
      </c>
      <c r="AD74" s="32" t="s">
        <v>1991</v>
      </c>
      <c r="AE74" s="506" t="s">
        <v>1991</v>
      </c>
      <c r="AF74" s="506" t="s">
        <v>1991</v>
      </c>
      <c r="AG74" s="32" t="s">
        <v>1991</v>
      </c>
      <c r="AH74" s="32" t="s">
        <v>1991</v>
      </c>
      <c r="AI74" s="32" t="s">
        <v>1991</v>
      </c>
      <c r="AJ74" s="32" t="s">
        <v>1991</v>
      </c>
      <c r="AK74" s="506" t="s">
        <v>1991</v>
      </c>
      <c r="AL74" s="327"/>
      <c r="AM74" s="327"/>
      <c r="AN74" s="327" t="s">
        <v>1991</v>
      </c>
      <c r="AO74" s="327" t="s">
        <v>1991</v>
      </c>
      <c r="AP74" s="327"/>
      <c r="AQ74" s="327"/>
      <c r="AR74" s="327"/>
      <c r="AS74" s="327" t="s">
        <v>1991</v>
      </c>
      <c r="AT74" s="327" t="s">
        <v>1991</v>
      </c>
      <c r="AU74" s="327"/>
      <c r="AV74" s="327"/>
      <c r="AW74" s="327"/>
      <c r="AX74" s="327"/>
      <c r="AY74" s="327"/>
      <c r="AZ74" s="327"/>
      <c r="BA74" s="327"/>
      <c r="BB74" s="46">
        <f t="shared" si="23"/>
        <v>13</v>
      </c>
      <c r="BC74" s="46">
        <f t="shared" si="24"/>
        <v>16</v>
      </c>
      <c r="BD74" s="46">
        <f t="shared" si="36"/>
        <v>4</v>
      </c>
      <c r="BE74" s="46">
        <f t="shared" si="25"/>
        <v>0</v>
      </c>
      <c r="BF74" s="296">
        <f t="shared" si="26"/>
        <v>29</v>
      </c>
      <c r="BG74" s="26"/>
      <c r="BH74" s="2"/>
      <c r="BI74" s="2"/>
      <c r="BJ74" s="2"/>
      <c r="BK74" s="279">
        <f t="shared" si="27"/>
        <v>1</v>
      </c>
      <c r="BL74" s="279">
        <f t="shared" si="28"/>
        <v>29</v>
      </c>
      <c r="BM74" s="279"/>
      <c r="BN74" s="279"/>
      <c r="BO74" s="2">
        <f t="shared" si="29"/>
        <v>29</v>
      </c>
      <c r="BP74" s="430"/>
      <c r="BQ74" s="431"/>
      <c r="BR74" s="2"/>
      <c r="BS74" s="25"/>
      <c r="BT74" s="348">
        <f t="shared" si="37"/>
        <v>1</v>
      </c>
      <c r="BU74" s="2"/>
      <c r="BV74" s="282">
        <f t="shared" si="34"/>
        <v>0</v>
      </c>
      <c r="BW74" s="279"/>
      <c r="BX74" s="269">
        <f t="shared" si="35"/>
        <v>0</v>
      </c>
      <c r="BY74" s="349" t="e">
        <f>#N/A</f>
        <v>#N/A</v>
      </c>
      <c r="BZ74" s="349" t="e">
        <f>#N/A</f>
        <v>#N/A</v>
      </c>
      <c r="CA74" s="349" t="e">
        <f>#N/A</f>
        <v>#N/A</v>
      </c>
      <c r="CB74" s="351" t="e">
        <f>#N/A</f>
        <v>#N/A</v>
      </c>
      <c r="CC74" s="349" t="e">
        <f t="shared" si="30"/>
        <v>#N/A</v>
      </c>
      <c r="CD74" s="14" t="e">
        <f t="shared" si="31"/>
        <v>#N/A</v>
      </c>
      <c r="CE74" s="14">
        <f t="shared" si="32"/>
        <v>29</v>
      </c>
      <c r="CF74" s="25">
        <f t="shared" si="33"/>
        <v>1</v>
      </c>
      <c r="CG74" s="270"/>
      <c r="CH74" s="2"/>
      <c r="CL74" s="349"/>
      <c r="CM74" s="349"/>
      <c r="CN74" s="349"/>
      <c r="CO74" s="349"/>
      <c r="CP74" s="349"/>
      <c r="CQ74" s="14"/>
      <c r="CY74" s="2"/>
    </row>
    <row r="75" spans="1:103" s="1" customFormat="1" ht="29.4" customHeight="1">
      <c r="A75" s="46">
        <v>69</v>
      </c>
      <c r="B75" s="46">
        <v>4</v>
      </c>
      <c r="C75" s="46">
        <v>158</v>
      </c>
      <c r="D75" s="48"/>
      <c r="E75" s="48"/>
      <c r="F75" s="46"/>
      <c r="G75" s="310" t="s">
        <v>1991</v>
      </c>
      <c r="H75" s="310" t="s">
        <v>1991</v>
      </c>
      <c r="I75" s="310" t="s">
        <v>1991</v>
      </c>
      <c r="J75" s="310">
        <v>0</v>
      </c>
      <c r="K75" s="310" t="s">
        <v>1991</v>
      </c>
      <c r="L75" s="310" t="s">
        <v>1991</v>
      </c>
      <c r="M75" s="310">
        <v>0</v>
      </c>
      <c r="N75" s="310" t="s">
        <v>1991</v>
      </c>
      <c r="O75" s="310" t="s">
        <v>1991</v>
      </c>
      <c r="P75" s="310" t="s">
        <v>1991</v>
      </c>
      <c r="Q75" s="310" t="s">
        <v>1991</v>
      </c>
      <c r="R75" s="310" t="s">
        <v>1991</v>
      </c>
      <c r="S75" s="310" t="s">
        <v>1991</v>
      </c>
      <c r="T75" s="505" t="s">
        <v>1991</v>
      </c>
      <c r="U75" s="310" t="s">
        <v>1991</v>
      </c>
      <c r="V75" s="32" t="s">
        <v>1991</v>
      </c>
      <c r="W75" s="506" t="s">
        <v>1991</v>
      </c>
      <c r="X75" s="506" t="s">
        <v>1991</v>
      </c>
      <c r="Y75" s="506" t="s">
        <v>1991</v>
      </c>
      <c r="Z75" s="32" t="s">
        <v>1991</v>
      </c>
      <c r="AA75" s="32" t="s">
        <v>1991</v>
      </c>
      <c r="AB75" s="32" t="s">
        <v>1991</v>
      </c>
      <c r="AC75" s="32" t="s">
        <v>1991</v>
      </c>
      <c r="AD75" s="32" t="s">
        <v>1991</v>
      </c>
      <c r="AE75" s="506" t="s">
        <v>1991</v>
      </c>
      <c r="AF75" s="506" t="s">
        <v>1991</v>
      </c>
      <c r="AG75" s="32" t="s">
        <v>1991</v>
      </c>
      <c r="AH75" s="32" t="s">
        <v>1991</v>
      </c>
      <c r="AI75" s="32" t="s">
        <v>1991</v>
      </c>
      <c r="AJ75" s="32" t="s">
        <v>1991</v>
      </c>
      <c r="AK75" s="506" t="s">
        <v>1991</v>
      </c>
      <c r="AL75" s="327"/>
      <c r="AM75" s="327"/>
      <c r="AN75" s="327">
        <v>0</v>
      </c>
      <c r="AO75" s="327" t="s">
        <v>1991</v>
      </c>
      <c r="AP75" s="327"/>
      <c r="AQ75" s="327"/>
      <c r="AR75" s="327"/>
      <c r="AS75" s="327" t="s">
        <v>1991</v>
      </c>
      <c r="AT75" s="327" t="s">
        <v>1991</v>
      </c>
      <c r="AU75" s="327"/>
      <c r="AV75" s="327"/>
      <c r="AW75" s="327"/>
      <c r="AX75" s="327"/>
      <c r="AY75" s="327"/>
      <c r="AZ75" s="327"/>
      <c r="BA75" s="327"/>
      <c r="BB75" s="46">
        <f t="shared" si="23"/>
        <v>13</v>
      </c>
      <c r="BC75" s="46">
        <f t="shared" si="24"/>
        <v>16</v>
      </c>
      <c r="BD75" s="46">
        <f t="shared" si="36"/>
        <v>3</v>
      </c>
      <c r="BE75" s="46">
        <f t="shared" si="25"/>
        <v>0</v>
      </c>
      <c r="BF75" s="296">
        <f t="shared" si="26"/>
        <v>29</v>
      </c>
      <c r="BG75" s="26"/>
      <c r="BH75" s="2"/>
      <c r="BI75" s="2"/>
      <c r="BJ75" s="2"/>
      <c r="BK75" s="279">
        <f t="shared" si="27"/>
        <v>1</v>
      </c>
      <c r="BL75" s="279">
        <f t="shared" si="28"/>
        <v>29</v>
      </c>
      <c r="BM75" s="279"/>
      <c r="BN75" s="279"/>
      <c r="BO75" s="2">
        <f t="shared" si="29"/>
        <v>29</v>
      </c>
      <c r="BP75" s="430"/>
      <c r="BQ75" s="431"/>
      <c r="BR75" s="2"/>
      <c r="BS75" s="25"/>
      <c r="BT75" s="348">
        <f t="shared" si="37"/>
        <v>1</v>
      </c>
      <c r="BU75" s="2"/>
      <c r="BV75" s="282">
        <f t="shared" si="34"/>
        <v>0</v>
      </c>
      <c r="BW75" s="279"/>
      <c r="BX75" s="269">
        <f t="shared" si="35"/>
        <v>0</v>
      </c>
      <c r="BY75" s="349" t="e">
        <f>#N/A</f>
        <v>#N/A</v>
      </c>
      <c r="BZ75" s="349" t="e">
        <f>#N/A</f>
        <v>#N/A</v>
      </c>
      <c r="CA75" s="349" t="e">
        <f>#N/A</f>
        <v>#N/A</v>
      </c>
      <c r="CB75" s="351" t="e">
        <f>#N/A</f>
        <v>#N/A</v>
      </c>
      <c r="CC75" s="349" t="e">
        <f t="shared" si="30"/>
        <v>#N/A</v>
      </c>
      <c r="CD75" s="14" t="e">
        <f t="shared" si="31"/>
        <v>#N/A</v>
      </c>
      <c r="CE75" s="14">
        <f t="shared" si="32"/>
        <v>29</v>
      </c>
      <c r="CF75" s="25">
        <f t="shared" si="33"/>
        <v>1</v>
      </c>
      <c r="CG75" s="270"/>
      <c r="CH75" s="2"/>
      <c r="CL75" s="349"/>
      <c r="CM75" s="349"/>
      <c r="CN75" s="349"/>
      <c r="CO75" s="349"/>
      <c r="CP75" s="349"/>
      <c r="CQ75" s="14"/>
      <c r="CY75" s="2"/>
    </row>
    <row r="76" spans="1:103" s="1" customFormat="1" ht="29.4" customHeight="1">
      <c r="A76" s="46">
        <v>70</v>
      </c>
      <c r="B76" s="46">
        <v>4</v>
      </c>
      <c r="C76" s="46">
        <v>159</v>
      </c>
      <c r="D76" s="48"/>
      <c r="E76" s="48"/>
      <c r="F76" s="46"/>
      <c r="G76" s="310" t="s">
        <v>1991</v>
      </c>
      <c r="H76" s="310" t="s">
        <v>1991</v>
      </c>
      <c r="I76" s="310" t="s">
        <v>1991</v>
      </c>
      <c r="J76" s="310" t="s">
        <v>1991</v>
      </c>
      <c r="K76" s="310" t="s">
        <v>1991</v>
      </c>
      <c r="L76" s="310" t="s">
        <v>1991</v>
      </c>
      <c r="M76" s="310" t="s">
        <v>1991</v>
      </c>
      <c r="N76" s="310" t="s">
        <v>1991</v>
      </c>
      <c r="O76" s="310" t="s">
        <v>1991</v>
      </c>
      <c r="P76" s="310" t="s">
        <v>1991</v>
      </c>
      <c r="Q76" s="310" t="s">
        <v>1991</v>
      </c>
      <c r="R76" s="310" t="s">
        <v>1991</v>
      </c>
      <c r="S76" s="310" t="s">
        <v>1991</v>
      </c>
      <c r="T76" s="505" t="s">
        <v>1991</v>
      </c>
      <c r="U76" s="310" t="s">
        <v>1991</v>
      </c>
      <c r="V76" s="32" t="s">
        <v>1991</v>
      </c>
      <c r="W76" s="506" t="s">
        <v>1991</v>
      </c>
      <c r="X76" s="506" t="s">
        <v>1991</v>
      </c>
      <c r="Y76" s="506" t="s">
        <v>1991</v>
      </c>
      <c r="Z76" s="32" t="s">
        <v>1991</v>
      </c>
      <c r="AA76" s="32" t="s">
        <v>1991</v>
      </c>
      <c r="AB76" s="32" t="s">
        <v>1991</v>
      </c>
      <c r="AC76" s="32" t="s">
        <v>1991</v>
      </c>
      <c r="AD76" s="32" t="s">
        <v>1991</v>
      </c>
      <c r="AE76" s="506" t="s">
        <v>1991</v>
      </c>
      <c r="AF76" s="506" t="s">
        <v>1991</v>
      </c>
      <c r="AG76" s="32" t="s">
        <v>1991</v>
      </c>
      <c r="AH76" s="32" t="s">
        <v>1991</v>
      </c>
      <c r="AI76" s="32" t="s">
        <v>1991</v>
      </c>
      <c r="AJ76" s="32" t="s">
        <v>1991</v>
      </c>
      <c r="AK76" s="506" t="s">
        <v>1991</v>
      </c>
      <c r="AL76" s="327"/>
      <c r="AM76" s="327"/>
      <c r="AN76" s="327" t="s">
        <v>1991</v>
      </c>
      <c r="AO76" s="327" t="s">
        <v>1991</v>
      </c>
      <c r="AP76" s="327"/>
      <c r="AQ76" s="327"/>
      <c r="AR76" s="327"/>
      <c r="AS76" s="327" t="s">
        <v>1991</v>
      </c>
      <c r="AT76" s="327" t="s">
        <v>1991</v>
      </c>
      <c r="AU76" s="327"/>
      <c r="AV76" s="327"/>
      <c r="AW76" s="327"/>
      <c r="AX76" s="327"/>
      <c r="AY76" s="327"/>
      <c r="AZ76" s="327"/>
      <c r="BA76" s="327"/>
      <c r="BB76" s="46">
        <f t="shared" si="23"/>
        <v>15</v>
      </c>
      <c r="BC76" s="46">
        <f t="shared" si="24"/>
        <v>16</v>
      </c>
      <c r="BD76" s="46">
        <f t="shared" si="36"/>
        <v>4</v>
      </c>
      <c r="BE76" s="46">
        <f t="shared" si="25"/>
        <v>0</v>
      </c>
      <c r="BF76" s="296">
        <f t="shared" si="26"/>
        <v>31</v>
      </c>
      <c r="BG76" s="26"/>
      <c r="BH76" s="2"/>
      <c r="BI76" s="2"/>
      <c r="BJ76" s="2"/>
      <c r="BK76" s="279">
        <f t="shared" si="27"/>
        <v>1</v>
      </c>
      <c r="BL76" s="279">
        <f t="shared" si="28"/>
        <v>31</v>
      </c>
      <c r="BM76" s="279"/>
      <c r="BN76" s="279"/>
      <c r="BO76" s="2">
        <f t="shared" si="29"/>
        <v>31</v>
      </c>
      <c r="BP76" s="430"/>
      <c r="BQ76" s="431"/>
      <c r="BR76" s="2"/>
      <c r="BS76" s="25"/>
      <c r="BT76" s="348">
        <f t="shared" si="37"/>
        <v>1</v>
      </c>
      <c r="BU76" s="2"/>
      <c r="BV76" s="282">
        <f t="shared" si="34"/>
        <v>0</v>
      </c>
      <c r="BW76" s="279"/>
      <c r="BX76" s="269">
        <f t="shared" si="35"/>
        <v>0</v>
      </c>
      <c r="BY76" s="349" t="e">
        <f>#N/A</f>
        <v>#N/A</v>
      </c>
      <c r="BZ76" s="349" t="e">
        <f>#N/A</f>
        <v>#N/A</v>
      </c>
      <c r="CA76" s="349" t="e">
        <f>#N/A</f>
        <v>#N/A</v>
      </c>
      <c r="CB76" s="351" t="e">
        <f>#N/A</f>
        <v>#N/A</v>
      </c>
      <c r="CC76" s="349" t="e">
        <f t="shared" si="30"/>
        <v>#N/A</v>
      </c>
      <c r="CD76" s="14" t="e">
        <f t="shared" si="31"/>
        <v>#N/A</v>
      </c>
      <c r="CE76" s="14">
        <f t="shared" si="32"/>
        <v>31</v>
      </c>
      <c r="CF76" s="25">
        <f t="shared" si="33"/>
        <v>1</v>
      </c>
      <c r="CG76" s="270"/>
      <c r="CH76" s="2"/>
      <c r="CL76" s="349"/>
      <c r="CM76" s="349"/>
      <c r="CN76" s="349"/>
      <c r="CO76" s="349"/>
      <c r="CP76" s="349"/>
      <c r="CQ76" s="14"/>
      <c r="CY76" s="2"/>
    </row>
    <row r="77" spans="1:103" s="1" customFormat="1" ht="29.4" customHeight="1">
      <c r="A77" s="46">
        <v>71</v>
      </c>
      <c r="B77" s="46">
        <v>4</v>
      </c>
      <c r="C77" s="46">
        <v>160</v>
      </c>
      <c r="D77" s="48"/>
      <c r="E77" s="48"/>
      <c r="F77" s="46"/>
      <c r="G77" s="310" t="s">
        <v>1991</v>
      </c>
      <c r="H77" s="310" t="s">
        <v>1991</v>
      </c>
      <c r="I77" s="310" t="s">
        <v>1991</v>
      </c>
      <c r="J77" s="310" t="s">
        <v>1991</v>
      </c>
      <c r="K77" s="310" t="s">
        <v>1991</v>
      </c>
      <c r="L77" s="310" t="s">
        <v>1991</v>
      </c>
      <c r="M77" s="310" t="s">
        <v>1991</v>
      </c>
      <c r="N77" s="310" t="s">
        <v>1991</v>
      </c>
      <c r="O77" s="310" t="s">
        <v>1991</v>
      </c>
      <c r="P77" s="310" t="s">
        <v>1991</v>
      </c>
      <c r="Q77" s="310" t="s">
        <v>1991</v>
      </c>
      <c r="R77" s="310" t="s">
        <v>1991</v>
      </c>
      <c r="S77" s="310" t="s">
        <v>1991</v>
      </c>
      <c r="T77" s="505" t="s">
        <v>1991</v>
      </c>
      <c r="U77" s="310" t="s">
        <v>1991</v>
      </c>
      <c r="V77" s="32" t="s">
        <v>1991</v>
      </c>
      <c r="W77" s="506" t="s">
        <v>1991</v>
      </c>
      <c r="X77" s="506" t="s">
        <v>1991</v>
      </c>
      <c r="Y77" s="506" t="s">
        <v>1991</v>
      </c>
      <c r="Z77" s="32" t="s">
        <v>1991</v>
      </c>
      <c r="AA77" s="32" t="s">
        <v>1991</v>
      </c>
      <c r="AB77" s="32" t="s">
        <v>1991</v>
      </c>
      <c r="AC77" s="32" t="s">
        <v>1991</v>
      </c>
      <c r="AD77" s="32" t="s">
        <v>1991</v>
      </c>
      <c r="AE77" s="506" t="s">
        <v>1991</v>
      </c>
      <c r="AF77" s="506" t="s">
        <v>1991</v>
      </c>
      <c r="AG77" s="32" t="s">
        <v>1991</v>
      </c>
      <c r="AH77" s="32" t="s">
        <v>1991</v>
      </c>
      <c r="AI77" s="32" t="s">
        <v>1991</v>
      </c>
      <c r="AJ77" s="32" t="s">
        <v>1991</v>
      </c>
      <c r="AK77" s="506" t="s">
        <v>1991</v>
      </c>
      <c r="AL77" s="327"/>
      <c r="AM77" s="327"/>
      <c r="AN77" s="327" t="s">
        <v>1991</v>
      </c>
      <c r="AO77" s="327" t="s">
        <v>1991</v>
      </c>
      <c r="AP77" s="327"/>
      <c r="AQ77" s="327"/>
      <c r="AR77" s="327"/>
      <c r="AS77" s="327" t="s">
        <v>1991</v>
      </c>
      <c r="AT77" s="327" t="s">
        <v>1991</v>
      </c>
      <c r="AU77" s="327"/>
      <c r="AV77" s="327"/>
      <c r="AW77" s="327"/>
      <c r="AX77" s="327"/>
      <c r="AY77" s="327"/>
      <c r="AZ77" s="327"/>
      <c r="BA77" s="327"/>
      <c r="BB77" s="46">
        <f t="shared" si="23"/>
        <v>15</v>
      </c>
      <c r="BC77" s="46">
        <f t="shared" si="24"/>
        <v>16</v>
      </c>
      <c r="BD77" s="46">
        <f t="shared" si="36"/>
        <v>4</v>
      </c>
      <c r="BE77" s="46">
        <f t="shared" si="25"/>
        <v>0</v>
      </c>
      <c r="BF77" s="296">
        <f t="shared" si="26"/>
        <v>31</v>
      </c>
      <c r="BG77" s="26"/>
      <c r="BH77" s="2"/>
      <c r="BI77" s="2"/>
      <c r="BJ77" s="2"/>
      <c r="BK77" s="279">
        <f t="shared" si="27"/>
        <v>1</v>
      </c>
      <c r="BL77" s="279">
        <f t="shared" si="28"/>
        <v>31</v>
      </c>
      <c r="BM77" s="279"/>
      <c r="BN77" s="279"/>
      <c r="BO77" s="2">
        <f t="shared" si="29"/>
        <v>31</v>
      </c>
      <c r="BP77" s="430"/>
      <c r="BQ77" s="431"/>
      <c r="BR77" s="2"/>
      <c r="BS77" s="25"/>
      <c r="BT77" s="348">
        <f t="shared" si="37"/>
        <v>1</v>
      </c>
      <c r="BU77" s="2"/>
      <c r="BV77" s="282">
        <f t="shared" si="34"/>
        <v>0</v>
      </c>
      <c r="BW77" s="279"/>
      <c r="BX77" s="269">
        <f t="shared" si="35"/>
        <v>0</v>
      </c>
      <c r="BY77" s="349" t="e">
        <f>#N/A</f>
        <v>#N/A</v>
      </c>
      <c r="BZ77" s="349" t="e">
        <f>#N/A</f>
        <v>#N/A</v>
      </c>
      <c r="CA77" s="349" t="e">
        <f>#N/A</f>
        <v>#N/A</v>
      </c>
      <c r="CB77" s="351" t="e">
        <f>#N/A</f>
        <v>#N/A</v>
      </c>
      <c r="CC77" s="349" t="e">
        <f t="shared" si="30"/>
        <v>#N/A</v>
      </c>
      <c r="CD77" s="14" t="e">
        <f t="shared" si="31"/>
        <v>#N/A</v>
      </c>
      <c r="CE77" s="14">
        <f t="shared" si="32"/>
        <v>31</v>
      </c>
      <c r="CF77" s="25">
        <f t="shared" si="33"/>
        <v>1</v>
      </c>
      <c r="CG77" s="270"/>
      <c r="CH77" s="2"/>
      <c r="CL77" s="349"/>
      <c r="CM77" s="349"/>
      <c r="CN77" s="349"/>
      <c r="CO77" s="349"/>
      <c r="CP77" s="349"/>
      <c r="CQ77" s="14"/>
      <c r="CY77" s="2"/>
    </row>
    <row r="78" spans="1:103" s="1" customFormat="1" ht="29.4" customHeight="1">
      <c r="A78" s="46">
        <v>72</v>
      </c>
      <c r="B78" s="46">
        <v>4</v>
      </c>
      <c r="C78" s="46">
        <v>161</v>
      </c>
      <c r="D78" s="48"/>
      <c r="E78" s="48"/>
      <c r="F78" s="46"/>
      <c r="G78" s="310" t="s">
        <v>1991</v>
      </c>
      <c r="H78" s="310" t="s">
        <v>1991</v>
      </c>
      <c r="I78" s="310" t="s">
        <v>1991</v>
      </c>
      <c r="J78" s="310">
        <v>0</v>
      </c>
      <c r="K78" s="310" t="s">
        <v>1991</v>
      </c>
      <c r="L78" s="310" t="s">
        <v>1991</v>
      </c>
      <c r="M78" s="310" t="s">
        <v>1991</v>
      </c>
      <c r="N78" s="310" t="s">
        <v>1991</v>
      </c>
      <c r="O78" s="310" t="s">
        <v>1991</v>
      </c>
      <c r="P78" s="310" t="s">
        <v>1991</v>
      </c>
      <c r="Q78" s="310" t="s">
        <v>1991</v>
      </c>
      <c r="R78" s="310" t="s">
        <v>1991</v>
      </c>
      <c r="S78" s="310" t="s">
        <v>1991</v>
      </c>
      <c r="T78" s="505" t="s">
        <v>1991</v>
      </c>
      <c r="U78" s="310" t="s">
        <v>1991</v>
      </c>
      <c r="V78" s="32" t="s">
        <v>1991</v>
      </c>
      <c r="W78" s="506">
        <v>0</v>
      </c>
      <c r="X78" s="506" t="s">
        <v>1991</v>
      </c>
      <c r="Y78" s="506">
        <v>0</v>
      </c>
      <c r="Z78" s="32" t="s">
        <v>1991</v>
      </c>
      <c r="AA78" s="32" t="s">
        <v>1991</v>
      </c>
      <c r="AB78" s="32" t="s">
        <v>1991</v>
      </c>
      <c r="AC78" s="32" t="s">
        <v>1991</v>
      </c>
      <c r="AD78" s="32" t="s">
        <v>1991</v>
      </c>
      <c r="AE78" s="506" t="s">
        <v>1991</v>
      </c>
      <c r="AF78" s="506" t="s">
        <v>1991</v>
      </c>
      <c r="AG78" s="32" t="s">
        <v>1991</v>
      </c>
      <c r="AH78" s="32" t="s">
        <v>1991</v>
      </c>
      <c r="AI78" s="32" t="s">
        <v>1991</v>
      </c>
      <c r="AJ78" s="32" t="s">
        <v>1991</v>
      </c>
      <c r="AK78" s="506" t="s">
        <v>1991</v>
      </c>
      <c r="AL78" s="327"/>
      <c r="AM78" s="327"/>
      <c r="AN78" s="327" t="s">
        <v>1991</v>
      </c>
      <c r="AO78" s="327" t="s">
        <v>1991</v>
      </c>
      <c r="AP78" s="327"/>
      <c r="AQ78" s="327"/>
      <c r="AR78" s="327"/>
      <c r="AS78" s="327" t="s">
        <v>1991</v>
      </c>
      <c r="AT78" s="327" t="s">
        <v>1991</v>
      </c>
      <c r="AU78" s="327"/>
      <c r="AV78" s="327"/>
      <c r="AW78" s="327"/>
      <c r="AX78" s="327"/>
      <c r="AY78" s="327"/>
      <c r="AZ78" s="327"/>
      <c r="BA78" s="327"/>
      <c r="BB78" s="46">
        <f t="shared" si="23"/>
        <v>14</v>
      </c>
      <c r="BC78" s="46">
        <f t="shared" si="24"/>
        <v>14</v>
      </c>
      <c r="BD78" s="46">
        <f t="shared" si="36"/>
        <v>4</v>
      </c>
      <c r="BE78" s="46">
        <f t="shared" si="25"/>
        <v>0</v>
      </c>
      <c r="BF78" s="296">
        <f t="shared" si="26"/>
        <v>28</v>
      </c>
      <c r="BG78" s="26"/>
      <c r="BH78" s="2"/>
      <c r="BI78" s="2"/>
      <c r="BJ78" s="2"/>
      <c r="BK78" s="279">
        <f t="shared" si="27"/>
        <v>1</v>
      </c>
      <c r="BL78" s="279">
        <f t="shared" si="28"/>
        <v>28</v>
      </c>
      <c r="BM78" s="279"/>
      <c r="BN78" s="279"/>
      <c r="BO78" s="2">
        <f t="shared" si="29"/>
        <v>28</v>
      </c>
      <c r="BP78" s="430"/>
      <c r="BQ78" s="431"/>
      <c r="BR78" s="2"/>
      <c r="BS78" s="25"/>
      <c r="BT78" s="348">
        <f t="shared" si="37"/>
        <v>1</v>
      </c>
      <c r="BU78" s="2"/>
      <c r="BV78" s="282">
        <f t="shared" si="34"/>
        <v>0</v>
      </c>
      <c r="BW78" s="279"/>
      <c r="BX78" s="269">
        <f t="shared" si="35"/>
        <v>0</v>
      </c>
      <c r="BY78" s="349" t="e">
        <f>#N/A</f>
        <v>#N/A</v>
      </c>
      <c r="BZ78" s="349" t="e">
        <f>#N/A</f>
        <v>#N/A</v>
      </c>
      <c r="CA78" s="349" t="e">
        <f>#N/A</f>
        <v>#N/A</v>
      </c>
      <c r="CB78" s="351" t="e">
        <f>#N/A</f>
        <v>#N/A</v>
      </c>
      <c r="CC78" s="349" t="e">
        <f t="shared" si="30"/>
        <v>#N/A</v>
      </c>
      <c r="CD78" s="14" t="e">
        <f t="shared" si="31"/>
        <v>#N/A</v>
      </c>
      <c r="CE78" s="14">
        <f t="shared" si="32"/>
        <v>28</v>
      </c>
      <c r="CF78" s="25">
        <f t="shared" si="33"/>
        <v>1</v>
      </c>
      <c r="CG78" s="270"/>
      <c r="CH78" s="2"/>
      <c r="CL78" s="349"/>
      <c r="CM78" s="349"/>
      <c r="CN78" s="349"/>
      <c r="CO78" s="349"/>
      <c r="CP78" s="349"/>
      <c r="CQ78" s="14"/>
      <c r="CY78" s="2"/>
    </row>
    <row r="79" spans="1:103" s="1" customFormat="1" ht="29.4" customHeight="1">
      <c r="A79" s="46">
        <v>73</v>
      </c>
      <c r="B79" s="46">
        <v>4</v>
      </c>
      <c r="C79" s="46">
        <v>162</v>
      </c>
      <c r="D79" s="48"/>
      <c r="E79" s="48"/>
      <c r="F79" s="46"/>
      <c r="G79" s="310" t="s">
        <v>1991</v>
      </c>
      <c r="H79" s="310" t="s">
        <v>1991</v>
      </c>
      <c r="I79" s="310" t="s">
        <v>1991</v>
      </c>
      <c r="J79" s="310" t="s">
        <v>1991</v>
      </c>
      <c r="K79" s="310" t="s">
        <v>1991</v>
      </c>
      <c r="L79" s="310" t="s">
        <v>1991</v>
      </c>
      <c r="M79" s="310">
        <v>0</v>
      </c>
      <c r="N79" s="310" t="s">
        <v>1991</v>
      </c>
      <c r="O79" s="310" t="s">
        <v>1991</v>
      </c>
      <c r="P79" s="310" t="s">
        <v>1991</v>
      </c>
      <c r="Q79" s="310" t="s">
        <v>1991</v>
      </c>
      <c r="R79" s="310" t="s">
        <v>1991</v>
      </c>
      <c r="S79" s="310" t="s">
        <v>1991</v>
      </c>
      <c r="T79" s="505" t="s">
        <v>1991</v>
      </c>
      <c r="U79" s="310" t="s">
        <v>1991</v>
      </c>
      <c r="V79" s="32" t="s">
        <v>1991</v>
      </c>
      <c r="W79" s="506" t="s">
        <v>1991</v>
      </c>
      <c r="X79" s="506" t="s">
        <v>1991</v>
      </c>
      <c r="Y79" s="506" t="s">
        <v>1991</v>
      </c>
      <c r="Z79" s="32" t="s">
        <v>1991</v>
      </c>
      <c r="AA79" s="32" t="s">
        <v>1991</v>
      </c>
      <c r="AB79" s="32" t="s">
        <v>1991</v>
      </c>
      <c r="AC79" s="32" t="s">
        <v>1991</v>
      </c>
      <c r="AD79" s="32" t="s">
        <v>1991</v>
      </c>
      <c r="AE79" s="506" t="s">
        <v>1991</v>
      </c>
      <c r="AF79" s="506" t="s">
        <v>1991</v>
      </c>
      <c r="AG79" s="32" t="s">
        <v>1991</v>
      </c>
      <c r="AH79" s="32" t="s">
        <v>1991</v>
      </c>
      <c r="AI79" s="32" t="s">
        <v>1991</v>
      </c>
      <c r="AJ79" s="32" t="s">
        <v>1991</v>
      </c>
      <c r="AK79" s="506">
        <v>0</v>
      </c>
      <c r="AL79" s="327"/>
      <c r="AM79" s="327"/>
      <c r="AN79" s="327" t="s">
        <v>1991</v>
      </c>
      <c r="AO79" s="327" t="s">
        <v>1991</v>
      </c>
      <c r="AP79" s="327"/>
      <c r="AQ79" s="327"/>
      <c r="AR79" s="327"/>
      <c r="AS79" s="327" t="s">
        <v>1991</v>
      </c>
      <c r="AT79" s="327" t="s">
        <v>1991</v>
      </c>
      <c r="AU79" s="327"/>
      <c r="AV79" s="327"/>
      <c r="AW79" s="327"/>
      <c r="AX79" s="327"/>
      <c r="AY79" s="327"/>
      <c r="AZ79" s="327"/>
      <c r="BA79" s="327"/>
      <c r="BB79" s="46">
        <f t="shared" si="23"/>
        <v>14</v>
      </c>
      <c r="BC79" s="46">
        <f t="shared" si="24"/>
        <v>15</v>
      </c>
      <c r="BD79" s="46">
        <f t="shared" si="36"/>
        <v>4</v>
      </c>
      <c r="BE79" s="46">
        <f t="shared" si="25"/>
        <v>0</v>
      </c>
      <c r="BF79" s="296">
        <f t="shared" si="26"/>
        <v>29</v>
      </c>
      <c r="BG79" s="26"/>
      <c r="BH79" s="2"/>
      <c r="BI79" s="2"/>
      <c r="BJ79" s="2"/>
      <c r="BK79" s="279">
        <f t="shared" si="27"/>
        <v>1</v>
      </c>
      <c r="BL79" s="279">
        <f t="shared" si="28"/>
        <v>29</v>
      </c>
      <c r="BM79" s="279"/>
      <c r="BN79" s="279"/>
      <c r="BO79" s="2">
        <f t="shared" si="29"/>
        <v>29</v>
      </c>
      <c r="BP79" s="430"/>
      <c r="BQ79" s="431"/>
      <c r="BR79" s="2"/>
      <c r="BS79" s="25"/>
      <c r="BT79" s="348">
        <f t="shared" si="37"/>
        <v>1</v>
      </c>
      <c r="BU79" s="2"/>
      <c r="BV79" s="282">
        <f t="shared" si="34"/>
        <v>0</v>
      </c>
      <c r="BW79" s="279"/>
      <c r="BX79" s="269">
        <f t="shared" si="35"/>
        <v>0</v>
      </c>
      <c r="BY79" s="349" t="e">
        <f>#N/A</f>
        <v>#N/A</v>
      </c>
      <c r="BZ79" s="349" t="e">
        <f>#N/A</f>
        <v>#N/A</v>
      </c>
      <c r="CA79" s="349" t="e">
        <f>#N/A</f>
        <v>#N/A</v>
      </c>
      <c r="CB79" s="351" t="e">
        <f>#N/A</f>
        <v>#N/A</v>
      </c>
      <c r="CC79" s="349" t="e">
        <f t="shared" si="30"/>
        <v>#N/A</v>
      </c>
      <c r="CD79" s="14" t="e">
        <f t="shared" si="31"/>
        <v>#N/A</v>
      </c>
      <c r="CE79" s="14">
        <f t="shared" si="32"/>
        <v>29</v>
      </c>
      <c r="CF79" s="25">
        <f t="shared" si="33"/>
        <v>1</v>
      </c>
      <c r="CG79" s="270"/>
      <c r="CH79" s="2"/>
      <c r="CL79" s="349"/>
      <c r="CM79" s="349"/>
      <c r="CN79" s="349"/>
      <c r="CO79" s="349"/>
      <c r="CP79" s="349"/>
      <c r="CQ79" s="14"/>
      <c r="CY79" s="2"/>
    </row>
    <row r="80" spans="1:103" s="1" customFormat="1" ht="29.4" customHeight="1">
      <c r="A80" s="46">
        <v>74</v>
      </c>
      <c r="B80" s="46">
        <v>4</v>
      </c>
      <c r="C80" s="46">
        <v>163</v>
      </c>
      <c r="D80" s="48"/>
      <c r="E80" s="48"/>
      <c r="F80" s="46"/>
      <c r="G80" s="310" t="s">
        <v>1991</v>
      </c>
      <c r="H80" s="310" t="s">
        <v>1991</v>
      </c>
      <c r="I80" s="310" t="s">
        <v>1991</v>
      </c>
      <c r="J80" s="310" t="s">
        <v>1991</v>
      </c>
      <c r="K80" s="310" t="s">
        <v>1991</v>
      </c>
      <c r="L80" s="310" t="s">
        <v>1991</v>
      </c>
      <c r="M80" s="310" t="s">
        <v>1991</v>
      </c>
      <c r="N80" s="310" t="s">
        <v>1991</v>
      </c>
      <c r="O80" s="310" t="s">
        <v>1991</v>
      </c>
      <c r="P80" s="310" t="s">
        <v>1991</v>
      </c>
      <c r="Q80" s="310" t="s">
        <v>1991</v>
      </c>
      <c r="R80" s="310" t="s">
        <v>1991</v>
      </c>
      <c r="S80" s="310" t="s">
        <v>1991</v>
      </c>
      <c r="T80" s="505" t="s">
        <v>1991</v>
      </c>
      <c r="U80" s="310" t="s">
        <v>1991</v>
      </c>
      <c r="V80" s="32" t="s">
        <v>1991</v>
      </c>
      <c r="W80" s="506" t="s">
        <v>1991</v>
      </c>
      <c r="X80" s="506" t="s">
        <v>1991</v>
      </c>
      <c r="Y80" s="506" t="s">
        <v>1991</v>
      </c>
      <c r="Z80" s="32" t="s">
        <v>1991</v>
      </c>
      <c r="AA80" s="32" t="s">
        <v>1991</v>
      </c>
      <c r="AB80" s="32" t="s">
        <v>1991</v>
      </c>
      <c r="AC80" s="32" t="s">
        <v>1991</v>
      </c>
      <c r="AD80" s="32" t="s">
        <v>1991</v>
      </c>
      <c r="AE80" s="506" t="s">
        <v>1991</v>
      </c>
      <c r="AF80" s="506" t="s">
        <v>1991</v>
      </c>
      <c r="AG80" s="32" t="s">
        <v>1991</v>
      </c>
      <c r="AH80" s="32" t="s">
        <v>1991</v>
      </c>
      <c r="AI80" s="32" t="s">
        <v>1991</v>
      </c>
      <c r="AJ80" s="32" t="s">
        <v>1991</v>
      </c>
      <c r="AK80" s="506" t="s">
        <v>1991</v>
      </c>
      <c r="AL80" s="327"/>
      <c r="AM80" s="327"/>
      <c r="AN80" s="327" t="s">
        <v>1991</v>
      </c>
      <c r="AO80" s="327" t="s">
        <v>1991</v>
      </c>
      <c r="AP80" s="327"/>
      <c r="AQ80" s="327"/>
      <c r="AR80" s="327"/>
      <c r="AS80" s="327" t="s">
        <v>1991</v>
      </c>
      <c r="AT80" s="327" t="s">
        <v>1991</v>
      </c>
      <c r="AU80" s="327"/>
      <c r="AV80" s="327"/>
      <c r="AW80" s="327"/>
      <c r="AX80" s="327"/>
      <c r="AY80" s="327"/>
      <c r="AZ80" s="327"/>
      <c r="BA80" s="327"/>
      <c r="BB80" s="46">
        <f t="shared" si="23"/>
        <v>15</v>
      </c>
      <c r="BC80" s="46">
        <f t="shared" si="24"/>
        <v>16</v>
      </c>
      <c r="BD80" s="46">
        <f t="shared" si="36"/>
        <v>4</v>
      </c>
      <c r="BE80" s="46">
        <f t="shared" si="25"/>
        <v>0</v>
      </c>
      <c r="BF80" s="296">
        <f t="shared" si="26"/>
        <v>31</v>
      </c>
      <c r="BG80" s="26"/>
      <c r="BH80" s="2"/>
      <c r="BI80" s="2"/>
      <c r="BJ80" s="2"/>
      <c r="BK80" s="279">
        <f t="shared" si="27"/>
        <v>1</v>
      </c>
      <c r="BL80" s="279">
        <f t="shared" si="28"/>
        <v>31</v>
      </c>
      <c r="BM80" s="279"/>
      <c r="BN80" s="279"/>
      <c r="BO80" s="2">
        <f t="shared" si="29"/>
        <v>31</v>
      </c>
      <c r="BP80" s="430"/>
      <c r="BQ80" s="431"/>
      <c r="BR80" s="2"/>
      <c r="BS80" s="25"/>
      <c r="BT80" s="348">
        <f t="shared" si="37"/>
        <v>1</v>
      </c>
      <c r="BU80" s="2"/>
      <c r="BV80" s="282">
        <f t="shared" si="34"/>
        <v>0</v>
      </c>
      <c r="BW80" s="279"/>
      <c r="BX80" s="269">
        <f t="shared" si="35"/>
        <v>0</v>
      </c>
      <c r="BY80" s="349" t="e">
        <f>#N/A</f>
        <v>#N/A</v>
      </c>
      <c r="BZ80" s="349" t="e">
        <f>#N/A</f>
        <v>#N/A</v>
      </c>
      <c r="CA80" s="349" t="e">
        <f>#N/A</f>
        <v>#N/A</v>
      </c>
      <c r="CB80" s="351" t="e">
        <f>#N/A</f>
        <v>#N/A</v>
      </c>
      <c r="CC80" s="349" t="e">
        <f t="shared" si="30"/>
        <v>#N/A</v>
      </c>
      <c r="CD80" s="14" t="e">
        <f t="shared" si="31"/>
        <v>#N/A</v>
      </c>
      <c r="CE80" s="14">
        <f t="shared" si="32"/>
        <v>31</v>
      </c>
      <c r="CF80" s="25">
        <f t="shared" si="33"/>
        <v>1</v>
      </c>
      <c r="CG80" s="270"/>
      <c r="CH80" s="2"/>
      <c r="CL80" s="349"/>
      <c r="CM80" s="349"/>
      <c r="CN80" s="349"/>
      <c r="CO80" s="349"/>
      <c r="CP80" s="349"/>
      <c r="CQ80" s="14"/>
      <c r="CY80" s="2"/>
    </row>
    <row r="81" spans="1:103" s="1" customFormat="1" ht="29.4" customHeight="1">
      <c r="A81" s="46">
        <v>75</v>
      </c>
      <c r="B81" s="46">
        <v>4</v>
      </c>
      <c r="C81" s="46">
        <v>164</v>
      </c>
      <c r="D81" s="48"/>
      <c r="E81" s="48"/>
      <c r="F81" s="46"/>
      <c r="G81" s="310">
        <v>0</v>
      </c>
      <c r="H81" s="310" t="s">
        <v>1991</v>
      </c>
      <c r="I81" s="310" t="s">
        <v>1991</v>
      </c>
      <c r="J81" s="310">
        <v>0</v>
      </c>
      <c r="K81" s="310" t="s">
        <v>1991</v>
      </c>
      <c r="L81" s="310" t="s">
        <v>1991</v>
      </c>
      <c r="M81" s="310" t="s">
        <v>1991</v>
      </c>
      <c r="N81" s="310" t="s">
        <v>1991</v>
      </c>
      <c r="O81" s="310" t="s">
        <v>1991</v>
      </c>
      <c r="P81" s="310" t="s">
        <v>1991</v>
      </c>
      <c r="Q81" s="310" t="s">
        <v>1991</v>
      </c>
      <c r="R81" s="310" t="s">
        <v>1991</v>
      </c>
      <c r="S81" s="310" t="s">
        <v>1991</v>
      </c>
      <c r="T81" s="505" t="s">
        <v>1991</v>
      </c>
      <c r="U81" s="310" t="s">
        <v>1991</v>
      </c>
      <c r="V81" s="32" t="s">
        <v>1991</v>
      </c>
      <c r="W81" s="506" t="s">
        <v>1991</v>
      </c>
      <c r="X81" s="506" t="s">
        <v>1991</v>
      </c>
      <c r="Y81" s="506" t="s">
        <v>1991</v>
      </c>
      <c r="Z81" s="32" t="s">
        <v>1991</v>
      </c>
      <c r="AA81" s="32" t="s">
        <v>1991</v>
      </c>
      <c r="AB81" s="32" t="s">
        <v>1991</v>
      </c>
      <c r="AC81" s="32" t="s">
        <v>1991</v>
      </c>
      <c r="AD81" s="32" t="s">
        <v>1991</v>
      </c>
      <c r="AE81" s="506" t="s">
        <v>1991</v>
      </c>
      <c r="AF81" s="506" t="s">
        <v>1991</v>
      </c>
      <c r="AG81" s="32" t="s">
        <v>1991</v>
      </c>
      <c r="AH81" s="32" t="s">
        <v>1991</v>
      </c>
      <c r="AI81" s="32" t="s">
        <v>1991</v>
      </c>
      <c r="AJ81" s="32" t="s">
        <v>1991</v>
      </c>
      <c r="AK81" s="506" t="s">
        <v>1991</v>
      </c>
      <c r="AL81" s="327"/>
      <c r="AM81" s="327"/>
      <c r="AN81" s="327" t="s">
        <v>1991</v>
      </c>
      <c r="AO81" s="327" t="s">
        <v>1991</v>
      </c>
      <c r="AP81" s="327"/>
      <c r="AQ81" s="327"/>
      <c r="AR81" s="327"/>
      <c r="AS81" s="327" t="s">
        <v>1991</v>
      </c>
      <c r="AT81" s="327" t="s">
        <v>1991</v>
      </c>
      <c r="AU81" s="327"/>
      <c r="AV81" s="327"/>
      <c r="AW81" s="327"/>
      <c r="AX81" s="327"/>
      <c r="AY81" s="327"/>
      <c r="AZ81" s="327"/>
      <c r="BA81" s="327"/>
      <c r="BB81" s="46">
        <f t="shared" si="23"/>
        <v>13</v>
      </c>
      <c r="BC81" s="46">
        <f t="shared" si="24"/>
        <v>16</v>
      </c>
      <c r="BD81" s="46">
        <f t="shared" si="36"/>
        <v>4</v>
      </c>
      <c r="BE81" s="46">
        <f t="shared" si="25"/>
        <v>0</v>
      </c>
      <c r="BF81" s="296">
        <f t="shared" si="26"/>
        <v>29</v>
      </c>
      <c r="BG81" s="26"/>
      <c r="BH81" s="2"/>
      <c r="BI81" s="2"/>
      <c r="BJ81" s="2"/>
      <c r="BK81" s="279">
        <f t="shared" si="27"/>
        <v>1</v>
      </c>
      <c r="BL81" s="279">
        <f t="shared" si="28"/>
        <v>29</v>
      </c>
      <c r="BM81" s="279"/>
      <c r="BN81" s="279"/>
      <c r="BO81" s="2">
        <f t="shared" si="29"/>
        <v>29</v>
      </c>
      <c r="BP81" s="430"/>
      <c r="BQ81" s="431"/>
      <c r="BR81" s="2"/>
      <c r="BS81" s="25"/>
      <c r="BT81" s="348">
        <f t="shared" si="37"/>
        <v>1</v>
      </c>
      <c r="BU81" s="2"/>
      <c r="BV81" s="282">
        <f t="shared" si="34"/>
        <v>0</v>
      </c>
      <c r="BW81" s="279"/>
      <c r="BX81" s="269">
        <f t="shared" si="35"/>
        <v>0</v>
      </c>
      <c r="BY81" s="349" t="e">
        <f>#N/A</f>
        <v>#N/A</v>
      </c>
      <c r="BZ81" s="349" t="e">
        <f>#N/A</f>
        <v>#N/A</v>
      </c>
      <c r="CA81" s="349" t="e">
        <f>#N/A</f>
        <v>#N/A</v>
      </c>
      <c r="CB81" s="351" t="e">
        <f>#N/A</f>
        <v>#N/A</v>
      </c>
      <c r="CC81" s="349" t="e">
        <f t="shared" si="30"/>
        <v>#N/A</v>
      </c>
      <c r="CD81" s="14" t="e">
        <f t="shared" si="31"/>
        <v>#N/A</v>
      </c>
      <c r="CE81" s="14">
        <f t="shared" si="32"/>
        <v>29</v>
      </c>
      <c r="CF81" s="25">
        <f t="shared" si="33"/>
        <v>1</v>
      </c>
      <c r="CG81" s="270"/>
      <c r="CH81" s="2"/>
      <c r="CL81" s="349"/>
      <c r="CM81" s="349"/>
      <c r="CN81" s="349"/>
      <c r="CO81" s="349"/>
      <c r="CP81" s="349"/>
      <c r="CQ81" s="14"/>
      <c r="CY81" s="2"/>
    </row>
    <row r="82" spans="1:103" s="1" customFormat="1" ht="29.4" customHeight="1">
      <c r="A82" s="46">
        <v>76</v>
      </c>
      <c r="B82" s="46">
        <v>4</v>
      </c>
      <c r="C82" s="46">
        <v>165</v>
      </c>
      <c r="D82" s="48"/>
      <c r="E82" s="48"/>
      <c r="F82" s="46"/>
      <c r="G82" s="310">
        <v>0</v>
      </c>
      <c r="H82" s="310" t="s">
        <v>1991</v>
      </c>
      <c r="I82" s="310" t="s">
        <v>1991</v>
      </c>
      <c r="J82" s="310" t="s">
        <v>1991</v>
      </c>
      <c r="K82" s="310" t="s">
        <v>1991</v>
      </c>
      <c r="L82" s="310" t="s">
        <v>1991</v>
      </c>
      <c r="M82" s="310" t="s">
        <v>1991</v>
      </c>
      <c r="N82" s="310" t="s">
        <v>1991</v>
      </c>
      <c r="O82" s="310" t="s">
        <v>1991</v>
      </c>
      <c r="P82" s="310" t="s">
        <v>1991</v>
      </c>
      <c r="Q82" s="310" t="s">
        <v>1991</v>
      </c>
      <c r="R82" s="310" t="s">
        <v>1991</v>
      </c>
      <c r="S82" s="310" t="s">
        <v>1991</v>
      </c>
      <c r="T82" s="505" t="s">
        <v>1991</v>
      </c>
      <c r="U82" s="310" t="s">
        <v>1991</v>
      </c>
      <c r="V82" s="32" t="s">
        <v>1991</v>
      </c>
      <c r="W82" s="506" t="s">
        <v>1991</v>
      </c>
      <c r="X82" s="506" t="s">
        <v>1991</v>
      </c>
      <c r="Y82" s="506" t="s">
        <v>1991</v>
      </c>
      <c r="Z82" s="32" t="s">
        <v>1991</v>
      </c>
      <c r="AA82" s="32" t="s">
        <v>1991</v>
      </c>
      <c r="AB82" s="32" t="s">
        <v>1991</v>
      </c>
      <c r="AC82" s="32" t="s">
        <v>1991</v>
      </c>
      <c r="AD82" s="32" t="s">
        <v>1991</v>
      </c>
      <c r="AE82" s="506" t="s">
        <v>1991</v>
      </c>
      <c r="AF82" s="506" t="s">
        <v>1991</v>
      </c>
      <c r="AG82" s="32" t="s">
        <v>1991</v>
      </c>
      <c r="AH82" s="32" t="s">
        <v>1991</v>
      </c>
      <c r="AI82" s="32" t="s">
        <v>1991</v>
      </c>
      <c r="AJ82" s="32" t="s">
        <v>1991</v>
      </c>
      <c r="AK82" s="506" t="s">
        <v>1991</v>
      </c>
      <c r="AL82" s="327"/>
      <c r="AM82" s="327"/>
      <c r="AN82" s="327" t="s">
        <v>1991</v>
      </c>
      <c r="AO82" s="327" t="s">
        <v>1991</v>
      </c>
      <c r="AP82" s="327"/>
      <c r="AQ82" s="327"/>
      <c r="AR82" s="327"/>
      <c r="AS82" s="327" t="s">
        <v>1991</v>
      </c>
      <c r="AT82" s="327" t="s">
        <v>1991</v>
      </c>
      <c r="AU82" s="327"/>
      <c r="AV82" s="327"/>
      <c r="AW82" s="327"/>
      <c r="AX82" s="327"/>
      <c r="AY82" s="327"/>
      <c r="AZ82" s="327"/>
      <c r="BA82" s="327"/>
      <c r="BB82" s="46">
        <f t="shared" si="23"/>
        <v>14</v>
      </c>
      <c r="BC82" s="46">
        <f t="shared" si="24"/>
        <v>16</v>
      </c>
      <c r="BD82" s="46">
        <f t="shared" si="36"/>
        <v>4</v>
      </c>
      <c r="BE82" s="46">
        <f t="shared" si="25"/>
        <v>0</v>
      </c>
      <c r="BF82" s="296">
        <f t="shared" si="26"/>
        <v>30</v>
      </c>
      <c r="BG82" s="26"/>
      <c r="BH82" s="2"/>
      <c r="BI82" s="2"/>
      <c r="BJ82" s="2"/>
      <c r="BK82" s="279">
        <f t="shared" si="27"/>
        <v>1</v>
      </c>
      <c r="BL82" s="279">
        <f t="shared" si="28"/>
        <v>30</v>
      </c>
      <c r="BM82" s="279"/>
      <c r="BN82" s="279"/>
      <c r="BO82" s="2">
        <f t="shared" si="29"/>
        <v>30</v>
      </c>
      <c r="BP82" s="430"/>
      <c r="BQ82" s="431"/>
      <c r="BR82" s="2"/>
      <c r="BS82" s="25"/>
      <c r="BT82" s="348">
        <f t="shared" si="37"/>
        <v>1</v>
      </c>
      <c r="BU82" s="2"/>
      <c r="BV82" s="282">
        <f t="shared" si="34"/>
        <v>0</v>
      </c>
      <c r="BW82" s="279"/>
      <c r="BX82" s="269">
        <f t="shared" si="35"/>
        <v>0</v>
      </c>
      <c r="BY82" s="349" t="e">
        <f>#N/A</f>
        <v>#N/A</v>
      </c>
      <c r="BZ82" s="349" t="e">
        <f>#N/A</f>
        <v>#N/A</v>
      </c>
      <c r="CA82" s="349" t="e">
        <f>#N/A</f>
        <v>#N/A</v>
      </c>
      <c r="CB82" s="351" t="e">
        <f>#N/A</f>
        <v>#N/A</v>
      </c>
      <c r="CC82" s="349" t="e">
        <f t="shared" si="30"/>
        <v>#N/A</v>
      </c>
      <c r="CD82" s="14" t="e">
        <f t="shared" si="31"/>
        <v>#N/A</v>
      </c>
      <c r="CE82" s="14">
        <f t="shared" si="32"/>
        <v>30</v>
      </c>
      <c r="CF82" s="25">
        <f t="shared" si="33"/>
        <v>1</v>
      </c>
      <c r="CG82" s="270"/>
      <c r="CH82" s="2"/>
      <c r="CL82" s="349"/>
      <c r="CM82" s="349"/>
      <c r="CN82" s="349"/>
      <c r="CO82" s="349"/>
      <c r="CP82" s="349"/>
      <c r="CQ82" s="14"/>
      <c r="CY82" s="2"/>
    </row>
    <row r="83" spans="1:103" s="1" customFormat="1" ht="29.4" customHeight="1">
      <c r="A83" s="46">
        <v>77</v>
      </c>
      <c r="B83" s="46">
        <v>4</v>
      </c>
      <c r="C83" s="46">
        <v>166</v>
      </c>
      <c r="D83" s="48"/>
      <c r="E83" s="48"/>
      <c r="F83" s="46"/>
      <c r="G83" s="310" t="s">
        <v>1991</v>
      </c>
      <c r="H83" s="310" t="s">
        <v>1991</v>
      </c>
      <c r="I83" s="310" t="s">
        <v>1991</v>
      </c>
      <c r="J83" s="310" t="s">
        <v>1991</v>
      </c>
      <c r="K83" s="310" t="s">
        <v>1991</v>
      </c>
      <c r="L83" s="310" t="s">
        <v>1991</v>
      </c>
      <c r="M83" s="310" t="s">
        <v>1991</v>
      </c>
      <c r="N83" s="310" t="s">
        <v>1991</v>
      </c>
      <c r="O83" s="310" t="s">
        <v>1991</v>
      </c>
      <c r="P83" s="310" t="s">
        <v>1991</v>
      </c>
      <c r="Q83" s="310" t="s">
        <v>1991</v>
      </c>
      <c r="R83" s="310" t="s">
        <v>1991</v>
      </c>
      <c r="S83" s="310" t="s">
        <v>1991</v>
      </c>
      <c r="T83" s="505" t="s">
        <v>1991</v>
      </c>
      <c r="U83" s="310" t="s">
        <v>1991</v>
      </c>
      <c r="V83" s="32" t="s">
        <v>1991</v>
      </c>
      <c r="W83" s="506" t="s">
        <v>1991</v>
      </c>
      <c r="X83" s="506" t="s">
        <v>1991</v>
      </c>
      <c r="Y83" s="506" t="s">
        <v>1991</v>
      </c>
      <c r="Z83" s="32" t="s">
        <v>1991</v>
      </c>
      <c r="AA83" s="32" t="s">
        <v>1991</v>
      </c>
      <c r="AB83" s="32" t="s">
        <v>1991</v>
      </c>
      <c r="AC83" s="32" t="s">
        <v>1991</v>
      </c>
      <c r="AD83" s="32" t="s">
        <v>1991</v>
      </c>
      <c r="AE83" s="506" t="s">
        <v>1991</v>
      </c>
      <c r="AF83" s="506" t="s">
        <v>1991</v>
      </c>
      <c r="AG83" s="32" t="s">
        <v>1991</v>
      </c>
      <c r="AH83" s="32" t="s">
        <v>1991</v>
      </c>
      <c r="AI83" s="32" t="s">
        <v>1991</v>
      </c>
      <c r="AJ83" s="32" t="s">
        <v>1991</v>
      </c>
      <c r="AK83" s="506" t="s">
        <v>1991</v>
      </c>
      <c r="AL83" s="327"/>
      <c r="AM83" s="327"/>
      <c r="AN83" s="327" t="s">
        <v>1991</v>
      </c>
      <c r="AO83" s="327" t="s">
        <v>1991</v>
      </c>
      <c r="AP83" s="327"/>
      <c r="AQ83" s="327"/>
      <c r="AR83" s="327"/>
      <c r="AS83" s="327" t="s">
        <v>1991</v>
      </c>
      <c r="AT83" s="327" t="s">
        <v>1991</v>
      </c>
      <c r="AU83" s="327"/>
      <c r="AV83" s="327"/>
      <c r="AW83" s="327"/>
      <c r="AX83" s="327"/>
      <c r="AY83" s="327"/>
      <c r="AZ83" s="327"/>
      <c r="BA83" s="327"/>
      <c r="BB83" s="46">
        <f t="shared" si="23"/>
        <v>15</v>
      </c>
      <c r="BC83" s="46">
        <f t="shared" si="24"/>
        <v>16</v>
      </c>
      <c r="BD83" s="46">
        <f t="shared" si="36"/>
        <v>4</v>
      </c>
      <c r="BE83" s="46">
        <f t="shared" si="25"/>
        <v>0</v>
      </c>
      <c r="BF83" s="296">
        <f t="shared" si="26"/>
        <v>31</v>
      </c>
      <c r="BG83" s="26"/>
      <c r="BH83" s="2"/>
      <c r="BI83" s="2"/>
      <c r="BJ83" s="2"/>
      <c r="BK83" s="279">
        <f t="shared" si="27"/>
        <v>1</v>
      </c>
      <c r="BL83" s="279">
        <f t="shared" si="28"/>
        <v>31</v>
      </c>
      <c r="BM83" s="279"/>
      <c r="BN83" s="279"/>
      <c r="BO83" s="2">
        <f t="shared" si="29"/>
        <v>31</v>
      </c>
      <c r="BP83" s="430"/>
      <c r="BQ83" s="431"/>
      <c r="BR83" s="2"/>
      <c r="BS83" s="25"/>
      <c r="BT83" s="348">
        <f t="shared" si="37"/>
        <v>1</v>
      </c>
      <c r="BU83" s="2"/>
      <c r="BV83" s="282">
        <f t="shared" si="34"/>
        <v>0</v>
      </c>
      <c r="BW83" s="279"/>
      <c r="BX83" s="269">
        <f t="shared" si="35"/>
        <v>0</v>
      </c>
      <c r="BY83" s="349" t="e">
        <f>#N/A</f>
        <v>#N/A</v>
      </c>
      <c r="BZ83" s="349" t="e">
        <f>#N/A</f>
        <v>#N/A</v>
      </c>
      <c r="CA83" s="349" t="e">
        <f>#N/A</f>
        <v>#N/A</v>
      </c>
      <c r="CB83" s="351" t="e">
        <f>#N/A</f>
        <v>#N/A</v>
      </c>
      <c r="CC83" s="349" t="e">
        <f t="shared" si="30"/>
        <v>#N/A</v>
      </c>
      <c r="CD83" s="14" t="e">
        <f t="shared" si="31"/>
        <v>#N/A</v>
      </c>
      <c r="CE83" s="14">
        <f t="shared" si="32"/>
        <v>31</v>
      </c>
      <c r="CF83" s="25">
        <f t="shared" si="33"/>
        <v>1</v>
      </c>
      <c r="CG83" s="270"/>
      <c r="CH83" s="2"/>
      <c r="CL83" s="349"/>
      <c r="CM83" s="349"/>
      <c r="CN83" s="349"/>
      <c r="CO83" s="349"/>
      <c r="CP83" s="349"/>
      <c r="CQ83" s="14"/>
      <c r="CY83" s="2"/>
    </row>
    <row r="84" spans="1:103" s="1" customFormat="1" ht="29.4" customHeight="1">
      <c r="A84" s="46">
        <v>78</v>
      </c>
      <c r="B84" s="46">
        <v>4</v>
      </c>
      <c r="C84" s="46">
        <v>167</v>
      </c>
      <c r="D84" s="48"/>
      <c r="E84" s="48"/>
      <c r="F84" s="46"/>
      <c r="G84" s="310" t="s">
        <v>1991</v>
      </c>
      <c r="H84" s="310" t="s">
        <v>1991</v>
      </c>
      <c r="I84" s="310" t="s">
        <v>1991</v>
      </c>
      <c r="J84" s="310" t="s">
        <v>1991</v>
      </c>
      <c r="K84" s="310" t="s">
        <v>1991</v>
      </c>
      <c r="L84" s="310" t="s">
        <v>1991</v>
      </c>
      <c r="M84" s="310" t="s">
        <v>1991</v>
      </c>
      <c r="N84" s="310" t="s">
        <v>1991</v>
      </c>
      <c r="O84" s="310" t="s">
        <v>1991</v>
      </c>
      <c r="P84" s="310" t="s">
        <v>1991</v>
      </c>
      <c r="Q84" s="310" t="s">
        <v>1991</v>
      </c>
      <c r="R84" s="310" t="s">
        <v>1991</v>
      </c>
      <c r="S84" s="310" t="s">
        <v>1991</v>
      </c>
      <c r="T84" s="505" t="s">
        <v>1991</v>
      </c>
      <c r="U84" s="310" t="s">
        <v>1991</v>
      </c>
      <c r="V84" s="32" t="s">
        <v>1991</v>
      </c>
      <c r="W84" s="506" t="s">
        <v>1991</v>
      </c>
      <c r="X84" s="506" t="s">
        <v>1991</v>
      </c>
      <c r="Y84" s="506" t="s">
        <v>1991</v>
      </c>
      <c r="Z84" s="32" t="s">
        <v>1991</v>
      </c>
      <c r="AA84" s="32" t="s">
        <v>1991</v>
      </c>
      <c r="AB84" s="32" t="s">
        <v>1991</v>
      </c>
      <c r="AC84" s="32" t="s">
        <v>1991</v>
      </c>
      <c r="AD84" s="32" t="s">
        <v>1991</v>
      </c>
      <c r="AE84" s="506" t="s">
        <v>1991</v>
      </c>
      <c r="AF84" s="506" t="s">
        <v>1991</v>
      </c>
      <c r="AG84" s="32" t="s">
        <v>1991</v>
      </c>
      <c r="AH84" s="32" t="s">
        <v>1991</v>
      </c>
      <c r="AI84" s="32" t="s">
        <v>1991</v>
      </c>
      <c r="AJ84" s="32" t="s">
        <v>1991</v>
      </c>
      <c r="AK84" s="506" t="s">
        <v>1991</v>
      </c>
      <c r="AL84" s="327"/>
      <c r="AM84" s="327"/>
      <c r="AN84" s="327" t="s">
        <v>1991</v>
      </c>
      <c r="AO84" s="327" t="s">
        <v>1991</v>
      </c>
      <c r="AP84" s="327"/>
      <c r="AQ84" s="327"/>
      <c r="AR84" s="327"/>
      <c r="AS84" s="327" t="s">
        <v>1991</v>
      </c>
      <c r="AT84" s="327" t="s">
        <v>1991</v>
      </c>
      <c r="AU84" s="327"/>
      <c r="AV84" s="327"/>
      <c r="AW84" s="327"/>
      <c r="AX84" s="327"/>
      <c r="AY84" s="327"/>
      <c r="AZ84" s="327"/>
      <c r="BA84" s="327"/>
      <c r="BB84" s="46">
        <f t="shared" si="23"/>
        <v>15</v>
      </c>
      <c r="BC84" s="46">
        <f t="shared" si="24"/>
        <v>16</v>
      </c>
      <c r="BD84" s="46">
        <f t="shared" si="36"/>
        <v>4</v>
      </c>
      <c r="BE84" s="46">
        <f t="shared" si="25"/>
        <v>0</v>
      </c>
      <c r="BF84" s="296">
        <f t="shared" si="26"/>
        <v>31</v>
      </c>
      <c r="BG84" s="26"/>
      <c r="BH84" s="2"/>
      <c r="BI84" s="2"/>
      <c r="BJ84" s="2"/>
      <c r="BK84" s="279">
        <f t="shared" si="27"/>
        <v>1</v>
      </c>
      <c r="BL84" s="279">
        <f t="shared" si="28"/>
        <v>31</v>
      </c>
      <c r="BM84" s="279"/>
      <c r="BN84" s="279"/>
      <c r="BO84" s="2">
        <f t="shared" si="29"/>
        <v>31</v>
      </c>
      <c r="BP84" s="430"/>
      <c r="BQ84" s="431"/>
      <c r="BR84" s="2"/>
      <c r="BS84" s="25"/>
      <c r="BT84" s="348">
        <f t="shared" si="37"/>
        <v>1</v>
      </c>
      <c r="BU84" s="2"/>
      <c r="BV84" s="282">
        <f t="shared" si="34"/>
        <v>0</v>
      </c>
      <c r="BW84" s="279"/>
      <c r="BX84" s="269">
        <f t="shared" si="35"/>
        <v>0</v>
      </c>
      <c r="BY84" s="349" t="e">
        <f>#N/A</f>
        <v>#N/A</v>
      </c>
      <c r="BZ84" s="349" t="e">
        <f>#N/A</f>
        <v>#N/A</v>
      </c>
      <c r="CA84" s="349" t="e">
        <f>#N/A</f>
        <v>#N/A</v>
      </c>
      <c r="CB84" s="351" t="e">
        <f>#N/A</f>
        <v>#N/A</v>
      </c>
      <c r="CC84" s="349" t="e">
        <f t="shared" si="30"/>
        <v>#N/A</v>
      </c>
      <c r="CD84" s="14" t="e">
        <f t="shared" si="31"/>
        <v>#N/A</v>
      </c>
      <c r="CE84" s="14">
        <f t="shared" si="32"/>
        <v>31</v>
      </c>
      <c r="CF84" s="25">
        <f t="shared" si="33"/>
        <v>1</v>
      </c>
      <c r="CG84" s="270"/>
      <c r="CH84" s="2"/>
      <c r="CL84" s="349"/>
      <c r="CM84" s="349"/>
      <c r="CN84" s="349"/>
      <c r="CO84" s="349"/>
      <c r="CP84" s="349"/>
      <c r="CQ84" s="14"/>
      <c r="CY84" s="2"/>
    </row>
    <row r="85" spans="1:103" s="1" customFormat="1" ht="29.4" customHeight="1">
      <c r="A85" s="46">
        <v>79</v>
      </c>
      <c r="B85" s="46">
        <v>4</v>
      </c>
      <c r="C85" s="46">
        <v>168</v>
      </c>
      <c r="D85" s="48"/>
      <c r="E85" s="48"/>
      <c r="F85" s="46"/>
      <c r="G85" s="310" t="s">
        <v>1991</v>
      </c>
      <c r="H85" s="310" t="s">
        <v>1991</v>
      </c>
      <c r="I85" s="310" t="s">
        <v>1991</v>
      </c>
      <c r="J85" s="310" t="s">
        <v>1991</v>
      </c>
      <c r="K85" s="310" t="s">
        <v>1991</v>
      </c>
      <c r="L85" s="310" t="s">
        <v>1991</v>
      </c>
      <c r="M85" s="310" t="s">
        <v>1991</v>
      </c>
      <c r="N85" s="310" t="s">
        <v>1991</v>
      </c>
      <c r="O85" s="310" t="s">
        <v>1991</v>
      </c>
      <c r="P85" s="310" t="s">
        <v>1991</v>
      </c>
      <c r="Q85" s="310" t="s">
        <v>1991</v>
      </c>
      <c r="R85" s="310" t="s">
        <v>1991</v>
      </c>
      <c r="S85" s="310" t="s">
        <v>1991</v>
      </c>
      <c r="T85" s="505" t="s">
        <v>1991</v>
      </c>
      <c r="U85" s="310" t="s">
        <v>1991</v>
      </c>
      <c r="V85" s="32" t="s">
        <v>1991</v>
      </c>
      <c r="W85" s="506" t="s">
        <v>1991</v>
      </c>
      <c r="X85" s="506" t="s">
        <v>1991</v>
      </c>
      <c r="Y85" s="506" t="s">
        <v>1991</v>
      </c>
      <c r="Z85" s="32" t="s">
        <v>1991</v>
      </c>
      <c r="AA85" s="32" t="s">
        <v>1991</v>
      </c>
      <c r="AB85" s="32" t="s">
        <v>1991</v>
      </c>
      <c r="AC85" s="32" t="s">
        <v>1991</v>
      </c>
      <c r="AD85" s="32" t="s">
        <v>1991</v>
      </c>
      <c r="AE85" s="506" t="s">
        <v>1991</v>
      </c>
      <c r="AF85" s="506" t="s">
        <v>1991</v>
      </c>
      <c r="AG85" s="32" t="s">
        <v>1991</v>
      </c>
      <c r="AH85" s="32" t="s">
        <v>1991</v>
      </c>
      <c r="AI85" s="32" t="s">
        <v>1991</v>
      </c>
      <c r="AJ85" s="32" t="s">
        <v>1991</v>
      </c>
      <c r="AK85" s="506" t="s">
        <v>1991</v>
      </c>
      <c r="AL85" s="327"/>
      <c r="AM85" s="327"/>
      <c r="AN85" s="327" t="s">
        <v>1991</v>
      </c>
      <c r="AO85" s="327" t="s">
        <v>1991</v>
      </c>
      <c r="AP85" s="327"/>
      <c r="AQ85" s="327"/>
      <c r="AR85" s="327"/>
      <c r="AS85" s="327" t="s">
        <v>1991</v>
      </c>
      <c r="AT85" s="327" t="s">
        <v>1991</v>
      </c>
      <c r="AU85" s="327"/>
      <c r="AV85" s="327"/>
      <c r="AW85" s="327"/>
      <c r="AX85" s="327"/>
      <c r="AY85" s="327"/>
      <c r="AZ85" s="327"/>
      <c r="BA85" s="327"/>
      <c r="BB85" s="46">
        <f t="shared" si="23"/>
        <v>15</v>
      </c>
      <c r="BC85" s="46">
        <f t="shared" si="24"/>
        <v>16</v>
      </c>
      <c r="BD85" s="46">
        <f t="shared" si="36"/>
        <v>4</v>
      </c>
      <c r="BE85" s="46">
        <f t="shared" si="25"/>
        <v>0</v>
      </c>
      <c r="BF85" s="296">
        <f t="shared" si="26"/>
        <v>31</v>
      </c>
      <c r="BG85" s="26"/>
      <c r="BH85" s="2"/>
      <c r="BI85" s="2"/>
      <c r="BJ85" s="2"/>
      <c r="BK85" s="279">
        <f t="shared" si="27"/>
        <v>1</v>
      </c>
      <c r="BL85" s="279">
        <f t="shared" si="28"/>
        <v>31</v>
      </c>
      <c r="BM85" s="279"/>
      <c r="BN85" s="279"/>
      <c r="BO85" s="2">
        <f t="shared" si="29"/>
        <v>31</v>
      </c>
      <c r="BP85" s="430"/>
      <c r="BQ85" s="431"/>
      <c r="BR85" s="2"/>
      <c r="BS85" s="25"/>
      <c r="BT85" s="348">
        <f t="shared" si="37"/>
        <v>1</v>
      </c>
      <c r="BU85" s="2"/>
      <c r="BV85" s="282">
        <f t="shared" si="34"/>
        <v>0</v>
      </c>
      <c r="BW85" s="279"/>
      <c r="BX85" s="269">
        <f t="shared" si="35"/>
        <v>0</v>
      </c>
      <c r="BY85" s="349" t="e">
        <f>#N/A</f>
        <v>#N/A</v>
      </c>
      <c r="BZ85" s="349" t="e">
        <f>#N/A</f>
        <v>#N/A</v>
      </c>
      <c r="CA85" s="349" t="e">
        <f>#N/A</f>
        <v>#N/A</v>
      </c>
      <c r="CB85" s="351" t="e">
        <f>#N/A</f>
        <v>#N/A</v>
      </c>
      <c r="CC85" s="349" t="e">
        <f t="shared" si="30"/>
        <v>#N/A</v>
      </c>
      <c r="CD85" s="14" t="e">
        <f t="shared" si="31"/>
        <v>#N/A</v>
      </c>
      <c r="CE85" s="14">
        <f t="shared" si="32"/>
        <v>31</v>
      </c>
      <c r="CF85" s="25">
        <f t="shared" si="33"/>
        <v>1</v>
      </c>
      <c r="CG85" s="270"/>
      <c r="CH85" s="2"/>
      <c r="CL85" s="349"/>
      <c r="CM85" s="349"/>
      <c r="CN85" s="349"/>
      <c r="CO85" s="349"/>
      <c r="CP85" s="349"/>
      <c r="CQ85" s="14"/>
      <c r="CY85" s="2"/>
    </row>
    <row r="86" spans="1:103" s="1" customFormat="1" ht="29.4" customHeight="1">
      <c r="A86" s="46">
        <v>80</v>
      </c>
      <c r="B86" s="46">
        <v>4</v>
      </c>
      <c r="C86" s="46">
        <v>169</v>
      </c>
      <c r="D86" s="48"/>
      <c r="E86" s="48"/>
      <c r="F86" s="46"/>
      <c r="G86" s="310" t="s">
        <v>1991</v>
      </c>
      <c r="H86" s="310" t="s">
        <v>1991</v>
      </c>
      <c r="I86" s="310" t="s">
        <v>1991</v>
      </c>
      <c r="J86" s="310" t="s">
        <v>1991</v>
      </c>
      <c r="K86" s="310" t="s">
        <v>1991</v>
      </c>
      <c r="L86" s="310" t="s">
        <v>1991</v>
      </c>
      <c r="M86" s="310" t="s">
        <v>1991</v>
      </c>
      <c r="N86" s="310" t="s">
        <v>1991</v>
      </c>
      <c r="O86" s="310" t="s">
        <v>1991</v>
      </c>
      <c r="P86" s="310" t="s">
        <v>1991</v>
      </c>
      <c r="Q86" s="310" t="s">
        <v>1991</v>
      </c>
      <c r="R86" s="310" t="s">
        <v>1991</v>
      </c>
      <c r="S86" s="310" t="s">
        <v>1991</v>
      </c>
      <c r="T86" s="505" t="s">
        <v>1991</v>
      </c>
      <c r="U86" s="310" t="s">
        <v>1991</v>
      </c>
      <c r="V86" s="32" t="s">
        <v>1991</v>
      </c>
      <c r="W86" s="506" t="s">
        <v>1991</v>
      </c>
      <c r="X86" s="506" t="s">
        <v>1991</v>
      </c>
      <c r="Y86" s="506" t="s">
        <v>1991</v>
      </c>
      <c r="Z86" s="32" t="s">
        <v>1991</v>
      </c>
      <c r="AA86" s="32">
        <v>0</v>
      </c>
      <c r="AB86" s="32" t="s">
        <v>1991</v>
      </c>
      <c r="AC86" s="32" t="s">
        <v>1991</v>
      </c>
      <c r="AD86" s="32" t="s">
        <v>1991</v>
      </c>
      <c r="AE86" s="506" t="s">
        <v>1991</v>
      </c>
      <c r="AF86" s="506" t="s">
        <v>1991</v>
      </c>
      <c r="AG86" s="32" t="s">
        <v>1991</v>
      </c>
      <c r="AH86" s="32" t="s">
        <v>1991</v>
      </c>
      <c r="AI86" s="32" t="s">
        <v>1991</v>
      </c>
      <c r="AJ86" s="32" t="s">
        <v>1991</v>
      </c>
      <c r="AK86" s="506" t="s">
        <v>1991</v>
      </c>
      <c r="AL86" s="327"/>
      <c r="AM86" s="327"/>
      <c r="AN86" s="327" t="s">
        <v>1991</v>
      </c>
      <c r="AO86" s="327" t="s">
        <v>1991</v>
      </c>
      <c r="AP86" s="327"/>
      <c r="AQ86" s="327"/>
      <c r="AR86" s="327"/>
      <c r="AS86" s="327" t="s">
        <v>1991</v>
      </c>
      <c r="AT86" s="327" t="s">
        <v>1991</v>
      </c>
      <c r="AU86" s="327"/>
      <c r="AV86" s="327"/>
      <c r="AW86" s="327"/>
      <c r="AX86" s="327"/>
      <c r="AY86" s="327"/>
      <c r="AZ86" s="327"/>
      <c r="BA86" s="327"/>
      <c r="BB86" s="46">
        <f t="shared" si="23"/>
        <v>15</v>
      </c>
      <c r="BC86" s="46">
        <f t="shared" si="24"/>
        <v>15</v>
      </c>
      <c r="BD86" s="46">
        <f t="shared" si="36"/>
        <v>4</v>
      </c>
      <c r="BE86" s="46">
        <f t="shared" si="25"/>
        <v>0</v>
      </c>
      <c r="BF86" s="296">
        <f t="shared" si="26"/>
        <v>30</v>
      </c>
      <c r="BG86" s="26"/>
      <c r="BH86" s="2"/>
      <c r="BI86" s="2"/>
      <c r="BJ86" s="2"/>
      <c r="BK86" s="279">
        <f t="shared" si="27"/>
        <v>1</v>
      </c>
      <c r="BL86" s="279">
        <f t="shared" si="28"/>
        <v>30</v>
      </c>
      <c r="BM86" s="279"/>
      <c r="BN86" s="279"/>
      <c r="BO86" s="2">
        <f t="shared" si="29"/>
        <v>30</v>
      </c>
      <c r="BP86" s="430"/>
      <c r="BQ86" s="431"/>
      <c r="BR86" s="2"/>
      <c r="BS86" s="25"/>
      <c r="BT86" s="348">
        <f t="shared" si="37"/>
        <v>1</v>
      </c>
      <c r="BU86" s="2"/>
      <c r="BV86" s="282">
        <f t="shared" si="34"/>
        <v>0</v>
      </c>
      <c r="BW86" s="279"/>
      <c r="BX86" s="269">
        <f t="shared" si="35"/>
        <v>0</v>
      </c>
      <c r="BY86" s="349" t="e">
        <f>#N/A</f>
        <v>#N/A</v>
      </c>
      <c r="BZ86" s="349" t="e">
        <f>#N/A</f>
        <v>#N/A</v>
      </c>
      <c r="CA86" s="349" t="e">
        <f>#N/A</f>
        <v>#N/A</v>
      </c>
      <c r="CB86" s="351" t="e">
        <f>#N/A</f>
        <v>#N/A</v>
      </c>
      <c r="CC86" s="349" t="e">
        <f t="shared" si="30"/>
        <v>#N/A</v>
      </c>
      <c r="CD86" s="14" t="e">
        <f t="shared" si="31"/>
        <v>#N/A</v>
      </c>
      <c r="CE86" s="14">
        <f t="shared" si="32"/>
        <v>30</v>
      </c>
      <c r="CF86" s="25">
        <f t="shared" si="33"/>
        <v>1</v>
      </c>
      <c r="CG86" s="270"/>
      <c r="CH86" s="2"/>
      <c r="CL86" s="349"/>
      <c r="CM86" s="349"/>
      <c r="CN86" s="349"/>
      <c r="CO86" s="349"/>
      <c r="CP86" s="349"/>
      <c r="CQ86" s="14"/>
      <c r="CY86" s="2"/>
    </row>
    <row r="87" spans="1:103" s="1" customFormat="1" ht="29.4" customHeight="1">
      <c r="A87" s="46">
        <v>81</v>
      </c>
      <c r="B87" s="46">
        <v>4</v>
      </c>
      <c r="C87" s="46">
        <v>170</v>
      </c>
      <c r="D87" s="48"/>
      <c r="E87" s="48"/>
      <c r="F87" s="46"/>
      <c r="G87" s="310" t="s">
        <v>1991</v>
      </c>
      <c r="H87" s="310" t="s">
        <v>1991</v>
      </c>
      <c r="I87" s="310" t="s">
        <v>1991</v>
      </c>
      <c r="J87" s="310" t="s">
        <v>1991</v>
      </c>
      <c r="K87" s="310" t="s">
        <v>1991</v>
      </c>
      <c r="L87" s="310" t="s">
        <v>1991</v>
      </c>
      <c r="M87" s="310" t="s">
        <v>1991</v>
      </c>
      <c r="N87" s="310" t="s">
        <v>1991</v>
      </c>
      <c r="O87" s="310" t="s">
        <v>1991</v>
      </c>
      <c r="P87" s="310" t="s">
        <v>1991</v>
      </c>
      <c r="Q87" s="310" t="s">
        <v>1991</v>
      </c>
      <c r="R87" s="310" t="s">
        <v>1991</v>
      </c>
      <c r="S87" s="310" t="s">
        <v>1991</v>
      </c>
      <c r="T87" s="505" t="s">
        <v>1991</v>
      </c>
      <c r="U87" s="310" t="s">
        <v>1991</v>
      </c>
      <c r="V87" s="32" t="s">
        <v>1991</v>
      </c>
      <c r="W87" s="506" t="s">
        <v>1991</v>
      </c>
      <c r="X87" s="506" t="s">
        <v>1991</v>
      </c>
      <c r="Y87" s="506" t="s">
        <v>1991</v>
      </c>
      <c r="Z87" s="32" t="s">
        <v>1991</v>
      </c>
      <c r="AA87" s="32" t="s">
        <v>1991</v>
      </c>
      <c r="AB87" s="32" t="s">
        <v>1991</v>
      </c>
      <c r="AC87" s="32" t="s">
        <v>1991</v>
      </c>
      <c r="AD87" s="32" t="s">
        <v>1991</v>
      </c>
      <c r="AE87" s="506" t="s">
        <v>1991</v>
      </c>
      <c r="AF87" s="506">
        <v>0</v>
      </c>
      <c r="AG87" s="32" t="s">
        <v>1991</v>
      </c>
      <c r="AH87" s="32" t="s">
        <v>1991</v>
      </c>
      <c r="AI87" s="32" t="s">
        <v>1991</v>
      </c>
      <c r="AJ87" s="32" t="s">
        <v>1991</v>
      </c>
      <c r="AK87" s="506" t="s">
        <v>1991</v>
      </c>
      <c r="AL87" s="327"/>
      <c r="AM87" s="327"/>
      <c r="AN87" s="327" t="s">
        <v>1991</v>
      </c>
      <c r="AO87" s="327" t="s">
        <v>1991</v>
      </c>
      <c r="AP87" s="327"/>
      <c r="AQ87" s="327"/>
      <c r="AR87" s="327"/>
      <c r="AS87" s="327" t="s">
        <v>1991</v>
      </c>
      <c r="AT87" s="327" t="s">
        <v>1991</v>
      </c>
      <c r="AU87" s="327"/>
      <c r="AV87" s="327"/>
      <c r="AW87" s="327"/>
      <c r="AX87" s="327"/>
      <c r="AY87" s="327"/>
      <c r="AZ87" s="327"/>
      <c r="BA87" s="327"/>
      <c r="BB87" s="46">
        <f t="shared" si="23"/>
        <v>15</v>
      </c>
      <c r="BC87" s="46">
        <f t="shared" si="24"/>
        <v>15</v>
      </c>
      <c r="BD87" s="46">
        <f t="shared" si="36"/>
        <v>4</v>
      </c>
      <c r="BE87" s="46">
        <f t="shared" si="25"/>
        <v>0</v>
      </c>
      <c r="BF87" s="296">
        <f t="shared" si="26"/>
        <v>30</v>
      </c>
      <c r="BG87" s="26"/>
      <c r="BH87" s="2"/>
      <c r="BI87" s="2"/>
      <c r="BJ87" s="2"/>
      <c r="BK87" s="279">
        <f t="shared" si="27"/>
        <v>1</v>
      </c>
      <c r="BL87" s="279">
        <f t="shared" si="28"/>
        <v>30</v>
      </c>
      <c r="BM87" s="279"/>
      <c r="BN87" s="279"/>
      <c r="BO87" s="2">
        <f t="shared" si="29"/>
        <v>30</v>
      </c>
      <c r="BP87" s="430"/>
      <c r="BQ87" s="431"/>
      <c r="BR87" s="2"/>
      <c r="BS87" s="25"/>
      <c r="BT87" s="348">
        <f t="shared" si="37"/>
        <v>1</v>
      </c>
      <c r="BU87" s="2"/>
      <c r="BV87" s="282">
        <f t="shared" si="34"/>
        <v>0</v>
      </c>
      <c r="BW87" s="279"/>
      <c r="BX87" s="269">
        <f t="shared" si="35"/>
        <v>0</v>
      </c>
      <c r="BY87" s="349" t="e">
        <f>#N/A</f>
        <v>#N/A</v>
      </c>
      <c r="BZ87" s="349" t="e">
        <f>#N/A</f>
        <v>#N/A</v>
      </c>
      <c r="CA87" s="349" t="e">
        <f>#N/A</f>
        <v>#N/A</v>
      </c>
      <c r="CB87" s="351" t="e">
        <f>#N/A</f>
        <v>#N/A</v>
      </c>
      <c r="CC87" s="349" t="e">
        <f t="shared" si="30"/>
        <v>#N/A</v>
      </c>
      <c r="CD87" s="14" t="e">
        <f t="shared" si="31"/>
        <v>#N/A</v>
      </c>
      <c r="CE87" s="14">
        <f t="shared" si="32"/>
        <v>30</v>
      </c>
      <c r="CF87" s="25">
        <f t="shared" si="33"/>
        <v>1</v>
      </c>
      <c r="CG87" s="270"/>
      <c r="CH87" s="2"/>
      <c r="CL87" s="349"/>
      <c r="CM87" s="349"/>
      <c r="CN87" s="349"/>
      <c r="CO87" s="349"/>
      <c r="CP87" s="349"/>
      <c r="CQ87" s="14"/>
      <c r="CY87" s="2"/>
    </row>
    <row r="88" spans="1:103" s="1" customFormat="1" ht="29.4" customHeight="1">
      <c r="A88" s="46">
        <v>82</v>
      </c>
      <c r="B88" s="46">
        <v>4</v>
      </c>
      <c r="C88" s="46">
        <v>171</v>
      </c>
      <c r="D88" s="48"/>
      <c r="E88" s="48"/>
      <c r="F88" s="46"/>
      <c r="G88" s="310" t="s">
        <v>1991</v>
      </c>
      <c r="H88" s="310" t="s">
        <v>1991</v>
      </c>
      <c r="I88" s="310" t="s">
        <v>1991</v>
      </c>
      <c r="J88" s="310" t="s">
        <v>1991</v>
      </c>
      <c r="K88" s="310" t="s">
        <v>1991</v>
      </c>
      <c r="L88" s="310" t="s">
        <v>1991</v>
      </c>
      <c r="M88" s="310" t="s">
        <v>1991</v>
      </c>
      <c r="N88" s="310" t="s">
        <v>1991</v>
      </c>
      <c r="O88" s="310" t="s">
        <v>1991</v>
      </c>
      <c r="P88" s="310" t="s">
        <v>1991</v>
      </c>
      <c r="Q88" s="310" t="s">
        <v>1991</v>
      </c>
      <c r="R88" s="310" t="s">
        <v>1991</v>
      </c>
      <c r="S88" s="310" t="s">
        <v>1991</v>
      </c>
      <c r="T88" s="505" t="s">
        <v>1991</v>
      </c>
      <c r="U88" s="310" t="s">
        <v>1991</v>
      </c>
      <c r="V88" s="32" t="s">
        <v>1991</v>
      </c>
      <c r="W88" s="506" t="s">
        <v>1991</v>
      </c>
      <c r="X88" s="506" t="s">
        <v>1991</v>
      </c>
      <c r="Y88" s="506" t="s">
        <v>1991</v>
      </c>
      <c r="Z88" s="32" t="s">
        <v>1991</v>
      </c>
      <c r="AA88" s="32" t="s">
        <v>1991</v>
      </c>
      <c r="AB88" s="32" t="s">
        <v>1991</v>
      </c>
      <c r="AC88" s="32" t="s">
        <v>1991</v>
      </c>
      <c r="AD88" s="32" t="s">
        <v>1991</v>
      </c>
      <c r="AE88" s="506" t="s">
        <v>1991</v>
      </c>
      <c r="AF88" s="506" t="s">
        <v>1991</v>
      </c>
      <c r="AG88" s="32" t="s">
        <v>1991</v>
      </c>
      <c r="AH88" s="32" t="s">
        <v>1991</v>
      </c>
      <c r="AI88" s="32" t="s">
        <v>1991</v>
      </c>
      <c r="AJ88" s="32" t="s">
        <v>1991</v>
      </c>
      <c r="AK88" s="506" t="s">
        <v>1991</v>
      </c>
      <c r="AL88" s="327"/>
      <c r="AM88" s="327"/>
      <c r="AN88" s="327" t="s">
        <v>1991</v>
      </c>
      <c r="AO88" s="327" t="s">
        <v>1991</v>
      </c>
      <c r="AP88" s="327"/>
      <c r="AQ88" s="327"/>
      <c r="AR88" s="327"/>
      <c r="AS88" s="327" t="s">
        <v>1991</v>
      </c>
      <c r="AT88" s="327" t="s">
        <v>1991</v>
      </c>
      <c r="AU88" s="327"/>
      <c r="AV88" s="327"/>
      <c r="AW88" s="327"/>
      <c r="AX88" s="327"/>
      <c r="AY88" s="327"/>
      <c r="AZ88" s="327"/>
      <c r="BA88" s="327"/>
      <c r="BB88" s="46">
        <f t="shared" si="23"/>
        <v>15</v>
      </c>
      <c r="BC88" s="46">
        <f t="shared" si="24"/>
        <v>16</v>
      </c>
      <c r="BD88" s="46">
        <f t="shared" si="36"/>
        <v>4</v>
      </c>
      <c r="BE88" s="46">
        <f t="shared" si="25"/>
        <v>0</v>
      </c>
      <c r="BF88" s="296">
        <f t="shared" si="26"/>
        <v>31</v>
      </c>
      <c r="BG88" s="26"/>
      <c r="BH88" s="2"/>
      <c r="BI88" s="2"/>
      <c r="BJ88" s="2"/>
      <c r="BK88" s="279">
        <f t="shared" si="27"/>
        <v>1</v>
      </c>
      <c r="BL88" s="279">
        <f t="shared" si="28"/>
        <v>31</v>
      </c>
      <c r="BM88" s="279"/>
      <c r="BN88" s="279"/>
      <c r="BO88" s="2">
        <f t="shared" si="29"/>
        <v>31</v>
      </c>
      <c r="BP88" s="430"/>
      <c r="BQ88" s="431"/>
      <c r="BR88" s="2"/>
      <c r="BS88" s="25"/>
      <c r="BT88" s="348">
        <f t="shared" si="37"/>
        <v>1</v>
      </c>
      <c r="BU88" s="2"/>
      <c r="BV88" s="282">
        <f t="shared" si="34"/>
        <v>0</v>
      </c>
      <c r="BW88" s="279"/>
      <c r="BX88" s="269">
        <f t="shared" si="35"/>
        <v>0</v>
      </c>
      <c r="BY88" s="349" t="e">
        <f>#N/A</f>
        <v>#N/A</v>
      </c>
      <c r="BZ88" s="349" t="e">
        <f>#N/A</f>
        <v>#N/A</v>
      </c>
      <c r="CA88" s="349" t="e">
        <f>#N/A</f>
        <v>#N/A</v>
      </c>
      <c r="CB88" s="351" t="e">
        <f>#N/A</f>
        <v>#N/A</v>
      </c>
      <c r="CC88" s="349" t="e">
        <f t="shared" si="30"/>
        <v>#N/A</v>
      </c>
      <c r="CD88" s="14" t="e">
        <f t="shared" si="31"/>
        <v>#N/A</v>
      </c>
      <c r="CE88" s="14">
        <f t="shared" si="32"/>
        <v>31</v>
      </c>
      <c r="CF88" s="25">
        <f t="shared" si="33"/>
        <v>1</v>
      </c>
      <c r="CG88" s="270"/>
      <c r="CH88" s="2"/>
      <c r="CL88" s="349"/>
      <c r="CM88" s="349"/>
      <c r="CN88" s="349"/>
      <c r="CO88" s="349"/>
      <c r="CP88" s="349"/>
      <c r="CQ88" s="14"/>
      <c r="CY88" s="2"/>
    </row>
    <row r="89" spans="1:103" s="1" customFormat="1" ht="29.4" customHeight="1">
      <c r="A89" s="46">
        <v>83</v>
      </c>
      <c r="B89" s="46">
        <v>4</v>
      </c>
      <c r="C89" s="46">
        <v>172</v>
      </c>
      <c r="D89" s="48"/>
      <c r="E89" s="48"/>
      <c r="F89" s="46"/>
      <c r="G89" s="310" t="s">
        <v>1991</v>
      </c>
      <c r="H89" s="310" t="s">
        <v>1991</v>
      </c>
      <c r="I89" s="310" t="s">
        <v>1991</v>
      </c>
      <c r="J89" s="310">
        <v>0</v>
      </c>
      <c r="K89" s="310" t="s">
        <v>1991</v>
      </c>
      <c r="L89" s="310" t="s">
        <v>1991</v>
      </c>
      <c r="M89" s="310" t="s">
        <v>1991</v>
      </c>
      <c r="N89" s="310" t="s">
        <v>1991</v>
      </c>
      <c r="O89" s="310" t="s">
        <v>1991</v>
      </c>
      <c r="P89" s="310" t="s">
        <v>1991</v>
      </c>
      <c r="Q89" s="310" t="s">
        <v>1991</v>
      </c>
      <c r="R89" s="310" t="s">
        <v>1991</v>
      </c>
      <c r="S89" s="310" t="s">
        <v>1991</v>
      </c>
      <c r="T89" s="505" t="s">
        <v>1991</v>
      </c>
      <c r="U89" s="310" t="s">
        <v>1991</v>
      </c>
      <c r="V89" s="32" t="s">
        <v>1991</v>
      </c>
      <c r="W89" s="506" t="s">
        <v>1991</v>
      </c>
      <c r="X89" s="506" t="s">
        <v>1991</v>
      </c>
      <c r="Y89" s="506" t="s">
        <v>1991</v>
      </c>
      <c r="Z89" s="32" t="s">
        <v>1991</v>
      </c>
      <c r="AA89" s="32" t="s">
        <v>1991</v>
      </c>
      <c r="AB89" s="32" t="s">
        <v>1991</v>
      </c>
      <c r="AC89" s="32" t="s">
        <v>1991</v>
      </c>
      <c r="AD89" s="32" t="s">
        <v>1991</v>
      </c>
      <c r="AE89" s="506" t="s">
        <v>1991</v>
      </c>
      <c r="AF89" s="506" t="s">
        <v>1991</v>
      </c>
      <c r="AG89" s="32" t="s">
        <v>1991</v>
      </c>
      <c r="AH89" s="32" t="s">
        <v>1991</v>
      </c>
      <c r="AI89" s="32" t="s">
        <v>1991</v>
      </c>
      <c r="AJ89" s="32" t="s">
        <v>1991</v>
      </c>
      <c r="AK89" s="506" t="s">
        <v>1991</v>
      </c>
      <c r="AL89" s="327"/>
      <c r="AM89" s="327"/>
      <c r="AN89" s="327" t="s">
        <v>1991</v>
      </c>
      <c r="AO89" s="327" t="s">
        <v>1991</v>
      </c>
      <c r="AP89" s="327"/>
      <c r="AQ89" s="327"/>
      <c r="AR89" s="327"/>
      <c r="AS89" s="327" t="s">
        <v>1991</v>
      </c>
      <c r="AT89" s="327" t="s">
        <v>1991</v>
      </c>
      <c r="AU89" s="327"/>
      <c r="AV89" s="327"/>
      <c r="AW89" s="327"/>
      <c r="AX89" s="327"/>
      <c r="AY89" s="327"/>
      <c r="AZ89" s="327"/>
      <c r="BA89" s="327"/>
      <c r="BB89" s="46">
        <f t="shared" si="23"/>
        <v>14</v>
      </c>
      <c r="BC89" s="46">
        <f t="shared" si="24"/>
        <v>16</v>
      </c>
      <c r="BD89" s="46">
        <f t="shared" si="36"/>
        <v>4</v>
      </c>
      <c r="BE89" s="46">
        <f t="shared" si="25"/>
        <v>0</v>
      </c>
      <c r="BF89" s="296">
        <f t="shared" si="26"/>
        <v>30</v>
      </c>
      <c r="BG89" s="26"/>
      <c r="BH89" s="2"/>
      <c r="BI89" s="2"/>
      <c r="BJ89" s="2"/>
      <c r="BK89" s="279">
        <f t="shared" si="27"/>
        <v>1</v>
      </c>
      <c r="BL89" s="279">
        <f t="shared" si="28"/>
        <v>30</v>
      </c>
      <c r="BM89" s="279"/>
      <c r="BN89" s="279"/>
      <c r="BO89" s="2">
        <f t="shared" si="29"/>
        <v>30</v>
      </c>
      <c r="BP89" s="430"/>
      <c r="BQ89" s="431"/>
      <c r="BR89" s="2"/>
      <c r="BS89" s="25"/>
      <c r="BT89" s="348">
        <f t="shared" si="37"/>
        <v>1</v>
      </c>
      <c r="BU89" s="2"/>
      <c r="BV89" s="282">
        <f t="shared" si="34"/>
        <v>0</v>
      </c>
      <c r="BW89" s="279"/>
      <c r="BX89" s="269">
        <f t="shared" si="35"/>
        <v>0</v>
      </c>
      <c r="BY89" s="349" t="e">
        <f>#N/A</f>
        <v>#N/A</v>
      </c>
      <c r="BZ89" s="349" t="e">
        <f>#N/A</f>
        <v>#N/A</v>
      </c>
      <c r="CA89" s="349" t="e">
        <f>#N/A</f>
        <v>#N/A</v>
      </c>
      <c r="CB89" s="351" t="e">
        <f>#N/A</f>
        <v>#N/A</v>
      </c>
      <c r="CC89" s="349" t="e">
        <f t="shared" si="30"/>
        <v>#N/A</v>
      </c>
      <c r="CD89" s="14" t="e">
        <f t="shared" si="31"/>
        <v>#N/A</v>
      </c>
      <c r="CE89" s="14">
        <f t="shared" si="32"/>
        <v>30</v>
      </c>
      <c r="CF89" s="25">
        <f t="shared" si="33"/>
        <v>1</v>
      </c>
      <c r="CG89" s="270"/>
      <c r="CH89" s="2"/>
      <c r="CL89" s="349"/>
      <c r="CM89" s="349"/>
      <c r="CN89" s="349"/>
      <c r="CO89" s="349"/>
      <c r="CP89" s="349"/>
      <c r="CQ89" s="14"/>
      <c r="CY89" s="2"/>
    </row>
    <row r="90" spans="1:103" s="1" customFormat="1" ht="29.4" customHeight="1">
      <c r="A90" s="46">
        <v>84</v>
      </c>
      <c r="B90" s="46">
        <v>4</v>
      </c>
      <c r="C90" s="46">
        <v>173</v>
      </c>
      <c r="D90" s="48"/>
      <c r="E90" s="48"/>
      <c r="F90" s="46"/>
      <c r="G90" s="310">
        <v>0</v>
      </c>
      <c r="H90" s="310" t="s">
        <v>1991</v>
      </c>
      <c r="I90" s="310" t="s">
        <v>1991</v>
      </c>
      <c r="J90" s="310">
        <v>0</v>
      </c>
      <c r="K90" s="310" t="s">
        <v>1991</v>
      </c>
      <c r="L90" s="310" t="s">
        <v>1991</v>
      </c>
      <c r="M90" s="310" t="s">
        <v>1991</v>
      </c>
      <c r="N90" s="310" t="s">
        <v>1991</v>
      </c>
      <c r="O90" s="310" t="s">
        <v>1991</v>
      </c>
      <c r="P90" s="310" t="s">
        <v>1991</v>
      </c>
      <c r="Q90" s="310" t="s">
        <v>1991</v>
      </c>
      <c r="R90" s="310" t="s">
        <v>1991</v>
      </c>
      <c r="S90" s="310" t="s">
        <v>1991</v>
      </c>
      <c r="T90" s="505" t="s">
        <v>1991</v>
      </c>
      <c r="U90" s="310" t="s">
        <v>1991</v>
      </c>
      <c r="V90" s="32">
        <v>0</v>
      </c>
      <c r="W90" s="506" t="s">
        <v>1991</v>
      </c>
      <c r="X90" s="506" t="s">
        <v>1991</v>
      </c>
      <c r="Y90" s="506" t="s">
        <v>1991</v>
      </c>
      <c r="Z90" s="32" t="s">
        <v>1991</v>
      </c>
      <c r="AA90" s="32" t="s">
        <v>1991</v>
      </c>
      <c r="AB90" s="32" t="s">
        <v>1991</v>
      </c>
      <c r="AC90" s="32" t="s">
        <v>1991</v>
      </c>
      <c r="AD90" s="32" t="s">
        <v>1991</v>
      </c>
      <c r="AE90" s="506" t="s">
        <v>1991</v>
      </c>
      <c r="AF90" s="506" t="s">
        <v>1991</v>
      </c>
      <c r="AG90" s="32" t="s">
        <v>1991</v>
      </c>
      <c r="AH90" s="32">
        <v>0</v>
      </c>
      <c r="AI90" s="32">
        <v>0</v>
      </c>
      <c r="AJ90" s="32" t="s">
        <v>1991</v>
      </c>
      <c r="AK90" s="506" t="s">
        <v>1991</v>
      </c>
      <c r="AL90" s="327"/>
      <c r="AM90" s="327"/>
      <c r="AN90" s="327" t="s">
        <v>1991</v>
      </c>
      <c r="AO90" s="327" t="s">
        <v>1991</v>
      </c>
      <c r="AP90" s="327"/>
      <c r="AQ90" s="327"/>
      <c r="AR90" s="327"/>
      <c r="AS90" s="327" t="s">
        <v>1991</v>
      </c>
      <c r="AT90" s="327">
        <v>0</v>
      </c>
      <c r="AU90" s="327"/>
      <c r="AV90" s="327"/>
      <c r="AW90" s="327"/>
      <c r="AX90" s="327"/>
      <c r="AY90" s="327"/>
      <c r="AZ90" s="327"/>
      <c r="BA90" s="327"/>
      <c r="BB90" s="46">
        <f t="shared" si="23"/>
        <v>13</v>
      </c>
      <c r="BC90" s="46">
        <f t="shared" si="24"/>
        <v>13</v>
      </c>
      <c r="BD90" s="46">
        <f t="shared" si="36"/>
        <v>3</v>
      </c>
      <c r="BE90" s="46">
        <f t="shared" si="25"/>
        <v>0</v>
      </c>
      <c r="BF90" s="296">
        <f t="shared" si="26"/>
        <v>26</v>
      </c>
      <c r="BG90" s="26"/>
      <c r="BH90" s="2"/>
      <c r="BI90" s="2"/>
      <c r="BJ90" s="2"/>
      <c r="BK90" s="279">
        <f t="shared" si="27"/>
        <v>1</v>
      </c>
      <c r="BL90" s="279">
        <f t="shared" si="28"/>
        <v>26</v>
      </c>
      <c r="BM90" s="279"/>
      <c r="BN90" s="279"/>
      <c r="BO90" s="2">
        <f t="shared" si="29"/>
        <v>26</v>
      </c>
      <c r="BP90" s="430"/>
      <c r="BQ90" s="431"/>
      <c r="BR90" s="2"/>
      <c r="BS90" s="25"/>
      <c r="BT90" s="348">
        <f t="shared" si="37"/>
        <v>1</v>
      </c>
      <c r="BU90" s="2"/>
      <c r="BV90" s="282">
        <f t="shared" si="34"/>
        <v>0</v>
      </c>
      <c r="BW90" s="279"/>
      <c r="BX90" s="269">
        <f t="shared" si="35"/>
        <v>0</v>
      </c>
      <c r="BY90" s="349" t="e">
        <f>#N/A</f>
        <v>#N/A</v>
      </c>
      <c r="BZ90" s="349" t="e">
        <f>#N/A</f>
        <v>#N/A</v>
      </c>
      <c r="CA90" s="349" t="e">
        <f>#N/A</f>
        <v>#N/A</v>
      </c>
      <c r="CB90" s="351" t="e">
        <f>#N/A</f>
        <v>#N/A</v>
      </c>
      <c r="CC90" s="349" t="e">
        <f t="shared" si="30"/>
        <v>#N/A</v>
      </c>
      <c r="CD90" s="14" t="e">
        <f t="shared" si="31"/>
        <v>#N/A</v>
      </c>
      <c r="CE90" s="14">
        <f t="shared" si="32"/>
        <v>26</v>
      </c>
      <c r="CF90" s="25">
        <f t="shared" si="33"/>
        <v>1</v>
      </c>
      <c r="CG90" s="270"/>
      <c r="CH90" s="2"/>
      <c r="CL90" s="349"/>
      <c r="CM90" s="349"/>
      <c r="CN90" s="349"/>
      <c r="CO90" s="349"/>
      <c r="CP90" s="349"/>
      <c r="CQ90" s="14"/>
      <c r="CY90" s="2"/>
    </row>
    <row r="91" spans="1:103" s="1" customFormat="1" ht="29.4" customHeight="1">
      <c r="A91" s="46">
        <v>85</v>
      </c>
      <c r="B91" s="46">
        <v>4</v>
      </c>
      <c r="C91" s="46">
        <v>174</v>
      </c>
      <c r="D91" s="48"/>
      <c r="E91" s="48"/>
      <c r="F91" s="46"/>
      <c r="G91" s="310">
        <v>0</v>
      </c>
      <c r="H91" s="310" t="s">
        <v>1991</v>
      </c>
      <c r="I91" s="310" t="s">
        <v>1991</v>
      </c>
      <c r="J91" s="310">
        <v>0</v>
      </c>
      <c r="K91" s="310" t="s">
        <v>1991</v>
      </c>
      <c r="L91" s="310" t="s">
        <v>1991</v>
      </c>
      <c r="M91" s="310" t="s">
        <v>1991</v>
      </c>
      <c r="N91" s="310" t="s">
        <v>1991</v>
      </c>
      <c r="O91" s="310" t="s">
        <v>1991</v>
      </c>
      <c r="P91" s="310">
        <v>0</v>
      </c>
      <c r="Q91" s="310" t="s">
        <v>1991</v>
      </c>
      <c r="R91" s="310" t="s">
        <v>1991</v>
      </c>
      <c r="S91" s="310" t="s">
        <v>1991</v>
      </c>
      <c r="T91" s="505" t="s">
        <v>1991</v>
      </c>
      <c r="U91" s="310" t="s">
        <v>1991</v>
      </c>
      <c r="V91" s="32" t="s">
        <v>1991</v>
      </c>
      <c r="W91" s="506" t="s">
        <v>1991</v>
      </c>
      <c r="X91" s="506" t="s">
        <v>1991</v>
      </c>
      <c r="Y91" s="506" t="s">
        <v>1991</v>
      </c>
      <c r="Z91" s="32" t="s">
        <v>1991</v>
      </c>
      <c r="AA91" s="32" t="s">
        <v>1991</v>
      </c>
      <c r="AB91" s="32" t="s">
        <v>1991</v>
      </c>
      <c r="AC91" s="32" t="s">
        <v>1991</v>
      </c>
      <c r="AD91" s="32" t="s">
        <v>1991</v>
      </c>
      <c r="AE91" s="506" t="s">
        <v>1991</v>
      </c>
      <c r="AF91" s="506" t="s">
        <v>1991</v>
      </c>
      <c r="AG91" s="32" t="s">
        <v>1991</v>
      </c>
      <c r="AH91" s="32" t="s">
        <v>1991</v>
      </c>
      <c r="AI91" s="32">
        <v>0</v>
      </c>
      <c r="AJ91" s="32" t="s">
        <v>1991</v>
      </c>
      <c r="AK91" s="506" t="s">
        <v>1991</v>
      </c>
      <c r="AL91" s="327"/>
      <c r="AM91" s="327"/>
      <c r="AN91" s="327" t="s">
        <v>1991</v>
      </c>
      <c r="AO91" s="327" t="s">
        <v>1991</v>
      </c>
      <c r="AP91" s="327"/>
      <c r="AQ91" s="327"/>
      <c r="AR91" s="327"/>
      <c r="AS91" s="327" t="s">
        <v>1991</v>
      </c>
      <c r="AT91" s="327">
        <v>0</v>
      </c>
      <c r="AU91" s="327"/>
      <c r="AV91" s="327"/>
      <c r="AW91" s="327"/>
      <c r="AX91" s="327"/>
      <c r="AY91" s="327"/>
      <c r="AZ91" s="327"/>
      <c r="BA91" s="327"/>
      <c r="BB91" s="46">
        <f t="shared" si="23"/>
        <v>12</v>
      </c>
      <c r="BC91" s="46">
        <f t="shared" si="24"/>
        <v>15</v>
      </c>
      <c r="BD91" s="46">
        <f t="shared" si="36"/>
        <v>3</v>
      </c>
      <c r="BE91" s="46">
        <f t="shared" si="25"/>
        <v>0</v>
      </c>
      <c r="BF91" s="296">
        <f t="shared" si="26"/>
        <v>27</v>
      </c>
      <c r="BG91" s="26"/>
      <c r="BH91" s="2"/>
      <c r="BI91" s="2"/>
      <c r="BJ91" s="2"/>
      <c r="BK91" s="279">
        <f t="shared" si="27"/>
        <v>1</v>
      </c>
      <c r="BL91" s="279">
        <f t="shared" si="28"/>
        <v>27</v>
      </c>
      <c r="BM91" s="279"/>
      <c r="BN91" s="279"/>
      <c r="BO91" s="2">
        <f t="shared" si="29"/>
        <v>27</v>
      </c>
      <c r="BP91" s="430"/>
      <c r="BQ91" s="431"/>
      <c r="BR91" s="2"/>
      <c r="BS91" s="25"/>
      <c r="BT91" s="348">
        <f t="shared" si="37"/>
        <v>1</v>
      </c>
      <c r="BU91" s="2"/>
      <c r="BV91" s="282">
        <f t="shared" si="34"/>
        <v>0</v>
      </c>
      <c r="BW91" s="279"/>
      <c r="BX91" s="269">
        <f t="shared" si="35"/>
        <v>0</v>
      </c>
      <c r="BY91" s="349" t="e">
        <f>#N/A</f>
        <v>#N/A</v>
      </c>
      <c r="BZ91" s="349" t="e">
        <f>#N/A</f>
        <v>#N/A</v>
      </c>
      <c r="CA91" s="349" t="e">
        <f>#N/A</f>
        <v>#N/A</v>
      </c>
      <c r="CB91" s="351" t="e">
        <f>#N/A</f>
        <v>#N/A</v>
      </c>
      <c r="CC91" s="349" t="e">
        <f t="shared" si="30"/>
        <v>#N/A</v>
      </c>
      <c r="CD91" s="14" t="e">
        <f t="shared" si="31"/>
        <v>#N/A</v>
      </c>
      <c r="CE91" s="14">
        <f t="shared" si="32"/>
        <v>27</v>
      </c>
      <c r="CF91" s="25">
        <f t="shared" si="33"/>
        <v>1</v>
      </c>
      <c r="CG91" s="270"/>
      <c r="CH91" s="2"/>
      <c r="CL91" s="349"/>
      <c r="CM91" s="349"/>
      <c r="CN91" s="349"/>
      <c r="CO91" s="349"/>
      <c r="CP91" s="349"/>
      <c r="CQ91" s="14"/>
      <c r="CY91" s="2"/>
    </row>
    <row r="92" spans="1:103" s="1" customFormat="1" ht="29.4" customHeight="1">
      <c r="A92" s="46">
        <v>86</v>
      </c>
      <c r="B92" s="46">
        <v>4</v>
      </c>
      <c r="C92" s="46">
        <v>175</v>
      </c>
      <c r="D92" s="48"/>
      <c r="E92" s="48"/>
      <c r="F92" s="46"/>
      <c r="G92" s="310">
        <v>0</v>
      </c>
      <c r="H92" s="310" t="s">
        <v>1991</v>
      </c>
      <c r="I92" s="310" t="s">
        <v>1991</v>
      </c>
      <c r="J92" s="310">
        <v>0</v>
      </c>
      <c r="K92" s="310" t="s">
        <v>1991</v>
      </c>
      <c r="L92" s="310" t="s">
        <v>1991</v>
      </c>
      <c r="M92" s="310" t="s">
        <v>1991</v>
      </c>
      <c r="N92" s="310" t="s">
        <v>1991</v>
      </c>
      <c r="O92" s="310" t="s">
        <v>1991</v>
      </c>
      <c r="P92" s="310" t="s">
        <v>1991</v>
      </c>
      <c r="Q92" s="310" t="s">
        <v>1991</v>
      </c>
      <c r="R92" s="310" t="s">
        <v>1991</v>
      </c>
      <c r="S92" s="310" t="s">
        <v>1991</v>
      </c>
      <c r="T92" s="505" t="s">
        <v>1991</v>
      </c>
      <c r="U92" s="310" t="s">
        <v>1991</v>
      </c>
      <c r="V92" s="32" t="s">
        <v>1991</v>
      </c>
      <c r="W92" s="506" t="s">
        <v>1991</v>
      </c>
      <c r="X92" s="506" t="s">
        <v>1991</v>
      </c>
      <c r="Y92" s="506" t="s">
        <v>1991</v>
      </c>
      <c r="Z92" s="32" t="s">
        <v>1991</v>
      </c>
      <c r="AA92" s="32" t="s">
        <v>1991</v>
      </c>
      <c r="AB92" s="32" t="s">
        <v>1991</v>
      </c>
      <c r="AC92" s="32" t="s">
        <v>1991</v>
      </c>
      <c r="AD92" s="32" t="s">
        <v>1991</v>
      </c>
      <c r="AE92" s="506">
        <v>0</v>
      </c>
      <c r="AF92" s="506" t="s">
        <v>1991</v>
      </c>
      <c r="AG92" s="32" t="s">
        <v>1991</v>
      </c>
      <c r="AH92" s="32" t="s">
        <v>1991</v>
      </c>
      <c r="AI92" s="32" t="s">
        <v>1991</v>
      </c>
      <c r="AJ92" s="32" t="s">
        <v>1991</v>
      </c>
      <c r="AK92" s="506" t="s">
        <v>1991</v>
      </c>
      <c r="AL92" s="327"/>
      <c r="AM92" s="327"/>
      <c r="AN92" s="327" t="s">
        <v>1991</v>
      </c>
      <c r="AO92" s="327" t="s">
        <v>1991</v>
      </c>
      <c r="AP92" s="327"/>
      <c r="AQ92" s="327"/>
      <c r="AR92" s="327"/>
      <c r="AS92" s="327" t="s">
        <v>1991</v>
      </c>
      <c r="AT92" s="327" t="s">
        <v>1991</v>
      </c>
      <c r="AU92" s="327"/>
      <c r="AV92" s="327"/>
      <c r="AW92" s="327"/>
      <c r="AX92" s="327"/>
      <c r="AY92" s="327"/>
      <c r="AZ92" s="327"/>
      <c r="BA92" s="327"/>
      <c r="BB92" s="46">
        <f t="shared" si="23"/>
        <v>13</v>
      </c>
      <c r="BC92" s="46">
        <f t="shared" si="24"/>
        <v>15</v>
      </c>
      <c r="BD92" s="46">
        <f t="shared" si="36"/>
        <v>4</v>
      </c>
      <c r="BE92" s="46">
        <f t="shared" si="25"/>
        <v>0</v>
      </c>
      <c r="BF92" s="296">
        <f t="shared" si="26"/>
        <v>28</v>
      </c>
      <c r="BG92" s="26"/>
      <c r="BH92" s="2"/>
      <c r="BI92" s="2"/>
      <c r="BJ92" s="2"/>
      <c r="BK92" s="279">
        <f t="shared" si="27"/>
        <v>1</v>
      </c>
      <c r="BL92" s="279">
        <f t="shared" si="28"/>
        <v>28</v>
      </c>
      <c r="BM92" s="279"/>
      <c r="BN92" s="279"/>
      <c r="BO92" s="2">
        <f t="shared" si="29"/>
        <v>28</v>
      </c>
      <c r="BP92" s="430"/>
      <c r="BQ92" s="431"/>
      <c r="BR92" s="2"/>
      <c r="BS92" s="25"/>
      <c r="BT92" s="348">
        <f t="shared" si="37"/>
        <v>1</v>
      </c>
      <c r="BU92" s="2"/>
      <c r="BV92" s="282">
        <f t="shared" si="34"/>
        <v>0</v>
      </c>
      <c r="BW92" s="279"/>
      <c r="BX92" s="269">
        <f t="shared" si="35"/>
        <v>0</v>
      </c>
      <c r="BY92" s="349" t="e">
        <f>#N/A</f>
        <v>#N/A</v>
      </c>
      <c r="BZ92" s="349" t="e">
        <f>#N/A</f>
        <v>#N/A</v>
      </c>
      <c r="CA92" s="349" t="e">
        <f>#N/A</f>
        <v>#N/A</v>
      </c>
      <c r="CB92" s="351" t="e">
        <f>#N/A</f>
        <v>#N/A</v>
      </c>
      <c r="CC92" s="349" t="e">
        <f t="shared" si="30"/>
        <v>#N/A</v>
      </c>
      <c r="CD92" s="14" t="e">
        <f t="shared" si="31"/>
        <v>#N/A</v>
      </c>
      <c r="CE92" s="14">
        <f t="shared" si="32"/>
        <v>28</v>
      </c>
      <c r="CF92" s="25">
        <f t="shared" si="33"/>
        <v>1</v>
      </c>
      <c r="CG92" s="270"/>
      <c r="CH92" s="2"/>
      <c r="CL92" s="349"/>
      <c r="CM92" s="349"/>
      <c r="CN92" s="349"/>
      <c r="CO92" s="349"/>
      <c r="CP92" s="349"/>
      <c r="CQ92" s="14"/>
      <c r="CY92" s="2"/>
    </row>
    <row r="93" spans="1:103" s="1" customFormat="1" ht="29.4" customHeight="1">
      <c r="A93" s="46">
        <v>87</v>
      </c>
      <c r="B93" s="46">
        <v>5</v>
      </c>
      <c r="C93" s="46">
        <v>176</v>
      </c>
      <c r="D93" s="48"/>
      <c r="E93" s="48"/>
      <c r="F93" s="46"/>
      <c r="G93" s="310" t="s">
        <v>1991</v>
      </c>
      <c r="H93" s="310" t="s">
        <v>1991</v>
      </c>
      <c r="I93" s="310" t="s">
        <v>1991</v>
      </c>
      <c r="J93" s="310" t="s">
        <v>1991</v>
      </c>
      <c r="K93" s="310" t="s">
        <v>1991</v>
      </c>
      <c r="L93" s="310" t="s">
        <v>1991</v>
      </c>
      <c r="M93" s="310" t="s">
        <v>1991</v>
      </c>
      <c r="N93" s="310" t="s">
        <v>1991</v>
      </c>
      <c r="O93" s="310" t="s">
        <v>1991</v>
      </c>
      <c r="P93" s="310" t="s">
        <v>1991</v>
      </c>
      <c r="Q93" s="310" t="s">
        <v>1991</v>
      </c>
      <c r="R93" s="310" t="s">
        <v>1991</v>
      </c>
      <c r="S93" s="310" t="s">
        <v>1991</v>
      </c>
      <c r="T93" s="505" t="s">
        <v>1991</v>
      </c>
      <c r="U93" s="310" t="s">
        <v>1991</v>
      </c>
      <c r="V93" s="32" t="s">
        <v>1991</v>
      </c>
      <c r="W93" s="506" t="s">
        <v>1991</v>
      </c>
      <c r="X93" s="506" t="s">
        <v>1991</v>
      </c>
      <c r="Y93" s="506" t="s">
        <v>1991</v>
      </c>
      <c r="Z93" s="32" t="s">
        <v>1991</v>
      </c>
      <c r="AA93" s="32" t="s">
        <v>1991</v>
      </c>
      <c r="AB93" s="32">
        <v>0</v>
      </c>
      <c r="AC93" s="32" t="s">
        <v>1991</v>
      </c>
      <c r="AD93" s="32" t="s">
        <v>1991</v>
      </c>
      <c r="AE93" s="506" t="s">
        <v>1991</v>
      </c>
      <c r="AF93" s="506" t="s">
        <v>1991</v>
      </c>
      <c r="AG93" s="32" t="s">
        <v>1991</v>
      </c>
      <c r="AH93" s="32" t="s">
        <v>1991</v>
      </c>
      <c r="AI93" s="32" t="s">
        <v>1991</v>
      </c>
      <c r="AJ93" s="32" t="s">
        <v>1991</v>
      </c>
      <c r="AK93" s="506" t="s">
        <v>1991</v>
      </c>
      <c r="AL93" s="327"/>
      <c r="AM93" s="327"/>
      <c r="AN93" s="327" t="s">
        <v>1991</v>
      </c>
      <c r="AO93" s="327" t="s">
        <v>1991</v>
      </c>
      <c r="AP93" s="327"/>
      <c r="AQ93" s="327"/>
      <c r="AR93" s="327"/>
      <c r="AS93" s="327" t="s">
        <v>1991</v>
      </c>
      <c r="AT93" s="327" t="s">
        <v>1991</v>
      </c>
      <c r="AU93" s="327"/>
      <c r="AV93" s="327"/>
      <c r="AW93" s="327"/>
      <c r="AX93" s="327"/>
      <c r="AY93" s="327"/>
      <c r="AZ93" s="327"/>
      <c r="BA93" s="327"/>
      <c r="BB93" s="46">
        <f t="shared" si="23"/>
        <v>15</v>
      </c>
      <c r="BC93" s="46">
        <f t="shared" si="24"/>
        <v>15</v>
      </c>
      <c r="BD93" s="46">
        <f t="shared" si="36"/>
        <v>4</v>
      </c>
      <c r="BE93" s="46">
        <f t="shared" si="25"/>
        <v>0</v>
      </c>
      <c r="BF93" s="296">
        <f t="shared" si="26"/>
        <v>30</v>
      </c>
      <c r="BG93" s="26"/>
      <c r="BH93" s="2"/>
      <c r="BI93" s="2"/>
      <c r="BJ93" s="2"/>
      <c r="BK93" s="279">
        <f t="shared" si="27"/>
        <v>1</v>
      </c>
      <c r="BL93" s="279">
        <f t="shared" si="28"/>
        <v>30</v>
      </c>
      <c r="BM93" s="279"/>
      <c r="BN93" s="279"/>
      <c r="BO93" s="2">
        <f t="shared" si="29"/>
        <v>30</v>
      </c>
      <c r="BP93" s="430"/>
      <c r="BQ93" s="431"/>
      <c r="BR93" s="2"/>
      <c r="BS93" s="25"/>
      <c r="BT93" s="348">
        <f t="shared" si="37"/>
        <v>1</v>
      </c>
      <c r="BU93" s="2"/>
      <c r="BV93" s="282">
        <f t="shared" si="34"/>
        <v>0</v>
      </c>
      <c r="BW93" s="279"/>
      <c r="BX93" s="269">
        <f t="shared" si="35"/>
        <v>0</v>
      </c>
      <c r="BY93" s="349" t="e">
        <f>#N/A</f>
        <v>#N/A</v>
      </c>
      <c r="BZ93" s="349" t="e">
        <f>#N/A</f>
        <v>#N/A</v>
      </c>
      <c r="CA93" s="349" t="e">
        <f>#N/A</f>
        <v>#N/A</v>
      </c>
      <c r="CB93" s="351" t="e">
        <f>#N/A</f>
        <v>#N/A</v>
      </c>
      <c r="CC93" s="349" t="e">
        <f t="shared" si="30"/>
        <v>#N/A</v>
      </c>
      <c r="CD93" s="14" t="e">
        <f t="shared" si="31"/>
        <v>#N/A</v>
      </c>
      <c r="CE93" s="14">
        <f t="shared" si="32"/>
        <v>30</v>
      </c>
      <c r="CF93" s="25">
        <f t="shared" si="33"/>
        <v>1</v>
      </c>
      <c r="CG93" s="270"/>
      <c r="CH93" s="2"/>
      <c r="CL93" s="349"/>
      <c r="CM93" s="349"/>
      <c r="CN93" s="349"/>
      <c r="CO93" s="349"/>
      <c r="CP93" s="349"/>
      <c r="CQ93" s="14"/>
      <c r="CY93" s="2"/>
    </row>
    <row r="94" spans="1:103" s="1" customFormat="1" ht="29.4" customHeight="1">
      <c r="A94" s="46">
        <v>88</v>
      </c>
      <c r="B94" s="46">
        <v>5</v>
      </c>
      <c r="C94" s="46">
        <v>177</v>
      </c>
      <c r="D94" s="48"/>
      <c r="E94" s="48"/>
      <c r="F94" s="46"/>
      <c r="G94" s="310" t="s">
        <v>1991</v>
      </c>
      <c r="H94" s="310" t="s">
        <v>1991</v>
      </c>
      <c r="I94" s="310" t="s">
        <v>1991</v>
      </c>
      <c r="J94" s="310" t="s">
        <v>1991</v>
      </c>
      <c r="K94" s="310" t="s">
        <v>1991</v>
      </c>
      <c r="L94" s="310" t="s">
        <v>1991</v>
      </c>
      <c r="M94" s="310" t="s">
        <v>1991</v>
      </c>
      <c r="N94" s="310" t="s">
        <v>1991</v>
      </c>
      <c r="O94" s="310" t="s">
        <v>1991</v>
      </c>
      <c r="P94" s="310" t="s">
        <v>1991</v>
      </c>
      <c r="Q94" s="310" t="s">
        <v>1991</v>
      </c>
      <c r="R94" s="310" t="s">
        <v>1991</v>
      </c>
      <c r="S94" s="310" t="s">
        <v>1991</v>
      </c>
      <c r="T94" s="505" t="s">
        <v>1991</v>
      </c>
      <c r="U94" s="310" t="s">
        <v>1991</v>
      </c>
      <c r="V94" s="32">
        <v>0</v>
      </c>
      <c r="W94" s="506" t="s">
        <v>1991</v>
      </c>
      <c r="X94" s="506" t="s">
        <v>1991</v>
      </c>
      <c r="Y94" s="506" t="s">
        <v>1991</v>
      </c>
      <c r="Z94" s="32" t="s">
        <v>1991</v>
      </c>
      <c r="AA94" s="32" t="s">
        <v>1991</v>
      </c>
      <c r="AB94" s="32">
        <v>0</v>
      </c>
      <c r="AC94" s="32" t="s">
        <v>1991</v>
      </c>
      <c r="AD94" s="32" t="s">
        <v>1991</v>
      </c>
      <c r="AE94" s="506" t="s">
        <v>1991</v>
      </c>
      <c r="AF94" s="506" t="s">
        <v>1991</v>
      </c>
      <c r="AG94" s="32" t="s">
        <v>1991</v>
      </c>
      <c r="AH94" s="32" t="s">
        <v>1991</v>
      </c>
      <c r="AI94" s="32" t="s">
        <v>1991</v>
      </c>
      <c r="AJ94" s="32" t="s">
        <v>1991</v>
      </c>
      <c r="AK94" s="506" t="s">
        <v>1991</v>
      </c>
      <c r="AL94" s="327"/>
      <c r="AM94" s="327"/>
      <c r="AN94" s="327" t="s">
        <v>1991</v>
      </c>
      <c r="AO94" s="327" t="s">
        <v>1991</v>
      </c>
      <c r="AP94" s="327"/>
      <c r="AQ94" s="327"/>
      <c r="AR94" s="327"/>
      <c r="AS94" s="327" t="s">
        <v>1991</v>
      </c>
      <c r="AT94" s="327" t="s">
        <v>1991</v>
      </c>
      <c r="AU94" s="327"/>
      <c r="AV94" s="327"/>
      <c r="AW94" s="327"/>
      <c r="AX94" s="327"/>
      <c r="AY94" s="327"/>
      <c r="AZ94" s="327"/>
      <c r="BA94" s="327"/>
      <c r="BB94" s="46">
        <f t="shared" si="23"/>
        <v>15</v>
      </c>
      <c r="BC94" s="46">
        <f t="shared" si="24"/>
        <v>14</v>
      </c>
      <c r="BD94" s="46">
        <f t="shared" si="36"/>
        <v>4</v>
      </c>
      <c r="BE94" s="46">
        <f t="shared" si="25"/>
        <v>0</v>
      </c>
      <c r="BF94" s="296">
        <f t="shared" si="26"/>
        <v>29</v>
      </c>
      <c r="BG94" s="26"/>
      <c r="BH94" s="2"/>
      <c r="BI94" s="2"/>
      <c r="BJ94" s="2"/>
      <c r="BK94" s="279">
        <f t="shared" si="27"/>
        <v>1</v>
      </c>
      <c r="BL94" s="279">
        <f t="shared" si="28"/>
        <v>29</v>
      </c>
      <c r="BM94" s="279"/>
      <c r="BN94" s="279"/>
      <c r="BO94" s="2">
        <f t="shared" si="29"/>
        <v>29</v>
      </c>
      <c r="BP94" s="430"/>
      <c r="BQ94" s="431"/>
      <c r="BR94" s="2"/>
      <c r="BS94" s="25"/>
      <c r="BT94" s="348">
        <f t="shared" si="37"/>
        <v>1</v>
      </c>
      <c r="BU94" s="2"/>
      <c r="BV94" s="282">
        <f t="shared" si="34"/>
        <v>0</v>
      </c>
      <c r="BW94" s="279"/>
      <c r="BX94" s="269">
        <f t="shared" si="35"/>
        <v>0</v>
      </c>
      <c r="BY94" s="349" t="e">
        <f>#N/A</f>
        <v>#N/A</v>
      </c>
      <c r="BZ94" s="349" t="e">
        <f>#N/A</f>
        <v>#N/A</v>
      </c>
      <c r="CA94" s="349" t="e">
        <f>#N/A</f>
        <v>#N/A</v>
      </c>
      <c r="CB94" s="351" t="e">
        <f>#N/A</f>
        <v>#N/A</v>
      </c>
      <c r="CC94" s="349" t="e">
        <f t="shared" si="30"/>
        <v>#N/A</v>
      </c>
      <c r="CD94" s="14" t="e">
        <f t="shared" si="31"/>
        <v>#N/A</v>
      </c>
      <c r="CE94" s="14">
        <f t="shared" si="32"/>
        <v>29</v>
      </c>
      <c r="CF94" s="25">
        <f t="shared" si="33"/>
        <v>1</v>
      </c>
      <c r="CG94" s="270"/>
      <c r="CH94" s="2"/>
      <c r="CL94" s="349"/>
      <c r="CM94" s="349"/>
      <c r="CN94" s="349"/>
      <c r="CO94" s="349"/>
      <c r="CP94" s="349"/>
      <c r="CQ94" s="14"/>
      <c r="CY94" s="2"/>
    </row>
    <row r="95" spans="1:103" s="1" customFormat="1" ht="29.4" customHeight="1">
      <c r="A95" s="46">
        <v>89</v>
      </c>
      <c r="B95" s="46">
        <v>5</v>
      </c>
      <c r="C95" s="46">
        <v>178</v>
      </c>
      <c r="D95" s="48"/>
      <c r="E95" s="48"/>
      <c r="F95" s="46"/>
      <c r="G95" s="310" t="s">
        <v>1991</v>
      </c>
      <c r="H95" s="310" t="s">
        <v>1991</v>
      </c>
      <c r="I95" s="310" t="s">
        <v>1991</v>
      </c>
      <c r="J95" s="310" t="s">
        <v>1991</v>
      </c>
      <c r="K95" s="310" t="s">
        <v>1991</v>
      </c>
      <c r="L95" s="310" t="s">
        <v>1991</v>
      </c>
      <c r="M95" s="310" t="s">
        <v>1991</v>
      </c>
      <c r="N95" s="310" t="s">
        <v>1991</v>
      </c>
      <c r="O95" s="310" t="s">
        <v>1991</v>
      </c>
      <c r="P95" s="310" t="s">
        <v>1991</v>
      </c>
      <c r="Q95" s="310" t="s">
        <v>1991</v>
      </c>
      <c r="R95" s="310" t="s">
        <v>1991</v>
      </c>
      <c r="S95" s="310" t="s">
        <v>1991</v>
      </c>
      <c r="T95" s="505" t="s">
        <v>1991</v>
      </c>
      <c r="U95" s="310" t="s">
        <v>1991</v>
      </c>
      <c r="V95" s="32" t="s">
        <v>1991</v>
      </c>
      <c r="W95" s="506" t="s">
        <v>1991</v>
      </c>
      <c r="X95" s="506" t="s">
        <v>1991</v>
      </c>
      <c r="Y95" s="506">
        <v>0</v>
      </c>
      <c r="Z95" s="32" t="s">
        <v>1991</v>
      </c>
      <c r="AA95" s="32" t="s">
        <v>1991</v>
      </c>
      <c r="AB95" s="32" t="s">
        <v>1991</v>
      </c>
      <c r="AC95" s="32" t="s">
        <v>1991</v>
      </c>
      <c r="AD95" s="32" t="s">
        <v>1991</v>
      </c>
      <c r="AE95" s="506" t="s">
        <v>1991</v>
      </c>
      <c r="AF95" s="506" t="s">
        <v>1991</v>
      </c>
      <c r="AG95" s="32" t="s">
        <v>1991</v>
      </c>
      <c r="AH95" s="32" t="s">
        <v>1991</v>
      </c>
      <c r="AI95" s="32" t="s">
        <v>1991</v>
      </c>
      <c r="AJ95" s="32" t="s">
        <v>1991</v>
      </c>
      <c r="AK95" s="506" t="s">
        <v>1991</v>
      </c>
      <c r="AL95" s="327"/>
      <c r="AM95" s="327"/>
      <c r="AN95" s="327" t="s">
        <v>1991</v>
      </c>
      <c r="AO95" s="327" t="s">
        <v>1991</v>
      </c>
      <c r="AP95" s="327"/>
      <c r="AQ95" s="327"/>
      <c r="AR95" s="327"/>
      <c r="AS95" s="327" t="s">
        <v>1991</v>
      </c>
      <c r="AT95" s="327" t="s">
        <v>1991</v>
      </c>
      <c r="AU95" s="327"/>
      <c r="AV95" s="327"/>
      <c r="AW95" s="327"/>
      <c r="AX95" s="327"/>
      <c r="AY95" s="327"/>
      <c r="AZ95" s="327"/>
      <c r="BA95" s="327"/>
      <c r="BB95" s="46">
        <f t="shared" si="23"/>
        <v>15</v>
      </c>
      <c r="BC95" s="46">
        <f t="shared" si="24"/>
        <v>15</v>
      </c>
      <c r="BD95" s="46">
        <f t="shared" si="36"/>
        <v>4</v>
      </c>
      <c r="BE95" s="46">
        <f t="shared" si="25"/>
        <v>0</v>
      </c>
      <c r="BF95" s="296">
        <f t="shared" si="26"/>
        <v>30</v>
      </c>
      <c r="BG95" s="26"/>
      <c r="BH95" s="2"/>
      <c r="BI95" s="2"/>
      <c r="BJ95" s="2"/>
      <c r="BK95" s="279">
        <f t="shared" si="27"/>
        <v>1</v>
      </c>
      <c r="BL95" s="279">
        <f t="shared" si="28"/>
        <v>30</v>
      </c>
      <c r="BM95" s="279"/>
      <c r="BN95" s="279"/>
      <c r="BO95" s="2">
        <f t="shared" si="29"/>
        <v>30</v>
      </c>
      <c r="BP95" s="430"/>
      <c r="BQ95" s="431"/>
      <c r="BR95" s="2"/>
      <c r="BS95" s="25"/>
      <c r="BT95" s="348">
        <f t="shared" si="37"/>
        <v>1</v>
      </c>
      <c r="BU95" s="2"/>
      <c r="BV95" s="282">
        <f t="shared" si="34"/>
        <v>0</v>
      </c>
      <c r="BW95" s="279"/>
      <c r="BX95" s="269">
        <f t="shared" si="35"/>
        <v>0</v>
      </c>
      <c r="BY95" s="349" t="e">
        <f>#N/A</f>
        <v>#N/A</v>
      </c>
      <c r="BZ95" s="349" t="e">
        <f>#N/A</f>
        <v>#N/A</v>
      </c>
      <c r="CA95" s="349" t="e">
        <f>#N/A</f>
        <v>#N/A</v>
      </c>
      <c r="CB95" s="351" t="e">
        <f>#N/A</f>
        <v>#N/A</v>
      </c>
      <c r="CC95" s="349" t="e">
        <f t="shared" si="30"/>
        <v>#N/A</v>
      </c>
      <c r="CD95" s="14" t="e">
        <f t="shared" si="31"/>
        <v>#N/A</v>
      </c>
      <c r="CE95" s="14">
        <f t="shared" si="32"/>
        <v>30</v>
      </c>
      <c r="CF95" s="25">
        <f t="shared" si="33"/>
        <v>1</v>
      </c>
      <c r="CG95" s="270"/>
      <c r="CH95" s="2"/>
      <c r="CL95" s="349"/>
      <c r="CM95" s="349"/>
      <c r="CN95" s="349"/>
      <c r="CO95" s="349"/>
      <c r="CP95" s="349"/>
      <c r="CQ95" s="14"/>
      <c r="CY95" s="2"/>
    </row>
    <row r="96" spans="1:103" s="1" customFormat="1" ht="29.4" customHeight="1">
      <c r="A96" s="46">
        <v>90</v>
      </c>
      <c r="B96" s="46">
        <v>5</v>
      </c>
      <c r="C96" s="46">
        <v>179</v>
      </c>
      <c r="D96" s="48"/>
      <c r="E96" s="48"/>
      <c r="F96" s="46"/>
      <c r="G96" s="310">
        <v>0</v>
      </c>
      <c r="H96" s="310" t="s">
        <v>1991</v>
      </c>
      <c r="I96" s="310" t="s">
        <v>1991</v>
      </c>
      <c r="J96" s="310" t="s">
        <v>1991</v>
      </c>
      <c r="K96" s="310" t="s">
        <v>1991</v>
      </c>
      <c r="L96" s="310" t="s">
        <v>1991</v>
      </c>
      <c r="M96" s="310" t="s">
        <v>1991</v>
      </c>
      <c r="N96" s="310">
        <v>0</v>
      </c>
      <c r="O96" s="310" t="s">
        <v>1991</v>
      </c>
      <c r="P96" s="310" t="s">
        <v>1991</v>
      </c>
      <c r="Q96" s="310" t="s">
        <v>1991</v>
      </c>
      <c r="R96" s="310" t="s">
        <v>1991</v>
      </c>
      <c r="S96" s="310" t="s">
        <v>1991</v>
      </c>
      <c r="T96" s="505" t="s">
        <v>1991</v>
      </c>
      <c r="U96" s="310" t="s">
        <v>1991</v>
      </c>
      <c r="V96" s="32" t="s">
        <v>1991</v>
      </c>
      <c r="W96" s="506" t="s">
        <v>1991</v>
      </c>
      <c r="X96" s="506" t="s">
        <v>1991</v>
      </c>
      <c r="Y96" s="506" t="s">
        <v>1991</v>
      </c>
      <c r="Z96" s="32" t="s">
        <v>1991</v>
      </c>
      <c r="AA96" s="32" t="s">
        <v>1991</v>
      </c>
      <c r="AB96" s="32" t="s">
        <v>1991</v>
      </c>
      <c r="AC96" s="32" t="s">
        <v>1991</v>
      </c>
      <c r="AD96" s="32" t="s">
        <v>1991</v>
      </c>
      <c r="AE96" s="506" t="s">
        <v>1991</v>
      </c>
      <c r="AF96" s="506" t="s">
        <v>1991</v>
      </c>
      <c r="AG96" s="32" t="s">
        <v>1991</v>
      </c>
      <c r="AH96" s="32" t="s">
        <v>1991</v>
      </c>
      <c r="AI96" s="32">
        <v>0</v>
      </c>
      <c r="AJ96" s="32" t="s">
        <v>1991</v>
      </c>
      <c r="AK96" s="506" t="s">
        <v>1991</v>
      </c>
      <c r="AL96" s="327"/>
      <c r="AM96" s="327"/>
      <c r="AN96" s="327" t="s">
        <v>1991</v>
      </c>
      <c r="AO96" s="327" t="s">
        <v>1991</v>
      </c>
      <c r="AP96" s="327"/>
      <c r="AQ96" s="327"/>
      <c r="AR96" s="327"/>
      <c r="AS96" s="327" t="s">
        <v>1991</v>
      </c>
      <c r="AT96" s="327" t="s">
        <v>1991</v>
      </c>
      <c r="AU96" s="327"/>
      <c r="AV96" s="327"/>
      <c r="AW96" s="327"/>
      <c r="AX96" s="327"/>
      <c r="AY96" s="327"/>
      <c r="AZ96" s="327"/>
      <c r="BA96" s="327"/>
      <c r="BB96" s="46">
        <f t="shared" si="23"/>
        <v>13</v>
      </c>
      <c r="BC96" s="46">
        <f t="shared" si="24"/>
        <v>15</v>
      </c>
      <c r="BD96" s="46">
        <f t="shared" si="36"/>
        <v>4</v>
      </c>
      <c r="BE96" s="46">
        <f t="shared" si="25"/>
        <v>0</v>
      </c>
      <c r="BF96" s="296">
        <f t="shared" si="26"/>
        <v>28</v>
      </c>
      <c r="BG96" s="26"/>
      <c r="BH96" s="2"/>
      <c r="BI96" s="2"/>
      <c r="BJ96" s="2"/>
      <c r="BK96" s="279">
        <f t="shared" si="27"/>
        <v>1</v>
      </c>
      <c r="BL96" s="279">
        <f t="shared" si="28"/>
        <v>28</v>
      </c>
      <c r="BM96" s="279"/>
      <c r="BN96" s="279"/>
      <c r="BO96" s="2">
        <f t="shared" si="29"/>
        <v>28</v>
      </c>
      <c r="BP96" s="430"/>
      <c r="BQ96" s="431"/>
      <c r="BR96" s="2"/>
      <c r="BS96" s="25"/>
      <c r="BT96" s="348">
        <f t="shared" si="37"/>
        <v>1</v>
      </c>
      <c r="BU96" s="2"/>
      <c r="BV96" s="282">
        <f t="shared" si="34"/>
        <v>0</v>
      </c>
      <c r="BW96" s="279"/>
      <c r="BX96" s="269">
        <f t="shared" si="35"/>
        <v>0</v>
      </c>
      <c r="BY96" s="349" t="e">
        <f>#N/A</f>
        <v>#N/A</v>
      </c>
      <c r="BZ96" s="349" t="e">
        <f>#N/A</f>
        <v>#N/A</v>
      </c>
      <c r="CA96" s="349" t="e">
        <f>#N/A</f>
        <v>#N/A</v>
      </c>
      <c r="CB96" s="351" t="e">
        <f>#N/A</f>
        <v>#N/A</v>
      </c>
      <c r="CC96" s="349" t="e">
        <f t="shared" si="30"/>
        <v>#N/A</v>
      </c>
      <c r="CD96" s="14" t="e">
        <f t="shared" si="31"/>
        <v>#N/A</v>
      </c>
      <c r="CE96" s="14">
        <f t="shared" si="32"/>
        <v>28</v>
      </c>
      <c r="CF96" s="25">
        <f t="shared" si="33"/>
        <v>1</v>
      </c>
      <c r="CG96" s="270"/>
      <c r="CH96" s="2"/>
      <c r="CL96" s="349"/>
      <c r="CM96" s="349"/>
      <c r="CN96" s="349"/>
      <c r="CO96" s="349"/>
      <c r="CP96" s="349"/>
      <c r="CQ96" s="14"/>
      <c r="CY96" s="2"/>
    </row>
    <row r="97" spans="1:103" s="1" customFormat="1" ht="29.4" customHeight="1">
      <c r="A97" s="46">
        <v>91</v>
      </c>
      <c r="B97" s="46">
        <v>5</v>
      </c>
      <c r="C97" s="46">
        <v>180</v>
      </c>
      <c r="D97" s="48"/>
      <c r="E97" s="48"/>
      <c r="F97" s="46"/>
      <c r="G97" s="310" t="s">
        <v>1991</v>
      </c>
      <c r="H97" s="310" t="s">
        <v>1991</v>
      </c>
      <c r="I97" s="310" t="s">
        <v>1991</v>
      </c>
      <c r="J97" s="310" t="s">
        <v>1991</v>
      </c>
      <c r="K97" s="310" t="s">
        <v>1991</v>
      </c>
      <c r="L97" s="310" t="s">
        <v>1991</v>
      </c>
      <c r="M97" s="310" t="s">
        <v>1991</v>
      </c>
      <c r="N97" s="310" t="s">
        <v>1991</v>
      </c>
      <c r="O97" s="310" t="s">
        <v>1991</v>
      </c>
      <c r="P97" s="310" t="s">
        <v>1991</v>
      </c>
      <c r="Q97" s="310" t="s">
        <v>1991</v>
      </c>
      <c r="R97" s="310" t="s">
        <v>1991</v>
      </c>
      <c r="S97" s="310" t="s">
        <v>1991</v>
      </c>
      <c r="T97" s="505" t="s">
        <v>1991</v>
      </c>
      <c r="U97" s="310" t="s">
        <v>1991</v>
      </c>
      <c r="V97" s="32" t="s">
        <v>1991</v>
      </c>
      <c r="W97" s="506" t="s">
        <v>1991</v>
      </c>
      <c r="X97" s="506" t="s">
        <v>1991</v>
      </c>
      <c r="Y97" s="506" t="s">
        <v>1991</v>
      </c>
      <c r="Z97" s="32" t="s">
        <v>1991</v>
      </c>
      <c r="AA97" s="32" t="s">
        <v>1991</v>
      </c>
      <c r="AB97" s="32" t="s">
        <v>1991</v>
      </c>
      <c r="AC97" s="32" t="s">
        <v>1991</v>
      </c>
      <c r="AD97" s="32" t="s">
        <v>1991</v>
      </c>
      <c r="AE97" s="506" t="s">
        <v>1991</v>
      </c>
      <c r="AF97" s="506" t="s">
        <v>1991</v>
      </c>
      <c r="AG97" s="32" t="s">
        <v>1991</v>
      </c>
      <c r="AH97" s="32" t="s">
        <v>1991</v>
      </c>
      <c r="AI97" s="32" t="s">
        <v>1991</v>
      </c>
      <c r="AJ97" s="32" t="s">
        <v>1991</v>
      </c>
      <c r="AK97" s="506" t="s">
        <v>1991</v>
      </c>
      <c r="AL97" s="327"/>
      <c r="AM97" s="327"/>
      <c r="AN97" s="327" t="s">
        <v>1991</v>
      </c>
      <c r="AO97" s="327" t="s">
        <v>1991</v>
      </c>
      <c r="AP97" s="327"/>
      <c r="AQ97" s="327"/>
      <c r="AR97" s="327"/>
      <c r="AS97" s="327" t="s">
        <v>1991</v>
      </c>
      <c r="AT97" s="327" t="s">
        <v>1991</v>
      </c>
      <c r="AU97" s="327"/>
      <c r="AV97" s="327"/>
      <c r="AW97" s="327"/>
      <c r="AX97" s="327"/>
      <c r="AY97" s="327"/>
      <c r="AZ97" s="327"/>
      <c r="BA97" s="327"/>
      <c r="BB97" s="46">
        <f t="shared" si="23"/>
        <v>15</v>
      </c>
      <c r="BC97" s="46">
        <f t="shared" si="24"/>
        <v>16</v>
      </c>
      <c r="BD97" s="46">
        <f t="shared" si="36"/>
        <v>4</v>
      </c>
      <c r="BE97" s="46">
        <f t="shared" si="25"/>
        <v>0</v>
      </c>
      <c r="BF97" s="296">
        <f t="shared" si="26"/>
        <v>31</v>
      </c>
      <c r="BG97" s="26"/>
      <c r="BH97" s="2"/>
      <c r="BI97" s="2"/>
      <c r="BJ97" s="2"/>
      <c r="BK97" s="279">
        <f t="shared" si="27"/>
        <v>1</v>
      </c>
      <c r="BL97" s="279">
        <f t="shared" si="28"/>
        <v>31</v>
      </c>
      <c r="BM97" s="279"/>
      <c r="BN97" s="279"/>
      <c r="BO97" s="2">
        <f t="shared" si="29"/>
        <v>31</v>
      </c>
      <c r="BP97" s="430"/>
      <c r="BQ97" s="431"/>
      <c r="BR97" s="2"/>
      <c r="BS97" s="25"/>
      <c r="BT97" s="348">
        <f t="shared" si="37"/>
        <v>1</v>
      </c>
      <c r="BU97" s="2"/>
      <c r="BV97" s="282">
        <f t="shared" si="34"/>
        <v>0</v>
      </c>
      <c r="BW97" s="279"/>
      <c r="BX97" s="269">
        <f t="shared" si="35"/>
        <v>0</v>
      </c>
      <c r="BY97" s="349" t="e">
        <f>#N/A</f>
        <v>#N/A</v>
      </c>
      <c r="BZ97" s="349" t="e">
        <f>#N/A</f>
        <v>#N/A</v>
      </c>
      <c r="CA97" s="349" t="e">
        <f>#N/A</f>
        <v>#N/A</v>
      </c>
      <c r="CB97" s="351" t="e">
        <f>#N/A</f>
        <v>#N/A</v>
      </c>
      <c r="CC97" s="349" t="e">
        <f t="shared" si="30"/>
        <v>#N/A</v>
      </c>
      <c r="CD97" s="14" t="e">
        <f t="shared" si="31"/>
        <v>#N/A</v>
      </c>
      <c r="CE97" s="14">
        <f t="shared" si="32"/>
        <v>31</v>
      </c>
      <c r="CF97" s="25">
        <f t="shared" si="33"/>
        <v>1</v>
      </c>
      <c r="CG97" s="270"/>
      <c r="CH97" s="2"/>
      <c r="CL97" s="349"/>
      <c r="CM97" s="349"/>
      <c r="CN97" s="349"/>
      <c r="CO97" s="349"/>
      <c r="CP97" s="349"/>
      <c r="CQ97" s="14"/>
      <c r="CY97" s="2"/>
    </row>
    <row r="98" spans="1:103" s="1" customFormat="1" ht="29.4" customHeight="1">
      <c r="A98" s="46">
        <v>92</v>
      </c>
      <c r="B98" s="46">
        <v>5</v>
      </c>
      <c r="C98" s="46">
        <v>181</v>
      </c>
      <c r="D98" s="48"/>
      <c r="E98" s="48"/>
      <c r="F98" s="46"/>
      <c r="G98" s="310" t="s">
        <v>1991</v>
      </c>
      <c r="H98" s="310" t="s">
        <v>1991</v>
      </c>
      <c r="I98" s="310" t="s">
        <v>1991</v>
      </c>
      <c r="J98" s="310" t="s">
        <v>1991</v>
      </c>
      <c r="K98" s="310" t="s">
        <v>1991</v>
      </c>
      <c r="L98" s="310" t="s">
        <v>1991</v>
      </c>
      <c r="M98" s="310" t="s">
        <v>1991</v>
      </c>
      <c r="N98" s="310" t="s">
        <v>1991</v>
      </c>
      <c r="O98" s="310" t="s">
        <v>1991</v>
      </c>
      <c r="P98" s="310" t="s">
        <v>1991</v>
      </c>
      <c r="Q98" s="310" t="s">
        <v>1991</v>
      </c>
      <c r="R98" s="310" t="s">
        <v>1991</v>
      </c>
      <c r="S98" s="310" t="s">
        <v>1991</v>
      </c>
      <c r="T98" s="505" t="s">
        <v>1991</v>
      </c>
      <c r="U98" s="310" t="s">
        <v>1991</v>
      </c>
      <c r="V98" s="32" t="s">
        <v>1991</v>
      </c>
      <c r="W98" s="506" t="s">
        <v>1991</v>
      </c>
      <c r="X98" s="506" t="s">
        <v>1991</v>
      </c>
      <c r="Y98" s="506" t="s">
        <v>1991</v>
      </c>
      <c r="Z98" s="32" t="s">
        <v>1991</v>
      </c>
      <c r="AA98" s="32" t="s">
        <v>1991</v>
      </c>
      <c r="AB98" s="32" t="s">
        <v>1991</v>
      </c>
      <c r="AC98" s="32" t="s">
        <v>1991</v>
      </c>
      <c r="AD98" s="32" t="s">
        <v>1991</v>
      </c>
      <c r="AE98" s="506" t="s">
        <v>1991</v>
      </c>
      <c r="AF98" s="506" t="s">
        <v>1991</v>
      </c>
      <c r="AG98" s="32" t="s">
        <v>1991</v>
      </c>
      <c r="AH98" s="32" t="s">
        <v>1991</v>
      </c>
      <c r="AI98" s="32" t="s">
        <v>1991</v>
      </c>
      <c r="AJ98" s="32" t="s">
        <v>1991</v>
      </c>
      <c r="AK98" s="506" t="s">
        <v>1991</v>
      </c>
      <c r="AL98" s="327"/>
      <c r="AM98" s="327"/>
      <c r="AN98" s="327" t="s">
        <v>1991</v>
      </c>
      <c r="AO98" s="327" t="s">
        <v>1991</v>
      </c>
      <c r="AP98" s="327"/>
      <c r="AQ98" s="327"/>
      <c r="AR98" s="327"/>
      <c r="AS98" s="327" t="s">
        <v>1991</v>
      </c>
      <c r="AT98" s="327" t="s">
        <v>1991</v>
      </c>
      <c r="AU98" s="327"/>
      <c r="AV98" s="327"/>
      <c r="AW98" s="327"/>
      <c r="AX98" s="327"/>
      <c r="AY98" s="327"/>
      <c r="AZ98" s="327"/>
      <c r="BA98" s="327"/>
      <c r="BB98" s="46">
        <f t="shared" si="23"/>
        <v>15</v>
      </c>
      <c r="BC98" s="46">
        <f t="shared" si="24"/>
        <v>16</v>
      </c>
      <c r="BD98" s="46">
        <f t="shared" si="36"/>
        <v>4</v>
      </c>
      <c r="BE98" s="46">
        <f t="shared" si="25"/>
        <v>0</v>
      </c>
      <c r="BF98" s="296">
        <f t="shared" si="26"/>
        <v>31</v>
      </c>
      <c r="BG98" s="26"/>
      <c r="BH98" s="2"/>
      <c r="BI98" s="2"/>
      <c r="BJ98" s="2"/>
      <c r="BK98" s="279">
        <f t="shared" si="27"/>
        <v>1</v>
      </c>
      <c r="BL98" s="279">
        <f t="shared" si="28"/>
        <v>31</v>
      </c>
      <c r="BM98" s="279"/>
      <c r="BN98" s="279"/>
      <c r="BO98" s="2">
        <f t="shared" si="29"/>
        <v>31</v>
      </c>
      <c r="BP98" s="430"/>
      <c r="BQ98" s="431"/>
      <c r="BR98" s="2"/>
      <c r="BS98" s="25"/>
      <c r="BT98" s="348">
        <f t="shared" si="37"/>
        <v>1</v>
      </c>
      <c r="BU98" s="2"/>
      <c r="BV98" s="282">
        <f t="shared" si="34"/>
        <v>0</v>
      </c>
      <c r="BW98" s="279"/>
      <c r="BX98" s="269">
        <f t="shared" si="35"/>
        <v>0</v>
      </c>
      <c r="BY98" s="349" t="e">
        <f>#N/A</f>
        <v>#N/A</v>
      </c>
      <c r="BZ98" s="349" t="e">
        <f>#N/A</f>
        <v>#N/A</v>
      </c>
      <c r="CA98" s="349" t="e">
        <f>#N/A</f>
        <v>#N/A</v>
      </c>
      <c r="CB98" s="351" t="e">
        <f>#N/A</f>
        <v>#N/A</v>
      </c>
      <c r="CC98" s="349" t="e">
        <f t="shared" si="30"/>
        <v>#N/A</v>
      </c>
      <c r="CD98" s="14" t="e">
        <f t="shared" si="31"/>
        <v>#N/A</v>
      </c>
      <c r="CE98" s="14">
        <f t="shared" si="32"/>
        <v>31</v>
      </c>
      <c r="CF98" s="25">
        <f t="shared" si="33"/>
        <v>1</v>
      </c>
      <c r="CG98" s="270"/>
      <c r="CH98" s="2"/>
      <c r="CL98" s="349"/>
      <c r="CM98" s="349"/>
      <c r="CN98" s="349"/>
      <c r="CO98" s="349"/>
      <c r="CP98" s="349"/>
      <c r="CQ98" s="14"/>
      <c r="CY98" s="2"/>
    </row>
    <row r="99" spans="1:103" s="1" customFormat="1" ht="29.4" customHeight="1">
      <c r="A99" s="46">
        <v>93</v>
      </c>
      <c r="B99" s="46">
        <v>5</v>
      </c>
      <c r="C99" s="46">
        <v>182</v>
      </c>
      <c r="D99" s="48"/>
      <c r="E99" s="48"/>
      <c r="F99" s="46"/>
      <c r="G99" s="310" t="s">
        <v>1991</v>
      </c>
      <c r="H99" s="310" t="s">
        <v>1991</v>
      </c>
      <c r="I99" s="310" t="s">
        <v>1991</v>
      </c>
      <c r="J99" s="310" t="s">
        <v>1991</v>
      </c>
      <c r="K99" s="310" t="s">
        <v>1991</v>
      </c>
      <c r="L99" s="310" t="s">
        <v>1991</v>
      </c>
      <c r="M99" s="310" t="s">
        <v>1991</v>
      </c>
      <c r="N99" s="310" t="s">
        <v>1991</v>
      </c>
      <c r="O99" s="310" t="s">
        <v>1991</v>
      </c>
      <c r="P99" s="310" t="s">
        <v>1991</v>
      </c>
      <c r="Q99" s="310" t="s">
        <v>1991</v>
      </c>
      <c r="R99" s="310" t="s">
        <v>1991</v>
      </c>
      <c r="S99" s="310" t="s">
        <v>1991</v>
      </c>
      <c r="T99" s="505" t="s">
        <v>1991</v>
      </c>
      <c r="U99" s="310" t="s">
        <v>1991</v>
      </c>
      <c r="V99" s="32" t="s">
        <v>1991</v>
      </c>
      <c r="W99" s="506">
        <v>0</v>
      </c>
      <c r="X99" s="506" t="s">
        <v>1991</v>
      </c>
      <c r="Y99" s="506" t="s">
        <v>1991</v>
      </c>
      <c r="Z99" s="32" t="s">
        <v>1991</v>
      </c>
      <c r="AA99" s="32" t="s">
        <v>1991</v>
      </c>
      <c r="AB99" s="32" t="s">
        <v>1991</v>
      </c>
      <c r="AC99" s="32" t="s">
        <v>1991</v>
      </c>
      <c r="AD99" s="32" t="s">
        <v>1991</v>
      </c>
      <c r="AE99" s="506" t="s">
        <v>1991</v>
      </c>
      <c r="AF99" s="506" t="s">
        <v>1991</v>
      </c>
      <c r="AG99" s="32" t="s">
        <v>1991</v>
      </c>
      <c r="AH99" s="32" t="s">
        <v>1991</v>
      </c>
      <c r="AI99" s="32" t="s">
        <v>1991</v>
      </c>
      <c r="AJ99" s="32" t="s">
        <v>1991</v>
      </c>
      <c r="AK99" s="506" t="s">
        <v>1991</v>
      </c>
      <c r="AL99" s="327"/>
      <c r="AM99" s="327"/>
      <c r="AN99" s="327" t="s">
        <v>1991</v>
      </c>
      <c r="AO99" s="327" t="s">
        <v>1991</v>
      </c>
      <c r="AP99" s="327"/>
      <c r="AQ99" s="327"/>
      <c r="AR99" s="327"/>
      <c r="AS99" s="327" t="s">
        <v>1991</v>
      </c>
      <c r="AT99" s="327" t="s">
        <v>1991</v>
      </c>
      <c r="AU99" s="327"/>
      <c r="AV99" s="327"/>
      <c r="AW99" s="327"/>
      <c r="AX99" s="327"/>
      <c r="AY99" s="327"/>
      <c r="AZ99" s="327"/>
      <c r="BA99" s="327"/>
      <c r="BB99" s="46">
        <f t="shared" si="23"/>
        <v>15</v>
      </c>
      <c r="BC99" s="46">
        <f t="shared" si="24"/>
        <v>15</v>
      </c>
      <c r="BD99" s="46">
        <f t="shared" si="36"/>
        <v>4</v>
      </c>
      <c r="BE99" s="46">
        <f t="shared" si="25"/>
        <v>0</v>
      </c>
      <c r="BF99" s="296">
        <f t="shared" si="26"/>
        <v>30</v>
      </c>
      <c r="BG99" s="26"/>
      <c r="BH99" s="2"/>
      <c r="BI99" s="2"/>
      <c r="BJ99" s="2"/>
      <c r="BK99" s="279">
        <f t="shared" si="27"/>
        <v>1</v>
      </c>
      <c r="BL99" s="279">
        <f t="shared" si="28"/>
        <v>30</v>
      </c>
      <c r="BM99" s="279"/>
      <c r="BN99" s="279"/>
      <c r="BO99" s="2">
        <f t="shared" si="29"/>
        <v>30</v>
      </c>
      <c r="BP99" s="430"/>
      <c r="BQ99" s="431"/>
      <c r="BR99" s="2"/>
      <c r="BS99" s="25"/>
      <c r="BT99" s="348">
        <f t="shared" si="37"/>
        <v>1</v>
      </c>
      <c r="BU99" s="2"/>
      <c r="BV99" s="282">
        <f t="shared" si="34"/>
        <v>0</v>
      </c>
      <c r="BW99" s="279"/>
      <c r="BX99" s="269">
        <f t="shared" si="35"/>
        <v>0</v>
      </c>
      <c r="BY99" s="349" t="e">
        <f>#N/A</f>
        <v>#N/A</v>
      </c>
      <c r="BZ99" s="349" t="e">
        <f>#N/A</f>
        <v>#N/A</v>
      </c>
      <c r="CA99" s="349" t="e">
        <f>#N/A</f>
        <v>#N/A</v>
      </c>
      <c r="CB99" s="351" t="e">
        <f>#N/A</f>
        <v>#N/A</v>
      </c>
      <c r="CC99" s="349" t="e">
        <f t="shared" si="30"/>
        <v>#N/A</v>
      </c>
      <c r="CD99" s="14" t="e">
        <f t="shared" si="31"/>
        <v>#N/A</v>
      </c>
      <c r="CE99" s="14">
        <f t="shared" si="32"/>
        <v>30</v>
      </c>
      <c r="CF99" s="25">
        <f t="shared" si="33"/>
        <v>1</v>
      </c>
      <c r="CG99" s="270"/>
      <c r="CH99" s="2"/>
      <c r="CL99" s="349"/>
      <c r="CM99" s="349"/>
      <c r="CN99" s="349"/>
      <c r="CO99" s="349"/>
      <c r="CP99" s="349"/>
      <c r="CQ99" s="14"/>
      <c r="CY99" s="2"/>
    </row>
    <row r="100" spans="1:103" s="1" customFormat="1" ht="29.4" customHeight="1">
      <c r="A100" s="46">
        <v>94</v>
      </c>
      <c r="B100" s="46">
        <v>5</v>
      </c>
      <c r="C100" s="46">
        <v>183</v>
      </c>
      <c r="D100" s="48"/>
      <c r="E100" s="48"/>
      <c r="F100" s="46"/>
      <c r="G100" s="310" t="s">
        <v>1991</v>
      </c>
      <c r="H100" s="310" t="s">
        <v>1991</v>
      </c>
      <c r="I100" s="310" t="s">
        <v>1991</v>
      </c>
      <c r="J100" s="310" t="s">
        <v>1991</v>
      </c>
      <c r="K100" s="310" t="s">
        <v>1991</v>
      </c>
      <c r="L100" s="310" t="s">
        <v>1991</v>
      </c>
      <c r="M100" s="310" t="s">
        <v>1991</v>
      </c>
      <c r="N100" s="310" t="s">
        <v>1991</v>
      </c>
      <c r="O100" s="310" t="s">
        <v>1991</v>
      </c>
      <c r="P100" s="310" t="s">
        <v>1991</v>
      </c>
      <c r="Q100" s="310" t="s">
        <v>1991</v>
      </c>
      <c r="R100" s="310" t="s">
        <v>1991</v>
      </c>
      <c r="S100" s="310" t="s">
        <v>1991</v>
      </c>
      <c r="T100" s="505" t="s">
        <v>1991</v>
      </c>
      <c r="U100" s="310" t="s">
        <v>1991</v>
      </c>
      <c r="V100" s="32" t="s">
        <v>1991</v>
      </c>
      <c r="W100" s="506" t="s">
        <v>1991</v>
      </c>
      <c r="X100" s="506" t="s">
        <v>1991</v>
      </c>
      <c r="Y100" s="506" t="s">
        <v>1991</v>
      </c>
      <c r="Z100" s="32" t="s">
        <v>1991</v>
      </c>
      <c r="AA100" s="32" t="s">
        <v>1991</v>
      </c>
      <c r="AB100" s="32" t="s">
        <v>1991</v>
      </c>
      <c r="AC100" s="32" t="s">
        <v>1991</v>
      </c>
      <c r="AD100" s="32" t="s">
        <v>1991</v>
      </c>
      <c r="AE100" s="506" t="s">
        <v>1991</v>
      </c>
      <c r="AF100" s="506" t="s">
        <v>1991</v>
      </c>
      <c r="AG100" s="32" t="s">
        <v>1991</v>
      </c>
      <c r="AH100" s="32" t="s">
        <v>1991</v>
      </c>
      <c r="AI100" s="32" t="s">
        <v>1991</v>
      </c>
      <c r="AJ100" s="32" t="s">
        <v>1991</v>
      </c>
      <c r="AK100" s="506" t="s">
        <v>1991</v>
      </c>
      <c r="AL100" s="327"/>
      <c r="AM100" s="327"/>
      <c r="AN100" s="327" t="s">
        <v>1991</v>
      </c>
      <c r="AO100" s="327" t="s">
        <v>1991</v>
      </c>
      <c r="AP100" s="327"/>
      <c r="AQ100" s="327"/>
      <c r="AR100" s="327"/>
      <c r="AS100" s="327" t="s">
        <v>1991</v>
      </c>
      <c r="AT100" s="327" t="s">
        <v>1991</v>
      </c>
      <c r="AU100" s="327"/>
      <c r="AV100" s="327"/>
      <c r="AW100" s="327"/>
      <c r="AX100" s="327"/>
      <c r="AY100" s="327"/>
      <c r="AZ100" s="327"/>
      <c r="BA100" s="327"/>
      <c r="BB100" s="46">
        <f t="shared" si="23"/>
        <v>15</v>
      </c>
      <c r="BC100" s="46">
        <f t="shared" si="24"/>
        <v>16</v>
      </c>
      <c r="BD100" s="46">
        <f t="shared" si="36"/>
        <v>4</v>
      </c>
      <c r="BE100" s="46">
        <f t="shared" si="25"/>
        <v>0</v>
      </c>
      <c r="BF100" s="296">
        <f t="shared" si="26"/>
        <v>31</v>
      </c>
      <c r="BG100" s="26"/>
      <c r="BH100" s="2"/>
      <c r="BI100" s="2"/>
      <c r="BJ100" s="2"/>
      <c r="BK100" s="279">
        <f t="shared" si="27"/>
        <v>1</v>
      </c>
      <c r="BL100" s="279">
        <f t="shared" si="28"/>
        <v>31</v>
      </c>
      <c r="BM100" s="279"/>
      <c r="BN100" s="279"/>
      <c r="BO100" s="2">
        <f t="shared" si="29"/>
        <v>31</v>
      </c>
      <c r="BP100" s="430"/>
      <c r="BQ100" s="431"/>
      <c r="BR100" s="2"/>
      <c r="BS100" s="25"/>
      <c r="BT100" s="348">
        <f t="shared" si="37"/>
        <v>1</v>
      </c>
      <c r="BU100" s="2"/>
      <c r="BV100" s="282">
        <f t="shared" si="34"/>
        <v>0</v>
      </c>
      <c r="BW100" s="279"/>
      <c r="BX100" s="269">
        <f t="shared" si="35"/>
        <v>0</v>
      </c>
      <c r="BY100" s="349" t="e">
        <f>#N/A</f>
        <v>#N/A</v>
      </c>
      <c r="BZ100" s="349" t="e">
        <f>#N/A</f>
        <v>#N/A</v>
      </c>
      <c r="CA100" s="349" t="e">
        <f>#N/A</f>
        <v>#N/A</v>
      </c>
      <c r="CB100" s="351" t="e">
        <f>#N/A</f>
        <v>#N/A</v>
      </c>
      <c r="CC100" s="349" t="e">
        <f t="shared" si="30"/>
        <v>#N/A</v>
      </c>
      <c r="CD100" s="14" t="e">
        <f t="shared" si="31"/>
        <v>#N/A</v>
      </c>
      <c r="CE100" s="14">
        <f t="shared" si="32"/>
        <v>31</v>
      </c>
      <c r="CF100" s="25">
        <f t="shared" si="33"/>
        <v>1</v>
      </c>
      <c r="CG100" s="270"/>
      <c r="CH100" s="2"/>
      <c r="CL100" s="349"/>
      <c r="CM100" s="349"/>
      <c r="CN100" s="349"/>
      <c r="CO100" s="349"/>
      <c r="CP100" s="349"/>
      <c r="CQ100" s="14"/>
      <c r="CY100" s="2"/>
    </row>
    <row r="101" spans="1:103" s="1" customFormat="1" ht="29.4" customHeight="1">
      <c r="A101" s="46">
        <v>95</v>
      </c>
      <c r="B101" s="46">
        <v>5</v>
      </c>
      <c r="C101" s="46">
        <v>184</v>
      </c>
      <c r="D101" s="48"/>
      <c r="E101" s="48"/>
      <c r="F101" s="46"/>
      <c r="G101" s="310" t="s">
        <v>1991</v>
      </c>
      <c r="H101" s="310" t="s">
        <v>1991</v>
      </c>
      <c r="I101" s="310" t="s">
        <v>1991</v>
      </c>
      <c r="J101" s="310">
        <v>0</v>
      </c>
      <c r="K101" s="310" t="s">
        <v>1991</v>
      </c>
      <c r="L101" s="310" t="s">
        <v>1991</v>
      </c>
      <c r="M101" s="310" t="s">
        <v>1991</v>
      </c>
      <c r="N101" s="310" t="s">
        <v>1991</v>
      </c>
      <c r="O101" s="310" t="s">
        <v>1991</v>
      </c>
      <c r="P101" s="310" t="s">
        <v>1991</v>
      </c>
      <c r="Q101" s="310" t="s">
        <v>1991</v>
      </c>
      <c r="R101" s="310" t="s">
        <v>1991</v>
      </c>
      <c r="S101" s="310" t="s">
        <v>1991</v>
      </c>
      <c r="T101" s="505" t="s">
        <v>1991</v>
      </c>
      <c r="U101" s="310" t="s">
        <v>1991</v>
      </c>
      <c r="V101" s="32" t="s">
        <v>1991</v>
      </c>
      <c r="W101" s="506" t="s">
        <v>1991</v>
      </c>
      <c r="X101" s="506" t="s">
        <v>1991</v>
      </c>
      <c r="Y101" s="506" t="s">
        <v>1991</v>
      </c>
      <c r="Z101" s="32" t="s">
        <v>1991</v>
      </c>
      <c r="AA101" s="32" t="s">
        <v>1991</v>
      </c>
      <c r="AB101" s="32" t="s">
        <v>1991</v>
      </c>
      <c r="AC101" s="32" t="s">
        <v>1991</v>
      </c>
      <c r="AD101" s="32" t="s">
        <v>1991</v>
      </c>
      <c r="AE101" s="506" t="s">
        <v>1991</v>
      </c>
      <c r="AF101" s="506" t="s">
        <v>1991</v>
      </c>
      <c r="AG101" s="32" t="s">
        <v>1991</v>
      </c>
      <c r="AH101" s="32" t="s">
        <v>1991</v>
      </c>
      <c r="AI101" s="32" t="s">
        <v>1991</v>
      </c>
      <c r="AJ101" s="32" t="s">
        <v>1991</v>
      </c>
      <c r="AK101" s="506" t="s">
        <v>1991</v>
      </c>
      <c r="AL101" s="327"/>
      <c r="AM101" s="327"/>
      <c r="AN101" s="327" t="s">
        <v>1991</v>
      </c>
      <c r="AO101" s="327" t="s">
        <v>1991</v>
      </c>
      <c r="AP101" s="327"/>
      <c r="AQ101" s="327"/>
      <c r="AR101" s="327"/>
      <c r="AS101" s="327" t="s">
        <v>1991</v>
      </c>
      <c r="AT101" s="327" t="s">
        <v>1991</v>
      </c>
      <c r="AU101" s="327"/>
      <c r="AV101" s="327"/>
      <c r="AW101" s="327"/>
      <c r="AX101" s="327"/>
      <c r="AY101" s="327"/>
      <c r="AZ101" s="327"/>
      <c r="BA101" s="327"/>
      <c r="BB101" s="46">
        <f t="shared" si="23"/>
        <v>14</v>
      </c>
      <c r="BC101" s="46">
        <f t="shared" si="24"/>
        <v>16</v>
      </c>
      <c r="BD101" s="46">
        <f t="shared" si="36"/>
        <v>4</v>
      </c>
      <c r="BE101" s="46">
        <f t="shared" si="25"/>
        <v>0</v>
      </c>
      <c r="BF101" s="296">
        <f t="shared" si="26"/>
        <v>30</v>
      </c>
      <c r="BG101" s="26"/>
      <c r="BH101" s="2"/>
      <c r="BI101" s="2"/>
      <c r="BJ101" s="2"/>
      <c r="BK101" s="279">
        <f t="shared" si="27"/>
        <v>1</v>
      </c>
      <c r="BL101" s="279">
        <f t="shared" si="28"/>
        <v>30</v>
      </c>
      <c r="BM101" s="279"/>
      <c r="BN101" s="279"/>
      <c r="BO101" s="2">
        <f t="shared" si="29"/>
        <v>30</v>
      </c>
      <c r="BP101" s="430"/>
      <c r="BQ101" s="431"/>
      <c r="BR101" s="2"/>
      <c r="BS101" s="25"/>
      <c r="BT101" s="348">
        <f t="shared" si="37"/>
        <v>1</v>
      </c>
      <c r="BU101" s="2"/>
      <c r="BV101" s="282">
        <f t="shared" si="34"/>
        <v>0</v>
      </c>
      <c r="BW101" s="279"/>
      <c r="BX101" s="269">
        <f t="shared" si="35"/>
        <v>0</v>
      </c>
      <c r="BY101" s="349" t="e">
        <f>#N/A</f>
        <v>#N/A</v>
      </c>
      <c r="BZ101" s="349" t="e">
        <f>#N/A</f>
        <v>#N/A</v>
      </c>
      <c r="CA101" s="349" t="e">
        <f>#N/A</f>
        <v>#N/A</v>
      </c>
      <c r="CB101" s="351" t="e">
        <f>#N/A</f>
        <v>#N/A</v>
      </c>
      <c r="CC101" s="349" t="e">
        <f t="shared" si="30"/>
        <v>#N/A</v>
      </c>
      <c r="CD101" s="14" t="e">
        <f t="shared" si="31"/>
        <v>#N/A</v>
      </c>
      <c r="CE101" s="14">
        <f t="shared" si="32"/>
        <v>30</v>
      </c>
      <c r="CF101" s="25">
        <f t="shared" si="33"/>
        <v>1</v>
      </c>
      <c r="CG101" s="270"/>
      <c r="CH101" s="2"/>
      <c r="CL101" s="349"/>
      <c r="CM101" s="349"/>
      <c r="CN101" s="349"/>
      <c r="CO101" s="349"/>
      <c r="CP101" s="349"/>
      <c r="CQ101" s="14"/>
      <c r="CY101" s="2"/>
    </row>
    <row r="102" spans="1:103" s="1" customFormat="1" ht="29.4" customHeight="1">
      <c r="A102" s="46">
        <v>96</v>
      </c>
      <c r="B102" s="46">
        <v>5</v>
      </c>
      <c r="C102" s="46">
        <v>185</v>
      </c>
      <c r="D102" s="48"/>
      <c r="E102" s="48"/>
      <c r="F102" s="46"/>
      <c r="G102" s="310" t="s">
        <v>1991</v>
      </c>
      <c r="H102" s="310" t="s">
        <v>1991</v>
      </c>
      <c r="I102" s="310" t="s">
        <v>1991</v>
      </c>
      <c r="J102" s="310">
        <v>0</v>
      </c>
      <c r="K102" s="310" t="s">
        <v>1991</v>
      </c>
      <c r="L102" s="310" t="s">
        <v>1991</v>
      </c>
      <c r="M102" s="310" t="s">
        <v>1991</v>
      </c>
      <c r="N102" s="310" t="s">
        <v>1991</v>
      </c>
      <c r="O102" s="310" t="s">
        <v>1991</v>
      </c>
      <c r="P102" s="310" t="s">
        <v>1991</v>
      </c>
      <c r="Q102" s="310" t="s">
        <v>1991</v>
      </c>
      <c r="R102" s="310" t="s">
        <v>1991</v>
      </c>
      <c r="S102" s="310" t="s">
        <v>1991</v>
      </c>
      <c r="T102" s="505" t="s">
        <v>1991</v>
      </c>
      <c r="U102" s="310" t="s">
        <v>1991</v>
      </c>
      <c r="V102" s="32" t="s">
        <v>1991</v>
      </c>
      <c r="W102" s="506" t="s">
        <v>1991</v>
      </c>
      <c r="X102" s="506" t="s">
        <v>1991</v>
      </c>
      <c r="Y102" s="506" t="s">
        <v>1991</v>
      </c>
      <c r="Z102" s="32" t="s">
        <v>1991</v>
      </c>
      <c r="AA102" s="32" t="s">
        <v>1991</v>
      </c>
      <c r="AB102" s="32" t="s">
        <v>1991</v>
      </c>
      <c r="AC102" s="32" t="s">
        <v>1991</v>
      </c>
      <c r="AD102" s="32" t="s">
        <v>1991</v>
      </c>
      <c r="AE102" s="506" t="s">
        <v>1991</v>
      </c>
      <c r="AF102" s="506" t="s">
        <v>1991</v>
      </c>
      <c r="AG102" s="32" t="s">
        <v>1991</v>
      </c>
      <c r="AH102" s="32" t="s">
        <v>1991</v>
      </c>
      <c r="AI102" s="32" t="s">
        <v>1991</v>
      </c>
      <c r="AJ102" s="32" t="s">
        <v>1991</v>
      </c>
      <c r="AK102" s="506" t="s">
        <v>1991</v>
      </c>
      <c r="AL102" s="327"/>
      <c r="AM102" s="327"/>
      <c r="AN102" s="327" t="s">
        <v>1991</v>
      </c>
      <c r="AO102" s="327" t="s">
        <v>1991</v>
      </c>
      <c r="AP102" s="327"/>
      <c r="AQ102" s="327"/>
      <c r="AR102" s="327"/>
      <c r="AS102" s="327" t="s">
        <v>1991</v>
      </c>
      <c r="AT102" s="327" t="s">
        <v>1991</v>
      </c>
      <c r="AU102" s="327"/>
      <c r="AV102" s="327"/>
      <c r="AW102" s="327"/>
      <c r="AX102" s="327"/>
      <c r="AY102" s="327"/>
      <c r="AZ102" s="327"/>
      <c r="BA102" s="327"/>
      <c r="BB102" s="46">
        <f t="shared" si="23"/>
        <v>14</v>
      </c>
      <c r="BC102" s="46">
        <f t="shared" si="24"/>
        <v>16</v>
      </c>
      <c r="BD102" s="46">
        <f t="shared" si="36"/>
        <v>4</v>
      </c>
      <c r="BE102" s="46">
        <f t="shared" si="25"/>
        <v>0</v>
      </c>
      <c r="BF102" s="296">
        <f t="shared" si="26"/>
        <v>30</v>
      </c>
      <c r="BG102" s="26"/>
      <c r="BH102" s="2"/>
      <c r="BI102" s="2"/>
      <c r="BJ102" s="2"/>
      <c r="BK102" s="279">
        <f t="shared" si="27"/>
        <v>1</v>
      </c>
      <c r="BL102" s="279">
        <f t="shared" si="28"/>
        <v>30</v>
      </c>
      <c r="BM102" s="279"/>
      <c r="BN102" s="279"/>
      <c r="BO102" s="2">
        <f t="shared" si="29"/>
        <v>30</v>
      </c>
      <c r="BP102" s="430"/>
      <c r="BQ102" s="431"/>
      <c r="BR102" s="2"/>
      <c r="BS102" s="25"/>
      <c r="BT102" s="348">
        <f t="shared" si="37"/>
        <v>1</v>
      </c>
      <c r="BU102" s="2"/>
      <c r="BV102" s="282">
        <f t="shared" si="34"/>
        <v>0</v>
      </c>
      <c r="BW102" s="279"/>
      <c r="BX102" s="269">
        <f t="shared" si="35"/>
        <v>0</v>
      </c>
      <c r="BY102" s="349" t="e">
        <f>#N/A</f>
        <v>#N/A</v>
      </c>
      <c r="BZ102" s="349" t="e">
        <f>#N/A</f>
        <v>#N/A</v>
      </c>
      <c r="CA102" s="349" t="e">
        <f>#N/A</f>
        <v>#N/A</v>
      </c>
      <c r="CB102" s="351" t="e">
        <f>#N/A</f>
        <v>#N/A</v>
      </c>
      <c r="CC102" s="349" t="e">
        <f t="shared" si="30"/>
        <v>#N/A</v>
      </c>
      <c r="CD102" s="14" t="e">
        <f t="shared" si="31"/>
        <v>#N/A</v>
      </c>
      <c r="CE102" s="14">
        <f t="shared" si="32"/>
        <v>30</v>
      </c>
      <c r="CF102" s="25">
        <f t="shared" si="33"/>
        <v>1</v>
      </c>
      <c r="CG102" s="270"/>
      <c r="CH102" s="2"/>
      <c r="CL102" s="349"/>
      <c r="CM102" s="349"/>
      <c r="CN102" s="349"/>
      <c r="CO102" s="349"/>
      <c r="CP102" s="349"/>
      <c r="CQ102" s="14"/>
      <c r="CY102" s="2"/>
    </row>
    <row r="103" spans="1:103" s="1" customFormat="1" ht="29.4" customHeight="1">
      <c r="A103" s="46">
        <v>97</v>
      </c>
      <c r="B103" s="46">
        <v>5</v>
      </c>
      <c r="C103" s="46">
        <v>186</v>
      </c>
      <c r="D103" s="48"/>
      <c r="E103" s="48"/>
      <c r="F103" s="46"/>
      <c r="G103" s="310" t="s">
        <v>1991</v>
      </c>
      <c r="H103" s="310" t="s">
        <v>1991</v>
      </c>
      <c r="I103" s="310" t="s">
        <v>1991</v>
      </c>
      <c r="J103" s="310">
        <v>0</v>
      </c>
      <c r="K103" s="310" t="s">
        <v>1991</v>
      </c>
      <c r="L103" s="310" t="s">
        <v>1991</v>
      </c>
      <c r="M103" s="310" t="s">
        <v>1991</v>
      </c>
      <c r="N103" s="310" t="s">
        <v>1991</v>
      </c>
      <c r="O103" s="310" t="s">
        <v>1991</v>
      </c>
      <c r="P103" s="310" t="s">
        <v>1991</v>
      </c>
      <c r="Q103" s="310" t="s">
        <v>1991</v>
      </c>
      <c r="R103" s="310" t="s">
        <v>1991</v>
      </c>
      <c r="S103" s="310" t="s">
        <v>1991</v>
      </c>
      <c r="T103" s="505" t="s">
        <v>1991</v>
      </c>
      <c r="U103" s="310" t="s">
        <v>1991</v>
      </c>
      <c r="V103" s="32" t="s">
        <v>1991</v>
      </c>
      <c r="W103" s="506" t="s">
        <v>1991</v>
      </c>
      <c r="X103" s="506" t="s">
        <v>1991</v>
      </c>
      <c r="Y103" s="506" t="s">
        <v>1991</v>
      </c>
      <c r="Z103" s="32" t="s">
        <v>1991</v>
      </c>
      <c r="AA103" s="32" t="s">
        <v>1991</v>
      </c>
      <c r="AB103" s="32" t="s">
        <v>1991</v>
      </c>
      <c r="AC103" s="32" t="s">
        <v>1991</v>
      </c>
      <c r="AD103" s="32" t="s">
        <v>1991</v>
      </c>
      <c r="AE103" s="506" t="s">
        <v>1991</v>
      </c>
      <c r="AF103" s="506" t="s">
        <v>1991</v>
      </c>
      <c r="AG103" s="32" t="s">
        <v>1991</v>
      </c>
      <c r="AH103" s="32" t="s">
        <v>1991</v>
      </c>
      <c r="AI103" s="32" t="s">
        <v>1991</v>
      </c>
      <c r="AJ103" s="32" t="s">
        <v>1991</v>
      </c>
      <c r="AK103" s="506" t="s">
        <v>1991</v>
      </c>
      <c r="AL103" s="327"/>
      <c r="AM103" s="327"/>
      <c r="AN103" s="327" t="s">
        <v>1991</v>
      </c>
      <c r="AO103" s="327" t="s">
        <v>1991</v>
      </c>
      <c r="AP103" s="327"/>
      <c r="AQ103" s="327"/>
      <c r="AR103" s="327"/>
      <c r="AS103" s="327" t="s">
        <v>1991</v>
      </c>
      <c r="AT103" s="327" t="s">
        <v>1991</v>
      </c>
      <c r="AU103" s="327"/>
      <c r="AV103" s="327"/>
      <c r="AW103" s="327"/>
      <c r="AX103" s="327"/>
      <c r="AY103" s="327"/>
      <c r="AZ103" s="327"/>
      <c r="BA103" s="327"/>
      <c r="BB103" s="46">
        <f t="shared" si="23"/>
        <v>14</v>
      </c>
      <c r="BC103" s="46">
        <f t="shared" si="24"/>
        <v>16</v>
      </c>
      <c r="BD103" s="46">
        <f t="shared" si="36"/>
        <v>4</v>
      </c>
      <c r="BE103" s="46">
        <f t="shared" si="25"/>
        <v>0</v>
      </c>
      <c r="BF103" s="296">
        <f t="shared" si="26"/>
        <v>30</v>
      </c>
      <c r="BG103" s="26"/>
      <c r="BH103" s="2"/>
      <c r="BI103" s="2"/>
      <c r="BJ103" s="2"/>
      <c r="BK103" s="279">
        <f t="shared" si="27"/>
        <v>1</v>
      </c>
      <c r="BL103" s="279">
        <f t="shared" si="28"/>
        <v>30</v>
      </c>
      <c r="BM103" s="279"/>
      <c r="BN103" s="279"/>
      <c r="BO103" s="2">
        <f t="shared" si="29"/>
        <v>30</v>
      </c>
      <c r="BP103" s="430"/>
      <c r="BQ103" s="431"/>
      <c r="BR103" s="2"/>
      <c r="BS103" s="25"/>
      <c r="BT103" s="348">
        <f t="shared" si="37"/>
        <v>1</v>
      </c>
      <c r="BU103" s="2"/>
      <c r="BV103" s="282">
        <f t="shared" si="34"/>
        <v>0</v>
      </c>
      <c r="BW103" s="279"/>
      <c r="BX103" s="269">
        <f t="shared" si="35"/>
        <v>0</v>
      </c>
      <c r="BY103" s="349" t="e">
        <f>#N/A</f>
        <v>#N/A</v>
      </c>
      <c r="BZ103" s="349" t="e">
        <f>#N/A</f>
        <v>#N/A</v>
      </c>
      <c r="CA103" s="349" t="e">
        <f>#N/A</f>
        <v>#N/A</v>
      </c>
      <c r="CB103" s="351" t="e">
        <f>#N/A</f>
        <v>#N/A</v>
      </c>
      <c r="CC103" s="349" t="e">
        <f t="shared" si="30"/>
        <v>#N/A</v>
      </c>
      <c r="CD103" s="14" t="e">
        <f t="shared" si="31"/>
        <v>#N/A</v>
      </c>
      <c r="CE103" s="14">
        <f t="shared" si="32"/>
        <v>30</v>
      </c>
      <c r="CF103" s="25">
        <f t="shared" si="33"/>
        <v>1</v>
      </c>
      <c r="CG103" s="270"/>
      <c r="CH103" s="2"/>
      <c r="CL103" s="349"/>
      <c r="CM103" s="349"/>
      <c r="CN103" s="349"/>
      <c r="CO103" s="349"/>
      <c r="CP103" s="349"/>
      <c r="CQ103" s="14"/>
      <c r="CY103" s="2"/>
    </row>
    <row r="104" spans="1:103" s="1" customFormat="1" ht="29.4" customHeight="1">
      <c r="A104" s="46">
        <v>98</v>
      </c>
      <c r="B104" s="46">
        <v>5</v>
      </c>
      <c r="C104" s="46">
        <v>187</v>
      </c>
      <c r="D104" s="48"/>
      <c r="E104" s="48"/>
      <c r="F104" s="46"/>
      <c r="G104" s="310" t="s">
        <v>1991</v>
      </c>
      <c r="H104" s="310" t="s">
        <v>1991</v>
      </c>
      <c r="I104" s="310" t="s">
        <v>1991</v>
      </c>
      <c r="J104" s="310">
        <v>0</v>
      </c>
      <c r="K104" s="310" t="s">
        <v>1991</v>
      </c>
      <c r="L104" s="310" t="s">
        <v>1991</v>
      </c>
      <c r="M104" s="310" t="s">
        <v>1991</v>
      </c>
      <c r="N104" s="310" t="s">
        <v>1991</v>
      </c>
      <c r="O104" s="310" t="s">
        <v>1991</v>
      </c>
      <c r="P104" s="310" t="s">
        <v>1991</v>
      </c>
      <c r="Q104" s="310" t="s">
        <v>1991</v>
      </c>
      <c r="R104" s="310" t="s">
        <v>1991</v>
      </c>
      <c r="S104" s="310" t="s">
        <v>1991</v>
      </c>
      <c r="T104" s="505" t="s">
        <v>1991</v>
      </c>
      <c r="U104" s="310" t="s">
        <v>1991</v>
      </c>
      <c r="V104" s="32" t="s">
        <v>1991</v>
      </c>
      <c r="W104" s="506" t="s">
        <v>1991</v>
      </c>
      <c r="X104" s="506" t="s">
        <v>1991</v>
      </c>
      <c r="Y104" s="506" t="s">
        <v>1991</v>
      </c>
      <c r="Z104" s="32" t="s">
        <v>1991</v>
      </c>
      <c r="AA104" s="32" t="s">
        <v>1991</v>
      </c>
      <c r="AB104" s="32" t="s">
        <v>1991</v>
      </c>
      <c r="AC104" s="32" t="s">
        <v>1991</v>
      </c>
      <c r="AD104" s="32" t="s">
        <v>1991</v>
      </c>
      <c r="AE104" s="506" t="s">
        <v>1991</v>
      </c>
      <c r="AF104" s="506" t="s">
        <v>1991</v>
      </c>
      <c r="AG104" s="32" t="s">
        <v>1991</v>
      </c>
      <c r="AH104" s="32" t="s">
        <v>1991</v>
      </c>
      <c r="AI104" s="32" t="s">
        <v>1991</v>
      </c>
      <c r="AJ104" s="32" t="s">
        <v>1991</v>
      </c>
      <c r="AK104" s="506" t="s">
        <v>1991</v>
      </c>
      <c r="AL104" s="327"/>
      <c r="AM104" s="327"/>
      <c r="AN104" s="327" t="s">
        <v>1991</v>
      </c>
      <c r="AO104" s="327" t="s">
        <v>1991</v>
      </c>
      <c r="AP104" s="327"/>
      <c r="AQ104" s="327"/>
      <c r="AR104" s="327"/>
      <c r="AS104" s="327" t="s">
        <v>1991</v>
      </c>
      <c r="AT104" s="327" t="s">
        <v>1991</v>
      </c>
      <c r="AU104" s="327"/>
      <c r="AV104" s="327"/>
      <c r="AW104" s="327"/>
      <c r="AX104" s="327"/>
      <c r="AY104" s="327"/>
      <c r="AZ104" s="327"/>
      <c r="BA104" s="327"/>
      <c r="BB104" s="46">
        <f t="shared" si="23"/>
        <v>14</v>
      </c>
      <c r="BC104" s="46">
        <f t="shared" si="24"/>
        <v>16</v>
      </c>
      <c r="BD104" s="46">
        <f t="shared" si="36"/>
        <v>4</v>
      </c>
      <c r="BE104" s="46">
        <f t="shared" si="25"/>
        <v>0</v>
      </c>
      <c r="BF104" s="296">
        <f t="shared" si="26"/>
        <v>30</v>
      </c>
      <c r="BG104" s="26"/>
      <c r="BH104" s="2"/>
      <c r="BI104" s="2"/>
      <c r="BJ104" s="2"/>
      <c r="BK104" s="279">
        <f t="shared" si="27"/>
        <v>1</v>
      </c>
      <c r="BL104" s="279">
        <f t="shared" si="28"/>
        <v>30</v>
      </c>
      <c r="BM104" s="279"/>
      <c r="BN104" s="279"/>
      <c r="BO104" s="2">
        <f t="shared" si="29"/>
        <v>30</v>
      </c>
      <c r="BP104" s="430"/>
      <c r="BQ104" s="431"/>
      <c r="BR104" s="2"/>
      <c r="BS104" s="25"/>
      <c r="BT104" s="348">
        <f t="shared" si="37"/>
        <v>1</v>
      </c>
      <c r="BU104" s="2"/>
      <c r="BV104" s="282">
        <f t="shared" si="34"/>
        <v>0</v>
      </c>
      <c r="BW104" s="279"/>
      <c r="BX104" s="269">
        <f t="shared" si="35"/>
        <v>0</v>
      </c>
      <c r="BY104" s="349" t="e">
        <f>#N/A</f>
        <v>#N/A</v>
      </c>
      <c r="BZ104" s="349" t="e">
        <f>#N/A</f>
        <v>#N/A</v>
      </c>
      <c r="CA104" s="349" t="e">
        <f>#N/A</f>
        <v>#N/A</v>
      </c>
      <c r="CB104" s="351" t="e">
        <f>#N/A</f>
        <v>#N/A</v>
      </c>
      <c r="CC104" s="349" t="e">
        <f t="shared" si="30"/>
        <v>#N/A</v>
      </c>
      <c r="CD104" s="14" t="e">
        <f t="shared" si="31"/>
        <v>#N/A</v>
      </c>
      <c r="CE104" s="14">
        <f t="shared" si="32"/>
        <v>30</v>
      </c>
      <c r="CF104" s="25">
        <f t="shared" si="33"/>
        <v>1</v>
      </c>
      <c r="CG104" s="270"/>
      <c r="CH104" s="2"/>
      <c r="CL104" s="349"/>
      <c r="CM104" s="349"/>
      <c r="CN104" s="349"/>
      <c r="CO104" s="349"/>
      <c r="CP104" s="349"/>
      <c r="CQ104" s="14"/>
      <c r="CY104" s="2"/>
    </row>
    <row r="105" spans="1:103" s="1" customFormat="1" ht="29.4" customHeight="1">
      <c r="A105" s="46">
        <v>99</v>
      </c>
      <c r="B105" s="46">
        <v>5</v>
      </c>
      <c r="C105" s="46">
        <v>188</v>
      </c>
      <c r="D105" s="48"/>
      <c r="E105" s="48"/>
      <c r="F105" s="46"/>
      <c r="G105" s="310" t="s">
        <v>1991</v>
      </c>
      <c r="H105" s="310" t="s">
        <v>1991</v>
      </c>
      <c r="I105" s="310" t="s">
        <v>1991</v>
      </c>
      <c r="J105" s="310" t="s">
        <v>1991</v>
      </c>
      <c r="K105" s="310" t="s">
        <v>1991</v>
      </c>
      <c r="L105" s="310">
        <v>0</v>
      </c>
      <c r="M105" s="310" t="s">
        <v>1991</v>
      </c>
      <c r="N105" s="310" t="s">
        <v>1991</v>
      </c>
      <c r="O105" s="310" t="s">
        <v>1991</v>
      </c>
      <c r="P105" s="310" t="s">
        <v>1991</v>
      </c>
      <c r="Q105" s="310" t="s">
        <v>1991</v>
      </c>
      <c r="R105" s="310" t="s">
        <v>1991</v>
      </c>
      <c r="S105" s="310" t="s">
        <v>1991</v>
      </c>
      <c r="T105" s="505" t="s">
        <v>1991</v>
      </c>
      <c r="U105" s="310" t="s">
        <v>1991</v>
      </c>
      <c r="V105" s="32" t="s">
        <v>1991</v>
      </c>
      <c r="W105" s="506" t="s">
        <v>1991</v>
      </c>
      <c r="X105" s="506" t="s">
        <v>1991</v>
      </c>
      <c r="Y105" s="506" t="s">
        <v>1991</v>
      </c>
      <c r="Z105" s="32" t="s">
        <v>1991</v>
      </c>
      <c r="AA105" s="32" t="s">
        <v>1991</v>
      </c>
      <c r="AB105" s="32" t="s">
        <v>1991</v>
      </c>
      <c r="AC105" s="32" t="s">
        <v>1991</v>
      </c>
      <c r="AD105" s="32" t="s">
        <v>1991</v>
      </c>
      <c r="AE105" s="506" t="s">
        <v>1991</v>
      </c>
      <c r="AF105" s="506" t="s">
        <v>1991</v>
      </c>
      <c r="AG105" s="32" t="s">
        <v>1991</v>
      </c>
      <c r="AH105" s="32" t="s">
        <v>1991</v>
      </c>
      <c r="AI105" s="32" t="s">
        <v>1991</v>
      </c>
      <c r="AJ105" s="32" t="s">
        <v>1991</v>
      </c>
      <c r="AK105" s="506" t="s">
        <v>1991</v>
      </c>
      <c r="AL105" s="327"/>
      <c r="AM105" s="327"/>
      <c r="AN105" s="327" t="s">
        <v>1991</v>
      </c>
      <c r="AO105" s="327" t="s">
        <v>1991</v>
      </c>
      <c r="AP105" s="327"/>
      <c r="AQ105" s="327"/>
      <c r="AR105" s="327"/>
      <c r="AS105" s="327" t="s">
        <v>1991</v>
      </c>
      <c r="AT105" s="327" t="s">
        <v>1991</v>
      </c>
      <c r="AU105" s="327"/>
      <c r="AV105" s="327"/>
      <c r="AW105" s="327"/>
      <c r="AX105" s="327"/>
      <c r="AY105" s="327"/>
      <c r="AZ105" s="327"/>
      <c r="BA105" s="327"/>
      <c r="BB105" s="46">
        <f t="shared" si="23"/>
        <v>14</v>
      </c>
      <c r="BC105" s="46">
        <f t="shared" si="24"/>
        <v>16</v>
      </c>
      <c r="BD105" s="46">
        <f t="shared" si="36"/>
        <v>4</v>
      </c>
      <c r="BE105" s="46">
        <f t="shared" si="25"/>
        <v>0</v>
      </c>
      <c r="BF105" s="296">
        <f t="shared" si="26"/>
        <v>30</v>
      </c>
      <c r="BG105" s="26"/>
      <c r="BH105" s="2"/>
      <c r="BI105" s="2"/>
      <c r="BJ105" s="2"/>
      <c r="BK105" s="279">
        <f t="shared" si="27"/>
        <v>1</v>
      </c>
      <c r="BL105" s="279">
        <f t="shared" si="28"/>
        <v>30</v>
      </c>
      <c r="BM105" s="279"/>
      <c r="BN105" s="279"/>
      <c r="BO105" s="2">
        <f t="shared" si="29"/>
        <v>30</v>
      </c>
      <c r="BP105" s="430"/>
      <c r="BQ105" s="431"/>
      <c r="BR105" s="2"/>
      <c r="BS105" s="25"/>
      <c r="BT105" s="348">
        <f t="shared" si="37"/>
        <v>1</v>
      </c>
      <c r="BU105" s="2"/>
      <c r="BV105" s="282">
        <f t="shared" si="34"/>
        <v>0</v>
      </c>
      <c r="BW105" s="279"/>
      <c r="BX105" s="269">
        <f t="shared" si="35"/>
        <v>0</v>
      </c>
      <c r="BY105" s="349" t="e">
        <f>#N/A</f>
        <v>#N/A</v>
      </c>
      <c r="BZ105" s="349" t="e">
        <f>#N/A</f>
        <v>#N/A</v>
      </c>
      <c r="CA105" s="349" t="e">
        <f>#N/A</f>
        <v>#N/A</v>
      </c>
      <c r="CB105" s="351" t="e">
        <f>#N/A</f>
        <v>#N/A</v>
      </c>
      <c r="CC105" s="349" t="e">
        <f t="shared" si="30"/>
        <v>#N/A</v>
      </c>
      <c r="CD105" s="14" t="e">
        <f t="shared" si="31"/>
        <v>#N/A</v>
      </c>
      <c r="CE105" s="14">
        <f t="shared" si="32"/>
        <v>30</v>
      </c>
      <c r="CF105" s="25">
        <f t="shared" si="33"/>
        <v>1</v>
      </c>
      <c r="CG105" s="270"/>
      <c r="CH105" s="2"/>
      <c r="CL105" s="349"/>
      <c r="CM105" s="349"/>
      <c r="CN105" s="349"/>
      <c r="CO105" s="349"/>
      <c r="CP105" s="349"/>
      <c r="CQ105" s="14"/>
      <c r="CY105" s="2"/>
    </row>
    <row r="106" spans="1:103" s="1" customFormat="1" ht="29.4" customHeight="1">
      <c r="A106" s="46">
        <v>100</v>
      </c>
      <c r="B106" s="46">
        <v>5</v>
      </c>
      <c r="C106" s="46">
        <v>189</v>
      </c>
      <c r="D106" s="48"/>
      <c r="E106" s="48"/>
      <c r="F106" s="46"/>
      <c r="G106" s="310" t="s">
        <v>1991</v>
      </c>
      <c r="H106" s="310" t="s">
        <v>1991</v>
      </c>
      <c r="I106" s="310" t="s">
        <v>1991</v>
      </c>
      <c r="J106" s="310">
        <v>0</v>
      </c>
      <c r="K106" s="310" t="s">
        <v>1991</v>
      </c>
      <c r="L106" s="310" t="s">
        <v>1991</v>
      </c>
      <c r="M106" s="310" t="s">
        <v>1991</v>
      </c>
      <c r="N106" s="310" t="s">
        <v>1991</v>
      </c>
      <c r="O106" s="310" t="s">
        <v>1991</v>
      </c>
      <c r="P106" s="310" t="s">
        <v>1991</v>
      </c>
      <c r="Q106" s="310" t="s">
        <v>1991</v>
      </c>
      <c r="R106" s="310" t="s">
        <v>1991</v>
      </c>
      <c r="S106" s="310" t="s">
        <v>1991</v>
      </c>
      <c r="T106" s="505" t="s">
        <v>1991</v>
      </c>
      <c r="U106" s="310" t="s">
        <v>1991</v>
      </c>
      <c r="V106" s="32" t="s">
        <v>1991</v>
      </c>
      <c r="W106" s="506" t="s">
        <v>1991</v>
      </c>
      <c r="X106" s="506" t="s">
        <v>1991</v>
      </c>
      <c r="Y106" s="506" t="s">
        <v>1991</v>
      </c>
      <c r="Z106" s="32" t="s">
        <v>1991</v>
      </c>
      <c r="AA106" s="32" t="s">
        <v>1991</v>
      </c>
      <c r="AB106" s="32" t="s">
        <v>1991</v>
      </c>
      <c r="AC106" s="32" t="s">
        <v>1991</v>
      </c>
      <c r="AD106" s="32" t="s">
        <v>1991</v>
      </c>
      <c r="AE106" s="506" t="s">
        <v>1991</v>
      </c>
      <c r="AF106" s="506">
        <v>0</v>
      </c>
      <c r="AG106" s="32" t="s">
        <v>1991</v>
      </c>
      <c r="AH106" s="32" t="s">
        <v>1991</v>
      </c>
      <c r="AI106" s="32" t="s">
        <v>1991</v>
      </c>
      <c r="AJ106" s="32" t="s">
        <v>1991</v>
      </c>
      <c r="AK106" s="506" t="s">
        <v>1991</v>
      </c>
      <c r="AL106" s="327"/>
      <c r="AM106" s="327"/>
      <c r="AN106" s="327" t="s">
        <v>1991</v>
      </c>
      <c r="AO106" s="327" t="s">
        <v>1991</v>
      </c>
      <c r="AP106" s="327"/>
      <c r="AQ106" s="327"/>
      <c r="AR106" s="327"/>
      <c r="AS106" s="327" t="s">
        <v>1991</v>
      </c>
      <c r="AT106" s="327" t="s">
        <v>1991</v>
      </c>
      <c r="AU106" s="327"/>
      <c r="AV106" s="327"/>
      <c r="AW106" s="327"/>
      <c r="AX106" s="327"/>
      <c r="AY106" s="327"/>
      <c r="AZ106" s="327"/>
      <c r="BA106" s="327"/>
      <c r="BB106" s="46">
        <f t="shared" si="23"/>
        <v>14</v>
      </c>
      <c r="BC106" s="46">
        <f t="shared" si="24"/>
        <v>15</v>
      </c>
      <c r="BD106" s="46">
        <f t="shared" si="36"/>
        <v>4</v>
      </c>
      <c r="BE106" s="46">
        <f t="shared" si="25"/>
        <v>0</v>
      </c>
      <c r="BF106" s="296">
        <f t="shared" si="26"/>
        <v>29</v>
      </c>
      <c r="BG106" s="26"/>
      <c r="BH106" s="2"/>
      <c r="BI106" s="2"/>
      <c r="BJ106" s="2"/>
      <c r="BK106" s="279">
        <f t="shared" si="27"/>
        <v>1</v>
      </c>
      <c r="BL106" s="279">
        <f t="shared" si="28"/>
        <v>29</v>
      </c>
      <c r="BM106" s="279"/>
      <c r="BN106" s="279"/>
      <c r="BO106" s="2">
        <f t="shared" si="29"/>
        <v>29</v>
      </c>
      <c r="BP106" s="430"/>
      <c r="BQ106" s="431"/>
      <c r="BR106" s="2"/>
      <c r="BS106" s="25"/>
      <c r="BT106" s="348">
        <f t="shared" si="37"/>
        <v>1</v>
      </c>
      <c r="BU106" s="2"/>
      <c r="BV106" s="282">
        <f t="shared" si="34"/>
        <v>0</v>
      </c>
      <c r="BW106" s="279"/>
      <c r="BX106" s="269">
        <f t="shared" si="35"/>
        <v>0</v>
      </c>
      <c r="BY106" s="349" t="e">
        <f>#N/A</f>
        <v>#N/A</v>
      </c>
      <c r="BZ106" s="349" t="e">
        <f>#N/A</f>
        <v>#N/A</v>
      </c>
      <c r="CA106" s="349" t="e">
        <f>#N/A</f>
        <v>#N/A</v>
      </c>
      <c r="CB106" s="351" t="e">
        <f>#N/A</f>
        <v>#N/A</v>
      </c>
      <c r="CC106" s="349" t="e">
        <f t="shared" si="30"/>
        <v>#N/A</v>
      </c>
      <c r="CD106" s="14" t="e">
        <f t="shared" si="31"/>
        <v>#N/A</v>
      </c>
      <c r="CE106" s="14">
        <f t="shared" si="32"/>
        <v>29</v>
      </c>
      <c r="CF106" s="25">
        <f t="shared" si="33"/>
        <v>1</v>
      </c>
      <c r="CG106" s="270"/>
      <c r="CH106" s="2"/>
      <c r="CL106" s="349"/>
      <c r="CM106" s="349"/>
      <c r="CN106" s="349"/>
      <c r="CO106" s="349"/>
      <c r="CP106" s="349"/>
      <c r="CQ106" s="14"/>
      <c r="CY106" s="2"/>
    </row>
    <row r="107" spans="1:103" s="1" customFormat="1" ht="29.4" customHeight="1">
      <c r="A107" s="46">
        <v>101</v>
      </c>
      <c r="B107" s="46">
        <v>5</v>
      </c>
      <c r="C107" s="46">
        <v>190</v>
      </c>
      <c r="D107" s="48"/>
      <c r="E107" s="48"/>
      <c r="F107" s="46"/>
      <c r="G107" s="310" t="s">
        <v>1991</v>
      </c>
      <c r="H107" s="310" t="s">
        <v>1991</v>
      </c>
      <c r="I107" s="310" t="s">
        <v>1991</v>
      </c>
      <c r="J107" s="310">
        <v>0</v>
      </c>
      <c r="K107" s="310" t="s">
        <v>1991</v>
      </c>
      <c r="L107" s="310" t="s">
        <v>1991</v>
      </c>
      <c r="M107" s="310" t="s">
        <v>1991</v>
      </c>
      <c r="N107" s="310" t="s">
        <v>1991</v>
      </c>
      <c r="O107" s="310" t="s">
        <v>1991</v>
      </c>
      <c r="P107" s="310" t="s">
        <v>1991</v>
      </c>
      <c r="Q107" s="310" t="s">
        <v>1991</v>
      </c>
      <c r="R107" s="310" t="s">
        <v>1991</v>
      </c>
      <c r="S107" s="310" t="s">
        <v>1991</v>
      </c>
      <c r="T107" s="505" t="s">
        <v>1991</v>
      </c>
      <c r="U107" s="310" t="s">
        <v>1991</v>
      </c>
      <c r="V107" s="32" t="s">
        <v>1991</v>
      </c>
      <c r="W107" s="506" t="s">
        <v>1991</v>
      </c>
      <c r="X107" s="506" t="s">
        <v>1991</v>
      </c>
      <c r="Y107" s="506" t="s">
        <v>1991</v>
      </c>
      <c r="Z107" s="32" t="s">
        <v>1991</v>
      </c>
      <c r="AA107" s="32" t="s">
        <v>1991</v>
      </c>
      <c r="AB107" s="32" t="s">
        <v>1991</v>
      </c>
      <c r="AC107" s="32">
        <v>0</v>
      </c>
      <c r="AD107" s="32" t="s">
        <v>1991</v>
      </c>
      <c r="AE107" s="506">
        <v>0</v>
      </c>
      <c r="AF107" s="506" t="s">
        <v>1991</v>
      </c>
      <c r="AG107" s="32" t="s">
        <v>1991</v>
      </c>
      <c r="AH107" s="32" t="s">
        <v>1991</v>
      </c>
      <c r="AI107" s="32" t="s">
        <v>1991</v>
      </c>
      <c r="AJ107" s="32" t="s">
        <v>1991</v>
      </c>
      <c r="AK107" s="506" t="s">
        <v>1991</v>
      </c>
      <c r="AL107" s="327"/>
      <c r="AM107" s="327"/>
      <c r="AN107" s="327" t="s">
        <v>1991</v>
      </c>
      <c r="AO107" s="327">
        <v>0</v>
      </c>
      <c r="AP107" s="327"/>
      <c r="AQ107" s="327"/>
      <c r="AR107" s="327"/>
      <c r="AS107" s="327">
        <v>0</v>
      </c>
      <c r="AT107" s="327" t="s">
        <v>1991</v>
      </c>
      <c r="AU107" s="327"/>
      <c r="AV107" s="327"/>
      <c r="AW107" s="327"/>
      <c r="AX107" s="327"/>
      <c r="AY107" s="327"/>
      <c r="AZ107" s="327"/>
      <c r="BA107" s="327"/>
      <c r="BB107" s="46">
        <f t="shared" si="23"/>
        <v>14</v>
      </c>
      <c r="BC107" s="46">
        <f t="shared" si="24"/>
        <v>14</v>
      </c>
      <c r="BD107" s="46">
        <f t="shared" si="36"/>
        <v>2</v>
      </c>
      <c r="BE107" s="46">
        <f t="shared" si="25"/>
        <v>0</v>
      </c>
      <c r="BF107" s="296">
        <f t="shared" si="26"/>
        <v>28</v>
      </c>
      <c r="BG107" s="26"/>
      <c r="BH107" s="2"/>
      <c r="BI107" s="2"/>
      <c r="BJ107" s="2"/>
      <c r="BK107" s="279">
        <f t="shared" si="27"/>
        <v>1</v>
      </c>
      <c r="BL107" s="279">
        <f t="shared" si="28"/>
        <v>28</v>
      </c>
      <c r="BM107" s="279"/>
      <c r="BN107" s="279"/>
      <c r="BO107" s="2">
        <f t="shared" si="29"/>
        <v>28</v>
      </c>
      <c r="BP107" s="430"/>
      <c r="BQ107" s="431"/>
      <c r="BR107" s="2"/>
      <c r="BS107" s="25"/>
      <c r="BT107" s="348">
        <f t="shared" si="37"/>
        <v>1</v>
      </c>
      <c r="BU107" s="2"/>
      <c r="BV107" s="282">
        <f t="shared" si="34"/>
        <v>0</v>
      </c>
      <c r="BW107" s="279"/>
      <c r="BX107" s="269">
        <f t="shared" si="35"/>
        <v>0</v>
      </c>
      <c r="BY107" s="349" t="e">
        <f>#N/A</f>
        <v>#N/A</v>
      </c>
      <c r="BZ107" s="349" t="e">
        <f>#N/A</f>
        <v>#N/A</v>
      </c>
      <c r="CA107" s="349" t="e">
        <f>#N/A</f>
        <v>#N/A</v>
      </c>
      <c r="CB107" s="351" t="e">
        <f>#N/A</f>
        <v>#N/A</v>
      </c>
      <c r="CC107" s="349" t="e">
        <f t="shared" si="30"/>
        <v>#N/A</v>
      </c>
      <c r="CD107" s="14" t="e">
        <f t="shared" si="31"/>
        <v>#N/A</v>
      </c>
      <c r="CE107" s="14">
        <f t="shared" si="32"/>
        <v>28</v>
      </c>
      <c r="CF107" s="25">
        <f t="shared" si="33"/>
        <v>1</v>
      </c>
      <c r="CG107" s="270"/>
      <c r="CH107" s="2"/>
      <c r="CL107" s="349"/>
      <c r="CM107" s="349"/>
      <c r="CN107" s="349"/>
      <c r="CO107" s="349"/>
      <c r="CP107" s="349"/>
      <c r="CQ107" s="14"/>
      <c r="CY107" s="2"/>
    </row>
    <row r="108" spans="1:103" s="1" customFormat="1" ht="29.4" customHeight="1">
      <c r="A108" s="46">
        <v>102</v>
      </c>
      <c r="B108" s="46">
        <v>5</v>
      </c>
      <c r="C108" s="46">
        <v>191</v>
      </c>
      <c r="D108" s="48"/>
      <c r="E108" s="48"/>
      <c r="F108" s="46"/>
      <c r="G108" s="310" t="s">
        <v>1991</v>
      </c>
      <c r="H108" s="310" t="s">
        <v>1991</v>
      </c>
      <c r="I108" s="310" t="s">
        <v>1991</v>
      </c>
      <c r="J108" s="310">
        <v>0</v>
      </c>
      <c r="K108" s="310" t="s">
        <v>1991</v>
      </c>
      <c r="L108" s="310" t="s">
        <v>1991</v>
      </c>
      <c r="M108" s="310" t="s">
        <v>1991</v>
      </c>
      <c r="N108" s="310" t="s">
        <v>1991</v>
      </c>
      <c r="O108" s="310" t="s">
        <v>1991</v>
      </c>
      <c r="P108" s="310" t="s">
        <v>1991</v>
      </c>
      <c r="Q108" s="310" t="s">
        <v>1991</v>
      </c>
      <c r="R108" s="310" t="s">
        <v>1991</v>
      </c>
      <c r="S108" s="310" t="s">
        <v>1991</v>
      </c>
      <c r="T108" s="505" t="s">
        <v>1991</v>
      </c>
      <c r="U108" s="310" t="s">
        <v>1991</v>
      </c>
      <c r="V108" s="32" t="s">
        <v>1991</v>
      </c>
      <c r="W108" s="506" t="s">
        <v>1991</v>
      </c>
      <c r="X108" s="506" t="s">
        <v>1991</v>
      </c>
      <c r="Y108" s="506" t="s">
        <v>1991</v>
      </c>
      <c r="Z108" s="32" t="s">
        <v>1991</v>
      </c>
      <c r="AA108" s="32" t="s">
        <v>1991</v>
      </c>
      <c r="AB108" s="32" t="s">
        <v>1991</v>
      </c>
      <c r="AC108" s="32">
        <v>0</v>
      </c>
      <c r="AD108" s="32" t="s">
        <v>1991</v>
      </c>
      <c r="AE108" s="506" t="s">
        <v>1991</v>
      </c>
      <c r="AF108" s="506" t="s">
        <v>1991</v>
      </c>
      <c r="AG108" s="32" t="s">
        <v>1991</v>
      </c>
      <c r="AH108" s="32" t="s">
        <v>1991</v>
      </c>
      <c r="AI108" s="32" t="s">
        <v>1991</v>
      </c>
      <c r="AJ108" s="32" t="s">
        <v>1991</v>
      </c>
      <c r="AK108" s="506" t="s">
        <v>1991</v>
      </c>
      <c r="AL108" s="327"/>
      <c r="AM108" s="327"/>
      <c r="AN108" s="327" t="s">
        <v>1991</v>
      </c>
      <c r="AO108" s="327">
        <v>0</v>
      </c>
      <c r="AP108" s="327"/>
      <c r="AQ108" s="327"/>
      <c r="AR108" s="327"/>
      <c r="AS108" s="327">
        <v>0</v>
      </c>
      <c r="AT108" s="327" t="s">
        <v>1991</v>
      </c>
      <c r="AU108" s="327"/>
      <c r="AV108" s="327"/>
      <c r="AW108" s="327"/>
      <c r="AX108" s="327"/>
      <c r="AY108" s="327"/>
      <c r="AZ108" s="327"/>
      <c r="BA108" s="327"/>
      <c r="BB108" s="46">
        <f t="shared" si="23"/>
        <v>14</v>
      </c>
      <c r="BC108" s="46">
        <f t="shared" si="24"/>
        <v>15</v>
      </c>
      <c r="BD108" s="46">
        <f t="shared" si="36"/>
        <v>2</v>
      </c>
      <c r="BE108" s="46">
        <f t="shared" si="25"/>
        <v>0</v>
      </c>
      <c r="BF108" s="296">
        <f t="shared" si="26"/>
        <v>29</v>
      </c>
      <c r="BG108" s="26"/>
      <c r="BH108" s="2"/>
      <c r="BI108" s="2"/>
      <c r="BJ108" s="2"/>
      <c r="BK108" s="279">
        <f t="shared" si="27"/>
        <v>1</v>
      </c>
      <c r="BL108" s="279">
        <f t="shared" si="28"/>
        <v>29</v>
      </c>
      <c r="BM108" s="279"/>
      <c r="BN108" s="279"/>
      <c r="BO108" s="2">
        <f t="shared" si="29"/>
        <v>29</v>
      </c>
      <c r="BP108" s="430"/>
      <c r="BQ108" s="431"/>
      <c r="BR108" s="2"/>
      <c r="BS108" s="25"/>
      <c r="BT108" s="348">
        <f t="shared" si="37"/>
        <v>1</v>
      </c>
      <c r="BU108" s="2"/>
      <c r="BV108" s="282">
        <f t="shared" si="34"/>
        <v>0</v>
      </c>
      <c r="BW108" s="279"/>
      <c r="BX108" s="269">
        <f t="shared" si="35"/>
        <v>0</v>
      </c>
      <c r="BY108" s="349" t="e">
        <f>#N/A</f>
        <v>#N/A</v>
      </c>
      <c r="BZ108" s="349" t="e">
        <f>#N/A</f>
        <v>#N/A</v>
      </c>
      <c r="CA108" s="349" t="e">
        <f>#N/A</f>
        <v>#N/A</v>
      </c>
      <c r="CB108" s="351" t="e">
        <f>#N/A</f>
        <v>#N/A</v>
      </c>
      <c r="CC108" s="349" t="e">
        <f t="shared" si="30"/>
        <v>#N/A</v>
      </c>
      <c r="CD108" s="14" t="e">
        <f t="shared" si="31"/>
        <v>#N/A</v>
      </c>
      <c r="CE108" s="14">
        <f t="shared" si="32"/>
        <v>29</v>
      </c>
      <c r="CF108" s="25">
        <f t="shared" si="33"/>
        <v>1</v>
      </c>
      <c r="CG108" s="270"/>
      <c r="CH108" s="2"/>
      <c r="CL108" s="349"/>
      <c r="CM108" s="349"/>
      <c r="CN108" s="349"/>
      <c r="CO108" s="349"/>
      <c r="CP108" s="349"/>
      <c r="CQ108" s="14"/>
      <c r="CY108" s="2"/>
    </row>
    <row r="109" spans="1:103" s="1" customFormat="1" ht="29.4" customHeight="1">
      <c r="A109" s="46">
        <v>103</v>
      </c>
      <c r="B109" s="46">
        <v>5</v>
      </c>
      <c r="C109" s="46">
        <v>192</v>
      </c>
      <c r="D109" s="48"/>
      <c r="E109" s="48"/>
      <c r="F109" s="46"/>
      <c r="G109" s="310">
        <v>0</v>
      </c>
      <c r="H109" s="310" t="s">
        <v>1991</v>
      </c>
      <c r="I109" s="310" t="s">
        <v>1991</v>
      </c>
      <c r="J109" s="310" t="s">
        <v>1991</v>
      </c>
      <c r="K109" s="310" t="s">
        <v>1991</v>
      </c>
      <c r="L109" s="310" t="s">
        <v>1991</v>
      </c>
      <c r="M109" s="310" t="s">
        <v>1991</v>
      </c>
      <c r="N109" s="310" t="s">
        <v>1991</v>
      </c>
      <c r="O109" s="310" t="s">
        <v>1991</v>
      </c>
      <c r="P109" s="310" t="s">
        <v>1991</v>
      </c>
      <c r="Q109" s="310" t="s">
        <v>1991</v>
      </c>
      <c r="R109" s="310" t="s">
        <v>1991</v>
      </c>
      <c r="S109" s="310" t="s">
        <v>1991</v>
      </c>
      <c r="T109" s="505" t="s">
        <v>1991</v>
      </c>
      <c r="U109" s="310" t="s">
        <v>1991</v>
      </c>
      <c r="V109" s="32" t="s">
        <v>1991</v>
      </c>
      <c r="W109" s="506">
        <v>0</v>
      </c>
      <c r="X109" s="506" t="s">
        <v>1991</v>
      </c>
      <c r="Y109" s="506" t="s">
        <v>1991</v>
      </c>
      <c r="Z109" s="32" t="s">
        <v>1991</v>
      </c>
      <c r="AA109" s="32" t="s">
        <v>1991</v>
      </c>
      <c r="AB109" s="32" t="s">
        <v>1991</v>
      </c>
      <c r="AC109" s="32" t="s">
        <v>1991</v>
      </c>
      <c r="AD109" s="32" t="s">
        <v>1991</v>
      </c>
      <c r="AE109" s="506" t="s">
        <v>1991</v>
      </c>
      <c r="AF109" s="506" t="s">
        <v>1991</v>
      </c>
      <c r="AG109" s="32" t="s">
        <v>1991</v>
      </c>
      <c r="AH109" s="32" t="s">
        <v>1991</v>
      </c>
      <c r="AI109" s="32" t="s">
        <v>1991</v>
      </c>
      <c r="AJ109" s="32">
        <v>0</v>
      </c>
      <c r="AK109" s="506" t="s">
        <v>1991</v>
      </c>
      <c r="AL109" s="327"/>
      <c r="AM109" s="327"/>
      <c r="AN109" s="327" t="s">
        <v>1991</v>
      </c>
      <c r="AO109" s="327" t="s">
        <v>1991</v>
      </c>
      <c r="AP109" s="327"/>
      <c r="AQ109" s="327"/>
      <c r="AR109" s="327"/>
      <c r="AS109" s="327" t="s">
        <v>1991</v>
      </c>
      <c r="AT109" s="327" t="s">
        <v>1991</v>
      </c>
      <c r="AU109" s="327"/>
      <c r="AV109" s="327"/>
      <c r="AW109" s="327"/>
      <c r="AX109" s="327"/>
      <c r="AY109" s="327"/>
      <c r="AZ109" s="327"/>
      <c r="BA109" s="327"/>
      <c r="BB109" s="46">
        <f t="shared" si="23"/>
        <v>14</v>
      </c>
      <c r="BC109" s="46">
        <f t="shared" si="24"/>
        <v>14</v>
      </c>
      <c r="BD109" s="46">
        <f t="shared" si="36"/>
        <v>4</v>
      </c>
      <c r="BE109" s="46">
        <f t="shared" si="25"/>
        <v>0</v>
      </c>
      <c r="BF109" s="296">
        <f t="shared" si="26"/>
        <v>28</v>
      </c>
      <c r="BG109" s="26"/>
      <c r="BH109" s="2"/>
      <c r="BI109" s="2"/>
      <c r="BJ109" s="2"/>
      <c r="BK109" s="279">
        <f t="shared" si="27"/>
        <v>1</v>
      </c>
      <c r="BL109" s="279">
        <f t="shared" si="28"/>
        <v>28</v>
      </c>
      <c r="BM109" s="279"/>
      <c r="BN109" s="279"/>
      <c r="BO109" s="2">
        <f t="shared" si="29"/>
        <v>28</v>
      </c>
      <c r="BP109" s="430"/>
      <c r="BQ109" s="431"/>
      <c r="BR109" s="2"/>
      <c r="BS109" s="25"/>
      <c r="BT109" s="348">
        <f t="shared" si="37"/>
        <v>1</v>
      </c>
      <c r="BU109" s="2"/>
      <c r="BV109" s="282">
        <f t="shared" si="34"/>
        <v>0</v>
      </c>
      <c r="BW109" s="279"/>
      <c r="BX109" s="269">
        <f t="shared" si="35"/>
        <v>0</v>
      </c>
      <c r="BY109" s="349" t="e">
        <f>#N/A</f>
        <v>#N/A</v>
      </c>
      <c r="BZ109" s="349" t="e">
        <f>#N/A</f>
        <v>#N/A</v>
      </c>
      <c r="CA109" s="349" t="e">
        <f>#N/A</f>
        <v>#N/A</v>
      </c>
      <c r="CB109" s="351" t="e">
        <f>#N/A</f>
        <v>#N/A</v>
      </c>
      <c r="CC109" s="349" t="e">
        <f t="shared" si="30"/>
        <v>#N/A</v>
      </c>
      <c r="CD109" s="14" t="e">
        <f t="shared" si="31"/>
        <v>#N/A</v>
      </c>
      <c r="CE109" s="14">
        <f t="shared" si="32"/>
        <v>28</v>
      </c>
      <c r="CF109" s="25">
        <f t="shared" si="33"/>
        <v>1</v>
      </c>
      <c r="CG109" s="270"/>
      <c r="CH109" s="2"/>
      <c r="CL109" s="349"/>
      <c r="CM109" s="349"/>
      <c r="CN109" s="349"/>
      <c r="CO109" s="349"/>
      <c r="CP109" s="349"/>
      <c r="CQ109" s="14"/>
      <c r="CY109" s="2"/>
    </row>
    <row r="110" spans="1:103" s="1" customFormat="1" ht="29.4" customHeight="1">
      <c r="A110" s="46">
        <v>104</v>
      </c>
      <c r="B110" s="46">
        <v>5</v>
      </c>
      <c r="C110" s="46">
        <v>193</v>
      </c>
      <c r="D110" s="48"/>
      <c r="E110" s="48"/>
      <c r="F110" s="46"/>
      <c r="G110" s="310">
        <v>0</v>
      </c>
      <c r="H110" s="310" t="s">
        <v>1991</v>
      </c>
      <c r="I110" s="310" t="s">
        <v>1991</v>
      </c>
      <c r="J110" s="310" t="s">
        <v>1991</v>
      </c>
      <c r="K110" s="310" t="s">
        <v>1991</v>
      </c>
      <c r="L110" s="310" t="s">
        <v>1991</v>
      </c>
      <c r="M110" s="310" t="s">
        <v>1991</v>
      </c>
      <c r="N110" s="310" t="s">
        <v>1991</v>
      </c>
      <c r="O110" s="310" t="s">
        <v>1991</v>
      </c>
      <c r="P110" s="310" t="s">
        <v>1991</v>
      </c>
      <c r="Q110" s="310" t="s">
        <v>1991</v>
      </c>
      <c r="R110" s="310" t="s">
        <v>1991</v>
      </c>
      <c r="S110" s="310" t="s">
        <v>1991</v>
      </c>
      <c r="T110" s="505" t="s">
        <v>1991</v>
      </c>
      <c r="U110" s="310" t="s">
        <v>1991</v>
      </c>
      <c r="V110" s="32" t="s">
        <v>1991</v>
      </c>
      <c r="W110" s="506">
        <v>0</v>
      </c>
      <c r="X110" s="506" t="s">
        <v>1991</v>
      </c>
      <c r="Y110" s="506" t="s">
        <v>1991</v>
      </c>
      <c r="Z110" s="32" t="s">
        <v>1991</v>
      </c>
      <c r="AA110" s="32" t="s">
        <v>1991</v>
      </c>
      <c r="AB110" s="32" t="s">
        <v>1991</v>
      </c>
      <c r="AC110" s="32" t="s">
        <v>1991</v>
      </c>
      <c r="AD110" s="32" t="s">
        <v>1991</v>
      </c>
      <c r="AE110" s="506" t="s">
        <v>1991</v>
      </c>
      <c r="AF110" s="506" t="s">
        <v>1991</v>
      </c>
      <c r="AG110" s="32" t="s">
        <v>1991</v>
      </c>
      <c r="AH110" s="32" t="s">
        <v>1991</v>
      </c>
      <c r="AI110" s="32" t="s">
        <v>1991</v>
      </c>
      <c r="AJ110" s="32">
        <v>0</v>
      </c>
      <c r="AK110" s="506" t="s">
        <v>1991</v>
      </c>
      <c r="AL110" s="327"/>
      <c r="AM110" s="327"/>
      <c r="AN110" s="327" t="s">
        <v>1991</v>
      </c>
      <c r="AO110" s="327" t="s">
        <v>1991</v>
      </c>
      <c r="AP110" s="327"/>
      <c r="AQ110" s="327"/>
      <c r="AR110" s="327"/>
      <c r="AS110" s="327" t="s">
        <v>1991</v>
      </c>
      <c r="AT110" s="327" t="s">
        <v>1991</v>
      </c>
      <c r="AU110" s="327"/>
      <c r="AV110" s="327"/>
      <c r="AW110" s="327"/>
      <c r="AX110" s="327"/>
      <c r="AY110" s="327"/>
      <c r="AZ110" s="327"/>
      <c r="BA110" s="327"/>
      <c r="BB110" s="46">
        <f t="shared" si="23"/>
        <v>14</v>
      </c>
      <c r="BC110" s="46">
        <f t="shared" si="24"/>
        <v>14</v>
      </c>
      <c r="BD110" s="46">
        <f t="shared" si="36"/>
        <v>4</v>
      </c>
      <c r="BE110" s="46">
        <f t="shared" si="25"/>
        <v>0</v>
      </c>
      <c r="BF110" s="296">
        <f t="shared" si="26"/>
        <v>28</v>
      </c>
      <c r="BG110" s="26"/>
      <c r="BH110" s="2"/>
      <c r="BI110" s="2"/>
      <c r="BJ110" s="2"/>
      <c r="BK110" s="279">
        <f t="shared" si="27"/>
        <v>1</v>
      </c>
      <c r="BL110" s="279">
        <f t="shared" si="28"/>
        <v>28</v>
      </c>
      <c r="BM110" s="279"/>
      <c r="BN110" s="279"/>
      <c r="BO110" s="2">
        <f t="shared" si="29"/>
        <v>28</v>
      </c>
      <c r="BP110" s="430"/>
      <c r="BQ110" s="431"/>
      <c r="BR110" s="2"/>
      <c r="BS110" s="25"/>
      <c r="BT110" s="348">
        <f t="shared" si="37"/>
        <v>1</v>
      </c>
      <c r="BU110" s="2"/>
      <c r="BV110" s="282">
        <f t="shared" si="34"/>
        <v>0</v>
      </c>
      <c r="BW110" s="279"/>
      <c r="BX110" s="269">
        <f t="shared" si="35"/>
        <v>0</v>
      </c>
      <c r="BY110" s="349" t="e">
        <f>#N/A</f>
        <v>#N/A</v>
      </c>
      <c r="BZ110" s="349" t="e">
        <f>#N/A</f>
        <v>#N/A</v>
      </c>
      <c r="CA110" s="349" t="e">
        <f>#N/A</f>
        <v>#N/A</v>
      </c>
      <c r="CB110" s="351" t="e">
        <f>#N/A</f>
        <v>#N/A</v>
      </c>
      <c r="CC110" s="349" t="e">
        <f t="shared" si="30"/>
        <v>#N/A</v>
      </c>
      <c r="CD110" s="14" t="e">
        <f t="shared" si="31"/>
        <v>#N/A</v>
      </c>
      <c r="CE110" s="14">
        <f t="shared" si="32"/>
        <v>28</v>
      </c>
      <c r="CF110" s="25">
        <f t="shared" si="33"/>
        <v>1</v>
      </c>
      <c r="CG110" s="270"/>
      <c r="CH110" s="2"/>
      <c r="CL110" s="349"/>
      <c r="CM110" s="349"/>
      <c r="CN110" s="349"/>
      <c r="CO110" s="349"/>
      <c r="CP110" s="349"/>
      <c r="CQ110" s="14"/>
      <c r="CY110" s="2"/>
    </row>
    <row r="111" spans="1:103" s="1" customFormat="1" ht="29.4" customHeight="1">
      <c r="A111" s="46">
        <v>105</v>
      </c>
      <c r="B111" s="46">
        <v>5</v>
      </c>
      <c r="C111" s="46">
        <v>194</v>
      </c>
      <c r="D111" s="48"/>
      <c r="E111" s="48"/>
      <c r="F111" s="46"/>
      <c r="G111" s="310" t="s">
        <v>1991</v>
      </c>
      <c r="H111" s="310" t="s">
        <v>1991</v>
      </c>
      <c r="I111" s="310" t="s">
        <v>1991</v>
      </c>
      <c r="J111" s="310" t="s">
        <v>1991</v>
      </c>
      <c r="K111" s="310" t="s">
        <v>1991</v>
      </c>
      <c r="L111" s="310" t="s">
        <v>1991</v>
      </c>
      <c r="M111" s="310" t="s">
        <v>1991</v>
      </c>
      <c r="N111" s="310" t="s">
        <v>1991</v>
      </c>
      <c r="O111" s="310" t="s">
        <v>1991</v>
      </c>
      <c r="P111" s="310" t="s">
        <v>1991</v>
      </c>
      <c r="Q111" s="310" t="s">
        <v>1991</v>
      </c>
      <c r="R111" s="310" t="s">
        <v>1991</v>
      </c>
      <c r="S111" s="310" t="s">
        <v>1991</v>
      </c>
      <c r="T111" s="505" t="s">
        <v>1991</v>
      </c>
      <c r="U111" s="310" t="s">
        <v>1991</v>
      </c>
      <c r="V111" s="32" t="s">
        <v>1991</v>
      </c>
      <c r="W111" s="506" t="s">
        <v>1991</v>
      </c>
      <c r="X111" s="506" t="s">
        <v>1991</v>
      </c>
      <c r="Y111" s="506" t="s">
        <v>1991</v>
      </c>
      <c r="Z111" s="32" t="s">
        <v>1991</v>
      </c>
      <c r="AA111" s="32" t="s">
        <v>1991</v>
      </c>
      <c r="AB111" s="32" t="s">
        <v>1991</v>
      </c>
      <c r="AC111" s="32" t="s">
        <v>1991</v>
      </c>
      <c r="AD111" s="32" t="s">
        <v>1991</v>
      </c>
      <c r="AE111" s="506" t="s">
        <v>1991</v>
      </c>
      <c r="AF111" s="506" t="s">
        <v>1991</v>
      </c>
      <c r="AG111" s="32" t="s">
        <v>1991</v>
      </c>
      <c r="AH111" s="32" t="s">
        <v>1991</v>
      </c>
      <c r="AI111" s="32" t="s">
        <v>1991</v>
      </c>
      <c r="AJ111" s="32" t="s">
        <v>1991</v>
      </c>
      <c r="AK111" s="506" t="s">
        <v>1991</v>
      </c>
      <c r="AL111" s="327"/>
      <c r="AM111" s="327"/>
      <c r="AN111" s="327" t="s">
        <v>1991</v>
      </c>
      <c r="AO111" s="327" t="s">
        <v>1991</v>
      </c>
      <c r="AP111" s="327"/>
      <c r="AQ111" s="327"/>
      <c r="AR111" s="327"/>
      <c r="AS111" s="327" t="s">
        <v>1991</v>
      </c>
      <c r="AT111" s="327" t="s">
        <v>1991</v>
      </c>
      <c r="AU111" s="327"/>
      <c r="AV111" s="327"/>
      <c r="AW111" s="327"/>
      <c r="AX111" s="327"/>
      <c r="AY111" s="327"/>
      <c r="AZ111" s="327"/>
      <c r="BA111" s="327"/>
      <c r="BB111" s="46">
        <f t="shared" si="23"/>
        <v>15</v>
      </c>
      <c r="BC111" s="46">
        <f t="shared" si="24"/>
        <v>16</v>
      </c>
      <c r="BD111" s="46">
        <f t="shared" si="36"/>
        <v>4</v>
      </c>
      <c r="BE111" s="46">
        <f t="shared" si="25"/>
        <v>0</v>
      </c>
      <c r="BF111" s="296">
        <f t="shared" si="26"/>
        <v>31</v>
      </c>
      <c r="BG111" s="26"/>
      <c r="BH111" s="2"/>
      <c r="BI111" s="2"/>
      <c r="BJ111" s="2"/>
      <c r="BK111" s="279">
        <f t="shared" si="27"/>
        <v>1</v>
      </c>
      <c r="BL111" s="279">
        <f t="shared" si="28"/>
        <v>31</v>
      </c>
      <c r="BM111" s="279"/>
      <c r="BN111" s="279"/>
      <c r="BO111" s="2">
        <f t="shared" si="29"/>
        <v>31</v>
      </c>
      <c r="BP111" s="430"/>
      <c r="BQ111" s="431"/>
      <c r="BR111" s="2"/>
      <c r="BS111" s="25"/>
      <c r="BT111" s="348">
        <f t="shared" si="37"/>
        <v>1</v>
      </c>
      <c r="BU111" s="2"/>
      <c r="BV111" s="282">
        <f t="shared" si="34"/>
        <v>0</v>
      </c>
      <c r="BW111" s="279"/>
      <c r="BX111" s="269">
        <f t="shared" si="35"/>
        <v>0</v>
      </c>
      <c r="BY111" s="349" t="e">
        <f>#N/A</f>
        <v>#N/A</v>
      </c>
      <c r="BZ111" s="349" t="e">
        <f>#N/A</f>
        <v>#N/A</v>
      </c>
      <c r="CA111" s="349" t="e">
        <f>#N/A</f>
        <v>#N/A</v>
      </c>
      <c r="CB111" s="351" t="e">
        <f>#N/A</f>
        <v>#N/A</v>
      </c>
      <c r="CC111" s="349" t="e">
        <f t="shared" si="30"/>
        <v>#N/A</v>
      </c>
      <c r="CD111" s="14" t="e">
        <f t="shared" si="31"/>
        <v>#N/A</v>
      </c>
      <c r="CE111" s="14">
        <f t="shared" si="32"/>
        <v>31</v>
      </c>
      <c r="CF111" s="25">
        <f t="shared" si="33"/>
        <v>1</v>
      </c>
      <c r="CG111" s="270"/>
      <c r="CH111" s="2"/>
      <c r="CL111" s="349"/>
      <c r="CM111" s="349"/>
      <c r="CN111" s="349"/>
      <c r="CO111" s="349"/>
      <c r="CP111" s="349"/>
      <c r="CQ111" s="14"/>
      <c r="CY111" s="2"/>
    </row>
    <row r="112" spans="1:103" s="1" customFormat="1" ht="29.4" customHeight="1">
      <c r="A112" s="46">
        <v>106</v>
      </c>
      <c r="B112" s="46">
        <v>5</v>
      </c>
      <c r="C112" s="46">
        <v>195</v>
      </c>
      <c r="D112" s="48"/>
      <c r="E112" s="48"/>
      <c r="F112" s="46"/>
      <c r="G112" s="310" t="s">
        <v>1991</v>
      </c>
      <c r="H112" s="310" t="s">
        <v>1991</v>
      </c>
      <c r="I112" s="310" t="s">
        <v>1991</v>
      </c>
      <c r="J112" s="310" t="s">
        <v>1991</v>
      </c>
      <c r="K112" s="310" t="s">
        <v>1991</v>
      </c>
      <c r="L112" s="310" t="s">
        <v>1991</v>
      </c>
      <c r="M112" s="310" t="s">
        <v>1991</v>
      </c>
      <c r="N112" s="310" t="s">
        <v>1991</v>
      </c>
      <c r="O112" s="310" t="s">
        <v>1991</v>
      </c>
      <c r="P112" s="310" t="s">
        <v>1991</v>
      </c>
      <c r="Q112" s="310" t="s">
        <v>1991</v>
      </c>
      <c r="R112" s="310" t="s">
        <v>1991</v>
      </c>
      <c r="S112" s="310" t="s">
        <v>1991</v>
      </c>
      <c r="T112" s="505" t="s">
        <v>1991</v>
      </c>
      <c r="U112" s="310" t="s">
        <v>1991</v>
      </c>
      <c r="V112" s="32" t="s">
        <v>1991</v>
      </c>
      <c r="W112" s="506" t="s">
        <v>1991</v>
      </c>
      <c r="X112" s="506" t="s">
        <v>1991</v>
      </c>
      <c r="Y112" s="506" t="s">
        <v>1991</v>
      </c>
      <c r="Z112" s="32" t="s">
        <v>1991</v>
      </c>
      <c r="AA112" s="32" t="s">
        <v>1991</v>
      </c>
      <c r="AB112" s="32" t="s">
        <v>1991</v>
      </c>
      <c r="AC112" s="32" t="s">
        <v>1991</v>
      </c>
      <c r="AD112" s="32" t="s">
        <v>1991</v>
      </c>
      <c r="AE112" s="506" t="s">
        <v>1991</v>
      </c>
      <c r="AF112" s="506" t="s">
        <v>1991</v>
      </c>
      <c r="AG112" s="32" t="s">
        <v>1991</v>
      </c>
      <c r="AH112" s="32" t="s">
        <v>1991</v>
      </c>
      <c r="AI112" s="32" t="s">
        <v>1991</v>
      </c>
      <c r="AJ112" s="32" t="s">
        <v>1991</v>
      </c>
      <c r="AK112" s="506" t="s">
        <v>1991</v>
      </c>
      <c r="AL112" s="327"/>
      <c r="AM112" s="327"/>
      <c r="AN112" s="327" t="s">
        <v>1991</v>
      </c>
      <c r="AO112" s="327" t="s">
        <v>1991</v>
      </c>
      <c r="AP112" s="327"/>
      <c r="AQ112" s="327"/>
      <c r="AR112" s="327"/>
      <c r="AS112" s="327" t="s">
        <v>1991</v>
      </c>
      <c r="AT112" s="327" t="s">
        <v>1991</v>
      </c>
      <c r="AU112" s="327"/>
      <c r="AV112" s="327"/>
      <c r="AW112" s="327"/>
      <c r="AX112" s="327"/>
      <c r="AY112" s="327"/>
      <c r="AZ112" s="327"/>
      <c r="BA112" s="327"/>
      <c r="BB112" s="46">
        <f t="shared" si="23"/>
        <v>15</v>
      </c>
      <c r="BC112" s="46">
        <f t="shared" si="24"/>
        <v>16</v>
      </c>
      <c r="BD112" s="46">
        <f t="shared" si="36"/>
        <v>4</v>
      </c>
      <c r="BE112" s="46">
        <f t="shared" si="25"/>
        <v>0</v>
      </c>
      <c r="BF112" s="296">
        <f t="shared" si="26"/>
        <v>31</v>
      </c>
      <c r="BG112" s="26"/>
      <c r="BH112" s="2"/>
      <c r="BI112" s="2"/>
      <c r="BJ112" s="2"/>
      <c r="BK112" s="279">
        <f t="shared" si="27"/>
        <v>1</v>
      </c>
      <c r="BL112" s="279">
        <f t="shared" si="28"/>
        <v>31</v>
      </c>
      <c r="BM112" s="279"/>
      <c r="BN112" s="279"/>
      <c r="BO112" s="2">
        <f t="shared" si="29"/>
        <v>31</v>
      </c>
      <c r="BP112" s="430"/>
      <c r="BQ112" s="431"/>
      <c r="BR112" s="2"/>
      <c r="BS112" s="25"/>
      <c r="BT112" s="348">
        <f t="shared" si="37"/>
        <v>1</v>
      </c>
      <c r="BU112" s="2"/>
      <c r="BV112" s="282">
        <f t="shared" si="34"/>
        <v>0</v>
      </c>
      <c r="BW112" s="279"/>
      <c r="BX112" s="269">
        <f t="shared" si="35"/>
        <v>0</v>
      </c>
      <c r="BY112" s="349" t="e">
        <f>#N/A</f>
        <v>#N/A</v>
      </c>
      <c r="BZ112" s="349" t="e">
        <f>#N/A</f>
        <v>#N/A</v>
      </c>
      <c r="CA112" s="349" t="e">
        <f>#N/A</f>
        <v>#N/A</v>
      </c>
      <c r="CB112" s="351" t="e">
        <f>#N/A</f>
        <v>#N/A</v>
      </c>
      <c r="CC112" s="349" t="e">
        <f t="shared" si="30"/>
        <v>#N/A</v>
      </c>
      <c r="CD112" s="14" t="e">
        <f t="shared" si="31"/>
        <v>#N/A</v>
      </c>
      <c r="CE112" s="14">
        <f t="shared" si="32"/>
        <v>31</v>
      </c>
      <c r="CF112" s="25">
        <f t="shared" si="33"/>
        <v>1</v>
      </c>
      <c r="CG112" s="270"/>
      <c r="CH112" s="2"/>
      <c r="CL112" s="349"/>
      <c r="CM112" s="349"/>
      <c r="CN112" s="349"/>
      <c r="CO112" s="349"/>
      <c r="CP112" s="349"/>
      <c r="CQ112" s="14"/>
      <c r="CY112" s="2"/>
    </row>
    <row r="113" spans="1:103" s="1" customFormat="1" ht="29.4" customHeight="1">
      <c r="A113" s="46">
        <v>107</v>
      </c>
      <c r="B113" s="46">
        <v>5</v>
      </c>
      <c r="C113" s="46">
        <v>196</v>
      </c>
      <c r="D113" s="48"/>
      <c r="E113" s="48"/>
      <c r="F113" s="46"/>
      <c r="G113" s="310">
        <v>0</v>
      </c>
      <c r="H113" s="310" t="s">
        <v>1991</v>
      </c>
      <c r="I113" s="310" t="s">
        <v>1991</v>
      </c>
      <c r="J113" s="310" t="s">
        <v>1991</v>
      </c>
      <c r="K113" s="310" t="s">
        <v>1991</v>
      </c>
      <c r="L113" s="310" t="s">
        <v>1991</v>
      </c>
      <c r="M113" s="310" t="s">
        <v>1991</v>
      </c>
      <c r="N113" s="310" t="s">
        <v>1991</v>
      </c>
      <c r="O113" s="310" t="s">
        <v>1991</v>
      </c>
      <c r="P113" s="310" t="s">
        <v>1991</v>
      </c>
      <c r="Q113" s="310" t="s">
        <v>1991</v>
      </c>
      <c r="R113" s="310" t="s">
        <v>1991</v>
      </c>
      <c r="S113" s="310" t="s">
        <v>1991</v>
      </c>
      <c r="T113" s="505" t="s">
        <v>1991</v>
      </c>
      <c r="U113" s="310" t="s">
        <v>1991</v>
      </c>
      <c r="V113" s="32" t="s">
        <v>1991</v>
      </c>
      <c r="W113" s="506" t="s">
        <v>1991</v>
      </c>
      <c r="X113" s="506" t="s">
        <v>1991</v>
      </c>
      <c r="Y113" s="506" t="s">
        <v>1991</v>
      </c>
      <c r="Z113" s="32" t="s">
        <v>1991</v>
      </c>
      <c r="AA113" s="32" t="s">
        <v>1991</v>
      </c>
      <c r="AB113" s="32" t="s">
        <v>1991</v>
      </c>
      <c r="AC113" s="32" t="s">
        <v>1991</v>
      </c>
      <c r="AD113" s="32" t="s">
        <v>1991</v>
      </c>
      <c r="AE113" s="506" t="s">
        <v>1991</v>
      </c>
      <c r="AF113" s="506" t="s">
        <v>1991</v>
      </c>
      <c r="AG113" s="32" t="s">
        <v>1991</v>
      </c>
      <c r="AH113" s="32" t="s">
        <v>1991</v>
      </c>
      <c r="AI113" s="32" t="s">
        <v>1991</v>
      </c>
      <c r="AJ113" s="32" t="s">
        <v>1991</v>
      </c>
      <c r="AK113" s="506" t="s">
        <v>1991</v>
      </c>
      <c r="AL113" s="327"/>
      <c r="AM113" s="327"/>
      <c r="AN113" s="327">
        <v>0</v>
      </c>
      <c r="AO113" s="327" t="s">
        <v>1991</v>
      </c>
      <c r="AP113" s="327"/>
      <c r="AQ113" s="327"/>
      <c r="AR113" s="327"/>
      <c r="AS113" s="327">
        <v>0</v>
      </c>
      <c r="AT113" s="327">
        <v>0</v>
      </c>
      <c r="AU113" s="327"/>
      <c r="AV113" s="327"/>
      <c r="AW113" s="327"/>
      <c r="AX113" s="327"/>
      <c r="AY113" s="327"/>
      <c r="AZ113" s="327"/>
      <c r="BA113" s="327"/>
      <c r="BB113" s="46">
        <f t="shared" si="23"/>
        <v>14</v>
      </c>
      <c r="BC113" s="46">
        <f t="shared" si="24"/>
        <v>16</v>
      </c>
      <c r="BD113" s="46">
        <f t="shared" si="36"/>
        <v>1</v>
      </c>
      <c r="BE113" s="46">
        <f t="shared" si="25"/>
        <v>0</v>
      </c>
      <c r="BF113" s="296">
        <f t="shared" si="26"/>
        <v>30</v>
      </c>
      <c r="BG113" s="26"/>
      <c r="BH113" s="2"/>
      <c r="BI113" s="2"/>
      <c r="BJ113" s="2"/>
      <c r="BK113" s="279">
        <f t="shared" si="27"/>
        <v>1</v>
      </c>
      <c r="BL113" s="279">
        <f t="shared" si="28"/>
        <v>30</v>
      </c>
      <c r="BM113" s="279"/>
      <c r="BN113" s="279"/>
      <c r="BO113" s="2">
        <f t="shared" si="29"/>
        <v>30</v>
      </c>
      <c r="BP113" s="430"/>
      <c r="BQ113" s="431"/>
      <c r="BR113" s="2"/>
      <c r="BS113" s="25"/>
      <c r="BT113" s="348">
        <f t="shared" si="37"/>
        <v>1</v>
      </c>
      <c r="BU113" s="2"/>
      <c r="BV113" s="282">
        <f t="shared" si="34"/>
        <v>0</v>
      </c>
      <c r="BW113" s="279"/>
      <c r="BX113" s="269">
        <f t="shared" si="35"/>
        <v>0</v>
      </c>
      <c r="BY113" s="349" t="e">
        <f>#N/A</f>
        <v>#N/A</v>
      </c>
      <c r="BZ113" s="349" t="e">
        <f>#N/A</f>
        <v>#N/A</v>
      </c>
      <c r="CA113" s="349" t="e">
        <f>#N/A</f>
        <v>#N/A</v>
      </c>
      <c r="CB113" s="351" t="e">
        <f>#N/A</f>
        <v>#N/A</v>
      </c>
      <c r="CC113" s="349" t="e">
        <f t="shared" si="30"/>
        <v>#N/A</v>
      </c>
      <c r="CD113" s="14" t="e">
        <f t="shared" si="31"/>
        <v>#N/A</v>
      </c>
      <c r="CE113" s="14">
        <f t="shared" si="32"/>
        <v>30</v>
      </c>
      <c r="CF113" s="25">
        <f t="shared" si="33"/>
        <v>1</v>
      </c>
      <c r="CG113" s="270"/>
      <c r="CH113" s="2"/>
      <c r="CL113" s="349"/>
      <c r="CM113" s="349"/>
      <c r="CN113" s="349"/>
      <c r="CO113" s="349"/>
      <c r="CP113" s="349"/>
      <c r="CQ113" s="14"/>
      <c r="CY113" s="2"/>
    </row>
    <row r="114" spans="1:103" s="1" customFormat="1" ht="29.4" customHeight="1">
      <c r="A114" s="46">
        <v>108</v>
      </c>
      <c r="B114" s="46">
        <v>5</v>
      </c>
      <c r="C114" s="46">
        <v>197</v>
      </c>
      <c r="D114" s="48"/>
      <c r="E114" s="48"/>
      <c r="F114" s="46"/>
      <c r="G114" s="310">
        <v>0</v>
      </c>
      <c r="H114" s="310" t="s">
        <v>1991</v>
      </c>
      <c r="I114" s="310" t="s">
        <v>1991</v>
      </c>
      <c r="J114" s="310" t="s">
        <v>1991</v>
      </c>
      <c r="K114" s="310" t="s">
        <v>1991</v>
      </c>
      <c r="L114" s="310" t="s">
        <v>1991</v>
      </c>
      <c r="M114" s="310" t="s">
        <v>1991</v>
      </c>
      <c r="N114" s="310">
        <v>0</v>
      </c>
      <c r="O114" s="310" t="s">
        <v>1991</v>
      </c>
      <c r="P114" s="310" t="s">
        <v>1991</v>
      </c>
      <c r="Q114" s="310" t="s">
        <v>1991</v>
      </c>
      <c r="R114" s="310" t="s">
        <v>1991</v>
      </c>
      <c r="S114" s="310" t="s">
        <v>1991</v>
      </c>
      <c r="T114" s="505" t="s">
        <v>1991</v>
      </c>
      <c r="U114" s="310" t="s">
        <v>1991</v>
      </c>
      <c r="V114" s="32" t="s">
        <v>1991</v>
      </c>
      <c r="W114" s="506" t="s">
        <v>1991</v>
      </c>
      <c r="X114" s="506" t="s">
        <v>1991</v>
      </c>
      <c r="Y114" s="506" t="s">
        <v>1991</v>
      </c>
      <c r="Z114" s="32" t="s">
        <v>1991</v>
      </c>
      <c r="AA114" s="32" t="s">
        <v>1991</v>
      </c>
      <c r="AB114" s="32" t="s">
        <v>1991</v>
      </c>
      <c r="AC114" s="32" t="s">
        <v>1991</v>
      </c>
      <c r="AD114" s="32" t="s">
        <v>1991</v>
      </c>
      <c r="AE114" s="506" t="s">
        <v>1991</v>
      </c>
      <c r="AF114" s="506" t="s">
        <v>1991</v>
      </c>
      <c r="AG114" s="32" t="s">
        <v>1991</v>
      </c>
      <c r="AH114" s="32" t="s">
        <v>1991</v>
      </c>
      <c r="AI114" s="32" t="s">
        <v>1991</v>
      </c>
      <c r="AJ114" s="32" t="s">
        <v>1991</v>
      </c>
      <c r="AK114" s="506" t="s">
        <v>1991</v>
      </c>
      <c r="AL114" s="327"/>
      <c r="AM114" s="327"/>
      <c r="AN114" s="327">
        <v>0</v>
      </c>
      <c r="AO114" s="327" t="s">
        <v>1991</v>
      </c>
      <c r="AP114" s="327"/>
      <c r="AQ114" s="327"/>
      <c r="AR114" s="327"/>
      <c r="AS114" s="327">
        <v>0</v>
      </c>
      <c r="AT114" s="327">
        <v>0</v>
      </c>
      <c r="AU114" s="327"/>
      <c r="AV114" s="327"/>
      <c r="AW114" s="327"/>
      <c r="AX114" s="327"/>
      <c r="AY114" s="327"/>
      <c r="AZ114" s="327"/>
      <c r="BA114" s="327"/>
      <c r="BB114" s="46">
        <f t="shared" si="23"/>
        <v>13</v>
      </c>
      <c r="BC114" s="46">
        <f t="shared" si="24"/>
        <v>16</v>
      </c>
      <c r="BD114" s="46">
        <f t="shared" si="36"/>
        <v>1</v>
      </c>
      <c r="BE114" s="46">
        <f t="shared" si="25"/>
        <v>0</v>
      </c>
      <c r="BF114" s="296">
        <f t="shared" si="26"/>
        <v>29</v>
      </c>
      <c r="BG114" s="26"/>
      <c r="BH114" s="2"/>
      <c r="BI114" s="2"/>
      <c r="BJ114" s="2"/>
      <c r="BK114" s="279">
        <f t="shared" si="27"/>
        <v>1</v>
      </c>
      <c r="BL114" s="279">
        <f t="shared" si="28"/>
        <v>29</v>
      </c>
      <c r="BM114" s="279"/>
      <c r="BN114" s="279"/>
      <c r="BO114" s="2">
        <f t="shared" si="29"/>
        <v>29</v>
      </c>
      <c r="BP114" s="430"/>
      <c r="BQ114" s="431"/>
      <c r="BR114" s="2"/>
      <c r="BS114" s="25"/>
      <c r="BT114" s="348">
        <f t="shared" si="37"/>
        <v>1</v>
      </c>
      <c r="BU114" s="2"/>
      <c r="BV114" s="282">
        <f t="shared" si="34"/>
        <v>0</v>
      </c>
      <c r="BW114" s="279"/>
      <c r="BX114" s="269">
        <f t="shared" si="35"/>
        <v>0</v>
      </c>
      <c r="BY114" s="349" t="e">
        <f>#N/A</f>
        <v>#N/A</v>
      </c>
      <c r="BZ114" s="349" t="e">
        <f>#N/A</f>
        <v>#N/A</v>
      </c>
      <c r="CA114" s="349" t="e">
        <f>#N/A</f>
        <v>#N/A</v>
      </c>
      <c r="CB114" s="351" t="e">
        <f>#N/A</f>
        <v>#N/A</v>
      </c>
      <c r="CC114" s="349" t="e">
        <f t="shared" si="30"/>
        <v>#N/A</v>
      </c>
      <c r="CD114" s="14" t="e">
        <f t="shared" si="31"/>
        <v>#N/A</v>
      </c>
      <c r="CE114" s="14">
        <f t="shared" si="32"/>
        <v>29</v>
      </c>
      <c r="CF114" s="25">
        <f t="shared" si="33"/>
        <v>1</v>
      </c>
      <c r="CG114" s="270"/>
      <c r="CH114" s="2"/>
      <c r="CL114" s="349"/>
      <c r="CM114" s="349"/>
      <c r="CN114" s="349"/>
      <c r="CO114" s="349"/>
      <c r="CP114" s="349"/>
      <c r="CQ114" s="14"/>
      <c r="CY114" s="2"/>
    </row>
    <row r="115" spans="1:103" s="1" customFormat="1" ht="29.4" customHeight="1">
      <c r="A115" s="46">
        <v>109</v>
      </c>
      <c r="B115" s="46">
        <v>5</v>
      </c>
      <c r="C115" s="46">
        <v>198</v>
      </c>
      <c r="D115" s="48"/>
      <c r="E115" s="48"/>
      <c r="F115" s="46"/>
      <c r="G115" s="310" t="s">
        <v>1991</v>
      </c>
      <c r="H115" s="310" t="s">
        <v>1991</v>
      </c>
      <c r="I115" s="310" t="s">
        <v>1991</v>
      </c>
      <c r="J115" s="310">
        <v>0</v>
      </c>
      <c r="K115" s="310" t="s">
        <v>1991</v>
      </c>
      <c r="L115" s="310" t="s">
        <v>1991</v>
      </c>
      <c r="M115" s="310" t="s">
        <v>1991</v>
      </c>
      <c r="N115" s="310" t="s">
        <v>1991</v>
      </c>
      <c r="O115" s="310" t="s">
        <v>1991</v>
      </c>
      <c r="P115" s="310" t="s">
        <v>1991</v>
      </c>
      <c r="Q115" s="310" t="s">
        <v>1991</v>
      </c>
      <c r="R115" s="310" t="s">
        <v>1991</v>
      </c>
      <c r="S115" s="310" t="s">
        <v>1991</v>
      </c>
      <c r="T115" s="505" t="s">
        <v>1991</v>
      </c>
      <c r="U115" s="310" t="s">
        <v>1991</v>
      </c>
      <c r="V115" s="32" t="s">
        <v>1991</v>
      </c>
      <c r="W115" s="506" t="s">
        <v>1991</v>
      </c>
      <c r="X115" s="506" t="s">
        <v>1991</v>
      </c>
      <c r="Y115" s="506" t="s">
        <v>1991</v>
      </c>
      <c r="Z115" s="32" t="s">
        <v>1991</v>
      </c>
      <c r="AA115" s="32" t="s">
        <v>1991</v>
      </c>
      <c r="AB115" s="32" t="s">
        <v>1991</v>
      </c>
      <c r="AC115" s="32" t="s">
        <v>1991</v>
      </c>
      <c r="AD115" s="32" t="s">
        <v>1991</v>
      </c>
      <c r="AE115" s="506" t="s">
        <v>1991</v>
      </c>
      <c r="AF115" s="506" t="s">
        <v>1991</v>
      </c>
      <c r="AG115" s="32" t="s">
        <v>1991</v>
      </c>
      <c r="AH115" s="32" t="s">
        <v>1991</v>
      </c>
      <c r="AI115" s="32">
        <v>0</v>
      </c>
      <c r="AJ115" s="32" t="s">
        <v>1991</v>
      </c>
      <c r="AK115" s="506" t="s">
        <v>1991</v>
      </c>
      <c r="AL115" s="327"/>
      <c r="AM115" s="327"/>
      <c r="AN115" s="327" t="s">
        <v>1991</v>
      </c>
      <c r="AO115" s="327" t="s">
        <v>1991</v>
      </c>
      <c r="AP115" s="327"/>
      <c r="AQ115" s="327"/>
      <c r="AR115" s="327"/>
      <c r="AS115" s="327" t="s">
        <v>1991</v>
      </c>
      <c r="AT115" s="327" t="s">
        <v>1991</v>
      </c>
      <c r="AU115" s="327"/>
      <c r="AV115" s="327"/>
      <c r="AW115" s="327"/>
      <c r="AX115" s="327"/>
      <c r="AY115" s="327"/>
      <c r="AZ115" s="327"/>
      <c r="BA115" s="327"/>
      <c r="BB115" s="46">
        <f t="shared" si="23"/>
        <v>14</v>
      </c>
      <c r="BC115" s="46">
        <f t="shared" si="24"/>
        <v>15</v>
      </c>
      <c r="BD115" s="46">
        <f t="shared" si="36"/>
        <v>4</v>
      </c>
      <c r="BE115" s="46">
        <f t="shared" si="25"/>
        <v>0</v>
      </c>
      <c r="BF115" s="296">
        <f t="shared" si="26"/>
        <v>29</v>
      </c>
      <c r="BG115" s="26"/>
      <c r="BH115" s="2"/>
      <c r="BI115" s="2"/>
      <c r="BJ115" s="2"/>
      <c r="BK115" s="279">
        <f t="shared" si="27"/>
        <v>1</v>
      </c>
      <c r="BL115" s="279">
        <f t="shared" si="28"/>
        <v>29</v>
      </c>
      <c r="BM115" s="279"/>
      <c r="BN115" s="279"/>
      <c r="BO115" s="2">
        <f t="shared" si="29"/>
        <v>29</v>
      </c>
      <c r="BP115" s="430"/>
      <c r="BQ115" s="431"/>
      <c r="BR115" s="2"/>
      <c r="BS115" s="25"/>
      <c r="BT115" s="348">
        <f t="shared" si="37"/>
        <v>1</v>
      </c>
      <c r="BU115" s="2"/>
      <c r="BV115" s="282">
        <f t="shared" si="34"/>
        <v>0</v>
      </c>
      <c r="BW115" s="279"/>
      <c r="BX115" s="269">
        <f t="shared" si="35"/>
        <v>0</v>
      </c>
      <c r="BY115" s="349" t="e">
        <f>#N/A</f>
        <v>#N/A</v>
      </c>
      <c r="BZ115" s="349" t="e">
        <f>#N/A</f>
        <v>#N/A</v>
      </c>
      <c r="CA115" s="349" t="e">
        <f>#N/A</f>
        <v>#N/A</v>
      </c>
      <c r="CB115" s="351" t="e">
        <f>#N/A</f>
        <v>#N/A</v>
      </c>
      <c r="CC115" s="349" t="e">
        <f t="shared" si="30"/>
        <v>#N/A</v>
      </c>
      <c r="CD115" s="14" t="e">
        <f t="shared" si="31"/>
        <v>#N/A</v>
      </c>
      <c r="CE115" s="14">
        <f t="shared" si="32"/>
        <v>29</v>
      </c>
      <c r="CF115" s="25">
        <f t="shared" si="33"/>
        <v>1</v>
      </c>
      <c r="CG115" s="270"/>
      <c r="CH115" s="2"/>
      <c r="CL115" s="349"/>
      <c r="CM115" s="349"/>
      <c r="CN115" s="349"/>
      <c r="CO115" s="349"/>
      <c r="CP115" s="349"/>
      <c r="CQ115" s="14"/>
      <c r="CY115" s="2"/>
    </row>
    <row r="116" spans="1:103" s="1" customFormat="1" ht="29.4" customHeight="1">
      <c r="A116" s="46">
        <v>110</v>
      </c>
      <c r="B116" s="46">
        <v>5</v>
      </c>
      <c r="C116" s="46">
        <v>199</v>
      </c>
      <c r="D116" s="48"/>
      <c r="E116" s="48"/>
      <c r="F116" s="46"/>
      <c r="G116" s="310" t="s">
        <v>1991</v>
      </c>
      <c r="H116" s="310" t="s">
        <v>1991</v>
      </c>
      <c r="I116" s="310" t="s">
        <v>1991</v>
      </c>
      <c r="J116" s="310">
        <v>0</v>
      </c>
      <c r="K116" s="310" t="s">
        <v>1991</v>
      </c>
      <c r="L116" s="310" t="s">
        <v>1991</v>
      </c>
      <c r="M116" s="310" t="s">
        <v>1991</v>
      </c>
      <c r="N116" s="310" t="s">
        <v>1991</v>
      </c>
      <c r="O116" s="310" t="s">
        <v>1991</v>
      </c>
      <c r="P116" s="310">
        <v>0</v>
      </c>
      <c r="Q116" s="310" t="s">
        <v>1991</v>
      </c>
      <c r="R116" s="310" t="s">
        <v>1991</v>
      </c>
      <c r="S116" s="310" t="s">
        <v>1991</v>
      </c>
      <c r="T116" s="505" t="s">
        <v>1991</v>
      </c>
      <c r="U116" s="310" t="s">
        <v>1991</v>
      </c>
      <c r="V116" s="32" t="s">
        <v>1991</v>
      </c>
      <c r="W116" s="506" t="s">
        <v>1991</v>
      </c>
      <c r="X116" s="506" t="s">
        <v>1991</v>
      </c>
      <c r="Y116" s="506" t="s">
        <v>1991</v>
      </c>
      <c r="Z116" s="32" t="s">
        <v>1991</v>
      </c>
      <c r="AA116" s="32" t="s">
        <v>1991</v>
      </c>
      <c r="AB116" s="32" t="s">
        <v>1991</v>
      </c>
      <c r="AC116" s="32" t="s">
        <v>1991</v>
      </c>
      <c r="AD116" s="32" t="s">
        <v>1991</v>
      </c>
      <c r="AE116" s="506" t="s">
        <v>1991</v>
      </c>
      <c r="AF116" s="506" t="s">
        <v>1991</v>
      </c>
      <c r="AG116" s="32" t="s">
        <v>1991</v>
      </c>
      <c r="AH116" s="32" t="s">
        <v>1991</v>
      </c>
      <c r="AI116" s="32" t="s">
        <v>1991</v>
      </c>
      <c r="AJ116" s="32" t="s">
        <v>1991</v>
      </c>
      <c r="AK116" s="506" t="s">
        <v>1991</v>
      </c>
      <c r="AL116" s="327"/>
      <c r="AM116" s="327"/>
      <c r="AN116" s="327" t="s">
        <v>1991</v>
      </c>
      <c r="AO116" s="327" t="s">
        <v>1991</v>
      </c>
      <c r="AP116" s="327"/>
      <c r="AQ116" s="327"/>
      <c r="AR116" s="327"/>
      <c r="AS116" s="327" t="s">
        <v>1991</v>
      </c>
      <c r="AT116" s="327" t="s">
        <v>1991</v>
      </c>
      <c r="AU116" s="327"/>
      <c r="AV116" s="327"/>
      <c r="AW116" s="327"/>
      <c r="AX116" s="327"/>
      <c r="AY116" s="327"/>
      <c r="AZ116" s="327"/>
      <c r="BA116" s="327"/>
      <c r="BB116" s="46">
        <f t="shared" si="23"/>
        <v>13</v>
      </c>
      <c r="BC116" s="46">
        <f t="shared" si="24"/>
        <v>16</v>
      </c>
      <c r="BD116" s="46">
        <f t="shared" si="36"/>
        <v>4</v>
      </c>
      <c r="BE116" s="46">
        <f t="shared" si="25"/>
        <v>0</v>
      </c>
      <c r="BF116" s="296">
        <f t="shared" si="26"/>
        <v>29</v>
      </c>
      <c r="BG116" s="26"/>
      <c r="BH116" s="2"/>
      <c r="BI116" s="2"/>
      <c r="BJ116" s="2"/>
      <c r="BK116" s="279">
        <f t="shared" si="27"/>
        <v>1</v>
      </c>
      <c r="BL116" s="279">
        <f t="shared" si="28"/>
        <v>29</v>
      </c>
      <c r="BM116" s="279"/>
      <c r="BN116" s="279"/>
      <c r="BO116" s="2">
        <f t="shared" si="29"/>
        <v>29</v>
      </c>
      <c r="BP116" s="430"/>
      <c r="BQ116" s="431"/>
      <c r="BR116" s="2"/>
      <c r="BS116" s="25"/>
      <c r="BT116" s="348">
        <f t="shared" si="37"/>
        <v>1</v>
      </c>
      <c r="BU116" s="2"/>
      <c r="BV116" s="282">
        <f t="shared" si="34"/>
        <v>0</v>
      </c>
      <c r="BW116" s="279"/>
      <c r="BX116" s="269">
        <f t="shared" si="35"/>
        <v>0</v>
      </c>
      <c r="BY116" s="349" t="e">
        <f>#N/A</f>
        <v>#N/A</v>
      </c>
      <c r="BZ116" s="349" t="e">
        <f>#N/A</f>
        <v>#N/A</v>
      </c>
      <c r="CA116" s="349" t="e">
        <f>#N/A</f>
        <v>#N/A</v>
      </c>
      <c r="CB116" s="351" t="e">
        <f>#N/A</f>
        <v>#N/A</v>
      </c>
      <c r="CC116" s="349" t="e">
        <f t="shared" si="30"/>
        <v>#N/A</v>
      </c>
      <c r="CD116" s="14" t="e">
        <f t="shared" si="31"/>
        <v>#N/A</v>
      </c>
      <c r="CE116" s="14">
        <f t="shared" si="32"/>
        <v>29</v>
      </c>
      <c r="CF116" s="25">
        <f t="shared" si="33"/>
        <v>1</v>
      </c>
      <c r="CG116" s="270"/>
      <c r="CH116" s="2"/>
      <c r="CL116" s="349"/>
      <c r="CM116" s="349"/>
      <c r="CN116" s="349"/>
      <c r="CO116" s="349"/>
      <c r="CP116" s="349"/>
      <c r="CQ116" s="14"/>
      <c r="CY116" s="2"/>
    </row>
    <row r="117" spans="1:103" s="1" customFormat="1" ht="29.4" customHeight="1">
      <c r="A117" s="46">
        <v>111</v>
      </c>
      <c r="B117" s="46">
        <v>5</v>
      </c>
      <c r="C117" s="46">
        <v>200</v>
      </c>
      <c r="D117" s="48"/>
      <c r="E117" s="48"/>
      <c r="F117" s="46"/>
      <c r="G117" s="310" t="s">
        <v>1991</v>
      </c>
      <c r="H117" s="310" t="s">
        <v>1991</v>
      </c>
      <c r="I117" s="310" t="s">
        <v>1991</v>
      </c>
      <c r="J117" s="310">
        <v>0</v>
      </c>
      <c r="K117" s="310" t="s">
        <v>1991</v>
      </c>
      <c r="L117" s="310" t="s">
        <v>1991</v>
      </c>
      <c r="M117" s="310" t="s">
        <v>1991</v>
      </c>
      <c r="N117" s="310" t="s">
        <v>1991</v>
      </c>
      <c r="O117" s="310" t="s">
        <v>1991</v>
      </c>
      <c r="P117" s="310" t="s">
        <v>1991</v>
      </c>
      <c r="Q117" s="310" t="s">
        <v>1991</v>
      </c>
      <c r="R117" s="310" t="s">
        <v>1991</v>
      </c>
      <c r="S117" s="310" t="s">
        <v>1991</v>
      </c>
      <c r="T117" s="505" t="s">
        <v>1991</v>
      </c>
      <c r="U117" s="310" t="s">
        <v>1991</v>
      </c>
      <c r="V117" s="32" t="s">
        <v>1991</v>
      </c>
      <c r="W117" s="506" t="s">
        <v>1991</v>
      </c>
      <c r="X117" s="506" t="s">
        <v>1991</v>
      </c>
      <c r="Y117" s="506" t="s">
        <v>1991</v>
      </c>
      <c r="Z117" s="32" t="s">
        <v>1991</v>
      </c>
      <c r="AA117" s="32" t="s">
        <v>1991</v>
      </c>
      <c r="AB117" s="32" t="s">
        <v>1991</v>
      </c>
      <c r="AC117" s="32" t="s">
        <v>1991</v>
      </c>
      <c r="AD117" s="32" t="s">
        <v>1991</v>
      </c>
      <c r="AE117" s="506" t="s">
        <v>1991</v>
      </c>
      <c r="AF117" s="506" t="s">
        <v>1991</v>
      </c>
      <c r="AG117" s="32" t="s">
        <v>1991</v>
      </c>
      <c r="AH117" s="32" t="s">
        <v>1991</v>
      </c>
      <c r="AI117" s="32" t="s">
        <v>1991</v>
      </c>
      <c r="AJ117" s="32" t="s">
        <v>1991</v>
      </c>
      <c r="AK117" s="506" t="s">
        <v>1991</v>
      </c>
      <c r="AL117" s="327"/>
      <c r="AM117" s="327"/>
      <c r="AN117" s="327" t="s">
        <v>1991</v>
      </c>
      <c r="AO117" s="327" t="s">
        <v>1991</v>
      </c>
      <c r="AP117" s="327"/>
      <c r="AQ117" s="327"/>
      <c r="AR117" s="327"/>
      <c r="AS117" s="327" t="s">
        <v>1991</v>
      </c>
      <c r="AT117" s="327" t="s">
        <v>1991</v>
      </c>
      <c r="AU117" s="327"/>
      <c r="AV117" s="327"/>
      <c r="AW117" s="327"/>
      <c r="AX117" s="327"/>
      <c r="AY117" s="327"/>
      <c r="AZ117" s="327"/>
      <c r="BA117" s="327"/>
      <c r="BB117" s="46">
        <f t="shared" ref="BB117:BB173" si="38">COUNTIF(G117:U117,"X")</f>
        <v>14</v>
      </c>
      <c r="BC117" s="46">
        <f t="shared" ref="BC117:BC173" si="39">COUNTIF(V117:AK117,"X")</f>
        <v>16</v>
      </c>
      <c r="BD117" s="46">
        <f t="shared" si="36"/>
        <v>4</v>
      </c>
      <c r="BE117" s="46">
        <f t="shared" ref="BE117:BE173" si="40">COUNTIF(AU117:BA117,"x")</f>
        <v>0</v>
      </c>
      <c r="BF117" s="296">
        <f t="shared" ref="BF117:BF173" si="41">BB117+BC117</f>
        <v>30</v>
      </c>
      <c r="BG117" s="26"/>
      <c r="BH117" s="2"/>
      <c r="BI117" s="2"/>
      <c r="BJ117" s="2"/>
      <c r="BK117" s="279">
        <f t="shared" ref="BK117:BK173" si="42">IF(BO117&gt;=26,1,0)</f>
        <v>1</v>
      </c>
      <c r="BL117" s="279">
        <f t="shared" ref="BL117:BL173" si="43">(BB117+BC117)</f>
        <v>30</v>
      </c>
      <c r="BM117" s="279"/>
      <c r="BN117" s="279"/>
      <c r="BO117" s="2">
        <f t="shared" ref="BO117:BO173" si="44">IF(BT117&gt;0,BF117,0)</f>
        <v>30</v>
      </c>
      <c r="BP117" s="430"/>
      <c r="BQ117" s="431"/>
      <c r="BR117" s="2"/>
      <c r="BS117" s="25"/>
      <c r="BT117" s="348">
        <f t="shared" si="37"/>
        <v>1</v>
      </c>
      <c r="BU117" s="2"/>
      <c r="BV117" s="282">
        <f t="shared" si="34"/>
        <v>0</v>
      </c>
      <c r="BW117" s="279"/>
      <c r="BX117" s="269">
        <f t="shared" si="35"/>
        <v>0</v>
      </c>
      <c r="BY117" s="349" t="e">
        <f>#N/A</f>
        <v>#N/A</v>
      </c>
      <c r="BZ117" s="349" t="e">
        <f>#N/A</f>
        <v>#N/A</v>
      </c>
      <c r="CA117" s="349" t="e">
        <f>#N/A</f>
        <v>#N/A</v>
      </c>
      <c r="CB117" s="351" t="e">
        <f>#N/A</f>
        <v>#N/A</v>
      </c>
      <c r="CC117" s="349" t="e">
        <f t="shared" ref="CC117:CC173" si="45">SUM(BY117:CB117)</f>
        <v>#N/A</v>
      </c>
      <c r="CD117" s="14" t="e">
        <f t="shared" ref="CD117:CD173" si="46">CC117-BB117</f>
        <v>#N/A</v>
      </c>
      <c r="CE117" s="14">
        <f t="shared" ref="CE117:CE173" si="47">IF(CF117&gt;0,BF117,0)</f>
        <v>30</v>
      </c>
      <c r="CF117" s="25">
        <f t="shared" ref="CF117:CF173" si="48">IF(BF117&gt;=26,1,0)</f>
        <v>1</v>
      </c>
      <c r="CG117" s="270"/>
      <c r="CH117" s="2"/>
      <c r="CL117" s="349"/>
      <c r="CM117" s="349"/>
      <c r="CN117" s="349"/>
      <c r="CO117" s="349"/>
      <c r="CP117" s="349"/>
      <c r="CQ117" s="14"/>
      <c r="CY117" s="2"/>
    </row>
    <row r="118" spans="1:103" s="1" customFormat="1" ht="29.4" customHeight="1">
      <c r="A118" s="46">
        <v>112</v>
      </c>
      <c r="B118" s="46">
        <v>5</v>
      </c>
      <c r="C118" s="46">
        <v>201</v>
      </c>
      <c r="D118" s="48"/>
      <c r="E118" s="48"/>
      <c r="F118" s="46"/>
      <c r="G118" s="310" t="s">
        <v>1991</v>
      </c>
      <c r="H118" s="310" t="s">
        <v>1991</v>
      </c>
      <c r="I118" s="310" t="s">
        <v>1991</v>
      </c>
      <c r="J118" s="310">
        <v>0</v>
      </c>
      <c r="K118" s="310" t="s">
        <v>1991</v>
      </c>
      <c r="L118" s="310" t="s">
        <v>1991</v>
      </c>
      <c r="M118" s="310" t="s">
        <v>1991</v>
      </c>
      <c r="N118" s="310" t="s">
        <v>1991</v>
      </c>
      <c r="O118" s="310" t="s">
        <v>1991</v>
      </c>
      <c r="P118" s="310" t="s">
        <v>1991</v>
      </c>
      <c r="Q118" s="310" t="s">
        <v>1991</v>
      </c>
      <c r="R118" s="310" t="s">
        <v>1991</v>
      </c>
      <c r="S118" s="310" t="s">
        <v>1991</v>
      </c>
      <c r="T118" s="505" t="s">
        <v>1991</v>
      </c>
      <c r="U118" s="310" t="s">
        <v>1991</v>
      </c>
      <c r="V118" s="32" t="s">
        <v>1991</v>
      </c>
      <c r="W118" s="506" t="s">
        <v>1991</v>
      </c>
      <c r="X118" s="506" t="s">
        <v>1991</v>
      </c>
      <c r="Y118" s="506" t="s">
        <v>1991</v>
      </c>
      <c r="Z118" s="32" t="s">
        <v>1991</v>
      </c>
      <c r="AA118" s="32" t="s">
        <v>1991</v>
      </c>
      <c r="AB118" s="32" t="s">
        <v>1991</v>
      </c>
      <c r="AC118" s="32" t="s">
        <v>1991</v>
      </c>
      <c r="AD118" s="32" t="s">
        <v>1991</v>
      </c>
      <c r="AE118" s="506" t="s">
        <v>1991</v>
      </c>
      <c r="AF118" s="506" t="s">
        <v>1991</v>
      </c>
      <c r="AG118" s="32" t="s">
        <v>1991</v>
      </c>
      <c r="AH118" s="32" t="s">
        <v>1991</v>
      </c>
      <c r="AI118" s="32" t="s">
        <v>1991</v>
      </c>
      <c r="AJ118" s="32" t="s">
        <v>1991</v>
      </c>
      <c r="AK118" s="506" t="s">
        <v>1991</v>
      </c>
      <c r="AL118" s="327"/>
      <c r="AM118" s="327"/>
      <c r="AN118" s="327" t="s">
        <v>1991</v>
      </c>
      <c r="AO118" s="327" t="s">
        <v>1991</v>
      </c>
      <c r="AP118" s="327"/>
      <c r="AQ118" s="327"/>
      <c r="AR118" s="327"/>
      <c r="AS118" s="327" t="s">
        <v>1991</v>
      </c>
      <c r="AT118" s="327" t="s">
        <v>1991</v>
      </c>
      <c r="AU118" s="327"/>
      <c r="AV118" s="327"/>
      <c r="AW118" s="327"/>
      <c r="AX118" s="327"/>
      <c r="AY118" s="327"/>
      <c r="AZ118" s="327"/>
      <c r="BA118" s="327"/>
      <c r="BB118" s="46">
        <f t="shared" si="38"/>
        <v>14</v>
      </c>
      <c r="BC118" s="46">
        <f t="shared" si="39"/>
        <v>16</v>
      </c>
      <c r="BD118" s="46">
        <f t="shared" si="36"/>
        <v>4</v>
      </c>
      <c r="BE118" s="46">
        <f t="shared" si="40"/>
        <v>0</v>
      </c>
      <c r="BF118" s="296">
        <f t="shared" si="41"/>
        <v>30</v>
      </c>
      <c r="BG118" s="26"/>
      <c r="BH118" s="2"/>
      <c r="BI118" s="2"/>
      <c r="BJ118" s="2"/>
      <c r="BK118" s="279">
        <f t="shared" si="42"/>
        <v>1</v>
      </c>
      <c r="BL118" s="279">
        <f t="shared" si="43"/>
        <v>30</v>
      </c>
      <c r="BM118" s="279"/>
      <c r="BN118" s="279"/>
      <c r="BO118" s="2">
        <f t="shared" si="44"/>
        <v>30</v>
      </c>
      <c r="BP118" s="430"/>
      <c r="BQ118" s="431"/>
      <c r="BR118" s="2"/>
      <c r="BS118" s="25"/>
      <c r="BT118" s="348">
        <f t="shared" si="37"/>
        <v>1</v>
      </c>
      <c r="BU118" s="2"/>
      <c r="BV118" s="282">
        <f t="shared" si="34"/>
        <v>0</v>
      </c>
      <c r="BW118" s="279"/>
      <c r="BX118" s="269">
        <f t="shared" si="35"/>
        <v>0</v>
      </c>
      <c r="BY118" s="349" t="e">
        <f>#N/A</f>
        <v>#N/A</v>
      </c>
      <c r="BZ118" s="349" t="e">
        <f>#N/A</f>
        <v>#N/A</v>
      </c>
      <c r="CA118" s="349" t="e">
        <f>#N/A</f>
        <v>#N/A</v>
      </c>
      <c r="CB118" s="351" t="e">
        <f>#N/A</f>
        <v>#N/A</v>
      </c>
      <c r="CC118" s="349" t="e">
        <f t="shared" si="45"/>
        <v>#N/A</v>
      </c>
      <c r="CD118" s="14" t="e">
        <f t="shared" si="46"/>
        <v>#N/A</v>
      </c>
      <c r="CE118" s="14">
        <f t="shared" si="47"/>
        <v>30</v>
      </c>
      <c r="CF118" s="25">
        <f t="shared" si="48"/>
        <v>1</v>
      </c>
      <c r="CG118" s="270"/>
      <c r="CH118" s="2"/>
      <c r="CL118" s="349"/>
      <c r="CM118" s="349"/>
      <c r="CN118" s="349"/>
      <c r="CO118" s="349"/>
      <c r="CP118" s="349"/>
      <c r="CQ118" s="14"/>
      <c r="CY118" s="2"/>
    </row>
    <row r="119" spans="1:103" s="1" customFormat="1" ht="29.4" customHeight="1">
      <c r="A119" s="46">
        <v>113</v>
      </c>
      <c r="B119" s="46">
        <v>5</v>
      </c>
      <c r="C119" s="46">
        <v>202</v>
      </c>
      <c r="D119" s="48"/>
      <c r="E119" s="48"/>
      <c r="F119" s="46"/>
      <c r="G119" s="310" t="s">
        <v>1991</v>
      </c>
      <c r="H119" s="310">
        <v>0</v>
      </c>
      <c r="I119" s="310" t="s">
        <v>1991</v>
      </c>
      <c r="J119" s="310">
        <v>0</v>
      </c>
      <c r="K119" s="310" t="s">
        <v>1991</v>
      </c>
      <c r="L119" s="310" t="s">
        <v>1991</v>
      </c>
      <c r="M119" s="310" t="s">
        <v>1991</v>
      </c>
      <c r="N119" s="310" t="s">
        <v>1991</v>
      </c>
      <c r="O119" s="310" t="s">
        <v>1991</v>
      </c>
      <c r="P119" s="310" t="s">
        <v>1991</v>
      </c>
      <c r="Q119" s="310" t="s">
        <v>1991</v>
      </c>
      <c r="R119" s="310" t="s">
        <v>1991</v>
      </c>
      <c r="S119" s="310" t="s">
        <v>1991</v>
      </c>
      <c r="T119" s="505" t="s">
        <v>1991</v>
      </c>
      <c r="U119" s="310" t="s">
        <v>1991</v>
      </c>
      <c r="V119" s="32" t="s">
        <v>1991</v>
      </c>
      <c r="W119" s="506" t="s">
        <v>1991</v>
      </c>
      <c r="X119" s="506" t="s">
        <v>1991</v>
      </c>
      <c r="Y119" s="506" t="s">
        <v>1991</v>
      </c>
      <c r="Z119" s="32" t="s">
        <v>1991</v>
      </c>
      <c r="AA119" s="32" t="s">
        <v>1991</v>
      </c>
      <c r="AB119" s="32" t="s">
        <v>1991</v>
      </c>
      <c r="AC119" s="32" t="s">
        <v>1991</v>
      </c>
      <c r="AD119" s="32" t="s">
        <v>1991</v>
      </c>
      <c r="AE119" s="506" t="s">
        <v>1991</v>
      </c>
      <c r="AF119" s="506" t="s">
        <v>1991</v>
      </c>
      <c r="AG119" s="32" t="s">
        <v>1991</v>
      </c>
      <c r="AH119" s="32" t="s">
        <v>1991</v>
      </c>
      <c r="AI119" s="32" t="s">
        <v>1991</v>
      </c>
      <c r="AJ119" s="32" t="s">
        <v>1991</v>
      </c>
      <c r="AK119" s="506" t="s">
        <v>1991</v>
      </c>
      <c r="AL119" s="327"/>
      <c r="AM119" s="327"/>
      <c r="AN119" s="327" t="s">
        <v>1991</v>
      </c>
      <c r="AO119" s="327" t="s">
        <v>1991</v>
      </c>
      <c r="AP119" s="327"/>
      <c r="AQ119" s="327"/>
      <c r="AR119" s="327"/>
      <c r="AS119" s="327" t="s">
        <v>1991</v>
      </c>
      <c r="AT119" s="327" t="s">
        <v>1991</v>
      </c>
      <c r="AU119" s="327"/>
      <c r="AV119" s="327"/>
      <c r="AW119" s="327"/>
      <c r="AX119" s="327"/>
      <c r="AY119" s="327"/>
      <c r="AZ119" s="327"/>
      <c r="BA119" s="327"/>
      <c r="BB119" s="46">
        <f t="shared" si="38"/>
        <v>13</v>
      </c>
      <c r="BC119" s="46">
        <f t="shared" si="39"/>
        <v>16</v>
      </c>
      <c r="BD119" s="46">
        <f t="shared" si="36"/>
        <v>4</v>
      </c>
      <c r="BE119" s="46">
        <f t="shared" si="40"/>
        <v>0</v>
      </c>
      <c r="BF119" s="296">
        <f t="shared" si="41"/>
        <v>29</v>
      </c>
      <c r="BG119" s="26"/>
      <c r="BH119" s="2"/>
      <c r="BI119" s="2"/>
      <c r="BJ119" s="2"/>
      <c r="BK119" s="279">
        <f t="shared" si="42"/>
        <v>1</v>
      </c>
      <c r="BL119" s="279">
        <f t="shared" si="43"/>
        <v>29</v>
      </c>
      <c r="BM119" s="279"/>
      <c r="BN119" s="279"/>
      <c r="BO119" s="2">
        <f t="shared" si="44"/>
        <v>29</v>
      </c>
      <c r="BP119" s="430"/>
      <c r="BQ119" s="431"/>
      <c r="BR119" s="2"/>
      <c r="BS119" s="25"/>
      <c r="BT119" s="348">
        <f t="shared" si="37"/>
        <v>1</v>
      </c>
      <c r="BU119" s="2"/>
      <c r="BV119" s="282">
        <f t="shared" si="34"/>
        <v>0</v>
      </c>
      <c r="BW119" s="279"/>
      <c r="BX119" s="269">
        <f t="shared" si="35"/>
        <v>0</v>
      </c>
      <c r="BY119" s="349" t="e">
        <f>#N/A</f>
        <v>#N/A</v>
      </c>
      <c r="BZ119" s="349" t="e">
        <f>#N/A</f>
        <v>#N/A</v>
      </c>
      <c r="CA119" s="349" t="e">
        <f>#N/A</f>
        <v>#N/A</v>
      </c>
      <c r="CB119" s="351" t="e">
        <f>#N/A</f>
        <v>#N/A</v>
      </c>
      <c r="CC119" s="349" t="e">
        <f t="shared" si="45"/>
        <v>#N/A</v>
      </c>
      <c r="CD119" s="14" t="e">
        <f t="shared" si="46"/>
        <v>#N/A</v>
      </c>
      <c r="CE119" s="14">
        <f t="shared" si="47"/>
        <v>29</v>
      </c>
      <c r="CF119" s="25">
        <f t="shared" si="48"/>
        <v>1</v>
      </c>
      <c r="CG119" s="270"/>
      <c r="CH119" s="2"/>
      <c r="CL119" s="349"/>
      <c r="CM119" s="349"/>
      <c r="CN119" s="349"/>
      <c r="CO119" s="349"/>
      <c r="CP119" s="349"/>
      <c r="CQ119" s="14"/>
      <c r="CY119" s="2"/>
    </row>
    <row r="120" spans="1:103" s="1" customFormat="1" ht="29.4" customHeight="1">
      <c r="A120" s="46">
        <v>114</v>
      </c>
      <c r="B120" s="46">
        <v>5</v>
      </c>
      <c r="C120" s="46">
        <v>203</v>
      </c>
      <c r="D120" s="48"/>
      <c r="E120" s="48"/>
      <c r="F120" s="46"/>
      <c r="G120" s="310" t="s">
        <v>1991</v>
      </c>
      <c r="H120" s="310">
        <v>0</v>
      </c>
      <c r="I120" s="310" t="s">
        <v>1991</v>
      </c>
      <c r="J120" s="310">
        <v>0</v>
      </c>
      <c r="K120" s="310" t="s">
        <v>1991</v>
      </c>
      <c r="L120" s="310" t="s">
        <v>1991</v>
      </c>
      <c r="M120" s="310" t="s">
        <v>1991</v>
      </c>
      <c r="N120" s="310" t="s">
        <v>1991</v>
      </c>
      <c r="O120" s="310" t="s">
        <v>1991</v>
      </c>
      <c r="P120" s="310" t="s">
        <v>1991</v>
      </c>
      <c r="Q120" s="310" t="s">
        <v>1991</v>
      </c>
      <c r="R120" s="310" t="s">
        <v>1991</v>
      </c>
      <c r="S120" s="310" t="s">
        <v>1991</v>
      </c>
      <c r="T120" s="505" t="s">
        <v>1991</v>
      </c>
      <c r="U120" s="310" t="s">
        <v>1991</v>
      </c>
      <c r="V120" s="32" t="s">
        <v>1991</v>
      </c>
      <c r="W120" s="506" t="s">
        <v>1991</v>
      </c>
      <c r="X120" s="506" t="s">
        <v>1991</v>
      </c>
      <c r="Y120" s="506" t="s">
        <v>1991</v>
      </c>
      <c r="Z120" s="32" t="s">
        <v>1991</v>
      </c>
      <c r="AA120" s="32" t="s">
        <v>1991</v>
      </c>
      <c r="AB120" s="32" t="s">
        <v>1991</v>
      </c>
      <c r="AC120" s="32" t="s">
        <v>1991</v>
      </c>
      <c r="AD120" s="32" t="s">
        <v>1991</v>
      </c>
      <c r="AE120" s="506" t="s">
        <v>1991</v>
      </c>
      <c r="AF120" s="506" t="s">
        <v>1991</v>
      </c>
      <c r="AG120" s="32" t="s">
        <v>1991</v>
      </c>
      <c r="AH120" s="32" t="s">
        <v>1991</v>
      </c>
      <c r="AI120" s="32" t="s">
        <v>1991</v>
      </c>
      <c r="AJ120" s="32" t="s">
        <v>1991</v>
      </c>
      <c r="AK120" s="506" t="s">
        <v>1991</v>
      </c>
      <c r="AL120" s="327"/>
      <c r="AM120" s="327"/>
      <c r="AN120" s="327" t="s">
        <v>1991</v>
      </c>
      <c r="AO120" s="327" t="s">
        <v>1991</v>
      </c>
      <c r="AP120" s="327"/>
      <c r="AQ120" s="327"/>
      <c r="AR120" s="327"/>
      <c r="AS120" s="327" t="s">
        <v>1991</v>
      </c>
      <c r="AT120" s="327" t="s">
        <v>1991</v>
      </c>
      <c r="AU120" s="327"/>
      <c r="AV120" s="327"/>
      <c r="AW120" s="327"/>
      <c r="AX120" s="327"/>
      <c r="AY120" s="327"/>
      <c r="AZ120" s="327"/>
      <c r="BA120" s="327"/>
      <c r="BB120" s="46">
        <f t="shared" si="38"/>
        <v>13</v>
      </c>
      <c r="BC120" s="46">
        <f t="shared" si="39"/>
        <v>16</v>
      </c>
      <c r="BD120" s="46">
        <f t="shared" si="36"/>
        <v>4</v>
      </c>
      <c r="BE120" s="46">
        <f t="shared" si="40"/>
        <v>0</v>
      </c>
      <c r="BF120" s="296">
        <f t="shared" si="41"/>
        <v>29</v>
      </c>
      <c r="BG120" s="26"/>
      <c r="BH120" s="2"/>
      <c r="BI120" s="2"/>
      <c r="BJ120" s="2"/>
      <c r="BK120" s="279">
        <f t="shared" si="42"/>
        <v>1</v>
      </c>
      <c r="BL120" s="279">
        <f t="shared" si="43"/>
        <v>29</v>
      </c>
      <c r="BM120" s="279"/>
      <c r="BN120" s="279"/>
      <c r="BO120" s="2">
        <f t="shared" si="44"/>
        <v>29</v>
      </c>
      <c r="BP120" s="430"/>
      <c r="BQ120" s="431"/>
      <c r="BR120" s="2"/>
      <c r="BS120" s="25"/>
      <c r="BT120" s="348">
        <f t="shared" si="37"/>
        <v>1</v>
      </c>
      <c r="BU120" s="2"/>
      <c r="BV120" s="282">
        <f t="shared" si="34"/>
        <v>0</v>
      </c>
      <c r="BW120" s="279"/>
      <c r="BX120" s="269">
        <f t="shared" si="35"/>
        <v>0</v>
      </c>
      <c r="BY120" s="349" t="e">
        <f>#N/A</f>
        <v>#N/A</v>
      </c>
      <c r="BZ120" s="349" t="e">
        <f>#N/A</f>
        <v>#N/A</v>
      </c>
      <c r="CA120" s="349" t="e">
        <f>#N/A</f>
        <v>#N/A</v>
      </c>
      <c r="CB120" s="351" t="e">
        <f>#N/A</f>
        <v>#N/A</v>
      </c>
      <c r="CC120" s="349" t="e">
        <f t="shared" si="45"/>
        <v>#N/A</v>
      </c>
      <c r="CD120" s="14" t="e">
        <f t="shared" si="46"/>
        <v>#N/A</v>
      </c>
      <c r="CE120" s="14">
        <f t="shared" si="47"/>
        <v>29</v>
      </c>
      <c r="CF120" s="25">
        <f t="shared" si="48"/>
        <v>1</v>
      </c>
      <c r="CG120" s="270"/>
      <c r="CH120" s="2"/>
      <c r="CL120" s="349"/>
      <c r="CM120" s="349"/>
      <c r="CN120" s="349"/>
      <c r="CO120" s="349"/>
      <c r="CP120" s="349"/>
      <c r="CQ120" s="14"/>
      <c r="CY120" s="2"/>
    </row>
    <row r="121" spans="1:103" s="1" customFormat="1" ht="29.4" customHeight="1">
      <c r="A121" s="46">
        <v>115</v>
      </c>
      <c r="B121" s="46">
        <v>5</v>
      </c>
      <c r="C121" s="46">
        <v>204</v>
      </c>
      <c r="D121" s="48"/>
      <c r="E121" s="48"/>
      <c r="F121" s="46"/>
      <c r="G121" s="310">
        <v>0</v>
      </c>
      <c r="H121" s="310" t="s">
        <v>1991</v>
      </c>
      <c r="I121" s="310" t="s">
        <v>1991</v>
      </c>
      <c r="J121" s="310" t="s">
        <v>1991</v>
      </c>
      <c r="K121" s="310" t="s">
        <v>1991</v>
      </c>
      <c r="L121" s="310" t="s">
        <v>1991</v>
      </c>
      <c r="M121" s="310" t="s">
        <v>1991</v>
      </c>
      <c r="N121" s="310" t="s">
        <v>1991</v>
      </c>
      <c r="O121" s="310" t="s">
        <v>1991</v>
      </c>
      <c r="P121" s="310" t="s">
        <v>1991</v>
      </c>
      <c r="Q121" s="310" t="s">
        <v>1991</v>
      </c>
      <c r="R121" s="310" t="s">
        <v>1991</v>
      </c>
      <c r="S121" s="310" t="s">
        <v>1991</v>
      </c>
      <c r="T121" s="505" t="s">
        <v>1991</v>
      </c>
      <c r="U121" s="310" t="s">
        <v>1991</v>
      </c>
      <c r="V121" s="32" t="s">
        <v>1991</v>
      </c>
      <c r="W121" s="506" t="s">
        <v>1991</v>
      </c>
      <c r="X121" s="506" t="s">
        <v>1991</v>
      </c>
      <c r="Y121" s="506" t="s">
        <v>1991</v>
      </c>
      <c r="Z121" s="32" t="s">
        <v>1991</v>
      </c>
      <c r="AA121" s="32">
        <v>0</v>
      </c>
      <c r="AB121" s="32" t="s">
        <v>1991</v>
      </c>
      <c r="AC121" s="32" t="s">
        <v>1991</v>
      </c>
      <c r="AD121" s="32" t="s">
        <v>1991</v>
      </c>
      <c r="AE121" s="506" t="s">
        <v>1991</v>
      </c>
      <c r="AF121" s="506" t="s">
        <v>1991</v>
      </c>
      <c r="AG121" s="32" t="s">
        <v>1991</v>
      </c>
      <c r="AH121" s="32" t="s">
        <v>1991</v>
      </c>
      <c r="AI121" s="32" t="s">
        <v>1991</v>
      </c>
      <c r="AJ121" s="32" t="s">
        <v>1991</v>
      </c>
      <c r="AK121" s="506" t="s">
        <v>1991</v>
      </c>
      <c r="AL121" s="327"/>
      <c r="AM121" s="327"/>
      <c r="AN121" s="327" t="s">
        <v>1991</v>
      </c>
      <c r="AO121" s="327" t="s">
        <v>1991</v>
      </c>
      <c r="AP121" s="327"/>
      <c r="AQ121" s="327"/>
      <c r="AR121" s="327"/>
      <c r="AS121" s="327" t="s">
        <v>1991</v>
      </c>
      <c r="AT121" s="327" t="s">
        <v>1991</v>
      </c>
      <c r="AU121" s="327"/>
      <c r="AV121" s="327"/>
      <c r="AW121" s="327"/>
      <c r="AX121" s="327"/>
      <c r="AY121" s="327"/>
      <c r="AZ121" s="327"/>
      <c r="BA121" s="327"/>
      <c r="BB121" s="46">
        <f t="shared" si="38"/>
        <v>14</v>
      </c>
      <c r="BC121" s="46">
        <f t="shared" si="39"/>
        <v>15</v>
      </c>
      <c r="BD121" s="46">
        <f t="shared" si="36"/>
        <v>4</v>
      </c>
      <c r="BE121" s="46">
        <f t="shared" si="40"/>
        <v>0</v>
      </c>
      <c r="BF121" s="296">
        <f t="shared" si="41"/>
        <v>29</v>
      </c>
      <c r="BG121" s="26"/>
      <c r="BH121" s="2"/>
      <c r="BI121" s="2"/>
      <c r="BJ121" s="2"/>
      <c r="BK121" s="279">
        <f t="shared" si="42"/>
        <v>1</v>
      </c>
      <c r="BL121" s="279">
        <f t="shared" si="43"/>
        <v>29</v>
      </c>
      <c r="BM121" s="279"/>
      <c r="BN121" s="279"/>
      <c r="BO121" s="2">
        <f t="shared" si="44"/>
        <v>29</v>
      </c>
      <c r="BP121" s="430"/>
      <c r="BQ121" s="431"/>
      <c r="BR121" s="2"/>
      <c r="BS121" s="25"/>
      <c r="BT121" s="348">
        <f t="shared" si="37"/>
        <v>1</v>
      </c>
      <c r="BU121" s="2"/>
      <c r="BV121" s="282">
        <f t="shared" si="34"/>
        <v>0</v>
      </c>
      <c r="BW121" s="279"/>
      <c r="BX121" s="269">
        <f t="shared" si="35"/>
        <v>0</v>
      </c>
      <c r="BY121" s="349" t="e">
        <f>#N/A</f>
        <v>#N/A</v>
      </c>
      <c r="BZ121" s="349" t="e">
        <f>#N/A</f>
        <v>#N/A</v>
      </c>
      <c r="CA121" s="349" t="e">
        <f>#N/A</f>
        <v>#N/A</v>
      </c>
      <c r="CB121" s="351" t="e">
        <f>#N/A</f>
        <v>#N/A</v>
      </c>
      <c r="CC121" s="349" t="e">
        <f t="shared" si="45"/>
        <v>#N/A</v>
      </c>
      <c r="CD121" s="14" t="e">
        <f t="shared" si="46"/>
        <v>#N/A</v>
      </c>
      <c r="CE121" s="14">
        <f t="shared" si="47"/>
        <v>29</v>
      </c>
      <c r="CF121" s="25">
        <f t="shared" si="48"/>
        <v>1</v>
      </c>
      <c r="CG121" s="270"/>
      <c r="CH121" s="2"/>
      <c r="CL121" s="349"/>
      <c r="CM121" s="349"/>
      <c r="CN121" s="349"/>
      <c r="CO121" s="349"/>
      <c r="CP121" s="349"/>
      <c r="CQ121" s="14"/>
      <c r="CY121" s="2"/>
    </row>
    <row r="122" spans="1:103" s="1" customFormat="1" ht="29.4" customHeight="1">
      <c r="A122" s="46">
        <v>116</v>
      </c>
      <c r="B122" s="46">
        <v>5</v>
      </c>
      <c r="C122" s="46">
        <v>205</v>
      </c>
      <c r="D122" s="48"/>
      <c r="E122" s="48"/>
      <c r="F122" s="46"/>
      <c r="G122" s="310" t="s">
        <v>1991</v>
      </c>
      <c r="H122" s="310" t="s">
        <v>1991</v>
      </c>
      <c r="I122" s="310" t="s">
        <v>1991</v>
      </c>
      <c r="J122" s="310">
        <v>0</v>
      </c>
      <c r="K122" s="310" t="s">
        <v>1991</v>
      </c>
      <c r="L122" s="310" t="s">
        <v>1991</v>
      </c>
      <c r="M122" s="310" t="s">
        <v>1991</v>
      </c>
      <c r="N122" s="310" t="s">
        <v>1991</v>
      </c>
      <c r="O122" s="310" t="s">
        <v>1991</v>
      </c>
      <c r="P122" s="310" t="s">
        <v>1991</v>
      </c>
      <c r="Q122" s="310" t="s">
        <v>1991</v>
      </c>
      <c r="R122" s="310" t="s">
        <v>1991</v>
      </c>
      <c r="S122" s="310" t="s">
        <v>1991</v>
      </c>
      <c r="T122" s="505" t="s">
        <v>1991</v>
      </c>
      <c r="U122" s="310" t="s">
        <v>1991</v>
      </c>
      <c r="V122" s="32" t="s">
        <v>1991</v>
      </c>
      <c r="W122" s="506" t="s">
        <v>1991</v>
      </c>
      <c r="X122" s="506" t="s">
        <v>1991</v>
      </c>
      <c r="Y122" s="506" t="s">
        <v>1991</v>
      </c>
      <c r="Z122" s="32" t="s">
        <v>1991</v>
      </c>
      <c r="AA122" s="32" t="s">
        <v>1991</v>
      </c>
      <c r="AB122" s="32" t="s">
        <v>1991</v>
      </c>
      <c r="AC122" s="32" t="s">
        <v>1991</v>
      </c>
      <c r="AD122" s="32" t="s">
        <v>1991</v>
      </c>
      <c r="AE122" s="506" t="s">
        <v>1991</v>
      </c>
      <c r="AF122" s="506" t="s">
        <v>1991</v>
      </c>
      <c r="AG122" s="32" t="s">
        <v>1991</v>
      </c>
      <c r="AH122" s="32" t="s">
        <v>1991</v>
      </c>
      <c r="AI122" s="32" t="s">
        <v>1991</v>
      </c>
      <c r="AJ122" s="32" t="s">
        <v>1991</v>
      </c>
      <c r="AK122" s="506" t="s">
        <v>1991</v>
      </c>
      <c r="AL122" s="327"/>
      <c r="AM122" s="327"/>
      <c r="AN122" s="327" t="s">
        <v>1991</v>
      </c>
      <c r="AO122" s="327" t="s">
        <v>1991</v>
      </c>
      <c r="AP122" s="327"/>
      <c r="AQ122" s="327"/>
      <c r="AR122" s="327"/>
      <c r="AS122" s="327" t="s">
        <v>1991</v>
      </c>
      <c r="AT122" s="327" t="s">
        <v>1991</v>
      </c>
      <c r="AU122" s="327"/>
      <c r="AV122" s="327"/>
      <c r="AW122" s="327"/>
      <c r="AX122" s="327"/>
      <c r="AY122" s="327"/>
      <c r="AZ122" s="327"/>
      <c r="BA122" s="327"/>
      <c r="BB122" s="46">
        <f t="shared" si="38"/>
        <v>14</v>
      </c>
      <c r="BC122" s="46">
        <f t="shared" si="39"/>
        <v>16</v>
      </c>
      <c r="BD122" s="46">
        <f t="shared" si="36"/>
        <v>4</v>
      </c>
      <c r="BE122" s="46">
        <f t="shared" si="40"/>
        <v>0</v>
      </c>
      <c r="BF122" s="296">
        <f t="shared" si="41"/>
        <v>30</v>
      </c>
      <c r="BG122" s="26"/>
      <c r="BH122" s="2"/>
      <c r="BI122" s="2"/>
      <c r="BJ122" s="2"/>
      <c r="BK122" s="279">
        <f t="shared" si="42"/>
        <v>1</v>
      </c>
      <c r="BL122" s="279">
        <f t="shared" si="43"/>
        <v>30</v>
      </c>
      <c r="BM122" s="279"/>
      <c r="BN122" s="279"/>
      <c r="BO122" s="2">
        <f t="shared" si="44"/>
        <v>30</v>
      </c>
      <c r="BP122" s="430"/>
      <c r="BQ122" s="431"/>
      <c r="BR122" s="2"/>
      <c r="BS122" s="25"/>
      <c r="BT122" s="348">
        <f t="shared" si="37"/>
        <v>1</v>
      </c>
      <c r="BU122" s="2"/>
      <c r="BV122" s="282">
        <f t="shared" si="34"/>
        <v>0</v>
      </c>
      <c r="BW122" s="279"/>
      <c r="BX122" s="269">
        <f t="shared" si="35"/>
        <v>0</v>
      </c>
      <c r="BY122" s="349" t="e">
        <f>#N/A</f>
        <v>#N/A</v>
      </c>
      <c r="BZ122" s="349" t="e">
        <f>#N/A</f>
        <v>#N/A</v>
      </c>
      <c r="CA122" s="349" t="e">
        <f>#N/A</f>
        <v>#N/A</v>
      </c>
      <c r="CB122" s="351" t="e">
        <f>#N/A</f>
        <v>#N/A</v>
      </c>
      <c r="CC122" s="349" t="e">
        <f t="shared" si="45"/>
        <v>#N/A</v>
      </c>
      <c r="CD122" s="14" t="e">
        <f t="shared" si="46"/>
        <v>#N/A</v>
      </c>
      <c r="CE122" s="14">
        <f t="shared" si="47"/>
        <v>30</v>
      </c>
      <c r="CF122" s="25">
        <f t="shared" si="48"/>
        <v>1</v>
      </c>
      <c r="CG122" s="270"/>
      <c r="CH122" s="2"/>
      <c r="CL122" s="349"/>
      <c r="CM122" s="349"/>
      <c r="CN122" s="349"/>
      <c r="CO122" s="349"/>
      <c r="CP122" s="349"/>
      <c r="CQ122" s="14"/>
      <c r="CY122" s="2"/>
    </row>
    <row r="123" spans="1:103" s="1" customFormat="1" ht="29.4" customHeight="1">
      <c r="A123" s="46">
        <v>117</v>
      </c>
      <c r="B123" s="46">
        <v>5</v>
      </c>
      <c r="C123" s="46">
        <v>206</v>
      </c>
      <c r="D123" s="48"/>
      <c r="E123" s="48"/>
      <c r="F123" s="46"/>
      <c r="G123" s="310" t="s">
        <v>1991</v>
      </c>
      <c r="H123" s="310" t="s">
        <v>1991</v>
      </c>
      <c r="I123" s="310" t="s">
        <v>1991</v>
      </c>
      <c r="J123" s="310">
        <v>0</v>
      </c>
      <c r="K123" s="310" t="s">
        <v>1991</v>
      </c>
      <c r="L123" s="310" t="s">
        <v>1991</v>
      </c>
      <c r="M123" s="310" t="s">
        <v>1991</v>
      </c>
      <c r="N123" s="310" t="s">
        <v>1991</v>
      </c>
      <c r="O123" s="310" t="s">
        <v>1991</v>
      </c>
      <c r="P123" s="310" t="s">
        <v>1991</v>
      </c>
      <c r="Q123" s="310" t="s">
        <v>1991</v>
      </c>
      <c r="R123" s="310" t="s">
        <v>1991</v>
      </c>
      <c r="S123" s="310" t="s">
        <v>1991</v>
      </c>
      <c r="T123" s="505" t="s">
        <v>1991</v>
      </c>
      <c r="U123" s="310" t="s">
        <v>1991</v>
      </c>
      <c r="V123" s="32" t="s">
        <v>1991</v>
      </c>
      <c r="W123" s="506" t="s">
        <v>1991</v>
      </c>
      <c r="X123" s="506" t="s">
        <v>1991</v>
      </c>
      <c r="Y123" s="506" t="s">
        <v>1991</v>
      </c>
      <c r="Z123" s="32" t="s">
        <v>1991</v>
      </c>
      <c r="AA123" s="32" t="s">
        <v>1991</v>
      </c>
      <c r="AB123" s="32" t="s">
        <v>1991</v>
      </c>
      <c r="AC123" s="32" t="s">
        <v>1991</v>
      </c>
      <c r="AD123" s="32" t="s">
        <v>1991</v>
      </c>
      <c r="AE123" s="506">
        <v>0</v>
      </c>
      <c r="AF123" s="506" t="s">
        <v>1991</v>
      </c>
      <c r="AG123" s="32" t="s">
        <v>1991</v>
      </c>
      <c r="AH123" s="32" t="s">
        <v>1991</v>
      </c>
      <c r="AI123" s="32" t="s">
        <v>1991</v>
      </c>
      <c r="AJ123" s="32" t="s">
        <v>1991</v>
      </c>
      <c r="AK123" s="506" t="s">
        <v>1991</v>
      </c>
      <c r="AL123" s="327"/>
      <c r="AM123" s="327"/>
      <c r="AN123" s="327" t="s">
        <v>1991</v>
      </c>
      <c r="AO123" s="327" t="s">
        <v>1991</v>
      </c>
      <c r="AP123" s="327"/>
      <c r="AQ123" s="327"/>
      <c r="AR123" s="327"/>
      <c r="AS123" s="327">
        <v>0</v>
      </c>
      <c r="AT123" s="327" t="s">
        <v>1991</v>
      </c>
      <c r="AU123" s="327"/>
      <c r="AV123" s="327"/>
      <c r="AW123" s="327"/>
      <c r="AX123" s="327"/>
      <c r="AY123" s="327"/>
      <c r="AZ123" s="327"/>
      <c r="BA123" s="327"/>
      <c r="BB123" s="46">
        <f t="shared" si="38"/>
        <v>14</v>
      </c>
      <c r="BC123" s="46">
        <f t="shared" si="39"/>
        <v>15</v>
      </c>
      <c r="BD123" s="46">
        <f t="shared" si="36"/>
        <v>3</v>
      </c>
      <c r="BE123" s="46">
        <f t="shared" si="40"/>
        <v>0</v>
      </c>
      <c r="BF123" s="296">
        <f t="shared" si="41"/>
        <v>29</v>
      </c>
      <c r="BG123" s="26"/>
      <c r="BH123" s="2"/>
      <c r="BI123" s="2"/>
      <c r="BJ123" s="2"/>
      <c r="BK123" s="279">
        <f t="shared" si="42"/>
        <v>1</v>
      </c>
      <c r="BL123" s="279">
        <f t="shared" si="43"/>
        <v>29</v>
      </c>
      <c r="BM123" s="279"/>
      <c r="BN123" s="279"/>
      <c r="BO123" s="2">
        <f t="shared" si="44"/>
        <v>29</v>
      </c>
      <c r="BP123" s="430"/>
      <c r="BQ123" s="431"/>
      <c r="BR123" s="2"/>
      <c r="BS123" s="25"/>
      <c r="BT123" s="348">
        <f t="shared" si="37"/>
        <v>1</v>
      </c>
      <c r="BU123" s="2"/>
      <c r="BV123" s="282">
        <f t="shared" si="34"/>
        <v>0</v>
      </c>
      <c r="BW123" s="279"/>
      <c r="BX123" s="269">
        <f t="shared" si="35"/>
        <v>0</v>
      </c>
      <c r="BY123" s="349" t="e">
        <f>#N/A</f>
        <v>#N/A</v>
      </c>
      <c r="BZ123" s="349" t="e">
        <f>#N/A</f>
        <v>#N/A</v>
      </c>
      <c r="CA123" s="349" t="e">
        <f>#N/A</f>
        <v>#N/A</v>
      </c>
      <c r="CB123" s="351" t="e">
        <f>#N/A</f>
        <v>#N/A</v>
      </c>
      <c r="CC123" s="349" t="e">
        <f t="shared" si="45"/>
        <v>#N/A</v>
      </c>
      <c r="CD123" s="14" t="e">
        <f t="shared" si="46"/>
        <v>#N/A</v>
      </c>
      <c r="CE123" s="14">
        <f t="shared" si="47"/>
        <v>29</v>
      </c>
      <c r="CF123" s="25">
        <f t="shared" si="48"/>
        <v>1</v>
      </c>
      <c r="CG123" s="270"/>
      <c r="CH123" s="2"/>
      <c r="CL123" s="349"/>
      <c r="CM123" s="349"/>
      <c r="CN123" s="349"/>
      <c r="CO123" s="349"/>
      <c r="CP123" s="349"/>
      <c r="CQ123" s="14"/>
      <c r="CY123" s="2"/>
    </row>
    <row r="124" spans="1:103" s="1" customFormat="1" ht="29.4" customHeight="1">
      <c r="A124" s="46">
        <v>118</v>
      </c>
      <c r="B124" s="46">
        <v>5</v>
      </c>
      <c r="C124" s="46">
        <v>207</v>
      </c>
      <c r="D124" s="48"/>
      <c r="E124" s="48"/>
      <c r="F124" s="46"/>
      <c r="G124" s="310" t="s">
        <v>1991</v>
      </c>
      <c r="H124" s="310">
        <v>0</v>
      </c>
      <c r="I124" s="310" t="s">
        <v>1991</v>
      </c>
      <c r="J124" s="310">
        <v>0</v>
      </c>
      <c r="K124" s="310" t="s">
        <v>1991</v>
      </c>
      <c r="L124" s="310">
        <v>0</v>
      </c>
      <c r="M124" s="310" t="s">
        <v>1991</v>
      </c>
      <c r="N124" s="310" t="s">
        <v>1991</v>
      </c>
      <c r="O124" s="310" t="s">
        <v>1991</v>
      </c>
      <c r="P124" s="310" t="s">
        <v>1991</v>
      </c>
      <c r="Q124" s="310" t="s">
        <v>1991</v>
      </c>
      <c r="R124" s="310" t="s">
        <v>1991</v>
      </c>
      <c r="S124" s="310" t="s">
        <v>1991</v>
      </c>
      <c r="T124" s="505" t="s">
        <v>1991</v>
      </c>
      <c r="U124" s="310" t="s">
        <v>1991</v>
      </c>
      <c r="V124" s="32" t="s">
        <v>1991</v>
      </c>
      <c r="W124" s="506" t="s">
        <v>1991</v>
      </c>
      <c r="X124" s="506" t="s">
        <v>1991</v>
      </c>
      <c r="Y124" s="506" t="s">
        <v>1991</v>
      </c>
      <c r="Z124" s="32">
        <v>0</v>
      </c>
      <c r="AA124" s="32" t="s">
        <v>1991</v>
      </c>
      <c r="AB124" s="32" t="s">
        <v>1991</v>
      </c>
      <c r="AC124" s="32" t="s">
        <v>1991</v>
      </c>
      <c r="AD124" s="32" t="s">
        <v>1991</v>
      </c>
      <c r="AE124" s="506" t="s">
        <v>1991</v>
      </c>
      <c r="AF124" s="506" t="s">
        <v>1991</v>
      </c>
      <c r="AG124" s="32" t="s">
        <v>1991</v>
      </c>
      <c r="AH124" s="32" t="s">
        <v>1991</v>
      </c>
      <c r="AI124" s="32" t="s">
        <v>1991</v>
      </c>
      <c r="AJ124" s="32" t="s">
        <v>1991</v>
      </c>
      <c r="AK124" s="506" t="s">
        <v>1991</v>
      </c>
      <c r="AL124" s="327"/>
      <c r="AM124" s="327"/>
      <c r="AN124" s="327" t="s">
        <v>1991</v>
      </c>
      <c r="AO124" s="327">
        <v>0</v>
      </c>
      <c r="AP124" s="327"/>
      <c r="AQ124" s="327"/>
      <c r="AR124" s="327"/>
      <c r="AS124" s="327" t="s">
        <v>1991</v>
      </c>
      <c r="AT124" s="327" t="s">
        <v>1991</v>
      </c>
      <c r="AU124" s="327"/>
      <c r="AV124" s="327"/>
      <c r="AW124" s="327"/>
      <c r="AX124" s="327"/>
      <c r="AY124" s="327"/>
      <c r="AZ124" s="327"/>
      <c r="BA124" s="327"/>
      <c r="BB124" s="46">
        <f t="shared" si="38"/>
        <v>12</v>
      </c>
      <c r="BC124" s="46">
        <f t="shared" si="39"/>
        <v>15</v>
      </c>
      <c r="BD124" s="46">
        <f t="shared" si="36"/>
        <v>3</v>
      </c>
      <c r="BE124" s="46">
        <f t="shared" si="40"/>
        <v>0</v>
      </c>
      <c r="BF124" s="296">
        <f t="shared" si="41"/>
        <v>27</v>
      </c>
      <c r="BG124" s="26"/>
      <c r="BH124" s="2"/>
      <c r="BI124" s="2"/>
      <c r="BJ124" s="2"/>
      <c r="BK124" s="279">
        <f t="shared" si="42"/>
        <v>1</v>
      </c>
      <c r="BL124" s="279">
        <f t="shared" si="43"/>
        <v>27</v>
      </c>
      <c r="BM124" s="279"/>
      <c r="BN124" s="279"/>
      <c r="BO124" s="2">
        <f t="shared" si="44"/>
        <v>27</v>
      </c>
      <c r="BP124" s="430"/>
      <c r="BQ124" s="431"/>
      <c r="BR124" s="2"/>
      <c r="BS124" s="25"/>
      <c r="BT124" s="348">
        <f t="shared" si="37"/>
        <v>1</v>
      </c>
      <c r="BU124" s="2"/>
      <c r="BV124" s="282">
        <f t="shared" si="34"/>
        <v>0</v>
      </c>
      <c r="BW124" s="279"/>
      <c r="BX124" s="269">
        <f t="shared" si="35"/>
        <v>0</v>
      </c>
      <c r="BY124" s="349" t="e">
        <f>#N/A</f>
        <v>#N/A</v>
      </c>
      <c r="BZ124" s="349" t="e">
        <f>#N/A</f>
        <v>#N/A</v>
      </c>
      <c r="CA124" s="349" t="e">
        <f>#N/A</f>
        <v>#N/A</v>
      </c>
      <c r="CB124" s="351" t="e">
        <f>#N/A</f>
        <v>#N/A</v>
      </c>
      <c r="CC124" s="349" t="e">
        <f t="shared" si="45"/>
        <v>#N/A</v>
      </c>
      <c r="CD124" s="14" t="e">
        <f t="shared" si="46"/>
        <v>#N/A</v>
      </c>
      <c r="CE124" s="14">
        <f t="shared" si="47"/>
        <v>27</v>
      </c>
      <c r="CF124" s="25">
        <f t="shared" si="48"/>
        <v>1</v>
      </c>
      <c r="CG124" s="270"/>
      <c r="CH124" s="2"/>
      <c r="CL124" s="349"/>
      <c r="CM124" s="349"/>
      <c r="CN124" s="349"/>
      <c r="CO124" s="349"/>
      <c r="CP124" s="349"/>
      <c r="CQ124" s="14"/>
      <c r="CY124" s="2"/>
    </row>
    <row r="125" spans="1:103" s="1" customFormat="1" ht="29.4" customHeight="1">
      <c r="A125" s="46">
        <v>119</v>
      </c>
      <c r="B125" s="46">
        <v>5</v>
      </c>
      <c r="C125" s="46">
        <v>208</v>
      </c>
      <c r="D125" s="48"/>
      <c r="E125" s="48"/>
      <c r="F125" s="46"/>
      <c r="G125" s="310" t="s">
        <v>1991</v>
      </c>
      <c r="H125" s="310">
        <v>0</v>
      </c>
      <c r="I125" s="310" t="s">
        <v>1991</v>
      </c>
      <c r="J125" s="310">
        <v>0</v>
      </c>
      <c r="K125" s="310" t="s">
        <v>1991</v>
      </c>
      <c r="L125" s="310" t="s">
        <v>1991</v>
      </c>
      <c r="M125" s="310" t="s">
        <v>1991</v>
      </c>
      <c r="N125" s="310" t="s">
        <v>1991</v>
      </c>
      <c r="O125" s="310" t="s">
        <v>1991</v>
      </c>
      <c r="P125" s="310" t="s">
        <v>1991</v>
      </c>
      <c r="Q125" s="310" t="s">
        <v>1991</v>
      </c>
      <c r="R125" s="310" t="s">
        <v>1991</v>
      </c>
      <c r="S125" s="310" t="s">
        <v>1991</v>
      </c>
      <c r="T125" s="505" t="s">
        <v>1991</v>
      </c>
      <c r="U125" s="310" t="s">
        <v>1991</v>
      </c>
      <c r="V125" s="32" t="s">
        <v>1991</v>
      </c>
      <c r="W125" s="506" t="s">
        <v>1991</v>
      </c>
      <c r="X125" s="506">
        <v>0</v>
      </c>
      <c r="Y125" s="506" t="s">
        <v>1991</v>
      </c>
      <c r="Z125" s="32" t="s">
        <v>1991</v>
      </c>
      <c r="AA125" s="32" t="s">
        <v>1991</v>
      </c>
      <c r="AB125" s="32" t="s">
        <v>1991</v>
      </c>
      <c r="AC125" s="32" t="s">
        <v>1991</v>
      </c>
      <c r="AD125" s="32" t="s">
        <v>1991</v>
      </c>
      <c r="AE125" s="506" t="s">
        <v>1991</v>
      </c>
      <c r="AF125" s="506" t="s">
        <v>1991</v>
      </c>
      <c r="AG125" s="32" t="s">
        <v>1991</v>
      </c>
      <c r="AH125" s="32" t="s">
        <v>1991</v>
      </c>
      <c r="AI125" s="32" t="s">
        <v>1991</v>
      </c>
      <c r="AJ125" s="32" t="s">
        <v>1991</v>
      </c>
      <c r="AK125" s="506" t="s">
        <v>1991</v>
      </c>
      <c r="AL125" s="327"/>
      <c r="AM125" s="327"/>
      <c r="AN125" s="327" t="s">
        <v>1991</v>
      </c>
      <c r="AO125" s="327" t="s">
        <v>1991</v>
      </c>
      <c r="AP125" s="327"/>
      <c r="AQ125" s="327"/>
      <c r="AR125" s="327"/>
      <c r="AS125" s="327" t="s">
        <v>1991</v>
      </c>
      <c r="AT125" s="327" t="s">
        <v>1991</v>
      </c>
      <c r="AU125" s="327"/>
      <c r="AV125" s="327"/>
      <c r="AW125" s="327"/>
      <c r="AX125" s="327"/>
      <c r="AY125" s="327"/>
      <c r="AZ125" s="327"/>
      <c r="BA125" s="327"/>
      <c r="BB125" s="46">
        <f t="shared" si="38"/>
        <v>13</v>
      </c>
      <c r="BC125" s="46">
        <f t="shared" si="39"/>
        <v>15</v>
      </c>
      <c r="BD125" s="46">
        <f t="shared" si="36"/>
        <v>4</v>
      </c>
      <c r="BE125" s="46">
        <f t="shared" si="40"/>
        <v>0</v>
      </c>
      <c r="BF125" s="296">
        <f t="shared" si="41"/>
        <v>28</v>
      </c>
      <c r="BG125" s="26"/>
      <c r="BH125" s="2"/>
      <c r="BI125" s="2"/>
      <c r="BJ125" s="2"/>
      <c r="BK125" s="279">
        <f t="shared" si="42"/>
        <v>1</v>
      </c>
      <c r="BL125" s="279">
        <f t="shared" si="43"/>
        <v>28</v>
      </c>
      <c r="BM125" s="279"/>
      <c r="BN125" s="279"/>
      <c r="BO125" s="2">
        <f t="shared" si="44"/>
        <v>28</v>
      </c>
      <c r="BP125" s="430"/>
      <c r="BQ125" s="431"/>
      <c r="BR125" s="2"/>
      <c r="BS125" s="25"/>
      <c r="BT125" s="348">
        <f t="shared" si="37"/>
        <v>1</v>
      </c>
      <c r="BU125" s="2"/>
      <c r="BV125" s="282">
        <f t="shared" si="34"/>
        <v>0</v>
      </c>
      <c r="BW125" s="279"/>
      <c r="BX125" s="269">
        <f t="shared" si="35"/>
        <v>0</v>
      </c>
      <c r="BY125" s="349" t="e">
        <f>#N/A</f>
        <v>#N/A</v>
      </c>
      <c r="BZ125" s="349" t="e">
        <f>#N/A</f>
        <v>#N/A</v>
      </c>
      <c r="CA125" s="349" t="e">
        <f>#N/A</f>
        <v>#N/A</v>
      </c>
      <c r="CB125" s="351" t="e">
        <f>#N/A</f>
        <v>#N/A</v>
      </c>
      <c r="CC125" s="349" t="e">
        <f t="shared" si="45"/>
        <v>#N/A</v>
      </c>
      <c r="CD125" s="14" t="e">
        <f t="shared" si="46"/>
        <v>#N/A</v>
      </c>
      <c r="CE125" s="14">
        <f t="shared" si="47"/>
        <v>28</v>
      </c>
      <c r="CF125" s="25">
        <f t="shared" si="48"/>
        <v>1</v>
      </c>
      <c r="CG125" s="270"/>
      <c r="CH125" s="2"/>
      <c r="CL125" s="349"/>
      <c r="CM125" s="349"/>
      <c r="CN125" s="349"/>
      <c r="CO125" s="349"/>
      <c r="CP125" s="349"/>
      <c r="CQ125" s="14"/>
      <c r="CY125" s="2"/>
    </row>
    <row r="126" spans="1:103" s="1" customFormat="1" ht="29.4" customHeight="1">
      <c r="A126" s="46">
        <v>120</v>
      </c>
      <c r="B126" s="46">
        <v>5</v>
      </c>
      <c r="C126" s="46">
        <v>209</v>
      </c>
      <c r="D126" s="48"/>
      <c r="E126" s="48"/>
      <c r="F126" s="46"/>
      <c r="G126" s="310" t="s">
        <v>1991</v>
      </c>
      <c r="H126" s="310">
        <v>0</v>
      </c>
      <c r="I126" s="310" t="s">
        <v>1991</v>
      </c>
      <c r="J126" s="310">
        <v>0</v>
      </c>
      <c r="K126" s="310" t="s">
        <v>1991</v>
      </c>
      <c r="L126" s="310" t="s">
        <v>1991</v>
      </c>
      <c r="M126" s="310" t="s">
        <v>1991</v>
      </c>
      <c r="N126" s="310" t="s">
        <v>1991</v>
      </c>
      <c r="O126" s="310" t="s">
        <v>1991</v>
      </c>
      <c r="P126" s="310" t="s">
        <v>1991</v>
      </c>
      <c r="Q126" s="310" t="s">
        <v>1991</v>
      </c>
      <c r="R126" s="310" t="s">
        <v>1991</v>
      </c>
      <c r="S126" s="310" t="s">
        <v>1991</v>
      </c>
      <c r="T126" s="505" t="s">
        <v>1991</v>
      </c>
      <c r="U126" s="310" t="s">
        <v>1991</v>
      </c>
      <c r="V126" s="32">
        <v>0</v>
      </c>
      <c r="W126" s="506" t="s">
        <v>1991</v>
      </c>
      <c r="X126" s="506" t="s">
        <v>1991</v>
      </c>
      <c r="Y126" s="506" t="s">
        <v>1991</v>
      </c>
      <c r="Z126" s="32" t="s">
        <v>1991</v>
      </c>
      <c r="AA126" s="32" t="s">
        <v>1991</v>
      </c>
      <c r="AB126" s="32" t="s">
        <v>1991</v>
      </c>
      <c r="AC126" s="32" t="s">
        <v>1991</v>
      </c>
      <c r="AD126" s="32" t="s">
        <v>1991</v>
      </c>
      <c r="AE126" s="506" t="s">
        <v>1991</v>
      </c>
      <c r="AF126" s="506">
        <v>0</v>
      </c>
      <c r="AG126" s="32" t="s">
        <v>1991</v>
      </c>
      <c r="AH126" s="32" t="s">
        <v>1991</v>
      </c>
      <c r="AI126" s="32" t="s">
        <v>1991</v>
      </c>
      <c r="AJ126" s="32" t="s">
        <v>1991</v>
      </c>
      <c r="AK126" s="506" t="s">
        <v>1991</v>
      </c>
      <c r="AL126" s="327"/>
      <c r="AM126" s="327"/>
      <c r="AN126" s="327" t="s">
        <v>1991</v>
      </c>
      <c r="AO126" s="327" t="s">
        <v>1991</v>
      </c>
      <c r="AP126" s="327"/>
      <c r="AQ126" s="327"/>
      <c r="AR126" s="327"/>
      <c r="AS126" s="327" t="s">
        <v>1991</v>
      </c>
      <c r="AT126" s="327" t="s">
        <v>1991</v>
      </c>
      <c r="AU126" s="327"/>
      <c r="AV126" s="327"/>
      <c r="AW126" s="327"/>
      <c r="AX126" s="327"/>
      <c r="AY126" s="327"/>
      <c r="AZ126" s="327"/>
      <c r="BA126" s="327"/>
      <c r="BB126" s="46">
        <f t="shared" si="38"/>
        <v>13</v>
      </c>
      <c r="BC126" s="46">
        <f t="shared" si="39"/>
        <v>14</v>
      </c>
      <c r="BD126" s="46">
        <f t="shared" si="36"/>
        <v>4</v>
      </c>
      <c r="BE126" s="46">
        <f t="shared" si="40"/>
        <v>0</v>
      </c>
      <c r="BF126" s="296">
        <f t="shared" si="41"/>
        <v>27</v>
      </c>
      <c r="BG126" s="26"/>
      <c r="BH126" s="2"/>
      <c r="BI126" s="2"/>
      <c r="BJ126" s="2"/>
      <c r="BK126" s="279">
        <f t="shared" si="42"/>
        <v>1</v>
      </c>
      <c r="BL126" s="279">
        <f t="shared" si="43"/>
        <v>27</v>
      </c>
      <c r="BM126" s="279"/>
      <c r="BN126" s="279"/>
      <c r="BO126" s="2">
        <f t="shared" si="44"/>
        <v>27</v>
      </c>
      <c r="BP126" s="430"/>
      <c r="BQ126" s="431"/>
      <c r="BR126" s="2"/>
      <c r="BS126" s="25"/>
      <c r="BT126" s="348">
        <f t="shared" si="37"/>
        <v>1</v>
      </c>
      <c r="BU126" s="2"/>
      <c r="BV126" s="282">
        <f t="shared" si="34"/>
        <v>0</v>
      </c>
      <c r="BW126" s="279"/>
      <c r="BX126" s="269">
        <f t="shared" si="35"/>
        <v>0</v>
      </c>
      <c r="BY126" s="349" t="e">
        <f>#N/A</f>
        <v>#N/A</v>
      </c>
      <c r="BZ126" s="349" t="e">
        <f>#N/A</f>
        <v>#N/A</v>
      </c>
      <c r="CA126" s="349" t="e">
        <f>#N/A</f>
        <v>#N/A</v>
      </c>
      <c r="CB126" s="351" t="e">
        <f>#N/A</f>
        <v>#N/A</v>
      </c>
      <c r="CC126" s="349" t="e">
        <f t="shared" si="45"/>
        <v>#N/A</v>
      </c>
      <c r="CD126" s="14" t="e">
        <f t="shared" si="46"/>
        <v>#N/A</v>
      </c>
      <c r="CE126" s="14">
        <f t="shared" si="47"/>
        <v>27</v>
      </c>
      <c r="CF126" s="25">
        <f t="shared" si="48"/>
        <v>1</v>
      </c>
      <c r="CG126" s="270"/>
      <c r="CH126" s="2"/>
      <c r="CL126" s="349"/>
      <c r="CM126" s="349"/>
      <c r="CN126" s="349"/>
      <c r="CO126" s="349"/>
      <c r="CP126" s="349"/>
      <c r="CQ126" s="14"/>
      <c r="CY126" s="2"/>
    </row>
    <row r="127" spans="1:103" s="1" customFormat="1" ht="29.4" customHeight="1">
      <c r="A127" s="46">
        <v>121</v>
      </c>
      <c r="B127" s="46">
        <v>5</v>
      </c>
      <c r="C127" s="46">
        <v>210</v>
      </c>
      <c r="D127" s="48"/>
      <c r="E127" s="48"/>
      <c r="F127" s="46"/>
      <c r="G127" s="310" t="s">
        <v>1991</v>
      </c>
      <c r="H127" s="310" t="s">
        <v>1991</v>
      </c>
      <c r="I127" s="310" t="s">
        <v>1991</v>
      </c>
      <c r="J127" s="310" t="s">
        <v>1991</v>
      </c>
      <c r="K127" s="310" t="s">
        <v>1991</v>
      </c>
      <c r="L127" s="310" t="s">
        <v>1991</v>
      </c>
      <c r="M127" s="310" t="s">
        <v>1991</v>
      </c>
      <c r="N127" s="310" t="s">
        <v>1991</v>
      </c>
      <c r="O127" s="310" t="s">
        <v>1991</v>
      </c>
      <c r="P127" s="310" t="s">
        <v>1991</v>
      </c>
      <c r="Q127" s="310" t="s">
        <v>1991</v>
      </c>
      <c r="R127" s="310" t="s">
        <v>1991</v>
      </c>
      <c r="S127" s="310" t="s">
        <v>1991</v>
      </c>
      <c r="T127" s="505" t="s">
        <v>1991</v>
      </c>
      <c r="U127" s="310" t="s">
        <v>1991</v>
      </c>
      <c r="V127" s="32" t="s">
        <v>1991</v>
      </c>
      <c r="W127" s="506" t="s">
        <v>1991</v>
      </c>
      <c r="X127" s="506">
        <v>0</v>
      </c>
      <c r="Y127" s="506" t="s">
        <v>1991</v>
      </c>
      <c r="Z127" s="32" t="s">
        <v>1991</v>
      </c>
      <c r="AA127" s="32">
        <v>0</v>
      </c>
      <c r="AB127" s="32" t="s">
        <v>1991</v>
      </c>
      <c r="AC127" s="32" t="s">
        <v>1991</v>
      </c>
      <c r="AD127" s="32" t="s">
        <v>1991</v>
      </c>
      <c r="AE127" s="506" t="s">
        <v>1991</v>
      </c>
      <c r="AF127" s="506" t="s">
        <v>1991</v>
      </c>
      <c r="AG127" s="32" t="s">
        <v>1991</v>
      </c>
      <c r="AH127" s="32" t="s">
        <v>1991</v>
      </c>
      <c r="AI127" s="32" t="s">
        <v>1991</v>
      </c>
      <c r="AJ127" s="32" t="s">
        <v>1991</v>
      </c>
      <c r="AK127" s="506" t="s">
        <v>1991</v>
      </c>
      <c r="AL127" s="327"/>
      <c r="AM127" s="327"/>
      <c r="AN127" s="327" t="s">
        <v>1991</v>
      </c>
      <c r="AO127" s="327" t="s">
        <v>1991</v>
      </c>
      <c r="AP127" s="327"/>
      <c r="AQ127" s="327"/>
      <c r="AR127" s="327"/>
      <c r="AS127" s="327" t="s">
        <v>1991</v>
      </c>
      <c r="AT127" s="327" t="s">
        <v>1991</v>
      </c>
      <c r="AU127" s="327"/>
      <c r="AV127" s="327"/>
      <c r="AW127" s="327"/>
      <c r="AX127" s="327"/>
      <c r="AY127" s="327"/>
      <c r="AZ127" s="327"/>
      <c r="BA127" s="327"/>
      <c r="BB127" s="46">
        <f t="shared" si="38"/>
        <v>15</v>
      </c>
      <c r="BC127" s="46">
        <f t="shared" si="39"/>
        <v>14</v>
      </c>
      <c r="BD127" s="46">
        <f t="shared" si="36"/>
        <v>4</v>
      </c>
      <c r="BE127" s="46">
        <f t="shared" si="40"/>
        <v>0</v>
      </c>
      <c r="BF127" s="296">
        <f t="shared" si="41"/>
        <v>29</v>
      </c>
      <c r="BG127" s="26"/>
      <c r="BH127" s="2"/>
      <c r="BI127" s="2"/>
      <c r="BJ127" s="2"/>
      <c r="BK127" s="279">
        <f t="shared" si="42"/>
        <v>1</v>
      </c>
      <c r="BL127" s="279">
        <f t="shared" si="43"/>
        <v>29</v>
      </c>
      <c r="BM127" s="279"/>
      <c r="BN127" s="279"/>
      <c r="BO127" s="2">
        <f t="shared" si="44"/>
        <v>29</v>
      </c>
      <c r="BP127" s="430"/>
      <c r="BQ127" s="431"/>
      <c r="BR127" s="2"/>
      <c r="BS127" s="25"/>
      <c r="BT127" s="348">
        <f t="shared" si="37"/>
        <v>1</v>
      </c>
      <c r="BU127" s="2"/>
      <c r="BV127" s="282">
        <f t="shared" si="34"/>
        <v>0</v>
      </c>
      <c r="BW127" s="279"/>
      <c r="BX127" s="269">
        <f t="shared" si="35"/>
        <v>0</v>
      </c>
      <c r="BY127" s="349" t="e">
        <f>#N/A</f>
        <v>#N/A</v>
      </c>
      <c r="BZ127" s="349" t="e">
        <f>#N/A</f>
        <v>#N/A</v>
      </c>
      <c r="CA127" s="349" t="e">
        <f>#N/A</f>
        <v>#N/A</v>
      </c>
      <c r="CB127" s="351" t="e">
        <f>#N/A</f>
        <v>#N/A</v>
      </c>
      <c r="CC127" s="349" t="e">
        <f t="shared" si="45"/>
        <v>#N/A</v>
      </c>
      <c r="CD127" s="14" t="e">
        <f t="shared" si="46"/>
        <v>#N/A</v>
      </c>
      <c r="CE127" s="14">
        <f t="shared" si="47"/>
        <v>29</v>
      </c>
      <c r="CF127" s="25">
        <f t="shared" si="48"/>
        <v>1</v>
      </c>
      <c r="CG127" s="270"/>
      <c r="CH127" s="2"/>
      <c r="CL127" s="349"/>
      <c r="CM127" s="349"/>
      <c r="CN127" s="349"/>
      <c r="CO127" s="349"/>
      <c r="CP127" s="349"/>
      <c r="CQ127" s="14"/>
      <c r="CY127" s="2"/>
    </row>
    <row r="128" spans="1:103" s="1" customFormat="1" ht="29.4" customHeight="1">
      <c r="A128" s="46">
        <v>122</v>
      </c>
      <c r="B128" s="46">
        <v>5</v>
      </c>
      <c r="C128" s="46">
        <v>211</v>
      </c>
      <c r="D128" s="48"/>
      <c r="E128" s="48"/>
      <c r="F128" s="46"/>
      <c r="G128" s="310">
        <v>0</v>
      </c>
      <c r="H128" s="310" t="s">
        <v>1991</v>
      </c>
      <c r="I128" s="310" t="s">
        <v>1991</v>
      </c>
      <c r="J128" s="310">
        <v>0</v>
      </c>
      <c r="K128" s="310" t="s">
        <v>1991</v>
      </c>
      <c r="L128" s="310" t="s">
        <v>1991</v>
      </c>
      <c r="M128" s="310" t="s">
        <v>1991</v>
      </c>
      <c r="N128" s="310" t="s">
        <v>1991</v>
      </c>
      <c r="O128" s="310" t="s">
        <v>1991</v>
      </c>
      <c r="P128" s="310" t="s">
        <v>1991</v>
      </c>
      <c r="Q128" s="310" t="s">
        <v>1991</v>
      </c>
      <c r="R128" s="310" t="s">
        <v>1991</v>
      </c>
      <c r="S128" s="310" t="s">
        <v>1991</v>
      </c>
      <c r="T128" s="505" t="s">
        <v>1991</v>
      </c>
      <c r="U128" s="310" t="s">
        <v>1991</v>
      </c>
      <c r="V128" s="32" t="s">
        <v>1991</v>
      </c>
      <c r="W128" s="506" t="s">
        <v>1991</v>
      </c>
      <c r="X128" s="506" t="s">
        <v>1991</v>
      </c>
      <c r="Y128" s="506" t="s">
        <v>1991</v>
      </c>
      <c r="Z128" s="32" t="s">
        <v>1991</v>
      </c>
      <c r="AA128" s="32" t="s">
        <v>1991</v>
      </c>
      <c r="AB128" s="32" t="s">
        <v>1991</v>
      </c>
      <c r="AC128" s="32" t="s">
        <v>1991</v>
      </c>
      <c r="AD128" s="32" t="s">
        <v>1991</v>
      </c>
      <c r="AE128" s="506" t="s">
        <v>1991</v>
      </c>
      <c r="AF128" s="506" t="s">
        <v>1991</v>
      </c>
      <c r="AG128" s="32" t="s">
        <v>1991</v>
      </c>
      <c r="AH128" s="32" t="s">
        <v>1991</v>
      </c>
      <c r="AI128" s="32" t="s">
        <v>1991</v>
      </c>
      <c r="AJ128" s="32" t="s">
        <v>1991</v>
      </c>
      <c r="AK128" s="506" t="s">
        <v>1991</v>
      </c>
      <c r="AL128" s="327"/>
      <c r="AM128" s="327"/>
      <c r="AN128" s="327" t="s">
        <v>1991</v>
      </c>
      <c r="AO128" s="327" t="s">
        <v>1991</v>
      </c>
      <c r="AP128" s="327"/>
      <c r="AQ128" s="327"/>
      <c r="AR128" s="327"/>
      <c r="AS128" s="327" t="s">
        <v>1991</v>
      </c>
      <c r="AT128" s="327" t="s">
        <v>1991</v>
      </c>
      <c r="AU128" s="327"/>
      <c r="AV128" s="327"/>
      <c r="AW128" s="327"/>
      <c r="AX128" s="327"/>
      <c r="AY128" s="327"/>
      <c r="AZ128" s="327"/>
      <c r="BA128" s="327"/>
      <c r="BB128" s="46">
        <f t="shared" si="38"/>
        <v>13</v>
      </c>
      <c r="BC128" s="46">
        <f t="shared" si="39"/>
        <v>16</v>
      </c>
      <c r="BD128" s="46">
        <f t="shared" si="36"/>
        <v>4</v>
      </c>
      <c r="BE128" s="46">
        <f t="shared" si="40"/>
        <v>0</v>
      </c>
      <c r="BF128" s="296">
        <f t="shared" si="41"/>
        <v>29</v>
      </c>
      <c r="BG128" s="26"/>
      <c r="BH128" s="2"/>
      <c r="BI128" s="2"/>
      <c r="BJ128" s="2"/>
      <c r="BK128" s="279">
        <f t="shared" si="42"/>
        <v>1</v>
      </c>
      <c r="BL128" s="279">
        <f t="shared" si="43"/>
        <v>29</v>
      </c>
      <c r="BM128" s="279"/>
      <c r="BN128" s="279"/>
      <c r="BO128" s="2">
        <f t="shared" si="44"/>
        <v>29</v>
      </c>
      <c r="BP128" s="430"/>
      <c r="BQ128" s="431"/>
      <c r="BR128" s="2"/>
      <c r="BS128" s="25"/>
      <c r="BT128" s="348">
        <f t="shared" si="37"/>
        <v>1</v>
      </c>
      <c r="BU128" s="2"/>
      <c r="BV128" s="282">
        <f t="shared" si="34"/>
        <v>0</v>
      </c>
      <c r="BW128" s="279"/>
      <c r="BX128" s="269">
        <f t="shared" si="35"/>
        <v>0</v>
      </c>
      <c r="BY128" s="349" t="e">
        <f>#N/A</f>
        <v>#N/A</v>
      </c>
      <c r="BZ128" s="349" t="e">
        <f>#N/A</f>
        <v>#N/A</v>
      </c>
      <c r="CA128" s="349" t="e">
        <f>#N/A</f>
        <v>#N/A</v>
      </c>
      <c r="CB128" s="351" t="e">
        <f>#N/A</f>
        <v>#N/A</v>
      </c>
      <c r="CC128" s="349" t="e">
        <f t="shared" si="45"/>
        <v>#N/A</v>
      </c>
      <c r="CD128" s="14" t="e">
        <f t="shared" si="46"/>
        <v>#N/A</v>
      </c>
      <c r="CE128" s="14">
        <f t="shared" si="47"/>
        <v>29</v>
      </c>
      <c r="CF128" s="25">
        <f t="shared" si="48"/>
        <v>1</v>
      </c>
      <c r="CG128" s="270"/>
      <c r="CH128" s="2"/>
      <c r="CL128" s="349"/>
      <c r="CM128" s="349"/>
      <c r="CN128" s="349"/>
      <c r="CO128" s="349"/>
      <c r="CP128" s="349"/>
      <c r="CQ128" s="14"/>
      <c r="CY128" s="2"/>
    </row>
    <row r="129" spans="1:103" s="1" customFormat="1" ht="29.4" customHeight="1">
      <c r="A129" s="46">
        <v>123</v>
      </c>
      <c r="B129" s="46">
        <v>5</v>
      </c>
      <c r="C129" s="46">
        <v>212</v>
      </c>
      <c r="D129" s="48"/>
      <c r="E129" s="48"/>
      <c r="F129" s="46"/>
      <c r="G129" s="310">
        <v>0</v>
      </c>
      <c r="H129" s="310" t="s">
        <v>1991</v>
      </c>
      <c r="I129" s="310" t="s">
        <v>1991</v>
      </c>
      <c r="J129" s="310">
        <v>0</v>
      </c>
      <c r="K129" s="310" t="s">
        <v>1991</v>
      </c>
      <c r="L129" s="310" t="s">
        <v>1991</v>
      </c>
      <c r="M129" s="310" t="s">
        <v>1991</v>
      </c>
      <c r="N129" s="310" t="s">
        <v>1991</v>
      </c>
      <c r="O129" s="310" t="s">
        <v>1991</v>
      </c>
      <c r="P129" s="310" t="s">
        <v>1991</v>
      </c>
      <c r="Q129" s="310" t="s">
        <v>1991</v>
      </c>
      <c r="R129" s="310" t="s">
        <v>1991</v>
      </c>
      <c r="S129" s="310" t="s">
        <v>1991</v>
      </c>
      <c r="T129" s="505" t="s">
        <v>1991</v>
      </c>
      <c r="U129" s="310" t="s">
        <v>1991</v>
      </c>
      <c r="V129" s="32" t="s">
        <v>1991</v>
      </c>
      <c r="W129" s="506" t="s">
        <v>1991</v>
      </c>
      <c r="X129" s="506" t="s">
        <v>1991</v>
      </c>
      <c r="Y129" s="506" t="s">
        <v>1991</v>
      </c>
      <c r="Z129" s="32" t="s">
        <v>1991</v>
      </c>
      <c r="AA129" s="32" t="s">
        <v>1991</v>
      </c>
      <c r="AB129" s="32" t="s">
        <v>1991</v>
      </c>
      <c r="AC129" s="32" t="s">
        <v>1991</v>
      </c>
      <c r="AD129" s="32" t="s">
        <v>1991</v>
      </c>
      <c r="AE129" s="506" t="s">
        <v>1991</v>
      </c>
      <c r="AF129" s="506" t="s">
        <v>1991</v>
      </c>
      <c r="AG129" s="32" t="s">
        <v>1991</v>
      </c>
      <c r="AH129" s="32" t="s">
        <v>1991</v>
      </c>
      <c r="AI129" s="32" t="s">
        <v>1991</v>
      </c>
      <c r="AJ129" s="32" t="s">
        <v>1991</v>
      </c>
      <c r="AK129" s="506" t="s">
        <v>1991</v>
      </c>
      <c r="AL129" s="327"/>
      <c r="AM129" s="327"/>
      <c r="AN129" s="327" t="s">
        <v>1991</v>
      </c>
      <c r="AO129" s="327" t="s">
        <v>1991</v>
      </c>
      <c r="AP129" s="327"/>
      <c r="AQ129" s="327"/>
      <c r="AR129" s="327"/>
      <c r="AS129" s="327" t="s">
        <v>1991</v>
      </c>
      <c r="AT129" s="327" t="s">
        <v>1991</v>
      </c>
      <c r="AU129" s="327"/>
      <c r="AV129" s="327"/>
      <c r="AW129" s="327"/>
      <c r="AX129" s="327"/>
      <c r="AY129" s="327"/>
      <c r="AZ129" s="327"/>
      <c r="BA129" s="327"/>
      <c r="BB129" s="46">
        <f t="shared" si="38"/>
        <v>13</v>
      </c>
      <c r="BC129" s="46">
        <f t="shared" si="39"/>
        <v>16</v>
      </c>
      <c r="BD129" s="46">
        <f t="shared" si="36"/>
        <v>4</v>
      </c>
      <c r="BE129" s="46">
        <f t="shared" si="40"/>
        <v>0</v>
      </c>
      <c r="BF129" s="296">
        <f t="shared" si="41"/>
        <v>29</v>
      </c>
      <c r="BG129" s="26"/>
      <c r="BH129" s="2"/>
      <c r="BI129" s="2"/>
      <c r="BJ129" s="2"/>
      <c r="BK129" s="279">
        <f t="shared" si="42"/>
        <v>1</v>
      </c>
      <c r="BL129" s="279">
        <f t="shared" si="43"/>
        <v>29</v>
      </c>
      <c r="BM129" s="279"/>
      <c r="BN129" s="279"/>
      <c r="BO129" s="2">
        <f t="shared" si="44"/>
        <v>29</v>
      </c>
      <c r="BP129" s="430"/>
      <c r="BQ129" s="431"/>
      <c r="BR129" s="2"/>
      <c r="BS129" s="25"/>
      <c r="BT129" s="348">
        <f t="shared" si="37"/>
        <v>1</v>
      </c>
      <c r="BU129" s="2"/>
      <c r="BV129" s="282">
        <f t="shared" si="34"/>
        <v>0</v>
      </c>
      <c r="BW129" s="279"/>
      <c r="BX129" s="269">
        <f t="shared" si="35"/>
        <v>0</v>
      </c>
      <c r="BY129" s="349" t="e">
        <f>#N/A</f>
        <v>#N/A</v>
      </c>
      <c r="BZ129" s="349" t="e">
        <f>#N/A</f>
        <v>#N/A</v>
      </c>
      <c r="CA129" s="349" t="e">
        <f>#N/A</f>
        <v>#N/A</v>
      </c>
      <c r="CB129" s="351" t="e">
        <f>#N/A</f>
        <v>#N/A</v>
      </c>
      <c r="CC129" s="349" t="e">
        <f t="shared" si="45"/>
        <v>#N/A</v>
      </c>
      <c r="CD129" s="14" t="e">
        <f t="shared" si="46"/>
        <v>#N/A</v>
      </c>
      <c r="CE129" s="14">
        <f t="shared" si="47"/>
        <v>29</v>
      </c>
      <c r="CF129" s="25">
        <f t="shared" si="48"/>
        <v>1</v>
      </c>
      <c r="CG129" s="270"/>
      <c r="CH129" s="2"/>
      <c r="CL129" s="349"/>
      <c r="CM129" s="349"/>
      <c r="CN129" s="349"/>
      <c r="CO129" s="349"/>
      <c r="CP129" s="349"/>
      <c r="CQ129" s="14"/>
      <c r="CY129" s="2"/>
    </row>
    <row r="130" spans="1:103" s="1" customFormat="1" ht="29.4" customHeight="1">
      <c r="A130" s="46">
        <v>124</v>
      </c>
      <c r="B130" s="46">
        <v>5</v>
      </c>
      <c r="C130" s="46">
        <v>213</v>
      </c>
      <c r="D130" s="48"/>
      <c r="E130" s="48"/>
      <c r="F130" s="46"/>
      <c r="G130" s="310" t="s">
        <v>1991</v>
      </c>
      <c r="H130" s="310">
        <v>0</v>
      </c>
      <c r="I130" s="310" t="s">
        <v>1991</v>
      </c>
      <c r="J130" s="310" t="s">
        <v>1991</v>
      </c>
      <c r="K130" s="310" t="s">
        <v>1991</v>
      </c>
      <c r="L130" s="310">
        <v>0</v>
      </c>
      <c r="M130" s="310" t="s">
        <v>1991</v>
      </c>
      <c r="N130" s="310" t="s">
        <v>1991</v>
      </c>
      <c r="O130" s="310" t="s">
        <v>1991</v>
      </c>
      <c r="P130" s="310" t="s">
        <v>1991</v>
      </c>
      <c r="Q130" s="310" t="s">
        <v>1991</v>
      </c>
      <c r="R130" s="310" t="s">
        <v>1991</v>
      </c>
      <c r="S130" s="310" t="s">
        <v>1991</v>
      </c>
      <c r="T130" s="505" t="s">
        <v>1991</v>
      </c>
      <c r="U130" s="310" t="s">
        <v>1991</v>
      </c>
      <c r="V130" s="32" t="s">
        <v>1991</v>
      </c>
      <c r="W130" s="506">
        <v>0</v>
      </c>
      <c r="X130" s="506" t="s">
        <v>1991</v>
      </c>
      <c r="Y130" s="506" t="s">
        <v>1991</v>
      </c>
      <c r="Z130" s="32" t="s">
        <v>1991</v>
      </c>
      <c r="AA130" s="32" t="s">
        <v>1991</v>
      </c>
      <c r="AB130" s="32" t="s">
        <v>1991</v>
      </c>
      <c r="AC130" s="32" t="s">
        <v>1991</v>
      </c>
      <c r="AD130" s="32">
        <v>0</v>
      </c>
      <c r="AE130" s="506">
        <v>0</v>
      </c>
      <c r="AF130" s="506" t="s">
        <v>1991</v>
      </c>
      <c r="AG130" s="32" t="s">
        <v>1991</v>
      </c>
      <c r="AH130" s="32" t="s">
        <v>1991</v>
      </c>
      <c r="AI130" s="32" t="s">
        <v>1991</v>
      </c>
      <c r="AJ130" s="32" t="s">
        <v>1991</v>
      </c>
      <c r="AK130" s="506" t="s">
        <v>1991</v>
      </c>
      <c r="AL130" s="327"/>
      <c r="AM130" s="327"/>
      <c r="AN130" s="327">
        <v>0</v>
      </c>
      <c r="AO130" s="327" t="s">
        <v>1991</v>
      </c>
      <c r="AP130" s="327"/>
      <c r="AQ130" s="327"/>
      <c r="AR130" s="327"/>
      <c r="AS130" s="327" t="s">
        <v>1991</v>
      </c>
      <c r="AT130" s="327" t="s">
        <v>1991</v>
      </c>
      <c r="AU130" s="327"/>
      <c r="AV130" s="327"/>
      <c r="AW130" s="327"/>
      <c r="AX130" s="327"/>
      <c r="AY130" s="327"/>
      <c r="AZ130" s="327"/>
      <c r="BA130" s="327"/>
      <c r="BB130" s="46">
        <f t="shared" si="38"/>
        <v>13</v>
      </c>
      <c r="BC130" s="46">
        <f t="shared" si="39"/>
        <v>13</v>
      </c>
      <c r="BD130" s="46">
        <f t="shared" si="36"/>
        <v>3</v>
      </c>
      <c r="BE130" s="46">
        <f t="shared" si="40"/>
        <v>0</v>
      </c>
      <c r="BF130" s="296">
        <f t="shared" si="41"/>
        <v>26</v>
      </c>
      <c r="BG130" s="26"/>
      <c r="BH130" s="2"/>
      <c r="BI130" s="2"/>
      <c r="BJ130" s="2"/>
      <c r="BK130" s="279">
        <f t="shared" si="42"/>
        <v>1</v>
      </c>
      <c r="BL130" s="279">
        <f t="shared" si="43"/>
        <v>26</v>
      </c>
      <c r="BM130" s="279"/>
      <c r="BN130" s="279"/>
      <c r="BO130" s="2">
        <f t="shared" si="44"/>
        <v>26</v>
      </c>
      <c r="BP130" s="430"/>
      <c r="BQ130" s="431"/>
      <c r="BR130" s="2"/>
      <c r="BS130" s="25"/>
      <c r="BT130" s="348">
        <f t="shared" si="37"/>
        <v>1</v>
      </c>
      <c r="BU130" s="2"/>
      <c r="BV130" s="282">
        <f t="shared" si="34"/>
        <v>0</v>
      </c>
      <c r="BW130" s="279"/>
      <c r="BX130" s="269">
        <f t="shared" si="35"/>
        <v>0</v>
      </c>
      <c r="BY130" s="349" t="e">
        <f>#N/A</f>
        <v>#N/A</v>
      </c>
      <c r="BZ130" s="349" t="e">
        <f>#N/A</f>
        <v>#N/A</v>
      </c>
      <c r="CA130" s="349" t="e">
        <f>#N/A</f>
        <v>#N/A</v>
      </c>
      <c r="CB130" s="351" t="e">
        <f>#N/A</f>
        <v>#N/A</v>
      </c>
      <c r="CC130" s="349" t="e">
        <f t="shared" si="45"/>
        <v>#N/A</v>
      </c>
      <c r="CD130" s="14" t="e">
        <f t="shared" si="46"/>
        <v>#N/A</v>
      </c>
      <c r="CE130" s="14">
        <f t="shared" si="47"/>
        <v>26</v>
      </c>
      <c r="CF130" s="25">
        <f t="shared" si="48"/>
        <v>1</v>
      </c>
      <c r="CG130" s="270"/>
      <c r="CH130" s="2"/>
      <c r="CL130" s="349"/>
      <c r="CM130" s="349"/>
      <c r="CN130" s="349"/>
      <c r="CO130" s="349"/>
      <c r="CP130" s="349"/>
      <c r="CQ130" s="14"/>
      <c r="CY130" s="2"/>
    </row>
    <row r="131" spans="1:103" s="1" customFormat="1" ht="29.4" customHeight="1">
      <c r="A131" s="46">
        <v>125</v>
      </c>
      <c r="B131" s="46">
        <v>5</v>
      </c>
      <c r="C131" s="46">
        <v>214</v>
      </c>
      <c r="D131" s="48"/>
      <c r="E131" s="48"/>
      <c r="F131" s="46"/>
      <c r="G131" s="310" t="s">
        <v>1991</v>
      </c>
      <c r="H131" s="310" t="s">
        <v>1991</v>
      </c>
      <c r="I131" s="310" t="s">
        <v>1991</v>
      </c>
      <c r="J131" s="310" t="s">
        <v>1991</v>
      </c>
      <c r="K131" s="310" t="s">
        <v>1991</v>
      </c>
      <c r="L131" s="310" t="s">
        <v>1991</v>
      </c>
      <c r="M131" s="310" t="s">
        <v>1991</v>
      </c>
      <c r="N131" s="310" t="s">
        <v>1991</v>
      </c>
      <c r="O131" s="310" t="s">
        <v>1991</v>
      </c>
      <c r="P131" s="310" t="s">
        <v>1991</v>
      </c>
      <c r="Q131" s="310" t="s">
        <v>1991</v>
      </c>
      <c r="R131" s="310" t="s">
        <v>1991</v>
      </c>
      <c r="S131" s="310" t="s">
        <v>1991</v>
      </c>
      <c r="T131" s="505" t="s">
        <v>1991</v>
      </c>
      <c r="U131" s="310" t="s">
        <v>1991</v>
      </c>
      <c r="V131" s="32" t="s">
        <v>1991</v>
      </c>
      <c r="W131" s="506" t="s">
        <v>1991</v>
      </c>
      <c r="X131" s="506" t="s">
        <v>1991</v>
      </c>
      <c r="Y131" s="506" t="s">
        <v>1991</v>
      </c>
      <c r="Z131" s="32" t="s">
        <v>1991</v>
      </c>
      <c r="AA131" s="32" t="s">
        <v>1991</v>
      </c>
      <c r="AB131" s="32" t="s">
        <v>1991</v>
      </c>
      <c r="AC131" s="32" t="s">
        <v>1991</v>
      </c>
      <c r="AD131" s="32" t="s">
        <v>1991</v>
      </c>
      <c r="AE131" s="506" t="s">
        <v>1991</v>
      </c>
      <c r="AF131" s="506" t="s">
        <v>1991</v>
      </c>
      <c r="AG131" s="32" t="s">
        <v>1991</v>
      </c>
      <c r="AH131" s="32" t="s">
        <v>1991</v>
      </c>
      <c r="AI131" s="32" t="s">
        <v>1991</v>
      </c>
      <c r="AJ131" s="32" t="s">
        <v>1991</v>
      </c>
      <c r="AK131" s="506" t="s">
        <v>1991</v>
      </c>
      <c r="AL131" s="327"/>
      <c r="AM131" s="327"/>
      <c r="AN131" s="327" t="s">
        <v>1991</v>
      </c>
      <c r="AO131" s="327" t="s">
        <v>1991</v>
      </c>
      <c r="AP131" s="327"/>
      <c r="AQ131" s="327"/>
      <c r="AR131" s="327"/>
      <c r="AS131" s="327" t="s">
        <v>1991</v>
      </c>
      <c r="AT131" s="327" t="s">
        <v>1991</v>
      </c>
      <c r="AU131" s="327"/>
      <c r="AV131" s="327"/>
      <c r="AW131" s="327"/>
      <c r="AX131" s="327"/>
      <c r="AY131" s="327"/>
      <c r="AZ131" s="327"/>
      <c r="BA131" s="327"/>
      <c r="BB131" s="46">
        <f t="shared" si="38"/>
        <v>15</v>
      </c>
      <c r="BC131" s="46">
        <f t="shared" si="39"/>
        <v>16</v>
      </c>
      <c r="BD131" s="46">
        <f>COUNTIF(AL131:BA131,"X")</f>
        <v>4</v>
      </c>
      <c r="BE131" s="46">
        <f t="shared" si="40"/>
        <v>0</v>
      </c>
      <c r="BF131" s="296">
        <f t="shared" si="41"/>
        <v>31</v>
      </c>
      <c r="BG131" s="26"/>
      <c r="BH131" s="2"/>
      <c r="BI131" s="2"/>
      <c r="BJ131" s="2"/>
      <c r="BK131" s="279">
        <f t="shared" si="42"/>
        <v>1</v>
      </c>
      <c r="BL131" s="279">
        <f t="shared" si="43"/>
        <v>31</v>
      </c>
      <c r="BM131" s="279"/>
      <c r="BN131" s="279"/>
      <c r="BO131" s="2">
        <f t="shared" si="44"/>
        <v>31</v>
      </c>
      <c r="BP131" s="430"/>
      <c r="BQ131" s="431"/>
      <c r="BR131" s="2"/>
      <c r="BS131" s="25"/>
      <c r="BT131" s="348">
        <f t="shared" si="37"/>
        <v>1</v>
      </c>
      <c r="BU131" s="2"/>
      <c r="BV131" s="282">
        <f t="shared" si="34"/>
        <v>0</v>
      </c>
      <c r="BW131" s="279"/>
      <c r="BX131" s="269">
        <f t="shared" si="35"/>
        <v>0</v>
      </c>
      <c r="BY131" s="349" t="e">
        <f>#N/A</f>
        <v>#N/A</v>
      </c>
      <c r="BZ131" s="349" t="e">
        <f>#N/A</f>
        <v>#N/A</v>
      </c>
      <c r="CA131" s="349" t="e">
        <f>#N/A</f>
        <v>#N/A</v>
      </c>
      <c r="CB131" s="351" t="e">
        <f>#N/A</f>
        <v>#N/A</v>
      </c>
      <c r="CC131" s="349" t="e">
        <f t="shared" si="45"/>
        <v>#N/A</v>
      </c>
      <c r="CD131" s="14" t="e">
        <f t="shared" si="46"/>
        <v>#N/A</v>
      </c>
      <c r="CE131" s="14">
        <f t="shared" si="47"/>
        <v>31</v>
      </c>
      <c r="CF131" s="25">
        <f t="shared" si="48"/>
        <v>1</v>
      </c>
      <c r="CG131" s="270"/>
      <c r="CH131" s="2"/>
      <c r="CL131" s="349"/>
      <c r="CM131" s="349"/>
      <c r="CN131" s="349"/>
      <c r="CO131" s="349"/>
      <c r="CP131" s="349"/>
      <c r="CQ131" s="14"/>
      <c r="CY131" s="2"/>
    </row>
    <row r="132" spans="1:103" s="1" customFormat="1" ht="29.4" customHeight="1">
      <c r="A132" s="46">
        <v>126</v>
      </c>
      <c r="B132" s="46">
        <v>7</v>
      </c>
      <c r="C132" s="46">
        <v>251</v>
      </c>
      <c r="D132" s="48"/>
      <c r="E132" s="48"/>
      <c r="F132" s="46"/>
      <c r="G132" s="310" t="s">
        <v>1991</v>
      </c>
      <c r="H132" s="310" t="s">
        <v>1991</v>
      </c>
      <c r="I132" s="310" t="s">
        <v>1991</v>
      </c>
      <c r="J132" s="310" t="s">
        <v>1991</v>
      </c>
      <c r="K132" s="310">
        <v>0</v>
      </c>
      <c r="L132" s="310">
        <v>0</v>
      </c>
      <c r="M132" s="310">
        <v>0</v>
      </c>
      <c r="N132" s="310">
        <v>0</v>
      </c>
      <c r="O132" s="310">
        <v>0</v>
      </c>
      <c r="P132" s="310">
        <v>0</v>
      </c>
      <c r="Q132" s="310">
        <v>0</v>
      </c>
      <c r="R132" s="310">
        <v>0</v>
      </c>
      <c r="S132" s="310">
        <v>0</v>
      </c>
      <c r="T132" s="505" t="s">
        <v>1991</v>
      </c>
      <c r="U132" s="310" t="s">
        <v>1991</v>
      </c>
      <c r="V132" s="32" t="s">
        <v>1991</v>
      </c>
      <c r="W132" s="506" t="s">
        <v>1991</v>
      </c>
      <c r="X132" s="506" t="s">
        <v>1991</v>
      </c>
      <c r="Y132" s="506" t="s">
        <v>1991</v>
      </c>
      <c r="Z132" s="32" t="s">
        <v>1991</v>
      </c>
      <c r="AA132" s="32" t="s">
        <v>1991</v>
      </c>
      <c r="AB132" s="32" t="s">
        <v>1991</v>
      </c>
      <c r="AC132" s="32" t="s">
        <v>1991</v>
      </c>
      <c r="AD132" s="32" t="s">
        <v>1991</v>
      </c>
      <c r="AE132" s="506" t="s">
        <v>1991</v>
      </c>
      <c r="AF132" s="506" t="s">
        <v>1991</v>
      </c>
      <c r="AG132" s="32" t="s">
        <v>1991</v>
      </c>
      <c r="AH132" s="32" t="s">
        <v>1991</v>
      </c>
      <c r="AI132" s="32" t="s">
        <v>1991</v>
      </c>
      <c r="AJ132" s="32" t="s">
        <v>1991</v>
      </c>
      <c r="AK132" s="506" t="s">
        <v>1991</v>
      </c>
      <c r="AL132" s="327"/>
      <c r="AM132" s="327"/>
      <c r="AN132" s="327"/>
      <c r="AO132" s="327"/>
      <c r="AP132" s="327"/>
      <c r="AQ132" s="327"/>
      <c r="AR132" s="327"/>
      <c r="AS132" s="327"/>
      <c r="AT132" s="327"/>
      <c r="AU132" s="327"/>
      <c r="AV132" s="327"/>
      <c r="AW132" s="327"/>
      <c r="AX132" s="327"/>
      <c r="AY132" s="327"/>
      <c r="AZ132" s="327"/>
      <c r="BA132" s="327"/>
      <c r="BB132" s="46">
        <f t="shared" si="38"/>
        <v>6</v>
      </c>
      <c r="BC132" s="46">
        <f t="shared" si="39"/>
        <v>16</v>
      </c>
      <c r="BD132" s="46">
        <f t="shared" ref="BD132:BD195" si="49">COUNTIF(AL132:BA132,"X")</f>
        <v>0</v>
      </c>
      <c r="BE132" s="46">
        <f t="shared" si="40"/>
        <v>0</v>
      </c>
      <c r="BF132" s="296">
        <f t="shared" si="41"/>
        <v>22</v>
      </c>
      <c r="BG132" s="26"/>
      <c r="BH132" s="2"/>
      <c r="BI132" s="2"/>
      <c r="BJ132" s="2"/>
      <c r="BK132" s="279">
        <f t="shared" si="42"/>
        <v>0</v>
      </c>
      <c r="BL132" s="279">
        <f t="shared" si="43"/>
        <v>22</v>
      </c>
      <c r="BM132" s="279"/>
      <c r="BN132" s="279"/>
      <c r="BO132" s="2">
        <f t="shared" si="44"/>
        <v>0</v>
      </c>
      <c r="BP132" s="430"/>
      <c r="BQ132" s="431"/>
      <c r="BR132" s="2"/>
      <c r="BS132" s="25"/>
      <c r="BT132" s="348">
        <f t="shared" si="37"/>
        <v>0</v>
      </c>
      <c r="BU132" s="2"/>
      <c r="BV132" s="282">
        <f t="shared" si="34"/>
        <v>0</v>
      </c>
      <c r="BW132" s="279"/>
      <c r="BX132" s="269">
        <f t="shared" si="35"/>
        <v>0</v>
      </c>
      <c r="BY132" s="349" t="e">
        <f>#N/A</f>
        <v>#N/A</v>
      </c>
      <c r="BZ132" s="349" t="e">
        <f>#N/A</f>
        <v>#N/A</v>
      </c>
      <c r="CA132" s="349" t="e">
        <f>#N/A</f>
        <v>#N/A</v>
      </c>
      <c r="CB132" s="351" t="e">
        <f>#N/A</f>
        <v>#N/A</v>
      </c>
      <c r="CC132" s="349" t="e">
        <f t="shared" si="45"/>
        <v>#N/A</v>
      </c>
      <c r="CD132" s="14" t="e">
        <f t="shared" si="46"/>
        <v>#N/A</v>
      </c>
      <c r="CE132" s="14">
        <f t="shared" si="47"/>
        <v>0</v>
      </c>
      <c r="CF132" s="25">
        <f t="shared" si="48"/>
        <v>0</v>
      </c>
      <c r="CG132" s="270"/>
      <c r="CH132" s="2"/>
      <c r="CL132" s="349"/>
      <c r="CM132" s="349"/>
      <c r="CN132" s="349"/>
      <c r="CO132" s="349"/>
      <c r="CP132" s="349"/>
      <c r="CQ132" s="14"/>
      <c r="CY132" s="2"/>
    </row>
    <row r="133" spans="1:103" s="1" customFormat="1" ht="29.4" customHeight="1">
      <c r="A133" s="46">
        <v>127</v>
      </c>
      <c r="B133" s="46">
        <v>7</v>
      </c>
      <c r="C133" s="46">
        <v>252</v>
      </c>
      <c r="D133" s="48"/>
      <c r="E133" s="48"/>
      <c r="F133" s="46"/>
      <c r="G133" s="310">
        <v>0</v>
      </c>
      <c r="H133" s="310" t="s">
        <v>1991</v>
      </c>
      <c r="I133" s="310" t="s">
        <v>1991</v>
      </c>
      <c r="J133" s="310" t="s">
        <v>1991</v>
      </c>
      <c r="K133" s="310">
        <v>0</v>
      </c>
      <c r="L133" s="310">
        <v>0</v>
      </c>
      <c r="M133" s="310">
        <v>0</v>
      </c>
      <c r="N133" s="310">
        <v>0</v>
      </c>
      <c r="O133" s="310">
        <v>0</v>
      </c>
      <c r="P133" s="310">
        <v>0</v>
      </c>
      <c r="Q133" s="310">
        <v>0</v>
      </c>
      <c r="R133" s="310">
        <v>0</v>
      </c>
      <c r="S133" s="310">
        <v>0</v>
      </c>
      <c r="T133" s="505" t="s">
        <v>1991</v>
      </c>
      <c r="U133" s="310" t="s">
        <v>1991</v>
      </c>
      <c r="V133" s="32" t="s">
        <v>1991</v>
      </c>
      <c r="W133" s="506" t="s">
        <v>1991</v>
      </c>
      <c r="X133" s="506" t="s">
        <v>1991</v>
      </c>
      <c r="Y133" s="506" t="s">
        <v>1991</v>
      </c>
      <c r="Z133" s="32" t="s">
        <v>1991</v>
      </c>
      <c r="AA133" s="32" t="s">
        <v>1991</v>
      </c>
      <c r="AB133" s="32" t="s">
        <v>1991</v>
      </c>
      <c r="AC133" s="32" t="s">
        <v>1991</v>
      </c>
      <c r="AD133" s="32" t="s">
        <v>1991</v>
      </c>
      <c r="AE133" s="506" t="s">
        <v>1991</v>
      </c>
      <c r="AF133" s="506" t="s">
        <v>1991</v>
      </c>
      <c r="AG133" s="32" t="s">
        <v>1991</v>
      </c>
      <c r="AH133" s="32" t="s">
        <v>1991</v>
      </c>
      <c r="AI133" s="32" t="s">
        <v>1991</v>
      </c>
      <c r="AJ133" s="32" t="s">
        <v>1991</v>
      </c>
      <c r="AK133" s="506" t="s">
        <v>1991</v>
      </c>
      <c r="AL133" s="327"/>
      <c r="AM133" s="327"/>
      <c r="AN133" s="327"/>
      <c r="AO133" s="327"/>
      <c r="AP133" s="327"/>
      <c r="AQ133" s="327"/>
      <c r="AR133" s="327"/>
      <c r="AS133" s="327"/>
      <c r="AT133" s="327"/>
      <c r="AU133" s="327"/>
      <c r="AV133" s="327"/>
      <c r="AW133" s="327"/>
      <c r="AX133" s="327"/>
      <c r="AY133" s="327"/>
      <c r="AZ133" s="327"/>
      <c r="BA133" s="327"/>
      <c r="BB133" s="46">
        <f t="shared" si="38"/>
        <v>5</v>
      </c>
      <c r="BC133" s="46">
        <f t="shared" si="39"/>
        <v>16</v>
      </c>
      <c r="BD133" s="46">
        <f t="shared" si="49"/>
        <v>0</v>
      </c>
      <c r="BE133" s="46">
        <f t="shared" si="40"/>
        <v>0</v>
      </c>
      <c r="BF133" s="296">
        <f t="shared" si="41"/>
        <v>21</v>
      </c>
      <c r="BG133" s="26"/>
      <c r="BH133" s="2"/>
      <c r="BI133" s="2"/>
      <c r="BJ133" s="2"/>
      <c r="BK133" s="279">
        <f t="shared" si="42"/>
        <v>0</v>
      </c>
      <c r="BL133" s="279">
        <f t="shared" si="43"/>
        <v>21</v>
      </c>
      <c r="BM133" s="279"/>
      <c r="BN133" s="279"/>
      <c r="BO133" s="2">
        <f t="shared" si="44"/>
        <v>0</v>
      </c>
      <c r="BP133" s="430"/>
      <c r="BQ133" s="431"/>
      <c r="BR133" s="2"/>
      <c r="BS133" s="25"/>
      <c r="BT133" s="348">
        <f t="shared" si="37"/>
        <v>0</v>
      </c>
      <c r="BU133" s="2"/>
      <c r="BV133" s="282">
        <f t="shared" si="34"/>
        <v>0</v>
      </c>
      <c r="BW133" s="279"/>
      <c r="BX133" s="269">
        <f t="shared" si="35"/>
        <v>0</v>
      </c>
      <c r="BY133" s="349" t="e">
        <f>#N/A</f>
        <v>#N/A</v>
      </c>
      <c r="BZ133" s="349" t="e">
        <f>#N/A</f>
        <v>#N/A</v>
      </c>
      <c r="CA133" s="349" t="e">
        <f>#N/A</f>
        <v>#N/A</v>
      </c>
      <c r="CB133" s="351" t="e">
        <f>#N/A</f>
        <v>#N/A</v>
      </c>
      <c r="CC133" s="349" t="e">
        <f t="shared" si="45"/>
        <v>#N/A</v>
      </c>
      <c r="CD133" s="14" t="e">
        <f t="shared" si="46"/>
        <v>#N/A</v>
      </c>
      <c r="CE133" s="14">
        <f t="shared" si="47"/>
        <v>0</v>
      </c>
      <c r="CF133" s="25">
        <f t="shared" si="48"/>
        <v>0</v>
      </c>
      <c r="CG133" s="270"/>
      <c r="CH133" s="2"/>
      <c r="CL133" s="349"/>
      <c r="CM133" s="349"/>
      <c r="CN133" s="349"/>
      <c r="CO133" s="349"/>
      <c r="CP133" s="349"/>
      <c r="CQ133" s="14"/>
      <c r="CY133" s="2"/>
    </row>
    <row r="134" spans="1:103" s="1" customFormat="1" ht="29.4" customHeight="1">
      <c r="A134" s="46">
        <v>128</v>
      </c>
      <c r="B134" s="46">
        <v>7</v>
      </c>
      <c r="C134" s="46">
        <v>253</v>
      </c>
      <c r="D134" s="48"/>
      <c r="E134" s="48"/>
      <c r="F134" s="46"/>
      <c r="G134" s="310">
        <v>0</v>
      </c>
      <c r="H134" s="310" t="s">
        <v>1991</v>
      </c>
      <c r="I134" s="310" t="s">
        <v>1991</v>
      </c>
      <c r="J134" s="310" t="s">
        <v>1991</v>
      </c>
      <c r="K134" s="310">
        <v>0</v>
      </c>
      <c r="L134" s="310">
        <v>0</v>
      </c>
      <c r="M134" s="310">
        <v>0</v>
      </c>
      <c r="N134" s="310">
        <v>0</v>
      </c>
      <c r="O134" s="310">
        <v>0</v>
      </c>
      <c r="P134" s="310">
        <v>0</v>
      </c>
      <c r="Q134" s="310">
        <v>0</v>
      </c>
      <c r="R134" s="310">
        <v>0</v>
      </c>
      <c r="S134" s="310">
        <v>0</v>
      </c>
      <c r="T134" s="505" t="s">
        <v>1991</v>
      </c>
      <c r="U134" s="310" t="s">
        <v>1991</v>
      </c>
      <c r="V134" s="32" t="s">
        <v>1991</v>
      </c>
      <c r="W134" s="506" t="s">
        <v>1991</v>
      </c>
      <c r="X134" s="506" t="s">
        <v>1991</v>
      </c>
      <c r="Y134" s="506" t="s">
        <v>1991</v>
      </c>
      <c r="Z134" s="32" t="s">
        <v>1991</v>
      </c>
      <c r="AA134" s="32" t="s">
        <v>1991</v>
      </c>
      <c r="AB134" s="32" t="s">
        <v>1991</v>
      </c>
      <c r="AC134" s="32" t="s">
        <v>1991</v>
      </c>
      <c r="AD134" s="32" t="s">
        <v>1991</v>
      </c>
      <c r="AE134" s="506" t="s">
        <v>1991</v>
      </c>
      <c r="AF134" s="506" t="s">
        <v>1991</v>
      </c>
      <c r="AG134" s="32" t="s">
        <v>1991</v>
      </c>
      <c r="AH134" s="32" t="s">
        <v>1991</v>
      </c>
      <c r="AI134" s="32" t="s">
        <v>1991</v>
      </c>
      <c r="AJ134" s="32" t="s">
        <v>1991</v>
      </c>
      <c r="AK134" s="506" t="s">
        <v>1991</v>
      </c>
      <c r="AL134" s="327"/>
      <c r="AM134" s="327"/>
      <c r="AN134" s="327"/>
      <c r="AO134" s="327"/>
      <c r="AP134" s="327"/>
      <c r="AQ134" s="327"/>
      <c r="AR134" s="327"/>
      <c r="AS134" s="327"/>
      <c r="AT134" s="327"/>
      <c r="AU134" s="327"/>
      <c r="AV134" s="327"/>
      <c r="AW134" s="327"/>
      <c r="AX134" s="327"/>
      <c r="AY134" s="327"/>
      <c r="AZ134" s="327"/>
      <c r="BA134" s="327"/>
      <c r="BB134" s="46">
        <f t="shared" si="38"/>
        <v>5</v>
      </c>
      <c r="BC134" s="46">
        <f t="shared" si="39"/>
        <v>16</v>
      </c>
      <c r="BD134" s="46">
        <f t="shared" si="49"/>
        <v>0</v>
      </c>
      <c r="BE134" s="46">
        <f t="shared" si="40"/>
        <v>0</v>
      </c>
      <c r="BF134" s="296">
        <f t="shared" si="41"/>
        <v>21</v>
      </c>
      <c r="BG134" s="26"/>
      <c r="BH134" s="2"/>
      <c r="BI134" s="2"/>
      <c r="BJ134" s="2"/>
      <c r="BK134" s="279">
        <f t="shared" si="42"/>
        <v>0</v>
      </c>
      <c r="BL134" s="279">
        <f t="shared" si="43"/>
        <v>21</v>
      </c>
      <c r="BM134" s="279"/>
      <c r="BN134" s="279"/>
      <c r="BO134" s="2">
        <f t="shared" si="44"/>
        <v>0</v>
      </c>
      <c r="BP134" s="430"/>
      <c r="BQ134" s="431"/>
      <c r="BR134" s="2"/>
      <c r="BS134" s="25"/>
      <c r="BT134" s="348">
        <f t="shared" si="37"/>
        <v>0</v>
      </c>
      <c r="BU134" s="2"/>
      <c r="BV134" s="282">
        <f t="shared" si="34"/>
        <v>0</v>
      </c>
      <c r="BW134" s="279"/>
      <c r="BX134" s="269">
        <f t="shared" si="35"/>
        <v>0</v>
      </c>
      <c r="BY134" s="349" t="e">
        <f>#N/A</f>
        <v>#N/A</v>
      </c>
      <c r="BZ134" s="349" t="e">
        <f>#N/A</f>
        <v>#N/A</v>
      </c>
      <c r="CA134" s="349" t="e">
        <f>#N/A</f>
        <v>#N/A</v>
      </c>
      <c r="CB134" s="351" t="e">
        <f>#N/A</f>
        <v>#N/A</v>
      </c>
      <c r="CC134" s="349" t="e">
        <f t="shared" si="45"/>
        <v>#N/A</v>
      </c>
      <c r="CD134" s="14" t="e">
        <f t="shared" si="46"/>
        <v>#N/A</v>
      </c>
      <c r="CE134" s="14">
        <f t="shared" si="47"/>
        <v>0</v>
      </c>
      <c r="CF134" s="25">
        <f t="shared" si="48"/>
        <v>0</v>
      </c>
      <c r="CG134" s="270"/>
      <c r="CH134" s="2"/>
      <c r="CL134" s="349"/>
      <c r="CM134" s="349"/>
      <c r="CN134" s="349"/>
      <c r="CO134" s="349"/>
      <c r="CP134" s="349"/>
      <c r="CQ134" s="14"/>
      <c r="CY134" s="2"/>
    </row>
    <row r="135" spans="1:103" s="1" customFormat="1" ht="29.4" customHeight="1">
      <c r="A135" s="46">
        <v>129</v>
      </c>
      <c r="B135" s="46">
        <v>7</v>
      </c>
      <c r="C135" s="46">
        <v>254</v>
      </c>
      <c r="D135" s="48"/>
      <c r="E135" s="48"/>
      <c r="F135" s="46"/>
      <c r="G135" s="310" t="s">
        <v>1991</v>
      </c>
      <c r="H135" s="310" t="s">
        <v>1991</v>
      </c>
      <c r="I135" s="310" t="s">
        <v>1991</v>
      </c>
      <c r="J135" s="310">
        <v>0</v>
      </c>
      <c r="K135" s="310" t="s">
        <v>1991</v>
      </c>
      <c r="L135" s="310" t="s">
        <v>1991</v>
      </c>
      <c r="M135" s="310" t="s">
        <v>1991</v>
      </c>
      <c r="N135" s="310">
        <v>0</v>
      </c>
      <c r="O135" s="310" t="s">
        <v>1991</v>
      </c>
      <c r="P135" s="310" t="s">
        <v>1991</v>
      </c>
      <c r="Q135" s="310" t="s">
        <v>1991</v>
      </c>
      <c r="R135" s="310" t="s">
        <v>1991</v>
      </c>
      <c r="S135" s="310">
        <v>0</v>
      </c>
      <c r="T135" s="505">
        <v>0</v>
      </c>
      <c r="U135" s="310">
        <v>0</v>
      </c>
      <c r="V135" s="32">
        <v>0</v>
      </c>
      <c r="W135" s="506">
        <v>0</v>
      </c>
      <c r="X135" s="506">
        <v>0</v>
      </c>
      <c r="Y135" s="506">
        <v>0</v>
      </c>
      <c r="Z135" s="32">
        <v>0</v>
      </c>
      <c r="AA135" s="32" t="s">
        <v>1991</v>
      </c>
      <c r="AB135" s="32" t="s">
        <v>1991</v>
      </c>
      <c r="AC135" s="32" t="s">
        <v>1991</v>
      </c>
      <c r="AD135" s="32" t="s">
        <v>1991</v>
      </c>
      <c r="AE135" s="506" t="s">
        <v>1991</v>
      </c>
      <c r="AF135" s="506" t="s">
        <v>1991</v>
      </c>
      <c r="AG135" s="32" t="s">
        <v>1991</v>
      </c>
      <c r="AH135" s="32" t="s">
        <v>1991</v>
      </c>
      <c r="AI135" s="32" t="s">
        <v>1991</v>
      </c>
      <c r="AJ135" s="32" t="s">
        <v>1991</v>
      </c>
      <c r="AK135" s="506" t="s">
        <v>1991</v>
      </c>
      <c r="AL135" s="327"/>
      <c r="AM135" s="327"/>
      <c r="AN135" s="327"/>
      <c r="AO135" s="327"/>
      <c r="AP135" s="327"/>
      <c r="AQ135" s="327"/>
      <c r="AR135" s="327"/>
      <c r="AS135" s="327"/>
      <c r="AT135" s="327"/>
      <c r="AU135" s="327"/>
      <c r="AV135" s="327"/>
      <c r="AW135" s="327"/>
      <c r="AX135" s="327"/>
      <c r="AY135" s="327"/>
      <c r="AZ135" s="327"/>
      <c r="BA135" s="327"/>
      <c r="BB135" s="46">
        <f t="shared" si="38"/>
        <v>10</v>
      </c>
      <c r="BC135" s="46">
        <f t="shared" si="39"/>
        <v>11</v>
      </c>
      <c r="BD135" s="46">
        <f t="shared" si="49"/>
        <v>0</v>
      </c>
      <c r="BE135" s="46">
        <f t="shared" si="40"/>
        <v>0</v>
      </c>
      <c r="BF135" s="296">
        <f t="shared" si="41"/>
        <v>21</v>
      </c>
      <c r="BG135" s="26"/>
      <c r="BH135" s="2"/>
      <c r="BI135" s="2"/>
      <c r="BJ135" s="2"/>
      <c r="BK135" s="279">
        <f t="shared" si="42"/>
        <v>0</v>
      </c>
      <c r="BL135" s="279">
        <f t="shared" si="43"/>
        <v>21</v>
      </c>
      <c r="BM135" s="279"/>
      <c r="BN135" s="279"/>
      <c r="BO135" s="2">
        <f t="shared" si="44"/>
        <v>0</v>
      </c>
      <c r="BP135" s="430"/>
      <c r="BQ135" s="431"/>
      <c r="BR135" s="2"/>
      <c r="BS135" s="25"/>
      <c r="BT135" s="348">
        <f t="shared" si="37"/>
        <v>0</v>
      </c>
      <c r="BU135" s="2"/>
      <c r="BV135" s="282">
        <f t="shared" ref="BV135:BV173" si="50">IF(AND(BU135&gt;0,BU135&lt;=1),50000,IF(AND(BU135&gt;1,BU135&lt;=3),40000,IF(AND(BU135&gt;3,BU135&lt;=5),20000,IF(AND(BU135&gt;5,BU135&lt;=9),0,IF(AND(BU135&gt;9,BU135&lt;=11),-20000,IF(AND(BU135&gt;11,BU135&lt;=13),-40000,IF(BU135&gt;13,-50000,0)))))))</f>
        <v>0</v>
      </c>
      <c r="BW135" s="279"/>
      <c r="BX135" s="269">
        <f t="shared" ref="BX135:BX173" si="51">IF(AND(BW135&gt;0,BW135&lt;=1),1.15,IF(AND(BW135&gt;1,BW135&lt;=3),1.1,IF(AND(BW135&gt;3,BW135&lt;=5),1.05,IF(AND(BW135&gt;5,BW135&lt;=9),1,IF(AND(BW135&gt;9,BW135&lt;=11),-0.05,IF(AND(BW135&gt;11,BW135&lt;=13),-0.1,IF(BW135&gt;13,-0.15,0)))))))</f>
        <v>0</v>
      </c>
      <c r="BY135" s="349" t="e">
        <f>#N/A</f>
        <v>#N/A</v>
      </c>
      <c r="BZ135" s="349" t="e">
        <f>#N/A</f>
        <v>#N/A</v>
      </c>
      <c r="CA135" s="349" t="e">
        <f>#N/A</f>
        <v>#N/A</v>
      </c>
      <c r="CB135" s="351" t="e">
        <f>#N/A</f>
        <v>#N/A</v>
      </c>
      <c r="CC135" s="349" t="e">
        <f t="shared" si="45"/>
        <v>#N/A</v>
      </c>
      <c r="CD135" s="14" t="e">
        <f t="shared" si="46"/>
        <v>#N/A</v>
      </c>
      <c r="CE135" s="14">
        <f t="shared" si="47"/>
        <v>0</v>
      </c>
      <c r="CF135" s="25">
        <f t="shared" si="48"/>
        <v>0</v>
      </c>
      <c r="CG135" s="270"/>
      <c r="CH135" s="2"/>
      <c r="CL135" s="349"/>
      <c r="CM135" s="349"/>
      <c r="CN135" s="349"/>
      <c r="CO135" s="349"/>
      <c r="CP135" s="349"/>
      <c r="CQ135" s="14"/>
      <c r="CY135" s="2"/>
    </row>
    <row r="136" spans="1:103" s="1" customFormat="1" ht="29.4" customHeight="1">
      <c r="A136" s="46">
        <v>130</v>
      </c>
      <c r="B136" s="46">
        <v>7</v>
      </c>
      <c r="C136" s="46">
        <v>255</v>
      </c>
      <c r="D136" s="48"/>
      <c r="E136" s="48"/>
      <c r="F136" s="46"/>
      <c r="G136" s="310" t="s">
        <v>1991</v>
      </c>
      <c r="H136" s="310" t="s">
        <v>1991</v>
      </c>
      <c r="I136" s="310" t="s">
        <v>1991</v>
      </c>
      <c r="J136" s="310" t="s">
        <v>1991</v>
      </c>
      <c r="K136" s="310" t="s">
        <v>1991</v>
      </c>
      <c r="L136" s="310" t="s">
        <v>1991</v>
      </c>
      <c r="M136" s="310" t="s">
        <v>1991</v>
      </c>
      <c r="N136" s="310">
        <v>0</v>
      </c>
      <c r="O136" s="310" t="s">
        <v>1991</v>
      </c>
      <c r="P136" s="310" t="s">
        <v>1991</v>
      </c>
      <c r="Q136" s="310" t="s">
        <v>1991</v>
      </c>
      <c r="R136" s="310" t="s">
        <v>1991</v>
      </c>
      <c r="S136" s="310" t="s">
        <v>1991</v>
      </c>
      <c r="T136" s="505" t="s">
        <v>1991</v>
      </c>
      <c r="U136" s="310" t="s">
        <v>1991</v>
      </c>
      <c r="V136" s="32" t="s">
        <v>1991</v>
      </c>
      <c r="W136" s="506" t="s">
        <v>1991</v>
      </c>
      <c r="X136" s="506" t="s">
        <v>1991</v>
      </c>
      <c r="Y136" s="506">
        <v>0</v>
      </c>
      <c r="Z136" s="32" t="s">
        <v>1991</v>
      </c>
      <c r="AA136" s="32" t="s">
        <v>1991</v>
      </c>
      <c r="AB136" s="32" t="s">
        <v>1991</v>
      </c>
      <c r="AC136" s="32" t="s">
        <v>1991</v>
      </c>
      <c r="AD136" s="32" t="s">
        <v>1991</v>
      </c>
      <c r="AE136" s="506" t="s">
        <v>1991</v>
      </c>
      <c r="AF136" s="506" t="s">
        <v>1991</v>
      </c>
      <c r="AG136" s="32">
        <v>0</v>
      </c>
      <c r="AH136" s="32" t="s">
        <v>1991</v>
      </c>
      <c r="AI136" s="32" t="s">
        <v>1991</v>
      </c>
      <c r="AJ136" s="32" t="s">
        <v>1991</v>
      </c>
      <c r="AK136" s="506" t="s">
        <v>1991</v>
      </c>
      <c r="AL136" s="327"/>
      <c r="AM136" s="327"/>
      <c r="AN136" s="327"/>
      <c r="AO136" s="327"/>
      <c r="AP136" s="327"/>
      <c r="AQ136" s="327"/>
      <c r="AR136" s="327"/>
      <c r="AS136" s="327"/>
      <c r="AT136" s="327"/>
      <c r="AU136" s="327"/>
      <c r="AV136" s="327"/>
      <c r="AW136" s="327"/>
      <c r="AX136" s="327"/>
      <c r="AY136" s="327"/>
      <c r="AZ136" s="327"/>
      <c r="BA136" s="327"/>
      <c r="BB136" s="46">
        <f t="shared" si="38"/>
        <v>14</v>
      </c>
      <c r="BC136" s="46">
        <f t="shared" si="39"/>
        <v>14</v>
      </c>
      <c r="BD136" s="46">
        <f t="shared" si="49"/>
        <v>0</v>
      </c>
      <c r="BE136" s="46">
        <f t="shared" si="40"/>
        <v>0</v>
      </c>
      <c r="BF136" s="296">
        <f t="shared" si="41"/>
        <v>28</v>
      </c>
      <c r="BG136" s="26"/>
      <c r="BH136" s="2"/>
      <c r="BI136" s="2"/>
      <c r="BJ136" s="2"/>
      <c r="BK136" s="279">
        <f t="shared" si="42"/>
        <v>1</v>
      </c>
      <c r="BL136" s="279">
        <f t="shared" si="43"/>
        <v>28</v>
      </c>
      <c r="BM136" s="279"/>
      <c r="BN136" s="279"/>
      <c r="BO136" s="2">
        <f t="shared" si="44"/>
        <v>28</v>
      </c>
      <c r="BP136" s="430"/>
      <c r="BQ136" s="431"/>
      <c r="BR136" s="2"/>
      <c r="BS136" s="25"/>
      <c r="BT136" s="348">
        <f t="shared" ref="BT136:BT173" si="52">IF(BF136&gt;=26,1,0)</f>
        <v>1</v>
      </c>
      <c r="BU136" s="2"/>
      <c r="BV136" s="282">
        <f t="shared" si="50"/>
        <v>0</v>
      </c>
      <c r="BW136" s="279"/>
      <c r="BX136" s="269">
        <f t="shared" si="51"/>
        <v>0</v>
      </c>
      <c r="BY136" s="349" t="e">
        <f>#N/A</f>
        <v>#N/A</v>
      </c>
      <c r="BZ136" s="349" t="e">
        <f>#N/A</f>
        <v>#N/A</v>
      </c>
      <c r="CA136" s="349" t="e">
        <f>#N/A</f>
        <v>#N/A</v>
      </c>
      <c r="CB136" s="351" t="e">
        <f>#N/A</f>
        <v>#N/A</v>
      </c>
      <c r="CC136" s="349" t="e">
        <f t="shared" si="45"/>
        <v>#N/A</v>
      </c>
      <c r="CD136" s="14" t="e">
        <f t="shared" si="46"/>
        <v>#N/A</v>
      </c>
      <c r="CE136" s="14">
        <f t="shared" si="47"/>
        <v>28</v>
      </c>
      <c r="CF136" s="25">
        <f t="shared" si="48"/>
        <v>1</v>
      </c>
      <c r="CG136" s="270"/>
      <c r="CH136" s="2"/>
      <c r="CL136" s="349"/>
      <c r="CM136" s="349"/>
      <c r="CN136" s="349"/>
      <c r="CO136" s="349"/>
      <c r="CP136" s="349"/>
      <c r="CQ136" s="14"/>
      <c r="CY136" s="2"/>
    </row>
    <row r="137" spans="1:103" s="1" customFormat="1" ht="29.4" customHeight="1">
      <c r="A137" s="46">
        <v>131</v>
      </c>
      <c r="B137" s="46">
        <v>7</v>
      </c>
      <c r="C137" s="46">
        <v>256</v>
      </c>
      <c r="D137" s="48"/>
      <c r="E137" s="48"/>
      <c r="F137" s="46"/>
      <c r="G137" s="310" t="s">
        <v>1991</v>
      </c>
      <c r="H137" s="310" t="s">
        <v>1991</v>
      </c>
      <c r="I137" s="310" t="s">
        <v>1991</v>
      </c>
      <c r="J137" s="310">
        <v>0</v>
      </c>
      <c r="K137" s="310" t="s">
        <v>1991</v>
      </c>
      <c r="L137" s="310" t="s">
        <v>1991</v>
      </c>
      <c r="M137" s="310" t="s">
        <v>1991</v>
      </c>
      <c r="N137" s="310" t="s">
        <v>1991</v>
      </c>
      <c r="O137" s="310" t="s">
        <v>1991</v>
      </c>
      <c r="P137" s="310" t="s">
        <v>1991</v>
      </c>
      <c r="Q137" s="310" t="s">
        <v>1991</v>
      </c>
      <c r="R137" s="310" t="s">
        <v>1991</v>
      </c>
      <c r="S137" s="310" t="s">
        <v>1991</v>
      </c>
      <c r="T137" s="505" t="s">
        <v>1991</v>
      </c>
      <c r="U137" s="310" t="s">
        <v>1991</v>
      </c>
      <c r="V137" s="32" t="s">
        <v>1991</v>
      </c>
      <c r="W137" s="506" t="s">
        <v>1991</v>
      </c>
      <c r="X137" s="506" t="s">
        <v>1991</v>
      </c>
      <c r="Y137" s="506" t="s">
        <v>1991</v>
      </c>
      <c r="Z137" s="32" t="s">
        <v>1991</v>
      </c>
      <c r="AA137" s="32" t="s">
        <v>1991</v>
      </c>
      <c r="AB137" s="32" t="s">
        <v>1991</v>
      </c>
      <c r="AC137" s="32" t="s">
        <v>1991</v>
      </c>
      <c r="AD137" s="32" t="s">
        <v>1991</v>
      </c>
      <c r="AE137" s="506" t="s">
        <v>1991</v>
      </c>
      <c r="AF137" s="506" t="s">
        <v>1991</v>
      </c>
      <c r="AG137" s="32" t="s">
        <v>1991</v>
      </c>
      <c r="AH137" s="32" t="s">
        <v>1991</v>
      </c>
      <c r="AI137" s="32" t="s">
        <v>1991</v>
      </c>
      <c r="AJ137" s="32" t="s">
        <v>1991</v>
      </c>
      <c r="AK137" s="506" t="s">
        <v>1991</v>
      </c>
      <c r="AL137" s="327"/>
      <c r="AM137" s="327"/>
      <c r="AN137" s="327"/>
      <c r="AO137" s="327"/>
      <c r="AP137" s="327"/>
      <c r="AQ137" s="327"/>
      <c r="AR137" s="327"/>
      <c r="AS137" s="327"/>
      <c r="AT137" s="327"/>
      <c r="AU137" s="327"/>
      <c r="AV137" s="327"/>
      <c r="AW137" s="327"/>
      <c r="AX137" s="327"/>
      <c r="AY137" s="327"/>
      <c r="AZ137" s="327"/>
      <c r="BA137" s="327"/>
      <c r="BB137" s="46">
        <f t="shared" si="38"/>
        <v>14</v>
      </c>
      <c r="BC137" s="46">
        <f t="shared" si="39"/>
        <v>16</v>
      </c>
      <c r="BD137" s="46">
        <f t="shared" si="49"/>
        <v>0</v>
      </c>
      <c r="BE137" s="46">
        <f t="shared" si="40"/>
        <v>0</v>
      </c>
      <c r="BF137" s="296">
        <f t="shared" si="41"/>
        <v>30</v>
      </c>
      <c r="BG137" s="26"/>
      <c r="BH137" s="2"/>
      <c r="BI137" s="2"/>
      <c r="BJ137" s="2"/>
      <c r="BK137" s="279">
        <f t="shared" si="42"/>
        <v>1</v>
      </c>
      <c r="BL137" s="279">
        <f t="shared" si="43"/>
        <v>30</v>
      </c>
      <c r="BM137" s="279"/>
      <c r="BN137" s="279"/>
      <c r="BO137" s="2">
        <f t="shared" si="44"/>
        <v>30</v>
      </c>
      <c r="BP137" s="430"/>
      <c r="BQ137" s="431"/>
      <c r="BR137" s="2"/>
      <c r="BS137" s="25"/>
      <c r="BT137" s="348">
        <f t="shared" si="52"/>
        <v>1</v>
      </c>
      <c r="BU137" s="2"/>
      <c r="BV137" s="282">
        <f t="shared" si="50"/>
        <v>0</v>
      </c>
      <c r="BW137" s="279"/>
      <c r="BX137" s="269">
        <f t="shared" si="51"/>
        <v>0</v>
      </c>
      <c r="BY137" s="349" t="e">
        <f>#N/A</f>
        <v>#N/A</v>
      </c>
      <c r="BZ137" s="349" t="e">
        <f>#N/A</f>
        <v>#N/A</v>
      </c>
      <c r="CA137" s="349" t="e">
        <f>#N/A</f>
        <v>#N/A</v>
      </c>
      <c r="CB137" s="351" t="e">
        <f>#N/A</f>
        <v>#N/A</v>
      </c>
      <c r="CC137" s="349" t="e">
        <f t="shared" si="45"/>
        <v>#N/A</v>
      </c>
      <c r="CD137" s="14" t="e">
        <f t="shared" si="46"/>
        <v>#N/A</v>
      </c>
      <c r="CE137" s="14">
        <f t="shared" si="47"/>
        <v>30</v>
      </c>
      <c r="CF137" s="25">
        <f t="shared" si="48"/>
        <v>1</v>
      </c>
      <c r="CG137" s="270"/>
      <c r="CH137" s="2"/>
      <c r="CL137" s="349"/>
      <c r="CM137" s="349"/>
      <c r="CN137" s="349"/>
      <c r="CO137" s="349"/>
      <c r="CP137" s="349"/>
      <c r="CQ137" s="14"/>
      <c r="CY137" s="2"/>
    </row>
    <row r="138" spans="1:103" s="1" customFormat="1" ht="29.4" customHeight="1">
      <c r="A138" s="46">
        <v>132</v>
      </c>
      <c r="B138" s="46">
        <v>7</v>
      </c>
      <c r="C138" s="46">
        <v>257</v>
      </c>
      <c r="D138" s="48"/>
      <c r="E138" s="48"/>
      <c r="F138" s="46"/>
      <c r="G138" s="310" t="s">
        <v>1991</v>
      </c>
      <c r="H138" s="310" t="s">
        <v>1991</v>
      </c>
      <c r="I138" s="310" t="s">
        <v>1991</v>
      </c>
      <c r="J138" s="310">
        <v>0</v>
      </c>
      <c r="K138" s="310" t="s">
        <v>1991</v>
      </c>
      <c r="L138" s="310" t="s">
        <v>1991</v>
      </c>
      <c r="M138" s="310">
        <v>0</v>
      </c>
      <c r="N138" s="310" t="s">
        <v>1991</v>
      </c>
      <c r="O138" s="310" t="s">
        <v>1991</v>
      </c>
      <c r="P138" s="310" t="s">
        <v>1991</v>
      </c>
      <c r="Q138" s="310" t="s">
        <v>1991</v>
      </c>
      <c r="R138" s="310" t="s">
        <v>1991</v>
      </c>
      <c r="S138" s="310" t="s">
        <v>1991</v>
      </c>
      <c r="T138" s="505" t="s">
        <v>1991</v>
      </c>
      <c r="U138" s="310" t="s">
        <v>1991</v>
      </c>
      <c r="V138" s="32" t="s">
        <v>1991</v>
      </c>
      <c r="W138" s="506" t="s">
        <v>1991</v>
      </c>
      <c r="X138" s="506" t="s">
        <v>1991</v>
      </c>
      <c r="Y138" s="506" t="s">
        <v>1991</v>
      </c>
      <c r="Z138" s="32" t="s">
        <v>1991</v>
      </c>
      <c r="AA138" s="32" t="s">
        <v>1991</v>
      </c>
      <c r="AB138" s="32" t="s">
        <v>1991</v>
      </c>
      <c r="AC138" s="32" t="s">
        <v>1991</v>
      </c>
      <c r="AD138" s="32" t="s">
        <v>1991</v>
      </c>
      <c r="AE138" s="506" t="s">
        <v>1991</v>
      </c>
      <c r="AF138" s="506" t="s">
        <v>1991</v>
      </c>
      <c r="AG138" s="32" t="s">
        <v>1991</v>
      </c>
      <c r="AH138" s="32" t="s">
        <v>1991</v>
      </c>
      <c r="AI138" s="32" t="s">
        <v>1991</v>
      </c>
      <c r="AJ138" s="32" t="s">
        <v>1991</v>
      </c>
      <c r="AK138" s="506" t="s">
        <v>1991</v>
      </c>
      <c r="AL138" s="327"/>
      <c r="AM138" s="327"/>
      <c r="AN138" s="327"/>
      <c r="AO138" s="327"/>
      <c r="AP138" s="327"/>
      <c r="AQ138" s="327"/>
      <c r="AR138" s="327"/>
      <c r="AS138" s="327"/>
      <c r="AT138" s="327"/>
      <c r="AU138" s="327"/>
      <c r="AV138" s="327"/>
      <c r="AW138" s="327"/>
      <c r="AX138" s="327"/>
      <c r="AY138" s="327"/>
      <c r="AZ138" s="327"/>
      <c r="BA138" s="327"/>
      <c r="BB138" s="46">
        <f t="shared" si="38"/>
        <v>13</v>
      </c>
      <c r="BC138" s="46">
        <f t="shared" si="39"/>
        <v>16</v>
      </c>
      <c r="BD138" s="46">
        <f t="shared" si="49"/>
        <v>0</v>
      </c>
      <c r="BE138" s="46">
        <f t="shared" si="40"/>
        <v>0</v>
      </c>
      <c r="BF138" s="296">
        <f t="shared" si="41"/>
        <v>29</v>
      </c>
      <c r="BG138" s="26"/>
      <c r="BH138" s="2"/>
      <c r="BI138" s="2"/>
      <c r="BJ138" s="2"/>
      <c r="BK138" s="279">
        <f t="shared" si="42"/>
        <v>1</v>
      </c>
      <c r="BL138" s="279">
        <f t="shared" si="43"/>
        <v>29</v>
      </c>
      <c r="BM138" s="279"/>
      <c r="BN138" s="279"/>
      <c r="BO138" s="2">
        <f t="shared" si="44"/>
        <v>29</v>
      </c>
      <c r="BP138" s="430"/>
      <c r="BQ138" s="431"/>
      <c r="BR138" s="2"/>
      <c r="BS138" s="25"/>
      <c r="BT138" s="348">
        <f t="shared" si="52"/>
        <v>1</v>
      </c>
      <c r="BU138" s="2"/>
      <c r="BV138" s="282">
        <f t="shared" si="50"/>
        <v>0</v>
      </c>
      <c r="BW138" s="279"/>
      <c r="BX138" s="269">
        <f t="shared" si="51"/>
        <v>0</v>
      </c>
      <c r="BY138" s="349" t="e">
        <f>#N/A</f>
        <v>#N/A</v>
      </c>
      <c r="BZ138" s="349" t="e">
        <f>#N/A</f>
        <v>#N/A</v>
      </c>
      <c r="CA138" s="349" t="e">
        <f>#N/A</f>
        <v>#N/A</v>
      </c>
      <c r="CB138" s="351" t="e">
        <f>#N/A</f>
        <v>#N/A</v>
      </c>
      <c r="CC138" s="349" t="e">
        <f t="shared" si="45"/>
        <v>#N/A</v>
      </c>
      <c r="CD138" s="14" t="e">
        <f t="shared" si="46"/>
        <v>#N/A</v>
      </c>
      <c r="CE138" s="14">
        <f t="shared" si="47"/>
        <v>29</v>
      </c>
      <c r="CF138" s="25">
        <f t="shared" si="48"/>
        <v>1</v>
      </c>
      <c r="CG138" s="270"/>
      <c r="CH138" s="2"/>
      <c r="CL138" s="349"/>
      <c r="CM138" s="349"/>
      <c r="CN138" s="349"/>
      <c r="CO138" s="349"/>
      <c r="CP138" s="349"/>
      <c r="CQ138" s="14"/>
      <c r="CY138" s="2"/>
    </row>
    <row r="139" spans="1:103" s="1" customFormat="1" ht="29.4" customHeight="1">
      <c r="A139" s="46">
        <v>133</v>
      </c>
      <c r="B139" s="46">
        <v>7</v>
      </c>
      <c r="C139" s="46">
        <v>258</v>
      </c>
      <c r="D139" s="48"/>
      <c r="E139" s="48"/>
      <c r="F139" s="46"/>
      <c r="G139" s="310" t="s">
        <v>1991</v>
      </c>
      <c r="H139" s="310">
        <v>0</v>
      </c>
      <c r="I139" s="310" t="s">
        <v>1991</v>
      </c>
      <c r="J139" s="310" t="s">
        <v>1991</v>
      </c>
      <c r="K139" s="310">
        <v>0</v>
      </c>
      <c r="L139" s="310">
        <v>0</v>
      </c>
      <c r="M139" s="310">
        <v>0</v>
      </c>
      <c r="N139" s="310">
        <v>0</v>
      </c>
      <c r="O139" s="310">
        <v>0</v>
      </c>
      <c r="P139" s="310">
        <v>0</v>
      </c>
      <c r="Q139" s="310">
        <v>0</v>
      </c>
      <c r="R139" s="310">
        <v>0</v>
      </c>
      <c r="S139" s="310">
        <v>0</v>
      </c>
      <c r="T139" s="505" t="s">
        <v>1991</v>
      </c>
      <c r="U139" s="310" t="s">
        <v>1991</v>
      </c>
      <c r="V139" s="32" t="s">
        <v>1991</v>
      </c>
      <c r="W139" s="506" t="s">
        <v>1991</v>
      </c>
      <c r="X139" s="506" t="s">
        <v>1991</v>
      </c>
      <c r="Y139" s="506" t="s">
        <v>1991</v>
      </c>
      <c r="Z139" s="32" t="s">
        <v>1991</v>
      </c>
      <c r="AA139" s="32" t="s">
        <v>1991</v>
      </c>
      <c r="AB139" s="32" t="s">
        <v>1991</v>
      </c>
      <c r="AC139" s="32" t="s">
        <v>1991</v>
      </c>
      <c r="AD139" s="32" t="s">
        <v>1991</v>
      </c>
      <c r="AE139" s="506" t="s">
        <v>1991</v>
      </c>
      <c r="AF139" s="506" t="s">
        <v>1991</v>
      </c>
      <c r="AG139" s="32" t="s">
        <v>1991</v>
      </c>
      <c r="AH139" s="32" t="s">
        <v>1991</v>
      </c>
      <c r="AI139" s="32" t="s">
        <v>1991</v>
      </c>
      <c r="AJ139" s="32" t="s">
        <v>1991</v>
      </c>
      <c r="AK139" s="506" t="s">
        <v>1991</v>
      </c>
      <c r="AL139" s="327"/>
      <c r="AM139" s="327"/>
      <c r="AN139" s="327"/>
      <c r="AO139" s="327"/>
      <c r="AP139" s="327"/>
      <c r="AQ139" s="327"/>
      <c r="AR139" s="327"/>
      <c r="AS139" s="327"/>
      <c r="AT139" s="327"/>
      <c r="AU139" s="327"/>
      <c r="AV139" s="327"/>
      <c r="AW139" s="327"/>
      <c r="AX139" s="327"/>
      <c r="AY139" s="327"/>
      <c r="AZ139" s="327"/>
      <c r="BA139" s="327"/>
      <c r="BB139" s="46">
        <f t="shared" si="38"/>
        <v>5</v>
      </c>
      <c r="BC139" s="46">
        <f t="shared" si="39"/>
        <v>16</v>
      </c>
      <c r="BD139" s="46">
        <f t="shared" si="49"/>
        <v>0</v>
      </c>
      <c r="BE139" s="46">
        <f t="shared" si="40"/>
        <v>0</v>
      </c>
      <c r="BF139" s="296">
        <f t="shared" si="41"/>
        <v>21</v>
      </c>
      <c r="BG139" s="26"/>
      <c r="BH139" s="2"/>
      <c r="BI139" s="2"/>
      <c r="BJ139" s="2"/>
      <c r="BK139" s="279">
        <f t="shared" si="42"/>
        <v>0</v>
      </c>
      <c r="BL139" s="279">
        <f t="shared" si="43"/>
        <v>21</v>
      </c>
      <c r="BM139" s="279"/>
      <c r="BN139" s="279"/>
      <c r="BO139" s="2">
        <f t="shared" si="44"/>
        <v>0</v>
      </c>
      <c r="BP139" s="430"/>
      <c r="BQ139" s="431"/>
      <c r="BR139" s="2"/>
      <c r="BS139" s="25"/>
      <c r="BT139" s="348">
        <f t="shared" si="52"/>
        <v>0</v>
      </c>
      <c r="BU139" s="2"/>
      <c r="BV139" s="282">
        <f t="shared" si="50"/>
        <v>0</v>
      </c>
      <c r="BW139" s="279"/>
      <c r="BX139" s="269">
        <f t="shared" si="51"/>
        <v>0</v>
      </c>
      <c r="BY139" s="349" t="e">
        <f>#N/A</f>
        <v>#N/A</v>
      </c>
      <c r="BZ139" s="349" t="e">
        <f>#N/A</f>
        <v>#N/A</v>
      </c>
      <c r="CA139" s="349" t="e">
        <f>#N/A</f>
        <v>#N/A</v>
      </c>
      <c r="CB139" s="351" t="e">
        <f>#N/A</f>
        <v>#N/A</v>
      </c>
      <c r="CC139" s="349" t="e">
        <f t="shared" si="45"/>
        <v>#N/A</v>
      </c>
      <c r="CD139" s="14" t="e">
        <f t="shared" si="46"/>
        <v>#N/A</v>
      </c>
      <c r="CE139" s="14">
        <f t="shared" si="47"/>
        <v>0</v>
      </c>
      <c r="CF139" s="25">
        <f t="shared" si="48"/>
        <v>0</v>
      </c>
      <c r="CG139" s="270"/>
      <c r="CH139" s="2"/>
      <c r="CL139" s="349"/>
      <c r="CM139" s="349"/>
      <c r="CN139" s="349"/>
      <c r="CO139" s="349"/>
      <c r="CP139" s="349"/>
      <c r="CQ139" s="14"/>
      <c r="CY139" s="2"/>
    </row>
    <row r="140" spans="1:103" s="1" customFormat="1" ht="29.4" customHeight="1">
      <c r="A140" s="46">
        <v>134</v>
      </c>
      <c r="B140" s="46">
        <v>7</v>
      </c>
      <c r="C140" s="46">
        <v>259</v>
      </c>
      <c r="D140" s="48"/>
      <c r="E140" s="48"/>
      <c r="F140" s="46"/>
      <c r="G140" s="310" t="s">
        <v>1991</v>
      </c>
      <c r="H140" s="310" t="s">
        <v>1991</v>
      </c>
      <c r="I140" s="310">
        <v>0</v>
      </c>
      <c r="J140" s="310">
        <v>0</v>
      </c>
      <c r="K140" s="310" t="s">
        <v>1991</v>
      </c>
      <c r="L140" s="310" t="s">
        <v>1991</v>
      </c>
      <c r="M140" s="310" t="s">
        <v>1991</v>
      </c>
      <c r="N140" s="310" t="s">
        <v>1991</v>
      </c>
      <c r="O140" s="310" t="s">
        <v>1991</v>
      </c>
      <c r="P140" s="310" t="s">
        <v>1991</v>
      </c>
      <c r="Q140" s="310" t="s">
        <v>1991</v>
      </c>
      <c r="R140" s="310" t="s">
        <v>1991</v>
      </c>
      <c r="S140" s="310" t="s">
        <v>1991</v>
      </c>
      <c r="T140" s="505" t="s">
        <v>1991</v>
      </c>
      <c r="U140" s="310" t="s">
        <v>1991</v>
      </c>
      <c r="V140" s="32" t="s">
        <v>1991</v>
      </c>
      <c r="W140" s="506" t="s">
        <v>1991</v>
      </c>
      <c r="X140" s="506" t="s">
        <v>1991</v>
      </c>
      <c r="Y140" s="506" t="s">
        <v>1991</v>
      </c>
      <c r="Z140" s="32" t="s">
        <v>1991</v>
      </c>
      <c r="AA140" s="32" t="s">
        <v>1991</v>
      </c>
      <c r="AB140" s="32" t="s">
        <v>1991</v>
      </c>
      <c r="AC140" s="32">
        <v>0</v>
      </c>
      <c r="AD140" s="32" t="s">
        <v>1991</v>
      </c>
      <c r="AE140" s="506" t="s">
        <v>1991</v>
      </c>
      <c r="AF140" s="506" t="s">
        <v>1991</v>
      </c>
      <c r="AG140" s="32" t="s">
        <v>1991</v>
      </c>
      <c r="AH140" s="32" t="s">
        <v>1991</v>
      </c>
      <c r="AI140" s="32" t="s">
        <v>1991</v>
      </c>
      <c r="AJ140" s="32" t="s">
        <v>1991</v>
      </c>
      <c r="AK140" s="506" t="s">
        <v>1991</v>
      </c>
      <c r="AL140" s="327"/>
      <c r="AM140" s="327"/>
      <c r="AN140" s="327"/>
      <c r="AO140" s="327"/>
      <c r="AP140" s="327"/>
      <c r="AQ140" s="327"/>
      <c r="AR140" s="327"/>
      <c r="AS140" s="327"/>
      <c r="AT140" s="327"/>
      <c r="AU140" s="327"/>
      <c r="AV140" s="327"/>
      <c r="AW140" s="327"/>
      <c r="AX140" s="327"/>
      <c r="AY140" s="327"/>
      <c r="AZ140" s="327"/>
      <c r="BA140" s="327"/>
      <c r="BB140" s="46">
        <f t="shared" si="38"/>
        <v>13</v>
      </c>
      <c r="BC140" s="46">
        <f t="shared" si="39"/>
        <v>15</v>
      </c>
      <c r="BD140" s="46">
        <f t="shared" si="49"/>
        <v>0</v>
      </c>
      <c r="BE140" s="46">
        <f t="shared" si="40"/>
        <v>0</v>
      </c>
      <c r="BF140" s="296">
        <f t="shared" si="41"/>
        <v>28</v>
      </c>
      <c r="BG140" s="26"/>
      <c r="BH140" s="2"/>
      <c r="BI140" s="2"/>
      <c r="BJ140" s="2"/>
      <c r="BK140" s="279">
        <f t="shared" si="42"/>
        <v>1</v>
      </c>
      <c r="BL140" s="279">
        <f t="shared" si="43"/>
        <v>28</v>
      </c>
      <c r="BM140" s="279"/>
      <c r="BN140" s="279"/>
      <c r="BO140" s="2">
        <f t="shared" si="44"/>
        <v>28</v>
      </c>
      <c r="BP140" s="430"/>
      <c r="BQ140" s="431"/>
      <c r="BR140" s="2"/>
      <c r="BS140" s="25"/>
      <c r="BT140" s="348">
        <f t="shared" si="52"/>
        <v>1</v>
      </c>
      <c r="BU140" s="2"/>
      <c r="BV140" s="282">
        <f t="shared" si="50"/>
        <v>0</v>
      </c>
      <c r="BW140" s="279"/>
      <c r="BX140" s="269">
        <f t="shared" si="51"/>
        <v>0</v>
      </c>
      <c r="BY140" s="349" t="e">
        <f>#N/A</f>
        <v>#N/A</v>
      </c>
      <c r="BZ140" s="349" t="e">
        <f>#N/A</f>
        <v>#N/A</v>
      </c>
      <c r="CA140" s="349" t="e">
        <f>#N/A</f>
        <v>#N/A</v>
      </c>
      <c r="CB140" s="351" t="e">
        <f>#N/A</f>
        <v>#N/A</v>
      </c>
      <c r="CC140" s="349" t="e">
        <f t="shared" si="45"/>
        <v>#N/A</v>
      </c>
      <c r="CD140" s="14" t="e">
        <f t="shared" si="46"/>
        <v>#N/A</v>
      </c>
      <c r="CE140" s="14">
        <f t="shared" si="47"/>
        <v>28</v>
      </c>
      <c r="CF140" s="25">
        <f t="shared" si="48"/>
        <v>1</v>
      </c>
      <c r="CG140" s="270"/>
      <c r="CH140" s="2"/>
      <c r="CL140" s="349"/>
      <c r="CM140" s="349"/>
      <c r="CN140" s="349"/>
      <c r="CO140" s="349"/>
      <c r="CP140" s="349"/>
      <c r="CQ140" s="14"/>
      <c r="CY140" s="2"/>
    </row>
    <row r="141" spans="1:103" s="1" customFormat="1" ht="29.4" customHeight="1">
      <c r="A141" s="46">
        <v>135</v>
      </c>
      <c r="B141" s="46">
        <v>7</v>
      </c>
      <c r="C141" s="46">
        <v>260</v>
      </c>
      <c r="D141" s="48"/>
      <c r="E141" s="48"/>
      <c r="F141" s="46"/>
      <c r="G141" s="310" t="s">
        <v>1991</v>
      </c>
      <c r="H141" s="310" t="s">
        <v>1991</v>
      </c>
      <c r="I141" s="310">
        <v>0</v>
      </c>
      <c r="J141" s="310">
        <v>0</v>
      </c>
      <c r="K141" s="310" t="s">
        <v>1991</v>
      </c>
      <c r="L141" s="310" t="s">
        <v>1991</v>
      </c>
      <c r="M141" s="310" t="s">
        <v>1991</v>
      </c>
      <c r="N141" s="310" t="s">
        <v>1991</v>
      </c>
      <c r="O141" s="310" t="s">
        <v>1991</v>
      </c>
      <c r="P141" s="310" t="s">
        <v>1991</v>
      </c>
      <c r="Q141" s="310" t="s">
        <v>1991</v>
      </c>
      <c r="R141" s="310" t="s">
        <v>1991</v>
      </c>
      <c r="S141" s="310" t="s">
        <v>1991</v>
      </c>
      <c r="T141" s="505" t="s">
        <v>1991</v>
      </c>
      <c r="U141" s="310" t="s">
        <v>1991</v>
      </c>
      <c r="V141" s="32" t="s">
        <v>1991</v>
      </c>
      <c r="W141" s="506" t="s">
        <v>1991</v>
      </c>
      <c r="X141" s="506" t="s">
        <v>1991</v>
      </c>
      <c r="Y141" s="506" t="s">
        <v>1991</v>
      </c>
      <c r="Z141" s="32" t="s">
        <v>1991</v>
      </c>
      <c r="AA141" s="32" t="s">
        <v>1991</v>
      </c>
      <c r="AB141" s="32">
        <v>0</v>
      </c>
      <c r="AC141" s="32" t="s">
        <v>1991</v>
      </c>
      <c r="AD141" s="32" t="s">
        <v>1991</v>
      </c>
      <c r="AE141" s="506" t="s">
        <v>1991</v>
      </c>
      <c r="AF141" s="506" t="s">
        <v>1991</v>
      </c>
      <c r="AG141" s="32" t="s">
        <v>1991</v>
      </c>
      <c r="AH141" s="32" t="s">
        <v>1991</v>
      </c>
      <c r="AI141" s="32" t="s">
        <v>1991</v>
      </c>
      <c r="AJ141" s="32" t="s">
        <v>1991</v>
      </c>
      <c r="AK141" s="506" t="s">
        <v>1991</v>
      </c>
      <c r="AL141" s="327"/>
      <c r="AM141" s="327"/>
      <c r="AN141" s="327"/>
      <c r="AO141" s="327"/>
      <c r="AP141" s="327"/>
      <c r="AQ141" s="327"/>
      <c r="AR141" s="327"/>
      <c r="AS141" s="327"/>
      <c r="AT141" s="327"/>
      <c r="AU141" s="327"/>
      <c r="AV141" s="327"/>
      <c r="AW141" s="327"/>
      <c r="AX141" s="327"/>
      <c r="AY141" s="327"/>
      <c r="AZ141" s="327"/>
      <c r="BA141" s="327"/>
      <c r="BB141" s="46">
        <f t="shared" si="38"/>
        <v>13</v>
      </c>
      <c r="BC141" s="46">
        <f t="shared" si="39"/>
        <v>15</v>
      </c>
      <c r="BD141" s="46">
        <f t="shared" si="49"/>
        <v>0</v>
      </c>
      <c r="BE141" s="46">
        <f t="shared" si="40"/>
        <v>0</v>
      </c>
      <c r="BF141" s="296">
        <f t="shared" si="41"/>
        <v>28</v>
      </c>
      <c r="BG141" s="26"/>
      <c r="BH141" s="2"/>
      <c r="BI141" s="2"/>
      <c r="BJ141" s="2"/>
      <c r="BK141" s="279">
        <f t="shared" si="42"/>
        <v>1</v>
      </c>
      <c r="BL141" s="279">
        <f t="shared" si="43"/>
        <v>28</v>
      </c>
      <c r="BM141" s="279"/>
      <c r="BN141" s="279"/>
      <c r="BO141" s="2">
        <f t="shared" si="44"/>
        <v>28</v>
      </c>
      <c r="BP141" s="430"/>
      <c r="BQ141" s="431"/>
      <c r="BR141" s="2"/>
      <c r="BS141" s="25"/>
      <c r="BT141" s="348">
        <f t="shared" si="52"/>
        <v>1</v>
      </c>
      <c r="BU141" s="2"/>
      <c r="BV141" s="282">
        <f t="shared" si="50"/>
        <v>0</v>
      </c>
      <c r="BW141" s="279"/>
      <c r="BX141" s="269">
        <f t="shared" si="51"/>
        <v>0</v>
      </c>
      <c r="BY141" s="349" t="e">
        <f>#N/A</f>
        <v>#N/A</v>
      </c>
      <c r="BZ141" s="349" t="e">
        <f>#N/A</f>
        <v>#N/A</v>
      </c>
      <c r="CA141" s="349" t="e">
        <f>#N/A</f>
        <v>#N/A</v>
      </c>
      <c r="CB141" s="351" t="e">
        <f>#N/A</f>
        <v>#N/A</v>
      </c>
      <c r="CC141" s="349" t="e">
        <f t="shared" si="45"/>
        <v>#N/A</v>
      </c>
      <c r="CD141" s="14" t="e">
        <f t="shared" si="46"/>
        <v>#N/A</v>
      </c>
      <c r="CE141" s="14">
        <f t="shared" si="47"/>
        <v>28</v>
      </c>
      <c r="CF141" s="25">
        <f t="shared" si="48"/>
        <v>1</v>
      </c>
      <c r="CG141" s="270"/>
      <c r="CH141" s="2"/>
      <c r="CL141" s="349"/>
      <c r="CM141" s="349"/>
      <c r="CN141" s="349"/>
      <c r="CO141" s="349"/>
      <c r="CP141" s="349"/>
      <c r="CQ141" s="14"/>
      <c r="CY141" s="2"/>
    </row>
    <row r="142" spans="1:103" s="1" customFormat="1" ht="29.4" customHeight="1">
      <c r="A142" s="46">
        <v>136</v>
      </c>
      <c r="B142" s="46">
        <v>7</v>
      </c>
      <c r="C142" s="46">
        <v>261</v>
      </c>
      <c r="D142" s="48"/>
      <c r="E142" s="48"/>
      <c r="F142" s="46"/>
      <c r="G142" s="310" t="s">
        <v>1991</v>
      </c>
      <c r="H142" s="310" t="s">
        <v>1991</v>
      </c>
      <c r="I142" s="310" t="s">
        <v>1991</v>
      </c>
      <c r="J142" s="310">
        <v>0</v>
      </c>
      <c r="K142" s="310" t="s">
        <v>1991</v>
      </c>
      <c r="L142" s="310" t="s">
        <v>1991</v>
      </c>
      <c r="M142" s="310" t="s">
        <v>1991</v>
      </c>
      <c r="N142" s="310" t="s">
        <v>1991</v>
      </c>
      <c r="O142" s="310" t="s">
        <v>1991</v>
      </c>
      <c r="P142" s="310" t="s">
        <v>1991</v>
      </c>
      <c r="Q142" s="310" t="s">
        <v>1991</v>
      </c>
      <c r="R142" s="310" t="s">
        <v>1991</v>
      </c>
      <c r="S142" s="310" t="s">
        <v>1991</v>
      </c>
      <c r="T142" s="505" t="s">
        <v>1991</v>
      </c>
      <c r="U142" s="310" t="s">
        <v>1991</v>
      </c>
      <c r="V142" s="32" t="s">
        <v>1991</v>
      </c>
      <c r="W142" s="506" t="s">
        <v>1991</v>
      </c>
      <c r="X142" s="506" t="s">
        <v>1991</v>
      </c>
      <c r="Y142" s="506" t="s">
        <v>1991</v>
      </c>
      <c r="Z142" s="32" t="s">
        <v>1991</v>
      </c>
      <c r="AA142" s="32" t="s">
        <v>1991</v>
      </c>
      <c r="AB142" s="32" t="s">
        <v>1991</v>
      </c>
      <c r="AC142" s="32" t="s">
        <v>1991</v>
      </c>
      <c r="AD142" s="32" t="s">
        <v>1991</v>
      </c>
      <c r="AE142" s="506" t="s">
        <v>1991</v>
      </c>
      <c r="AF142" s="506" t="s">
        <v>1991</v>
      </c>
      <c r="AG142" s="32" t="s">
        <v>1991</v>
      </c>
      <c r="AH142" s="32" t="s">
        <v>1991</v>
      </c>
      <c r="AI142" s="32" t="s">
        <v>1991</v>
      </c>
      <c r="AJ142" s="32">
        <v>0</v>
      </c>
      <c r="AK142" s="506" t="s">
        <v>1991</v>
      </c>
      <c r="AL142" s="327"/>
      <c r="AM142" s="327"/>
      <c r="AN142" s="327"/>
      <c r="AO142" s="327"/>
      <c r="AP142" s="327"/>
      <c r="AQ142" s="327"/>
      <c r="AR142" s="327"/>
      <c r="AS142" s="327"/>
      <c r="AT142" s="327"/>
      <c r="AU142" s="327"/>
      <c r="AV142" s="327"/>
      <c r="AW142" s="327"/>
      <c r="AX142" s="327"/>
      <c r="AY142" s="327"/>
      <c r="AZ142" s="327"/>
      <c r="BA142" s="327"/>
      <c r="BB142" s="46">
        <f t="shared" si="38"/>
        <v>14</v>
      </c>
      <c r="BC142" s="46">
        <f t="shared" si="39"/>
        <v>15</v>
      </c>
      <c r="BD142" s="46">
        <f t="shared" si="49"/>
        <v>0</v>
      </c>
      <c r="BE142" s="46">
        <f t="shared" si="40"/>
        <v>0</v>
      </c>
      <c r="BF142" s="296">
        <f t="shared" si="41"/>
        <v>29</v>
      </c>
      <c r="BG142" s="26"/>
      <c r="BH142" s="2"/>
      <c r="BI142" s="2"/>
      <c r="BJ142" s="2"/>
      <c r="BK142" s="279">
        <f t="shared" si="42"/>
        <v>1</v>
      </c>
      <c r="BL142" s="279">
        <f t="shared" si="43"/>
        <v>29</v>
      </c>
      <c r="BM142" s="279"/>
      <c r="BN142" s="279"/>
      <c r="BO142" s="2">
        <f t="shared" si="44"/>
        <v>29</v>
      </c>
      <c r="BP142" s="430"/>
      <c r="BQ142" s="431"/>
      <c r="BR142" s="2"/>
      <c r="BS142" s="25"/>
      <c r="BT142" s="348">
        <f t="shared" si="52"/>
        <v>1</v>
      </c>
      <c r="BU142" s="2"/>
      <c r="BV142" s="282">
        <f t="shared" si="50"/>
        <v>0</v>
      </c>
      <c r="BW142" s="279"/>
      <c r="BX142" s="269">
        <f t="shared" si="51"/>
        <v>0</v>
      </c>
      <c r="BY142" s="349" t="e">
        <f>#N/A</f>
        <v>#N/A</v>
      </c>
      <c r="BZ142" s="349" t="e">
        <f>#N/A</f>
        <v>#N/A</v>
      </c>
      <c r="CA142" s="349" t="e">
        <f>#N/A</f>
        <v>#N/A</v>
      </c>
      <c r="CB142" s="351" t="e">
        <f>#N/A</f>
        <v>#N/A</v>
      </c>
      <c r="CC142" s="349" t="e">
        <f t="shared" si="45"/>
        <v>#N/A</v>
      </c>
      <c r="CD142" s="14" t="e">
        <f t="shared" si="46"/>
        <v>#N/A</v>
      </c>
      <c r="CE142" s="14">
        <f t="shared" si="47"/>
        <v>29</v>
      </c>
      <c r="CF142" s="25">
        <f t="shared" si="48"/>
        <v>1</v>
      </c>
      <c r="CG142" s="270"/>
      <c r="CH142" s="2"/>
      <c r="CL142" s="349"/>
      <c r="CM142" s="349"/>
      <c r="CN142" s="349"/>
      <c r="CO142" s="349"/>
      <c r="CP142" s="349"/>
      <c r="CQ142" s="14"/>
      <c r="CY142" s="2"/>
    </row>
    <row r="143" spans="1:103" s="1" customFormat="1" ht="29.4" customHeight="1">
      <c r="A143" s="46">
        <v>137</v>
      </c>
      <c r="B143" s="46">
        <v>7</v>
      </c>
      <c r="C143" s="46">
        <v>262</v>
      </c>
      <c r="D143" s="48"/>
      <c r="E143" s="48"/>
      <c r="F143" s="46"/>
      <c r="G143" s="310" t="s">
        <v>1991</v>
      </c>
      <c r="H143" s="310" t="s">
        <v>1991</v>
      </c>
      <c r="I143" s="310" t="s">
        <v>1991</v>
      </c>
      <c r="J143" s="310" t="s">
        <v>1991</v>
      </c>
      <c r="K143" s="310" t="s">
        <v>1991</v>
      </c>
      <c r="L143" s="310" t="s">
        <v>1991</v>
      </c>
      <c r="M143" s="310" t="s">
        <v>1991</v>
      </c>
      <c r="N143" s="310" t="s">
        <v>1991</v>
      </c>
      <c r="O143" s="310" t="s">
        <v>1991</v>
      </c>
      <c r="P143" s="310" t="s">
        <v>1991</v>
      </c>
      <c r="Q143" s="310" t="s">
        <v>1991</v>
      </c>
      <c r="R143" s="310" t="s">
        <v>1991</v>
      </c>
      <c r="S143" s="310" t="s">
        <v>1991</v>
      </c>
      <c r="T143" s="505" t="s">
        <v>1991</v>
      </c>
      <c r="U143" s="310" t="s">
        <v>1991</v>
      </c>
      <c r="V143" s="32" t="s">
        <v>1991</v>
      </c>
      <c r="W143" s="506" t="s">
        <v>1991</v>
      </c>
      <c r="X143" s="506" t="s">
        <v>1991</v>
      </c>
      <c r="Y143" s="506" t="s">
        <v>1991</v>
      </c>
      <c r="Z143" s="32" t="s">
        <v>1991</v>
      </c>
      <c r="AA143" s="32" t="s">
        <v>1991</v>
      </c>
      <c r="AB143" s="32" t="s">
        <v>1991</v>
      </c>
      <c r="AC143" s="32" t="s">
        <v>1991</v>
      </c>
      <c r="AD143" s="32" t="s">
        <v>1991</v>
      </c>
      <c r="AE143" s="506" t="s">
        <v>1991</v>
      </c>
      <c r="AF143" s="506" t="s">
        <v>1991</v>
      </c>
      <c r="AG143" s="32" t="s">
        <v>1991</v>
      </c>
      <c r="AH143" s="32" t="s">
        <v>1991</v>
      </c>
      <c r="AI143" s="32" t="s">
        <v>1991</v>
      </c>
      <c r="AJ143" s="32">
        <v>0</v>
      </c>
      <c r="AK143" s="506" t="s">
        <v>1991</v>
      </c>
      <c r="AL143" s="327"/>
      <c r="AM143" s="327"/>
      <c r="AN143" s="327"/>
      <c r="AO143" s="327"/>
      <c r="AP143" s="327"/>
      <c r="AQ143" s="327"/>
      <c r="AR143" s="327"/>
      <c r="AS143" s="327"/>
      <c r="AT143" s="327"/>
      <c r="AU143" s="327"/>
      <c r="AV143" s="327"/>
      <c r="AW143" s="327"/>
      <c r="AX143" s="327"/>
      <c r="AY143" s="327"/>
      <c r="AZ143" s="327"/>
      <c r="BA143" s="327"/>
      <c r="BB143" s="46">
        <f t="shared" si="38"/>
        <v>15</v>
      </c>
      <c r="BC143" s="46">
        <f t="shared" si="39"/>
        <v>15</v>
      </c>
      <c r="BD143" s="46">
        <f t="shared" si="49"/>
        <v>0</v>
      </c>
      <c r="BE143" s="46">
        <f t="shared" si="40"/>
        <v>0</v>
      </c>
      <c r="BF143" s="296">
        <f t="shared" si="41"/>
        <v>30</v>
      </c>
      <c r="BG143" s="26"/>
      <c r="BH143" s="2"/>
      <c r="BI143" s="2"/>
      <c r="BJ143" s="2"/>
      <c r="BK143" s="279">
        <f t="shared" si="42"/>
        <v>1</v>
      </c>
      <c r="BL143" s="279">
        <f t="shared" si="43"/>
        <v>30</v>
      </c>
      <c r="BM143" s="279"/>
      <c r="BN143" s="279"/>
      <c r="BO143" s="2">
        <f t="shared" si="44"/>
        <v>30</v>
      </c>
      <c r="BP143" s="430"/>
      <c r="BQ143" s="431"/>
      <c r="BR143" s="2"/>
      <c r="BS143" s="25"/>
      <c r="BT143" s="348">
        <f t="shared" si="52"/>
        <v>1</v>
      </c>
      <c r="BU143" s="2"/>
      <c r="BV143" s="282">
        <f t="shared" si="50"/>
        <v>0</v>
      </c>
      <c r="BW143" s="279"/>
      <c r="BX143" s="269">
        <f t="shared" si="51"/>
        <v>0</v>
      </c>
      <c r="BY143" s="349" t="e">
        <f>#N/A</f>
        <v>#N/A</v>
      </c>
      <c r="BZ143" s="349" t="e">
        <f>#N/A</f>
        <v>#N/A</v>
      </c>
      <c r="CA143" s="349" t="e">
        <f>#N/A</f>
        <v>#N/A</v>
      </c>
      <c r="CB143" s="351" t="e">
        <f>#N/A</f>
        <v>#N/A</v>
      </c>
      <c r="CC143" s="349" t="e">
        <f t="shared" si="45"/>
        <v>#N/A</v>
      </c>
      <c r="CD143" s="14" t="e">
        <f t="shared" si="46"/>
        <v>#N/A</v>
      </c>
      <c r="CE143" s="14">
        <f t="shared" si="47"/>
        <v>30</v>
      </c>
      <c r="CF143" s="25">
        <f t="shared" si="48"/>
        <v>1</v>
      </c>
      <c r="CG143" s="270"/>
      <c r="CH143" s="2"/>
      <c r="CL143" s="349"/>
      <c r="CM143" s="349"/>
      <c r="CN143" s="349"/>
      <c r="CO143" s="349"/>
      <c r="CP143" s="349"/>
      <c r="CQ143" s="14"/>
      <c r="CY143" s="2"/>
    </row>
    <row r="144" spans="1:103" s="1" customFormat="1" ht="29.4" customHeight="1">
      <c r="A144" s="46">
        <v>138</v>
      </c>
      <c r="B144" s="46">
        <v>7</v>
      </c>
      <c r="C144" s="46">
        <v>263</v>
      </c>
      <c r="D144" s="48"/>
      <c r="E144" s="48"/>
      <c r="F144" s="46"/>
      <c r="G144" s="310" t="s">
        <v>1991</v>
      </c>
      <c r="H144" s="310" t="s">
        <v>1991</v>
      </c>
      <c r="I144" s="310" t="s">
        <v>1991</v>
      </c>
      <c r="J144" s="310">
        <v>0</v>
      </c>
      <c r="K144" s="310" t="s">
        <v>1991</v>
      </c>
      <c r="L144" s="310" t="s">
        <v>1991</v>
      </c>
      <c r="M144" s="310" t="s">
        <v>1991</v>
      </c>
      <c r="N144" s="310" t="s">
        <v>1991</v>
      </c>
      <c r="O144" s="310">
        <v>0</v>
      </c>
      <c r="P144" s="310" t="s">
        <v>1991</v>
      </c>
      <c r="Q144" s="310" t="s">
        <v>1991</v>
      </c>
      <c r="R144" s="310" t="s">
        <v>1991</v>
      </c>
      <c r="S144" s="310" t="s">
        <v>1991</v>
      </c>
      <c r="T144" s="505" t="s">
        <v>1991</v>
      </c>
      <c r="U144" s="310" t="s">
        <v>1991</v>
      </c>
      <c r="V144" s="32" t="s">
        <v>1991</v>
      </c>
      <c r="W144" s="506" t="s">
        <v>1991</v>
      </c>
      <c r="X144" s="506" t="s">
        <v>1991</v>
      </c>
      <c r="Y144" s="506" t="s">
        <v>1991</v>
      </c>
      <c r="Z144" s="32" t="s">
        <v>1991</v>
      </c>
      <c r="AA144" s="32" t="s">
        <v>1991</v>
      </c>
      <c r="AB144" s="32">
        <v>0</v>
      </c>
      <c r="AC144" s="32" t="s">
        <v>1991</v>
      </c>
      <c r="AD144" s="32" t="s">
        <v>1991</v>
      </c>
      <c r="AE144" s="506" t="s">
        <v>1991</v>
      </c>
      <c r="AF144" s="506" t="s">
        <v>1991</v>
      </c>
      <c r="AG144" s="32">
        <v>0</v>
      </c>
      <c r="AH144" s="32" t="s">
        <v>1991</v>
      </c>
      <c r="AI144" s="32" t="s">
        <v>1991</v>
      </c>
      <c r="AJ144" s="32" t="s">
        <v>1991</v>
      </c>
      <c r="AK144" s="506" t="s">
        <v>1991</v>
      </c>
      <c r="AL144" s="327"/>
      <c r="AM144" s="327"/>
      <c r="AN144" s="327"/>
      <c r="AO144" s="327"/>
      <c r="AP144" s="327"/>
      <c r="AQ144" s="327"/>
      <c r="AR144" s="327"/>
      <c r="AS144" s="327"/>
      <c r="AT144" s="327"/>
      <c r="AU144" s="327"/>
      <c r="AV144" s="327"/>
      <c r="AW144" s="327"/>
      <c r="AX144" s="327"/>
      <c r="AY144" s="327"/>
      <c r="AZ144" s="327"/>
      <c r="BA144" s="327"/>
      <c r="BB144" s="46">
        <f t="shared" si="38"/>
        <v>13</v>
      </c>
      <c r="BC144" s="46">
        <f t="shared" si="39"/>
        <v>14</v>
      </c>
      <c r="BD144" s="46">
        <f t="shared" si="49"/>
        <v>0</v>
      </c>
      <c r="BE144" s="46">
        <f t="shared" si="40"/>
        <v>0</v>
      </c>
      <c r="BF144" s="296">
        <f t="shared" si="41"/>
        <v>27</v>
      </c>
      <c r="BG144" s="26"/>
      <c r="BH144" s="2"/>
      <c r="BI144" s="2"/>
      <c r="BJ144" s="2"/>
      <c r="BK144" s="279">
        <f t="shared" si="42"/>
        <v>1</v>
      </c>
      <c r="BL144" s="279">
        <f t="shared" si="43"/>
        <v>27</v>
      </c>
      <c r="BM144" s="279"/>
      <c r="BN144" s="279"/>
      <c r="BO144" s="2">
        <f t="shared" si="44"/>
        <v>27</v>
      </c>
      <c r="BP144" s="430"/>
      <c r="BQ144" s="431"/>
      <c r="BR144" s="2"/>
      <c r="BS144" s="25"/>
      <c r="BT144" s="348">
        <f t="shared" si="52"/>
        <v>1</v>
      </c>
      <c r="BU144" s="2"/>
      <c r="BV144" s="282">
        <f t="shared" si="50"/>
        <v>0</v>
      </c>
      <c r="BW144" s="279"/>
      <c r="BX144" s="269">
        <f t="shared" si="51"/>
        <v>0</v>
      </c>
      <c r="BY144" s="349" t="e">
        <f>#N/A</f>
        <v>#N/A</v>
      </c>
      <c r="BZ144" s="349" t="e">
        <f>#N/A</f>
        <v>#N/A</v>
      </c>
      <c r="CA144" s="349" t="e">
        <f>#N/A</f>
        <v>#N/A</v>
      </c>
      <c r="CB144" s="351" t="e">
        <f>#N/A</f>
        <v>#N/A</v>
      </c>
      <c r="CC144" s="349" t="e">
        <f t="shared" si="45"/>
        <v>#N/A</v>
      </c>
      <c r="CD144" s="14" t="e">
        <f t="shared" si="46"/>
        <v>#N/A</v>
      </c>
      <c r="CE144" s="14">
        <f t="shared" si="47"/>
        <v>27</v>
      </c>
      <c r="CF144" s="25">
        <f t="shared" si="48"/>
        <v>1</v>
      </c>
      <c r="CG144" s="270"/>
      <c r="CH144" s="2"/>
      <c r="CL144" s="349"/>
      <c r="CM144" s="349"/>
      <c r="CN144" s="349"/>
      <c r="CO144" s="349"/>
      <c r="CP144" s="349"/>
      <c r="CQ144" s="14"/>
      <c r="CY144" s="2"/>
    </row>
    <row r="145" spans="1:103" s="1" customFormat="1" ht="29.4" customHeight="1">
      <c r="A145" s="46">
        <v>139</v>
      </c>
      <c r="B145" s="46">
        <v>7</v>
      </c>
      <c r="C145" s="46">
        <v>264</v>
      </c>
      <c r="D145" s="48"/>
      <c r="E145" s="48"/>
      <c r="F145" s="46"/>
      <c r="G145" s="310" t="s">
        <v>1991</v>
      </c>
      <c r="H145" s="310" t="s">
        <v>1991</v>
      </c>
      <c r="I145" s="310" t="s">
        <v>1991</v>
      </c>
      <c r="J145" s="310" t="s">
        <v>1991</v>
      </c>
      <c r="K145" s="310" t="s">
        <v>1991</v>
      </c>
      <c r="L145" s="310" t="s">
        <v>1991</v>
      </c>
      <c r="M145" s="310">
        <v>0</v>
      </c>
      <c r="N145" s="310" t="s">
        <v>1991</v>
      </c>
      <c r="O145" s="310" t="s">
        <v>1991</v>
      </c>
      <c r="P145" s="310" t="s">
        <v>1991</v>
      </c>
      <c r="Q145" s="310" t="s">
        <v>1991</v>
      </c>
      <c r="R145" s="310" t="s">
        <v>1991</v>
      </c>
      <c r="S145" s="310" t="s">
        <v>1991</v>
      </c>
      <c r="T145" s="505" t="s">
        <v>1991</v>
      </c>
      <c r="U145" s="310" t="s">
        <v>1991</v>
      </c>
      <c r="V145" s="32" t="s">
        <v>1991</v>
      </c>
      <c r="W145" s="506" t="s">
        <v>1991</v>
      </c>
      <c r="X145" s="506" t="s">
        <v>1991</v>
      </c>
      <c r="Y145" s="506" t="s">
        <v>1991</v>
      </c>
      <c r="Z145" s="32" t="s">
        <v>1991</v>
      </c>
      <c r="AA145" s="32" t="s">
        <v>1991</v>
      </c>
      <c r="AB145" s="32" t="s">
        <v>1991</v>
      </c>
      <c r="AC145" s="32" t="s">
        <v>1991</v>
      </c>
      <c r="AD145" s="32" t="s">
        <v>1991</v>
      </c>
      <c r="AE145" s="506" t="s">
        <v>1991</v>
      </c>
      <c r="AF145" s="506" t="s">
        <v>1991</v>
      </c>
      <c r="AG145" s="32" t="s">
        <v>1991</v>
      </c>
      <c r="AH145" s="32" t="s">
        <v>1991</v>
      </c>
      <c r="AI145" s="32" t="s">
        <v>1991</v>
      </c>
      <c r="AJ145" s="32" t="s">
        <v>1991</v>
      </c>
      <c r="AK145" s="506" t="s">
        <v>1991</v>
      </c>
      <c r="AL145" s="327"/>
      <c r="AM145" s="327"/>
      <c r="AN145" s="327"/>
      <c r="AO145" s="327"/>
      <c r="AP145" s="327"/>
      <c r="AQ145" s="327"/>
      <c r="AR145" s="327"/>
      <c r="AS145" s="327"/>
      <c r="AT145" s="327"/>
      <c r="AU145" s="327"/>
      <c r="AV145" s="327"/>
      <c r="AW145" s="327"/>
      <c r="AX145" s="327"/>
      <c r="AY145" s="327"/>
      <c r="AZ145" s="327"/>
      <c r="BA145" s="327"/>
      <c r="BB145" s="46">
        <f t="shared" si="38"/>
        <v>14</v>
      </c>
      <c r="BC145" s="46">
        <f t="shared" si="39"/>
        <v>16</v>
      </c>
      <c r="BD145" s="46">
        <f t="shared" si="49"/>
        <v>0</v>
      </c>
      <c r="BE145" s="46">
        <f t="shared" si="40"/>
        <v>0</v>
      </c>
      <c r="BF145" s="296">
        <f t="shared" si="41"/>
        <v>30</v>
      </c>
      <c r="BG145" s="26"/>
      <c r="BH145" s="2"/>
      <c r="BI145" s="2"/>
      <c r="BJ145" s="2"/>
      <c r="BK145" s="279">
        <f t="shared" si="42"/>
        <v>1</v>
      </c>
      <c r="BL145" s="279">
        <f t="shared" si="43"/>
        <v>30</v>
      </c>
      <c r="BM145" s="279"/>
      <c r="BN145" s="279"/>
      <c r="BO145" s="2">
        <f t="shared" si="44"/>
        <v>30</v>
      </c>
      <c r="BP145" s="430"/>
      <c r="BQ145" s="431"/>
      <c r="BR145" s="2"/>
      <c r="BS145" s="25"/>
      <c r="BT145" s="348">
        <f t="shared" si="52"/>
        <v>1</v>
      </c>
      <c r="BU145" s="2"/>
      <c r="BV145" s="282">
        <f t="shared" si="50"/>
        <v>0</v>
      </c>
      <c r="BW145" s="279"/>
      <c r="BX145" s="269">
        <f t="shared" si="51"/>
        <v>0</v>
      </c>
      <c r="BY145" s="349" t="e">
        <f>#N/A</f>
        <v>#N/A</v>
      </c>
      <c r="BZ145" s="349" t="e">
        <f>#N/A</f>
        <v>#N/A</v>
      </c>
      <c r="CA145" s="349" t="e">
        <f>#N/A</f>
        <v>#N/A</v>
      </c>
      <c r="CB145" s="351" t="e">
        <f>#N/A</f>
        <v>#N/A</v>
      </c>
      <c r="CC145" s="349" t="e">
        <f t="shared" si="45"/>
        <v>#N/A</v>
      </c>
      <c r="CD145" s="14" t="e">
        <f t="shared" si="46"/>
        <v>#N/A</v>
      </c>
      <c r="CE145" s="14">
        <f t="shared" si="47"/>
        <v>30</v>
      </c>
      <c r="CF145" s="25">
        <f t="shared" si="48"/>
        <v>1</v>
      </c>
      <c r="CG145" s="270"/>
      <c r="CH145" s="2"/>
      <c r="CL145" s="349"/>
      <c r="CM145" s="349"/>
      <c r="CN145" s="349"/>
      <c r="CO145" s="349"/>
      <c r="CP145" s="349"/>
      <c r="CQ145" s="14"/>
      <c r="CY145" s="2"/>
    </row>
    <row r="146" spans="1:103" s="1" customFormat="1" ht="29.4" customHeight="1">
      <c r="A146" s="46">
        <v>140</v>
      </c>
      <c r="B146" s="46">
        <v>7</v>
      </c>
      <c r="C146" s="46">
        <v>265</v>
      </c>
      <c r="D146" s="48"/>
      <c r="E146" s="48"/>
      <c r="F146" s="46"/>
      <c r="G146" s="310">
        <v>0</v>
      </c>
      <c r="H146" s="310" t="s">
        <v>1991</v>
      </c>
      <c r="I146" s="310" t="s">
        <v>1991</v>
      </c>
      <c r="J146" s="310">
        <v>0</v>
      </c>
      <c r="K146" s="310" t="s">
        <v>1991</v>
      </c>
      <c r="L146" s="310">
        <v>0</v>
      </c>
      <c r="M146" s="310" t="s">
        <v>1991</v>
      </c>
      <c r="N146" s="310" t="s">
        <v>1991</v>
      </c>
      <c r="O146" s="310" t="s">
        <v>1991</v>
      </c>
      <c r="P146" s="310">
        <v>0</v>
      </c>
      <c r="Q146" s="310" t="s">
        <v>1991</v>
      </c>
      <c r="R146" s="310" t="s">
        <v>1991</v>
      </c>
      <c r="S146" s="310" t="s">
        <v>1991</v>
      </c>
      <c r="T146" s="505" t="s">
        <v>1991</v>
      </c>
      <c r="U146" s="310" t="s">
        <v>1991</v>
      </c>
      <c r="V146" s="32" t="s">
        <v>1991</v>
      </c>
      <c r="W146" s="506" t="s">
        <v>1991</v>
      </c>
      <c r="X146" s="506" t="s">
        <v>1991</v>
      </c>
      <c r="Y146" s="506" t="s">
        <v>1991</v>
      </c>
      <c r="Z146" s="32" t="s">
        <v>1991</v>
      </c>
      <c r="AA146" s="32" t="s">
        <v>1991</v>
      </c>
      <c r="AB146" s="32" t="s">
        <v>1991</v>
      </c>
      <c r="AC146" s="32" t="s">
        <v>1991</v>
      </c>
      <c r="AD146" s="32" t="s">
        <v>1991</v>
      </c>
      <c r="AE146" s="506" t="s">
        <v>1991</v>
      </c>
      <c r="AF146" s="506">
        <v>0</v>
      </c>
      <c r="AG146" s="32" t="s">
        <v>1991</v>
      </c>
      <c r="AH146" s="32" t="s">
        <v>1991</v>
      </c>
      <c r="AI146" s="32" t="s">
        <v>1991</v>
      </c>
      <c r="AJ146" s="32" t="s">
        <v>1991</v>
      </c>
      <c r="AK146" s="506" t="s">
        <v>1991</v>
      </c>
      <c r="AL146" s="327"/>
      <c r="AM146" s="327"/>
      <c r="AN146" s="327"/>
      <c r="AO146" s="327"/>
      <c r="AP146" s="327"/>
      <c r="AQ146" s="327"/>
      <c r="AR146" s="327"/>
      <c r="AS146" s="327"/>
      <c r="AT146" s="327"/>
      <c r="AU146" s="327"/>
      <c r="AV146" s="327"/>
      <c r="AW146" s="327"/>
      <c r="AX146" s="327"/>
      <c r="AY146" s="327"/>
      <c r="AZ146" s="327"/>
      <c r="BA146" s="327"/>
      <c r="BB146" s="46">
        <f t="shared" si="38"/>
        <v>11</v>
      </c>
      <c r="BC146" s="46">
        <f t="shared" si="39"/>
        <v>15</v>
      </c>
      <c r="BD146" s="46">
        <f t="shared" si="49"/>
        <v>0</v>
      </c>
      <c r="BE146" s="46">
        <f t="shared" si="40"/>
        <v>0</v>
      </c>
      <c r="BF146" s="296">
        <f t="shared" si="41"/>
        <v>26</v>
      </c>
      <c r="BG146" s="26"/>
      <c r="BH146" s="2"/>
      <c r="BI146" s="2"/>
      <c r="BJ146" s="2"/>
      <c r="BK146" s="279">
        <f t="shared" si="42"/>
        <v>1</v>
      </c>
      <c r="BL146" s="279">
        <f t="shared" si="43"/>
        <v>26</v>
      </c>
      <c r="BM146" s="279"/>
      <c r="BN146" s="279"/>
      <c r="BO146" s="2">
        <f t="shared" si="44"/>
        <v>26</v>
      </c>
      <c r="BP146" s="430"/>
      <c r="BQ146" s="431"/>
      <c r="BR146" s="2"/>
      <c r="BS146" s="25"/>
      <c r="BT146" s="348">
        <f t="shared" si="52"/>
        <v>1</v>
      </c>
      <c r="BU146" s="2"/>
      <c r="BV146" s="282">
        <f t="shared" si="50"/>
        <v>0</v>
      </c>
      <c r="BW146" s="279"/>
      <c r="BX146" s="269">
        <f t="shared" si="51"/>
        <v>0</v>
      </c>
      <c r="BY146" s="349" t="e">
        <f>#N/A</f>
        <v>#N/A</v>
      </c>
      <c r="BZ146" s="349" t="e">
        <f>#N/A</f>
        <v>#N/A</v>
      </c>
      <c r="CA146" s="349" t="e">
        <f>#N/A</f>
        <v>#N/A</v>
      </c>
      <c r="CB146" s="351" t="e">
        <f>#N/A</f>
        <v>#N/A</v>
      </c>
      <c r="CC146" s="349" t="e">
        <f t="shared" si="45"/>
        <v>#N/A</v>
      </c>
      <c r="CD146" s="14" t="e">
        <f t="shared" si="46"/>
        <v>#N/A</v>
      </c>
      <c r="CE146" s="14">
        <f t="shared" si="47"/>
        <v>26</v>
      </c>
      <c r="CF146" s="25">
        <f t="shared" si="48"/>
        <v>1</v>
      </c>
      <c r="CG146" s="270"/>
      <c r="CH146" s="2"/>
      <c r="CL146" s="349"/>
      <c r="CM146" s="349"/>
      <c r="CN146" s="349"/>
      <c r="CO146" s="349"/>
      <c r="CP146" s="349"/>
      <c r="CQ146" s="14"/>
      <c r="CY146" s="2"/>
    </row>
    <row r="147" spans="1:103" s="1" customFormat="1" ht="29.4" customHeight="1">
      <c r="A147" s="46">
        <v>141</v>
      </c>
      <c r="B147" s="46">
        <v>7</v>
      </c>
      <c r="C147" s="46">
        <v>266</v>
      </c>
      <c r="D147" s="48"/>
      <c r="E147" s="48"/>
      <c r="F147" s="46"/>
      <c r="G147" s="310">
        <v>0</v>
      </c>
      <c r="H147" s="310" t="s">
        <v>1991</v>
      </c>
      <c r="I147" s="310" t="s">
        <v>1991</v>
      </c>
      <c r="J147" s="310" t="s">
        <v>1991</v>
      </c>
      <c r="K147" s="310" t="s">
        <v>1991</v>
      </c>
      <c r="L147" s="310">
        <v>0</v>
      </c>
      <c r="M147" s="310" t="s">
        <v>1991</v>
      </c>
      <c r="N147" s="310" t="s">
        <v>1991</v>
      </c>
      <c r="O147" s="310" t="s">
        <v>1991</v>
      </c>
      <c r="P147" s="310">
        <v>0</v>
      </c>
      <c r="Q147" s="310" t="s">
        <v>1991</v>
      </c>
      <c r="R147" s="310" t="s">
        <v>1991</v>
      </c>
      <c r="S147" s="310" t="s">
        <v>1991</v>
      </c>
      <c r="T147" s="505" t="s">
        <v>1991</v>
      </c>
      <c r="U147" s="310" t="s">
        <v>1991</v>
      </c>
      <c r="V147" s="32" t="s">
        <v>1991</v>
      </c>
      <c r="W147" s="506" t="s">
        <v>1991</v>
      </c>
      <c r="X147" s="506" t="s">
        <v>1991</v>
      </c>
      <c r="Y147" s="506" t="s">
        <v>1991</v>
      </c>
      <c r="Z147" s="32" t="s">
        <v>1991</v>
      </c>
      <c r="AA147" s="32" t="s">
        <v>1991</v>
      </c>
      <c r="AB147" s="32" t="s">
        <v>1991</v>
      </c>
      <c r="AC147" s="32" t="s">
        <v>1991</v>
      </c>
      <c r="AD147" s="32" t="s">
        <v>1991</v>
      </c>
      <c r="AE147" s="506" t="s">
        <v>1991</v>
      </c>
      <c r="AF147" s="506">
        <v>0</v>
      </c>
      <c r="AG147" s="32" t="s">
        <v>1991</v>
      </c>
      <c r="AH147" s="32" t="s">
        <v>1991</v>
      </c>
      <c r="AI147" s="32" t="s">
        <v>1991</v>
      </c>
      <c r="AJ147" s="32" t="s">
        <v>1991</v>
      </c>
      <c r="AK147" s="506" t="s">
        <v>1991</v>
      </c>
      <c r="AL147" s="327"/>
      <c r="AM147" s="327"/>
      <c r="AN147" s="327"/>
      <c r="AO147" s="327"/>
      <c r="AP147" s="327"/>
      <c r="AQ147" s="327"/>
      <c r="AR147" s="327"/>
      <c r="AS147" s="327"/>
      <c r="AT147" s="327"/>
      <c r="AU147" s="327"/>
      <c r="AV147" s="327"/>
      <c r="AW147" s="327"/>
      <c r="AX147" s="327"/>
      <c r="AY147" s="327"/>
      <c r="AZ147" s="327"/>
      <c r="BA147" s="327"/>
      <c r="BB147" s="46">
        <f t="shared" si="38"/>
        <v>12</v>
      </c>
      <c r="BC147" s="46">
        <f t="shared" si="39"/>
        <v>15</v>
      </c>
      <c r="BD147" s="46">
        <f t="shared" si="49"/>
        <v>0</v>
      </c>
      <c r="BE147" s="46">
        <f t="shared" si="40"/>
        <v>0</v>
      </c>
      <c r="BF147" s="296">
        <f t="shared" si="41"/>
        <v>27</v>
      </c>
      <c r="BG147" s="26"/>
      <c r="BH147" s="2"/>
      <c r="BI147" s="2"/>
      <c r="BJ147" s="2"/>
      <c r="BK147" s="279">
        <f t="shared" si="42"/>
        <v>1</v>
      </c>
      <c r="BL147" s="279">
        <f t="shared" si="43"/>
        <v>27</v>
      </c>
      <c r="BM147" s="279"/>
      <c r="BN147" s="279"/>
      <c r="BO147" s="2">
        <f t="shared" si="44"/>
        <v>27</v>
      </c>
      <c r="BP147" s="430"/>
      <c r="BQ147" s="431"/>
      <c r="BR147" s="2"/>
      <c r="BS147" s="25"/>
      <c r="BT147" s="348">
        <f t="shared" si="52"/>
        <v>1</v>
      </c>
      <c r="BU147" s="2"/>
      <c r="BV147" s="282">
        <f t="shared" si="50"/>
        <v>0</v>
      </c>
      <c r="BW147" s="279"/>
      <c r="BX147" s="269">
        <f t="shared" si="51"/>
        <v>0</v>
      </c>
      <c r="BY147" s="349" t="e">
        <f>#N/A</f>
        <v>#N/A</v>
      </c>
      <c r="BZ147" s="349" t="e">
        <f>#N/A</f>
        <v>#N/A</v>
      </c>
      <c r="CA147" s="349" t="e">
        <f>#N/A</f>
        <v>#N/A</v>
      </c>
      <c r="CB147" s="351" t="e">
        <f>#N/A</f>
        <v>#N/A</v>
      </c>
      <c r="CC147" s="349" t="e">
        <f t="shared" si="45"/>
        <v>#N/A</v>
      </c>
      <c r="CD147" s="14" t="e">
        <f t="shared" si="46"/>
        <v>#N/A</v>
      </c>
      <c r="CE147" s="14">
        <f t="shared" si="47"/>
        <v>27</v>
      </c>
      <c r="CF147" s="25">
        <f t="shared" si="48"/>
        <v>1</v>
      </c>
      <c r="CG147" s="270"/>
      <c r="CH147" s="2"/>
      <c r="CL147" s="349"/>
      <c r="CM147" s="349"/>
      <c r="CN147" s="349"/>
      <c r="CO147" s="349"/>
      <c r="CP147" s="349"/>
      <c r="CQ147" s="14"/>
      <c r="CY147" s="2"/>
    </row>
    <row r="148" spans="1:103" s="1" customFormat="1" ht="29.4" customHeight="1">
      <c r="A148" s="46">
        <v>142</v>
      </c>
      <c r="B148" s="46">
        <v>7</v>
      </c>
      <c r="C148" s="46">
        <v>267</v>
      </c>
      <c r="D148" s="48"/>
      <c r="E148" s="48"/>
      <c r="F148" s="46"/>
      <c r="G148" s="310" t="s">
        <v>1991</v>
      </c>
      <c r="H148" s="310" t="s">
        <v>1991</v>
      </c>
      <c r="I148" s="310" t="s">
        <v>1991</v>
      </c>
      <c r="J148" s="310" t="s">
        <v>1991</v>
      </c>
      <c r="K148" s="310" t="s">
        <v>1991</v>
      </c>
      <c r="L148" s="310" t="s">
        <v>1991</v>
      </c>
      <c r="M148" s="310" t="s">
        <v>1991</v>
      </c>
      <c r="N148" s="310" t="s">
        <v>1991</v>
      </c>
      <c r="O148" s="310" t="s">
        <v>1991</v>
      </c>
      <c r="P148" s="310" t="s">
        <v>1991</v>
      </c>
      <c r="Q148" s="310" t="s">
        <v>1991</v>
      </c>
      <c r="R148" s="310" t="s">
        <v>1991</v>
      </c>
      <c r="S148" s="310" t="s">
        <v>1991</v>
      </c>
      <c r="T148" s="505" t="s">
        <v>1991</v>
      </c>
      <c r="U148" s="310" t="s">
        <v>1991</v>
      </c>
      <c r="V148" s="32" t="s">
        <v>1991</v>
      </c>
      <c r="W148" s="506" t="s">
        <v>1991</v>
      </c>
      <c r="X148" s="506" t="s">
        <v>1991</v>
      </c>
      <c r="Y148" s="506" t="s">
        <v>1991</v>
      </c>
      <c r="Z148" s="32" t="s">
        <v>1991</v>
      </c>
      <c r="AA148" s="32" t="s">
        <v>1991</v>
      </c>
      <c r="AB148" s="32">
        <v>0</v>
      </c>
      <c r="AC148" s="32" t="s">
        <v>1991</v>
      </c>
      <c r="AD148" s="32" t="s">
        <v>1991</v>
      </c>
      <c r="AE148" s="506" t="s">
        <v>1991</v>
      </c>
      <c r="AF148" s="506" t="s">
        <v>1991</v>
      </c>
      <c r="AG148" s="32" t="s">
        <v>1991</v>
      </c>
      <c r="AH148" s="32" t="s">
        <v>1991</v>
      </c>
      <c r="AI148" s="32" t="s">
        <v>1991</v>
      </c>
      <c r="AJ148" s="32" t="s">
        <v>1991</v>
      </c>
      <c r="AK148" s="506" t="s">
        <v>1991</v>
      </c>
      <c r="AL148" s="327"/>
      <c r="AM148" s="327"/>
      <c r="AN148" s="327"/>
      <c r="AO148" s="327"/>
      <c r="AP148" s="327"/>
      <c r="AQ148" s="327"/>
      <c r="AR148" s="327"/>
      <c r="AS148" s="327"/>
      <c r="AT148" s="327"/>
      <c r="AU148" s="327"/>
      <c r="AV148" s="327"/>
      <c r="AW148" s="327"/>
      <c r="AX148" s="327"/>
      <c r="AY148" s="327"/>
      <c r="AZ148" s="327"/>
      <c r="BA148" s="327"/>
      <c r="BB148" s="46">
        <f t="shared" si="38"/>
        <v>15</v>
      </c>
      <c r="BC148" s="46">
        <f t="shared" si="39"/>
        <v>15</v>
      </c>
      <c r="BD148" s="46">
        <f t="shared" si="49"/>
        <v>0</v>
      </c>
      <c r="BE148" s="46">
        <f t="shared" si="40"/>
        <v>0</v>
      </c>
      <c r="BF148" s="296">
        <f t="shared" si="41"/>
        <v>30</v>
      </c>
      <c r="BG148" s="26"/>
      <c r="BH148" s="2"/>
      <c r="BI148" s="2"/>
      <c r="BJ148" s="2"/>
      <c r="BK148" s="279">
        <f t="shared" si="42"/>
        <v>1</v>
      </c>
      <c r="BL148" s="279">
        <f t="shared" si="43"/>
        <v>30</v>
      </c>
      <c r="BM148" s="279"/>
      <c r="BN148" s="279"/>
      <c r="BO148" s="2">
        <f t="shared" si="44"/>
        <v>30</v>
      </c>
      <c r="BP148" s="430"/>
      <c r="BQ148" s="431"/>
      <c r="BR148" s="2"/>
      <c r="BS148" s="25"/>
      <c r="BT148" s="348">
        <f t="shared" si="52"/>
        <v>1</v>
      </c>
      <c r="BU148" s="2"/>
      <c r="BV148" s="282">
        <f t="shared" si="50"/>
        <v>0</v>
      </c>
      <c r="BW148" s="279"/>
      <c r="BX148" s="269">
        <f t="shared" si="51"/>
        <v>0</v>
      </c>
      <c r="BY148" s="349" t="e">
        <f>#N/A</f>
        <v>#N/A</v>
      </c>
      <c r="BZ148" s="349" t="e">
        <f>#N/A</f>
        <v>#N/A</v>
      </c>
      <c r="CA148" s="349" t="e">
        <f>#N/A</f>
        <v>#N/A</v>
      </c>
      <c r="CB148" s="351" t="e">
        <f>#N/A</f>
        <v>#N/A</v>
      </c>
      <c r="CC148" s="349" t="e">
        <f t="shared" si="45"/>
        <v>#N/A</v>
      </c>
      <c r="CD148" s="14" t="e">
        <f t="shared" si="46"/>
        <v>#N/A</v>
      </c>
      <c r="CE148" s="14">
        <f t="shared" si="47"/>
        <v>30</v>
      </c>
      <c r="CF148" s="25">
        <f t="shared" si="48"/>
        <v>1</v>
      </c>
      <c r="CG148" s="270"/>
      <c r="CH148" s="2"/>
      <c r="CL148" s="349"/>
      <c r="CM148" s="349"/>
      <c r="CN148" s="349"/>
      <c r="CO148" s="349"/>
      <c r="CP148" s="349"/>
      <c r="CQ148" s="14"/>
      <c r="CY148" s="2"/>
    </row>
    <row r="149" spans="1:103" s="1" customFormat="1" ht="29.4" customHeight="1">
      <c r="A149" s="46">
        <v>143</v>
      </c>
      <c r="B149" s="46">
        <v>7</v>
      </c>
      <c r="C149" s="46">
        <v>268</v>
      </c>
      <c r="D149" s="48"/>
      <c r="E149" s="48"/>
      <c r="F149" s="46"/>
      <c r="G149" s="310" t="s">
        <v>1991</v>
      </c>
      <c r="H149" s="310">
        <v>0</v>
      </c>
      <c r="I149" s="310" t="s">
        <v>1991</v>
      </c>
      <c r="J149" s="310">
        <v>0</v>
      </c>
      <c r="K149" s="310" t="s">
        <v>1991</v>
      </c>
      <c r="L149" s="310">
        <v>0</v>
      </c>
      <c r="M149" s="310" t="s">
        <v>1991</v>
      </c>
      <c r="N149" s="310" t="s">
        <v>1991</v>
      </c>
      <c r="O149" s="310" t="s">
        <v>1991</v>
      </c>
      <c r="P149" s="310" t="s">
        <v>1991</v>
      </c>
      <c r="Q149" s="310" t="s">
        <v>1991</v>
      </c>
      <c r="R149" s="310" t="s">
        <v>1991</v>
      </c>
      <c r="S149" s="310" t="s">
        <v>1991</v>
      </c>
      <c r="T149" s="505" t="s">
        <v>1991</v>
      </c>
      <c r="U149" s="310" t="s">
        <v>1991</v>
      </c>
      <c r="V149" s="32" t="s">
        <v>1991</v>
      </c>
      <c r="W149" s="506" t="s">
        <v>1991</v>
      </c>
      <c r="X149" s="506" t="s">
        <v>1991</v>
      </c>
      <c r="Y149" s="506" t="s">
        <v>1991</v>
      </c>
      <c r="Z149" s="32">
        <v>0</v>
      </c>
      <c r="AA149" s="32" t="s">
        <v>1991</v>
      </c>
      <c r="AB149" s="32">
        <v>0</v>
      </c>
      <c r="AC149" s="32" t="s">
        <v>1991</v>
      </c>
      <c r="AD149" s="32">
        <v>0</v>
      </c>
      <c r="AE149" s="506" t="s">
        <v>1991</v>
      </c>
      <c r="AF149" s="506" t="s">
        <v>1991</v>
      </c>
      <c r="AG149" s="32" t="s">
        <v>1991</v>
      </c>
      <c r="AH149" s="32" t="s">
        <v>1991</v>
      </c>
      <c r="AI149" s="32" t="s">
        <v>1991</v>
      </c>
      <c r="AJ149" s="32" t="s">
        <v>1991</v>
      </c>
      <c r="AK149" s="506" t="s">
        <v>1991</v>
      </c>
      <c r="AL149" s="327"/>
      <c r="AM149" s="327"/>
      <c r="AN149" s="327"/>
      <c r="AO149" s="327"/>
      <c r="AP149" s="327"/>
      <c r="AQ149" s="327"/>
      <c r="AR149" s="327"/>
      <c r="AS149" s="327"/>
      <c r="AT149" s="327"/>
      <c r="AU149" s="327"/>
      <c r="AV149" s="327"/>
      <c r="AW149" s="327"/>
      <c r="AX149" s="327"/>
      <c r="AY149" s="327"/>
      <c r="AZ149" s="327"/>
      <c r="BA149" s="327"/>
      <c r="BB149" s="46">
        <f t="shared" si="38"/>
        <v>12</v>
      </c>
      <c r="BC149" s="46">
        <f t="shared" si="39"/>
        <v>13</v>
      </c>
      <c r="BD149" s="46">
        <f t="shared" si="49"/>
        <v>0</v>
      </c>
      <c r="BE149" s="46">
        <f t="shared" si="40"/>
        <v>0</v>
      </c>
      <c r="BF149" s="296">
        <f t="shared" si="41"/>
        <v>25</v>
      </c>
      <c r="BG149" s="26"/>
      <c r="BH149" s="2"/>
      <c r="BI149" s="2"/>
      <c r="BJ149" s="2"/>
      <c r="BK149" s="279">
        <f t="shared" si="42"/>
        <v>0</v>
      </c>
      <c r="BL149" s="279">
        <f t="shared" si="43"/>
        <v>25</v>
      </c>
      <c r="BM149" s="279"/>
      <c r="BN149" s="279"/>
      <c r="BO149" s="2">
        <f t="shared" si="44"/>
        <v>0</v>
      </c>
      <c r="BP149" s="430"/>
      <c r="BQ149" s="431"/>
      <c r="BR149" s="2"/>
      <c r="BS149" s="25"/>
      <c r="BT149" s="348">
        <f t="shared" si="52"/>
        <v>0</v>
      </c>
      <c r="BU149" s="2"/>
      <c r="BV149" s="282">
        <f t="shared" si="50"/>
        <v>0</v>
      </c>
      <c r="BW149" s="279"/>
      <c r="BX149" s="269">
        <f t="shared" si="51"/>
        <v>0</v>
      </c>
      <c r="BY149" s="349" t="e">
        <f>#N/A</f>
        <v>#N/A</v>
      </c>
      <c r="BZ149" s="349" t="e">
        <f>#N/A</f>
        <v>#N/A</v>
      </c>
      <c r="CA149" s="349" t="e">
        <f>#N/A</f>
        <v>#N/A</v>
      </c>
      <c r="CB149" s="351" t="e">
        <f>#N/A</f>
        <v>#N/A</v>
      </c>
      <c r="CC149" s="349" t="e">
        <f t="shared" si="45"/>
        <v>#N/A</v>
      </c>
      <c r="CD149" s="14" t="e">
        <f t="shared" si="46"/>
        <v>#N/A</v>
      </c>
      <c r="CE149" s="14">
        <f t="shared" si="47"/>
        <v>0</v>
      </c>
      <c r="CF149" s="25">
        <f t="shared" si="48"/>
        <v>0</v>
      </c>
      <c r="CG149" s="270"/>
      <c r="CH149" s="2"/>
      <c r="CL149" s="349"/>
      <c r="CM149" s="349"/>
      <c r="CN149" s="349"/>
      <c r="CO149" s="349"/>
      <c r="CP149" s="349"/>
      <c r="CQ149" s="14"/>
      <c r="CY149" s="2"/>
    </row>
    <row r="150" spans="1:103" s="1" customFormat="1" ht="29.4" customHeight="1">
      <c r="A150" s="46">
        <v>144</v>
      </c>
      <c r="B150" s="46">
        <v>7</v>
      </c>
      <c r="C150" s="46">
        <v>269</v>
      </c>
      <c r="D150" s="48"/>
      <c r="E150" s="48"/>
      <c r="F150" s="46"/>
      <c r="G150" s="310" t="s">
        <v>1991</v>
      </c>
      <c r="H150" s="310" t="s">
        <v>1991</v>
      </c>
      <c r="I150" s="310" t="s">
        <v>1991</v>
      </c>
      <c r="J150" s="310">
        <v>0</v>
      </c>
      <c r="K150" s="310" t="s">
        <v>1991</v>
      </c>
      <c r="L150" s="310" t="s">
        <v>1991</v>
      </c>
      <c r="M150" s="310" t="s">
        <v>1991</v>
      </c>
      <c r="N150" s="310" t="s">
        <v>1991</v>
      </c>
      <c r="O150" s="310" t="s">
        <v>1991</v>
      </c>
      <c r="P150" s="310" t="s">
        <v>1991</v>
      </c>
      <c r="Q150" s="310" t="s">
        <v>1991</v>
      </c>
      <c r="R150" s="310" t="s">
        <v>1991</v>
      </c>
      <c r="S150" s="310" t="s">
        <v>1991</v>
      </c>
      <c r="T150" s="505" t="s">
        <v>1991</v>
      </c>
      <c r="U150" s="310" t="s">
        <v>1991</v>
      </c>
      <c r="V150" s="32" t="s">
        <v>1991</v>
      </c>
      <c r="W150" s="506" t="s">
        <v>1991</v>
      </c>
      <c r="X150" s="506">
        <v>0</v>
      </c>
      <c r="Y150" s="506" t="s">
        <v>1991</v>
      </c>
      <c r="Z150" s="32" t="s">
        <v>1991</v>
      </c>
      <c r="AA150" s="32" t="s">
        <v>1991</v>
      </c>
      <c r="AB150" s="32" t="s">
        <v>1991</v>
      </c>
      <c r="AC150" s="32">
        <v>0</v>
      </c>
      <c r="AD150" s="32" t="s">
        <v>1991</v>
      </c>
      <c r="AE150" s="506" t="s">
        <v>1991</v>
      </c>
      <c r="AF150" s="506">
        <v>0</v>
      </c>
      <c r="AG150" s="32" t="s">
        <v>1991</v>
      </c>
      <c r="AH150" s="32">
        <v>0</v>
      </c>
      <c r="AI150" s="32">
        <v>0</v>
      </c>
      <c r="AJ150" s="32">
        <v>0</v>
      </c>
      <c r="AK150" s="506">
        <v>0</v>
      </c>
      <c r="AL150" s="327"/>
      <c r="AM150" s="327"/>
      <c r="AN150" s="327"/>
      <c r="AO150" s="327"/>
      <c r="AP150" s="327"/>
      <c r="AQ150" s="327"/>
      <c r="AR150" s="327"/>
      <c r="AS150" s="327"/>
      <c r="AT150" s="327"/>
      <c r="AU150" s="327"/>
      <c r="AV150" s="327"/>
      <c r="AW150" s="327"/>
      <c r="AX150" s="327"/>
      <c r="AY150" s="327"/>
      <c r="AZ150" s="327"/>
      <c r="BA150" s="327"/>
      <c r="BB150" s="46">
        <f t="shared" si="38"/>
        <v>14</v>
      </c>
      <c r="BC150" s="46">
        <f t="shared" si="39"/>
        <v>9</v>
      </c>
      <c r="BD150" s="46">
        <f t="shared" si="49"/>
        <v>0</v>
      </c>
      <c r="BE150" s="46">
        <f t="shared" si="40"/>
        <v>0</v>
      </c>
      <c r="BF150" s="296">
        <f t="shared" si="41"/>
        <v>23</v>
      </c>
      <c r="BG150" s="26"/>
      <c r="BH150" s="2"/>
      <c r="BI150" s="2"/>
      <c r="BJ150" s="2"/>
      <c r="BK150" s="279">
        <f t="shared" si="42"/>
        <v>0</v>
      </c>
      <c r="BL150" s="279">
        <f t="shared" si="43"/>
        <v>23</v>
      </c>
      <c r="BM150" s="279"/>
      <c r="BN150" s="279"/>
      <c r="BO150" s="2">
        <f t="shared" si="44"/>
        <v>0</v>
      </c>
      <c r="BP150" s="430"/>
      <c r="BQ150" s="431"/>
      <c r="BR150" s="2"/>
      <c r="BS150" s="25"/>
      <c r="BT150" s="348">
        <f t="shared" si="52"/>
        <v>0</v>
      </c>
      <c r="BU150" s="2"/>
      <c r="BV150" s="282">
        <f t="shared" si="50"/>
        <v>0</v>
      </c>
      <c r="BW150" s="279"/>
      <c r="BX150" s="269">
        <f t="shared" si="51"/>
        <v>0</v>
      </c>
      <c r="BY150" s="349" t="e">
        <f>#N/A</f>
        <v>#N/A</v>
      </c>
      <c r="BZ150" s="349" t="e">
        <f>#N/A</f>
        <v>#N/A</v>
      </c>
      <c r="CA150" s="349" t="e">
        <f>#N/A</f>
        <v>#N/A</v>
      </c>
      <c r="CB150" s="351" t="e">
        <f>#N/A</f>
        <v>#N/A</v>
      </c>
      <c r="CC150" s="349" t="e">
        <f t="shared" si="45"/>
        <v>#N/A</v>
      </c>
      <c r="CD150" s="14" t="e">
        <f t="shared" si="46"/>
        <v>#N/A</v>
      </c>
      <c r="CE150" s="14">
        <f t="shared" si="47"/>
        <v>0</v>
      </c>
      <c r="CF150" s="25">
        <f t="shared" si="48"/>
        <v>0</v>
      </c>
      <c r="CG150" s="270"/>
      <c r="CH150" s="2"/>
      <c r="CL150" s="349"/>
      <c r="CM150" s="349"/>
      <c r="CN150" s="349"/>
      <c r="CO150" s="349"/>
      <c r="CP150" s="349"/>
      <c r="CQ150" s="14"/>
      <c r="CY150" s="2"/>
    </row>
    <row r="151" spans="1:103" s="1" customFormat="1" ht="29.4" customHeight="1">
      <c r="A151" s="46">
        <v>145</v>
      </c>
      <c r="B151" s="46">
        <v>7</v>
      </c>
      <c r="C151" s="46">
        <v>270</v>
      </c>
      <c r="D151" s="48"/>
      <c r="E151" s="48"/>
      <c r="F151" s="46"/>
      <c r="G151" s="310">
        <v>0</v>
      </c>
      <c r="H151" s="310" t="s">
        <v>1991</v>
      </c>
      <c r="I151" s="310" t="s">
        <v>1991</v>
      </c>
      <c r="J151" s="310">
        <v>0</v>
      </c>
      <c r="K151" s="310" t="s">
        <v>1991</v>
      </c>
      <c r="L151" s="310" t="s">
        <v>1991</v>
      </c>
      <c r="M151" s="310" t="s">
        <v>1991</v>
      </c>
      <c r="N151" s="310" t="s">
        <v>1991</v>
      </c>
      <c r="O151" s="310" t="s">
        <v>1991</v>
      </c>
      <c r="P151" s="310" t="s">
        <v>1991</v>
      </c>
      <c r="Q151" s="310" t="s">
        <v>1991</v>
      </c>
      <c r="R151" s="310" t="s">
        <v>1991</v>
      </c>
      <c r="S151" s="310" t="s">
        <v>1991</v>
      </c>
      <c r="T151" s="505" t="s">
        <v>1991</v>
      </c>
      <c r="U151" s="310" t="s">
        <v>1991</v>
      </c>
      <c r="V151" s="32" t="s">
        <v>1991</v>
      </c>
      <c r="W151" s="506" t="s">
        <v>1991</v>
      </c>
      <c r="X151" s="506">
        <v>0</v>
      </c>
      <c r="Y151" s="506" t="s">
        <v>1991</v>
      </c>
      <c r="Z151" s="32" t="s">
        <v>1991</v>
      </c>
      <c r="AA151" s="32" t="s">
        <v>1991</v>
      </c>
      <c r="AB151" s="32" t="s">
        <v>1991</v>
      </c>
      <c r="AC151" s="32" t="s">
        <v>1991</v>
      </c>
      <c r="AD151" s="32" t="s">
        <v>1991</v>
      </c>
      <c r="AE151" s="506" t="s">
        <v>1991</v>
      </c>
      <c r="AF151" s="506">
        <v>0</v>
      </c>
      <c r="AG151" s="32" t="s">
        <v>1991</v>
      </c>
      <c r="AH151" s="32">
        <v>0</v>
      </c>
      <c r="AI151" s="32">
        <v>0</v>
      </c>
      <c r="AJ151" s="32">
        <v>0</v>
      </c>
      <c r="AK151" s="506">
        <v>0</v>
      </c>
      <c r="AL151" s="327"/>
      <c r="AM151" s="327"/>
      <c r="AN151" s="327"/>
      <c r="AO151" s="327"/>
      <c r="AP151" s="327"/>
      <c r="AQ151" s="327"/>
      <c r="AR151" s="327"/>
      <c r="AS151" s="327"/>
      <c r="AT151" s="327"/>
      <c r="AU151" s="327"/>
      <c r="AV151" s="327"/>
      <c r="AW151" s="327"/>
      <c r="AX151" s="327"/>
      <c r="AY151" s="327"/>
      <c r="AZ151" s="327"/>
      <c r="BA151" s="327"/>
      <c r="BB151" s="46">
        <f t="shared" si="38"/>
        <v>13</v>
      </c>
      <c r="BC151" s="46">
        <f t="shared" si="39"/>
        <v>10</v>
      </c>
      <c r="BD151" s="46">
        <f t="shared" si="49"/>
        <v>0</v>
      </c>
      <c r="BE151" s="46">
        <f t="shared" si="40"/>
        <v>0</v>
      </c>
      <c r="BF151" s="296">
        <f t="shared" si="41"/>
        <v>23</v>
      </c>
      <c r="BG151" s="26"/>
      <c r="BH151" s="2"/>
      <c r="BI151" s="2"/>
      <c r="BJ151" s="2"/>
      <c r="BK151" s="279">
        <f t="shared" si="42"/>
        <v>0</v>
      </c>
      <c r="BL151" s="279">
        <f t="shared" si="43"/>
        <v>23</v>
      </c>
      <c r="BM151" s="279"/>
      <c r="BN151" s="279"/>
      <c r="BO151" s="2">
        <f t="shared" si="44"/>
        <v>0</v>
      </c>
      <c r="BP151" s="430"/>
      <c r="BQ151" s="431"/>
      <c r="BR151" s="2"/>
      <c r="BS151" s="25"/>
      <c r="BT151" s="348">
        <f t="shared" si="52"/>
        <v>0</v>
      </c>
      <c r="BU151" s="2"/>
      <c r="BV151" s="282">
        <f t="shared" si="50"/>
        <v>0</v>
      </c>
      <c r="BW151" s="279"/>
      <c r="BX151" s="269">
        <f t="shared" si="51"/>
        <v>0</v>
      </c>
      <c r="BY151" s="349" t="e">
        <f>#N/A</f>
        <v>#N/A</v>
      </c>
      <c r="BZ151" s="349" t="e">
        <f>#N/A</f>
        <v>#N/A</v>
      </c>
      <c r="CA151" s="349" t="e">
        <f>#N/A</f>
        <v>#N/A</v>
      </c>
      <c r="CB151" s="351" t="e">
        <f>#N/A</f>
        <v>#N/A</v>
      </c>
      <c r="CC151" s="349" t="e">
        <f t="shared" si="45"/>
        <v>#N/A</v>
      </c>
      <c r="CD151" s="14" t="e">
        <f t="shared" si="46"/>
        <v>#N/A</v>
      </c>
      <c r="CE151" s="14">
        <f t="shared" si="47"/>
        <v>0</v>
      </c>
      <c r="CF151" s="25">
        <f t="shared" si="48"/>
        <v>0</v>
      </c>
      <c r="CG151" s="270"/>
      <c r="CH151" s="2"/>
      <c r="CL151" s="349"/>
      <c r="CM151" s="349"/>
      <c r="CN151" s="349"/>
      <c r="CO151" s="349"/>
      <c r="CP151" s="349"/>
      <c r="CQ151" s="14"/>
      <c r="CY151" s="2"/>
    </row>
    <row r="152" spans="1:103" s="1" customFormat="1" ht="29.4" customHeight="1">
      <c r="A152" s="46">
        <v>146</v>
      </c>
      <c r="B152" s="46">
        <v>7</v>
      </c>
      <c r="C152" s="46">
        <v>271</v>
      </c>
      <c r="D152" s="48"/>
      <c r="E152" s="48"/>
      <c r="F152" s="46"/>
      <c r="G152" s="310">
        <v>0</v>
      </c>
      <c r="H152" s="310" t="s">
        <v>1991</v>
      </c>
      <c r="I152" s="310" t="s">
        <v>1991</v>
      </c>
      <c r="J152" s="310">
        <v>0</v>
      </c>
      <c r="K152" s="310" t="s">
        <v>1991</v>
      </c>
      <c r="L152" s="310" t="s">
        <v>1991</v>
      </c>
      <c r="M152" s="310" t="s">
        <v>1991</v>
      </c>
      <c r="N152" s="310" t="s">
        <v>1991</v>
      </c>
      <c r="O152" s="310" t="s">
        <v>1991</v>
      </c>
      <c r="P152" s="310" t="s">
        <v>1991</v>
      </c>
      <c r="Q152" s="310" t="s">
        <v>1991</v>
      </c>
      <c r="R152" s="310" t="s">
        <v>1991</v>
      </c>
      <c r="S152" s="310" t="s">
        <v>1991</v>
      </c>
      <c r="T152" s="505" t="s">
        <v>1991</v>
      </c>
      <c r="U152" s="310" t="s">
        <v>1991</v>
      </c>
      <c r="V152" s="32" t="s">
        <v>1991</v>
      </c>
      <c r="W152" s="506">
        <v>0</v>
      </c>
      <c r="X152" s="506" t="s">
        <v>1991</v>
      </c>
      <c r="Y152" s="506" t="s">
        <v>1991</v>
      </c>
      <c r="Z152" s="32" t="s">
        <v>1991</v>
      </c>
      <c r="AA152" s="32" t="s">
        <v>1991</v>
      </c>
      <c r="AB152" s="32" t="s">
        <v>1991</v>
      </c>
      <c r="AC152" s="32" t="s">
        <v>1991</v>
      </c>
      <c r="AD152" s="32" t="s">
        <v>1991</v>
      </c>
      <c r="AE152" s="506">
        <v>0</v>
      </c>
      <c r="AF152" s="506" t="s">
        <v>1991</v>
      </c>
      <c r="AG152" s="32" t="s">
        <v>1991</v>
      </c>
      <c r="AH152" s="32" t="s">
        <v>1991</v>
      </c>
      <c r="AI152" s="32" t="s">
        <v>1991</v>
      </c>
      <c r="AJ152" s="32" t="s">
        <v>1991</v>
      </c>
      <c r="AK152" s="506" t="s">
        <v>1991</v>
      </c>
      <c r="AL152" s="327"/>
      <c r="AM152" s="327"/>
      <c r="AN152" s="327"/>
      <c r="AO152" s="327"/>
      <c r="AP152" s="327"/>
      <c r="AQ152" s="327"/>
      <c r="AR152" s="327"/>
      <c r="AS152" s="327"/>
      <c r="AT152" s="327"/>
      <c r="AU152" s="327"/>
      <c r="AV152" s="327"/>
      <c r="AW152" s="327"/>
      <c r="AX152" s="327"/>
      <c r="AY152" s="327"/>
      <c r="AZ152" s="327"/>
      <c r="BA152" s="327"/>
      <c r="BB152" s="46">
        <f t="shared" si="38"/>
        <v>13</v>
      </c>
      <c r="BC152" s="46">
        <f t="shared" si="39"/>
        <v>14</v>
      </c>
      <c r="BD152" s="46">
        <f t="shared" si="49"/>
        <v>0</v>
      </c>
      <c r="BE152" s="46">
        <f t="shared" si="40"/>
        <v>0</v>
      </c>
      <c r="BF152" s="296">
        <f t="shared" si="41"/>
        <v>27</v>
      </c>
      <c r="BG152" s="26"/>
      <c r="BH152" s="2"/>
      <c r="BI152" s="2"/>
      <c r="BJ152" s="2"/>
      <c r="BK152" s="279">
        <f t="shared" si="42"/>
        <v>1</v>
      </c>
      <c r="BL152" s="279">
        <f t="shared" si="43"/>
        <v>27</v>
      </c>
      <c r="BM152" s="279"/>
      <c r="BN152" s="279"/>
      <c r="BO152" s="2">
        <f t="shared" si="44"/>
        <v>27</v>
      </c>
      <c r="BP152" s="430"/>
      <c r="BQ152" s="431"/>
      <c r="BR152" s="2"/>
      <c r="BS152" s="25"/>
      <c r="BT152" s="348">
        <f t="shared" si="52"/>
        <v>1</v>
      </c>
      <c r="BU152" s="2"/>
      <c r="BV152" s="282">
        <f t="shared" si="50"/>
        <v>0</v>
      </c>
      <c r="BW152" s="279"/>
      <c r="BX152" s="269">
        <f t="shared" si="51"/>
        <v>0</v>
      </c>
      <c r="BY152" s="349" t="e">
        <f>#N/A</f>
        <v>#N/A</v>
      </c>
      <c r="BZ152" s="349" t="e">
        <f>#N/A</f>
        <v>#N/A</v>
      </c>
      <c r="CA152" s="349" t="e">
        <f>#N/A</f>
        <v>#N/A</v>
      </c>
      <c r="CB152" s="351" t="e">
        <f>#N/A</f>
        <v>#N/A</v>
      </c>
      <c r="CC152" s="349" t="e">
        <f t="shared" si="45"/>
        <v>#N/A</v>
      </c>
      <c r="CD152" s="14" t="e">
        <f t="shared" si="46"/>
        <v>#N/A</v>
      </c>
      <c r="CE152" s="14">
        <f t="shared" si="47"/>
        <v>27</v>
      </c>
      <c r="CF152" s="25">
        <f t="shared" si="48"/>
        <v>1</v>
      </c>
      <c r="CG152" s="270"/>
      <c r="CH152" s="2"/>
      <c r="CL152" s="349"/>
      <c r="CM152" s="349"/>
      <c r="CN152" s="349"/>
      <c r="CO152" s="349"/>
      <c r="CP152" s="349"/>
      <c r="CQ152" s="14"/>
      <c r="CY152" s="2"/>
    </row>
    <row r="153" spans="1:103" s="1" customFormat="1" ht="29.4" customHeight="1">
      <c r="A153" s="46">
        <v>147</v>
      </c>
      <c r="B153" s="46">
        <v>7</v>
      </c>
      <c r="C153" s="46">
        <v>272</v>
      </c>
      <c r="D153" s="48"/>
      <c r="E153" s="48"/>
      <c r="F153" s="46"/>
      <c r="G153" s="310">
        <v>0</v>
      </c>
      <c r="H153" s="310">
        <v>0</v>
      </c>
      <c r="I153" s="310" t="s">
        <v>1991</v>
      </c>
      <c r="J153" s="310" t="s">
        <v>1991</v>
      </c>
      <c r="K153" s="310" t="s">
        <v>1991</v>
      </c>
      <c r="L153" s="310" t="s">
        <v>1991</v>
      </c>
      <c r="M153" s="310" t="s">
        <v>1991</v>
      </c>
      <c r="N153" s="310" t="s">
        <v>1991</v>
      </c>
      <c r="O153" s="310" t="s">
        <v>1991</v>
      </c>
      <c r="P153" s="310" t="s">
        <v>1991</v>
      </c>
      <c r="Q153" s="310">
        <v>0</v>
      </c>
      <c r="R153" s="310" t="s">
        <v>1991</v>
      </c>
      <c r="S153" s="310" t="s">
        <v>1991</v>
      </c>
      <c r="T153" s="505" t="s">
        <v>1991</v>
      </c>
      <c r="U153" s="310" t="s">
        <v>1991</v>
      </c>
      <c r="V153" s="32" t="s">
        <v>1991</v>
      </c>
      <c r="W153" s="506" t="s">
        <v>1991</v>
      </c>
      <c r="X153" s="506" t="s">
        <v>1991</v>
      </c>
      <c r="Y153" s="506" t="s">
        <v>1991</v>
      </c>
      <c r="Z153" s="32" t="s">
        <v>1991</v>
      </c>
      <c r="AA153" s="32" t="s">
        <v>1991</v>
      </c>
      <c r="AB153" s="32" t="s">
        <v>1991</v>
      </c>
      <c r="AC153" s="32" t="s">
        <v>1991</v>
      </c>
      <c r="AD153" s="32" t="s">
        <v>1991</v>
      </c>
      <c r="AE153" s="506" t="s">
        <v>1991</v>
      </c>
      <c r="AF153" s="506" t="s">
        <v>1991</v>
      </c>
      <c r="AG153" s="32" t="s">
        <v>1991</v>
      </c>
      <c r="AH153" s="32" t="s">
        <v>1991</v>
      </c>
      <c r="AI153" s="32" t="s">
        <v>1991</v>
      </c>
      <c r="AJ153" s="32" t="s">
        <v>1991</v>
      </c>
      <c r="AK153" s="506" t="s">
        <v>1991</v>
      </c>
      <c r="AL153" s="327"/>
      <c r="AM153" s="327"/>
      <c r="AN153" s="327"/>
      <c r="AO153" s="327"/>
      <c r="AP153" s="327"/>
      <c r="AQ153" s="327"/>
      <c r="AR153" s="327"/>
      <c r="AS153" s="327"/>
      <c r="AT153" s="327"/>
      <c r="AU153" s="327"/>
      <c r="AV153" s="327"/>
      <c r="AW153" s="327"/>
      <c r="AX153" s="327"/>
      <c r="AY153" s="327"/>
      <c r="AZ153" s="327"/>
      <c r="BA153" s="327"/>
      <c r="BB153" s="46">
        <f t="shared" si="38"/>
        <v>12</v>
      </c>
      <c r="BC153" s="46">
        <f t="shared" si="39"/>
        <v>16</v>
      </c>
      <c r="BD153" s="46">
        <f t="shared" si="49"/>
        <v>0</v>
      </c>
      <c r="BE153" s="46">
        <f t="shared" si="40"/>
        <v>0</v>
      </c>
      <c r="BF153" s="296">
        <f t="shared" si="41"/>
        <v>28</v>
      </c>
      <c r="BG153" s="26"/>
      <c r="BH153" s="2"/>
      <c r="BI153" s="2"/>
      <c r="BJ153" s="2"/>
      <c r="BK153" s="279">
        <f t="shared" si="42"/>
        <v>1</v>
      </c>
      <c r="BL153" s="279">
        <f t="shared" si="43"/>
        <v>28</v>
      </c>
      <c r="BM153" s="279"/>
      <c r="BN153" s="279"/>
      <c r="BO153" s="2">
        <f t="shared" si="44"/>
        <v>28</v>
      </c>
      <c r="BP153" s="430"/>
      <c r="BQ153" s="431"/>
      <c r="BR153" s="2"/>
      <c r="BS153" s="25"/>
      <c r="BT153" s="348">
        <f t="shared" si="52"/>
        <v>1</v>
      </c>
      <c r="BU153" s="2"/>
      <c r="BV153" s="282">
        <f t="shared" si="50"/>
        <v>0</v>
      </c>
      <c r="BW153" s="279"/>
      <c r="BX153" s="269">
        <f t="shared" si="51"/>
        <v>0</v>
      </c>
      <c r="BY153" s="349" t="e">
        <f>#N/A</f>
        <v>#N/A</v>
      </c>
      <c r="BZ153" s="349" t="e">
        <f>#N/A</f>
        <v>#N/A</v>
      </c>
      <c r="CA153" s="349" t="e">
        <f>#N/A</f>
        <v>#N/A</v>
      </c>
      <c r="CB153" s="351" t="e">
        <f>#N/A</f>
        <v>#N/A</v>
      </c>
      <c r="CC153" s="349" t="e">
        <f t="shared" si="45"/>
        <v>#N/A</v>
      </c>
      <c r="CD153" s="14" t="e">
        <f t="shared" si="46"/>
        <v>#N/A</v>
      </c>
      <c r="CE153" s="14">
        <f t="shared" si="47"/>
        <v>28</v>
      </c>
      <c r="CF153" s="25">
        <f t="shared" si="48"/>
        <v>1</v>
      </c>
      <c r="CG153" s="270"/>
      <c r="CH153" s="2"/>
      <c r="CL153" s="349"/>
      <c r="CM153" s="349"/>
      <c r="CN153" s="349"/>
      <c r="CO153" s="349"/>
      <c r="CP153" s="349"/>
      <c r="CQ153" s="14"/>
      <c r="CY153" s="2"/>
    </row>
    <row r="154" spans="1:103" s="1" customFormat="1" ht="29.4" customHeight="1">
      <c r="A154" s="46">
        <v>148</v>
      </c>
      <c r="B154" s="46">
        <v>7</v>
      </c>
      <c r="C154" s="46">
        <v>273</v>
      </c>
      <c r="D154" s="48"/>
      <c r="E154" s="48"/>
      <c r="F154" s="46"/>
      <c r="G154" s="310" t="s">
        <v>1991</v>
      </c>
      <c r="H154" s="310" t="s">
        <v>1991</v>
      </c>
      <c r="I154" s="310" t="s">
        <v>1991</v>
      </c>
      <c r="J154" s="310">
        <v>0</v>
      </c>
      <c r="K154" s="310" t="s">
        <v>1991</v>
      </c>
      <c r="L154" s="310" t="s">
        <v>1991</v>
      </c>
      <c r="M154" s="310" t="s">
        <v>1991</v>
      </c>
      <c r="N154" s="310" t="s">
        <v>1991</v>
      </c>
      <c r="O154" s="310" t="s">
        <v>1991</v>
      </c>
      <c r="P154" s="310">
        <v>0</v>
      </c>
      <c r="Q154" s="310" t="s">
        <v>1991</v>
      </c>
      <c r="R154" s="310" t="s">
        <v>1991</v>
      </c>
      <c r="S154" s="310" t="s">
        <v>1991</v>
      </c>
      <c r="T154" s="505" t="s">
        <v>1991</v>
      </c>
      <c r="U154" s="310" t="s">
        <v>1991</v>
      </c>
      <c r="V154" s="32" t="s">
        <v>1991</v>
      </c>
      <c r="W154" s="506" t="s">
        <v>1991</v>
      </c>
      <c r="X154" s="506" t="s">
        <v>1991</v>
      </c>
      <c r="Y154" s="506" t="s">
        <v>1991</v>
      </c>
      <c r="Z154" s="32" t="s">
        <v>1991</v>
      </c>
      <c r="AA154" s="32" t="s">
        <v>1991</v>
      </c>
      <c r="AB154" s="32" t="s">
        <v>1991</v>
      </c>
      <c r="AC154" s="32" t="s">
        <v>1991</v>
      </c>
      <c r="AD154" s="32" t="s">
        <v>1991</v>
      </c>
      <c r="AE154" s="506" t="s">
        <v>1991</v>
      </c>
      <c r="AF154" s="506" t="s">
        <v>1991</v>
      </c>
      <c r="AG154" s="32" t="s">
        <v>1991</v>
      </c>
      <c r="AH154" s="32" t="s">
        <v>1991</v>
      </c>
      <c r="AI154" s="32" t="s">
        <v>1991</v>
      </c>
      <c r="AJ154" s="32" t="s">
        <v>1991</v>
      </c>
      <c r="AK154" s="506" t="s">
        <v>1991</v>
      </c>
      <c r="AL154" s="327"/>
      <c r="AM154" s="327"/>
      <c r="AN154" s="327"/>
      <c r="AO154" s="327"/>
      <c r="AP154" s="327"/>
      <c r="AQ154" s="327"/>
      <c r="AR154" s="327"/>
      <c r="AS154" s="327"/>
      <c r="AT154" s="327"/>
      <c r="AU154" s="327"/>
      <c r="AV154" s="327"/>
      <c r="AW154" s="327"/>
      <c r="AX154" s="327"/>
      <c r="AY154" s="327"/>
      <c r="AZ154" s="327"/>
      <c r="BA154" s="327"/>
      <c r="BB154" s="46">
        <f t="shared" si="38"/>
        <v>13</v>
      </c>
      <c r="BC154" s="46">
        <f t="shared" si="39"/>
        <v>16</v>
      </c>
      <c r="BD154" s="46">
        <f t="shared" si="49"/>
        <v>0</v>
      </c>
      <c r="BE154" s="46">
        <f t="shared" si="40"/>
        <v>0</v>
      </c>
      <c r="BF154" s="296">
        <f t="shared" si="41"/>
        <v>29</v>
      </c>
      <c r="BG154" s="26"/>
      <c r="BH154" s="2"/>
      <c r="BI154" s="2"/>
      <c r="BJ154" s="2"/>
      <c r="BK154" s="279">
        <f t="shared" si="42"/>
        <v>1</v>
      </c>
      <c r="BL154" s="279">
        <f t="shared" si="43"/>
        <v>29</v>
      </c>
      <c r="BM154" s="279"/>
      <c r="BN154" s="279"/>
      <c r="BO154" s="2">
        <f t="shared" si="44"/>
        <v>29</v>
      </c>
      <c r="BP154" s="430"/>
      <c r="BQ154" s="431"/>
      <c r="BR154" s="2"/>
      <c r="BS154" s="25"/>
      <c r="BT154" s="348">
        <f t="shared" si="52"/>
        <v>1</v>
      </c>
      <c r="BU154" s="2"/>
      <c r="BV154" s="282">
        <f t="shared" si="50"/>
        <v>0</v>
      </c>
      <c r="BW154" s="279"/>
      <c r="BX154" s="269">
        <f t="shared" si="51"/>
        <v>0</v>
      </c>
      <c r="BY154" s="349" t="e">
        <f>#N/A</f>
        <v>#N/A</v>
      </c>
      <c r="BZ154" s="349" t="e">
        <f>#N/A</f>
        <v>#N/A</v>
      </c>
      <c r="CA154" s="349" t="e">
        <f>#N/A</f>
        <v>#N/A</v>
      </c>
      <c r="CB154" s="351" t="e">
        <f>#N/A</f>
        <v>#N/A</v>
      </c>
      <c r="CC154" s="349" t="e">
        <f t="shared" si="45"/>
        <v>#N/A</v>
      </c>
      <c r="CD154" s="14" t="e">
        <f t="shared" si="46"/>
        <v>#N/A</v>
      </c>
      <c r="CE154" s="14">
        <f t="shared" si="47"/>
        <v>29</v>
      </c>
      <c r="CF154" s="25">
        <f t="shared" si="48"/>
        <v>1</v>
      </c>
      <c r="CG154" s="270"/>
      <c r="CH154" s="2"/>
      <c r="CL154" s="349"/>
      <c r="CM154" s="349"/>
      <c r="CN154" s="349"/>
      <c r="CO154" s="349"/>
      <c r="CP154" s="349"/>
      <c r="CQ154" s="14"/>
      <c r="CY154" s="2"/>
    </row>
    <row r="155" spans="1:103" s="1" customFormat="1" ht="29.4" customHeight="1">
      <c r="A155" s="46">
        <v>149</v>
      </c>
      <c r="B155" s="46">
        <v>7</v>
      </c>
      <c r="C155" s="46">
        <v>274</v>
      </c>
      <c r="D155" s="48"/>
      <c r="E155" s="48"/>
      <c r="F155" s="46"/>
      <c r="G155" s="310" t="s">
        <v>1991</v>
      </c>
      <c r="H155" s="310" t="s">
        <v>1991</v>
      </c>
      <c r="I155" s="310" t="s">
        <v>1991</v>
      </c>
      <c r="J155" s="310">
        <v>0</v>
      </c>
      <c r="K155" s="310" t="s">
        <v>1991</v>
      </c>
      <c r="L155" s="310" t="s">
        <v>1991</v>
      </c>
      <c r="M155" s="310" t="s">
        <v>1991</v>
      </c>
      <c r="N155" s="310" t="s">
        <v>1991</v>
      </c>
      <c r="O155" s="310" t="s">
        <v>1991</v>
      </c>
      <c r="P155" s="310" t="s">
        <v>1991</v>
      </c>
      <c r="Q155" s="310" t="s">
        <v>1991</v>
      </c>
      <c r="R155" s="310" t="s">
        <v>1991</v>
      </c>
      <c r="S155" s="310" t="s">
        <v>1991</v>
      </c>
      <c r="T155" s="505" t="s">
        <v>1991</v>
      </c>
      <c r="U155" s="310" t="s">
        <v>1991</v>
      </c>
      <c r="V155" s="32" t="s">
        <v>1991</v>
      </c>
      <c r="W155" s="506" t="s">
        <v>1991</v>
      </c>
      <c r="X155" s="506" t="s">
        <v>1991</v>
      </c>
      <c r="Y155" s="506" t="s">
        <v>1991</v>
      </c>
      <c r="Z155" s="32" t="s">
        <v>1991</v>
      </c>
      <c r="AA155" s="32" t="s">
        <v>1991</v>
      </c>
      <c r="AB155" s="32" t="s">
        <v>1991</v>
      </c>
      <c r="AC155" s="32" t="s">
        <v>1991</v>
      </c>
      <c r="AD155" s="32" t="s">
        <v>1991</v>
      </c>
      <c r="AE155" s="506" t="s">
        <v>1991</v>
      </c>
      <c r="AF155" s="506" t="s">
        <v>1991</v>
      </c>
      <c r="AG155" s="32" t="s">
        <v>1991</v>
      </c>
      <c r="AH155" s="32" t="s">
        <v>1991</v>
      </c>
      <c r="AI155" s="32" t="s">
        <v>1991</v>
      </c>
      <c r="AJ155" s="32" t="s">
        <v>1991</v>
      </c>
      <c r="AK155" s="506">
        <v>0</v>
      </c>
      <c r="AL155" s="327"/>
      <c r="AM155" s="327"/>
      <c r="AN155" s="327"/>
      <c r="AO155" s="327"/>
      <c r="AP155" s="327"/>
      <c r="AQ155" s="327"/>
      <c r="AR155" s="327"/>
      <c r="AS155" s="327"/>
      <c r="AT155" s="327"/>
      <c r="AU155" s="327"/>
      <c r="AV155" s="327"/>
      <c r="AW155" s="327"/>
      <c r="AX155" s="327"/>
      <c r="AY155" s="327"/>
      <c r="AZ155" s="327"/>
      <c r="BA155" s="327"/>
      <c r="BB155" s="46">
        <f t="shared" si="38"/>
        <v>14</v>
      </c>
      <c r="BC155" s="46">
        <f t="shared" si="39"/>
        <v>15</v>
      </c>
      <c r="BD155" s="46">
        <f t="shared" si="49"/>
        <v>0</v>
      </c>
      <c r="BE155" s="46">
        <f t="shared" si="40"/>
        <v>0</v>
      </c>
      <c r="BF155" s="296">
        <f t="shared" si="41"/>
        <v>29</v>
      </c>
      <c r="BG155" s="26"/>
      <c r="BH155" s="2"/>
      <c r="BI155" s="2"/>
      <c r="BJ155" s="2"/>
      <c r="BK155" s="279">
        <f t="shared" si="42"/>
        <v>1</v>
      </c>
      <c r="BL155" s="279">
        <f t="shared" si="43"/>
        <v>29</v>
      </c>
      <c r="BM155" s="279"/>
      <c r="BN155" s="279"/>
      <c r="BO155" s="2">
        <f t="shared" si="44"/>
        <v>29</v>
      </c>
      <c r="BP155" s="430"/>
      <c r="BQ155" s="431"/>
      <c r="BR155" s="2"/>
      <c r="BS155" s="25"/>
      <c r="BT155" s="348">
        <f t="shared" si="52"/>
        <v>1</v>
      </c>
      <c r="BU155" s="2"/>
      <c r="BV155" s="282">
        <f t="shared" si="50"/>
        <v>0</v>
      </c>
      <c r="BW155" s="279"/>
      <c r="BX155" s="269">
        <f t="shared" si="51"/>
        <v>0</v>
      </c>
      <c r="BY155" s="349" t="e">
        <f>#N/A</f>
        <v>#N/A</v>
      </c>
      <c r="BZ155" s="349" t="e">
        <f>#N/A</f>
        <v>#N/A</v>
      </c>
      <c r="CA155" s="349" t="e">
        <f>#N/A</f>
        <v>#N/A</v>
      </c>
      <c r="CB155" s="351" t="e">
        <f>#N/A</f>
        <v>#N/A</v>
      </c>
      <c r="CC155" s="349" t="e">
        <f t="shared" si="45"/>
        <v>#N/A</v>
      </c>
      <c r="CD155" s="14" t="e">
        <f t="shared" si="46"/>
        <v>#N/A</v>
      </c>
      <c r="CE155" s="14">
        <f t="shared" si="47"/>
        <v>29</v>
      </c>
      <c r="CF155" s="25">
        <f t="shared" si="48"/>
        <v>1</v>
      </c>
      <c r="CG155" s="270"/>
      <c r="CH155" s="2"/>
      <c r="CL155" s="349"/>
      <c r="CM155" s="349"/>
      <c r="CN155" s="349"/>
      <c r="CO155" s="349"/>
      <c r="CP155" s="349"/>
      <c r="CQ155" s="14"/>
      <c r="CY155" s="2"/>
    </row>
    <row r="156" spans="1:103" s="1" customFormat="1" ht="29.4" customHeight="1">
      <c r="A156" s="46">
        <v>150</v>
      </c>
      <c r="B156" s="46">
        <v>7</v>
      </c>
      <c r="C156" s="46">
        <v>275</v>
      </c>
      <c r="D156" s="48"/>
      <c r="E156" s="48"/>
      <c r="F156" s="46"/>
      <c r="G156" s="310">
        <v>0</v>
      </c>
      <c r="H156" s="310" t="s">
        <v>1991</v>
      </c>
      <c r="I156" s="310" t="s">
        <v>1991</v>
      </c>
      <c r="J156" s="310" t="s">
        <v>1991</v>
      </c>
      <c r="K156" s="310" t="s">
        <v>1991</v>
      </c>
      <c r="L156" s="310" t="s">
        <v>1991</v>
      </c>
      <c r="M156" s="310">
        <v>0</v>
      </c>
      <c r="N156" s="310" t="s">
        <v>1991</v>
      </c>
      <c r="O156" s="310" t="s">
        <v>1991</v>
      </c>
      <c r="P156" s="310" t="s">
        <v>1991</v>
      </c>
      <c r="Q156" s="310" t="s">
        <v>1991</v>
      </c>
      <c r="R156" s="310" t="s">
        <v>1991</v>
      </c>
      <c r="S156" s="310" t="s">
        <v>1991</v>
      </c>
      <c r="T156" s="505" t="s">
        <v>1991</v>
      </c>
      <c r="U156" s="310" t="s">
        <v>1991</v>
      </c>
      <c r="V156" s="32" t="s">
        <v>1991</v>
      </c>
      <c r="W156" s="506">
        <v>0</v>
      </c>
      <c r="X156" s="506" t="s">
        <v>1991</v>
      </c>
      <c r="Y156" s="506" t="s">
        <v>1991</v>
      </c>
      <c r="Z156" s="32" t="s">
        <v>1991</v>
      </c>
      <c r="AA156" s="32" t="s">
        <v>1991</v>
      </c>
      <c r="AB156" s="32" t="s">
        <v>1991</v>
      </c>
      <c r="AC156" s="32" t="s">
        <v>1991</v>
      </c>
      <c r="AD156" s="32" t="s">
        <v>1991</v>
      </c>
      <c r="AE156" s="506" t="s">
        <v>1991</v>
      </c>
      <c r="AF156" s="506" t="s">
        <v>1991</v>
      </c>
      <c r="AG156" s="32" t="s">
        <v>1991</v>
      </c>
      <c r="AH156" s="32" t="s">
        <v>1991</v>
      </c>
      <c r="AI156" s="32" t="s">
        <v>1991</v>
      </c>
      <c r="AJ156" s="32">
        <v>0</v>
      </c>
      <c r="AK156" s="506">
        <v>0</v>
      </c>
      <c r="AL156" s="327"/>
      <c r="AM156" s="327"/>
      <c r="AN156" s="327"/>
      <c r="AO156" s="327"/>
      <c r="AP156" s="327"/>
      <c r="AQ156" s="327"/>
      <c r="AR156" s="327"/>
      <c r="AS156" s="327"/>
      <c r="AT156" s="327"/>
      <c r="AU156" s="327"/>
      <c r="AV156" s="327"/>
      <c r="AW156" s="327"/>
      <c r="AX156" s="327"/>
      <c r="AY156" s="327"/>
      <c r="AZ156" s="327"/>
      <c r="BA156" s="327"/>
      <c r="BB156" s="46">
        <f t="shared" si="38"/>
        <v>13</v>
      </c>
      <c r="BC156" s="46">
        <f t="shared" si="39"/>
        <v>13</v>
      </c>
      <c r="BD156" s="46">
        <f t="shared" si="49"/>
        <v>0</v>
      </c>
      <c r="BE156" s="46">
        <f t="shared" si="40"/>
        <v>0</v>
      </c>
      <c r="BF156" s="296">
        <f t="shared" si="41"/>
        <v>26</v>
      </c>
      <c r="BG156" s="26"/>
      <c r="BH156" s="2"/>
      <c r="BI156" s="2"/>
      <c r="BJ156" s="2"/>
      <c r="BK156" s="279">
        <f t="shared" si="42"/>
        <v>1</v>
      </c>
      <c r="BL156" s="279">
        <f t="shared" si="43"/>
        <v>26</v>
      </c>
      <c r="BM156" s="279"/>
      <c r="BN156" s="279"/>
      <c r="BO156" s="2">
        <f t="shared" si="44"/>
        <v>26</v>
      </c>
      <c r="BP156" s="430"/>
      <c r="BQ156" s="431"/>
      <c r="BR156" s="2"/>
      <c r="BS156" s="25"/>
      <c r="BT156" s="348">
        <f t="shared" si="52"/>
        <v>1</v>
      </c>
      <c r="BU156" s="2"/>
      <c r="BV156" s="282">
        <f t="shared" si="50"/>
        <v>0</v>
      </c>
      <c r="BW156" s="279"/>
      <c r="BX156" s="269">
        <f t="shared" si="51"/>
        <v>0</v>
      </c>
      <c r="BY156" s="349" t="e">
        <f>#N/A</f>
        <v>#N/A</v>
      </c>
      <c r="BZ156" s="349" t="e">
        <f>#N/A</f>
        <v>#N/A</v>
      </c>
      <c r="CA156" s="349" t="e">
        <f>#N/A</f>
        <v>#N/A</v>
      </c>
      <c r="CB156" s="351" t="e">
        <f>#N/A</f>
        <v>#N/A</v>
      </c>
      <c r="CC156" s="349" t="e">
        <f t="shared" si="45"/>
        <v>#N/A</v>
      </c>
      <c r="CD156" s="14" t="e">
        <f t="shared" si="46"/>
        <v>#N/A</v>
      </c>
      <c r="CE156" s="14">
        <f t="shared" si="47"/>
        <v>26</v>
      </c>
      <c r="CF156" s="25">
        <f t="shared" si="48"/>
        <v>1</v>
      </c>
      <c r="CG156" s="270"/>
      <c r="CH156" s="2"/>
      <c r="CL156" s="349"/>
      <c r="CM156" s="349"/>
      <c r="CN156" s="349"/>
      <c r="CO156" s="349"/>
      <c r="CP156" s="349"/>
      <c r="CQ156" s="14"/>
      <c r="CY156" s="2"/>
    </row>
    <row r="157" spans="1:103" s="1" customFormat="1" ht="29.4" customHeight="1">
      <c r="A157" s="46">
        <v>151</v>
      </c>
      <c r="B157" s="46">
        <v>7</v>
      </c>
      <c r="C157" s="46">
        <v>276</v>
      </c>
      <c r="D157" s="48"/>
      <c r="E157" s="48"/>
      <c r="F157" s="46"/>
      <c r="G157" s="310" t="s">
        <v>1991</v>
      </c>
      <c r="H157" s="310">
        <v>0</v>
      </c>
      <c r="I157" s="310" t="s">
        <v>1991</v>
      </c>
      <c r="J157" s="310">
        <v>0</v>
      </c>
      <c r="K157" s="310" t="s">
        <v>1991</v>
      </c>
      <c r="L157" s="310" t="s">
        <v>1991</v>
      </c>
      <c r="M157" s="310" t="s">
        <v>1991</v>
      </c>
      <c r="N157" s="310" t="s">
        <v>1991</v>
      </c>
      <c r="O157" s="310" t="s">
        <v>1991</v>
      </c>
      <c r="P157" s="310" t="s">
        <v>1991</v>
      </c>
      <c r="Q157" s="310" t="s">
        <v>1991</v>
      </c>
      <c r="R157" s="310" t="s">
        <v>1991</v>
      </c>
      <c r="S157" s="310" t="s">
        <v>1991</v>
      </c>
      <c r="T157" s="505" t="s">
        <v>1991</v>
      </c>
      <c r="U157" s="310" t="s">
        <v>1991</v>
      </c>
      <c r="V157" s="32">
        <v>0</v>
      </c>
      <c r="W157" s="506" t="s">
        <v>1991</v>
      </c>
      <c r="X157" s="506" t="s">
        <v>1991</v>
      </c>
      <c r="Y157" s="506" t="s">
        <v>1991</v>
      </c>
      <c r="Z157" s="32" t="s">
        <v>1991</v>
      </c>
      <c r="AA157" s="32" t="s">
        <v>1991</v>
      </c>
      <c r="AB157" s="32" t="s">
        <v>1991</v>
      </c>
      <c r="AC157" s="32" t="s">
        <v>1991</v>
      </c>
      <c r="AD157" s="32" t="s">
        <v>1991</v>
      </c>
      <c r="AE157" s="506" t="s">
        <v>1991</v>
      </c>
      <c r="AF157" s="506" t="s">
        <v>1991</v>
      </c>
      <c r="AG157" s="32" t="s">
        <v>1991</v>
      </c>
      <c r="AH157" s="32" t="s">
        <v>1991</v>
      </c>
      <c r="AI157" s="32" t="s">
        <v>1991</v>
      </c>
      <c r="AJ157" s="32" t="s">
        <v>1991</v>
      </c>
      <c r="AK157" s="506" t="s">
        <v>1991</v>
      </c>
      <c r="AL157" s="327"/>
      <c r="AM157" s="327"/>
      <c r="AN157" s="327"/>
      <c r="AO157" s="327"/>
      <c r="AP157" s="327"/>
      <c r="AQ157" s="327"/>
      <c r="AR157" s="327"/>
      <c r="AS157" s="327"/>
      <c r="AT157" s="327"/>
      <c r="AU157" s="327"/>
      <c r="AV157" s="327"/>
      <c r="AW157" s="327"/>
      <c r="AX157" s="327"/>
      <c r="AY157" s="327"/>
      <c r="AZ157" s="327"/>
      <c r="BA157" s="327"/>
      <c r="BB157" s="46">
        <f t="shared" si="38"/>
        <v>13</v>
      </c>
      <c r="BC157" s="46">
        <f t="shared" si="39"/>
        <v>15</v>
      </c>
      <c r="BD157" s="46">
        <f t="shared" si="49"/>
        <v>0</v>
      </c>
      <c r="BE157" s="46">
        <f t="shared" si="40"/>
        <v>0</v>
      </c>
      <c r="BF157" s="296">
        <f t="shared" si="41"/>
        <v>28</v>
      </c>
      <c r="BG157" s="26"/>
      <c r="BH157" s="2"/>
      <c r="BI157" s="2"/>
      <c r="BJ157" s="2"/>
      <c r="BK157" s="279">
        <f t="shared" si="42"/>
        <v>1</v>
      </c>
      <c r="BL157" s="279">
        <f t="shared" si="43"/>
        <v>28</v>
      </c>
      <c r="BM157" s="279"/>
      <c r="BN157" s="279"/>
      <c r="BO157" s="2">
        <f t="shared" si="44"/>
        <v>28</v>
      </c>
      <c r="BP157" s="430"/>
      <c r="BQ157" s="431"/>
      <c r="BR157" s="2"/>
      <c r="BS157" s="25"/>
      <c r="BT157" s="348">
        <f t="shared" si="52"/>
        <v>1</v>
      </c>
      <c r="BU157" s="2"/>
      <c r="BV157" s="282">
        <f t="shared" si="50"/>
        <v>0</v>
      </c>
      <c r="BW157" s="279"/>
      <c r="BX157" s="269">
        <f t="shared" si="51"/>
        <v>0</v>
      </c>
      <c r="BY157" s="349" t="e">
        <f>#N/A</f>
        <v>#N/A</v>
      </c>
      <c r="BZ157" s="349" t="e">
        <f>#N/A</f>
        <v>#N/A</v>
      </c>
      <c r="CA157" s="349" t="e">
        <f>#N/A</f>
        <v>#N/A</v>
      </c>
      <c r="CB157" s="351" t="e">
        <f>#N/A</f>
        <v>#N/A</v>
      </c>
      <c r="CC157" s="349" t="e">
        <f t="shared" si="45"/>
        <v>#N/A</v>
      </c>
      <c r="CD157" s="14" t="e">
        <f t="shared" si="46"/>
        <v>#N/A</v>
      </c>
      <c r="CE157" s="14">
        <f t="shared" si="47"/>
        <v>28</v>
      </c>
      <c r="CF157" s="25">
        <f t="shared" si="48"/>
        <v>1</v>
      </c>
      <c r="CG157" s="270"/>
      <c r="CH157" s="2"/>
      <c r="CL157" s="349"/>
      <c r="CM157" s="349"/>
      <c r="CN157" s="349"/>
      <c r="CO157" s="349"/>
      <c r="CP157" s="349"/>
      <c r="CQ157" s="14"/>
      <c r="CY157" s="2"/>
    </row>
    <row r="158" spans="1:103" s="1" customFormat="1" ht="29.4" customHeight="1">
      <c r="A158" s="46">
        <v>152</v>
      </c>
      <c r="B158" s="46">
        <v>7</v>
      </c>
      <c r="C158" s="46">
        <v>277</v>
      </c>
      <c r="D158" s="48"/>
      <c r="E158" s="48"/>
      <c r="F158" s="46"/>
      <c r="G158" s="310" t="s">
        <v>1991</v>
      </c>
      <c r="H158" s="310">
        <v>0</v>
      </c>
      <c r="I158" s="310" t="s">
        <v>1991</v>
      </c>
      <c r="J158" s="310">
        <v>0</v>
      </c>
      <c r="K158" s="310" t="s">
        <v>1991</v>
      </c>
      <c r="L158" s="310" t="s">
        <v>1991</v>
      </c>
      <c r="M158" s="310" t="s">
        <v>1991</v>
      </c>
      <c r="N158" s="310" t="s">
        <v>1991</v>
      </c>
      <c r="O158" s="310" t="s">
        <v>1991</v>
      </c>
      <c r="P158" s="310" t="s">
        <v>1991</v>
      </c>
      <c r="Q158" s="310" t="s">
        <v>1991</v>
      </c>
      <c r="R158" s="310" t="s">
        <v>1991</v>
      </c>
      <c r="S158" s="310" t="s">
        <v>1991</v>
      </c>
      <c r="T158" s="505" t="s">
        <v>1991</v>
      </c>
      <c r="U158" s="310" t="s">
        <v>1991</v>
      </c>
      <c r="V158" s="32">
        <v>0</v>
      </c>
      <c r="W158" s="506" t="s">
        <v>1991</v>
      </c>
      <c r="X158" s="506" t="s">
        <v>1991</v>
      </c>
      <c r="Y158" s="506" t="s">
        <v>1991</v>
      </c>
      <c r="Z158" s="32" t="s">
        <v>1991</v>
      </c>
      <c r="AA158" s="32" t="s">
        <v>1991</v>
      </c>
      <c r="AB158" s="32" t="s">
        <v>1991</v>
      </c>
      <c r="AC158" s="32" t="s">
        <v>1991</v>
      </c>
      <c r="AD158" s="32" t="s">
        <v>1991</v>
      </c>
      <c r="AE158" s="506" t="s">
        <v>1991</v>
      </c>
      <c r="AF158" s="506" t="s">
        <v>1991</v>
      </c>
      <c r="AG158" s="32" t="s">
        <v>1991</v>
      </c>
      <c r="AH158" s="32" t="s">
        <v>1991</v>
      </c>
      <c r="AI158" s="32" t="s">
        <v>1991</v>
      </c>
      <c r="AJ158" s="32" t="s">
        <v>1991</v>
      </c>
      <c r="AK158" s="506" t="s">
        <v>1991</v>
      </c>
      <c r="AL158" s="327"/>
      <c r="AM158" s="327"/>
      <c r="AN158" s="327"/>
      <c r="AO158" s="327"/>
      <c r="AP158" s="327"/>
      <c r="AQ158" s="327"/>
      <c r="AR158" s="327"/>
      <c r="AS158" s="327"/>
      <c r="AT158" s="327"/>
      <c r="AU158" s="327"/>
      <c r="AV158" s="327"/>
      <c r="AW158" s="327"/>
      <c r="AX158" s="327"/>
      <c r="AY158" s="327"/>
      <c r="AZ158" s="327"/>
      <c r="BA158" s="327"/>
      <c r="BB158" s="46">
        <f t="shared" si="38"/>
        <v>13</v>
      </c>
      <c r="BC158" s="46">
        <f t="shared" si="39"/>
        <v>15</v>
      </c>
      <c r="BD158" s="46">
        <f t="shared" si="49"/>
        <v>0</v>
      </c>
      <c r="BE158" s="46">
        <f t="shared" si="40"/>
        <v>0</v>
      </c>
      <c r="BF158" s="296">
        <f t="shared" si="41"/>
        <v>28</v>
      </c>
      <c r="BG158" s="26"/>
      <c r="BH158" s="2"/>
      <c r="BI158" s="2"/>
      <c r="BJ158" s="2"/>
      <c r="BK158" s="279">
        <f t="shared" si="42"/>
        <v>1</v>
      </c>
      <c r="BL158" s="279">
        <f t="shared" si="43"/>
        <v>28</v>
      </c>
      <c r="BM158" s="279"/>
      <c r="BN158" s="279"/>
      <c r="BO158" s="2">
        <f t="shared" si="44"/>
        <v>28</v>
      </c>
      <c r="BP158" s="430"/>
      <c r="BQ158" s="431"/>
      <c r="BR158" s="2"/>
      <c r="BS158" s="25"/>
      <c r="BT158" s="348">
        <f t="shared" si="52"/>
        <v>1</v>
      </c>
      <c r="BU158" s="2"/>
      <c r="BV158" s="282">
        <f t="shared" si="50"/>
        <v>0</v>
      </c>
      <c r="BW158" s="279"/>
      <c r="BX158" s="269">
        <f t="shared" si="51"/>
        <v>0</v>
      </c>
      <c r="BY158" s="349" t="e">
        <f>#N/A</f>
        <v>#N/A</v>
      </c>
      <c r="BZ158" s="349" t="e">
        <f>#N/A</f>
        <v>#N/A</v>
      </c>
      <c r="CA158" s="349" t="e">
        <f>#N/A</f>
        <v>#N/A</v>
      </c>
      <c r="CB158" s="351" t="e">
        <f>#N/A</f>
        <v>#N/A</v>
      </c>
      <c r="CC158" s="349" t="e">
        <f t="shared" si="45"/>
        <v>#N/A</v>
      </c>
      <c r="CD158" s="14" t="e">
        <f t="shared" si="46"/>
        <v>#N/A</v>
      </c>
      <c r="CE158" s="14">
        <f t="shared" si="47"/>
        <v>28</v>
      </c>
      <c r="CF158" s="25">
        <f t="shared" si="48"/>
        <v>1</v>
      </c>
      <c r="CG158" s="270"/>
      <c r="CH158" s="2"/>
      <c r="CL158" s="349"/>
      <c r="CM158" s="349"/>
      <c r="CN158" s="349"/>
      <c r="CO158" s="349"/>
      <c r="CP158" s="349"/>
      <c r="CQ158" s="14"/>
      <c r="CY158" s="2"/>
    </row>
    <row r="159" spans="1:103" s="1" customFormat="1" ht="29.4" customHeight="1">
      <c r="A159" s="46">
        <v>153</v>
      </c>
      <c r="B159" s="46">
        <v>7</v>
      </c>
      <c r="C159" s="46">
        <v>278</v>
      </c>
      <c r="D159" s="48"/>
      <c r="E159" s="48"/>
      <c r="F159" s="46"/>
      <c r="G159" s="310" t="s">
        <v>1991</v>
      </c>
      <c r="H159" s="310" t="s">
        <v>1991</v>
      </c>
      <c r="I159" s="310" t="s">
        <v>1991</v>
      </c>
      <c r="J159" s="310" t="s">
        <v>1991</v>
      </c>
      <c r="K159" s="310" t="s">
        <v>1991</v>
      </c>
      <c r="L159" s="310" t="s">
        <v>1991</v>
      </c>
      <c r="M159" s="310" t="s">
        <v>1991</v>
      </c>
      <c r="N159" s="310" t="s">
        <v>1991</v>
      </c>
      <c r="O159" s="310">
        <v>0</v>
      </c>
      <c r="P159" s="310" t="s">
        <v>1991</v>
      </c>
      <c r="Q159" s="310" t="s">
        <v>1991</v>
      </c>
      <c r="R159" s="310" t="s">
        <v>1991</v>
      </c>
      <c r="S159" s="310" t="s">
        <v>1991</v>
      </c>
      <c r="T159" s="505" t="s">
        <v>1991</v>
      </c>
      <c r="U159" s="310" t="s">
        <v>1991</v>
      </c>
      <c r="V159" s="32" t="s">
        <v>1991</v>
      </c>
      <c r="W159" s="506" t="s">
        <v>1991</v>
      </c>
      <c r="X159" s="506" t="s">
        <v>1991</v>
      </c>
      <c r="Y159" s="506" t="s">
        <v>1991</v>
      </c>
      <c r="Z159" s="32" t="s">
        <v>1991</v>
      </c>
      <c r="AA159" s="32" t="s">
        <v>1991</v>
      </c>
      <c r="AB159" s="32" t="s">
        <v>1991</v>
      </c>
      <c r="AC159" s="32" t="s">
        <v>1991</v>
      </c>
      <c r="AD159" s="32" t="s">
        <v>1991</v>
      </c>
      <c r="AE159" s="506" t="s">
        <v>1991</v>
      </c>
      <c r="AF159" s="506" t="s">
        <v>1991</v>
      </c>
      <c r="AG159" s="32" t="s">
        <v>1991</v>
      </c>
      <c r="AH159" s="32" t="s">
        <v>1991</v>
      </c>
      <c r="AI159" s="32" t="s">
        <v>1991</v>
      </c>
      <c r="AJ159" s="32" t="s">
        <v>1991</v>
      </c>
      <c r="AK159" s="506" t="s">
        <v>1991</v>
      </c>
      <c r="AL159" s="327"/>
      <c r="AM159" s="327"/>
      <c r="AN159" s="327"/>
      <c r="AO159" s="327"/>
      <c r="AP159" s="327"/>
      <c r="AQ159" s="327"/>
      <c r="AR159" s="327"/>
      <c r="AS159" s="327"/>
      <c r="AT159" s="327"/>
      <c r="AU159" s="327"/>
      <c r="AV159" s="327"/>
      <c r="AW159" s="327"/>
      <c r="AX159" s="327"/>
      <c r="AY159" s="327"/>
      <c r="AZ159" s="327"/>
      <c r="BA159" s="327"/>
      <c r="BB159" s="46">
        <f t="shared" si="38"/>
        <v>14</v>
      </c>
      <c r="BC159" s="46">
        <f t="shared" si="39"/>
        <v>16</v>
      </c>
      <c r="BD159" s="46">
        <f t="shared" si="49"/>
        <v>0</v>
      </c>
      <c r="BE159" s="46">
        <f t="shared" si="40"/>
        <v>0</v>
      </c>
      <c r="BF159" s="296">
        <f t="shared" si="41"/>
        <v>30</v>
      </c>
      <c r="BG159" s="26"/>
      <c r="BH159" s="2"/>
      <c r="BI159" s="2"/>
      <c r="BJ159" s="2"/>
      <c r="BK159" s="279">
        <f t="shared" si="42"/>
        <v>1</v>
      </c>
      <c r="BL159" s="279">
        <f t="shared" si="43"/>
        <v>30</v>
      </c>
      <c r="BM159" s="279"/>
      <c r="BN159" s="279"/>
      <c r="BO159" s="2">
        <f t="shared" si="44"/>
        <v>30</v>
      </c>
      <c r="BP159" s="430"/>
      <c r="BQ159" s="431"/>
      <c r="BR159" s="2"/>
      <c r="BS159" s="25"/>
      <c r="BT159" s="348">
        <f t="shared" si="52"/>
        <v>1</v>
      </c>
      <c r="BU159" s="2"/>
      <c r="BV159" s="282">
        <f t="shared" si="50"/>
        <v>0</v>
      </c>
      <c r="BW159" s="279"/>
      <c r="BX159" s="269">
        <f t="shared" si="51"/>
        <v>0</v>
      </c>
      <c r="BY159" s="349" t="e">
        <f>#N/A</f>
        <v>#N/A</v>
      </c>
      <c r="BZ159" s="349" t="e">
        <f>#N/A</f>
        <v>#N/A</v>
      </c>
      <c r="CA159" s="349" t="e">
        <f>#N/A</f>
        <v>#N/A</v>
      </c>
      <c r="CB159" s="351" t="e">
        <f>#N/A</f>
        <v>#N/A</v>
      </c>
      <c r="CC159" s="349" t="e">
        <f t="shared" si="45"/>
        <v>#N/A</v>
      </c>
      <c r="CD159" s="14" t="e">
        <f t="shared" si="46"/>
        <v>#N/A</v>
      </c>
      <c r="CE159" s="14">
        <f t="shared" si="47"/>
        <v>30</v>
      </c>
      <c r="CF159" s="25">
        <f t="shared" si="48"/>
        <v>1</v>
      </c>
      <c r="CG159" s="270"/>
      <c r="CH159" s="2"/>
      <c r="CL159" s="349"/>
      <c r="CM159" s="349"/>
      <c r="CN159" s="349"/>
      <c r="CO159" s="349"/>
      <c r="CP159" s="349"/>
      <c r="CQ159" s="14"/>
      <c r="CY159" s="2"/>
    </row>
    <row r="160" spans="1:103" s="1" customFormat="1" ht="29.4" customHeight="1">
      <c r="A160" s="46">
        <v>154</v>
      </c>
      <c r="B160" s="46">
        <v>7</v>
      </c>
      <c r="C160" s="46">
        <v>279</v>
      </c>
      <c r="D160" s="48"/>
      <c r="E160" s="48"/>
      <c r="F160" s="46"/>
      <c r="G160" s="310" t="s">
        <v>1991</v>
      </c>
      <c r="H160" s="310" t="s">
        <v>1991</v>
      </c>
      <c r="I160" s="310" t="s">
        <v>1991</v>
      </c>
      <c r="J160" s="310" t="s">
        <v>1991</v>
      </c>
      <c r="K160" s="310">
        <v>0</v>
      </c>
      <c r="L160" s="310" t="s">
        <v>1991</v>
      </c>
      <c r="M160" s="310" t="s">
        <v>1991</v>
      </c>
      <c r="N160" s="310" t="s">
        <v>1991</v>
      </c>
      <c r="O160" s="310" t="s">
        <v>1991</v>
      </c>
      <c r="P160" s="310" t="s">
        <v>1991</v>
      </c>
      <c r="Q160" s="310" t="s">
        <v>1991</v>
      </c>
      <c r="R160" s="310" t="s">
        <v>1991</v>
      </c>
      <c r="S160" s="310" t="s">
        <v>1991</v>
      </c>
      <c r="T160" s="505" t="s">
        <v>1991</v>
      </c>
      <c r="U160" s="310" t="s">
        <v>1991</v>
      </c>
      <c r="V160" s="32" t="s">
        <v>1991</v>
      </c>
      <c r="W160" s="506" t="s">
        <v>1991</v>
      </c>
      <c r="X160" s="506">
        <v>0</v>
      </c>
      <c r="Y160" s="506" t="s">
        <v>1991</v>
      </c>
      <c r="Z160" s="32" t="s">
        <v>1991</v>
      </c>
      <c r="AA160" s="32">
        <v>0</v>
      </c>
      <c r="AB160" s="32" t="s">
        <v>1991</v>
      </c>
      <c r="AC160" s="32" t="s">
        <v>1991</v>
      </c>
      <c r="AD160" s="32" t="s">
        <v>1991</v>
      </c>
      <c r="AE160" s="506" t="s">
        <v>1991</v>
      </c>
      <c r="AF160" s="506" t="s">
        <v>1991</v>
      </c>
      <c r="AG160" s="32" t="s">
        <v>1991</v>
      </c>
      <c r="AH160" s="32" t="s">
        <v>1991</v>
      </c>
      <c r="AI160" s="32" t="s">
        <v>1991</v>
      </c>
      <c r="AJ160" s="32" t="s">
        <v>1991</v>
      </c>
      <c r="AK160" s="506" t="s">
        <v>1991</v>
      </c>
      <c r="AL160" s="327"/>
      <c r="AM160" s="327"/>
      <c r="AN160" s="327"/>
      <c r="AO160" s="327"/>
      <c r="AP160" s="327"/>
      <c r="AQ160" s="327"/>
      <c r="AR160" s="327"/>
      <c r="AS160" s="327"/>
      <c r="AT160" s="327"/>
      <c r="AU160" s="327"/>
      <c r="AV160" s="327"/>
      <c r="AW160" s="327"/>
      <c r="AX160" s="327"/>
      <c r="AY160" s="327"/>
      <c r="AZ160" s="327"/>
      <c r="BA160" s="327"/>
      <c r="BB160" s="46">
        <f t="shared" si="38"/>
        <v>14</v>
      </c>
      <c r="BC160" s="46">
        <f t="shared" si="39"/>
        <v>14</v>
      </c>
      <c r="BD160" s="46">
        <f t="shared" si="49"/>
        <v>0</v>
      </c>
      <c r="BE160" s="46">
        <f t="shared" si="40"/>
        <v>0</v>
      </c>
      <c r="BF160" s="296">
        <f t="shared" si="41"/>
        <v>28</v>
      </c>
      <c r="BG160" s="26"/>
      <c r="BH160" s="2"/>
      <c r="BI160" s="2"/>
      <c r="BJ160" s="2"/>
      <c r="BK160" s="279">
        <f t="shared" si="42"/>
        <v>1</v>
      </c>
      <c r="BL160" s="279">
        <f t="shared" si="43"/>
        <v>28</v>
      </c>
      <c r="BM160" s="279"/>
      <c r="BN160" s="279"/>
      <c r="BO160" s="2">
        <f t="shared" si="44"/>
        <v>28</v>
      </c>
      <c r="BP160" s="430"/>
      <c r="BQ160" s="431"/>
      <c r="BR160" s="2"/>
      <c r="BS160" s="25"/>
      <c r="BT160" s="348">
        <f t="shared" si="52"/>
        <v>1</v>
      </c>
      <c r="BU160" s="2"/>
      <c r="BV160" s="282">
        <f t="shared" si="50"/>
        <v>0</v>
      </c>
      <c r="BW160" s="279"/>
      <c r="BX160" s="269">
        <f t="shared" si="51"/>
        <v>0</v>
      </c>
      <c r="BY160" s="349" t="e">
        <f>#N/A</f>
        <v>#N/A</v>
      </c>
      <c r="BZ160" s="349" t="e">
        <f>#N/A</f>
        <v>#N/A</v>
      </c>
      <c r="CA160" s="349" t="e">
        <f>#N/A</f>
        <v>#N/A</v>
      </c>
      <c r="CB160" s="351" t="e">
        <f>#N/A</f>
        <v>#N/A</v>
      </c>
      <c r="CC160" s="349" t="e">
        <f t="shared" si="45"/>
        <v>#N/A</v>
      </c>
      <c r="CD160" s="14" t="e">
        <f t="shared" si="46"/>
        <v>#N/A</v>
      </c>
      <c r="CE160" s="14">
        <f t="shared" si="47"/>
        <v>28</v>
      </c>
      <c r="CF160" s="25">
        <f t="shared" si="48"/>
        <v>1</v>
      </c>
      <c r="CG160" s="270"/>
      <c r="CH160" s="2"/>
      <c r="CL160" s="349"/>
      <c r="CM160" s="349"/>
      <c r="CN160" s="349"/>
      <c r="CO160" s="349"/>
      <c r="CP160" s="349"/>
      <c r="CQ160" s="14"/>
      <c r="CY160" s="2"/>
    </row>
    <row r="161" spans="1:103" s="1" customFormat="1" ht="29.4" customHeight="1">
      <c r="A161" s="46">
        <v>155</v>
      </c>
      <c r="B161" s="46">
        <v>7</v>
      </c>
      <c r="C161" s="46">
        <v>280</v>
      </c>
      <c r="D161" s="48"/>
      <c r="E161" s="48"/>
      <c r="F161" s="46"/>
      <c r="G161" s="310" t="s">
        <v>1991</v>
      </c>
      <c r="H161" s="310">
        <v>0</v>
      </c>
      <c r="I161" s="310" t="s">
        <v>1991</v>
      </c>
      <c r="J161" s="310">
        <v>0</v>
      </c>
      <c r="K161" s="310" t="s">
        <v>1991</v>
      </c>
      <c r="L161" s="310" t="s">
        <v>1991</v>
      </c>
      <c r="M161" s="310" t="s">
        <v>1991</v>
      </c>
      <c r="N161" s="310" t="s">
        <v>1991</v>
      </c>
      <c r="O161" s="310" t="s">
        <v>1991</v>
      </c>
      <c r="P161" s="310" t="s">
        <v>1991</v>
      </c>
      <c r="Q161" s="310" t="s">
        <v>1991</v>
      </c>
      <c r="R161" s="310" t="s">
        <v>1991</v>
      </c>
      <c r="S161" s="310">
        <v>0</v>
      </c>
      <c r="T161" s="505" t="s">
        <v>1991</v>
      </c>
      <c r="U161" s="310" t="s">
        <v>1991</v>
      </c>
      <c r="V161" s="32" t="s">
        <v>1991</v>
      </c>
      <c r="W161" s="506" t="s">
        <v>1991</v>
      </c>
      <c r="X161" s="506" t="s">
        <v>1991</v>
      </c>
      <c r="Y161" s="506" t="s">
        <v>1991</v>
      </c>
      <c r="Z161" s="32" t="s">
        <v>1991</v>
      </c>
      <c r="AA161" s="32" t="s">
        <v>1991</v>
      </c>
      <c r="AB161" s="32" t="s">
        <v>1991</v>
      </c>
      <c r="AC161" s="32" t="s">
        <v>1991</v>
      </c>
      <c r="AD161" s="32" t="s">
        <v>1991</v>
      </c>
      <c r="AE161" s="506">
        <v>0</v>
      </c>
      <c r="AF161" s="506" t="s">
        <v>1991</v>
      </c>
      <c r="AG161" s="32" t="s">
        <v>1991</v>
      </c>
      <c r="AH161" s="32" t="s">
        <v>1991</v>
      </c>
      <c r="AI161" s="32" t="s">
        <v>1991</v>
      </c>
      <c r="AJ161" s="32" t="s">
        <v>1991</v>
      </c>
      <c r="AK161" s="506" t="s">
        <v>1991</v>
      </c>
      <c r="AL161" s="327"/>
      <c r="AM161" s="327"/>
      <c r="AN161" s="327"/>
      <c r="AO161" s="327"/>
      <c r="AP161" s="327"/>
      <c r="AQ161" s="327"/>
      <c r="AR161" s="327"/>
      <c r="AS161" s="327"/>
      <c r="AT161" s="327"/>
      <c r="AU161" s="327"/>
      <c r="AV161" s="327"/>
      <c r="AW161" s="327"/>
      <c r="AX161" s="327"/>
      <c r="AY161" s="327"/>
      <c r="AZ161" s="327"/>
      <c r="BA161" s="327"/>
      <c r="BB161" s="46">
        <f t="shared" si="38"/>
        <v>12</v>
      </c>
      <c r="BC161" s="46">
        <f t="shared" si="39"/>
        <v>15</v>
      </c>
      <c r="BD161" s="46">
        <f t="shared" si="49"/>
        <v>0</v>
      </c>
      <c r="BE161" s="46">
        <f t="shared" si="40"/>
        <v>0</v>
      </c>
      <c r="BF161" s="296">
        <f t="shared" si="41"/>
        <v>27</v>
      </c>
      <c r="BG161" s="26"/>
      <c r="BH161" s="2"/>
      <c r="BI161" s="2"/>
      <c r="BJ161" s="2"/>
      <c r="BK161" s="279">
        <f t="shared" si="42"/>
        <v>1</v>
      </c>
      <c r="BL161" s="279">
        <f t="shared" si="43"/>
        <v>27</v>
      </c>
      <c r="BM161" s="279"/>
      <c r="BN161" s="279"/>
      <c r="BO161" s="2">
        <f t="shared" si="44"/>
        <v>27</v>
      </c>
      <c r="BP161" s="430"/>
      <c r="BQ161" s="431"/>
      <c r="BR161" s="2"/>
      <c r="BS161" s="25"/>
      <c r="BT161" s="348">
        <f t="shared" si="52"/>
        <v>1</v>
      </c>
      <c r="BU161" s="2"/>
      <c r="BV161" s="282">
        <f t="shared" si="50"/>
        <v>0</v>
      </c>
      <c r="BW161" s="279"/>
      <c r="BX161" s="269">
        <f t="shared" si="51"/>
        <v>0</v>
      </c>
      <c r="BY161" s="349" t="e">
        <f>#N/A</f>
        <v>#N/A</v>
      </c>
      <c r="BZ161" s="349" t="e">
        <f>#N/A</f>
        <v>#N/A</v>
      </c>
      <c r="CA161" s="349" t="e">
        <f>#N/A</f>
        <v>#N/A</v>
      </c>
      <c r="CB161" s="351" t="e">
        <f>#N/A</f>
        <v>#N/A</v>
      </c>
      <c r="CC161" s="349" t="e">
        <f t="shared" si="45"/>
        <v>#N/A</v>
      </c>
      <c r="CD161" s="14" t="e">
        <f t="shared" si="46"/>
        <v>#N/A</v>
      </c>
      <c r="CE161" s="14">
        <f t="shared" si="47"/>
        <v>27</v>
      </c>
      <c r="CF161" s="25">
        <f t="shared" si="48"/>
        <v>1</v>
      </c>
      <c r="CG161" s="270"/>
      <c r="CH161" s="2"/>
      <c r="CL161" s="349"/>
      <c r="CM161" s="349"/>
      <c r="CN161" s="349"/>
      <c r="CO161" s="349"/>
      <c r="CP161" s="349"/>
      <c r="CQ161" s="14"/>
      <c r="CY161" s="2"/>
    </row>
    <row r="162" spans="1:103" s="1" customFormat="1" ht="29.4" customHeight="1">
      <c r="A162" s="46">
        <v>156</v>
      </c>
      <c r="B162" s="46">
        <v>7</v>
      </c>
      <c r="C162" s="46">
        <v>281</v>
      </c>
      <c r="D162" s="48"/>
      <c r="E162" s="48"/>
      <c r="F162" s="46"/>
      <c r="G162" s="310">
        <v>0</v>
      </c>
      <c r="H162" s="310" t="s">
        <v>1991</v>
      </c>
      <c r="I162" s="310" t="s">
        <v>1991</v>
      </c>
      <c r="J162" s="310">
        <v>0</v>
      </c>
      <c r="K162" s="310" t="s">
        <v>1991</v>
      </c>
      <c r="L162" s="310" t="s">
        <v>1991</v>
      </c>
      <c r="M162" s="310" t="s">
        <v>1991</v>
      </c>
      <c r="N162" s="310" t="s">
        <v>1991</v>
      </c>
      <c r="O162" s="310">
        <v>0</v>
      </c>
      <c r="P162" s="310" t="s">
        <v>1991</v>
      </c>
      <c r="Q162" s="310" t="s">
        <v>1991</v>
      </c>
      <c r="R162" s="310" t="s">
        <v>1991</v>
      </c>
      <c r="S162" s="310" t="s">
        <v>1991</v>
      </c>
      <c r="T162" s="505" t="s">
        <v>1991</v>
      </c>
      <c r="U162" s="310" t="s">
        <v>1991</v>
      </c>
      <c r="V162" s="32" t="s">
        <v>1991</v>
      </c>
      <c r="W162" s="506" t="s">
        <v>1991</v>
      </c>
      <c r="X162" s="506" t="s">
        <v>1991</v>
      </c>
      <c r="Y162" s="506" t="s">
        <v>1991</v>
      </c>
      <c r="Z162" s="32" t="s">
        <v>1991</v>
      </c>
      <c r="AA162" s="32" t="s">
        <v>1991</v>
      </c>
      <c r="AB162" s="32" t="s">
        <v>1991</v>
      </c>
      <c r="AC162" s="32" t="s">
        <v>1991</v>
      </c>
      <c r="AD162" s="32" t="s">
        <v>1991</v>
      </c>
      <c r="AE162" s="506" t="s">
        <v>1991</v>
      </c>
      <c r="AF162" s="506" t="s">
        <v>1991</v>
      </c>
      <c r="AG162" s="32" t="s">
        <v>1991</v>
      </c>
      <c r="AH162" s="32" t="s">
        <v>1991</v>
      </c>
      <c r="AI162" s="32" t="s">
        <v>1991</v>
      </c>
      <c r="AJ162" s="32" t="s">
        <v>1991</v>
      </c>
      <c r="AK162" s="506" t="s">
        <v>1991</v>
      </c>
      <c r="AL162" s="327"/>
      <c r="AM162" s="327"/>
      <c r="AN162" s="327"/>
      <c r="AO162" s="327"/>
      <c r="AP162" s="327"/>
      <c r="AQ162" s="327"/>
      <c r="AR162" s="327"/>
      <c r="AS162" s="327"/>
      <c r="AT162" s="327"/>
      <c r="AU162" s="327"/>
      <c r="AV162" s="327"/>
      <c r="AW162" s="327"/>
      <c r="AX162" s="327"/>
      <c r="AY162" s="327"/>
      <c r="AZ162" s="327"/>
      <c r="BA162" s="327"/>
      <c r="BB162" s="46">
        <f t="shared" si="38"/>
        <v>12</v>
      </c>
      <c r="BC162" s="46">
        <f t="shared" si="39"/>
        <v>16</v>
      </c>
      <c r="BD162" s="46">
        <f t="shared" si="49"/>
        <v>0</v>
      </c>
      <c r="BE162" s="46">
        <f t="shared" si="40"/>
        <v>0</v>
      </c>
      <c r="BF162" s="296">
        <f t="shared" si="41"/>
        <v>28</v>
      </c>
      <c r="BG162" s="26"/>
      <c r="BH162" s="2"/>
      <c r="BI162" s="2"/>
      <c r="BJ162" s="2"/>
      <c r="BK162" s="279">
        <f t="shared" si="42"/>
        <v>1</v>
      </c>
      <c r="BL162" s="279">
        <f t="shared" si="43"/>
        <v>28</v>
      </c>
      <c r="BM162" s="279"/>
      <c r="BN162" s="279"/>
      <c r="BO162" s="2">
        <f t="shared" si="44"/>
        <v>28</v>
      </c>
      <c r="BP162" s="430"/>
      <c r="BQ162" s="431"/>
      <c r="BR162" s="2"/>
      <c r="BS162" s="25"/>
      <c r="BT162" s="348">
        <f t="shared" si="52"/>
        <v>1</v>
      </c>
      <c r="BU162" s="2"/>
      <c r="BV162" s="282">
        <f t="shared" si="50"/>
        <v>0</v>
      </c>
      <c r="BW162" s="279"/>
      <c r="BX162" s="269">
        <f t="shared" si="51"/>
        <v>0</v>
      </c>
      <c r="BY162" s="349" t="e">
        <f>#N/A</f>
        <v>#N/A</v>
      </c>
      <c r="BZ162" s="349" t="e">
        <f>#N/A</f>
        <v>#N/A</v>
      </c>
      <c r="CA162" s="349" t="e">
        <f>#N/A</f>
        <v>#N/A</v>
      </c>
      <c r="CB162" s="351" t="e">
        <f>#N/A</f>
        <v>#N/A</v>
      </c>
      <c r="CC162" s="349" t="e">
        <f t="shared" si="45"/>
        <v>#N/A</v>
      </c>
      <c r="CD162" s="14" t="e">
        <f t="shared" si="46"/>
        <v>#N/A</v>
      </c>
      <c r="CE162" s="14">
        <f t="shared" si="47"/>
        <v>28</v>
      </c>
      <c r="CF162" s="25">
        <f t="shared" si="48"/>
        <v>1</v>
      </c>
      <c r="CG162" s="270"/>
      <c r="CH162" s="2"/>
      <c r="CL162" s="349"/>
      <c r="CM162" s="349"/>
      <c r="CN162" s="349"/>
      <c r="CO162" s="349"/>
      <c r="CP162" s="349"/>
      <c r="CQ162" s="14"/>
      <c r="CY162" s="2"/>
    </row>
    <row r="163" spans="1:103" s="1" customFormat="1" ht="29.4" customHeight="1">
      <c r="A163" s="46">
        <v>157</v>
      </c>
      <c r="B163" s="46">
        <v>7</v>
      </c>
      <c r="C163" s="46">
        <v>282</v>
      </c>
      <c r="D163" s="48"/>
      <c r="E163" s="48"/>
      <c r="F163" s="46"/>
      <c r="G163" s="310">
        <v>0</v>
      </c>
      <c r="H163" s="310" t="s">
        <v>1991</v>
      </c>
      <c r="I163" s="310" t="s">
        <v>1991</v>
      </c>
      <c r="J163" s="310">
        <v>0</v>
      </c>
      <c r="K163" s="310" t="s">
        <v>1991</v>
      </c>
      <c r="L163" s="310" t="s">
        <v>1991</v>
      </c>
      <c r="M163" s="310" t="s">
        <v>1991</v>
      </c>
      <c r="N163" s="310" t="s">
        <v>1991</v>
      </c>
      <c r="O163" s="310">
        <v>0</v>
      </c>
      <c r="P163" s="310" t="s">
        <v>1991</v>
      </c>
      <c r="Q163" s="310" t="s">
        <v>1991</v>
      </c>
      <c r="R163" s="310" t="s">
        <v>1991</v>
      </c>
      <c r="S163" s="310" t="s">
        <v>1991</v>
      </c>
      <c r="T163" s="505" t="s">
        <v>1991</v>
      </c>
      <c r="U163" s="310" t="s">
        <v>1991</v>
      </c>
      <c r="V163" s="32" t="s">
        <v>1991</v>
      </c>
      <c r="W163" s="506" t="s">
        <v>1991</v>
      </c>
      <c r="X163" s="506" t="s">
        <v>1991</v>
      </c>
      <c r="Y163" s="506" t="s">
        <v>1991</v>
      </c>
      <c r="Z163" s="32" t="s">
        <v>1991</v>
      </c>
      <c r="AA163" s="32" t="s">
        <v>1991</v>
      </c>
      <c r="AB163" s="32" t="s">
        <v>1991</v>
      </c>
      <c r="AC163" s="32" t="s">
        <v>1991</v>
      </c>
      <c r="AD163" s="32" t="s">
        <v>1991</v>
      </c>
      <c r="AE163" s="506" t="s">
        <v>1991</v>
      </c>
      <c r="AF163" s="506" t="s">
        <v>1991</v>
      </c>
      <c r="AG163" s="32" t="s">
        <v>1991</v>
      </c>
      <c r="AH163" s="32" t="s">
        <v>1991</v>
      </c>
      <c r="AI163" s="32" t="s">
        <v>1991</v>
      </c>
      <c r="AJ163" s="32" t="s">
        <v>1991</v>
      </c>
      <c r="AK163" s="506" t="s">
        <v>1991</v>
      </c>
      <c r="AL163" s="327"/>
      <c r="AM163" s="327"/>
      <c r="AN163" s="327"/>
      <c r="AO163" s="327"/>
      <c r="AP163" s="327"/>
      <c r="AQ163" s="327"/>
      <c r="AR163" s="327"/>
      <c r="AS163" s="327"/>
      <c r="AT163" s="327"/>
      <c r="AU163" s="327"/>
      <c r="AV163" s="327"/>
      <c r="AW163" s="327"/>
      <c r="AX163" s="327"/>
      <c r="AY163" s="327"/>
      <c r="AZ163" s="327"/>
      <c r="BA163" s="327"/>
      <c r="BB163" s="46">
        <f t="shared" si="38"/>
        <v>12</v>
      </c>
      <c r="BC163" s="46">
        <f t="shared" si="39"/>
        <v>16</v>
      </c>
      <c r="BD163" s="46">
        <f t="shared" si="49"/>
        <v>0</v>
      </c>
      <c r="BE163" s="46">
        <f t="shared" si="40"/>
        <v>0</v>
      </c>
      <c r="BF163" s="296">
        <f t="shared" si="41"/>
        <v>28</v>
      </c>
      <c r="BG163" s="26"/>
      <c r="BH163" s="2"/>
      <c r="BI163" s="2"/>
      <c r="BJ163" s="2"/>
      <c r="BK163" s="279">
        <f t="shared" si="42"/>
        <v>1</v>
      </c>
      <c r="BL163" s="279">
        <f t="shared" si="43"/>
        <v>28</v>
      </c>
      <c r="BM163" s="279"/>
      <c r="BN163" s="279"/>
      <c r="BO163" s="2">
        <f t="shared" si="44"/>
        <v>28</v>
      </c>
      <c r="BP163" s="430"/>
      <c r="BQ163" s="431"/>
      <c r="BR163" s="2"/>
      <c r="BS163" s="25"/>
      <c r="BT163" s="348">
        <f t="shared" si="52"/>
        <v>1</v>
      </c>
      <c r="BU163" s="2"/>
      <c r="BV163" s="282">
        <f t="shared" si="50"/>
        <v>0</v>
      </c>
      <c r="BW163" s="279"/>
      <c r="BX163" s="269">
        <f t="shared" si="51"/>
        <v>0</v>
      </c>
      <c r="BY163" s="349" t="e">
        <f>#N/A</f>
        <v>#N/A</v>
      </c>
      <c r="BZ163" s="349" t="e">
        <f>#N/A</f>
        <v>#N/A</v>
      </c>
      <c r="CA163" s="349" t="e">
        <f>#N/A</f>
        <v>#N/A</v>
      </c>
      <c r="CB163" s="351" t="e">
        <f>#N/A</f>
        <v>#N/A</v>
      </c>
      <c r="CC163" s="349" t="e">
        <f t="shared" si="45"/>
        <v>#N/A</v>
      </c>
      <c r="CD163" s="14" t="e">
        <f t="shared" si="46"/>
        <v>#N/A</v>
      </c>
      <c r="CE163" s="14">
        <f t="shared" si="47"/>
        <v>28</v>
      </c>
      <c r="CF163" s="25">
        <f t="shared" si="48"/>
        <v>1</v>
      </c>
      <c r="CG163" s="270"/>
      <c r="CH163" s="2"/>
      <c r="CL163" s="349"/>
      <c r="CM163" s="349"/>
      <c r="CN163" s="349"/>
      <c r="CO163" s="349"/>
      <c r="CP163" s="349"/>
      <c r="CQ163" s="14"/>
      <c r="CY163" s="2"/>
    </row>
    <row r="164" spans="1:103" s="1" customFormat="1" ht="29.4" customHeight="1">
      <c r="A164" s="46">
        <v>158</v>
      </c>
      <c r="B164" s="46">
        <v>7</v>
      </c>
      <c r="C164" s="46">
        <v>283</v>
      </c>
      <c r="D164" s="48"/>
      <c r="E164" s="48"/>
      <c r="F164" s="46"/>
      <c r="G164" s="310" t="s">
        <v>1991</v>
      </c>
      <c r="H164" s="310" t="s">
        <v>1991</v>
      </c>
      <c r="I164" s="310" t="s">
        <v>1991</v>
      </c>
      <c r="J164" s="310">
        <v>0</v>
      </c>
      <c r="K164" s="310" t="s">
        <v>1991</v>
      </c>
      <c r="L164" s="310" t="s">
        <v>1991</v>
      </c>
      <c r="M164" s="310" t="s">
        <v>1991</v>
      </c>
      <c r="N164" s="310" t="s">
        <v>1991</v>
      </c>
      <c r="O164" s="310" t="s">
        <v>1991</v>
      </c>
      <c r="P164" s="310" t="s">
        <v>1991</v>
      </c>
      <c r="Q164" s="310" t="s">
        <v>1991</v>
      </c>
      <c r="R164" s="310" t="s">
        <v>1991</v>
      </c>
      <c r="S164" s="310" t="s">
        <v>1991</v>
      </c>
      <c r="T164" s="505" t="s">
        <v>1991</v>
      </c>
      <c r="U164" s="310" t="s">
        <v>1991</v>
      </c>
      <c r="V164" s="32" t="s">
        <v>1991</v>
      </c>
      <c r="W164" s="506" t="s">
        <v>1991</v>
      </c>
      <c r="X164" s="506" t="s">
        <v>1991</v>
      </c>
      <c r="Y164" s="506" t="s">
        <v>1991</v>
      </c>
      <c r="Z164" s="32" t="s">
        <v>1991</v>
      </c>
      <c r="AA164" s="32" t="s">
        <v>1991</v>
      </c>
      <c r="AB164" s="32" t="s">
        <v>1991</v>
      </c>
      <c r="AC164" s="32" t="s">
        <v>1991</v>
      </c>
      <c r="AD164" s="32" t="s">
        <v>1991</v>
      </c>
      <c r="AE164" s="506" t="s">
        <v>1991</v>
      </c>
      <c r="AF164" s="506" t="s">
        <v>1991</v>
      </c>
      <c r="AG164" s="32" t="s">
        <v>1991</v>
      </c>
      <c r="AH164" s="32" t="s">
        <v>1991</v>
      </c>
      <c r="AI164" s="32" t="s">
        <v>1991</v>
      </c>
      <c r="AJ164" s="32" t="s">
        <v>1991</v>
      </c>
      <c r="AK164" s="506" t="s">
        <v>1991</v>
      </c>
      <c r="AL164" s="327"/>
      <c r="AM164" s="327"/>
      <c r="AN164" s="327"/>
      <c r="AO164" s="327"/>
      <c r="AP164" s="327"/>
      <c r="AQ164" s="327"/>
      <c r="AR164" s="327"/>
      <c r="AS164" s="327"/>
      <c r="AT164" s="327"/>
      <c r="AU164" s="327"/>
      <c r="AV164" s="327"/>
      <c r="AW164" s="327"/>
      <c r="AX164" s="327"/>
      <c r="AY164" s="327"/>
      <c r="AZ164" s="327"/>
      <c r="BA164" s="327"/>
      <c r="BB164" s="46">
        <f t="shared" si="38"/>
        <v>14</v>
      </c>
      <c r="BC164" s="46">
        <f t="shared" si="39"/>
        <v>16</v>
      </c>
      <c r="BD164" s="46">
        <f t="shared" si="49"/>
        <v>0</v>
      </c>
      <c r="BE164" s="46">
        <f t="shared" si="40"/>
        <v>0</v>
      </c>
      <c r="BF164" s="296">
        <f t="shared" si="41"/>
        <v>30</v>
      </c>
      <c r="BG164" s="26"/>
      <c r="BH164" s="2"/>
      <c r="BI164" s="2"/>
      <c r="BJ164" s="2"/>
      <c r="BK164" s="279">
        <f t="shared" si="42"/>
        <v>1</v>
      </c>
      <c r="BL164" s="279">
        <f t="shared" si="43"/>
        <v>30</v>
      </c>
      <c r="BM164" s="279"/>
      <c r="BN164" s="279"/>
      <c r="BO164" s="2">
        <f t="shared" si="44"/>
        <v>30</v>
      </c>
      <c r="BP164" s="430"/>
      <c r="BQ164" s="431"/>
      <c r="BR164" s="2"/>
      <c r="BS164" s="25"/>
      <c r="BT164" s="348">
        <f t="shared" si="52"/>
        <v>1</v>
      </c>
      <c r="BU164" s="2"/>
      <c r="BV164" s="282">
        <f t="shared" si="50"/>
        <v>0</v>
      </c>
      <c r="BW164" s="279"/>
      <c r="BX164" s="269">
        <f t="shared" si="51"/>
        <v>0</v>
      </c>
      <c r="BY164" s="349" t="e">
        <f>#N/A</f>
        <v>#N/A</v>
      </c>
      <c r="BZ164" s="349" t="e">
        <f>#N/A</f>
        <v>#N/A</v>
      </c>
      <c r="CA164" s="349" t="e">
        <f>#N/A</f>
        <v>#N/A</v>
      </c>
      <c r="CB164" s="351" t="e">
        <f>#N/A</f>
        <v>#N/A</v>
      </c>
      <c r="CC164" s="349" t="e">
        <f t="shared" si="45"/>
        <v>#N/A</v>
      </c>
      <c r="CD164" s="14" t="e">
        <f t="shared" si="46"/>
        <v>#N/A</v>
      </c>
      <c r="CE164" s="14">
        <f t="shared" si="47"/>
        <v>30</v>
      </c>
      <c r="CF164" s="25">
        <f t="shared" si="48"/>
        <v>1</v>
      </c>
      <c r="CG164" s="270"/>
      <c r="CH164" s="2"/>
      <c r="CL164" s="349"/>
      <c r="CM164" s="349"/>
      <c r="CN164" s="349"/>
      <c r="CO164" s="349"/>
      <c r="CP164" s="349"/>
      <c r="CQ164" s="14"/>
      <c r="CY164" s="2"/>
    </row>
    <row r="165" spans="1:103" s="1" customFormat="1" ht="29.4" customHeight="1">
      <c r="A165" s="46">
        <v>159</v>
      </c>
      <c r="B165" s="46">
        <v>7</v>
      </c>
      <c r="C165" s="46">
        <v>284</v>
      </c>
      <c r="D165" s="48"/>
      <c r="E165" s="48"/>
      <c r="F165" s="46"/>
      <c r="G165" s="310">
        <v>0</v>
      </c>
      <c r="H165" s="310" t="s">
        <v>1991</v>
      </c>
      <c r="I165" s="310" t="s">
        <v>1991</v>
      </c>
      <c r="J165" s="310">
        <v>0</v>
      </c>
      <c r="K165" s="310" t="s">
        <v>1991</v>
      </c>
      <c r="L165" s="310" t="s">
        <v>1991</v>
      </c>
      <c r="M165" s="310" t="s">
        <v>1991</v>
      </c>
      <c r="N165" s="310">
        <v>0</v>
      </c>
      <c r="O165" s="310" t="s">
        <v>1991</v>
      </c>
      <c r="P165" s="310" t="s">
        <v>1991</v>
      </c>
      <c r="Q165" s="310" t="s">
        <v>1991</v>
      </c>
      <c r="R165" s="310" t="s">
        <v>1991</v>
      </c>
      <c r="S165" s="310" t="s">
        <v>1991</v>
      </c>
      <c r="T165" s="505" t="s">
        <v>1991</v>
      </c>
      <c r="U165" s="310" t="s">
        <v>1991</v>
      </c>
      <c r="V165" s="32" t="s">
        <v>1991</v>
      </c>
      <c r="W165" s="506" t="s">
        <v>1991</v>
      </c>
      <c r="X165" s="506" t="s">
        <v>1991</v>
      </c>
      <c r="Y165" s="506" t="s">
        <v>1991</v>
      </c>
      <c r="Z165" s="32" t="s">
        <v>1991</v>
      </c>
      <c r="AA165" s="32" t="s">
        <v>1991</v>
      </c>
      <c r="AB165" s="32" t="s">
        <v>1991</v>
      </c>
      <c r="AC165" s="32" t="s">
        <v>1991</v>
      </c>
      <c r="AD165" s="32" t="s">
        <v>1991</v>
      </c>
      <c r="AE165" s="506" t="s">
        <v>1991</v>
      </c>
      <c r="AF165" s="506" t="s">
        <v>1991</v>
      </c>
      <c r="AG165" s="32" t="s">
        <v>1991</v>
      </c>
      <c r="AH165" s="32" t="s">
        <v>1991</v>
      </c>
      <c r="AI165" s="32" t="s">
        <v>1991</v>
      </c>
      <c r="AJ165" s="32" t="s">
        <v>1991</v>
      </c>
      <c r="AK165" s="506" t="s">
        <v>1991</v>
      </c>
      <c r="AL165" s="327"/>
      <c r="AM165" s="327"/>
      <c r="AN165" s="327"/>
      <c r="AO165" s="327"/>
      <c r="AP165" s="327"/>
      <c r="AQ165" s="327"/>
      <c r="AR165" s="327"/>
      <c r="AS165" s="327"/>
      <c r="AT165" s="327"/>
      <c r="AU165" s="327"/>
      <c r="AV165" s="327"/>
      <c r="AW165" s="327"/>
      <c r="AX165" s="327"/>
      <c r="AY165" s="327"/>
      <c r="AZ165" s="327"/>
      <c r="BA165" s="327"/>
      <c r="BB165" s="46">
        <f t="shared" si="38"/>
        <v>12</v>
      </c>
      <c r="BC165" s="46">
        <f t="shared" si="39"/>
        <v>16</v>
      </c>
      <c r="BD165" s="46">
        <f t="shared" si="49"/>
        <v>0</v>
      </c>
      <c r="BE165" s="46">
        <f t="shared" si="40"/>
        <v>0</v>
      </c>
      <c r="BF165" s="296">
        <f t="shared" si="41"/>
        <v>28</v>
      </c>
      <c r="BG165" s="26"/>
      <c r="BH165" s="2"/>
      <c r="BI165" s="2"/>
      <c r="BJ165" s="2"/>
      <c r="BK165" s="279">
        <f t="shared" si="42"/>
        <v>1</v>
      </c>
      <c r="BL165" s="279">
        <f t="shared" si="43"/>
        <v>28</v>
      </c>
      <c r="BM165" s="279"/>
      <c r="BN165" s="279"/>
      <c r="BO165" s="2">
        <f t="shared" si="44"/>
        <v>28</v>
      </c>
      <c r="BP165" s="430"/>
      <c r="BQ165" s="431"/>
      <c r="BR165" s="2"/>
      <c r="BS165" s="25"/>
      <c r="BT165" s="348">
        <f t="shared" si="52"/>
        <v>1</v>
      </c>
      <c r="BU165" s="2"/>
      <c r="BV165" s="282">
        <f t="shared" si="50"/>
        <v>0</v>
      </c>
      <c r="BW165" s="279"/>
      <c r="BX165" s="269">
        <f t="shared" si="51"/>
        <v>0</v>
      </c>
      <c r="BY165" s="349" t="e">
        <f>#N/A</f>
        <v>#N/A</v>
      </c>
      <c r="BZ165" s="349" t="e">
        <f>#N/A</f>
        <v>#N/A</v>
      </c>
      <c r="CA165" s="349" t="e">
        <f>#N/A</f>
        <v>#N/A</v>
      </c>
      <c r="CB165" s="351" t="e">
        <f>#N/A</f>
        <v>#N/A</v>
      </c>
      <c r="CC165" s="349" t="e">
        <f t="shared" si="45"/>
        <v>#N/A</v>
      </c>
      <c r="CD165" s="14" t="e">
        <f t="shared" si="46"/>
        <v>#N/A</v>
      </c>
      <c r="CE165" s="14">
        <f t="shared" si="47"/>
        <v>28</v>
      </c>
      <c r="CF165" s="25">
        <f t="shared" si="48"/>
        <v>1</v>
      </c>
      <c r="CG165" s="270"/>
      <c r="CH165" s="2"/>
      <c r="CL165" s="349"/>
      <c r="CM165" s="349"/>
      <c r="CN165" s="349"/>
      <c r="CO165" s="349"/>
      <c r="CP165" s="349"/>
      <c r="CQ165" s="14"/>
      <c r="CY165" s="2"/>
    </row>
    <row r="166" spans="1:103" s="1" customFormat="1" ht="29.4" customHeight="1">
      <c r="A166" s="46">
        <v>160</v>
      </c>
      <c r="B166" s="46">
        <v>7</v>
      </c>
      <c r="C166" s="46">
        <v>285</v>
      </c>
      <c r="D166" s="48"/>
      <c r="E166" s="48"/>
      <c r="F166" s="46"/>
      <c r="G166" s="310" t="s">
        <v>1991</v>
      </c>
      <c r="H166" s="310" t="s">
        <v>1991</v>
      </c>
      <c r="I166" s="310" t="s">
        <v>1991</v>
      </c>
      <c r="J166" s="310">
        <v>0</v>
      </c>
      <c r="K166" s="310" t="s">
        <v>1991</v>
      </c>
      <c r="L166" s="310" t="s">
        <v>1991</v>
      </c>
      <c r="M166" s="310" t="s">
        <v>1991</v>
      </c>
      <c r="N166" s="310">
        <v>0</v>
      </c>
      <c r="O166" s="310">
        <v>0</v>
      </c>
      <c r="P166" s="310" t="s">
        <v>1991</v>
      </c>
      <c r="Q166" s="310" t="s">
        <v>1991</v>
      </c>
      <c r="R166" s="310" t="s">
        <v>1991</v>
      </c>
      <c r="S166" s="310" t="s">
        <v>1991</v>
      </c>
      <c r="T166" s="505" t="s">
        <v>1991</v>
      </c>
      <c r="U166" s="310" t="s">
        <v>1991</v>
      </c>
      <c r="V166" s="32" t="s">
        <v>1991</v>
      </c>
      <c r="W166" s="506" t="s">
        <v>1991</v>
      </c>
      <c r="X166" s="506" t="s">
        <v>1991</v>
      </c>
      <c r="Y166" s="506" t="s">
        <v>1991</v>
      </c>
      <c r="Z166" s="32" t="s">
        <v>1991</v>
      </c>
      <c r="AA166" s="32" t="s">
        <v>1991</v>
      </c>
      <c r="AB166" s="32" t="s">
        <v>1991</v>
      </c>
      <c r="AC166" s="32" t="s">
        <v>1991</v>
      </c>
      <c r="AD166" s="32" t="s">
        <v>1991</v>
      </c>
      <c r="AE166" s="506" t="s">
        <v>1991</v>
      </c>
      <c r="AF166" s="506" t="s">
        <v>1991</v>
      </c>
      <c r="AG166" s="32" t="s">
        <v>1991</v>
      </c>
      <c r="AH166" s="32" t="s">
        <v>1991</v>
      </c>
      <c r="AI166" s="32" t="s">
        <v>1991</v>
      </c>
      <c r="AJ166" s="32" t="s">
        <v>1991</v>
      </c>
      <c r="AK166" s="506" t="s">
        <v>1991</v>
      </c>
      <c r="AL166" s="327"/>
      <c r="AM166" s="327"/>
      <c r="AN166" s="327"/>
      <c r="AO166" s="327"/>
      <c r="AP166" s="327"/>
      <c r="AQ166" s="327"/>
      <c r="AR166" s="327"/>
      <c r="AS166" s="327"/>
      <c r="AT166" s="327"/>
      <c r="AU166" s="327"/>
      <c r="AV166" s="327"/>
      <c r="AW166" s="327"/>
      <c r="AX166" s="327"/>
      <c r="AY166" s="327"/>
      <c r="AZ166" s="327"/>
      <c r="BA166" s="327"/>
      <c r="BB166" s="46">
        <f t="shared" si="38"/>
        <v>12</v>
      </c>
      <c r="BC166" s="46">
        <f t="shared" si="39"/>
        <v>16</v>
      </c>
      <c r="BD166" s="46">
        <f t="shared" si="49"/>
        <v>0</v>
      </c>
      <c r="BE166" s="46">
        <f t="shared" si="40"/>
        <v>0</v>
      </c>
      <c r="BF166" s="296">
        <f t="shared" si="41"/>
        <v>28</v>
      </c>
      <c r="BG166" s="26"/>
      <c r="BH166" s="2"/>
      <c r="BI166" s="2"/>
      <c r="BJ166" s="2"/>
      <c r="BK166" s="279">
        <f t="shared" si="42"/>
        <v>1</v>
      </c>
      <c r="BL166" s="279">
        <f t="shared" si="43"/>
        <v>28</v>
      </c>
      <c r="BM166" s="279"/>
      <c r="BN166" s="279"/>
      <c r="BO166" s="2">
        <f t="shared" si="44"/>
        <v>28</v>
      </c>
      <c r="BP166" s="430"/>
      <c r="BQ166" s="431"/>
      <c r="BR166" s="2"/>
      <c r="BS166" s="25"/>
      <c r="BT166" s="348">
        <f t="shared" si="52"/>
        <v>1</v>
      </c>
      <c r="BU166" s="2"/>
      <c r="BV166" s="282">
        <f t="shared" si="50"/>
        <v>0</v>
      </c>
      <c r="BW166" s="279"/>
      <c r="BX166" s="269">
        <f t="shared" si="51"/>
        <v>0</v>
      </c>
      <c r="BY166" s="349" t="e">
        <f>#N/A</f>
        <v>#N/A</v>
      </c>
      <c r="BZ166" s="349" t="e">
        <f>#N/A</f>
        <v>#N/A</v>
      </c>
      <c r="CA166" s="349" t="e">
        <f>#N/A</f>
        <v>#N/A</v>
      </c>
      <c r="CB166" s="351" t="e">
        <f>#N/A</f>
        <v>#N/A</v>
      </c>
      <c r="CC166" s="349" t="e">
        <f t="shared" si="45"/>
        <v>#N/A</v>
      </c>
      <c r="CD166" s="14" t="e">
        <f t="shared" si="46"/>
        <v>#N/A</v>
      </c>
      <c r="CE166" s="14">
        <f t="shared" si="47"/>
        <v>28</v>
      </c>
      <c r="CF166" s="25">
        <f t="shared" si="48"/>
        <v>1</v>
      </c>
      <c r="CG166" s="270"/>
      <c r="CH166" s="2"/>
      <c r="CL166" s="349"/>
      <c r="CM166" s="349"/>
      <c r="CN166" s="349"/>
      <c r="CO166" s="349"/>
      <c r="CP166" s="349"/>
      <c r="CQ166" s="14"/>
      <c r="CY166" s="2"/>
    </row>
    <row r="167" spans="1:103" s="1" customFormat="1" ht="29.4" customHeight="1">
      <c r="A167" s="46">
        <v>161</v>
      </c>
      <c r="B167" s="46">
        <v>7</v>
      </c>
      <c r="C167" s="46">
        <v>286</v>
      </c>
      <c r="D167" s="48"/>
      <c r="E167" s="48"/>
      <c r="F167" s="46"/>
      <c r="G167" s="310" t="s">
        <v>1991</v>
      </c>
      <c r="H167" s="310" t="s">
        <v>1991</v>
      </c>
      <c r="I167" s="310" t="s">
        <v>1991</v>
      </c>
      <c r="J167" s="310">
        <v>0</v>
      </c>
      <c r="K167" s="310" t="s">
        <v>1991</v>
      </c>
      <c r="L167" s="310" t="s">
        <v>1991</v>
      </c>
      <c r="M167" s="310" t="s">
        <v>1991</v>
      </c>
      <c r="N167" s="310" t="s">
        <v>1991</v>
      </c>
      <c r="O167" s="310" t="s">
        <v>1991</v>
      </c>
      <c r="P167" s="310" t="s">
        <v>1991</v>
      </c>
      <c r="Q167" s="310" t="s">
        <v>1991</v>
      </c>
      <c r="R167" s="310" t="s">
        <v>1991</v>
      </c>
      <c r="S167" s="310" t="s">
        <v>1991</v>
      </c>
      <c r="T167" s="505" t="s">
        <v>1991</v>
      </c>
      <c r="U167" s="310" t="s">
        <v>1991</v>
      </c>
      <c r="V167" s="32" t="s">
        <v>1991</v>
      </c>
      <c r="W167" s="506" t="s">
        <v>1991</v>
      </c>
      <c r="X167" s="506" t="s">
        <v>1991</v>
      </c>
      <c r="Y167" s="506" t="s">
        <v>1991</v>
      </c>
      <c r="Z167" s="32" t="s">
        <v>1991</v>
      </c>
      <c r="AA167" s="32" t="s">
        <v>1991</v>
      </c>
      <c r="AB167" s="32" t="s">
        <v>1991</v>
      </c>
      <c r="AC167" s="32" t="s">
        <v>1991</v>
      </c>
      <c r="AD167" s="32" t="s">
        <v>1991</v>
      </c>
      <c r="AE167" s="506" t="s">
        <v>1991</v>
      </c>
      <c r="AF167" s="506" t="s">
        <v>1991</v>
      </c>
      <c r="AG167" s="32" t="s">
        <v>1991</v>
      </c>
      <c r="AH167" s="32" t="s">
        <v>1991</v>
      </c>
      <c r="AI167" s="32" t="s">
        <v>1991</v>
      </c>
      <c r="AJ167" s="32" t="s">
        <v>1991</v>
      </c>
      <c r="AK167" s="506">
        <v>0</v>
      </c>
      <c r="AL167" s="327"/>
      <c r="AM167" s="327"/>
      <c r="AN167" s="327"/>
      <c r="AO167" s="327"/>
      <c r="AP167" s="327"/>
      <c r="AQ167" s="327"/>
      <c r="AR167" s="327"/>
      <c r="AS167" s="327"/>
      <c r="AT167" s="327"/>
      <c r="AU167" s="327"/>
      <c r="AV167" s="327"/>
      <c r="AW167" s="327"/>
      <c r="AX167" s="327"/>
      <c r="AY167" s="327"/>
      <c r="AZ167" s="327"/>
      <c r="BA167" s="327"/>
      <c r="BB167" s="46">
        <f t="shared" si="38"/>
        <v>14</v>
      </c>
      <c r="BC167" s="46">
        <f t="shared" si="39"/>
        <v>15</v>
      </c>
      <c r="BD167" s="46">
        <f t="shared" si="49"/>
        <v>0</v>
      </c>
      <c r="BE167" s="46">
        <f t="shared" si="40"/>
        <v>0</v>
      </c>
      <c r="BF167" s="296">
        <f t="shared" si="41"/>
        <v>29</v>
      </c>
      <c r="BG167" s="26"/>
      <c r="BH167" s="2"/>
      <c r="BI167" s="2"/>
      <c r="BJ167" s="2"/>
      <c r="BK167" s="279">
        <f t="shared" si="42"/>
        <v>1</v>
      </c>
      <c r="BL167" s="279">
        <f t="shared" si="43"/>
        <v>29</v>
      </c>
      <c r="BM167" s="279"/>
      <c r="BN167" s="279"/>
      <c r="BO167" s="2">
        <f t="shared" si="44"/>
        <v>29</v>
      </c>
      <c r="BP167" s="430"/>
      <c r="BQ167" s="431"/>
      <c r="BR167" s="2"/>
      <c r="BS167" s="25"/>
      <c r="BT167" s="348">
        <f t="shared" si="52"/>
        <v>1</v>
      </c>
      <c r="BU167" s="2"/>
      <c r="BV167" s="282">
        <f t="shared" si="50"/>
        <v>0</v>
      </c>
      <c r="BW167" s="279"/>
      <c r="BX167" s="269">
        <f t="shared" si="51"/>
        <v>0</v>
      </c>
      <c r="BY167" s="349" t="e">
        <f>#N/A</f>
        <v>#N/A</v>
      </c>
      <c r="BZ167" s="349" t="e">
        <f>#N/A</f>
        <v>#N/A</v>
      </c>
      <c r="CA167" s="349" t="e">
        <f>#N/A</f>
        <v>#N/A</v>
      </c>
      <c r="CB167" s="351" t="e">
        <f>#N/A</f>
        <v>#N/A</v>
      </c>
      <c r="CC167" s="349" t="e">
        <f t="shared" si="45"/>
        <v>#N/A</v>
      </c>
      <c r="CD167" s="14" t="e">
        <f t="shared" si="46"/>
        <v>#N/A</v>
      </c>
      <c r="CE167" s="14">
        <f t="shared" si="47"/>
        <v>29</v>
      </c>
      <c r="CF167" s="25">
        <f t="shared" si="48"/>
        <v>1</v>
      </c>
      <c r="CG167" s="270"/>
      <c r="CH167" s="2"/>
      <c r="CL167" s="349"/>
      <c r="CM167" s="349"/>
      <c r="CN167" s="349"/>
      <c r="CO167" s="349"/>
      <c r="CP167" s="349"/>
      <c r="CQ167" s="14"/>
      <c r="CY167" s="2"/>
    </row>
    <row r="168" spans="1:103" s="1" customFormat="1" ht="29.4" customHeight="1">
      <c r="A168" s="46">
        <v>162</v>
      </c>
      <c r="B168" s="46">
        <v>7</v>
      </c>
      <c r="C168" s="46">
        <v>287</v>
      </c>
      <c r="D168" s="48"/>
      <c r="E168" s="48"/>
      <c r="F168" s="46"/>
      <c r="G168" s="310" t="s">
        <v>1991</v>
      </c>
      <c r="H168" s="310" t="s">
        <v>1991</v>
      </c>
      <c r="I168" s="310" t="s">
        <v>1991</v>
      </c>
      <c r="J168" s="310" t="s">
        <v>1991</v>
      </c>
      <c r="K168" s="310" t="s">
        <v>1991</v>
      </c>
      <c r="L168" s="310" t="s">
        <v>1991</v>
      </c>
      <c r="M168" s="310" t="s">
        <v>1991</v>
      </c>
      <c r="N168" s="310" t="s">
        <v>1991</v>
      </c>
      <c r="O168" s="310" t="s">
        <v>1991</v>
      </c>
      <c r="P168" s="310" t="s">
        <v>1991</v>
      </c>
      <c r="Q168" s="310" t="s">
        <v>1991</v>
      </c>
      <c r="R168" s="310" t="s">
        <v>1991</v>
      </c>
      <c r="S168" s="310" t="s">
        <v>1991</v>
      </c>
      <c r="T168" s="505" t="s">
        <v>1991</v>
      </c>
      <c r="U168" s="310" t="s">
        <v>1991</v>
      </c>
      <c r="V168" s="32" t="s">
        <v>1991</v>
      </c>
      <c r="W168" s="506" t="s">
        <v>1991</v>
      </c>
      <c r="X168" s="506" t="s">
        <v>1991</v>
      </c>
      <c r="Y168" s="506" t="s">
        <v>1991</v>
      </c>
      <c r="Z168" s="32" t="s">
        <v>1991</v>
      </c>
      <c r="AA168" s="32" t="s">
        <v>1991</v>
      </c>
      <c r="AB168" s="32">
        <v>0</v>
      </c>
      <c r="AC168" s="32" t="s">
        <v>1991</v>
      </c>
      <c r="AD168" s="32" t="s">
        <v>1991</v>
      </c>
      <c r="AE168" s="506" t="s">
        <v>1991</v>
      </c>
      <c r="AF168" s="506" t="s">
        <v>1991</v>
      </c>
      <c r="AG168" s="32" t="s">
        <v>1991</v>
      </c>
      <c r="AH168" s="32">
        <v>0</v>
      </c>
      <c r="AI168" s="32" t="s">
        <v>1991</v>
      </c>
      <c r="AJ168" s="32" t="s">
        <v>1991</v>
      </c>
      <c r="AK168" s="506" t="s">
        <v>1991</v>
      </c>
      <c r="AL168" s="327"/>
      <c r="AM168" s="327"/>
      <c r="AN168" s="327"/>
      <c r="AO168" s="327"/>
      <c r="AP168" s="327"/>
      <c r="AQ168" s="327"/>
      <c r="AR168" s="327"/>
      <c r="AS168" s="327"/>
      <c r="AT168" s="327"/>
      <c r="AU168" s="327"/>
      <c r="AV168" s="327"/>
      <c r="AW168" s="327"/>
      <c r="AX168" s="327"/>
      <c r="AY168" s="327"/>
      <c r="AZ168" s="327"/>
      <c r="BA168" s="327"/>
      <c r="BB168" s="46">
        <f t="shared" si="38"/>
        <v>15</v>
      </c>
      <c r="BC168" s="46">
        <f t="shared" si="39"/>
        <v>14</v>
      </c>
      <c r="BD168" s="46">
        <f t="shared" si="49"/>
        <v>0</v>
      </c>
      <c r="BE168" s="46">
        <f t="shared" si="40"/>
        <v>0</v>
      </c>
      <c r="BF168" s="296">
        <f t="shared" si="41"/>
        <v>29</v>
      </c>
      <c r="BG168" s="26"/>
      <c r="BH168" s="2"/>
      <c r="BI168" s="2"/>
      <c r="BJ168" s="2"/>
      <c r="BK168" s="279">
        <f t="shared" si="42"/>
        <v>1</v>
      </c>
      <c r="BL168" s="279">
        <f t="shared" si="43"/>
        <v>29</v>
      </c>
      <c r="BM168" s="279"/>
      <c r="BN168" s="279"/>
      <c r="BO168" s="2">
        <f t="shared" si="44"/>
        <v>29</v>
      </c>
      <c r="BP168" s="430"/>
      <c r="BQ168" s="431"/>
      <c r="BR168" s="2"/>
      <c r="BS168" s="25"/>
      <c r="BT168" s="348">
        <f t="shared" si="52"/>
        <v>1</v>
      </c>
      <c r="BU168" s="2"/>
      <c r="BV168" s="282">
        <f t="shared" si="50"/>
        <v>0</v>
      </c>
      <c r="BW168" s="279"/>
      <c r="BX168" s="269">
        <f t="shared" si="51"/>
        <v>0</v>
      </c>
      <c r="BY168" s="349" t="e">
        <f>#N/A</f>
        <v>#N/A</v>
      </c>
      <c r="BZ168" s="349" t="e">
        <f>#N/A</f>
        <v>#N/A</v>
      </c>
      <c r="CA168" s="349" t="e">
        <f>#N/A</f>
        <v>#N/A</v>
      </c>
      <c r="CB168" s="351" t="e">
        <f>#N/A</f>
        <v>#N/A</v>
      </c>
      <c r="CC168" s="349" t="e">
        <f t="shared" si="45"/>
        <v>#N/A</v>
      </c>
      <c r="CD168" s="14" t="e">
        <f t="shared" si="46"/>
        <v>#N/A</v>
      </c>
      <c r="CE168" s="14">
        <f t="shared" si="47"/>
        <v>29</v>
      </c>
      <c r="CF168" s="25">
        <f t="shared" si="48"/>
        <v>1</v>
      </c>
      <c r="CG168" s="270"/>
      <c r="CH168" s="2"/>
      <c r="CL168" s="349"/>
      <c r="CM168" s="349"/>
      <c r="CN168" s="349"/>
      <c r="CO168" s="349"/>
      <c r="CP168" s="349"/>
      <c r="CQ168" s="14"/>
      <c r="CY168" s="2"/>
    </row>
    <row r="169" spans="1:103" s="1" customFormat="1" ht="29.4" customHeight="1">
      <c r="A169" s="46">
        <v>163</v>
      </c>
      <c r="B169" s="46">
        <v>7</v>
      </c>
      <c r="C169" s="46">
        <v>288</v>
      </c>
      <c r="D169" s="48"/>
      <c r="E169" s="48"/>
      <c r="F169" s="46"/>
      <c r="G169" s="310">
        <v>0</v>
      </c>
      <c r="H169" s="310" t="s">
        <v>1991</v>
      </c>
      <c r="I169" s="310" t="s">
        <v>1991</v>
      </c>
      <c r="J169" s="310">
        <v>0</v>
      </c>
      <c r="K169" s="310" t="s">
        <v>1991</v>
      </c>
      <c r="L169" s="310" t="s">
        <v>1991</v>
      </c>
      <c r="M169" s="310">
        <v>0</v>
      </c>
      <c r="N169" s="310" t="s">
        <v>1991</v>
      </c>
      <c r="O169" s="310" t="s">
        <v>1991</v>
      </c>
      <c r="P169" s="310" t="s">
        <v>1991</v>
      </c>
      <c r="Q169" s="310" t="s">
        <v>1991</v>
      </c>
      <c r="R169" s="310" t="s">
        <v>1991</v>
      </c>
      <c r="S169" s="310" t="s">
        <v>1991</v>
      </c>
      <c r="T169" s="505" t="s">
        <v>1991</v>
      </c>
      <c r="U169" s="310" t="s">
        <v>1991</v>
      </c>
      <c r="V169" s="32" t="s">
        <v>1991</v>
      </c>
      <c r="W169" s="506" t="s">
        <v>1991</v>
      </c>
      <c r="X169" s="506" t="s">
        <v>1991</v>
      </c>
      <c r="Y169" s="506">
        <v>0</v>
      </c>
      <c r="Z169" s="32" t="s">
        <v>1991</v>
      </c>
      <c r="AA169" s="32" t="s">
        <v>1991</v>
      </c>
      <c r="AB169" s="32">
        <v>0</v>
      </c>
      <c r="AC169" s="32" t="s">
        <v>1991</v>
      </c>
      <c r="AD169" s="32" t="s">
        <v>1991</v>
      </c>
      <c r="AE169" s="506" t="s">
        <v>1991</v>
      </c>
      <c r="AF169" s="506" t="s">
        <v>1991</v>
      </c>
      <c r="AG169" s="32" t="s">
        <v>1991</v>
      </c>
      <c r="AH169" s="32" t="s">
        <v>1991</v>
      </c>
      <c r="AI169" s="32" t="s">
        <v>1991</v>
      </c>
      <c r="AJ169" s="32" t="s">
        <v>1991</v>
      </c>
      <c r="AK169" s="506" t="s">
        <v>1991</v>
      </c>
      <c r="AL169" s="327"/>
      <c r="AM169" s="327"/>
      <c r="AN169" s="327"/>
      <c r="AO169" s="327"/>
      <c r="AP169" s="327"/>
      <c r="AQ169" s="327"/>
      <c r="AR169" s="327"/>
      <c r="AS169" s="327"/>
      <c r="AT169" s="327"/>
      <c r="AU169" s="327"/>
      <c r="AV169" s="327"/>
      <c r="AW169" s="327"/>
      <c r="AX169" s="327"/>
      <c r="AY169" s="327"/>
      <c r="AZ169" s="327"/>
      <c r="BA169" s="327"/>
      <c r="BB169" s="46">
        <f t="shared" si="38"/>
        <v>12</v>
      </c>
      <c r="BC169" s="46">
        <f t="shared" si="39"/>
        <v>14</v>
      </c>
      <c r="BD169" s="46">
        <f t="shared" si="49"/>
        <v>0</v>
      </c>
      <c r="BE169" s="46">
        <f t="shared" si="40"/>
        <v>0</v>
      </c>
      <c r="BF169" s="296">
        <f t="shared" si="41"/>
        <v>26</v>
      </c>
      <c r="BG169" s="26"/>
      <c r="BH169" s="2"/>
      <c r="BI169" s="2"/>
      <c r="BJ169" s="2"/>
      <c r="BK169" s="279">
        <f t="shared" si="42"/>
        <v>1</v>
      </c>
      <c r="BL169" s="279">
        <f t="shared" si="43"/>
        <v>26</v>
      </c>
      <c r="BM169" s="279"/>
      <c r="BN169" s="279"/>
      <c r="BO169" s="2">
        <f t="shared" si="44"/>
        <v>26</v>
      </c>
      <c r="BP169" s="430"/>
      <c r="BQ169" s="431"/>
      <c r="BR169" s="2"/>
      <c r="BS169" s="25"/>
      <c r="BT169" s="348">
        <f t="shared" si="52"/>
        <v>1</v>
      </c>
      <c r="BU169" s="2"/>
      <c r="BV169" s="282">
        <f t="shared" si="50"/>
        <v>0</v>
      </c>
      <c r="BW169" s="279"/>
      <c r="BX169" s="269">
        <f t="shared" si="51"/>
        <v>0</v>
      </c>
      <c r="BY169" s="349" t="e">
        <f>#N/A</f>
        <v>#N/A</v>
      </c>
      <c r="BZ169" s="349" t="e">
        <f>#N/A</f>
        <v>#N/A</v>
      </c>
      <c r="CA169" s="349" t="e">
        <f>#N/A</f>
        <v>#N/A</v>
      </c>
      <c r="CB169" s="351" t="e">
        <f>#N/A</f>
        <v>#N/A</v>
      </c>
      <c r="CC169" s="349" t="e">
        <f t="shared" si="45"/>
        <v>#N/A</v>
      </c>
      <c r="CD169" s="14" t="e">
        <f t="shared" si="46"/>
        <v>#N/A</v>
      </c>
      <c r="CE169" s="14">
        <f t="shared" si="47"/>
        <v>26</v>
      </c>
      <c r="CF169" s="25">
        <f t="shared" si="48"/>
        <v>1</v>
      </c>
      <c r="CG169" s="270"/>
      <c r="CH169" s="2"/>
      <c r="CL169" s="349"/>
      <c r="CM169" s="349"/>
      <c r="CN169" s="349"/>
      <c r="CO169" s="349"/>
      <c r="CP169" s="349"/>
      <c r="CQ169" s="14"/>
      <c r="CY169" s="2"/>
    </row>
    <row r="170" spans="1:103" s="1" customFormat="1" ht="29.4" customHeight="1">
      <c r="A170" s="46">
        <v>164</v>
      </c>
      <c r="B170" s="46">
        <v>7</v>
      </c>
      <c r="C170" s="46">
        <v>289</v>
      </c>
      <c r="D170" s="48"/>
      <c r="E170" s="48"/>
      <c r="F170" s="46"/>
      <c r="G170" s="310">
        <v>0</v>
      </c>
      <c r="H170" s="310" t="s">
        <v>1991</v>
      </c>
      <c r="I170" s="310" t="s">
        <v>1991</v>
      </c>
      <c r="J170" s="310">
        <v>0</v>
      </c>
      <c r="K170" s="310" t="s">
        <v>1991</v>
      </c>
      <c r="L170" s="310" t="s">
        <v>1991</v>
      </c>
      <c r="M170" s="310">
        <v>0</v>
      </c>
      <c r="N170" s="310" t="s">
        <v>1991</v>
      </c>
      <c r="O170" s="310" t="s">
        <v>1991</v>
      </c>
      <c r="P170" s="310" t="s">
        <v>1991</v>
      </c>
      <c r="Q170" s="310" t="s">
        <v>1991</v>
      </c>
      <c r="R170" s="310" t="s">
        <v>1991</v>
      </c>
      <c r="S170" s="310" t="s">
        <v>1991</v>
      </c>
      <c r="T170" s="505" t="s">
        <v>1991</v>
      </c>
      <c r="U170" s="310" t="s">
        <v>1991</v>
      </c>
      <c r="V170" s="32" t="s">
        <v>1991</v>
      </c>
      <c r="W170" s="506" t="s">
        <v>1991</v>
      </c>
      <c r="X170" s="506" t="s">
        <v>1991</v>
      </c>
      <c r="Y170" s="506">
        <v>0</v>
      </c>
      <c r="Z170" s="32" t="s">
        <v>1991</v>
      </c>
      <c r="AA170" s="32" t="s">
        <v>1991</v>
      </c>
      <c r="AB170" s="32">
        <v>0</v>
      </c>
      <c r="AC170" s="32" t="s">
        <v>1991</v>
      </c>
      <c r="AD170" s="32" t="s">
        <v>1991</v>
      </c>
      <c r="AE170" s="506" t="s">
        <v>1991</v>
      </c>
      <c r="AF170" s="506" t="s">
        <v>1991</v>
      </c>
      <c r="AG170" s="32" t="s">
        <v>1991</v>
      </c>
      <c r="AH170" s="32" t="s">
        <v>1991</v>
      </c>
      <c r="AI170" s="32" t="s">
        <v>1991</v>
      </c>
      <c r="AJ170" s="32" t="s">
        <v>1991</v>
      </c>
      <c r="AK170" s="506" t="s">
        <v>1991</v>
      </c>
      <c r="AL170" s="327"/>
      <c r="AM170" s="327"/>
      <c r="AN170" s="327"/>
      <c r="AO170" s="327"/>
      <c r="AP170" s="327"/>
      <c r="AQ170" s="327"/>
      <c r="AR170" s="327"/>
      <c r="AS170" s="327"/>
      <c r="AT170" s="327"/>
      <c r="AU170" s="327"/>
      <c r="AV170" s="327"/>
      <c r="AW170" s="327"/>
      <c r="AX170" s="327"/>
      <c r="AY170" s="327"/>
      <c r="AZ170" s="327"/>
      <c r="BA170" s="327"/>
      <c r="BB170" s="46">
        <f t="shared" si="38"/>
        <v>12</v>
      </c>
      <c r="BC170" s="46">
        <f t="shared" si="39"/>
        <v>14</v>
      </c>
      <c r="BD170" s="46">
        <f t="shared" si="49"/>
        <v>0</v>
      </c>
      <c r="BE170" s="46">
        <f t="shared" si="40"/>
        <v>0</v>
      </c>
      <c r="BF170" s="296">
        <f t="shared" si="41"/>
        <v>26</v>
      </c>
      <c r="BG170" s="26"/>
      <c r="BH170" s="2"/>
      <c r="BI170" s="2"/>
      <c r="BJ170" s="2"/>
      <c r="BK170" s="279">
        <f t="shared" si="42"/>
        <v>1</v>
      </c>
      <c r="BL170" s="279">
        <f t="shared" si="43"/>
        <v>26</v>
      </c>
      <c r="BM170" s="279"/>
      <c r="BN170" s="279"/>
      <c r="BO170" s="2">
        <f t="shared" si="44"/>
        <v>26</v>
      </c>
      <c r="BP170" s="430"/>
      <c r="BQ170" s="431"/>
      <c r="BR170" s="2"/>
      <c r="BS170" s="25"/>
      <c r="BT170" s="348">
        <f t="shared" si="52"/>
        <v>1</v>
      </c>
      <c r="BU170" s="2"/>
      <c r="BV170" s="282">
        <f t="shared" si="50"/>
        <v>0</v>
      </c>
      <c r="BW170" s="279"/>
      <c r="BX170" s="269">
        <f t="shared" si="51"/>
        <v>0</v>
      </c>
      <c r="BY170" s="349" t="e">
        <f>#N/A</f>
        <v>#N/A</v>
      </c>
      <c r="BZ170" s="349" t="e">
        <f>#N/A</f>
        <v>#N/A</v>
      </c>
      <c r="CA170" s="349" t="e">
        <f>#N/A</f>
        <v>#N/A</v>
      </c>
      <c r="CB170" s="351" t="e">
        <f>#N/A</f>
        <v>#N/A</v>
      </c>
      <c r="CC170" s="349" t="e">
        <f t="shared" si="45"/>
        <v>#N/A</v>
      </c>
      <c r="CD170" s="14" t="e">
        <f t="shared" si="46"/>
        <v>#N/A</v>
      </c>
      <c r="CE170" s="14">
        <f t="shared" si="47"/>
        <v>26</v>
      </c>
      <c r="CF170" s="25">
        <f t="shared" si="48"/>
        <v>1</v>
      </c>
      <c r="CG170" s="270"/>
      <c r="CH170" s="2"/>
      <c r="CL170" s="349"/>
      <c r="CM170" s="349"/>
      <c r="CN170" s="349"/>
      <c r="CO170" s="349"/>
      <c r="CP170" s="349"/>
      <c r="CQ170" s="14"/>
      <c r="CY170" s="2"/>
    </row>
    <row r="171" spans="1:103" s="1" customFormat="1" ht="29.4" customHeight="1">
      <c r="A171" s="46">
        <v>165</v>
      </c>
      <c r="B171" s="46">
        <v>7</v>
      </c>
      <c r="C171" s="46">
        <v>290</v>
      </c>
      <c r="D171" s="48"/>
      <c r="E171" s="48"/>
      <c r="F171" s="46"/>
      <c r="G171" s="310" t="s">
        <v>1991</v>
      </c>
      <c r="H171" s="310">
        <v>0</v>
      </c>
      <c r="I171" s="310" t="s">
        <v>1991</v>
      </c>
      <c r="J171" s="310">
        <v>0</v>
      </c>
      <c r="K171" s="310" t="s">
        <v>1991</v>
      </c>
      <c r="L171" s="310" t="s">
        <v>1991</v>
      </c>
      <c r="M171" s="310" t="s">
        <v>1991</v>
      </c>
      <c r="N171" s="310" t="s">
        <v>1991</v>
      </c>
      <c r="O171" s="310">
        <v>0</v>
      </c>
      <c r="P171" s="310">
        <v>0</v>
      </c>
      <c r="Q171" s="310" t="s">
        <v>1991</v>
      </c>
      <c r="R171" s="310" t="s">
        <v>1991</v>
      </c>
      <c r="S171" s="310" t="s">
        <v>1991</v>
      </c>
      <c r="T171" s="505" t="s">
        <v>1991</v>
      </c>
      <c r="U171" s="310" t="s">
        <v>1991</v>
      </c>
      <c r="V171" s="32" t="s">
        <v>1991</v>
      </c>
      <c r="W171" s="506" t="s">
        <v>1991</v>
      </c>
      <c r="X171" s="506" t="s">
        <v>1991</v>
      </c>
      <c r="Y171" s="506" t="s">
        <v>1991</v>
      </c>
      <c r="Z171" s="32" t="s">
        <v>1991</v>
      </c>
      <c r="AA171" s="32">
        <v>0</v>
      </c>
      <c r="AB171" s="32" t="s">
        <v>1991</v>
      </c>
      <c r="AC171" s="32" t="s">
        <v>1991</v>
      </c>
      <c r="AD171" s="32" t="s">
        <v>1991</v>
      </c>
      <c r="AE171" s="506" t="s">
        <v>1991</v>
      </c>
      <c r="AF171" s="506">
        <v>0</v>
      </c>
      <c r="AG171" s="32" t="s">
        <v>1991</v>
      </c>
      <c r="AH171" s="32" t="s">
        <v>1991</v>
      </c>
      <c r="AI171" s="32" t="s">
        <v>1991</v>
      </c>
      <c r="AJ171" s="32" t="s">
        <v>1991</v>
      </c>
      <c r="AK171" s="506" t="s">
        <v>1991</v>
      </c>
      <c r="AL171" s="327"/>
      <c r="AM171" s="327"/>
      <c r="AN171" s="327"/>
      <c r="AO171" s="327"/>
      <c r="AP171" s="327"/>
      <c r="AQ171" s="327"/>
      <c r="AR171" s="327"/>
      <c r="AS171" s="327"/>
      <c r="AT171" s="327"/>
      <c r="AU171" s="327"/>
      <c r="AV171" s="327"/>
      <c r="AW171" s="327"/>
      <c r="AX171" s="327"/>
      <c r="AY171" s="327"/>
      <c r="AZ171" s="327"/>
      <c r="BA171" s="327"/>
      <c r="BB171" s="46">
        <f t="shared" si="38"/>
        <v>11</v>
      </c>
      <c r="BC171" s="46">
        <f t="shared" si="39"/>
        <v>14</v>
      </c>
      <c r="BD171" s="46">
        <f t="shared" si="49"/>
        <v>0</v>
      </c>
      <c r="BE171" s="46">
        <f t="shared" si="40"/>
        <v>0</v>
      </c>
      <c r="BF171" s="296">
        <f t="shared" si="41"/>
        <v>25</v>
      </c>
      <c r="BG171" s="26"/>
      <c r="BH171" s="2"/>
      <c r="BI171" s="2"/>
      <c r="BJ171" s="2"/>
      <c r="BK171" s="279">
        <f t="shared" si="42"/>
        <v>0</v>
      </c>
      <c r="BL171" s="279">
        <f t="shared" si="43"/>
        <v>25</v>
      </c>
      <c r="BM171" s="279"/>
      <c r="BN171" s="279"/>
      <c r="BO171" s="2">
        <f t="shared" si="44"/>
        <v>0</v>
      </c>
      <c r="BP171" s="430"/>
      <c r="BQ171" s="431"/>
      <c r="BR171" s="2"/>
      <c r="BS171" s="25"/>
      <c r="BT171" s="348">
        <f t="shared" si="52"/>
        <v>0</v>
      </c>
      <c r="BU171" s="2"/>
      <c r="BV171" s="282">
        <f t="shared" si="50"/>
        <v>0</v>
      </c>
      <c r="BW171" s="279"/>
      <c r="BX171" s="269">
        <f t="shared" si="51"/>
        <v>0</v>
      </c>
      <c r="BY171" s="349" t="e">
        <f>#N/A</f>
        <v>#N/A</v>
      </c>
      <c r="BZ171" s="349" t="e">
        <f>#N/A</f>
        <v>#N/A</v>
      </c>
      <c r="CA171" s="349" t="e">
        <f>#N/A</f>
        <v>#N/A</v>
      </c>
      <c r="CB171" s="351" t="e">
        <f>#N/A</f>
        <v>#N/A</v>
      </c>
      <c r="CC171" s="349" t="e">
        <f t="shared" si="45"/>
        <v>#N/A</v>
      </c>
      <c r="CD171" s="14" t="e">
        <f t="shared" si="46"/>
        <v>#N/A</v>
      </c>
      <c r="CE171" s="14">
        <f t="shared" si="47"/>
        <v>0</v>
      </c>
      <c r="CF171" s="25">
        <f t="shared" si="48"/>
        <v>0</v>
      </c>
      <c r="CG171" s="270"/>
      <c r="CH171" s="2"/>
      <c r="CL171" s="349"/>
      <c r="CM171" s="349"/>
      <c r="CN171" s="349"/>
      <c r="CO171" s="349"/>
      <c r="CP171" s="349"/>
      <c r="CQ171" s="14"/>
      <c r="CY171" s="2"/>
    </row>
    <row r="172" spans="1:103" s="1" customFormat="1" ht="29.4" customHeight="1">
      <c r="A172" s="46">
        <v>166</v>
      </c>
      <c r="B172" s="46">
        <v>7</v>
      </c>
      <c r="C172" s="46">
        <v>291</v>
      </c>
      <c r="D172" s="48"/>
      <c r="E172" s="48"/>
      <c r="F172" s="46"/>
      <c r="G172" s="310" t="s">
        <v>1991</v>
      </c>
      <c r="H172" s="310" t="s">
        <v>1991</v>
      </c>
      <c r="I172" s="310" t="s">
        <v>1991</v>
      </c>
      <c r="J172" s="310">
        <v>0</v>
      </c>
      <c r="K172" s="310" t="s">
        <v>1991</v>
      </c>
      <c r="L172" s="310">
        <v>0</v>
      </c>
      <c r="M172" s="310" t="s">
        <v>1991</v>
      </c>
      <c r="N172" s="310" t="s">
        <v>1991</v>
      </c>
      <c r="O172" s="310" t="s">
        <v>1991</v>
      </c>
      <c r="P172" s="310" t="s">
        <v>1991</v>
      </c>
      <c r="Q172" s="310" t="s">
        <v>1991</v>
      </c>
      <c r="R172" s="310" t="s">
        <v>1991</v>
      </c>
      <c r="S172" s="310" t="s">
        <v>1991</v>
      </c>
      <c r="T172" s="505" t="s">
        <v>1991</v>
      </c>
      <c r="U172" s="310" t="s">
        <v>1991</v>
      </c>
      <c r="V172" s="32" t="s">
        <v>1991</v>
      </c>
      <c r="W172" s="506" t="s">
        <v>1991</v>
      </c>
      <c r="X172" s="506" t="s">
        <v>1991</v>
      </c>
      <c r="Y172" s="506" t="s">
        <v>1991</v>
      </c>
      <c r="Z172" s="32" t="s">
        <v>1991</v>
      </c>
      <c r="AA172" s="32" t="s">
        <v>1991</v>
      </c>
      <c r="AB172" s="32" t="s">
        <v>1991</v>
      </c>
      <c r="AC172" s="32" t="s">
        <v>1991</v>
      </c>
      <c r="AD172" s="32" t="s">
        <v>1991</v>
      </c>
      <c r="AE172" s="506" t="s">
        <v>1991</v>
      </c>
      <c r="AF172" s="506" t="s">
        <v>1991</v>
      </c>
      <c r="AG172" s="32" t="s">
        <v>1991</v>
      </c>
      <c r="AH172" s="32" t="s">
        <v>1991</v>
      </c>
      <c r="AI172" s="32" t="s">
        <v>1991</v>
      </c>
      <c r="AJ172" s="32" t="s">
        <v>1991</v>
      </c>
      <c r="AK172" s="506" t="s">
        <v>1991</v>
      </c>
      <c r="AL172" s="327"/>
      <c r="AM172" s="327"/>
      <c r="AN172" s="327"/>
      <c r="AO172" s="327"/>
      <c r="AP172" s="327"/>
      <c r="AQ172" s="327"/>
      <c r="AR172" s="327"/>
      <c r="AS172" s="327"/>
      <c r="AT172" s="327"/>
      <c r="AU172" s="327"/>
      <c r="AV172" s="327"/>
      <c r="AW172" s="327"/>
      <c r="AX172" s="327"/>
      <c r="AY172" s="327"/>
      <c r="AZ172" s="327"/>
      <c r="BA172" s="327"/>
      <c r="BB172" s="46">
        <f t="shared" si="38"/>
        <v>13</v>
      </c>
      <c r="BC172" s="46">
        <f t="shared" si="39"/>
        <v>16</v>
      </c>
      <c r="BD172" s="46">
        <f t="shared" si="49"/>
        <v>0</v>
      </c>
      <c r="BE172" s="46">
        <f t="shared" si="40"/>
        <v>0</v>
      </c>
      <c r="BF172" s="296">
        <f t="shared" si="41"/>
        <v>29</v>
      </c>
      <c r="BG172" s="26"/>
      <c r="BH172" s="2"/>
      <c r="BI172" s="2"/>
      <c r="BJ172" s="2"/>
      <c r="BK172" s="279">
        <f t="shared" si="42"/>
        <v>1</v>
      </c>
      <c r="BL172" s="279">
        <f t="shared" si="43"/>
        <v>29</v>
      </c>
      <c r="BM172" s="279"/>
      <c r="BN172" s="279"/>
      <c r="BO172" s="2">
        <f t="shared" si="44"/>
        <v>29</v>
      </c>
      <c r="BP172" s="430"/>
      <c r="BQ172" s="431"/>
      <c r="BR172" s="2"/>
      <c r="BS172" s="25"/>
      <c r="BT172" s="348">
        <f t="shared" si="52"/>
        <v>1</v>
      </c>
      <c r="BU172" s="2"/>
      <c r="BV172" s="282">
        <f t="shared" si="50"/>
        <v>0</v>
      </c>
      <c r="BW172" s="279"/>
      <c r="BX172" s="269">
        <f t="shared" si="51"/>
        <v>0</v>
      </c>
      <c r="BY172" s="349" t="e">
        <f>#N/A</f>
        <v>#N/A</v>
      </c>
      <c r="BZ172" s="349" t="e">
        <f>#N/A</f>
        <v>#N/A</v>
      </c>
      <c r="CA172" s="349" t="e">
        <f>#N/A</f>
        <v>#N/A</v>
      </c>
      <c r="CB172" s="351" t="e">
        <f>#N/A</f>
        <v>#N/A</v>
      </c>
      <c r="CC172" s="349" t="e">
        <f t="shared" si="45"/>
        <v>#N/A</v>
      </c>
      <c r="CD172" s="14" t="e">
        <f t="shared" si="46"/>
        <v>#N/A</v>
      </c>
      <c r="CE172" s="14">
        <f t="shared" si="47"/>
        <v>29</v>
      </c>
      <c r="CF172" s="25">
        <f t="shared" si="48"/>
        <v>1</v>
      </c>
      <c r="CG172" s="270"/>
      <c r="CH172" s="2"/>
      <c r="CL172" s="349"/>
      <c r="CM172" s="349"/>
      <c r="CN172" s="349"/>
      <c r="CO172" s="349"/>
      <c r="CP172" s="349"/>
      <c r="CQ172" s="14"/>
      <c r="CY172" s="2"/>
    </row>
    <row r="173" spans="1:103" s="1" customFormat="1" ht="29.4" customHeight="1">
      <c r="A173" s="46">
        <v>167</v>
      </c>
      <c r="B173" s="46">
        <v>7</v>
      </c>
      <c r="C173" s="46">
        <v>292</v>
      </c>
      <c r="D173" s="48"/>
      <c r="E173" s="48"/>
      <c r="F173" s="46"/>
      <c r="G173" s="310">
        <v>0</v>
      </c>
      <c r="H173" s="310" t="s">
        <v>1991</v>
      </c>
      <c r="I173" s="310" t="s">
        <v>1991</v>
      </c>
      <c r="J173" s="310">
        <v>0</v>
      </c>
      <c r="K173" s="310" t="s">
        <v>1991</v>
      </c>
      <c r="L173" s="310" t="s">
        <v>1991</v>
      </c>
      <c r="M173" s="310" t="s">
        <v>1991</v>
      </c>
      <c r="N173" s="310" t="s">
        <v>1991</v>
      </c>
      <c r="O173" s="310">
        <v>0</v>
      </c>
      <c r="P173" s="310" t="s">
        <v>1991</v>
      </c>
      <c r="Q173" s="310" t="s">
        <v>1991</v>
      </c>
      <c r="R173" s="310" t="s">
        <v>1991</v>
      </c>
      <c r="S173" s="310" t="s">
        <v>1991</v>
      </c>
      <c r="T173" s="505" t="s">
        <v>1991</v>
      </c>
      <c r="U173" s="310" t="s">
        <v>1991</v>
      </c>
      <c r="V173" s="32" t="s">
        <v>1991</v>
      </c>
      <c r="W173" s="506" t="s">
        <v>1991</v>
      </c>
      <c r="X173" s="506" t="s">
        <v>1991</v>
      </c>
      <c r="Y173" s="506" t="s">
        <v>1991</v>
      </c>
      <c r="Z173" s="32" t="s">
        <v>1991</v>
      </c>
      <c r="AA173" s="32" t="s">
        <v>1991</v>
      </c>
      <c r="AB173" s="32">
        <v>0</v>
      </c>
      <c r="AC173" s="32" t="s">
        <v>1991</v>
      </c>
      <c r="AD173" s="32" t="s">
        <v>1991</v>
      </c>
      <c r="AE173" s="506" t="s">
        <v>1991</v>
      </c>
      <c r="AF173" s="506">
        <v>0</v>
      </c>
      <c r="AG173" s="32" t="s">
        <v>1991</v>
      </c>
      <c r="AH173" s="32" t="s">
        <v>1991</v>
      </c>
      <c r="AI173" s="32" t="s">
        <v>1991</v>
      </c>
      <c r="AJ173" s="32" t="s">
        <v>1991</v>
      </c>
      <c r="AK173" s="506" t="s">
        <v>1991</v>
      </c>
      <c r="AL173" s="327"/>
      <c r="AM173" s="327"/>
      <c r="AN173" s="327"/>
      <c r="AO173" s="327"/>
      <c r="AP173" s="327"/>
      <c r="AQ173" s="327"/>
      <c r="AR173" s="327"/>
      <c r="AS173" s="327"/>
      <c r="AT173" s="327"/>
      <c r="AU173" s="327"/>
      <c r="AV173" s="327"/>
      <c r="AW173" s="327"/>
      <c r="AX173" s="327"/>
      <c r="AY173" s="327"/>
      <c r="AZ173" s="327"/>
      <c r="BA173" s="327"/>
      <c r="BB173" s="46">
        <f t="shared" si="38"/>
        <v>12</v>
      </c>
      <c r="BC173" s="46">
        <f t="shared" si="39"/>
        <v>14</v>
      </c>
      <c r="BD173" s="46">
        <f t="shared" si="49"/>
        <v>0</v>
      </c>
      <c r="BE173" s="46">
        <f t="shared" si="40"/>
        <v>0</v>
      </c>
      <c r="BF173" s="296">
        <f t="shared" si="41"/>
        <v>26</v>
      </c>
      <c r="BG173" s="26"/>
      <c r="BH173" s="2"/>
      <c r="BI173" s="2"/>
      <c r="BJ173" s="2"/>
      <c r="BK173" s="279">
        <f t="shared" si="42"/>
        <v>1</v>
      </c>
      <c r="BL173" s="279">
        <f t="shared" si="43"/>
        <v>26</v>
      </c>
      <c r="BM173" s="279"/>
      <c r="BN173" s="279"/>
      <c r="BO173" s="2">
        <f t="shared" si="44"/>
        <v>26</v>
      </c>
      <c r="BP173" s="430"/>
      <c r="BQ173" s="431"/>
      <c r="BR173" s="2"/>
      <c r="BS173" s="25"/>
      <c r="BT173" s="348">
        <f t="shared" si="52"/>
        <v>1</v>
      </c>
      <c r="BU173" s="2"/>
      <c r="BV173" s="282">
        <f t="shared" si="50"/>
        <v>0</v>
      </c>
      <c r="BW173" s="279"/>
      <c r="BX173" s="269">
        <f t="shared" si="51"/>
        <v>0</v>
      </c>
      <c r="BY173" s="349" t="e">
        <f>#N/A</f>
        <v>#N/A</v>
      </c>
      <c r="BZ173" s="349" t="e">
        <f>#N/A</f>
        <v>#N/A</v>
      </c>
      <c r="CA173" s="349" t="e">
        <f>#N/A</f>
        <v>#N/A</v>
      </c>
      <c r="CB173" s="351" t="e">
        <f>#N/A</f>
        <v>#N/A</v>
      </c>
      <c r="CC173" s="349" t="e">
        <f t="shared" si="45"/>
        <v>#N/A</v>
      </c>
      <c r="CD173" s="14" t="e">
        <f t="shared" si="46"/>
        <v>#N/A</v>
      </c>
      <c r="CE173" s="14">
        <f t="shared" si="47"/>
        <v>26</v>
      </c>
      <c r="CF173" s="25">
        <f t="shared" si="48"/>
        <v>1</v>
      </c>
      <c r="CG173" s="270"/>
      <c r="CH173" s="2"/>
      <c r="CL173" s="349" t="e">
        <f>#N/A</f>
        <v>#N/A</v>
      </c>
      <c r="CM173" s="349" t="e">
        <f>#N/A</f>
        <v>#N/A</v>
      </c>
      <c r="CN173" s="349" t="e">
        <f>#N/A</f>
        <v>#N/A</v>
      </c>
      <c r="CO173" s="349" t="e">
        <f>#N/A</f>
        <v>#N/A</v>
      </c>
      <c r="CP173" s="349" t="e">
        <f>SUM(CL173:CO173)</f>
        <v>#N/A</v>
      </c>
      <c r="CQ173" s="14" t="e">
        <f>CP173-BC173</f>
        <v>#N/A</v>
      </c>
      <c r="CW173" s="1">
        <f t="shared" ref="CW173:CW191" si="53">BU173</f>
        <v>0</v>
      </c>
      <c r="CX173" s="1">
        <f t="shared" ref="CX173:CX191" si="54">BW173</f>
        <v>0</v>
      </c>
      <c r="CY173" s="2">
        <f t="shared" ref="CY173:CY190" si="55">IF(COUNT(CW173:CX173)=2,ROUND((CW173+CX173)/2,2),CW173)</f>
        <v>0</v>
      </c>
    </row>
    <row r="174" spans="1:103" s="303" customFormat="1" ht="29.4" customHeight="1">
      <c r="A174" s="1020" t="s">
        <v>1697</v>
      </c>
      <c r="B174" s="1021"/>
      <c r="C174" s="1022"/>
      <c r="D174" s="314"/>
      <c r="E174" s="314"/>
      <c r="F174" s="315"/>
      <c r="G174" s="316">
        <f>COUNTIF(G7:G173,"X")</f>
        <v>117</v>
      </c>
      <c r="H174" s="316">
        <f t="shared" ref="H174:BA174" si="56">COUNTIF(H7:H173,"X")</f>
        <v>145</v>
      </c>
      <c r="I174" s="316">
        <f t="shared" si="56"/>
        <v>163</v>
      </c>
      <c r="J174" s="316">
        <f t="shared" si="56"/>
        <v>58</v>
      </c>
      <c r="K174" s="316">
        <f t="shared" si="56"/>
        <v>153</v>
      </c>
      <c r="L174" s="316">
        <f t="shared" si="56"/>
        <v>150</v>
      </c>
      <c r="M174" s="316">
        <f t="shared" si="56"/>
        <v>146</v>
      </c>
      <c r="N174" s="316">
        <f t="shared" si="56"/>
        <v>150</v>
      </c>
      <c r="O174" s="316">
        <f t="shared" si="56"/>
        <v>154</v>
      </c>
      <c r="P174" s="316">
        <f t="shared" si="56"/>
        <v>156</v>
      </c>
      <c r="Q174" s="316">
        <f t="shared" si="56"/>
        <v>158</v>
      </c>
      <c r="R174" s="316">
        <f t="shared" si="56"/>
        <v>162</v>
      </c>
      <c r="S174" s="316">
        <f t="shared" si="56"/>
        <v>158</v>
      </c>
      <c r="T174" s="316">
        <f t="shared" si="56"/>
        <v>161</v>
      </c>
      <c r="U174" s="316">
        <f t="shared" si="56"/>
        <v>164</v>
      </c>
      <c r="V174" s="316">
        <f t="shared" si="56"/>
        <v>156</v>
      </c>
      <c r="W174" s="316">
        <f t="shared" si="56"/>
        <v>157</v>
      </c>
      <c r="X174" s="316">
        <f t="shared" si="56"/>
        <v>155</v>
      </c>
      <c r="Y174" s="316">
        <f t="shared" si="56"/>
        <v>158</v>
      </c>
      <c r="Z174" s="316">
        <f t="shared" si="56"/>
        <v>158</v>
      </c>
      <c r="AA174" s="316">
        <f t="shared" si="56"/>
        <v>155</v>
      </c>
      <c r="AB174" s="316">
        <f t="shared" si="56"/>
        <v>139</v>
      </c>
      <c r="AC174" s="316">
        <f t="shared" si="56"/>
        <v>154</v>
      </c>
      <c r="AD174" s="316">
        <f t="shared" si="56"/>
        <v>161</v>
      </c>
      <c r="AE174" s="316">
        <f t="shared" si="56"/>
        <v>156</v>
      </c>
      <c r="AF174" s="316">
        <f t="shared" si="56"/>
        <v>152</v>
      </c>
      <c r="AG174" s="316">
        <f t="shared" si="56"/>
        <v>156</v>
      </c>
      <c r="AH174" s="316">
        <f t="shared" si="56"/>
        <v>159</v>
      </c>
      <c r="AI174" s="316">
        <f t="shared" si="56"/>
        <v>156</v>
      </c>
      <c r="AJ174" s="316">
        <f t="shared" si="56"/>
        <v>155</v>
      </c>
      <c r="AK174" s="316">
        <f t="shared" si="56"/>
        <v>155</v>
      </c>
      <c r="AL174" s="316">
        <f t="shared" si="56"/>
        <v>0</v>
      </c>
      <c r="AM174" s="316">
        <f t="shared" si="56"/>
        <v>0</v>
      </c>
      <c r="AN174" s="316">
        <f t="shared" si="56"/>
        <v>74</v>
      </c>
      <c r="AO174" s="316">
        <f t="shared" si="56"/>
        <v>73</v>
      </c>
      <c r="AP174" s="316">
        <f t="shared" si="56"/>
        <v>45</v>
      </c>
      <c r="AQ174" s="316">
        <f t="shared" si="56"/>
        <v>0</v>
      </c>
      <c r="AR174" s="316">
        <f t="shared" si="56"/>
        <v>0</v>
      </c>
      <c r="AS174" s="316">
        <f t="shared" si="56"/>
        <v>75</v>
      </c>
      <c r="AT174" s="316">
        <f t="shared" si="56"/>
        <v>74</v>
      </c>
      <c r="AU174" s="316">
        <f t="shared" si="56"/>
        <v>0</v>
      </c>
      <c r="AV174" s="316">
        <f t="shared" si="56"/>
        <v>0</v>
      </c>
      <c r="AW174" s="316">
        <f t="shared" si="56"/>
        <v>0</v>
      </c>
      <c r="AX174" s="316">
        <f t="shared" si="56"/>
        <v>0</v>
      </c>
      <c r="AY174" s="316">
        <f t="shared" si="56"/>
        <v>0</v>
      </c>
      <c r="AZ174" s="316">
        <f t="shared" si="56"/>
        <v>0</v>
      </c>
      <c r="BA174" s="316">
        <f t="shared" si="56"/>
        <v>0</v>
      </c>
      <c r="BB174" s="402">
        <f>SUBTOTAL(9,BB7:BB173)</f>
        <v>2195</v>
      </c>
      <c r="BC174" s="402">
        <f t="shared" ref="BC174:BX174" si="57">SUBTOTAL(9,BC7:BC173)</f>
        <v>2482</v>
      </c>
      <c r="BD174" s="402">
        <f t="shared" si="57"/>
        <v>341</v>
      </c>
      <c r="BE174" s="402">
        <f t="shared" si="57"/>
        <v>0</v>
      </c>
      <c r="BF174" s="402">
        <f t="shared" si="57"/>
        <v>4677</v>
      </c>
      <c r="BG174" s="402">
        <f t="shared" si="57"/>
        <v>0</v>
      </c>
      <c r="BH174" s="402">
        <f t="shared" si="57"/>
        <v>0</v>
      </c>
      <c r="BI174" s="402">
        <f t="shared" si="57"/>
        <v>0</v>
      </c>
      <c r="BJ174" s="402">
        <f t="shared" si="57"/>
        <v>0</v>
      </c>
      <c r="BK174" s="402">
        <f t="shared" si="57"/>
        <v>147</v>
      </c>
      <c r="BL174" s="402">
        <f t="shared" si="57"/>
        <v>4677</v>
      </c>
      <c r="BM174" s="402">
        <f t="shared" si="57"/>
        <v>0</v>
      </c>
      <c r="BN174" s="402">
        <f t="shared" si="57"/>
        <v>0</v>
      </c>
      <c r="BO174" s="402">
        <f t="shared" si="57"/>
        <v>4227</v>
      </c>
      <c r="BP174" s="402">
        <f t="shared" si="57"/>
        <v>0</v>
      </c>
      <c r="BQ174" s="402">
        <f t="shared" si="57"/>
        <v>0</v>
      </c>
      <c r="BR174" s="402">
        <f t="shared" si="57"/>
        <v>0</v>
      </c>
      <c r="BS174" s="402">
        <f t="shared" si="57"/>
        <v>0</v>
      </c>
      <c r="BT174" s="402">
        <f t="shared" si="57"/>
        <v>147</v>
      </c>
      <c r="BU174" s="402">
        <f t="shared" si="57"/>
        <v>0</v>
      </c>
      <c r="BV174" s="402">
        <f t="shared" si="57"/>
        <v>0</v>
      </c>
      <c r="BW174" s="402">
        <f t="shared" si="57"/>
        <v>0</v>
      </c>
      <c r="BX174" s="402">
        <f t="shared" si="57"/>
        <v>0</v>
      </c>
      <c r="BY174" s="336" t="e">
        <f t="shared" ref="BY174:CD174" si="58">SUBTOTAL(9,BY7:BY173)</f>
        <v>#N/A</v>
      </c>
      <c r="BZ174" s="336" t="e">
        <f t="shared" si="58"/>
        <v>#N/A</v>
      </c>
      <c r="CA174" s="336" t="e">
        <f t="shared" si="58"/>
        <v>#N/A</v>
      </c>
      <c r="CB174" s="336" t="e">
        <f t="shared" si="58"/>
        <v>#N/A</v>
      </c>
      <c r="CC174" s="336" t="e">
        <f t="shared" si="58"/>
        <v>#N/A</v>
      </c>
      <c r="CD174" s="336" t="e">
        <f t="shared" si="58"/>
        <v>#N/A</v>
      </c>
      <c r="CE174" s="336"/>
      <c r="CF174" s="336">
        <f>SUBTOTAL(9,CF7:CF173)</f>
        <v>145</v>
      </c>
      <c r="CG174" s="352"/>
      <c r="CH174" s="102"/>
      <c r="CL174" s="355"/>
      <c r="CM174" s="355"/>
      <c r="CN174" s="355"/>
      <c r="CO174" s="355"/>
      <c r="CP174" s="355"/>
      <c r="CQ174" s="356"/>
      <c r="CW174" s="95">
        <f t="shared" si="53"/>
        <v>0</v>
      </c>
      <c r="CX174" s="95">
        <f t="shared" si="54"/>
        <v>0</v>
      </c>
      <c r="CY174" s="102">
        <f t="shared" si="55"/>
        <v>0</v>
      </c>
    </row>
    <row r="175" spans="1:103" s="1" customFormat="1" ht="29.4" customHeight="1">
      <c r="A175" s="46">
        <v>1</v>
      </c>
      <c r="B175" s="46">
        <v>2</v>
      </c>
      <c r="C175" s="46">
        <v>48</v>
      </c>
      <c r="D175" s="48"/>
      <c r="E175" s="48"/>
      <c r="F175" s="46"/>
      <c r="G175" s="317">
        <v>0</v>
      </c>
      <c r="H175" s="317" t="s">
        <v>1991</v>
      </c>
      <c r="I175" s="317" t="s">
        <v>1991</v>
      </c>
      <c r="J175" s="317"/>
      <c r="K175" s="317">
        <v>0</v>
      </c>
      <c r="L175" s="317">
        <v>0</v>
      </c>
      <c r="M175" s="317" t="s">
        <v>1991</v>
      </c>
      <c r="N175" s="317" t="s">
        <v>1991</v>
      </c>
      <c r="O175" s="317" t="s">
        <v>1991</v>
      </c>
      <c r="P175" s="317" t="s">
        <v>1991</v>
      </c>
      <c r="Q175" s="317" t="s">
        <v>1991</v>
      </c>
      <c r="R175" s="317" t="s">
        <v>1991</v>
      </c>
      <c r="S175" s="317" t="s">
        <v>1991</v>
      </c>
      <c r="T175" s="326" t="s">
        <v>1991</v>
      </c>
      <c r="U175" s="312" t="s">
        <v>1991</v>
      </c>
      <c r="V175" s="46" t="s">
        <v>1991</v>
      </c>
      <c r="W175" s="324" t="s">
        <v>1991</v>
      </c>
      <c r="X175" s="324" t="s">
        <v>1991</v>
      </c>
      <c r="Y175" s="324" t="s">
        <v>1991</v>
      </c>
      <c r="Z175" s="46" t="s">
        <v>1991</v>
      </c>
      <c r="AA175" s="46">
        <v>0</v>
      </c>
      <c r="AB175" s="46" t="s">
        <v>1991</v>
      </c>
      <c r="AC175" s="46" t="s">
        <v>1991</v>
      </c>
      <c r="AD175" s="46" t="s">
        <v>1991</v>
      </c>
      <c r="AE175" s="324" t="s">
        <v>1991</v>
      </c>
      <c r="AF175" s="324" t="s">
        <v>1991</v>
      </c>
      <c r="AG175" s="324" t="s">
        <v>1991</v>
      </c>
      <c r="AH175" s="324" t="s">
        <v>1991</v>
      </c>
      <c r="AI175" s="324" t="s">
        <v>1991</v>
      </c>
      <c r="AJ175" s="324" t="s">
        <v>1991</v>
      </c>
      <c r="AK175" s="324" t="s">
        <v>1991</v>
      </c>
      <c r="AL175" s="327"/>
      <c r="AM175" s="327"/>
      <c r="AN175" s="327"/>
      <c r="AO175" s="327"/>
      <c r="AP175" s="327"/>
      <c r="AQ175" s="327"/>
      <c r="AR175" s="327"/>
      <c r="AS175" s="327"/>
      <c r="AT175" s="327"/>
      <c r="AU175" s="327"/>
      <c r="AV175" s="327"/>
      <c r="AW175" s="327"/>
      <c r="AX175" s="327"/>
      <c r="AY175" s="327"/>
      <c r="AZ175" s="327"/>
      <c r="BA175" s="327"/>
      <c r="BB175" s="46">
        <f t="shared" ref="BB175:BB218" si="59">COUNTIF(G175:U175,"X")</f>
        <v>11</v>
      </c>
      <c r="BC175" s="46">
        <f>COUNTIF(V175:AK175,"X")</f>
        <v>15</v>
      </c>
      <c r="BD175" s="46">
        <f t="shared" si="49"/>
        <v>0</v>
      </c>
      <c r="BE175" s="46">
        <f t="shared" ref="BE175:BE191" si="60">COUNTIF(AU175:BA175,"x")</f>
        <v>0</v>
      </c>
      <c r="BF175" s="296">
        <f t="shared" ref="BF175:BF191" si="61">BB175+BC175</f>
        <v>26</v>
      </c>
      <c r="BG175" s="2"/>
      <c r="BH175" s="2"/>
      <c r="BI175" s="2"/>
      <c r="BJ175" s="2"/>
      <c r="BK175" s="279">
        <f>IF(BO175&gt;=26,1,0)</f>
        <v>1</v>
      </c>
      <c r="BL175" s="279">
        <f t="shared" ref="BL175:BL218" si="62">(BB175+BC175)</f>
        <v>26</v>
      </c>
      <c r="BM175" s="279"/>
      <c r="BN175" s="279"/>
      <c r="BO175" s="2">
        <f t="shared" ref="BO175:BO218" si="63">IF(BT175&gt;0,BF175,0)</f>
        <v>26</v>
      </c>
      <c r="BP175" s="430"/>
      <c r="BQ175" s="431"/>
      <c r="BR175" s="2"/>
      <c r="BS175" s="25"/>
      <c r="BT175" s="348">
        <f t="shared" ref="BT175:BT238" si="64">IF(BF175&gt;=26,1,0)</f>
        <v>1</v>
      </c>
      <c r="BU175" s="2"/>
      <c r="BV175" s="282">
        <f t="shared" ref="BV175:BV191" si="65">IF(AND(BU175&gt;0,BU175&lt;=1),50000,IF(AND(BU175&gt;1,BU175&lt;=3),40000,IF(AND(BU175&gt;3,BU175&lt;=5),20000,IF(AND(BU175&gt;5,BU175&lt;=9),0,IF(AND(BU175&gt;9,BU175&lt;=11),-20000,IF(AND(BU175&gt;11,BU175&lt;=13),-40000,IF(BU175&gt;13,-50000,0)))))))</f>
        <v>0</v>
      </c>
      <c r="BW175" s="279">
        <v>-20000</v>
      </c>
      <c r="BX175" s="269">
        <f t="shared" ref="BX175:BX192" si="66">IF(AND(BW175&gt;0,BW175&lt;=1),1.15,IF(AND(BW175&gt;1,BW175&lt;=3),1.1,IF(AND(BW175&gt;3,BW175&lt;=5),1.05,IF(AND(BW175&gt;5,BW175&lt;=9),1,IF(AND(BW175&gt;9,BW175&lt;=11),-0.05,IF(AND(BW175&gt;11,BW175&lt;=13),-0.1,IF(BW175&gt;13,-0.15,0)))))))</f>
        <v>0</v>
      </c>
      <c r="BY175" s="349" t="e">
        <f t="shared" ref="BY175:BY311" si="67">#N/A</f>
        <v>#N/A</v>
      </c>
      <c r="BZ175" s="349" t="e">
        <f t="shared" ref="BZ175:BZ311" si="68">#N/A</f>
        <v>#N/A</v>
      </c>
      <c r="CA175" s="349" t="e">
        <f t="shared" ref="CA175:CA311" si="69">#N/A</f>
        <v>#N/A</v>
      </c>
      <c r="CB175" s="349" t="e">
        <f t="shared" ref="CB175:CB311" si="70">#N/A</f>
        <v>#N/A</v>
      </c>
      <c r="CC175" s="349" t="e">
        <f t="shared" ref="CC175:CC191" si="71">SUM(BY175:CB175)</f>
        <v>#N/A</v>
      </c>
      <c r="CD175" s="14" t="e">
        <f t="shared" ref="CD175:CD218" si="72">CC175-BB175</f>
        <v>#N/A</v>
      </c>
      <c r="CE175" s="14">
        <f t="shared" ref="CE175:CE191" si="73">IF(CF175&gt;0,BF175,0)</f>
        <v>26</v>
      </c>
      <c r="CF175" s="25">
        <f t="shared" ref="CF175:CF218" si="74">IF(BF175&gt;=26,1,0)</f>
        <v>1</v>
      </c>
      <c r="CG175" s="270"/>
      <c r="CH175" s="2"/>
      <c r="CL175" s="349" t="e">
        <f>#N/A</f>
        <v>#N/A</v>
      </c>
      <c r="CM175" s="349" t="e">
        <f>#N/A</f>
        <v>#N/A</v>
      </c>
      <c r="CN175" s="349" t="e">
        <f>#N/A</f>
        <v>#N/A</v>
      </c>
      <c r="CO175" s="349" t="e">
        <f>#N/A</f>
        <v>#N/A</v>
      </c>
      <c r="CP175" s="349" t="e">
        <f t="shared" ref="CP175:CP192" si="75">SUM(CL175:CO175)</f>
        <v>#N/A</v>
      </c>
      <c r="CQ175" s="14" t="e">
        <f t="shared" ref="CQ175:CQ218" si="76">CP175-BC175</f>
        <v>#N/A</v>
      </c>
      <c r="CW175" s="1">
        <f t="shared" si="53"/>
        <v>0</v>
      </c>
      <c r="CX175" s="1">
        <f t="shared" si="54"/>
        <v>-20000</v>
      </c>
      <c r="CY175" s="2">
        <f t="shared" si="55"/>
        <v>-10000</v>
      </c>
    </row>
    <row r="176" spans="1:103" s="1" customFormat="1" ht="29.4" customHeight="1">
      <c r="A176" s="46">
        <v>2</v>
      </c>
      <c r="B176" s="46">
        <v>2</v>
      </c>
      <c r="C176" s="46">
        <v>49</v>
      </c>
      <c r="D176" s="48"/>
      <c r="E176" s="48"/>
      <c r="F176" s="46"/>
      <c r="G176" s="317">
        <v>0</v>
      </c>
      <c r="H176" s="317" t="s">
        <v>1991</v>
      </c>
      <c r="I176" s="317" t="s">
        <v>1991</v>
      </c>
      <c r="J176" s="317"/>
      <c r="K176" s="317">
        <v>0</v>
      </c>
      <c r="L176" s="317">
        <v>0</v>
      </c>
      <c r="M176" s="317" t="s">
        <v>1991</v>
      </c>
      <c r="N176" s="317" t="s">
        <v>1991</v>
      </c>
      <c r="O176" s="317" t="s">
        <v>1991</v>
      </c>
      <c r="P176" s="317" t="s">
        <v>1991</v>
      </c>
      <c r="Q176" s="317" t="s">
        <v>1991</v>
      </c>
      <c r="R176" s="317" t="s">
        <v>1991</v>
      </c>
      <c r="S176" s="317" t="s">
        <v>1991</v>
      </c>
      <c r="T176" s="326" t="s">
        <v>1991</v>
      </c>
      <c r="U176" s="312" t="s">
        <v>1991</v>
      </c>
      <c r="V176" s="46" t="s">
        <v>1991</v>
      </c>
      <c r="W176" s="324" t="s">
        <v>1991</v>
      </c>
      <c r="X176" s="324" t="s">
        <v>1991</v>
      </c>
      <c r="Y176" s="324" t="s">
        <v>1991</v>
      </c>
      <c r="Z176" s="46" t="s">
        <v>1991</v>
      </c>
      <c r="AA176" s="46">
        <v>0</v>
      </c>
      <c r="AB176" s="46" t="s">
        <v>1991</v>
      </c>
      <c r="AC176" s="46" t="s">
        <v>1991</v>
      </c>
      <c r="AD176" s="46" t="s">
        <v>1991</v>
      </c>
      <c r="AE176" s="324" t="s">
        <v>1991</v>
      </c>
      <c r="AF176" s="324" t="s">
        <v>1991</v>
      </c>
      <c r="AG176" s="324" t="s">
        <v>1991</v>
      </c>
      <c r="AH176" s="324" t="s">
        <v>1991</v>
      </c>
      <c r="AI176" s="324" t="s">
        <v>1991</v>
      </c>
      <c r="AJ176" s="324" t="s">
        <v>1991</v>
      </c>
      <c r="AK176" s="324" t="s">
        <v>1991</v>
      </c>
      <c r="AL176" s="327"/>
      <c r="AM176" s="327"/>
      <c r="AN176" s="327"/>
      <c r="AO176" s="327"/>
      <c r="AP176" s="327"/>
      <c r="AQ176" s="327"/>
      <c r="AR176" s="327"/>
      <c r="AS176" s="327"/>
      <c r="AT176" s="327"/>
      <c r="AU176" s="327"/>
      <c r="AV176" s="327"/>
      <c r="AW176" s="327"/>
      <c r="AX176" s="327"/>
      <c r="AY176" s="327"/>
      <c r="AZ176" s="327"/>
      <c r="BA176" s="327"/>
      <c r="BB176" s="46">
        <f t="shared" si="59"/>
        <v>11</v>
      </c>
      <c r="BC176" s="46">
        <f t="shared" ref="BC176:BC218" si="77">COUNTIF(V176:AK176,"X")</f>
        <v>15</v>
      </c>
      <c r="BD176" s="46">
        <f t="shared" si="49"/>
        <v>0</v>
      </c>
      <c r="BE176" s="46">
        <f t="shared" si="60"/>
        <v>0</v>
      </c>
      <c r="BF176" s="296">
        <f t="shared" si="61"/>
        <v>26</v>
      </c>
      <c r="BG176" s="2"/>
      <c r="BH176" s="2"/>
      <c r="BI176" s="2"/>
      <c r="BJ176" s="2"/>
      <c r="BK176" s="279">
        <f t="shared" ref="BK176:BK218" si="78">IF(BO176&gt;=26,1,0)</f>
        <v>1</v>
      </c>
      <c r="BL176" s="279">
        <f t="shared" si="62"/>
        <v>26</v>
      </c>
      <c r="BM176" s="279"/>
      <c r="BN176" s="279"/>
      <c r="BO176" s="2">
        <f t="shared" si="63"/>
        <v>26</v>
      </c>
      <c r="BP176" s="430"/>
      <c r="BQ176" s="431"/>
      <c r="BR176" s="2"/>
      <c r="BS176" s="25"/>
      <c r="BT176" s="348">
        <f t="shared" si="64"/>
        <v>1</v>
      </c>
      <c r="BU176" s="2"/>
      <c r="BV176" s="282">
        <f t="shared" si="65"/>
        <v>0</v>
      </c>
      <c r="BW176" s="279">
        <v>0</v>
      </c>
      <c r="BX176" s="269">
        <f t="shared" si="66"/>
        <v>0</v>
      </c>
      <c r="BY176" s="349" t="e">
        <f t="shared" si="67"/>
        <v>#N/A</v>
      </c>
      <c r="BZ176" s="349" t="e">
        <f t="shared" si="68"/>
        <v>#N/A</v>
      </c>
      <c r="CA176" s="349" t="e">
        <f t="shared" si="69"/>
        <v>#N/A</v>
      </c>
      <c r="CB176" s="349" t="e">
        <f t="shared" si="70"/>
        <v>#N/A</v>
      </c>
      <c r="CC176" s="349" t="e">
        <f t="shared" si="71"/>
        <v>#N/A</v>
      </c>
      <c r="CD176" s="14" t="e">
        <f t="shared" si="72"/>
        <v>#N/A</v>
      </c>
      <c r="CE176" s="14">
        <f t="shared" si="73"/>
        <v>26</v>
      </c>
      <c r="CF176" s="25">
        <f t="shared" si="74"/>
        <v>1</v>
      </c>
      <c r="CG176" s="270"/>
      <c r="CH176" s="2"/>
      <c r="CL176" s="349" t="e">
        <f>#N/A</f>
        <v>#N/A</v>
      </c>
      <c r="CM176" s="349" t="e">
        <f>#N/A</f>
        <v>#N/A</v>
      </c>
      <c r="CN176" s="349" t="e">
        <f>#N/A</f>
        <v>#N/A</v>
      </c>
      <c r="CO176" s="349" t="e">
        <f>#N/A</f>
        <v>#N/A</v>
      </c>
      <c r="CP176" s="349" t="e">
        <f t="shared" si="75"/>
        <v>#N/A</v>
      </c>
      <c r="CQ176" s="14" t="e">
        <f t="shared" si="76"/>
        <v>#N/A</v>
      </c>
      <c r="CW176" s="1">
        <f t="shared" si="53"/>
        <v>0</v>
      </c>
      <c r="CX176" s="1">
        <f t="shared" si="54"/>
        <v>0</v>
      </c>
      <c r="CY176" s="2">
        <f t="shared" si="55"/>
        <v>0</v>
      </c>
    </row>
    <row r="177" spans="1:103" s="1" customFormat="1" ht="29.4" customHeight="1">
      <c r="A177" s="46">
        <v>3</v>
      </c>
      <c r="B177" s="46">
        <v>2</v>
      </c>
      <c r="C177" s="46">
        <v>50</v>
      </c>
      <c r="D177" s="48"/>
      <c r="E177" s="48"/>
      <c r="F177" s="46"/>
      <c r="G177" s="317" t="s">
        <v>1991</v>
      </c>
      <c r="H177" s="317" t="s">
        <v>1991</v>
      </c>
      <c r="I177" s="317" t="s">
        <v>1991</v>
      </c>
      <c r="J177" s="317"/>
      <c r="K177" s="317">
        <v>0</v>
      </c>
      <c r="L177" s="317" t="s">
        <v>1991</v>
      </c>
      <c r="M177" s="317" t="s">
        <v>1991</v>
      </c>
      <c r="N177" s="317" t="s">
        <v>1991</v>
      </c>
      <c r="O177" s="317" t="s">
        <v>1991</v>
      </c>
      <c r="P177" s="317" t="s">
        <v>1991</v>
      </c>
      <c r="Q177" s="317" t="s">
        <v>1991</v>
      </c>
      <c r="R177" s="317" t="s">
        <v>1991</v>
      </c>
      <c r="S177" s="317" t="s">
        <v>1991</v>
      </c>
      <c r="T177" s="326" t="s">
        <v>1991</v>
      </c>
      <c r="U177" s="312" t="s">
        <v>1991</v>
      </c>
      <c r="V177" s="46" t="s">
        <v>1991</v>
      </c>
      <c r="W177" s="324" t="s">
        <v>1991</v>
      </c>
      <c r="X177" s="324" t="s">
        <v>1991</v>
      </c>
      <c r="Y177" s="324" t="s">
        <v>1991</v>
      </c>
      <c r="Z177" s="46" t="s">
        <v>1991</v>
      </c>
      <c r="AA177" s="46">
        <v>0</v>
      </c>
      <c r="AB177" s="46" t="s">
        <v>1991</v>
      </c>
      <c r="AC177" s="46" t="s">
        <v>1991</v>
      </c>
      <c r="AD177" s="46" t="s">
        <v>1991</v>
      </c>
      <c r="AE177" s="324" t="s">
        <v>1991</v>
      </c>
      <c r="AF177" s="324" t="s">
        <v>1991</v>
      </c>
      <c r="AG177" s="324" t="s">
        <v>1991</v>
      </c>
      <c r="AH177" s="324" t="s">
        <v>1991</v>
      </c>
      <c r="AI177" s="324" t="s">
        <v>1991</v>
      </c>
      <c r="AJ177" s="324" t="s">
        <v>1991</v>
      </c>
      <c r="AK177" s="324" t="s">
        <v>1991</v>
      </c>
      <c r="AL177" s="327"/>
      <c r="AM177" s="327"/>
      <c r="AN177" s="327"/>
      <c r="AO177" s="327"/>
      <c r="AP177" s="327"/>
      <c r="AQ177" s="327"/>
      <c r="AR177" s="327"/>
      <c r="AS177" s="327" t="s">
        <v>1991</v>
      </c>
      <c r="AT177" s="327"/>
      <c r="AU177" s="327"/>
      <c r="AV177" s="327"/>
      <c r="AW177" s="327"/>
      <c r="AX177" s="327"/>
      <c r="AY177" s="327"/>
      <c r="AZ177" s="327"/>
      <c r="BA177" s="327"/>
      <c r="BB177" s="46">
        <f t="shared" si="59"/>
        <v>13</v>
      </c>
      <c r="BC177" s="46">
        <f t="shared" si="77"/>
        <v>15</v>
      </c>
      <c r="BD177" s="46">
        <f t="shared" si="49"/>
        <v>1</v>
      </c>
      <c r="BE177" s="46">
        <f t="shared" si="60"/>
        <v>0</v>
      </c>
      <c r="BF177" s="296">
        <f t="shared" si="61"/>
        <v>28</v>
      </c>
      <c r="BG177" s="2"/>
      <c r="BH177" s="2"/>
      <c r="BI177" s="2"/>
      <c r="BJ177" s="2"/>
      <c r="BK177" s="279">
        <f t="shared" si="78"/>
        <v>1</v>
      </c>
      <c r="BL177" s="279">
        <f t="shared" si="62"/>
        <v>28</v>
      </c>
      <c r="BM177" s="279"/>
      <c r="BN177" s="279"/>
      <c r="BO177" s="2">
        <f t="shared" si="63"/>
        <v>28</v>
      </c>
      <c r="BP177" s="430"/>
      <c r="BQ177" s="431"/>
      <c r="BR177" s="2"/>
      <c r="BS177" s="25"/>
      <c r="BT177" s="348">
        <f t="shared" si="64"/>
        <v>1</v>
      </c>
      <c r="BU177" s="2"/>
      <c r="BV177" s="282">
        <f t="shared" si="65"/>
        <v>0</v>
      </c>
      <c r="BW177" s="279">
        <v>0</v>
      </c>
      <c r="BX177" s="269">
        <f t="shared" si="66"/>
        <v>0</v>
      </c>
      <c r="BY177" s="349" t="e">
        <f t="shared" si="67"/>
        <v>#N/A</v>
      </c>
      <c r="BZ177" s="349" t="e">
        <f t="shared" si="68"/>
        <v>#N/A</v>
      </c>
      <c r="CA177" s="349" t="e">
        <f t="shared" si="69"/>
        <v>#N/A</v>
      </c>
      <c r="CB177" s="349" t="e">
        <f t="shared" si="70"/>
        <v>#N/A</v>
      </c>
      <c r="CC177" s="349" t="e">
        <f t="shared" si="71"/>
        <v>#N/A</v>
      </c>
      <c r="CD177" s="14" t="e">
        <f t="shared" si="72"/>
        <v>#N/A</v>
      </c>
      <c r="CE177" s="14">
        <f t="shared" si="73"/>
        <v>28</v>
      </c>
      <c r="CF177" s="25">
        <f t="shared" si="74"/>
        <v>1</v>
      </c>
      <c r="CG177" s="270"/>
      <c r="CH177" s="2"/>
      <c r="CL177" s="349" t="e">
        <f>#N/A</f>
        <v>#N/A</v>
      </c>
      <c r="CM177" s="349" t="e">
        <f>#N/A</f>
        <v>#N/A</v>
      </c>
      <c r="CN177" s="349" t="e">
        <f>#N/A</f>
        <v>#N/A</v>
      </c>
      <c r="CO177" s="349" t="e">
        <f>#N/A</f>
        <v>#N/A</v>
      </c>
      <c r="CP177" s="349" t="e">
        <f t="shared" si="75"/>
        <v>#N/A</v>
      </c>
      <c r="CQ177" s="14" t="e">
        <f t="shared" si="76"/>
        <v>#N/A</v>
      </c>
      <c r="CW177" s="1">
        <f t="shared" si="53"/>
        <v>0</v>
      </c>
      <c r="CX177" s="1">
        <f t="shared" si="54"/>
        <v>0</v>
      </c>
      <c r="CY177" s="2">
        <f t="shared" si="55"/>
        <v>0</v>
      </c>
    </row>
    <row r="178" spans="1:103" s="1" customFormat="1" ht="29.4" customHeight="1">
      <c r="A178" s="46">
        <v>4</v>
      </c>
      <c r="B178" s="46">
        <v>2</v>
      </c>
      <c r="C178" s="46">
        <v>51</v>
      </c>
      <c r="D178" s="48"/>
      <c r="E178" s="48"/>
      <c r="F178" s="46"/>
      <c r="G178" s="317" t="s">
        <v>1991</v>
      </c>
      <c r="H178" s="317" t="s">
        <v>1991</v>
      </c>
      <c r="I178" s="317" t="s">
        <v>1991</v>
      </c>
      <c r="J178" s="317"/>
      <c r="K178" s="317">
        <v>0</v>
      </c>
      <c r="L178" s="317" t="s">
        <v>1991</v>
      </c>
      <c r="M178" s="317" t="s">
        <v>1991</v>
      </c>
      <c r="N178" s="317" t="s">
        <v>1991</v>
      </c>
      <c r="O178" s="317" t="s">
        <v>1991</v>
      </c>
      <c r="P178" s="317" t="s">
        <v>1991</v>
      </c>
      <c r="Q178" s="317" t="s">
        <v>1991</v>
      </c>
      <c r="R178" s="317" t="s">
        <v>1991</v>
      </c>
      <c r="S178" s="317" t="s">
        <v>1991</v>
      </c>
      <c r="T178" s="326" t="s">
        <v>1991</v>
      </c>
      <c r="U178" s="312" t="s">
        <v>1991</v>
      </c>
      <c r="V178" s="46" t="s">
        <v>1991</v>
      </c>
      <c r="W178" s="324" t="s">
        <v>1991</v>
      </c>
      <c r="X178" s="324" t="s">
        <v>1991</v>
      </c>
      <c r="Y178" s="324" t="s">
        <v>1991</v>
      </c>
      <c r="Z178" s="46" t="s">
        <v>1991</v>
      </c>
      <c r="AA178" s="46">
        <v>0</v>
      </c>
      <c r="AB178" s="46" t="s">
        <v>1991</v>
      </c>
      <c r="AC178" s="46" t="s">
        <v>1991</v>
      </c>
      <c r="AD178" s="46" t="s">
        <v>1991</v>
      </c>
      <c r="AE178" s="324" t="s">
        <v>1991</v>
      </c>
      <c r="AF178" s="324" t="s">
        <v>1991</v>
      </c>
      <c r="AG178" s="324" t="s">
        <v>1991</v>
      </c>
      <c r="AH178" s="324" t="s">
        <v>1991</v>
      </c>
      <c r="AI178" s="324" t="s">
        <v>1991</v>
      </c>
      <c r="AJ178" s="324" t="s">
        <v>1991</v>
      </c>
      <c r="AK178" s="324" t="s">
        <v>1991</v>
      </c>
      <c r="AL178" s="327"/>
      <c r="AM178" s="327"/>
      <c r="AN178" s="327"/>
      <c r="AO178" s="327"/>
      <c r="AP178" s="327"/>
      <c r="AQ178" s="327"/>
      <c r="AR178" s="327"/>
      <c r="AS178" s="327"/>
      <c r="AT178" s="327"/>
      <c r="AU178" s="327"/>
      <c r="AV178" s="327"/>
      <c r="AW178" s="327"/>
      <c r="AX178" s="327"/>
      <c r="AY178" s="327"/>
      <c r="AZ178" s="327"/>
      <c r="BA178" s="327"/>
      <c r="BB178" s="46">
        <f t="shared" si="59"/>
        <v>13</v>
      </c>
      <c r="BC178" s="46">
        <f t="shared" si="77"/>
        <v>15</v>
      </c>
      <c r="BD178" s="46">
        <f t="shared" si="49"/>
        <v>0</v>
      </c>
      <c r="BE178" s="46">
        <f t="shared" si="60"/>
        <v>0</v>
      </c>
      <c r="BF178" s="296">
        <f t="shared" si="61"/>
        <v>28</v>
      </c>
      <c r="BG178" s="2"/>
      <c r="BH178" s="2"/>
      <c r="BI178" s="2"/>
      <c r="BJ178" s="2"/>
      <c r="BK178" s="279">
        <f t="shared" si="78"/>
        <v>1</v>
      </c>
      <c r="BL178" s="279">
        <f t="shared" si="62"/>
        <v>28</v>
      </c>
      <c r="BM178" s="279"/>
      <c r="BN178" s="279"/>
      <c r="BO178" s="2">
        <f t="shared" si="63"/>
        <v>28</v>
      </c>
      <c r="BP178" s="430"/>
      <c r="BQ178" s="431"/>
      <c r="BR178" s="2"/>
      <c r="BS178" s="25"/>
      <c r="BT178" s="348">
        <f t="shared" si="64"/>
        <v>1</v>
      </c>
      <c r="BU178" s="2"/>
      <c r="BV178" s="282">
        <f t="shared" si="65"/>
        <v>0</v>
      </c>
      <c r="BW178" s="279">
        <v>0</v>
      </c>
      <c r="BX178" s="269">
        <f t="shared" si="66"/>
        <v>0</v>
      </c>
      <c r="BY178" s="349" t="e">
        <f t="shared" si="67"/>
        <v>#N/A</v>
      </c>
      <c r="BZ178" s="349" t="e">
        <f t="shared" si="68"/>
        <v>#N/A</v>
      </c>
      <c r="CA178" s="349" t="e">
        <f t="shared" si="69"/>
        <v>#N/A</v>
      </c>
      <c r="CB178" s="349" t="e">
        <f t="shared" si="70"/>
        <v>#N/A</v>
      </c>
      <c r="CC178" s="349" t="e">
        <f t="shared" si="71"/>
        <v>#N/A</v>
      </c>
      <c r="CD178" s="14" t="e">
        <f t="shared" si="72"/>
        <v>#N/A</v>
      </c>
      <c r="CE178" s="14">
        <f t="shared" si="73"/>
        <v>28</v>
      </c>
      <c r="CF178" s="25">
        <f t="shared" si="74"/>
        <v>1</v>
      </c>
      <c r="CG178" s="270"/>
      <c r="CH178" s="2"/>
      <c r="CL178" s="349" t="e">
        <f>#N/A</f>
        <v>#N/A</v>
      </c>
      <c r="CM178" s="349" t="e">
        <f>#N/A</f>
        <v>#N/A</v>
      </c>
      <c r="CN178" s="349" t="e">
        <f>#N/A</f>
        <v>#N/A</v>
      </c>
      <c r="CO178" s="349" t="e">
        <f>#N/A</f>
        <v>#N/A</v>
      </c>
      <c r="CP178" s="349" t="e">
        <f t="shared" si="75"/>
        <v>#N/A</v>
      </c>
      <c r="CQ178" s="14" t="e">
        <f t="shared" si="76"/>
        <v>#N/A</v>
      </c>
      <c r="CW178" s="1">
        <f t="shared" si="53"/>
        <v>0</v>
      </c>
      <c r="CX178" s="1">
        <f t="shared" si="54"/>
        <v>0</v>
      </c>
      <c r="CY178" s="2">
        <f t="shared" si="55"/>
        <v>0</v>
      </c>
    </row>
    <row r="179" spans="1:103" s="1" customFormat="1" ht="29.4" customHeight="1">
      <c r="A179" s="46">
        <v>5</v>
      </c>
      <c r="B179" s="46">
        <v>2</v>
      </c>
      <c r="C179" s="46">
        <v>52</v>
      </c>
      <c r="D179" s="48"/>
      <c r="E179" s="48"/>
      <c r="F179" s="46"/>
      <c r="G179" s="317" t="s">
        <v>1991</v>
      </c>
      <c r="H179" s="317" t="s">
        <v>1991</v>
      </c>
      <c r="I179" s="317" t="s">
        <v>1991</v>
      </c>
      <c r="J179" s="317"/>
      <c r="K179" s="317">
        <v>0</v>
      </c>
      <c r="L179" s="317">
        <v>0</v>
      </c>
      <c r="M179" s="317" t="s">
        <v>1991</v>
      </c>
      <c r="N179" s="317" t="s">
        <v>1991</v>
      </c>
      <c r="O179" s="317" t="s">
        <v>1991</v>
      </c>
      <c r="P179" s="317">
        <v>0</v>
      </c>
      <c r="Q179" s="317" t="s">
        <v>1991</v>
      </c>
      <c r="R179" s="317" t="s">
        <v>1991</v>
      </c>
      <c r="S179" s="317" t="s">
        <v>1991</v>
      </c>
      <c r="T179" s="326" t="s">
        <v>1991</v>
      </c>
      <c r="U179" s="312" t="s">
        <v>1991</v>
      </c>
      <c r="V179" s="46" t="s">
        <v>1991</v>
      </c>
      <c r="W179" s="324" t="s">
        <v>1991</v>
      </c>
      <c r="X179" s="324" t="s">
        <v>1991</v>
      </c>
      <c r="Y179" s="324" t="s">
        <v>1991</v>
      </c>
      <c r="Z179" s="46" t="s">
        <v>1991</v>
      </c>
      <c r="AA179" s="46" t="s">
        <v>1991</v>
      </c>
      <c r="AB179" s="46" t="s">
        <v>1991</v>
      </c>
      <c r="AC179" s="46" t="s">
        <v>1991</v>
      </c>
      <c r="AD179" s="46" t="s">
        <v>1991</v>
      </c>
      <c r="AE179" s="324" t="s">
        <v>1991</v>
      </c>
      <c r="AF179" s="324" t="s">
        <v>1991</v>
      </c>
      <c r="AG179" s="324" t="s">
        <v>1991</v>
      </c>
      <c r="AH179" s="324" t="s">
        <v>1991</v>
      </c>
      <c r="AI179" s="324" t="s">
        <v>1991</v>
      </c>
      <c r="AJ179" s="324" t="s">
        <v>1991</v>
      </c>
      <c r="AK179" s="324" t="s">
        <v>1991</v>
      </c>
      <c r="AL179" s="327"/>
      <c r="AM179" s="327"/>
      <c r="AN179" s="327"/>
      <c r="AO179" s="327"/>
      <c r="AP179" s="327"/>
      <c r="AQ179" s="327"/>
      <c r="AR179" s="327"/>
      <c r="AS179" s="327"/>
      <c r="AT179" s="327"/>
      <c r="AU179" s="327"/>
      <c r="AV179" s="327"/>
      <c r="AW179" s="327"/>
      <c r="AX179" s="327"/>
      <c r="AY179" s="327"/>
      <c r="AZ179" s="327"/>
      <c r="BA179" s="327"/>
      <c r="BB179" s="46">
        <f t="shared" si="59"/>
        <v>11</v>
      </c>
      <c r="BC179" s="46">
        <f t="shared" si="77"/>
        <v>16</v>
      </c>
      <c r="BD179" s="46">
        <f t="shared" si="49"/>
        <v>0</v>
      </c>
      <c r="BE179" s="46">
        <f t="shared" si="60"/>
        <v>0</v>
      </c>
      <c r="BF179" s="296">
        <f t="shared" si="61"/>
        <v>27</v>
      </c>
      <c r="BG179" s="2"/>
      <c r="BH179" s="2"/>
      <c r="BI179" s="2"/>
      <c r="BJ179" s="2"/>
      <c r="BK179" s="279">
        <f t="shared" si="78"/>
        <v>1</v>
      </c>
      <c r="BL179" s="279">
        <f t="shared" si="62"/>
        <v>27</v>
      </c>
      <c r="BM179" s="279"/>
      <c r="BN179" s="279"/>
      <c r="BO179" s="2">
        <f t="shared" si="63"/>
        <v>27</v>
      </c>
      <c r="BP179" s="430"/>
      <c r="BQ179" s="431"/>
      <c r="BR179" s="2"/>
      <c r="BS179" s="25"/>
      <c r="BT179" s="348">
        <f t="shared" si="64"/>
        <v>1</v>
      </c>
      <c r="BU179" s="2"/>
      <c r="BV179" s="282">
        <f t="shared" si="65"/>
        <v>0</v>
      </c>
      <c r="BW179" s="279">
        <v>-20000</v>
      </c>
      <c r="BX179" s="269">
        <f t="shared" si="66"/>
        <v>0</v>
      </c>
      <c r="BY179" s="349" t="e">
        <f t="shared" si="67"/>
        <v>#N/A</v>
      </c>
      <c r="BZ179" s="349" t="e">
        <f t="shared" si="68"/>
        <v>#N/A</v>
      </c>
      <c r="CA179" s="349" t="e">
        <f t="shared" si="69"/>
        <v>#N/A</v>
      </c>
      <c r="CB179" s="349" t="e">
        <f t="shared" si="70"/>
        <v>#N/A</v>
      </c>
      <c r="CC179" s="349" t="e">
        <f t="shared" si="71"/>
        <v>#N/A</v>
      </c>
      <c r="CD179" s="14" t="e">
        <f t="shared" si="72"/>
        <v>#N/A</v>
      </c>
      <c r="CE179" s="14">
        <f t="shared" si="73"/>
        <v>27</v>
      </c>
      <c r="CF179" s="25">
        <f t="shared" si="74"/>
        <v>1</v>
      </c>
      <c r="CG179" s="270"/>
      <c r="CH179" s="2"/>
      <c r="CL179" s="349" t="e">
        <f>#N/A</f>
        <v>#N/A</v>
      </c>
      <c r="CM179" s="349" t="e">
        <f>#N/A</f>
        <v>#N/A</v>
      </c>
      <c r="CN179" s="349" t="e">
        <f>#N/A</f>
        <v>#N/A</v>
      </c>
      <c r="CO179" s="349" t="e">
        <f>#N/A</f>
        <v>#N/A</v>
      </c>
      <c r="CP179" s="349" t="e">
        <f t="shared" si="75"/>
        <v>#N/A</v>
      </c>
      <c r="CQ179" s="14" t="e">
        <f t="shared" si="76"/>
        <v>#N/A</v>
      </c>
      <c r="CW179" s="1">
        <f t="shared" si="53"/>
        <v>0</v>
      </c>
      <c r="CX179" s="1">
        <f t="shared" si="54"/>
        <v>-20000</v>
      </c>
      <c r="CY179" s="2">
        <f t="shared" si="55"/>
        <v>-10000</v>
      </c>
    </row>
    <row r="180" spans="1:103" s="1" customFormat="1" ht="29.4" customHeight="1">
      <c r="A180" s="46">
        <v>6</v>
      </c>
      <c r="B180" s="46">
        <v>2</v>
      </c>
      <c r="C180" s="46">
        <v>53</v>
      </c>
      <c r="D180" s="48"/>
      <c r="E180" s="48"/>
      <c r="F180" s="46"/>
      <c r="G180" s="317" t="s">
        <v>1991</v>
      </c>
      <c r="H180" s="317" t="s">
        <v>1991</v>
      </c>
      <c r="I180" s="317" t="s">
        <v>1991</v>
      </c>
      <c r="J180" s="317"/>
      <c r="K180" s="317">
        <v>0</v>
      </c>
      <c r="L180" s="317">
        <v>0</v>
      </c>
      <c r="M180" s="317" t="s">
        <v>1991</v>
      </c>
      <c r="N180" s="317" t="s">
        <v>1991</v>
      </c>
      <c r="O180" s="317" t="s">
        <v>1991</v>
      </c>
      <c r="P180" s="317" t="s">
        <v>1991</v>
      </c>
      <c r="Q180" s="317" t="s">
        <v>1991</v>
      </c>
      <c r="R180" s="317" t="s">
        <v>1991</v>
      </c>
      <c r="S180" s="317" t="s">
        <v>1991</v>
      </c>
      <c r="T180" s="326" t="s">
        <v>1991</v>
      </c>
      <c r="U180" s="312" t="s">
        <v>1991</v>
      </c>
      <c r="V180" s="46" t="s">
        <v>1991</v>
      </c>
      <c r="W180" s="324" t="s">
        <v>1991</v>
      </c>
      <c r="X180" s="324" t="s">
        <v>1991</v>
      </c>
      <c r="Y180" s="324" t="s">
        <v>1991</v>
      </c>
      <c r="Z180" s="46" t="s">
        <v>1991</v>
      </c>
      <c r="AA180" s="46" t="s">
        <v>1991</v>
      </c>
      <c r="AB180" s="46" t="s">
        <v>1991</v>
      </c>
      <c r="AC180" s="46" t="s">
        <v>1991</v>
      </c>
      <c r="AD180" s="46" t="s">
        <v>1991</v>
      </c>
      <c r="AE180" s="324" t="s">
        <v>1991</v>
      </c>
      <c r="AF180" s="324" t="s">
        <v>1991</v>
      </c>
      <c r="AG180" s="324" t="s">
        <v>1991</v>
      </c>
      <c r="AH180" s="324" t="s">
        <v>1991</v>
      </c>
      <c r="AI180" s="324" t="s">
        <v>1991</v>
      </c>
      <c r="AJ180" s="324" t="s">
        <v>1991</v>
      </c>
      <c r="AK180" s="324" t="s">
        <v>1991</v>
      </c>
      <c r="AL180" s="327"/>
      <c r="AM180" s="327"/>
      <c r="AN180" s="327"/>
      <c r="AO180" s="327"/>
      <c r="AP180" s="327"/>
      <c r="AQ180" s="327"/>
      <c r="AR180" s="327"/>
      <c r="AS180" s="327"/>
      <c r="AT180" s="327"/>
      <c r="AU180" s="327"/>
      <c r="AV180" s="327"/>
      <c r="AW180" s="327"/>
      <c r="AX180" s="327"/>
      <c r="AY180" s="327"/>
      <c r="AZ180" s="327"/>
      <c r="BA180" s="327"/>
      <c r="BB180" s="46">
        <f t="shared" si="59"/>
        <v>12</v>
      </c>
      <c r="BC180" s="46">
        <f t="shared" si="77"/>
        <v>16</v>
      </c>
      <c r="BD180" s="46">
        <f t="shared" si="49"/>
        <v>0</v>
      </c>
      <c r="BE180" s="46">
        <f t="shared" si="60"/>
        <v>0</v>
      </c>
      <c r="BF180" s="296">
        <f t="shared" si="61"/>
        <v>28</v>
      </c>
      <c r="BG180" s="2"/>
      <c r="BH180" s="2"/>
      <c r="BI180" s="2"/>
      <c r="BJ180" s="2"/>
      <c r="BK180" s="279">
        <f t="shared" si="78"/>
        <v>1</v>
      </c>
      <c r="BL180" s="279">
        <f t="shared" si="62"/>
        <v>28</v>
      </c>
      <c r="BM180" s="279"/>
      <c r="BN180" s="279"/>
      <c r="BO180" s="2">
        <f t="shared" si="63"/>
        <v>28</v>
      </c>
      <c r="BP180" s="430"/>
      <c r="BQ180" s="431"/>
      <c r="BR180" s="2"/>
      <c r="BS180" s="25"/>
      <c r="BT180" s="348">
        <f t="shared" si="64"/>
        <v>1</v>
      </c>
      <c r="BU180" s="2"/>
      <c r="BV180" s="282">
        <f t="shared" si="65"/>
        <v>0</v>
      </c>
      <c r="BW180" s="279">
        <v>0</v>
      </c>
      <c r="BX180" s="269">
        <f t="shared" si="66"/>
        <v>0</v>
      </c>
      <c r="BY180" s="349" t="e">
        <f t="shared" si="67"/>
        <v>#N/A</v>
      </c>
      <c r="BZ180" s="349" t="e">
        <f t="shared" si="68"/>
        <v>#N/A</v>
      </c>
      <c r="CA180" s="349" t="e">
        <f t="shared" si="69"/>
        <v>#N/A</v>
      </c>
      <c r="CB180" s="349" t="e">
        <f t="shared" si="70"/>
        <v>#N/A</v>
      </c>
      <c r="CC180" s="349" t="e">
        <f t="shared" si="71"/>
        <v>#N/A</v>
      </c>
      <c r="CD180" s="14" t="e">
        <f t="shared" si="72"/>
        <v>#N/A</v>
      </c>
      <c r="CE180" s="14">
        <f t="shared" si="73"/>
        <v>28</v>
      </c>
      <c r="CF180" s="25">
        <f t="shared" si="74"/>
        <v>1</v>
      </c>
      <c r="CG180" s="270"/>
      <c r="CH180" s="2"/>
      <c r="CL180" s="349" t="e">
        <f>#N/A</f>
        <v>#N/A</v>
      </c>
      <c r="CM180" s="349" t="e">
        <f>#N/A</f>
        <v>#N/A</v>
      </c>
      <c r="CN180" s="349" t="e">
        <f>#N/A</f>
        <v>#N/A</v>
      </c>
      <c r="CO180" s="349" t="e">
        <f>#N/A</f>
        <v>#N/A</v>
      </c>
      <c r="CP180" s="349" t="e">
        <f t="shared" si="75"/>
        <v>#N/A</v>
      </c>
      <c r="CQ180" s="14" t="e">
        <f t="shared" si="76"/>
        <v>#N/A</v>
      </c>
      <c r="CW180" s="1">
        <f t="shared" si="53"/>
        <v>0</v>
      </c>
      <c r="CX180" s="1">
        <f t="shared" si="54"/>
        <v>0</v>
      </c>
      <c r="CY180" s="2">
        <f t="shared" si="55"/>
        <v>0</v>
      </c>
    </row>
    <row r="181" spans="1:103" s="1" customFormat="1" ht="29.4" customHeight="1">
      <c r="A181" s="46">
        <v>7</v>
      </c>
      <c r="B181" s="46">
        <v>2</v>
      </c>
      <c r="C181" s="46">
        <v>54</v>
      </c>
      <c r="D181" s="48"/>
      <c r="E181" s="48"/>
      <c r="F181" s="46"/>
      <c r="G181" s="317">
        <v>0</v>
      </c>
      <c r="H181" s="317">
        <v>0</v>
      </c>
      <c r="I181" s="317" t="s">
        <v>1991</v>
      </c>
      <c r="J181" s="317"/>
      <c r="K181" s="317">
        <v>0</v>
      </c>
      <c r="L181" s="317">
        <v>0</v>
      </c>
      <c r="M181" s="317" t="s">
        <v>1991</v>
      </c>
      <c r="N181" s="317" t="s">
        <v>1991</v>
      </c>
      <c r="O181" s="317" t="s">
        <v>1991</v>
      </c>
      <c r="P181" s="317" t="s">
        <v>1991</v>
      </c>
      <c r="Q181" s="317" t="s">
        <v>1991</v>
      </c>
      <c r="R181" s="317" t="s">
        <v>1991</v>
      </c>
      <c r="S181" s="317" t="s">
        <v>1991</v>
      </c>
      <c r="T181" s="326" t="s">
        <v>1991</v>
      </c>
      <c r="U181" s="312" t="s">
        <v>1991</v>
      </c>
      <c r="V181" s="46" t="s">
        <v>1991</v>
      </c>
      <c r="W181" s="324" t="s">
        <v>1991</v>
      </c>
      <c r="X181" s="324" t="s">
        <v>1991</v>
      </c>
      <c r="Y181" s="324" t="s">
        <v>1991</v>
      </c>
      <c r="Z181" s="46" t="s">
        <v>1991</v>
      </c>
      <c r="AA181" s="46" t="s">
        <v>1991</v>
      </c>
      <c r="AB181" s="46" t="s">
        <v>1991</v>
      </c>
      <c r="AC181" s="46" t="s">
        <v>1991</v>
      </c>
      <c r="AD181" s="46" t="s">
        <v>1991</v>
      </c>
      <c r="AE181" s="324" t="s">
        <v>1991</v>
      </c>
      <c r="AF181" s="324" t="s">
        <v>1991</v>
      </c>
      <c r="AG181" s="324" t="s">
        <v>1991</v>
      </c>
      <c r="AH181" s="324" t="s">
        <v>1991</v>
      </c>
      <c r="AI181" s="324" t="s">
        <v>1991</v>
      </c>
      <c r="AJ181" s="324" t="s">
        <v>1991</v>
      </c>
      <c r="AK181" s="324" t="s">
        <v>1991</v>
      </c>
      <c r="AL181" s="327"/>
      <c r="AM181" s="327"/>
      <c r="AN181" s="327"/>
      <c r="AO181" s="327"/>
      <c r="AP181" s="327" t="s">
        <v>1991</v>
      </c>
      <c r="AQ181" s="327"/>
      <c r="AR181" s="327"/>
      <c r="AS181" s="327" t="s">
        <v>1991</v>
      </c>
      <c r="AT181" s="327"/>
      <c r="AU181" s="327"/>
      <c r="AV181" s="327"/>
      <c r="AW181" s="327"/>
      <c r="AX181" s="327"/>
      <c r="AY181" s="327"/>
      <c r="AZ181" s="327"/>
      <c r="BA181" s="327"/>
      <c r="BB181" s="46">
        <f t="shared" si="59"/>
        <v>10</v>
      </c>
      <c r="BC181" s="46">
        <f t="shared" si="77"/>
        <v>16</v>
      </c>
      <c r="BD181" s="46">
        <f t="shared" si="49"/>
        <v>2</v>
      </c>
      <c r="BE181" s="46">
        <f t="shared" si="60"/>
        <v>0</v>
      </c>
      <c r="BF181" s="296">
        <f t="shared" si="61"/>
        <v>26</v>
      </c>
      <c r="BG181" s="2"/>
      <c r="BH181" s="2"/>
      <c r="BI181" s="2"/>
      <c r="BJ181" s="2"/>
      <c r="BK181" s="279">
        <f t="shared" si="78"/>
        <v>1</v>
      </c>
      <c r="BL181" s="279">
        <f t="shared" si="62"/>
        <v>26</v>
      </c>
      <c r="BM181" s="279"/>
      <c r="BN181" s="279"/>
      <c r="BO181" s="2">
        <f t="shared" si="63"/>
        <v>26</v>
      </c>
      <c r="BP181" s="430"/>
      <c r="BQ181" s="431"/>
      <c r="BR181" s="2"/>
      <c r="BS181" s="25"/>
      <c r="BT181" s="348">
        <f t="shared" si="64"/>
        <v>1</v>
      </c>
      <c r="BU181" s="2"/>
      <c r="BV181" s="282">
        <f t="shared" si="65"/>
        <v>0</v>
      </c>
      <c r="BW181" s="279">
        <v>0</v>
      </c>
      <c r="BX181" s="269">
        <f t="shared" si="66"/>
        <v>0</v>
      </c>
      <c r="BY181" s="349" t="e">
        <f t="shared" si="67"/>
        <v>#N/A</v>
      </c>
      <c r="BZ181" s="349" t="e">
        <f t="shared" si="68"/>
        <v>#N/A</v>
      </c>
      <c r="CA181" s="349" t="e">
        <f t="shared" si="69"/>
        <v>#N/A</v>
      </c>
      <c r="CB181" s="349" t="e">
        <f t="shared" si="70"/>
        <v>#N/A</v>
      </c>
      <c r="CC181" s="349" t="e">
        <f t="shared" si="71"/>
        <v>#N/A</v>
      </c>
      <c r="CD181" s="14" t="e">
        <f t="shared" si="72"/>
        <v>#N/A</v>
      </c>
      <c r="CE181" s="14">
        <f t="shared" si="73"/>
        <v>26</v>
      </c>
      <c r="CF181" s="25">
        <f t="shared" si="74"/>
        <v>1</v>
      </c>
      <c r="CG181" s="270"/>
      <c r="CH181" s="2"/>
      <c r="CL181" s="349" t="e">
        <f>#N/A</f>
        <v>#N/A</v>
      </c>
      <c r="CM181" s="349" t="e">
        <f>#N/A</f>
        <v>#N/A</v>
      </c>
      <c r="CN181" s="349" t="e">
        <f>#N/A</f>
        <v>#N/A</v>
      </c>
      <c r="CO181" s="349" t="e">
        <f>#N/A</f>
        <v>#N/A</v>
      </c>
      <c r="CP181" s="349" t="e">
        <f t="shared" si="75"/>
        <v>#N/A</v>
      </c>
      <c r="CQ181" s="14" t="e">
        <f t="shared" si="76"/>
        <v>#N/A</v>
      </c>
      <c r="CW181" s="1">
        <f t="shared" si="53"/>
        <v>0</v>
      </c>
      <c r="CX181" s="1">
        <f t="shared" si="54"/>
        <v>0</v>
      </c>
      <c r="CY181" s="2">
        <f t="shared" si="55"/>
        <v>0</v>
      </c>
    </row>
    <row r="182" spans="1:103" s="1" customFormat="1" ht="29.4" customHeight="1">
      <c r="A182" s="46">
        <v>8</v>
      </c>
      <c r="B182" s="46">
        <v>2</v>
      </c>
      <c r="C182" s="46">
        <v>55</v>
      </c>
      <c r="D182" s="48"/>
      <c r="E182" s="48"/>
      <c r="F182" s="46"/>
      <c r="G182" s="317" t="s">
        <v>1991</v>
      </c>
      <c r="H182" s="317" t="s">
        <v>1991</v>
      </c>
      <c r="I182" s="317" t="s">
        <v>1991</v>
      </c>
      <c r="J182" s="317"/>
      <c r="K182" s="317">
        <v>0</v>
      </c>
      <c r="L182" s="317" t="s">
        <v>1991</v>
      </c>
      <c r="M182" s="317">
        <v>0</v>
      </c>
      <c r="N182" s="317" t="s">
        <v>1991</v>
      </c>
      <c r="O182" s="317" t="s">
        <v>1991</v>
      </c>
      <c r="P182" s="317" t="s">
        <v>1991</v>
      </c>
      <c r="Q182" s="317" t="s">
        <v>1991</v>
      </c>
      <c r="R182" s="317" t="s">
        <v>1991</v>
      </c>
      <c r="S182" s="317" t="s">
        <v>1991</v>
      </c>
      <c r="T182" s="326" t="s">
        <v>1991</v>
      </c>
      <c r="U182" s="312" t="s">
        <v>1991</v>
      </c>
      <c r="V182" s="46" t="s">
        <v>1991</v>
      </c>
      <c r="W182" s="324">
        <v>0</v>
      </c>
      <c r="X182" s="324">
        <v>0</v>
      </c>
      <c r="Y182" s="324" t="s">
        <v>1991</v>
      </c>
      <c r="Z182" s="46" t="s">
        <v>1991</v>
      </c>
      <c r="AA182" s="46" t="s">
        <v>1991</v>
      </c>
      <c r="AB182" s="46" t="s">
        <v>1991</v>
      </c>
      <c r="AC182" s="46" t="s">
        <v>1991</v>
      </c>
      <c r="AD182" s="46" t="s">
        <v>1991</v>
      </c>
      <c r="AE182" s="324" t="s">
        <v>1991</v>
      </c>
      <c r="AF182" s="324" t="s">
        <v>1991</v>
      </c>
      <c r="AG182" s="324" t="s">
        <v>1991</v>
      </c>
      <c r="AH182" s="324" t="s">
        <v>1991</v>
      </c>
      <c r="AI182" s="324" t="s">
        <v>1991</v>
      </c>
      <c r="AJ182" s="324" t="s">
        <v>1991</v>
      </c>
      <c r="AK182" s="324" t="s">
        <v>1991</v>
      </c>
      <c r="AL182" s="327"/>
      <c r="AM182" s="327"/>
      <c r="AN182" s="327"/>
      <c r="AO182" s="327"/>
      <c r="AP182" s="327"/>
      <c r="AQ182" s="327"/>
      <c r="AR182" s="327"/>
      <c r="AS182" s="327"/>
      <c r="AT182" s="327"/>
      <c r="AU182" s="327"/>
      <c r="AV182" s="327"/>
      <c r="AW182" s="327"/>
      <c r="AX182" s="327"/>
      <c r="AY182" s="327"/>
      <c r="AZ182" s="327"/>
      <c r="BA182" s="327"/>
      <c r="BB182" s="46">
        <f t="shared" si="59"/>
        <v>12</v>
      </c>
      <c r="BC182" s="46">
        <f t="shared" si="77"/>
        <v>14</v>
      </c>
      <c r="BD182" s="46">
        <f t="shared" si="49"/>
        <v>0</v>
      </c>
      <c r="BE182" s="46">
        <f t="shared" si="60"/>
        <v>0</v>
      </c>
      <c r="BF182" s="296">
        <f t="shared" si="61"/>
        <v>26</v>
      </c>
      <c r="BG182" s="2"/>
      <c r="BH182" s="2"/>
      <c r="BI182" s="2"/>
      <c r="BJ182" s="2"/>
      <c r="BK182" s="279">
        <f t="shared" si="78"/>
        <v>1</v>
      </c>
      <c r="BL182" s="279">
        <f t="shared" si="62"/>
        <v>26</v>
      </c>
      <c r="BM182" s="279"/>
      <c r="BN182" s="279"/>
      <c r="BO182" s="2">
        <f t="shared" si="63"/>
        <v>26</v>
      </c>
      <c r="BP182" s="430"/>
      <c r="BQ182" s="431"/>
      <c r="BR182" s="2"/>
      <c r="BS182" s="25"/>
      <c r="BT182" s="348">
        <f t="shared" si="64"/>
        <v>1</v>
      </c>
      <c r="BU182" s="2"/>
      <c r="BV182" s="282">
        <f t="shared" si="65"/>
        <v>0</v>
      </c>
      <c r="BW182" s="279">
        <v>0</v>
      </c>
      <c r="BX182" s="269">
        <f t="shared" si="66"/>
        <v>0</v>
      </c>
      <c r="BY182" s="349" t="e">
        <f t="shared" si="67"/>
        <v>#N/A</v>
      </c>
      <c r="BZ182" s="349" t="e">
        <f t="shared" si="68"/>
        <v>#N/A</v>
      </c>
      <c r="CA182" s="349" t="e">
        <f t="shared" si="69"/>
        <v>#N/A</v>
      </c>
      <c r="CB182" s="349" t="e">
        <f t="shared" si="70"/>
        <v>#N/A</v>
      </c>
      <c r="CC182" s="349" t="e">
        <f t="shared" si="71"/>
        <v>#N/A</v>
      </c>
      <c r="CD182" s="14" t="e">
        <f t="shared" si="72"/>
        <v>#N/A</v>
      </c>
      <c r="CE182" s="14">
        <f t="shared" si="73"/>
        <v>26</v>
      </c>
      <c r="CF182" s="25">
        <f t="shared" si="74"/>
        <v>1</v>
      </c>
      <c r="CG182" s="270"/>
      <c r="CH182" s="2"/>
      <c r="CL182" s="349" t="e">
        <f>#N/A</f>
        <v>#N/A</v>
      </c>
      <c r="CM182" s="349" t="e">
        <f>#N/A</f>
        <v>#N/A</v>
      </c>
      <c r="CN182" s="349" t="e">
        <f>#N/A</f>
        <v>#N/A</v>
      </c>
      <c r="CO182" s="349" t="e">
        <f>#N/A</f>
        <v>#N/A</v>
      </c>
      <c r="CP182" s="349" t="e">
        <f t="shared" si="75"/>
        <v>#N/A</v>
      </c>
      <c r="CQ182" s="14" t="e">
        <f t="shared" si="76"/>
        <v>#N/A</v>
      </c>
      <c r="CW182" s="1">
        <f t="shared" si="53"/>
        <v>0</v>
      </c>
      <c r="CX182" s="1">
        <f t="shared" si="54"/>
        <v>0</v>
      </c>
      <c r="CY182" s="2">
        <f t="shared" si="55"/>
        <v>0</v>
      </c>
    </row>
    <row r="183" spans="1:103" s="1" customFormat="1" ht="29.4" customHeight="1">
      <c r="A183" s="46">
        <v>9</v>
      </c>
      <c r="B183" s="46">
        <v>2</v>
      </c>
      <c r="C183" s="46">
        <v>56</v>
      </c>
      <c r="D183" s="48"/>
      <c r="E183" s="48"/>
      <c r="F183" s="46"/>
      <c r="G183" s="317" t="s">
        <v>1991</v>
      </c>
      <c r="H183" s="317" t="s">
        <v>1991</v>
      </c>
      <c r="I183" s="317" t="s">
        <v>1991</v>
      </c>
      <c r="J183" s="317"/>
      <c r="K183" s="317">
        <v>0</v>
      </c>
      <c r="L183" s="317" t="s">
        <v>1991</v>
      </c>
      <c r="M183" s="317" t="s">
        <v>1991</v>
      </c>
      <c r="N183" s="317" t="s">
        <v>1991</v>
      </c>
      <c r="O183" s="317" t="s">
        <v>1991</v>
      </c>
      <c r="P183" s="317" t="s">
        <v>1991</v>
      </c>
      <c r="Q183" s="317" t="s">
        <v>1991</v>
      </c>
      <c r="R183" s="317" t="s">
        <v>1991</v>
      </c>
      <c r="S183" s="317" t="s">
        <v>1991</v>
      </c>
      <c r="T183" s="326" t="s">
        <v>1991</v>
      </c>
      <c r="U183" s="312" t="s">
        <v>1991</v>
      </c>
      <c r="V183" s="46" t="s">
        <v>1991</v>
      </c>
      <c r="W183" s="324" t="s">
        <v>1991</v>
      </c>
      <c r="X183" s="324" t="s">
        <v>1991</v>
      </c>
      <c r="Y183" s="324">
        <v>0</v>
      </c>
      <c r="Z183" s="46" t="s">
        <v>1991</v>
      </c>
      <c r="AA183" s="46" t="s">
        <v>1991</v>
      </c>
      <c r="AB183" s="46" t="s">
        <v>1991</v>
      </c>
      <c r="AC183" s="46" t="s">
        <v>1991</v>
      </c>
      <c r="AD183" s="46" t="s">
        <v>1991</v>
      </c>
      <c r="AE183" s="324" t="s">
        <v>1991</v>
      </c>
      <c r="AF183" s="324" t="s">
        <v>1991</v>
      </c>
      <c r="AG183" s="324" t="s">
        <v>1991</v>
      </c>
      <c r="AH183" s="324" t="s">
        <v>1991</v>
      </c>
      <c r="AI183" s="324" t="s">
        <v>1991</v>
      </c>
      <c r="AJ183" s="324" t="s">
        <v>1991</v>
      </c>
      <c r="AK183" s="324" t="s">
        <v>1991</v>
      </c>
      <c r="AL183" s="327"/>
      <c r="AM183" s="327"/>
      <c r="AN183" s="327"/>
      <c r="AO183" s="327"/>
      <c r="AP183" s="327"/>
      <c r="AQ183" s="327"/>
      <c r="AR183" s="327"/>
      <c r="AS183" s="327"/>
      <c r="AT183" s="327"/>
      <c r="AU183" s="327"/>
      <c r="AV183" s="327"/>
      <c r="AW183" s="327"/>
      <c r="AX183" s="327"/>
      <c r="AY183" s="327"/>
      <c r="AZ183" s="327"/>
      <c r="BA183" s="327"/>
      <c r="BB183" s="46">
        <f t="shared" si="59"/>
        <v>13</v>
      </c>
      <c r="BC183" s="46">
        <f t="shared" si="77"/>
        <v>15</v>
      </c>
      <c r="BD183" s="46">
        <f t="shared" si="49"/>
        <v>0</v>
      </c>
      <c r="BE183" s="46">
        <f t="shared" si="60"/>
        <v>0</v>
      </c>
      <c r="BF183" s="296">
        <f t="shared" si="61"/>
        <v>28</v>
      </c>
      <c r="BG183" s="2"/>
      <c r="BH183" s="2"/>
      <c r="BI183" s="2"/>
      <c r="BJ183" s="2"/>
      <c r="BK183" s="279">
        <f t="shared" si="78"/>
        <v>1</v>
      </c>
      <c r="BL183" s="279">
        <f t="shared" si="62"/>
        <v>28</v>
      </c>
      <c r="BM183" s="279"/>
      <c r="BN183" s="279"/>
      <c r="BO183" s="2">
        <f t="shared" si="63"/>
        <v>28</v>
      </c>
      <c r="BP183" s="430"/>
      <c r="BQ183" s="431"/>
      <c r="BR183" s="2"/>
      <c r="BS183" s="25"/>
      <c r="BT183" s="348">
        <f t="shared" si="64"/>
        <v>1</v>
      </c>
      <c r="BU183" s="2"/>
      <c r="BV183" s="282">
        <f t="shared" si="65"/>
        <v>0</v>
      </c>
      <c r="BW183" s="279">
        <v>20000</v>
      </c>
      <c r="BX183" s="269">
        <f t="shared" si="66"/>
        <v>-0.15</v>
      </c>
      <c r="BY183" s="349" t="e">
        <f t="shared" si="67"/>
        <v>#N/A</v>
      </c>
      <c r="BZ183" s="349" t="e">
        <f t="shared" si="68"/>
        <v>#N/A</v>
      </c>
      <c r="CA183" s="349" t="e">
        <f t="shared" si="69"/>
        <v>#N/A</v>
      </c>
      <c r="CB183" s="349" t="e">
        <f t="shared" si="70"/>
        <v>#N/A</v>
      </c>
      <c r="CC183" s="349" t="e">
        <f t="shared" si="71"/>
        <v>#N/A</v>
      </c>
      <c r="CD183" s="14" t="e">
        <f t="shared" si="72"/>
        <v>#N/A</v>
      </c>
      <c r="CE183" s="14">
        <f t="shared" si="73"/>
        <v>28</v>
      </c>
      <c r="CF183" s="25">
        <f t="shared" si="74"/>
        <v>1</v>
      </c>
      <c r="CG183" s="270"/>
      <c r="CH183" s="2"/>
      <c r="CL183" s="349" t="e">
        <f>#N/A</f>
        <v>#N/A</v>
      </c>
      <c r="CM183" s="349" t="e">
        <f>#N/A</f>
        <v>#N/A</v>
      </c>
      <c r="CN183" s="349" t="e">
        <f>#N/A</f>
        <v>#N/A</v>
      </c>
      <c r="CO183" s="349" t="e">
        <f>#N/A</f>
        <v>#N/A</v>
      </c>
      <c r="CP183" s="349" t="e">
        <f t="shared" si="75"/>
        <v>#N/A</v>
      </c>
      <c r="CQ183" s="14" t="e">
        <f t="shared" si="76"/>
        <v>#N/A</v>
      </c>
      <c r="CW183" s="1">
        <f t="shared" si="53"/>
        <v>0</v>
      </c>
      <c r="CX183" s="1">
        <f t="shared" si="54"/>
        <v>20000</v>
      </c>
      <c r="CY183" s="2">
        <f t="shared" si="55"/>
        <v>10000</v>
      </c>
    </row>
    <row r="184" spans="1:103" s="1" customFormat="1" ht="29.4" customHeight="1">
      <c r="A184" s="46">
        <v>10</v>
      </c>
      <c r="B184" s="46">
        <v>2</v>
      </c>
      <c r="C184" s="46">
        <v>57</v>
      </c>
      <c r="D184" s="48"/>
      <c r="E184" s="48"/>
      <c r="F184" s="46"/>
      <c r="G184" s="317" t="s">
        <v>1991</v>
      </c>
      <c r="H184" s="317" t="s">
        <v>1991</v>
      </c>
      <c r="I184" s="317" t="s">
        <v>1991</v>
      </c>
      <c r="J184" s="317"/>
      <c r="K184" s="317" t="s">
        <v>1991</v>
      </c>
      <c r="L184" s="317" t="s">
        <v>1991</v>
      </c>
      <c r="M184" s="317">
        <v>0</v>
      </c>
      <c r="N184" s="317" t="s">
        <v>1991</v>
      </c>
      <c r="O184" s="317" t="s">
        <v>1991</v>
      </c>
      <c r="P184" s="317" t="s">
        <v>1991</v>
      </c>
      <c r="Q184" s="317" t="s">
        <v>1991</v>
      </c>
      <c r="R184" s="317" t="s">
        <v>1991</v>
      </c>
      <c r="S184" s="317" t="s">
        <v>1991</v>
      </c>
      <c r="T184" s="326" t="s">
        <v>1991</v>
      </c>
      <c r="U184" s="312">
        <v>0</v>
      </c>
      <c r="V184" s="46" t="s">
        <v>1991</v>
      </c>
      <c r="W184" s="324" t="s">
        <v>1991</v>
      </c>
      <c r="X184" s="324">
        <v>0</v>
      </c>
      <c r="Y184" s="324" t="s">
        <v>1991</v>
      </c>
      <c r="Z184" s="46" t="s">
        <v>1991</v>
      </c>
      <c r="AA184" s="46">
        <v>0</v>
      </c>
      <c r="AB184" s="46" t="s">
        <v>1991</v>
      </c>
      <c r="AC184" s="46" t="s">
        <v>1991</v>
      </c>
      <c r="AD184" s="46" t="s">
        <v>1991</v>
      </c>
      <c r="AE184" s="324" t="s">
        <v>1991</v>
      </c>
      <c r="AF184" s="324" t="s">
        <v>1991</v>
      </c>
      <c r="AG184" s="324" t="s">
        <v>1991</v>
      </c>
      <c r="AH184" s="324" t="s">
        <v>1991</v>
      </c>
      <c r="AI184" s="324" t="s">
        <v>1991</v>
      </c>
      <c r="AJ184" s="324" t="s">
        <v>1991</v>
      </c>
      <c r="AK184" s="324" t="s">
        <v>1991</v>
      </c>
      <c r="AL184" s="327"/>
      <c r="AM184" s="327"/>
      <c r="AN184" s="327"/>
      <c r="AO184" s="327"/>
      <c r="AP184" s="327"/>
      <c r="AQ184" s="327"/>
      <c r="AR184" s="327"/>
      <c r="AS184" s="327"/>
      <c r="AT184" s="327"/>
      <c r="AU184" s="327"/>
      <c r="AV184" s="327"/>
      <c r="AW184" s="327"/>
      <c r="AX184" s="327"/>
      <c r="AY184" s="327"/>
      <c r="AZ184" s="327"/>
      <c r="BA184" s="327"/>
      <c r="BB184" s="46">
        <f t="shared" si="59"/>
        <v>12</v>
      </c>
      <c r="BC184" s="46">
        <f t="shared" si="77"/>
        <v>14</v>
      </c>
      <c r="BD184" s="46">
        <f t="shared" si="49"/>
        <v>0</v>
      </c>
      <c r="BE184" s="46">
        <f t="shared" si="60"/>
        <v>0</v>
      </c>
      <c r="BF184" s="296">
        <f t="shared" si="61"/>
        <v>26</v>
      </c>
      <c r="BG184" s="2"/>
      <c r="BH184" s="2"/>
      <c r="BI184" s="2"/>
      <c r="BJ184" s="2"/>
      <c r="BK184" s="279">
        <f t="shared" si="78"/>
        <v>1</v>
      </c>
      <c r="BL184" s="279">
        <f t="shared" si="62"/>
        <v>26</v>
      </c>
      <c r="BM184" s="279"/>
      <c r="BN184" s="279"/>
      <c r="BO184" s="2">
        <f t="shared" si="63"/>
        <v>26</v>
      </c>
      <c r="BP184" s="430"/>
      <c r="BQ184" s="431"/>
      <c r="BR184" s="2"/>
      <c r="BS184" s="25"/>
      <c r="BT184" s="348">
        <f t="shared" si="64"/>
        <v>1</v>
      </c>
      <c r="BU184" s="2"/>
      <c r="BV184" s="282">
        <f t="shared" si="65"/>
        <v>0</v>
      </c>
      <c r="BW184" s="279">
        <v>-20000</v>
      </c>
      <c r="BX184" s="269">
        <f t="shared" si="66"/>
        <v>0</v>
      </c>
      <c r="BY184" s="349" t="e">
        <f t="shared" si="67"/>
        <v>#N/A</v>
      </c>
      <c r="BZ184" s="349" t="e">
        <f t="shared" si="68"/>
        <v>#N/A</v>
      </c>
      <c r="CA184" s="349" t="e">
        <f t="shared" si="69"/>
        <v>#N/A</v>
      </c>
      <c r="CB184" s="349" t="e">
        <f t="shared" si="70"/>
        <v>#N/A</v>
      </c>
      <c r="CC184" s="349" t="e">
        <f t="shared" si="71"/>
        <v>#N/A</v>
      </c>
      <c r="CD184" s="14" t="e">
        <f t="shared" si="72"/>
        <v>#N/A</v>
      </c>
      <c r="CE184" s="14">
        <f t="shared" si="73"/>
        <v>26</v>
      </c>
      <c r="CF184" s="25">
        <f t="shared" si="74"/>
        <v>1</v>
      </c>
      <c r="CG184" s="270"/>
      <c r="CH184" s="2"/>
      <c r="CL184" s="349" t="e">
        <f>#N/A</f>
        <v>#N/A</v>
      </c>
      <c r="CM184" s="349" t="e">
        <f>#N/A</f>
        <v>#N/A</v>
      </c>
      <c r="CN184" s="349" t="e">
        <f>#N/A</f>
        <v>#N/A</v>
      </c>
      <c r="CO184" s="349" t="e">
        <f>#N/A</f>
        <v>#N/A</v>
      </c>
      <c r="CP184" s="349" t="e">
        <f t="shared" si="75"/>
        <v>#N/A</v>
      </c>
      <c r="CQ184" s="14" t="e">
        <f t="shared" si="76"/>
        <v>#N/A</v>
      </c>
      <c r="CW184" s="1">
        <f t="shared" si="53"/>
        <v>0</v>
      </c>
      <c r="CX184" s="1">
        <f t="shared" si="54"/>
        <v>-20000</v>
      </c>
      <c r="CY184" s="2">
        <f t="shared" si="55"/>
        <v>-10000</v>
      </c>
    </row>
    <row r="185" spans="1:103" s="1" customFormat="1" ht="29.4" customHeight="1">
      <c r="A185" s="46">
        <v>11</v>
      </c>
      <c r="B185" s="46">
        <v>2</v>
      </c>
      <c r="C185" s="313">
        <v>58</v>
      </c>
      <c r="D185" s="48"/>
      <c r="E185" s="48"/>
      <c r="F185" s="46"/>
      <c r="G185" s="317" t="s">
        <v>1991</v>
      </c>
      <c r="H185" s="317" t="s">
        <v>1991</v>
      </c>
      <c r="I185" s="317" t="s">
        <v>1991</v>
      </c>
      <c r="J185" s="317"/>
      <c r="K185" s="317" t="s">
        <v>1991</v>
      </c>
      <c r="L185" s="317" t="s">
        <v>1991</v>
      </c>
      <c r="M185" s="317" t="s">
        <v>1991</v>
      </c>
      <c r="N185" s="317" t="s">
        <v>1991</v>
      </c>
      <c r="O185" s="317" t="s">
        <v>1991</v>
      </c>
      <c r="P185" s="317" t="s">
        <v>1991</v>
      </c>
      <c r="Q185" s="317" t="s">
        <v>1991</v>
      </c>
      <c r="R185" s="317" t="s">
        <v>1991</v>
      </c>
      <c r="S185" s="317" t="s">
        <v>1991</v>
      </c>
      <c r="T185" s="326" t="s">
        <v>1991</v>
      </c>
      <c r="U185" s="312" t="s">
        <v>1991</v>
      </c>
      <c r="V185" s="46" t="s">
        <v>1991</v>
      </c>
      <c r="W185" s="324" t="s">
        <v>1991</v>
      </c>
      <c r="X185" s="324" t="s">
        <v>1991</v>
      </c>
      <c r="Y185" s="324" t="s">
        <v>1991</v>
      </c>
      <c r="Z185" s="46">
        <v>0</v>
      </c>
      <c r="AA185" s="46" t="s">
        <v>1991</v>
      </c>
      <c r="AB185" s="46" t="s">
        <v>1991</v>
      </c>
      <c r="AC185" s="46" t="s">
        <v>1991</v>
      </c>
      <c r="AD185" s="46" t="s">
        <v>1991</v>
      </c>
      <c r="AE185" s="324" t="s">
        <v>1991</v>
      </c>
      <c r="AF185" s="324" t="s">
        <v>1991</v>
      </c>
      <c r="AG185" s="327" t="s">
        <v>1991</v>
      </c>
      <c r="AH185" s="327" t="s">
        <v>1991</v>
      </c>
      <c r="AI185" s="327" t="s">
        <v>1991</v>
      </c>
      <c r="AJ185" s="327" t="s">
        <v>1991</v>
      </c>
      <c r="AK185" s="324" t="s">
        <v>1991</v>
      </c>
      <c r="AL185" s="327"/>
      <c r="AM185" s="327"/>
      <c r="AN185" s="327"/>
      <c r="AO185" s="327"/>
      <c r="AP185" s="327"/>
      <c r="AQ185" s="327"/>
      <c r="AR185" s="327"/>
      <c r="AS185" s="327"/>
      <c r="AT185" s="327"/>
      <c r="AU185" s="327"/>
      <c r="AV185" s="327"/>
      <c r="AW185" s="327"/>
      <c r="AX185" s="327"/>
      <c r="AY185" s="327"/>
      <c r="AZ185" s="327"/>
      <c r="BA185" s="327"/>
      <c r="BB185" s="46">
        <f t="shared" si="59"/>
        <v>14</v>
      </c>
      <c r="BC185" s="46">
        <f t="shared" si="77"/>
        <v>15</v>
      </c>
      <c r="BD185" s="46">
        <f t="shared" si="49"/>
        <v>0</v>
      </c>
      <c r="BE185" s="46">
        <f t="shared" si="60"/>
        <v>0</v>
      </c>
      <c r="BF185" s="296">
        <f t="shared" si="61"/>
        <v>29</v>
      </c>
      <c r="BG185" s="2"/>
      <c r="BH185" s="2"/>
      <c r="BI185" s="2"/>
      <c r="BJ185" s="2"/>
      <c r="BK185" s="279">
        <f t="shared" si="78"/>
        <v>1</v>
      </c>
      <c r="BL185" s="279">
        <f t="shared" si="62"/>
        <v>29</v>
      </c>
      <c r="BM185" s="279"/>
      <c r="BN185" s="279"/>
      <c r="BO185" s="2">
        <f t="shared" si="63"/>
        <v>29</v>
      </c>
      <c r="BP185" s="430"/>
      <c r="BQ185" s="431"/>
      <c r="BR185" s="2"/>
      <c r="BS185" s="25"/>
      <c r="BT185" s="348">
        <f t="shared" si="64"/>
        <v>1</v>
      </c>
      <c r="BU185" s="2"/>
      <c r="BV185" s="282">
        <f t="shared" si="65"/>
        <v>0</v>
      </c>
      <c r="BW185" s="279">
        <v>0</v>
      </c>
      <c r="BX185" s="269">
        <f t="shared" si="66"/>
        <v>0</v>
      </c>
      <c r="BY185" s="349" t="e">
        <f t="shared" si="67"/>
        <v>#N/A</v>
      </c>
      <c r="BZ185" s="349" t="e">
        <f t="shared" si="68"/>
        <v>#N/A</v>
      </c>
      <c r="CA185" s="349" t="e">
        <f t="shared" si="69"/>
        <v>#N/A</v>
      </c>
      <c r="CB185" s="349" t="e">
        <f t="shared" si="70"/>
        <v>#N/A</v>
      </c>
      <c r="CC185" s="349" t="e">
        <f t="shared" si="71"/>
        <v>#N/A</v>
      </c>
      <c r="CD185" s="14" t="e">
        <f t="shared" si="72"/>
        <v>#N/A</v>
      </c>
      <c r="CE185" s="14">
        <f t="shared" si="73"/>
        <v>29</v>
      </c>
      <c r="CF185" s="25">
        <f t="shared" si="74"/>
        <v>1</v>
      </c>
      <c r="CG185" s="270"/>
      <c r="CH185" s="2"/>
      <c r="CL185" s="349" t="e">
        <f>#N/A</f>
        <v>#N/A</v>
      </c>
      <c r="CM185" s="349" t="e">
        <f>#N/A</f>
        <v>#N/A</v>
      </c>
      <c r="CN185" s="349" t="e">
        <f>#N/A</f>
        <v>#N/A</v>
      </c>
      <c r="CO185" s="349" t="e">
        <f>#N/A</f>
        <v>#N/A</v>
      </c>
      <c r="CP185" s="349" t="e">
        <f t="shared" si="75"/>
        <v>#N/A</v>
      </c>
      <c r="CQ185" s="14" t="e">
        <f t="shared" si="76"/>
        <v>#N/A</v>
      </c>
      <c r="CW185" s="1">
        <f t="shared" si="53"/>
        <v>0</v>
      </c>
      <c r="CX185" s="1">
        <f t="shared" si="54"/>
        <v>0</v>
      </c>
      <c r="CY185" s="2">
        <f t="shared" si="55"/>
        <v>0</v>
      </c>
    </row>
    <row r="186" spans="1:103" s="1" customFormat="1" ht="29.4" customHeight="1">
      <c r="A186" s="46">
        <v>12</v>
      </c>
      <c r="B186" s="46">
        <v>2</v>
      </c>
      <c r="C186" s="46">
        <v>59</v>
      </c>
      <c r="D186" s="48"/>
      <c r="E186" s="48"/>
      <c r="F186" s="46"/>
      <c r="G186" s="317">
        <v>0</v>
      </c>
      <c r="H186" s="317">
        <v>0</v>
      </c>
      <c r="I186" s="317" t="s">
        <v>1991</v>
      </c>
      <c r="J186" s="317"/>
      <c r="K186" s="317">
        <v>0</v>
      </c>
      <c r="L186" s="317">
        <v>0</v>
      </c>
      <c r="M186" s="317">
        <v>0</v>
      </c>
      <c r="N186" s="317">
        <v>0</v>
      </c>
      <c r="O186" s="317">
        <v>0</v>
      </c>
      <c r="P186" s="317">
        <v>0</v>
      </c>
      <c r="Q186" s="317">
        <v>0</v>
      </c>
      <c r="R186" s="317">
        <v>0</v>
      </c>
      <c r="S186" s="317">
        <v>0</v>
      </c>
      <c r="T186" s="326">
        <v>0</v>
      </c>
      <c r="U186" s="312">
        <v>0</v>
      </c>
      <c r="V186" s="46">
        <v>0</v>
      </c>
      <c r="W186" s="324">
        <v>0</v>
      </c>
      <c r="X186" s="324">
        <v>0</v>
      </c>
      <c r="Y186" s="324">
        <v>0</v>
      </c>
      <c r="Z186" s="46">
        <v>0</v>
      </c>
      <c r="AA186" s="46">
        <v>0</v>
      </c>
      <c r="AB186" s="46">
        <v>0</v>
      </c>
      <c r="AC186" s="46">
        <v>0</v>
      </c>
      <c r="AD186" s="46">
        <v>0</v>
      </c>
      <c r="AE186" s="324">
        <v>0</v>
      </c>
      <c r="AF186" s="324">
        <v>0</v>
      </c>
      <c r="AG186" s="324">
        <v>0</v>
      </c>
      <c r="AH186" s="324">
        <v>0</v>
      </c>
      <c r="AI186" s="324">
        <v>0</v>
      </c>
      <c r="AJ186" s="324">
        <v>0</v>
      </c>
      <c r="AK186" s="324">
        <v>0</v>
      </c>
      <c r="AL186" s="327"/>
      <c r="AM186" s="327"/>
      <c r="AN186" s="327"/>
      <c r="AO186" s="327"/>
      <c r="AP186" s="327"/>
      <c r="AQ186" s="327"/>
      <c r="AR186" s="327"/>
      <c r="AS186" s="327"/>
      <c r="AT186" s="327"/>
      <c r="AU186" s="327"/>
      <c r="AV186" s="327"/>
      <c r="AW186" s="327"/>
      <c r="AX186" s="327"/>
      <c r="AY186" s="327"/>
      <c r="AZ186" s="327"/>
      <c r="BA186" s="327"/>
      <c r="BB186" s="46">
        <f t="shared" si="59"/>
        <v>1</v>
      </c>
      <c r="BC186" s="46">
        <f t="shared" si="77"/>
        <v>0</v>
      </c>
      <c r="BD186" s="46">
        <f t="shared" si="49"/>
        <v>0</v>
      </c>
      <c r="BE186" s="46">
        <f t="shared" si="60"/>
        <v>0</v>
      </c>
      <c r="BF186" s="296">
        <f t="shared" si="61"/>
        <v>1</v>
      </c>
      <c r="BG186" s="2"/>
      <c r="BH186" s="2"/>
      <c r="BI186" s="2"/>
      <c r="BJ186" s="2"/>
      <c r="BK186" s="279">
        <f t="shared" si="78"/>
        <v>0</v>
      </c>
      <c r="BL186" s="279">
        <f t="shared" si="62"/>
        <v>1</v>
      </c>
      <c r="BM186" s="279"/>
      <c r="BN186" s="279"/>
      <c r="BO186" s="2">
        <f t="shared" si="63"/>
        <v>0</v>
      </c>
      <c r="BP186" s="430"/>
      <c r="BQ186" s="431"/>
      <c r="BR186" s="2"/>
      <c r="BS186" s="25"/>
      <c r="BT186" s="348">
        <f t="shared" si="64"/>
        <v>0</v>
      </c>
      <c r="BU186" s="2"/>
      <c r="BV186" s="282">
        <f t="shared" si="65"/>
        <v>0</v>
      </c>
      <c r="BW186" s="279">
        <v>0</v>
      </c>
      <c r="BX186" s="269">
        <f t="shared" si="66"/>
        <v>0</v>
      </c>
      <c r="BY186" s="349" t="e">
        <f t="shared" si="67"/>
        <v>#N/A</v>
      </c>
      <c r="BZ186" s="349" t="e">
        <f t="shared" si="68"/>
        <v>#N/A</v>
      </c>
      <c r="CA186" s="349" t="e">
        <f t="shared" si="69"/>
        <v>#N/A</v>
      </c>
      <c r="CB186" s="349" t="e">
        <f t="shared" si="70"/>
        <v>#N/A</v>
      </c>
      <c r="CC186" s="349" t="e">
        <f t="shared" si="71"/>
        <v>#N/A</v>
      </c>
      <c r="CD186" s="14" t="e">
        <f t="shared" si="72"/>
        <v>#N/A</v>
      </c>
      <c r="CE186" s="14">
        <f t="shared" si="73"/>
        <v>0</v>
      </c>
      <c r="CF186" s="25">
        <f t="shared" si="74"/>
        <v>0</v>
      </c>
      <c r="CG186" s="270"/>
      <c r="CH186" s="2"/>
      <c r="CL186" s="349" t="e">
        <f>#N/A</f>
        <v>#N/A</v>
      </c>
      <c r="CM186" s="349" t="e">
        <f>#N/A</f>
        <v>#N/A</v>
      </c>
      <c r="CN186" s="349" t="e">
        <f>#N/A</f>
        <v>#N/A</v>
      </c>
      <c r="CO186" s="349" t="e">
        <f>#N/A</f>
        <v>#N/A</v>
      </c>
      <c r="CP186" s="349" t="e">
        <f t="shared" si="75"/>
        <v>#N/A</v>
      </c>
      <c r="CQ186" s="14" t="e">
        <f t="shared" si="76"/>
        <v>#N/A</v>
      </c>
      <c r="CW186" s="1">
        <f t="shared" si="53"/>
        <v>0</v>
      </c>
      <c r="CX186" s="1">
        <f t="shared" si="54"/>
        <v>0</v>
      </c>
      <c r="CY186" s="2">
        <f t="shared" si="55"/>
        <v>0</v>
      </c>
    </row>
    <row r="187" spans="1:103" s="1" customFormat="1" ht="29.4" customHeight="1">
      <c r="A187" s="46">
        <v>13</v>
      </c>
      <c r="B187" s="46">
        <v>2</v>
      </c>
      <c r="C187" s="46">
        <v>60</v>
      </c>
      <c r="D187" s="48"/>
      <c r="E187" s="48"/>
      <c r="F187" s="46"/>
      <c r="G187" s="317">
        <v>0</v>
      </c>
      <c r="H187" s="317" t="s">
        <v>1991</v>
      </c>
      <c r="I187" s="317">
        <v>0</v>
      </c>
      <c r="J187" s="317"/>
      <c r="K187" s="317">
        <v>0</v>
      </c>
      <c r="L187" s="317">
        <v>0</v>
      </c>
      <c r="M187" s="317">
        <v>0</v>
      </c>
      <c r="N187" s="317" t="s">
        <v>1991</v>
      </c>
      <c r="O187" s="317" t="s">
        <v>1991</v>
      </c>
      <c r="P187" s="317" t="s">
        <v>1991</v>
      </c>
      <c r="Q187" s="317" t="s">
        <v>1991</v>
      </c>
      <c r="R187" s="317" t="s">
        <v>1991</v>
      </c>
      <c r="S187" s="317" t="s">
        <v>1991</v>
      </c>
      <c r="T187" s="326" t="s">
        <v>1991</v>
      </c>
      <c r="U187" s="312" t="s">
        <v>1991</v>
      </c>
      <c r="V187" s="46" t="s">
        <v>1991</v>
      </c>
      <c r="W187" s="324" t="s">
        <v>1991</v>
      </c>
      <c r="X187" s="324" t="s">
        <v>1991</v>
      </c>
      <c r="Y187" s="324" t="s">
        <v>1991</v>
      </c>
      <c r="Z187" s="46" t="s">
        <v>1991</v>
      </c>
      <c r="AA187" s="46" t="s">
        <v>1991</v>
      </c>
      <c r="AB187" s="46" t="s">
        <v>1991</v>
      </c>
      <c r="AC187" s="46" t="s">
        <v>1991</v>
      </c>
      <c r="AD187" s="46" t="s">
        <v>1991</v>
      </c>
      <c r="AE187" s="324" t="s">
        <v>1991</v>
      </c>
      <c r="AF187" s="324" t="s">
        <v>1991</v>
      </c>
      <c r="AG187" s="324" t="s">
        <v>1991</v>
      </c>
      <c r="AH187" s="324" t="s">
        <v>1991</v>
      </c>
      <c r="AI187" s="324" t="s">
        <v>1991</v>
      </c>
      <c r="AJ187" s="324" t="s">
        <v>1991</v>
      </c>
      <c r="AK187" s="324" t="s">
        <v>1991</v>
      </c>
      <c r="AL187" s="327"/>
      <c r="AM187" s="327"/>
      <c r="AN187" s="327"/>
      <c r="AO187" s="327"/>
      <c r="AP187" s="327" t="s">
        <v>1991</v>
      </c>
      <c r="AQ187" s="327"/>
      <c r="AR187" s="327"/>
      <c r="AS187" s="327" t="s">
        <v>1991</v>
      </c>
      <c r="AT187" s="327"/>
      <c r="AU187" s="327"/>
      <c r="AV187" s="327"/>
      <c r="AW187" s="327"/>
      <c r="AX187" s="327"/>
      <c r="AY187" s="327"/>
      <c r="AZ187" s="327"/>
      <c r="BA187" s="327"/>
      <c r="BB187" s="46">
        <f t="shared" si="59"/>
        <v>9</v>
      </c>
      <c r="BC187" s="46">
        <f t="shared" si="77"/>
        <v>16</v>
      </c>
      <c r="BD187" s="46">
        <f t="shared" si="49"/>
        <v>2</v>
      </c>
      <c r="BE187" s="46">
        <f t="shared" si="60"/>
        <v>0</v>
      </c>
      <c r="BF187" s="296">
        <f t="shared" si="61"/>
        <v>25</v>
      </c>
      <c r="BG187" s="2"/>
      <c r="BH187" s="2"/>
      <c r="BI187" s="2"/>
      <c r="BJ187" s="2"/>
      <c r="BK187" s="279">
        <f t="shared" si="78"/>
        <v>0</v>
      </c>
      <c r="BL187" s="279">
        <f t="shared" si="62"/>
        <v>25</v>
      </c>
      <c r="BM187" s="279"/>
      <c r="BN187" s="279"/>
      <c r="BO187" s="2">
        <f t="shared" si="63"/>
        <v>0</v>
      </c>
      <c r="BP187" s="430"/>
      <c r="BQ187" s="431"/>
      <c r="BR187" s="2"/>
      <c r="BS187" s="25"/>
      <c r="BT187" s="348">
        <f t="shared" si="64"/>
        <v>0</v>
      </c>
      <c r="BU187" s="2"/>
      <c r="BV187" s="282">
        <f t="shared" si="65"/>
        <v>0</v>
      </c>
      <c r="BW187" s="279">
        <v>-20000</v>
      </c>
      <c r="BX187" s="269">
        <f t="shared" si="66"/>
        <v>0</v>
      </c>
      <c r="BY187" s="349" t="e">
        <f t="shared" si="67"/>
        <v>#N/A</v>
      </c>
      <c r="BZ187" s="349" t="e">
        <f t="shared" si="68"/>
        <v>#N/A</v>
      </c>
      <c r="CA187" s="349" t="e">
        <f t="shared" si="69"/>
        <v>#N/A</v>
      </c>
      <c r="CB187" s="349" t="e">
        <f t="shared" si="70"/>
        <v>#N/A</v>
      </c>
      <c r="CC187" s="349" t="e">
        <f t="shared" si="71"/>
        <v>#N/A</v>
      </c>
      <c r="CD187" s="14" t="e">
        <f t="shared" si="72"/>
        <v>#N/A</v>
      </c>
      <c r="CE187" s="14">
        <f t="shared" si="73"/>
        <v>0</v>
      </c>
      <c r="CF187" s="25">
        <f t="shared" si="74"/>
        <v>0</v>
      </c>
      <c r="CG187" s="270"/>
      <c r="CH187" s="2"/>
      <c r="CL187" s="349" t="e">
        <f>#N/A</f>
        <v>#N/A</v>
      </c>
      <c r="CM187" s="349" t="e">
        <f>#N/A</f>
        <v>#N/A</v>
      </c>
      <c r="CN187" s="349" t="e">
        <f>#N/A</f>
        <v>#N/A</v>
      </c>
      <c r="CO187" s="349" t="e">
        <f>#N/A</f>
        <v>#N/A</v>
      </c>
      <c r="CP187" s="349" t="e">
        <f t="shared" si="75"/>
        <v>#N/A</v>
      </c>
      <c r="CQ187" s="14" t="e">
        <f t="shared" si="76"/>
        <v>#N/A</v>
      </c>
      <c r="CW187" s="1">
        <f t="shared" si="53"/>
        <v>0</v>
      </c>
      <c r="CX187" s="1">
        <f t="shared" si="54"/>
        <v>-20000</v>
      </c>
      <c r="CY187" s="2">
        <f t="shared" si="55"/>
        <v>-10000</v>
      </c>
    </row>
    <row r="188" spans="1:103" s="1" customFormat="1" ht="29.4" customHeight="1">
      <c r="A188" s="46">
        <v>14</v>
      </c>
      <c r="B188" s="46">
        <v>2</v>
      </c>
      <c r="C188" s="46">
        <v>61</v>
      </c>
      <c r="D188" s="48"/>
      <c r="E188" s="48"/>
      <c r="F188" s="46"/>
      <c r="G188" s="317" t="s">
        <v>1991</v>
      </c>
      <c r="H188" s="317" t="s">
        <v>1991</v>
      </c>
      <c r="I188" s="317" t="s">
        <v>1991</v>
      </c>
      <c r="J188" s="317"/>
      <c r="K188" s="317">
        <v>0</v>
      </c>
      <c r="L188" s="317" t="s">
        <v>1991</v>
      </c>
      <c r="M188" s="317" t="s">
        <v>1991</v>
      </c>
      <c r="N188" s="317" t="s">
        <v>1991</v>
      </c>
      <c r="O188" s="317" t="s">
        <v>1991</v>
      </c>
      <c r="P188" s="317" t="s">
        <v>1991</v>
      </c>
      <c r="Q188" s="317" t="s">
        <v>1991</v>
      </c>
      <c r="R188" s="317" t="s">
        <v>1991</v>
      </c>
      <c r="S188" s="317" t="s">
        <v>1991</v>
      </c>
      <c r="T188" s="326" t="s">
        <v>1991</v>
      </c>
      <c r="U188" s="312" t="s">
        <v>1991</v>
      </c>
      <c r="V188" s="46" t="s">
        <v>1991</v>
      </c>
      <c r="W188" s="324" t="s">
        <v>1991</v>
      </c>
      <c r="X188" s="324" t="s">
        <v>1991</v>
      </c>
      <c r="Y188" s="324" t="s">
        <v>1991</v>
      </c>
      <c r="Z188" s="46" t="s">
        <v>1991</v>
      </c>
      <c r="AA188" s="46" t="s">
        <v>1991</v>
      </c>
      <c r="AB188" s="46" t="s">
        <v>1991</v>
      </c>
      <c r="AC188" s="46" t="s">
        <v>1991</v>
      </c>
      <c r="AD188" s="46" t="s">
        <v>1991</v>
      </c>
      <c r="AE188" s="324" t="s">
        <v>1991</v>
      </c>
      <c r="AF188" s="324" t="s">
        <v>1991</v>
      </c>
      <c r="AG188" s="324" t="s">
        <v>1991</v>
      </c>
      <c r="AH188" s="324" t="s">
        <v>1991</v>
      </c>
      <c r="AI188" s="324" t="s">
        <v>1991</v>
      </c>
      <c r="AJ188" s="324" t="s">
        <v>1991</v>
      </c>
      <c r="AK188" s="324" t="s">
        <v>1991</v>
      </c>
      <c r="AL188" s="327"/>
      <c r="AM188" s="327"/>
      <c r="AN188" s="327"/>
      <c r="AO188" s="327"/>
      <c r="AP188" s="327"/>
      <c r="AQ188" s="327"/>
      <c r="AR188" s="327"/>
      <c r="AS188" s="327"/>
      <c r="AT188" s="327"/>
      <c r="AU188" s="327"/>
      <c r="AV188" s="327"/>
      <c r="AW188" s="327"/>
      <c r="AX188" s="327"/>
      <c r="AY188" s="327"/>
      <c r="AZ188" s="327"/>
      <c r="BA188" s="327"/>
      <c r="BB188" s="46">
        <f t="shared" si="59"/>
        <v>13</v>
      </c>
      <c r="BC188" s="46">
        <f t="shared" si="77"/>
        <v>16</v>
      </c>
      <c r="BD188" s="46">
        <f t="shared" si="49"/>
        <v>0</v>
      </c>
      <c r="BE188" s="46">
        <f t="shared" si="60"/>
        <v>0</v>
      </c>
      <c r="BF188" s="296">
        <f t="shared" si="61"/>
        <v>29</v>
      </c>
      <c r="BG188" s="2"/>
      <c r="BH188" s="2"/>
      <c r="BI188" s="2"/>
      <c r="BJ188" s="2"/>
      <c r="BK188" s="279">
        <f t="shared" si="78"/>
        <v>1</v>
      </c>
      <c r="BL188" s="279">
        <f t="shared" si="62"/>
        <v>29</v>
      </c>
      <c r="BM188" s="279"/>
      <c r="BN188" s="279"/>
      <c r="BO188" s="2">
        <f t="shared" si="63"/>
        <v>29</v>
      </c>
      <c r="BP188" s="430"/>
      <c r="BQ188" s="431"/>
      <c r="BR188" s="2"/>
      <c r="BS188" s="25"/>
      <c r="BT188" s="348">
        <f t="shared" si="64"/>
        <v>1</v>
      </c>
      <c r="BU188" s="2"/>
      <c r="BV188" s="282">
        <f t="shared" si="65"/>
        <v>0</v>
      </c>
      <c r="BW188" s="279">
        <v>0</v>
      </c>
      <c r="BX188" s="269">
        <f t="shared" si="66"/>
        <v>0</v>
      </c>
      <c r="BY188" s="349" t="e">
        <f t="shared" si="67"/>
        <v>#N/A</v>
      </c>
      <c r="BZ188" s="349" t="e">
        <f t="shared" si="68"/>
        <v>#N/A</v>
      </c>
      <c r="CA188" s="349" t="e">
        <f t="shared" si="69"/>
        <v>#N/A</v>
      </c>
      <c r="CB188" s="349" t="e">
        <f t="shared" si="70"/>
        <v>#N/A</v>
      </c>
      <c r="CC188" s="349" t="e">
        <f t="shared" si="71"/>
        <v>#N/A</v>
      </c>
      <c r="CD188" s="14" t="e">
        <f t="shared" si="72"/>
        <v>#N/A</v>
      </c>
      <c r="CE188" s="14">
        <f t="shared" si="73"/>
        <v>29</v>
      </c>
      <c r="CF188" s="25">
        <f t="shared" si="74"/>
        <v>1</v>
      </c>
      <c r="CG188" s="270"/>
      <c r="CH188" s="2"/>
      <c r="CL188" s="349" t="e">
        <f>#N/A</f>
        <v>#N/A</v>
      </c>
      <c r="CM188" s="349" t="e">
        <f>#N/A</f>
        <v>#N/A</v>
      </c>
      <c r="CN188" s="349" t="e">
        <f>#N/A</f>
        <v>#N/A</v>
      </c>
      <c r="CO188" s="349" t="e">
        <f>#N/A</f>
        <v>#N/A</v>
      </c>
      <c r="CP188" s="349" t="e">
        <f t="shared" si="75"/>
        <v>#N/A</v>
      </c>
      <c r="CQ188" s="14" t="e">
        <f t="shared" si="76"/>
        <v>#N/A</v>
      </c>
      <c r="CW188" s="1">
        <f t="shared" si="53"/>
        <v>0</v>
      </c>
      <c r="CX188" s="1">
        <f t="shared" si="54"/>
        <v>0</v>
      </c>
      <c r="CY188" s="2">
        <f t="shared" si="55"/>
        <v>0</v>
      </c>
    </row>
    <row r="189" spans="1:103" s="1" customFormat="1" ht="29.4" customHeight="1">
      <c r="A189" s="46">
        <v>15</v>
      </c>
      <c r="B189" s="46">
        <v>2</v>
      </c>
      <c r="C189" s="46">
        <v>62</v>
      </c>
      <c r="D189" s="48"/>
      <c r="E189" s="48"/>
      <c r="F189" s="46"/>
      <c r="G189" s="317" t="s">
        <v>1991</v>
      </c>
      <c r="H189" s="317" t="s">
        <v>1991</v>
      </c>
      <c r="I189" s="317" t="s">
        <v>1991</v>
      </c>
      <c r="J189" s="317"/>
      <c r="K189" s="317">
        <v>0</v>
      </c>
      <c r="L189" s="317" t="s">
        <v>1991</v>
      </c>
      <c r="M189" s="317" t="s">
        <v>1991</v>
      </c>
      <c r="N189" s="317" t="s">
        <v>1991</v>
      </c>
      <c r="O189" s="317" t="s">
        <v>1991</v>
      </c>
      <c r="P189" s="317" t="s">
        <v>1991</v>
      </c>
      <c r="Q189" s="317" t="s">
        <v>1991</v>
      </c>
      <c r="R189" s="317" t="s">
        <v>1991</v>
      </c>
      <c r="S189" s="317" t="s">
        <v>1991</v>
      </c>
      <c r="T189" s="326" t="s">
        <v>1991</v>
      </c>
      <c r="U189" s="312" t="s">
        <v>1991</v>
      </c>
      <c r="V189" s="46">
        <v>0</v>
      </c>
      <c r="W189" s="324" t="s">
        <v>1991</v>
      </c>
      <c r="X189" s="324" t="s">
        <v>1991</v>
      </c>
      <c r="Y189" s="324" t="s">
        <v>1991</v>
      </c>
      <c r="Z189" s="46" t="s">
        <v>1991</v>
      </c>
      <c r="AA189" s="46" t="s">
        <v>1991</v>
      </c>
      <c r="AB189" s="46" t="s">
        <v>1991</v>
      </c>
      <c r="AC189" s="46" t="s">
        <v>1991</v>
      </c>
      <c r="AD189" s="46" t="s">
        <v>1991</v>
      </c>
      <c r="AE189" s="324" t="s">
        <v>1991</v>
      </c>
      <c r="AF189" s="324" t="s">
        <v>1991</v>
      </c>
      <c r="AG189" s="324" t="s">
        <v>1991</v>
      </c>
      <c r="AH189" s="324" t="s">
        <v>1991</v>
      </c>
      <c r="AI189" s="324" t="s">
        <v>1991</v>
      </c>
      <c r="AJ189" s="324" t="s">
        <v>1991</v>
      </c>
      <c r="AK189" s="324">
        <v>0</v>
      </c>
      <c r="AL189" s="327"/>
      <c r="AM189" s="327"/>
      <c r="AN189" s="327"/>
      <c r="AO189" s="327"/>
      <c r="AP189" s="327"/>
      <c r="AQ189" s="327"/>
      <c r="AR189" s="327"/>
      <c r="AS189" s="327"/>
      <c r="AT189" s="327"/>
      <c r="AU189" s="327"/>
      <c r="AV189" s="327"/>
      <c r="AW189" s="327"/>
      <c r="AX189" s="327"/>
      <c r="AY189" s="327"/>
      <c r="AZ189" s="327"/>
      <c r="BA189" s="327"/>
      <c r="BB189" s="46">
        <f t="shared" si="59"/>
        <v>13</v>
      </c>
      <c r="BC189" s="46">
        <f t="shared" si="77"/>
        <v>14</v>
      </c>
      <c r="BD189" s="46">
        <f t="shared" si="49"/>
        <v>0</v>
      </c>
      <c r="BE189" s="46">
        <f t="shared" si="60"/>
        <v>0</v>
      </c>
      <c r="BF189" s="296">
        <f t="shared" si="61"/>
        <v>27</v>
      </c>
      <c r="BG189" s="2"/>
      <c r="BH189" s="2"/>
      <c r="BI189" s="2"/>
      <c r="BJ189" s="2"/>
      <c r="BK189" s="279">
        <f t="shared" si="78"/>
        <v>1</v>
      </c>
      <c r="BL189" s="279">
        <f t="shared" si="62"/>
        <v>27</v>
      </c>
      <c r="BM189" s="279"/>
      <c r="BN189" s="279"/>
      <c r="BO189" s="2">
        <f t="shared" si="63"/>
        <v>27</v>
      </c>
      <c r="BP189" s="430"/>
      <c r="BQ189" s="431"/>
      <c r="BR189" s="2"/>
      <c r="BS189" s="25"/>
      <c r="BT189" s="348">
        <f t="shared" si="64"/>
        <v>1</v>
      </c>
      <c r="BU189" s="2"/>
      <c r="BV189" s="282">
        <f t="shared" si="65"/>
        <v>0</v>
      </c>
      <c r="BW189" s="279">
        <v>0</v>
      </c>
      <c r="BX189" s="269">
        <f t="shared" si="66"/>
        <v>0</v>
      </c>
      <c r="BY189" s="349" t="e">
        <f t="shared" si="67"/>
        <v>#N/A</v>
      </c>
      <c r="BZ189" s="349" t="e">
        <f t="shared" si="68"/>
        <v>#N/A</v>
      </c>
      <c r="CA189" s="349" t="e">
        <f t="shared" si="69"/>
        <v>#N/A</v>
      </c>
      <c r="CB189" s="349" t="e">
        <f t="shared" si="70"/>
        <v>#N/A</v>
      </c>
      <c r="CC189" s="349" t="e">
        <f t="shared" si="71"/>
        <v>#N/A</v>
      </c>
      <c r="CD189" s="14" t="e">
        <f t="shared" si="72"/>
        <v>#N/A</v>
      </c>
      <c r="CE189" s="14">
        <f t="shared" si="73"/>
        <v>27</v>
      </c>
      <c r="CF189" s="25">
        <f t="shared" si="74"/>
        <v>1</v>
      </c>
      <c r="CG189" s="270"/>
      <c r="CH189" s="2"/>
      <c r="CL189" s="349" t="e">
        <f>#N/A</f>
        <v>#N/A</v>
      </c>
      <c r="CM189" s="349" t="e">
        <f>#N/A</f>
        <v>#N/A</v>
      </c>
      <c r="CN189" s="349" t="e">
        <f>#N/A</f>
        <v>#N/A</v>
      </c>
      <c r="CO189" s="349" t="e">
        <f>#N/A</f>
        <v>#N/A</v>
      </c>
      <c r="CP189" s="349" t="e">
        <f t="shared" si="75"/>
        <v>#N/A</v>
      </c>
      <c r="CQ189" s="14" t="e">
        <f t="shared" si="76"/>
        <v>#N/A</v>
      </c>
      <c r="CW189" s="1">
        <f t="shared" si="53"/>
        <v>0</v>
      </c>
      <c r="CX189" s="1">
        <f t="shared" si="54"/>
        <v>0</v>
      </c>
      <c r="CY189" s="2">
        <f t="shared" si="55"/>
        <v>0</v>
      </c>
    </row>
    <row r="190" spans="1:103" s="1" customFormat="1" ht="29.4" customHeight="1">
      <c r="A190" s="46">
        <v>16</v>
      </c>
      <c r="B190" s="46">
        <v>2</v>
      </c>
      <c r="C190" s="46">
        <v>63</v>
      </c>
      <c r="D190" s="48"/>
      <c r="E190" s="48"/>
      <c r="F190" s="46"/>
      <c r="G190" s="317">
        <v>0</v>
      </c>
      <c r="H190" s="317" t="s">
        <v>1991</v>
      </c>
      <c r="I190" s="317" t="s">
        <v>1991</v>
      </c>
      <c r="J190" s="317"/>
      <c r="K190" s="317" t="s">
        <v>1991</v>
      </c>
      <c r="L190" s="317" t="s">
        <v>1991</v>
      </c>
      <c r="M190" s="317" t="s">
        <v>1991</v>
      </c>
      <c r="N190" s="317" t="s">
        <v>1991</v>
      </c>
      <c r="O190" s="317" t="s">
        <v>1991</v>
      </c>
      <c r="P190" s="317" t="s">
        <v>1991</v>
      </c>
      <c r="Q190" s="317" t="s">
        <v>1991</v>
      </c>
      <c r="R190" s="317">
        <v>0</v>
      </c>
      <c r="S190" s="317" t="s">
        <v>1991</v>
      </c>
      <c r="T190" s="326" t="s">
        <v>1991</v>
      </c>
      <c r="U190" s="312" t="s">
        <v>1991</v>
      </c>
      <c r="V190" s="46" t="s">
        <v>1991</v>
      </c>
      <c r="W190" s="324" t="s">
        <v>1991</v>
      </c>
      <c r="X190" s="324" t="s">
        <v>1991</v>
      </c>
      <c r="Y190" s="324" t="s">
        <v>1991</v>
      </c>
      <c r="Z190" s="46" t="s">
        <v>1991</v>
      </c>
      <c r="AA190" s="46" t="s">
        <v>1991</v>
      </c>
      <c r="AB190" s="46" t="s">
        <v>1991</v>
      </c>
      <c r="AC190" s="46" t="s">
        <v>1991</v>
      </c>
      <c r="AD190" s="46" t="s">
        <v>1991</v>
      </c>
      <c r="AE190" s="324" t="s">
        <v>1991</v>
      </c>
      <c r="AF190" s="324" t="s">
        <v>1991</v>
      </c>
      <c r="AG190" s="324" t="s">
        <v>1991</v>
      </c>
      <c r="AH190" s="324">
        <v>0</v>
      </c>
      <c r="AI190" s="324" t="s">
        <v>1991</v>
      </c>
      <c r="AJ190" s="324" t="s">
        <v>1991</v>
      </c>
      <c r="AK190" s="324" t="s">
        <v>1991</v>
      </c>
      <c r="AL190" s="327"/>
      <c r="AM190" s="327"/>
      <c r="AN190" s="327"/>
      <c r="AO190" s="327"/>
      <c r="AP190" s="327" t="s">
        <v>1991</v>
      </c>
      <c r="AQ190" s="327"/>
      <c r="AR190" s="327"/>
      <c r="AS190" s="327"/>
      <c r="AT190" s="327"/>
      <c r="AU190" s="327"/>
      <c r="AV190" s="327"/>
      <c r="AW190" s="327"/>
      <c r="AX190" s="327"/>
      <c r="AY190" s="327"/>
      <c r="AZ190" s="327"/>
      <c r="BA190" s="327"/>
      <c r="BB190" s="46">
        <f t="shared" si="59"/>
        <v>12</v>
      </c>
      <c r="BC190" s="46">
        <f t="shared" si="77"/>
        <v>15</v>
      </c>
      <c r="BD190" s="46">
        <f t="shared" si="49"/>
        <v>1</v>
      </c>
      <c r="BE190" s="46">
        <f t="shared" si="60"/>
        <v>0</v>
      </c>
      <c r="BF190" s="296">
        <f t="shared" si="61"/>
        <v>27</v>
      </c>
      <c r="BG190" s="2"/>
      <c r="BH190" s="2"/>
      <c r="BI190" s="2"/>
      <c r="BJ190" s="2"/>
      <c r="BK190" s="279">
        <f t="shared" si="78"/>
        <v>1</v>
      </c>
      <c r="BL190" s="279">
        <f t="shared" si="62"/>
        <v>27</v>
      </c>
      <c r="BM190" s="279"/>
      <c r="BN190" s="279"/>
      <c r="BO190" s="2">
        <f t="shared" si="63"/>
        <v>27</v>
      </c>
      <c r="BP190" s="430"/>
      <c r="BQ190" s="431"/>
      <c r="BR190" s="2"/>
      <c r="BS190" s="25"/>
      <c r="BT190" s="348">
        <f t="shared" si="64"/>
        <v>1</v>
      </c>
      <c r="BU190" s="2"/>
      <c r="BV190" s="282">
        <f t="shared" si="65"/>
        <v>0</v>
      </c>
      <c r="BW190" s="279">
        <v>0</v>
      </c>
      <c r="BX190" s="269">
        <f t="shared" si="66"/>
        <v>0</v>
      </c>
      <c r="BY190" s="349" t="e">
        <f t="shared" si="67"/>
        <v>#N/A</v>
      </c>
      <c r="BZ190" s="349" t="e">
        <f t="shared" si="68"/>
        <v>#N/A</v>
      </c>
      <c r="CA190" s="349" t="e">
        <f t="shared" si="69"/>
        <v>#N/A</v>
      </c>
      <c r="CB190" s="349" t="e">
        <f t="shared" si="70"/>
        <v>#N/A</v>
      </c>
      <c r="CC190" s="349" t="e">
        <f t="shared" si="71"/>
        <v>#N/A</v>
      </c>
      <c r="CD190" s="14" t="e">
        <f t="shared" si="72"/>
        <v>#N/A</v>
      </c>
      <c r="CE190" s="14">
        <f t="shared" si="73"/>
        <v>27</v>
      </c>
      <c r="CF190" s="25">
        <f t="shared" si="74"/>
        <v>1</v>
      </c>
      <c r="CG190" s="270"/>
      <c r="CH190" s="2"/>
      <c r="CL190" s="349" t="e">
        <f>#N/A</f>
        <v>#N/A</v>
      </c>
      <c r="CM190" s="349" t="e">
        <f>#N/A</f>
        <v>#N/A</v>
      </c>
      <c r="CN190" s="349" t="e">
        <f>#N/A</f>
        <v>#N/A</v>
      </c>
      <c r="CO190" s="349" t="e">
        <f>#N/A</f>
        <v>#N/A</v>
      </c>
      <c r="CP190" s="349" t="e">
        <f t="shared" si="75"/>
        <v>#N/A</v>
      </c>
      <c r="CQ190" s="14" t="e">
        <f t="shared" si="76"/>
        <v>#N/A</v>
      </c>
      <c r="CW190" s="1">
        <f t="shared" si="53"/>
        <v>0</v>
      </c>
      <c r="CX190" s="1">
        <f t="shared" si="54"/>
        <v>0</v>
      </c>
      <c r="CY190" s="2">
        <f t="shared" si="55"/>
        <v>0</v>
      </c>
    </row>
    <row r="191" spans="1:103" s="1" customFormat="1" ht="29.4" customHeight="1">
      <c r="A191" s="46">
        <v>17</v>
      </c>
      <c r="B191" s="46">
        <v>2</v>
      </c>
      <c r="C191" s="46">
        <v>64</v>
      </c>
      <c r="D191" s="48"/>
      <c r="E191" s="48"/>
      <c r="F191" s="46"/>
      <c r="G191" s="317">
        <v>0</v>
      </c>
      <c r="H191" s="317" t="s">
        <v>1991</v>
      </c>
      <c r="I191" s="317">
        <v>0</v>
      </c>
      <c r="J191" s="317"/>
      <c r="K191" s="317" t="s">
        <v>1991</v>
      </c>
      <c r="L191" s="317" t="s">
        <v>1991</v>
      </c>
      <c r="M191" s="317" t="s">
        <v>1991</v>
      </c>
      <c r="N191" s="317" t="s">
        <v>1991</v>
      </c>
      <c r="O191" s="317" t="s">
        <v>1991</v>
      </c>
      <c r="P191" s="317" t="s">
        <v>1991</v>
      </c>
      <c r="Q191" s="317" t="s">
        <v>1991</v>
      </c>
      <c r="R191" s="317" t="s">
        <v>1991</v>
      </c>
      <c r="S191" s="317" t="s">
        <v>1991</v>
      </c>
      <c r="T191" s="326" t="s">
        <v>1991</v>
      </c>
      <c r="U191" s="312" t="s">
        <v>1991</v>
      </c>
      <c r="V191" s="46" t="s">
        <v>1991</v>
      </c>
      <c r="W191" s="324">
        <v>0</v>
      </c>
      <c r="X191" s="324" t="s">
        <v>1991</v>
      </c>
      <c r="Y191" s="324" t="s">
        <v>1991</v>
      </c>
      <c r="Z191" s="46" t="s">
        <v>1991</v>
      </c>
      <c r="AA191" s="46" t="s">
        <v>1991</v>
      </c>
      <c r="AB191" s="46" t="s">
        <v>1991</v>
      </c>
      <c r="AC191" s="46" t="s">
        <v>1991</v>
      </c>
      <c r="AD191" s="46" t="s">
        <v>1991</v>
      </c>
      <c r="AE191" s="324" t="s">
        <v>1991</v>
      </c>
      <c r="AF191" s="324" t="s">
        <v>1991</v>
      </c>
      <c r="AG191" s="324" t="s">
        <v>1991</v>
      </c>
      <c r="AH191" s="324" t="s">
        <v>1991</v>
      </c>
      <c r="AI191" s="324" t="s">
        <v>1991</v>
      </c>
      <c r="AJ191" s="324" t="s">
        <v>1991</v>
      </c>
      <c r="AK191" s="324" t="s">
        <v>1991</v>
      </c>
      <c r="AL191" s="327"/>
      <c r="AM191" s="327"/>
      <c r="AN191" s="327"/>
      <c r="AO191" s="327"/>
      <c r="AP191" s="327"/>
      <c r="AQ191" s="327"/>
      <c r="AR191" s="327"/>
      <c r="AS191" s="327"/>
      <c r="AT191" s="327"/>
      <c r="AU191" s="327"/>
      <c r="AV191" s="327"/>
      <c r="AW191" s="327"/>
      <c r="AX191" s="327"/>
      <c r="AY191" s="327"/>
      <c r="AZ191" s="327"/>
      <c r="BA191" s="327"/>
      <c r="BB191" s="46">
        <f t="shared" si="59"/>
        <v>12</v>
      </c>
      <c r="BC191" s="46">
        <f t="shared" si="77"/>
        <v>15</v>
      </c>
      <c r="BD191" s="46">
        <f t="shared" si="49"/>
        <v>0</v>
      </c>
      <c r="BE191" s="46">
        <f t="shared" si="60"/>
        <v>0</v>
      </c>
      <c r="BF191" s="296">
        <f t="shared" si="61"/>
        <v>27</v>
      </c>
      <c r="BG191" s="2"/>
      <c r="BH191" s="2"/>
      <c r="BI191" s="2"/>
      <c r="BJ191" s="2"/>
      <c r="BK191" s="279">
        <f t="shared" si="78"/>
        <v>1</v>
      </c>
      <c r="BL191" s="279">
        <f t="shared" si="62"/>
        <v>27</v>
      </c>
      <c r="BM191" s="279"/>
      <c r="BN191" s="279"/>
      <c r="BO191" s="2">
        <f t="shared" si="63"/>
        <v>27</v>
      </c>
      <c r="BP191" s="430"/>
      <c r="BQ191" s="431"/>
      <c r="BR191" s="2"/>
      <c r="BS191" s="25"/>
      <c r="BT191" s="348">
        <f t="shared" si="64"/>
        <v>1</v>
      </c>
      <c r="BU191" s="2"/>
      <c r="BV191" s="282">
        <f t="shared" si="65"/>
        <v>0</v>
      </c>
      <c r="BW191" s="279">
        <v>0</v>
      </c>
      <c r="BX191" s="269">
        <f t="shared" si="66"/>
        <v>0</v>
      </c>
      <c r="BY191" s="349" t="e">
        <f t="shared" si="67"/>
        <v>#N/A</v>
      </c>
      <c r="BZ191" s="349" t="e">
        <f t="shared" si="68"/>
        <v>#N/A</v>
      </c>
      <c r="CA191" s="349" t="e">
        <f t="shared" si="69"/>
        <v>#N/A</v>
      </c>
      <c r="CB191" s="349" t="e">
        <f t="shared" si="70"/>
        <v>#N/A</v>
      </c>
      <c r="CC191" s="349" t="e">
        <f t="shared" si="71"/>
        <v>#N/A</v>
      </c>
      <c r="CD191" s="14" t="e">
        <f t="shared" si="72"/>
        <v>#N/A</v>
      </c>
      <c r="CE191" s="14">
        <f t="shared" si="73"/>
        <v>27</v>
      </c>
      <c r="CF191" s="25">
        <f t="shared" si="74"/>
        <v>1</v>
      </c>
      <c r="CG191" s="270"/>
      <c r="CH191" s="2"/>
      <c r="CL191" s="349" t="e">
        <f>#N/A</f>
        <v>#N/A</v>
      </c>
      <c r="CM191" s="349" t="e">
        <f>#N/A</f>
        <v>#N/A</v>
      </c>
      <c r="CN191" s="349" t="e">
        <f>#N/A</f>
        <v>#N/A</v>
      </c>
      <c r="CO191" s="349" t="e">
        <f>#N/A</f>
        <v>#N/A</v>
      </c>
      <c r="CP191" s="349" t="e">
        <f t="shared" si="75"/>
        <v>#N/A</v>
      </c>
      <c r="CQ191" s="14" t="e">
        <f t="shared" si="76"/>
        <v>#N/A</v>
      </c>
      <c r="CW191" s="1">
        <f t="shared" si="53"/>
        <v>0</v>
      </c>
      <c r="CX191" s="1">
        <f t="shared" si="54"/>
        <v>0</v>
      </c>
      <c r="CY191" s="2">
        <f t="shared" ref="CY191:CY218" si="79">IF(COUNT(CW191:CX191)=2,ROUND((CW191+CX191)/2,2),CW191)</f>
        <v>0</v>
      </c>
    </row>
    <row r="192" spans="1:103" s="1" customFormat="1" ht="29.4" customHeight="1">
      <c r="A192" s="46">
        <v>18</v>
      </c>
      <c r="B192" s="46">
        <v>2</v>
      </c>
      <c r="C192" s="46">
        <v>65</v>
      </c>
      <c r="D192" s="48"/>
      <c r="E192" s="48"/>
      <c r="F192" s="46"/>
      <c r="G192" s="317" t="s">
        <v>1991</v>
      </c>
      <c r="H192" s="317" t="s">
        <v>1991</v>
      </c>
      <c r="I192" s="317">
        <v>0</v>
      </c>
      <c r="J192" s="317"/>
      <c r="K192" s="317">
        <v>0</v>
      </c>
      <c r="L192" s="317">
        <v>0</v>
      </c>
      <c r="M192" s="317" t="s">
        <v>1991</v>
      </c>
      <c r="N192" s="317" t="s">
        <v>1991</v>
      </c>
      <c r="O192" s="317" t="s">
        <v>1991</v>
      </c>
      <c r="P192" s="317" t="s">
        <v>1991</v>
      </c>
      <c r="Q192" s="317" t="s">
        <v>1991</v>
      </c>
      <c r="R192" s="317" t="s">
        <v>1991</v>
      </c>
      <c r="S192" s="317" t="s">
        <v>1991</v>
      </c>
      <c r="T192" s="326" t="s">
        <v>1991</v>
      </c>
      <c r="U192" s="312" t="s">
        <v>1991</v>
      </c>
      <c r="V192" s="46" t="s">
        <v>1991</v>
      </c>
      <c r="W192" s="324" t="s">
        <v>1991</v>
      </c>
      <c r="X192" s="324" t="s">
        <v>1991</v>
      </c>
      <c r="Y192" s="324" t="s">
        <v>1991</v>
      </c>
      <c r="Z192" s="46" t="s">
        <v>1991</v>
      </c>
      <c r="AA192" s="46" t="s">
        <v>1991</v>
      </c>
      <c r="AB192" s="46" t="s">
        <v>1991</v>
      </c>
      <c r="AC192" s="46" t="s">
        <v>1991</v>
      </c>
      <c r="AD192" s="46" t="s">
        <v>1991</v>
      </c>
      <c r="AE192" s="324" t="s">
        <v>1991</v>
      </c>
      <c r="AF192" s="324" t="s">
        <v>1991</v>
      </c>
      <c r="AG192" s="324" t="s">
        <v>1991</v>
      </c>
      <c r="AH192" s="324" t="s">
        <v>1991</v>
      </c>
      <c r="AI192" s="324" t="s">
        <v>1991</v>
      </c>
      <c r="AJ192" s="324" t="s">
        <v>1991</v>
      </c>
      <c r="AK192" s="324" t="s">
        <v>1991</v>
      </c>
      <c r="AL192" s="327"/>
      <c r="AM192" s="327"/>
      <c r="AN192" s="327"/>
      <c r="AO192" s="327"/>
      <c r="AP192" s="327" t="s">
        <v>1991</v>
      </c>
      <c r="AQ192" s="327"/>
      <c r="AR192" s="327"/>
      <c r="AS192" s="327" t="s">
        <v>1991</v>
      </c>
      <c r="AT192" s="327"/>
      <c r="AU192" s="327"/>
      <c r="AV192" s="327"/>
      <c r="AW192" s="327"/>
      <c r="AX192" s="327"/>
      <c r="AY192" s="327"/>
      <c r="AZ192" s="327"/>
      <c r="BA192" s="327"/>
      <c r="BB192" s="46">
        <f t="shared" si="59"/>
        <v>11</v>
      </c>
      <c r="BC192" s="46">
        <f t="shared" si="77"/>
        <v>16</v>
      </c>
      <c r="BD192" s="46">
        <f t="shared" si="49"/>
        <v>2</v>
      </c>
      <c r="BE192" s="46">
        <f t="shared" ref="BE192:BE218" si="80">COUNTIF(AU192:BA192,"x")</f>
        <v>0</v>
      </c>
      <c r="BF192" s="296">
        <f t="shared" ref="BF192:BF218" si="81">BB192+BC192</f>
        <v>27</v>
      </c>
      <c r="BG192" s="2"/>
      <c r="BH192" s="2"/>
      <c r="BI192" s="2"/>
      <c r="BJ192" s="2"/>
      <c r="BK192" s="279">
        <f t="shared" si="78"/>
        <v>1</v>
      </c>
      <c r="BL192" s="279">
        <f t="shared" si="62"/>
        <v>27</v>
      </c>
      <c r="BM192" s="279"/>
      <c r="BN192" s="279"/>
      <c r="BO192" s="2">
        <f t="shared" si="63"/>
        <v>27</v>
      </c>
      <c r="BP192" s="430"/>
      <c r="BQ192" s="431"/>
      <c r="BR192" s="2"/>
      <c r="BS192" s="25"/>
      <c r="BT192" s="348">
        <f t="shared" si="64"/>
        <v>1</v>
      </c>
      <c r="BU192" s="2"/>
      <c r="BV192" s="282">
        <f t="shared" ref="BV192:BV218" si="82">IF(AND(BU192&gt;0,BU192&lt;=1),50000,IF(AND(BU192&gt;1,BU192&lt;=3),40000,IF(AND(BU192&gt;3,BU192&lt;=5),20000,IF(AND(BU192&gt;5,BU192&lt;=9),0,IF(AND(BU192&gt;9,BU192&lt;=11),-20000,IF(AND(BU192&gt;11,BU192&lt;=13),-40000,IF(BU192&gt;13,-50000,0)))))))</f>
        <v>0</v>
      </c>
      <c r="BW192" s="279">
        <v>20000</v>
      </c>
      <c r="BX192" s="269">
        <f t="shared" si="66"/>
        <v>-0.15</v>
      </c>
      <c r="BY192" s="349" t="e">
        <f t="shared" si="67"/>
        <v>#N/A</v>
      </c>
      <c r="BZ192" s="349" t="e">
        <f t="shared" si="68"/>
        <v>#N/A</v>
      </c>
      <c r="CA192" s="349" t="e">
        <f t="shared" si="69"/>
        <v>#N/A</v>
      </c>
      <c r="CB192" s="349" t="e">
        <f t="shared" si="70"/>
        <v>#N/A</v>
      </c>
      <c r="CC192" s="349" t="e">
        <f t="shared" ref="CC192:CC218" si="83">SUM(BY192:CB192)</f>
        <v>#N/A</v>
      </c>
      <c r="CD192" s="14" t="e">
        <f t="shared" si="72"/>
        <v>#N/A</v>
      </c>
      <c r="CE192" s="14">
        <f t="shared" ref="CE192:CE218" si="84">IF(CF192&gt;0,BF192,0)</f>
        <v>27</v>
      </c>
      <c r="CF192" s="25">
        <f t="shared" si="74"/>
        <v>1</v>
      </c>
      <c r="CG192" s="270"/>
      <c r="CH192" s="2"/>
      <c r="CL192" s="349" t="e">
        <f>#N/A</f>
        <v>#N/A</v>
      </c>
      <c r="CM192" s="349" t="e">
        <f>#N/A</f>
        <v>#N/A</v>
      </c>
      <c r="CN192" s="349" t="e">
        <f>#N/A</f>
        <v>#N/A</v>
      </c>
      <c r="CO192" s="349" t="e">
        <f>#N/A</f>
        <v>#N/A</v>
      </c>
      <c r="CP192" s="349" t="e">
        <f t="shared" si="75"/>
        <v>#N/A</v>
      </c>
      <c r="CQ192" s="14" t="e">
        <f t="shared" si="76"/>
        <v>#N/A</v>
      </c>
      <c r="CW192" s="1">
        <f t="shared" ref="CW192:CW218" si="85">BU192</f>
        <v>0</v>
      </c>
      <c r="CX192" s="1">
        <f t="shared" ref="CX192:CX218" si="86">BW192</f>
        <v>20000</v>
      </c>
      <c r="CY192" s="2">
        <f t="shared" si="79"/>
        <v>10000</v>
      </c>
    </row>
    <row r="193" spans="1:103" s="1" customFormat="1" ht="29.4" customHeight="1">
      <c r="A193" s="46">
        <v>19</v>
      </c>
      <c r="B193" s="46">
        <v>2</v>
      </c>
      <c r="C193" s="46">
        <v>66</v>
      </c>
      <c r="D193" s="48"/>
      <c r="E193" s="48"/>
      <c r="F193" s="46"/>
      <c r="G193" s="317" t="s">
        <v>1991</v>
      </c>
      <c r="H193" s="317" t="s">
        <v>1991</v>
      </c>
      <c r="I193" s="317" t="s">
        <v>1991</v>
      </c>
      <c r="J193" s="317"/>
      <c r="K193" s="317" t="s">
        <v>1991</v>
      </c>
      <c r="L193" s="317" t="s">
        <v>1991</v>
      </c>
      <c r="M193" s="317" t="s">
        <v>1991</v>
      </c>
      <c r="N193" s="317">
        <v>0</v>
      </c>
      <c r="O193" s="317" t="s">
        <v>1991</v>
      </c>
      <c r="P193" s="317" t="s">
        <v>1991</v>
      </c>
      <c r="Q193" s="317" t="s">
        <v>1991</v>
      </c>
      <c r="R193" s="317" t="s">
        <v>1991</v>
      </c>
      <c r="S193" s="317">
        <v>0</v>
      </c>
      <c r="T193" s="326">
        <v>0</v>
      </c>
      <c r="U193" s="312">
        <v>0</v>
      </c>
      <c r="V193" s="46">
        <v>0</v>
      </c>
      <c r="W193" s="324" t="s">
        <v>1991</v>
      </c>
      <c r="X193" s="324" t="s">
        <v>1991</v>
      </c>
      <c r="Y193" s="324" t="s">
        <v>1991</v>
      </c>
      <c r="Z193" s="46" t="s">
        <v>1991</v>
      </c>
      <c r="AA193" s="46" t="s">
        <v>1991</v>
      </c>
      <c r="AB193" s="46" t="s">
        <v>1991</v>
      </c>
      <c r="AC193" s="46" t="s">
        <v>1991</v>
      </c>
      <c r="AD193" s="46" t="s">
        <v>1991</v>
      </c>
      <c r="AE193" s="324" t="s">
        <v>1991</v>
      </c>
      <c r="AF193" s="324" t="s">
        <v>1991</v>
      </c>
      <c r="AG193" s="324" t="s">
        <v>1991</v>
      </c>
      <c r="AH193" s="324" t="s">
        <v>1991</v>
      </c>
      <c r="AI193" s="324" t="s">
        <v>1991</v>
      </c>
      <c r="AJ193" s="324" t="s">
        <v>1991</v>
      </c>
      <c r="AK193" s="324" t="s">
        <v>1991</v>
      </c>
      <c r="AL193" s="327"/>
      <c r="AM193" s="327"/>
      <c r="AN193" s="327"/>
      <c r="AO193" s="327"/>
      <c r="AP193" s="327" t="s">
        <v>1991</v>
      </c>
      <c r="AQ193" s="327"/>
      <c r="AR193" s="327"/>
      <c r="AS193" s="327"/>
      <c r="AT193" s="327"/>
      <c r="AU193" s="327"/>
      <c r="AV193" s="327"/>
      <c r="AW193" s="327"/>
      <c r="AX193" s="327"/>
      <c r="AY193" s="327"/>
      <c r="AZ193" s="327"/>
      <c r="BA193" s="327"/>
      <c r="BB193" s="46">
        <f t="shared" si="59"/>
        <v>10</v>
      </c>
      <c r="BC193" s="46">
        <f t="shared" si="77"/>
        <v>15</v>
      </c>
      <c r="BD193" s="46">
        <f t="shared" si="49"/>
        <v>1</v>
      </c>
      <c r="BE193" s="46">
        <f t="shared" si="80"/>
        <v>0</v>
      </c>
      <c r="BF193" s="296">
        <f t="shared" si="81"/>
        <v>25</v>
      </c>
      <c r="BG193" s="2"/>
      <c r="BH193" s="2"/>
      <c r="BI193" s="2"/>
      <c r="BJ193" s="2"/>
      <c r="BK193" s="279">
        <f t="shared" si="78"/>
        <v>0</v>
      </c>
      <c r="BL193" s="279">
        <f t="shared" si="62"/>
        <v>25</v>
      </c>
      <c r="BM193" s="279"/>
      <c r="BN193" s="279"/>
      <c r="BO193" s="2">
        <f t="shared" si="63"/>
        <v>0</v>
      </c>
      <c r="BP193" s="430"/>
      <c r="BQ193" s="431"/>
      <c r="BR193" s="2"/>
      <c r="BS193" s="25"/>
      <c r="BT193" s="348">
        <f t="shared" si="64"/>
        <v>0</v>
      </c>
      <c r="BU193" s="2"/>
      <c r="BV193" s="282">
        <f t="shared" si="82"/>
        <v>0</v>
      </c>
      <c r="BW193" s="279">
        <v>0</v>
      </c>
      <c r="BX193" s="269">
        <f t="shared" ref="BX193:BX218" si="87">IF(AND(BW193&gt;0,BW193&lt;=1),1.15,IF(AND(BW193&gt;1,BW193&lt;=3),1.1,IF(AND(BW193&gt;3,BW193&lt;=5),1.05,IF(AND(BW193&gt;5,BW193&lt;=9),1,IF(AND(BW193&gt;9,BW193&lt;=11),-0.05,IF(AND(BW193&gt;11,BW193&lt;=13),-0.1,IF(BW193&gt;13,-0.15,0)))))))</f>
        <v>0</v>
      </c>
      <c r="BY193" s="349" t="e">
        <f t="shared" si="67"/>
        <v>#N/A</v>
      </c>
      <c r="BZ193" s="349" t="e">
        <f t="shared" si="68"/>
        <v>#N/A</v>
      </c>
      <c r="CA193" s="349" t="e">
        <f t="shared" si="69"/>
        <v>#N/A</v>
      </c>
      <c r="CB193" s="349" t="e">
        <f t="shared" si="70"/>
        <v>#N/A</v>
      </c>
      <c r="CC193" s="349" t="e">
        <f t="shared" si="83"/>
        <v>#N/A</v>
      </c>
      <c r="CD193" s="14" t="e">
        <f t="shared" si="72"/>
        <v>#N/A</v>
      </c>
      <c r="CE193" s="14">
        <f t="shared" si="84"/>
        <v>0</v>
      </c>
      <c r="CF193" s="25">
        <f t="shared" si="74"/>
        <v>0</v>
      </c>
      <c r="CG193" s="270"/>
      <c r="CH193" s="2"/>
      <c r="CL193" s="349" t="e">
        <f>#N/A</f>
        <v>#N/A</v>
      </c>
      <c r="CM193" s="349" t="e">
        <f>#N/A</f>
        <v>#N/A</v>
      </c>
      <c r="CN193" s="349" t="e">
        <f>#N/A</f>
        <v>#N/A</v>
      </c>
      <c r="CO193" s="349" t="e">
        <f>#N/A</f>
        <v>#N/A</v>
      </c>
      <c r="CP193" s="349" t="e">
        <f t="shared" ref="CP193:CP218" si="88">SUM(CL193:CO193)</f>
        <v>#N/A</v>
      </c>
      <c r="CQ193" s="14" t="e">
        <f t="shared" si="76"/>
        <v>#N/A</v>
      </c>
      <c r="CW193" s="1">
        <f t="shared" si="85"/>
        <v>0</v>
      </c>
      <c r="CX193" s="1">
        <f t="shared" si="86"/>
        <v>0</v>
      </c>
      <c r="CY193" s="2">
        <f t="shared" si="79"/>
        <v>0</v>
      </c>
    </row>
    <row r="194" spans="1:103" s="1" customFormat="1" ht="29.4" customHeight="1">
      <c r="A194" s="46">
        <v>20</v>
      </c>
      <c r="B194" s="46">
        <v>2</v>
      </c>
      <c r="C194" s="46">
        <v>67</v>
      </c>
      <c r="D194" s="48"/>
      <c r="E194" s="48"/>
      <c r="F194" s="46"/>
      <c r="G194" s="317">
        <v>0</v>
      </c>
      <c r="H194" s="317">
        <v>0</v>
      </c>
      <c r="I194" s="317">
        <v>0</v>
      </c>
      <c r="J194" s="317"/>
      <c r="K194" s="317" t="s">
        <v>1991</v>
      </c>
      <c r="L194" s="317" t="s">
        <v>1991</v>
      </c>
      <c r="M194" s="317" t="s">
        <v>1991</v>
      </c>
      <c r="N194" s="317" t="s">
        <v>1991</v>
      </c>
      <c r="O194" s="317" t="s">
        <v>1991</v>
      </c>
      <c r="P194" s="317" t="s">
        <v>1991</v>
      </c>
      <c r="Q194" s="317" t="s">
        <v>1991</v>
      </c>
      <c r="R194" s="317" t="s">
        <v>1991</v>
      </c>
      <c r="S194" s="317" t="s">
        <v>1991</v>
      </c>
      <c r="T194" s="326" t="s">
        <v>1991</v>
      </c>
      <c r="U194" s="312" t="s">
        <v>1991</v>
      </c>
      <c r="V194" s="46" t="s">
        <v>1991</v>
      </c>
      <c r="W194" s="324" t="s">
        <v>1991</v>
      </c>
      <c r="X194" s="324" t="s">
        <v>1991</v>
      </c>
      <c r="Y194" s="324" t="s">
        <v>1991</v>
      </c>
      <c r="Z194" s="46" t="s">
        <v>1991</v>
      </c>
      <c r="AA194" s="46" t="s">
        <v>1991</v>
      </c>
      <c r="AB194" s="46" t="s">
        <v>1991</v>
      </c>
      <c r="AC194" s="46" t="s">
        <v>1991</v>
      </c>
      <c r="AD194" s="46" t="s">
        <v>1991</v>
      </c>
      <c r="AE194" s="324" t="s">
        <v>1991</v>
      </c>
      <c r="AF194" s="324" t="s">
        <v>1991</v>
      </c>
      <c r="AG194" s="324" t="s">
        <v>1991</v>
      </c>
      <c r="AH194" s="324" t="s">
        <v>1991</v>
      </c>
      <c r="AI194" s="324" t="s">
        <v>1991</v>
      </c>
      <c r="AJ194" s="324" t="s">
        <v>1991</v>
      </c>
      <c r="AK194" s="324" t="s">
        <v>1991</v>
      </c>
      <c r="AL194" s="327"/>
      <c r="AM194" s="327"/>
      <c r="AN194" s="327"/>
      <c r="AO194" s="327"/>
      <c r="AP194" s="327"/>
      <c r="AQ194" s="327"/>
      <c r="AR194" s="327"/>
      <c r="AS194" s="327"/>
      <c r="AT194" s="327"/>
      <c r="AU194" s="327"/>
      <c r="AV194" s="327"/>
      <c r="AW194" s="327"/>
      <c r="AX194" s="327"/>
      <c r="AY194" s="327"/>
      <c r="AZ194" s="327"/>
      <c r="BA194" s="327"/>
      <c r="BB194" s="46">
        <f t="shared" si="59"/>
        <v>11</v>
      </c>
      <c r="BC194" s="46">
        <f t="shared" si="77"/>
        <v>16</v>
      </c>
      <c r="BD194" s="46">
        <f t="shared" si="49"/>
        <v>0</v>
      </c>
      <c r="BE194" s="46">
        <f t="shared" si="80"/>
        <v>0</v>
      </c>
      <c r="BF194" s="296">
        <f t="shared" si="81"/>
        <v>27</v>
      </c>
      <c r="BG194" s="2"/>
      <c r="BH194" s="2"/>
      <c r="BI194" s="2"/>
      <c r="BJ194" s="2"/>
      <c r="BK194" s="279">
        <f t="shared" si="78"/>
        <v>1</v>
      </c>
      <c r="BL194" s="279">
        <f t="shared" si="62"/>
        <v>27</v>
      </c>
      <c r="BM194" s="279"/>
      <c r="BN194" s="279"/>
      <c r="BO194" s="2">
        <f t="shared" si="63"/>
        <v>27</v>
      </c>
      <c r="BP194" s="430"/>
      <c r="BQ194" s="431"/>
      <c r="BR194" s="2"/>
      <c r="BS194" s="25"/>
      <c r="BT194" s="348">
        <f t="shared" si="64"/>
        <v>1</v>
      </c>
      <c r="BU194" s="2"/>
      <c r="BV194" s="282">
        <f t="shared" si="82"/>
        <v>0</v>
      </c>
      <c r="BW194" s="279">
        <v>30000</v>
      </c>
      <c r="BX194" s="269">
        <f t="shared" si="87"/>
        <v>-0.15</v>
      </c>
      <c r="BY194" s="349" t="e">
        <f t="shared" si="67"/>
        <v>#N/A</v>
      </c>
      <c r="BZ194" s="349" t="e">
        <f t="shared" si="68"/>
        <v>#N/A</v>
      </c>
      <c r="CA194" s="349" t="e">
        <f t="shared" si="69"/>
        <v>#N/A</v>
      </c>
      <c r="CB194" s="349" t="e">
        <f t="shared" si="70"/>
        <v>#N/A</v>
      </c>
      <c r="CC194" s="349" t="e">
        <f t="shared" si="83"/>
        <v>#N/A</v>
      </c>
      <c r="CD194" s="14" t="e">
        <f t="shared" si="72"/>
        <v>#N/A</v>
      </c>
      <c r="CE194" s="14">
        <f t="shared" si="84"/>
        <v>27</v>
      </c>
      <c r="CF194" s="25">
        <f t="shared" si="74"/>
        <v>1</v>
      </c>
      <c r="CG194" s="270"/>
      <c r="CH194" s="2"/>
      <c r="CL194" s="349" t="e">
        <f>#N/A</f>
        <v>#N/A</v>
      </c>
      <c r="CM194" s="349" t="e">
        <f>#N/A</f>
        <v>#N/A</v>
      </c>
      <c r="CN194" s="349" t="e">
        <f>#N/A</f>
        <v>#N/A</v>
      </c>
      <c r="CO194" s="349" t="e">
        <f>#N/A</f>
        <v>#N/A</v>
      </c>
      <c r="CP194" s="349" t="e">
        <f t="shared" si="88"/>
        <v>#N/A</v>
      </c>
      <c r="CQ194" s="14" t="e">
        <f t="shared" si="76"/>
        <v>#N/A</v>
      </c>
      <c r="CW194" s="1">
        <f t="shared" si="85"/>
        <v>0</v>
      </c>
      <c r="CX194" s="1">
        <f t="shared" si="86"/>
        <v>30000</v>
      </c>
      <c r="CY194" s="2">
        <f t="shared" si="79"/>
        <v>15000</v>
      </c>
    </row>
    <row r="195" spans="1:103" s="1" customFormat="1" ht="29.4" customHeight="1">
      <c r="A195" s="46">
        <v>21</v>
      </c>
      <c r="B195" s="46">
        <v>2</v>
      </c>
      <c r="C195" s="46">
        <v>68</v>
      </c>
      <c r="D195" s="48"/>
      <c r="E195" s="48"/>
      <c r="F195" s="46"/>
      <c r="G195" s="317" t="s">
        <v>1991</v>
      </c>
      <c r="H195" s="317" t="s">
        <v>1991</v>
      </c>
      <c r="I195" s="317" t="s">
        <v>1991</v>
      </c>
      <c r="J195" s="317"/>
      <c r="K195" s="317">
        <v>0</v>
      </c>
      <c r="L195" s="317" t="s">
        <v>1991</v>
      </c>
      <c r="M195" s="317" t="s">
        <v>1991</v>
      </c>
      <c r="N195" s="317" t="s">
        <v>1991</v>
      </c>
      <c r="O195" s="317" t="s">
        <v>1991</v>
      </c>
      <c r="P195" s="317" t="s">
        <v>1991</v>
      </c>
      <c r="Q195" s="317" t="s">
        <v>1991</v>
      </c>
      <c r="R195" s="317" t="s">
        <v>1991</v>
      </c>
      <c r="S195" s="317" t="s">
        <v>1991</v>
      </c>
      <c r="T195" s="326" t="s">
        <v>1991</v>
      </c>
      <c r="U195" s="312" t="s">
        <v>1991</v>
      </c>
      <c r="V195" s="46">
        <v>0</v>
      </c>
      <c r="W195" s="324" t="s">
        <v>1991</v>
      </c>
      <c r="X195" s="324" t="s">
        <v>1991</v>
      </c>
      <c r="Y195" s="324" t="s">
        <v>1991</v>
      </c>
      <c r="Z195" s="46" t="s">
        <v>1991</v>
      </c>
      <c r="AA195" s="46" t="s">
        <v>1991</v>
      </c>
      <c r="AB195" s="46" t="s">
        <v>1991</v>
      </c>
      <c r="AC195" s="46" t="s">
        <v>1991</v>
      </c>
      <c r="AD195" s="46" t="s">
        <v>1991</v>
      </c>
      <c r="AE195" s="324" t="s">
        <v>1991</v>
      </c>
      <c r="AF195" s="324" t="s">
        <v>1991</v>
      </c>
      <c r="AG195" s="324" t="s">
        <v>1991</v>
      </c>
      <c r="AH195" s="324">
        <v>0</v>
      </c>
      <c r="AI195" s="324" t="s">
        <v>1991</v>
      </c>
      <c r="AJ195" s="324" t="s">
        <v>1991</v>
      </c>
      <c r="AK195" s="324" t="s">
        <v>1991</v>
      </c>
      <c r="AL195" s="327"/>
      <c r="AM195" s="327"/>
      <c r="AN195" s="327"/>
      <c r="AO195" s="327"/>
      <c r="AP195" s="327"/>
      <c r="AQ195" s="327"/>
      <c r="AR195" s="327"/>
      <c r="AS195" s="327"/>
      <c r="AT195" s="327"/>
      <c r="AU195" s="327"/>
      <c r="AV195" s="327"/>
      <c r="AW195" s="327"/>
      <c r="AX195" s="327"/>
      <c r="AY195" s="327"/>
      <c r="AZ195" s="327"/>
      <c r="BA195" s="327"/>
      <c r="BB195" s="46">
        <f t="shared" si="59"/>
        <v>13</v>
      </c>
      <c r="BC195" s="46">
        <f t="shared" si="77"/>
        <v>14</v>
      </c>
      <c r="BD195" s="46">
        <f t="shared" si="49"/>
        <v>0</v>
      </c>
      <c r="BE195" s="46">
        <f t="shared" si="80"/>
        <v>0</v>
      </c>
      <c r="BF195" s="296">
        <f t="shared" si="81"/>
        <v>27</v>
      </c>
      <c r="BG195" s="2"/>
      <c r="BH195" s="2"/>
      <c r="BI195" s="2"/>
      <c r="BJ195" s="2"/>
      <c r="BK195" s="279">
        <f t="shared" si="78"/>
        <v>1</v>
      </c>
      <c r="BL195" s="279">
        <f t="shared" si="62"/>
        <v>27</v>
      </c>
      <c r="BM195" s="279"/>
      <c r="BN195" s="279"/>
      <c r="BO195" s="2">
        <f t="shared" si="63"/>
        <v>27</v>
      </c>
      <c r="BP195" s="430"/>
      <c r="BQ195" s="431"/>
      <c r="BR195" s="2"/>
      <c r="BS195" s="25"/>
      <c r="BT195" s="348">
        <f t="shared" si="64"/>
        <v>1</v>
      </c>
      <c r="BU195" s="2"/>
      <c r="BV195" s="282">
        <f t="shared" si="82"/>
        <v>0</v>
      </c>
      <c r="BW195" s="279">
        <v>20000</v>
      </c>
      <c r="BX195" s="269">
        <f t="shared" si="87"/>
        <v>-0.15</v>
      </c>
      <c r="BY195" s="349" t="e">
        <f t="shared" si="67"/>
        <v>#N/A</v>
      </c>
      <c r="BZ195" s="349" t="e">
        <f t="shared" si="68"/>
        <v>#N/A</v>
      </c>
      <c r="CA195" s="349" t="e">
        <f t="shared" si="69"/>
        <v>#N/A</v>
      </c>
      <c r="CB195" s="349" t="e">
        <f t="shared" si="70"/>
        <v>#N/A</v>
      </c>
      <c r="CC195" s="349" t="e">
        <f t="shared" si="83"/>
        <v>#N/A</v>
      </c>
      <c r="CD195" s="14" t="e">
        <f t="shared" si="72"/>
        <v>#N/A</v>
      </c>
      <c r="CE195" s="14">
        <f t="shared" si="84"/>
        <v>27</v>
      </c>
      <c r="CF195" s="25">
        <f t="shared" si="74"/>
        <v>1</v>
      </c>
      <c r="CG195" s="270"/>
      <c r="CH195" s="2"/>
      <c r="CL195" s="349" t="e">
        <f>#N/A</f>
        <v>#N/A</v>
      </c>
      <c r="CM195" s="349" t="e">
        <f>#N/A</f>
        <v>#N/A</v>
      </c>
      <c r="CN195" s="349" t="e">
        <f>#N/A</f>
        <v>#N/A</v>
      </c>
      <c r="CO195" s="349" t="e">
        <f>#N/A</f>
        <v>#N/A</v>
      </c>
      <c r="CP195" s="349" t="e">
        <f t="shared" si="88"/>
        <v>#N/A</v>
      </c>
      <c r="CQ195" s="14" t="e">
        <f t="shared" si="76"/>
        <v>#N/A</v>
      </c>
      <c r="CW195" s="1">
        <f t="shared" si="85"/>
        <v>0</v>
      </c>
      <c r="CX195" s="1">
        <f t="shared" si="86"/>
        <v>20000</v>
      </c>
      <c r="CY195" s="2">
        <f t="shared" si="79"/>
        <v>10000</v>
      </c>
    </row>
    <row r="196" spans="1:103" s="1" customFormat="1" ht="29.4" customHeight="1">
      <c r="A196" s="46">
        <v>22</v>
      </c>
      <c r="B196" s="46">
        <v>2</v>
      </c>
      <c r="C196" s="46">
        <v>69</v>
      </c>
      <c r="D196" s="48"/>
      <c r="E196" s="48"/>
      <c r="F196" s="46"/>
      <c r="G196" s="317">
        <v>0</v>
      </c>
      <c r="H196" s="317" t="s">
        <v>1991</v>
      </c>
      <c r="I196" s="317" t="s">
        <v>1991</v>
      </c>
      <c r="J196" s="317"/>
      <c r="K196" s="317">
        <v>0</v>
      </c>
      <c r="L196" s="317" t="s">
        <v>1991</v>
      </c>
      <c r="M196" s="317" t="s">
        <v>1991</v>
      </c>
      <c r="N196" s="317" t="s">
        <v>1991</v>
      </c>
      <c r="O196" s="317" t="s">
        <v>1991</v>
      </c>
      <c r="P196" s="317" t="s">
        <v>1991</v>
      </c>
      <c r="Q196" s="317" t="s">
        <v>1991</v>
      </c>
      <c r="R196" s="317" t="s">
        <v>1991</v>
      </c>
      <c r="S196" s="317" t="s">
        <v>1991</v>
      </c>
      <c r="T196" s="326" t="s">
        <v>1991</v>
      </c>
      <c r="U196" s="312" t="s">
        <v>1991</v>
      </c>
      <c r="V196" s="46" t="s">
        <v>1991</v>
      </c>
      <c r="W196" s="324" t="s">
        <v>1991</v>
      </c>
      <c r="X196" s="324">
        <v>0</v>
      </c>
      <c r="Y196" s="324" t="s">
        <v>1991</v>
      </c>
      <c r="Z196" s="46" t="s">
        <v>1991</v>
      </c>
      <c r="AA196" s="46" t="s">
        <v>1991</v>
      </c>
      <c r="AB196" s="46" t="s">
        <v>1991</v>
      </c>
      <c r="AC196" s="46" t="s">
        <v>1991</v>
      </c>
      <c r="AD196" s="46" t="s">
        <v>1991</v>
      </c>
      <c r="AE196" s="324" t="s">
        <v>1991</v>
      </c>
      <c r="AF196" s="324" t="s">
        <v>1991</v>
      </c>
      <c r="AG196" s="324" t="s">
        <v>1991</v>
      </c>
      <c r="AH196" s="324" t="s">
        <v>1991</v>
      </c>
      <c r="AI196" s="324" t="s">
        <v>1991</v>
      </c>
      <c r="AJ196" s="324" t="s">
        <v>1991</v>
      </c>
      <c r="AK196" s="324" t="s">
        <v>1991</v>
      </c>
      <c r="AL196" s="327"/>
      <c r="AM196" s="327"/>
      <c r="AN196" s="327"/>
      <c r="AO196" s="327"/>
      <c r="AP196" s="327"/>
      <c r="AQ196" s="327"/>
      <c r="AR196" s="327"/>
      <c r="AS196" s="327"/>
      <c r="AT196" s="327"/>
      <c r="AU196" s="327"/>
      <c r="AV196" s="327"/>
      <c r="AW196" s="327"/>
      <c r="AX196" s="327"/>
      <c r="AY196" s="327"/>
      <c r="AZ196" s="327"/>
      <c r="BA196" s="327"/>
      <c r="BB196" s="46">
        <f t="shared" si="59"/>
        <v>12</v>
      </c>
      <c r="BC196" s="46">
        <f t="shared" si="77"/>
        <v>15</v>
      </c>
      <c r="BD196" s="46">
        <f t="shared" ref="BD196:BD259" si="89">COUNTIF(AL196:BA196,"X")</f>
        <v>0</v>
      </c>
      <c r="BE196" s="46">
        <f t="shared" si="80"/>
        <v>0</v>
      </c>
      <c r="BF196" s="296">
        <f t="shared" si="81"/>
        <v>27</v>
      </c>
      <c r="BG196" s="2"/>
      <c r="BH196" s="2"/>
      <c r="BI196" s="2"/>
      <c r="BJ196" s="2"/>
      <c r="BK196" s="279">
        <f t="shared" si="78"/>
        <v>1</v>
      </c>
      <c r="BL196" s="279">
        <f t="shared" si="62"/>
        <v>27</v>
      </c>
      <c r="BM196" s="279"/>
      <c r="BN196" s="279"/>
      <c r="BO196" s="2">
        <f t="shared" si="63"/>
        <v>27</v>
      </c>
      <c r="BP196" s="430"/>
      <c r="BQ196" s="431"/>
      <c r="BR196" s="2"/>
      <c r="BS196" s="25"/>
      <c r="BT196" s="348">
        <f t="shared" si="64"/>
        <v>1</v>
      </c>
      <c r="BU196" s="2"/>
      <c r="BV196" s="282">
        <f t="shared" si="82"/>
        <v>0</v>
      </c>
      <c r="BW196" s="279">
        <v>0</v>
      </c>
      <c r="BX196" s="269">
        <f t="shared" si="87"/>
        <v>0</v>
      </c>
      <c r="BY196" s="349" t="e">
        <f t="shared" si="67"/>
        <v>#N/A</v>
      </c>
      <c r="BZ196" s="349" t="e">
        <f t="shared" si="68"/>
        <v>#N/A</v>
      </c>
      <c r="CA196" s="349" t="e">
        <f t="shared" si="69"/>
        <v>#N/A</v>
      </c>
      <c r="CB196" s="349" t="e">
        <f t="shared" si="70"/>
        <v>#N/A</v>
      </c>
      <c r="CC196" s="349" t="e">
        <f t="shared" si="83"/>
        <v>#N/A</v>
      </c>
      <c r="CD196" s="14" t="e">
        <f t="shared" si="72"/>
        <v>#N/A</v>
      </c>
      <c r="CE196" s="14">
        <f t="shared" si="84"/>
        <v>27</v>
      </c>
      <c r="CF196" s="25">
        <f t="shared" si="74"/>
        <v>1</v>
      </c>
      <c r="CG196" s="270"/>
      <c r="CH196" s="2"/>
      <c r="CL196" s="349" t="e">
        <f>#N/A</f>
        <v>#N/A</v>
      </c>
      <c r="CM196" s="349" t="e">
        <f>#N/A</f>
        <v>#N/A</v>
      </c>
      <c r="CN196" s="349" t="e">
        <f>#N/A</f>
        <v>#N/A</v>
      </c>
      <c r="CO196" s="349" t="e">
        <f>#N/A</f>
        <v>#N/A</v>
      </c>
      <c r="CP196" s="349" t="e">
        <f t="shared" si="88"/>
        <v>#N/A</v>
      </c>
      <c r="CQ196" s="14" t="e">
        <f t="shared" si="76"/>
        <v>#N/A</v>
      </c>
      <c r="CW196" s="1">
        <f t="shared" si="85"/>
        <v>0</v>
      </c>
      <c r="CX196" s="1">
        <f t="shared" si="86"/>
        <v>0</v>
      </c>
      <c r="CY196" s="2">
        <f t="shared" si="79"/>
        <v>0</v>
      </c>
    </row>
    <row r="197" spans="1:103" s="1" customFormat="1" ht="29.4" customHeight="1">
      <c r="A197" s="46">
        <v>23</v>
      </c>
      <c r="B197" s="46">
        <v>2</v>
      </c>
      <c r="C197" s="46">
        <v>70</v>
      </c>
      <c r="D197" s="48"/>
      <c r="E197" s="48"/>
      <c r="F197" s="46"/>
      <c r="G197" s="317">
        <v>0</v>
      </c>
      <c r="H197" s="317">
        <v>0</v>
      </c>
      <c r="I197" s="317">
        <v>0</v>
      </c>
      <c r="J197" s="317"/>
      <c r="K197" s="317">
        <v>0</v>
      </c>
      <c r="L197" s="317" t="s">
        <v>1991</v>
      </c>
      <c r="M197" s="317" t="s">
        <v>1991</v>
      </c>
      <c r="N197" s="317" t="s">
        <v>1991</v>
      </c>
      <c r="O197" s="317" t="s">
        <v>1991</v>
      </c>
      <c r="P197" s="317" t="s">
        <v>1991</v>
      </c>
      <c r="Q197" s="317" t="s">
        <v>1991</v>
      </c>
      <c r="R197" s="317" t="s">
        <v>1991</v>
      </c>
      <c r="S197" s="317" t="s">
        <v>1991</v>
      </c>
      <c r="T197" s="326" t="s">
        <v>1991</v>
      </c>
      <c r="U197" s="312" t="s">
        <v>1991</v>
      </c>
      <c r="V197" s="46" t="s">
        <v>1991</v>
      </c>
      <c r="W197" s="324" t="s">
        <v>1991</v>
      </c>
      <c r="X197" s="324" t="s">
        <v>1991</v>
      </c>
      <c r="Y197" s="324" t="s">
        <v>1991</v>
      </c>
      <c r="Z197" s="46" t="s">
        <v>1991</v>
      </c>
      <c r="AA197" s="46" t="s">
        <v>1991</v>
      </c>
      <c r="AB197" s="46" t="s">
        <v>1991</v>
      </c>
      <c r="AC197" s="46" t="s">
        <v>1991</v>
      </c>
      <c r="AD197" s="46" t="s">
        <v>1991</v>
      </c>
      <c r="AE197" s="324" t="s">
        <v>1991</v>
      </c>
      <c r="AF197" s="324" t="s">
        <v>1991</v>
      </c>
      <c r="AG197" s="324" t="s">
        <v>1991</v>
      </c>
      <c r="AH197" s="324" t="s">
        <v>1991</v>
      </c>
      <c r="AI197" s="324" t="s">
        <v>1991</v>
      </c>
      <c r="AJ197" s="324" t="s">
        <v>1991</v>
      </c>
      <c r="AK197" s="324" t="s">
        <v>1991</v>
      </c>
      <c r="AL197" s="327"/>
      <c r="AM197" s="327"/>
      <c r="AN197" s="327"/>
      <c r="AO197" s="327"/>
      <c r="AP197" s="327"/>
      <c r="AQ197" s="327"/>
      <c r="AR197" s="327"/>
      <c r="AS197" s="327"/>
      <c r="AT197" s="327"/>
      <c r="AU197" s="327"/>
      <c r="AV197" s="327"/>
      <c r="AW197" s="327"/>
      <c r="AX197" s="327"/>
      <c r="AY197" s="327"/>
      <c r="AZ197" s="327"/>
      <c r="BA197" s="327"/>
      <c r="BB197" s="46">
        <f t="shared" si="59"/>
        <v>10</v>
      </c>
      <c r="BC197" s="46">
        <f t="shared" si="77"/>
        <v>16</v>
      </c>
      <c r="BD197" s="46">
        <f t="shared" si="89"/>
        <v>0</v>
      </c>
      <c r="BE197" s="46">
        <f t="shared" si="80"/>
        <v>0</v>
      </c>
      <c r="BF197" s="296">
        <f t="shared" si="81"/>
        <v>26</v>
      </c>
      <c r="BG197" s="2"/>
      <c r="BH197" s="2"/>
      <c r="BI197" s="2"/>
      <c r="BJ197" s="2"/>
      <c r="BK197" s="279">
        <f t="shared" si="78"/>
        <v>1</v>
      </c>
      <c r="BL197" s="279">
        <f t="shared" si="62"/>
        <v>26</v>
      </c>
      <c r="BM197" s="279"/>
      <c r="BN197" s="279"/>
      <c r="BO197" s="2">
        <f t="shared" si="63"/>
        <v>26</v>
      </c>
      <c r="BP197" s="430"/>
      <c r="BQ197" s="431"/>
      <c r="BR197" s="2"/>
      <c r="BS197" s="25"/>
      <c r="BT197" s="348">
        <f t="shared" si="64"/>
        <v>1</v>
      </c>
      <c r="BU197" s="2"/>
      <c r="BV197" s="282">
        <f t="shared" si="82"/>
        <v>0</v>
      </c>
      <c r="BW197" s="279">
        <v>0</v>
      </c>
      <c r="BX197" s="269">
        <f t="shared" si="87"/>
        <v>0</v>
      </c>
      <c r="BY197" s="349" t="e">
        <f t="shared" si="67"/>
        <v>#N/A</v>
      </c>
      <c r="BZ197" s="349" t="e">
        <f t="shared" si="68"/>
        <v>#N/A</v>
      </c>
      <c r="CA197" s="349" t="e">
        <f t="shared" si="69"/>
        <v>#N/A</v>
      </c>
      <c r="CB197" s="349" t="e">
        <f t="shared" si="70"/>
        <v>#N/A</v>
      </c>
      <c r="CC197" s="349" t="e">
        <f t="shared" si="83"/>
        <v>#N/A</v>
      </c>
      <c r="CD197" s="14" t="e">
        <f t="shared" si="72"/>
        <v>#N/A</v>
      </c>
      <c r="CE197" s="14">
        <f t="shared" si="84"/>
        <v>26</v>
      </c>
      <c r="CF197" s="25">
        <f t="shared" si="74"/>
        <v>1</v>
      </c>
      <c r="CG197" s="270"/>
      <c r="CH197" s="2"/>
      <c r="CL197" s="349" t="e">
        <f>#N/A</f>
        <v>#N/A</v>
      </c>
      <c r="CM197" s="349" t="e">
        <f>#N/A</f>
        <v>#N/A</v>
      </c>
      <c r="CN197" s="349" t="e">
        <f>#N/A</f>
        <v>#N/A</v>
      </c>
      <c r="CO197" s="349" t="e">
        <f>#N/A</f>
        <v>#N/A</v>
      </c>
      <c r="CP197" s="349" t="e">
        <f t="shared" si="88"/>
        <v>#N/A</v>
      </c>
      <c r="CQ197" s="14" t="e">
        <f t="shared" si="76"/>
        <v>#N/A</v>
      </c>
      <c r="CW197" s="1">
        <f t="shared" si="85"/>
        <v>0</v>
      </c>
      <c r="CX197" s="1">
        <f t="shared" si="86"/>
        <v>0</v>
      </c>
      <c r="CY197" s="2">
        <f t="shared" si="79"/>
        <v>0</v>
      </c>
    </row>
    <row r="198" spans="1:103" s="1" customFormat="1" ht="29.4" customHeight="1">
      <c r="A198" s="46">
        <v>24</v>
      </c>
      <c r="B198" s="46">
        <v>2</v>
      </c>
      <c r="C198" s="46">
        <v>71</v>
      </c>
      <c r="D198" s="48"/>
      <c r="E198" s="48"/>
      <c r="F198" s="46"/>
      <c r="G198" s="317" t="s">
        <v>1991</v>
      </c>
      <c r="H198" s="317" t="s">
        <v>1991</v>
      </c>
      <c r="I198" s="317">
        <v>0</v>
      </c>
      <c r="J198" s="317"/>
      <c r="K198" s="317">
        <v>0</v>
      </c>
      <c r="L198" s="317" t="s">
        <v>1991</v>
      </c>
      <c r="M198" s="317" t="s">
        <v>1991</v>
      </c>
      <c r="N198" s="317">
        <v>0</v>
      </c>
      <c r="O198" s="317" t="s">
        <v>1991</v>
      </c>
      <c r="P198" s="317" t="s">
        <v>1991</v>
      </c>
      <c r="Q198" s="317" t="s">
        <v>1991</v>
      </c>
      <c r="R198" s="317" t="s">
        <v>1991</v>
      </c>
      <c r="S198" s="317" t="s">
        <v>1991</v>
      </c>
      <c r="T198" s="326" t="s">
        <v>1991</v>
      </c>
      <c r="U198" s="312" t="s">
        <v>1991</v>
      </c>
      <c r="V198" s="46">
        <v>0</v>
      </c>
      <c r="W198" s="324" t="s">
        <v>1991</v>
      </c>
      <c r="X198" s="324" t="s">
        <v>1991</v>
      </c>
      <c r="Y198" s="324" t="s">
        <v>1991</v>
      </c>
      <c r="Z198" s="46" t="s">
        <v>1991</v>
      </c>
      <c r="AA198" s="46" t="s">
        <v>1991</v>
      </c>
      <c r="AB198" s="46" t="s">
        <v>1991</v>
      </c>
      <c r="AC198" s="46" t="s">
        <v>1991</v>
      </c>
      <c r="AD198" s="46" t="s">
        <v>1991</v>
      </c>
      <c r="AE198" s="324" t="s">
        <v>1991</v>
      </c>
      <c r="AF198" s="324" t="s">
        <v>1991</v>
      </c>
      <c r="AG198" s="324" t="s">
        <v>1991</v>
      </c>
      <c r="AH198" s="324" t="s">
        <v>1991</v>
      </c>
      <c r="AI198" s="324" t="s">
        <v>1991</v>
      </c>
      <c r="AJ198" s="324" t="s">
        <v>1991</v>
      </c>
      <c r="AK198" s="324" t="s">
        <v>1991</v>
      </c>
      <c r="AL198" s="327"/>
      <c r="AM198" s="327"/>
      <c r="AN198" s="327"/>
      <c r="AO198" s="327"/>
      <c r="AP198" s="327"/>
      <c r="AQ198" s="327"/>
      <c r="AR198" s="327"/>
      <c r="AS198" s="327"/>
      <c r="AT198" s="327"/>
      <c r="AU198" s="327"/>
      <c r="AV198" s="327"/>
      <c r="AW198" s="327"/>
      <c r="AX198" s="327"/>
      <c r="AY198" s="327"/>
      <c r="AZ198" s="327"/>
      <c r="BA198" s="327"/>
      <c r="BB198" s="46">
        <f t="shared" si="59"/>
        <v>11</v>
      </c>
      <c r="BC198" s="46">
        <f t="shared" si="77"/>
        <v>15</v>
      </c>
      <c r="BD198" s="46">
        <f t="shared" si="89"/>
        <v>0</v>
      </c>
      <c r="BE198" s="46">
        <f t="shared" si="80"/>
        <v>0</v>
      </c>
      <c r="BF198" s="296">
        <f t="shared" si="81"/>
        <v>26</v>
      </c>
      <c r="BG198" s="2"/>
      <c r="BH198" s="2"/>
      <c r="BI198" s="2"/>
      <c r="BJ198" s="2"/>
      <c r="BK198" s="279">
        <f t="shared" si="78"/>
        <v>1</v>
      </c>
      <c r="BL198" s="279">
        <f t="shared" si="62"/>
        <v>26</v>
      </c>
      <c r="BM198" s="279"/>
      <c r="BN198" s="279"/>
      <c r="BO198" s="2">
        <f t="shared" si="63"/>
        <v>26</v>
      </c>
      <c r="BP198" s="430"/>
      <c r="BQ198" s="431"/>
      <c r="BR198" s="2"/>
      <c r="BS198" s="25"/>
      <c r="BT198" s="348">
        <f t="shared" si="64"/>
        <v>1</v>
      </c>
      <c r="BU198" s="2"/>
      <c r="BV198" s="282">
        <f t="shared" si="82"/>
        <v>0</v>
      </c>
      <c r="BW198" s="279">
        <v>20000</v>
      </c>
      <c r="BX198" s="269">
        <f t="shared" si="87"/>
        <v>-0.15</v>
      </c>
      <c r="BY198" s="349" t="e">
        <f t="shared" si="67"/>
        <v>#N/A</v>
      </c>
      <c r="BZ198" s="349" t="e">
        <f t="shared" si="68"/>
        <v>#N/A</v>
      </c>
      <c r="CA198" s="349" t="e">
        <f t="shared" si="69"/>
        <v>#N/A</v>
      </c>
      <c r="CB198" s="349" t="e">
        <f t="shared" si="70"/>
        <v>#N/A</v>
      </c>
      <c r="CC198" s="349" t="e">
        <f t="shared" si="83"/>
        <v>#N/A</v>
      </c>
      <c r="CD198" s="14" t="e">
        <f t="shared" si="72"/>
        <v>#N/A</v>
      </c>
      <c r="CE198" s="14">
        <f t="shared" si="84"/>
        <v>26</v>
      </c>
      <c r="CF198" s="25">
        <f t="shared" si="74"/>
        <v>1</v>
      </c>
      <c r="CG198" s="270"/>
      <c r="CH198" s="2"/>
      <c r="CL198" s="349" t="e">
        <f>#N/A</f>
        <v>#N/A</v>
      </c>
      <c r="CM198" s="349" t="e">
        <f>#N/A</f>
        <v>#N/A</v>
      </c>
      <c r="CN198" s="349" t="e">
        <f>#N/A</f>
        <v>#N/A</v>
      </c>
      <c r="CO198" s="349" t="e">
        <f>#N/A</f>
        <v>#N/A</v>
      </c>
      <c r="CP198" s="349" t="e">
        <f t="shared" si="88"/>
        <v>#N/A</v>
      </c>
      <c r="CQ198" s="14" t="e">
        <f t="shared" si="76"/>
        <v>#N/A</v>
      </c>
      <c r="CW198" s="1">
        <f t="shared" si="85"/>
        <v>0</v>
      </c>
      <c r="CX198" s="1">
        <f t="shared" si="86"/>
        <v>20000</v>
      </c>
      <c r="CY198" s="2">
        <f t="shared" si="79"/>
        <v>10000</v>
      </c>
    </row>
    <row r="199" spans="1:103" s="1" customFormat="1" ht="29.4" customHeight="1">
      <c r="A199" s="46">
        <v>25</v>
      </c>
      <c r="B199" s="46">
        <v>2</v>
      </c>
      <c r="C199" s="46">
        <v>72</v>
      </c>
      <c r="D199" s="48"/>
      <c r="E199" s="48"/>
      <c r="F199" s="46"/>
      <c r="G199" s="317" t="s">
        <v>1991</v>
      </c>
      <c r="H199" s="317" t="s">
        <v>1991</v>
      </c>
      <c r="I199" s="317">
        <v>0</v>
      </c>
      <c r="J199" s="317"/>
      <c r="K199" s="317">
        <v>0</v>
      </c>
      <c r="L199" s="317" t="s">
        <v>1991</v>
      </c>
      <c r="M199" s="317" t="s">
        <v>1991</v>
      </c>
      <c r="N199" s="317">
        <v>0</v>
      </c>
      <c r="O199" s="317" t="s">
        <v>1991</v>
      </c>
      <c r="P199" s="317" t="s">
        <v>1991</v>
      </c>
      <c r="Q199" s="317" t="s">
        <v>1991</v>
      </c>
      <c r="R199" s="317" t="s">
        <v>1991</v>
      </c>
      <c r="S199" s="317" t="s">
        <v>1991</v>
      </c>
      <c r="T199" s="326" t="s">
        <v>1991</v>
      </c>
      <c r="U199" s="312" t="s">
        <v>1991</v>
      </c>
      <c r="V199" s="46" t="s">
        <v>1991</v>
      </c>
      <c r="W199" s="324" t="s">
        <v>1991</v>
      </c>
      <c r="X199" s="324" t="s">
        <v>1991</v>
      </c>
      <c r="Y199" s="324" t="s">
        <v>1991</v>
      </c>
      <c r="Z199" s="46" t="s">
        <v>1991</v>
      </c>
      <c r="AA199" s="46" t="s">
        <v>1991</v>
      </c>
      <c r="AB199" s="46" t="s">
        <v>1991</v>
      </c>
      <c r="AC199" s="46" t="s">
        <v>1991</v>
      </c>
      <c r="AD199" s="46" t="s">
        <v>1991</v>
      </c>
      <c r="AE199" s="324" t="s">
        <v>1991</v>
      </c>
      <c r="AF199" s="324" t="s">
        <v>1991</v>
      </c>
      <c r="AG199" s="324" t="s">
        <v>1991</v>
      </c>
      <c r="AH199" s="324" t="s">
        <v>1991</v>
      </c>
      <c r="AI199" s="324" t="s">
        <v>1991</v>
      </c>
      <c r="AJ199" s="324" t="s">
        <v>1991</v>
      </c>
      <c r="AK199" s="324" t="s">
        <v>1991</v>
      </c>
      <c r="AL199" s="327"/>
      <c r="AM199" s="327"/>
      <c r="AN199" s="327"/>
      <c r="AO199" s="327"/>
      <c r="AP199" s="327"/>
      <c r="AQ199" s="327"/>
      <c r="AR199" s="327"/>
      <c r="AS199" s="327"/>
      <c r="AT199" s="327"/>
      <c r="AU199" s="327"/>
      <c r="AV199" s="327"/>
      <c r="AW199" s="327"/>
      <c r="AX199" s="327"/>
      <c r="AY199" s="327"/>
      <c r="AZ199" s="327"/>
      <c r="BA199" s="327"/>
      <c r="BB199" s="46">
        <f t="shared" si="59"/>
        <v>11</v>
      </c>
      <c r="BC199" s="46">
        <f t="shared" si="77"/>
        <v>16</v>
      </c>
      <c r="BD199" s="46">
        <f t="shared" si="89"/>
        <v>0</v>
      </c>
      <c r="BE199" s="46">
        <f t="shared" si="80"/>
        <v>0</v>
      </c>
      <c r="BF199" s="296">
        <f t="shared" si="81"/>
        <v>27</v>
      </c>
      <c r="BG199" s="2"/>
      <c r="BH199" s="2"/>
      <c r="BI199" s="2"/>
      <c r="BJ199" s="2"/>
      <c r="BK199" s="279">
        <f t="shared" si="78"/>
        <v>1</v>
      </c>
      <c r="BL199" s="279">
        <f t="shared" si="62"/>
        <v>27</v>
      </c>
      <c r="BM199" s="279"/>
      <c r="BN199" s="279"/>
      <c r="BO199" s="2">
        <f t="shared" si="63"/>
        <v>27</v>
      </c>
      <c r="BP199" s="430"/>
      <c r="BQ199" s="431"/>
      <c r="BR199" s="2"/>
      <c r="BS199" s="25"/>
      <c r="BT199" s="348">
        <f t="shared" si="64"/>
        <v>1</v>
      </c>
      <c r="BU199" s="2"/>
      <c r="BV199" s="282">
        <f t="shared" si="82"/>
        <v>0</v>
      </c>
      <c r="BW199" s="279">
        <v>20000</v>
      </c>
      <c r="BX199" s="269">
        <f t="shared" si="87"/>
        <v>-0.15</v>
      </c>
      <c r="BY199" s="349" t="e">
        <f t="shared" si="67"/>
        <v>#N/A</v>
      </c>
      <c r="BZ199" s="349" t="e">
        <f t="shared" si="68"/>
        <v>#N/A</v>
      </c>
      <c r="CA199" s="349" t="e">
        <f t="shared" si="69"/>
        <v>#N/A</v>
      </c>
      <c r="CB199" s="349" t="e">
        <f t="shared" si="70"/>
        <v>#N/A</v>
      </c>
      <c r="CC199" s="349" t="e">
        <f t="shared" si="83"/>
        <v>#N/A</v>
      </c>
      <c r="CD199" s="14" t="e">
        <f t="shared" si="72"/>
        <v>#N/A</v>
      </c>
      <c r="CE199" s="14">
        <f t="shared" si="84"/>
        <v>27</v>
      </c>
      <c r="CF199" s="25">
        <f t="shared" si="74"/>
        <v>1</v>
      </c>
      <c r="CG199" s="270"/>
      <c r="CH199" s="2"/>
      <c r="CL199" s="349" t="e">
        <f>#N/A</f>
        <v>#N/A</v>
      </c>
      <c r="CM199" s="349" t="e">
        <f>#N/A</f>
        <v>#N/A</v>
      </c>
      <c r="CN199" s="349" t="e">
        <f>#N/A</f>
        <v>#N/A</v>
      </c>
      <c r="CO199" s="349" t="e">
        <f>#N/A</f>
        <v>#N/A</v>
      </c>
      <c r="CP199" s="349" t="e">
        <f t="shared" si="88"/>
        <v>#N/A</v>
      </c>
      <c r="CQ199" s="14" t="e">
        <f t="shared" si="76"/>
        <v>#N/A</v>
      </c>
      <c r="CW199" s="1">
        <f t="shared" si="85"/>
        <v>0</v>
      </c>
      <c r="CX199" s="1">
        <f t="shared" si="86"/>
        <v>20000</v>
      </c>
      <c r="CY199" s="2">
        <f t="shared" si="79"/>
        <v>10000</v>
      </c>
    </row>
    <row r="200" spans="1:103" s="1" customFormat="1" ht="29.4" customHeight="1">
      <c r="A200" s="46">
        <v>26</v>
      </c>
      <c r="B200" s="46">
        <v>2</v>
      </c>
      <c r="C200" s="46">
        <v>73</v>
      </c>
      <c r="D200" s="48"/>
      <c r="E200" s="48"/>
      <c r="F200" s="46"/>
      <c r="G200" s="317" t="s">
        <v>1991</v>
      </c>
      <c r="H200" s="317" t="s">
        <v>1991</v>
      </c>
      <c r="I200" s="317" t="s">
        <v>1991</v>
      </c>
      <c r="J200" s="317"/>
      <c r="K200" s="317">
        <v>0</v>
      </c>
      <c r="L200" s="317">
        <v>0</v>
      </c>
      <c r="M200" s="317" t="s">
        <v>1991</v>
      </c>
      <c r="N200" s="317" t="s">
        <v>1991</v>
      </c>
      <c r="O200" s="317" t="s">
        <v>1991</v>
      </c>
      <c r="P200" s="317" t="s">
        <v>1991</v>
      </c>
      <c r="Q200" s="317" t="s">
        <v>1991</v>
      </c>
      <c r="R200" s="317" t="s">
        <v>1991</v>
      </c>
      <c r="S200" s="317" t="s">
        <v>1991</v>
      </c>
      <c r="T200" s="326" t="s">
        <v>1991</v>
      </c>
      <c r="U200" s="312" t="s">
        <v>1991</v>
      </c>
      <c r="V200" s="46" t="s">
        <v>1991</v>
      </c>
      <c r="W200" s="324" t="s">
        <v>1991</v>
      </c>
      <c r="X200" s="324" t="s">
        <v>1991</v>
      </c>
      <c r="Y200" s="324" t="s">
        <v>1991</v>
      </c>
      <c r="Z200" s="46" t="s">
        <v>1991</v>
      </c>
      <c r="AA200" s="46" t="s">
        <v>1991</v>
      </c>
      <c r="AB200" s="46" t="s">
        <v>1991</v>
      </c>
      <c r="AC200" s="46" t="s">
        <v>1991</v>
      </c>
      <c r="AD200" s="46" t="s">
        <v>1991</v>
      </c>
      <c r="AE200" s="324" t="s">
        <v>1991</v>
      </c>
      <c r="AF200" s="324" t="s">
        <v>1991</v>
      </c>
      <c r="AG200" s="324" t="s">
        <v>1991</v>
      </c>
      <c r="AH200" s="324" t="s">
        <v>1991</v>
      </c>
      <c r="AI200" s="324" t="s">
        <v>1991</v>
      </c>
      <c r="AJ200" s="324" t="s">
        <v>1991</v>
      </c>
      <c r="AK200" s="324" t="s">
        <v>1991</v>
      </c>
      <c r="AL200" s="327"/>
      <c r="AM200" s="327"/>
      <c r="AN200" s="327"/>
      <c r="AO200" s="327"/>
      <c r="AP200" s="327"/>
      <c r="AQ200" s="327"/>
      <c r="AR200" s="327"/>
      <c r="AS200" s="327"/>
      <c r="AT200" s="327"/>
      <c r="AU200" s="327"/>
      <c r="AV200" s="327"/>
      <c r="AW200" s="327"/>
      <c r="AX200" s="327"/>
      <c r="AY200" s="327"/>
      <c r="AZ200" s="327"/>
      <c r="BA200" s="327"/>
      <c r="BB200" s="46">
        <f t="shared" si="59"/>
        <v>12</v>
      </c>
      <c r="BC200" s="46">
        <f t="shared" si="77"/>
        <v>16</v>
      </c>
      <c r="BD200" s="46">
        <f t="shared" si="89"/>
        <v>0</v>
      </c>
      <c r="BE200" s="46">
        <f t="shared" si="80"/>
        <v>0</v>
      </c>
      <c r="BF200" s="296">
        <f t="shared" si="81"/>
        <v>28</v>
      </c>
      <c r="BG200" s="2"/>
      <c r="BH200" s="2"/>
      <c r="BI200" s="2"/>
      <c r="BJ200" s="2"/>
      <c r="BK200" s="279">
        <f t="shared" si="78"/>
        <v>1</v>
      </c>
      <c r="BL200" s="279">
        <f t="shared" si="62"/>
        <v>28</v>
      </c>
      <c r="BM200" s="279"/>
      <c r="BN200" s="279"/>
      <c r="BO200" s="2">
        <f t="shared" si="63"/>
        <v>28</v>
      </c>
      <c r="BP200" s="430"/>
      <c r="BQ200" s="431"/>
      <c r="BR200" s="2"/>
      <c r="BS200" s="25"/>
      <c r="BT200" s="348">
        <f t="shared" si="64"/>
        <v>1</v>
      </c>
      <c r="BU200" s="2"/>
      <c r="BV200" s="282">
        <f t="shared" si="82"/>
        <v>0</v>
      </c>
      <c r="BW200" s="279">
        <v>0</v>
      </c>
      <c r="BX200" s="269">
        <f t="shared" si="87"/>
        <v>0</v>
      </c>
      <c r="BY200" s="349" t="e">
        <f t="shared" si="67"/>
        <v>#N/A</v>
      </c>
      <c r="BZ200" s="349" t="e">
        <f t="shared" si="68"/>
        <v>#N/A</v>
      </c>
      <c r="CA200" s="349" t="e">
        <f t="shared" si="69"/>
        <v>#N/A</v>
      </c>
      <c r="CB200" s="349" t="e">
        <f t="shared" si="70"/>
        <v>#N/A</v>
      </c>
      <c r="CC200" s="349" t="e">
        <f t="shared" si="83"/>
        <v>#N/A</v>
      </c>
      <c r="CD200" s="14" t="e">
        <f t="shared" si="72"/>
        <v>#N/A</v>
      </c>
      <c r="CE200" s="14">
        <f t="shared" si="84"/>
        <v>28</v>
      </c>
      <c r="CF200" s="25">
        <f t="shared" si="74"/>
        <v>1</v>
      </c>
      <c r="CG200" s="270"/>
      <c r="CH200" s="2"/>
      <c r="CL200" s="349" t="e">
        <f>#N/A</f>
        <v>#N/A</v>
      </c>
      <c r="CM200" s="349" t="e">
        <f>#N/A</f>
        <v>#N/A</v>
      </c>
      <c r="CN200" s="349" t="e">
        <f>#N/A</f>
        <v>#N/A</v>
      </c>
      <c r="CO200" s="349" t="e">
        <f>#N/A</f>
        <v>#N/A</v>
      </c>
      <c r="CP200" s="349" t="e">
        <f t="shared" si="88"/>
        <v>#N/A</v>
      </c>
      <c r="CQ200" s="14" t="e">
        <f t="shared" si="76"/>
        <v>#N/A</v>
      </c>
      <c r="CW200" s="1">
        <f t="shared" si="85"/>
        <v>0</v>
      </c>
      <c r="CX200" s="1">
        <f t="shared" si="86"/>
        <v>0</v>
      </c>
      <c r="CY200" s="2">
        <f t="shared" si="79"/>
        <v>0</v>
      </c>
    </row>
    <row r="201" spans="1:103" s="1" customFormat="1" ht="29.4" customHeight="1">
      <c r="A201" s="46">
        <v>27</v>
      </c>
      <c r="B201" s="46">
        <v>2</v>
      </c>
      <c r="C201" s="46">
        <v>74</v>
      </c>
      <c r="D201" s="48"/>
      <c r="E201" s="48"/>
      <c r="F201" s="46"/>
      <c r="G201" s="317" t="s">
        <v>1991</v>
      </c>
      <c r="H201" s="317">
        <v>0</v>
      </c>
      <c r="I201" s="317" t="s">
        <v>1991</v>
      </c>
      <c r="J201" s="317"/>
      <c r="K201" s="317">
        <v>0</v>
      </c>
      <c r="L201" s="317">
        <v>0</v>
      </c>
      <c r="M201" s="317" t="s">
        <v>1991</v>
      </c>
      <c r="N201" s="317" t="s">
        <v>1991</v>
      </c>
      <c r="O201" s="317" t="s">
        <v>1991</v>
      </c>
      <c r="P201" s="317" t="s">
        <v>1991</v>
      </c>
      <c r="Q201" s="317" t="s">
        <v>1991</v>
      </c>
      <c r="R201" s="317" t="s">
        <v>1991</v>
      </c>
      <c r="S201" s="317">
        <v>0</v>
      </c>
      <c r="T201" s="326" t="s">
        <v>1991</v>
      </c>
      <c r="U201" s="312" t="s">
        <v>1991</v>
      </c>
      <c r="V201" s="46" t="s">
        <v>1991</v>
      </c>
      <c r="W201" s="324" t="s">
        <v>1991</v>
      </c>
      <c r="X201" s="324" t="s">
        <v>1991</v>
      </c>
      <c r="Y201" s="324" t="s">
        <v>1991</v>
      </c>
      <c r="Z201" s="46" t="s">
        <v>1991</v>
      </c>
      <c r="AA201" s="46" t="s">
        <v>1991</v>
      </c>
      <c r="AB201" s="46" t="s">
        <v>1991</v>
      </c>
      <c r="AC201" s="46" t="s">
        <v>1991</v>
      </c>
      <c r="AD201" s="46" t="s">
        <v>1991</v>
      </c>
      <c r="AE201" s="324" t="s">
        <v>1991</v>
      </c>
      <c r="AF201" s="324" t="s">
        <v>1991</v>
      </c>
      <c r="AG201" s="324" t="s">
        <v>1991</v>
      </c>
      <c r="AH201" s="324" t="s">
        <v>1991</v>
      </c>
      <c r="AI201" s="324" t="s">
        <v>1991</v>
      </c>
      <c r="AJ201" s="324" t="s">
        <v>1991</v>
      </c>
      <c r="AK201" s="324" t="s">
        <v>1991</v>
      </c>
      <c r="AL201" s="327"/>
      <c r="AM201" s="327"/>
      <c r="AN201" s="327"/>
      <c r="AO201" s="327"/>
      <c r="AP201" s="327"/>
      <c r="AQ201" s="327"/>
      <c r="AR201" s="327"/>
      <c r="AS201" s="327"/>
      <c r="AT201" s="327"/>
      <c r="AU201" s="327"/>
      <c r="AV201" s="327"/>
      <c r="AW201" s="327"/>
      <c r="AX201" s="327"/>
      <c r="AY201" s="327"/>
      <c r="AZ201" s="327"/>
      <c r="BA201" s="327"/>
      <c r="BB201" s="46">
        <f t="shared" si="59"/>
        <v>10</v>
      </c>
      <c r="BC201" s="46">
        <f t="shared" si="77"/>
        <v>16</v>
      </c>
      <c r="BD201" s="46">
        <f t="shared" si="89"/>
        <v>0</v>
      </c>
      <c r="BE201" s="46">
        <f t="shared" si="80"/>
        <v>0</v>
      </c>
      <c r="BF201" s="296">
        <f t="shared" si="81"/>
        <v>26</v>
      </c>
      <c r="BG201" s="2"/>
      <c r="BH201" s="2"/>
      <c r="BI201" s="2"/>
      <c r="BJ201" s="2"/>
      <c r="BK201" s="279">
        <f t="shared" si="78"/>
        <v>1</v>
      </c>
      <c r="BL201" s="279">
        <f t="shared" si="62"/>
        <v>26</v>
      </c>
      <c r="BM201" s="279"/>
      <c r="BN201" s="279"/>
      <c r="BO201" s="2">
        <f t="shared" si="63"/>
        <v>26</v>
      </c>
      <c r="BP201" s="430"/>
      <c r="BQ201" s="431"/>
      <c r="BR201" s="2"/>
      <c r="BS201" s="25"/>
      <c r="BT201" s="348">
        <f t="shared" si="64"/>
        <v>1</v>
      </c>
      <c r="BU201" s="2"/>
      <c r="BV201" s="282">
        <f t="shared" si="82"/>
        <v>0</v>
      </c>
      <c r="BW201" s="279">
        <v>0</v>
      </c>
      <c r="BX201" s="269">
        <f t="shared" si="87"/>
        <v>0</v>
      </c>
      <c r="BY201" s="349" t="e">
        <f t="shared" si="67"/>
        <v>#N/A</v>
      </c>
      <c r="BZ201" s="349" t="e">
        <f t="shared" si="68"/>
        <v>#N/A</v>
      </c>
      <c r="CA201" s="349" t="e">
        <f t="shared" si="69"/>
        <v>#N/A</v>
      </c>
      <c r="CB201" s="349" t="e">
        <f t="shared" si="70"/>
        <v>#N/A</v>
      </c>
      <c r="CC201" s="349" t="e">
        <f t="shared" si="83"/>
        <v>#N/A</v>
      </c>
      <c r="CD201" s="14" t="e">
        <f t="shared" si="72"/>
        <v>#N/A</v>
      </c>
      <c r="CE201" s="14">
        <f t="shared" si="84"/>
        <v>26</v>
      </c>
      <c r="CF201" s="25">
        <f t="shared" si="74"/>
        <v>1</v>
      </c>
      <c r="CG201" s="270"/>
      <c r="CH201" s="2"/>
      <c r="CL201" s="349" t="e">
        <f>#N/A</f>
        <v>#N/A</v>
      </c>
      <c r="CM201" s="349" t="e">
        <f>#N/A</f>
        <v>#N/A</v>
      </c>
      <c r="CN201" s="349" t="e">
        <f>#N/A</f>
        <v>#N/A</v>
      </c>
      <c r="CO201" s="349" t="e">
        <f>#N/A</f>
        <v>#N/A</v>
      </c>
      <c r="CP201" s="349" t="e">
        <f t="shared" si="88"/>
        <v>#N/A</v>
      </c>
      <c r="CQ201" s="14" t="e">
        <f t="shared" si="76"/>
        <v>#N/A</v>
      </c>
      <c r="CW201" s="1">
        <f t="shared" si="85"/>
        <v>0</v>
      </c>
      <c r="CX201" s="1">
        <f t="shared" si="86"/>
        <v>0</v>
      </c>
      <c r="CY201" s="2">
        <f t="shared" si="79"/>
        <v>0</v>
      </c>
    </row>
    <row r="202" spans="1:103" s="1" customFormat="1" ht="29.4" customHeight="1">
      <c r="A202" s="46">
        <v>28</v>
      </c>
      <c r="B202" s="46">
        <v>2</v>
      </c>
      <c r="C202" s="46">
        <v>75</v>
      </c>
      <c r="D202" s="48"/>
      <c r="E202" s="48"/>
      <c r="F202" s="46"/>
      <c r="G202" s="317" t="s">
        <v>1991</v>
      </c>
      <c r="H202" s="317">
        <v>0</v>
      </c>
      <c r="I202" s="317" t="s">
        <v>1991</v>
      </c>
      <c r="J202" s="317"/>
      <c r="K202" s="317">
        <v>0</v>
      </c>
      <c r="L202" s="317">
        <v>0</v>
      </c>
      <c r="M202" s="317" t="s">
        <v>1991</v>
      </c>
      <c r="N202" s="317" t="s">
        <v>1991</v>
      </c>
      <c r="O202" s="317" t="s">
        <v>1991</v>
      </c>
      <c r="P202" s="317" t="s">
        <v>1991</v>
      </c>
      <c r="Q202" s="317" t="s">
        <v>1991</v>
      </c>
      <c r="R202" s="317" t="s">
        <v>1991</v>
      </c>
      <c r="S202" s="317">
        <v>0</v>
      </c>
      <c r="T202" s="326" t="s">
        <v>1991</v>
      </c>
      <c r="U202" s="312" t="s">
        <v>1991</v>
      </c>
      <c r="V202" s="46" t="s">
        <v>1991</v>
      </c>
      <c r="W202" s="324" t="s">
        <v>1991</v>
      </c>
      <c r="X202" s="324" t="s">
        <v>1991</v>
      </c>
      <c r="Y202" s="324" t="s">
        <v>1991</v>
      </c>
      <c r="Z202" s="46" t="s">
        <v>1991</v>
      </c>
      <c r="AA202" s="46" t="s">
        <v>1991</v>
      </c>
      <c r="AB202" s="46" t="s">
        <v>1991</v>
      </c>
      <c r="AC202" s="46" t="s">
        <v>1991</v>
      </c>
      <c r="AD202" s="46" t="s">
        <v>1991</v>
      </c>
      <c r="AE202" s="324" t="s">
        <v>1991</v>
      </c>
      <c r="AF202" s="324" t="s">
        <v>1991</v>
      </c>
      <c r="AG202" s="324" t="s">
        <v>1991</v>
      </c>
      <c r="AH202" s="324" t="s">
        <v>1991</v>
      </c>
      <c r="AI202" s="324" t="s">
        <v>1991</v>
      </c>
      <c r="AJ202" s="324" t="s">
        <v>1991</v>
      </c>
      <c r="AK202" s="324" t="s">
        <v>1991</v>
      </c>
      <c r="AL202" s="327"/>
      <c r="AM202" s="327"/>
      <c r="AN202" s="327"/>
      <c r="AO202" s="327"/>
      <c r="AP202" s="327"/>
      <c r="AQ202" s="327"/>
      <c r="AR202" s="327"/>
      <c r="AS202" s="327"/>
      <c r="AT202" s="327"/>
      <c r="AU202" s="327"/>
      <c r="AV202" s="327"/>
      <c r="AW202" s="327"/>
      <c r="AX202" s="327"/>
      <c r="AY202" s="327"/>
      <c r="AZ202" s="327"/>
      <c r="BA202" s="327"/>
      <c r="BB202" s="46">
        <f t="shared" si="59"/>
        <v>10</v>
      </c>
      <c r="BC202" s="46">
        <f t="shared" si="77"/>
        <v>16</v>
      </c>
      <c r="BD202" s="46">
        <f t="shared" si="89"/>
        <v>0</v>
      </c>
      <c r="BE202" s="46">
        <f t="shared" si="80"/>
        <v>0</v>
      </c>
      <c r="BF202" s="296">
        <f t="shared" si="81"/>
        <v>26</v>
      </c>
      <c r="BG202" s="2"/>
      <c r="BH202" s="2"/>
      <c r="BI202" s="2"/>
      <c r="BJ202" s="2"/>
      <c r="BK202" s="279">
        <f t="shared" si="78"/>
        <v>1</v>
      </c>
      <c r="BL202" s="279">
        <f t="shared" si="62"/>
        <v>26</v>
      </c>
      <c r="BM202" s="279"/>
      <c r="BN202" s="279"/>
      <c r="BO202" s="2">
        <f t="shared" si="63"/>
        <v>26</v>
      </c>
      <c r="BP202" s="430"/>
      <c r="BQ202" s="431"/>
      <c r="BR202" s="2"/>
      <c r="BS202" s="25"/>
      <c r="BT202" s="348">
        <f t="shared" si="64"/>
        <v>1</v>
      </c>
      <c r="BU202" s="2"/>
      <c r="BV202" s="282">
        <f t="shared" si="82"/>
        <v>0</v>
      </c>
      <c r="BW202" s="279">
        <v>0</v>
      </c>
      <c r="BX202" s="269">
        <f t="shared" si="87"/>
        <v>0</v>
      </c>
      <c r="BY202" s="349" t="e">
        <f t="shared" si="67"/>
        <v>#N/A</v>
      </c>
      <c r="BZ202" s="349" t="e">
        <f t="shared" si="68"/>
        <v>#N/A</v>
      </c>
      <c r="CA202" s="349" t="e">
        <f t="shared" si="69"/>
        <v>#N/A</v>
      </c>
      <c r="CB202" s="349" t="e">
        <f t="shared" si="70"/>
        <v>#N/A</v>
      </c>
      <c r="CC202" s="349" t="e">
        <f t="shared" si="83"/>
        <v>#N/A</v>
      </c>
      <c r="CD202" s="14" t="e">
        <f t="shared" si="72"/>
        <v>#N/A</v>
      </c>
      <c r="CE202" s="14">
        <f t="shared" si="84"/>
        <v>26</v>
      </c>
      <c r="CF202" s="25">
        <f t="shared" si="74"/>
        <v>1</v>
      </c>
      <c r="CG202" s="270"/>
      <c r="CH202" s="2"/>
      <c r="CL202" s="349" t="e">
        <f>#N/A</f>
        <v>#N/A</v>
      </c>
      <c r="CM202" s="349" t="e">
        <f>#N/A</f>
        <v>#N/A</v>
      </c>
      <c r="CN202" s="349" t="e">
        <f>#N/A</f>
        <v>#N/A</v>
      </c>
      <c r="CO202" s="349" t="e">
        <f>#N/A</f>
        <v>#N/A</v>
      </c>
      <c r="CP202" s="349" t="e">
        <f t="shared" si="88"/>
        <v>#N/A</v>
      </c>
      <c r="CQ202" s="14" t="e">
        <f t="shared" si="76"/>
        <v>#N/A</v>
      </c>
      <c r="CW202" s="1">
        <f t="shared" si="85"/>
        <v>0</v>
      </c>
      <c r="CX202" s="1">
        <f t="shared" si="86"/>
        <v>0</v>
      </c>
      <c r="CY202" s="2">
        <f t="shared" si="79"/>
        <v>0</v>
      </c>
    </row>
    <row r="203" spans="1:103" s="1" customFormat="1" ht="29.4" customHeight="1">
      <c r="A203" s="46">
        <v>29</v>
      </c>
      <c r="B203" s="46">
        <v>2</v>
      </c>
      <c r="C203" s="46">
        <v>76</v>
      </c>
      <c r="D203" s="48"/>
      <c r="E203" s="48"/>
      <c r="F203" s="46"/>
      <c r="G203" s="317" t="s">
        <v>1991</v>
      </c>
      <c r="H203" s="317" t="s">
        <v>1991</v>
      </c>
      <c r="I203" s="317" t="s">
        <v>1991</v>
      </c>
      <c r="J203" s="317"/>
      <c r="K203" s="317" t="s">
        <v>1991</v>
      </c>
      <c r="L203" s="317" t="s">
        <v>1991</v>
      </c>
      <c r="M203" s="317" t="s">
        <v>1991</v>
      </c>
      <c r="N203" s="317" t="s">
        <v>1991</v>
      </c>
      <c r="O203" s="317" t="s">
        <v>1991</v>
      </c>
      <c r="P203" s="317" t="s">
        <v>1991</v>
      </c>
      <c r="Q203" s="317">
        <v>0</v>
      </c>
      <c r="R203" s="317" t="s">
        <v>1991</v>
      </c>
      <c r="S203" s="317" t="s">
        <v>1991</v>
      </c>
      <c r="T203" s="326" t="s">
        <v>1991</v>
      </c>
      <c r="U203" s="312" t="s">
        <v>1991</v>
      </c>
      <c r="V203" s="46" t="s">
        <v>1991</v>
      </c>
      <c r="W203" s="324" t="s">
        <v>1991</v>
      </c>
      <c r="X203" s="324" t="s">
        <v>1991</v>
      </c>
      <c r="Y203" s="324" t="s">
        <v>1991</v>
      </c>
      <c r="Z203" s="46" t="s">
        <v>1991</v>
      </c>
      <c r="AA203" s="46" t="s">
        <v>1991</v>
      </c>
      <c r="AB203" s="46" t="s">
        <v>1991</v>
      </c>
      <c r="AC203" s="46" t="s">
        <v>1991</v>
      </c>
      <c r="AD203" s="46" t="s">
        <v>1991</v>
      </c>
      <c r="AE203" s="324" t="s">
        <v>1991</v>
      </c>
      <c r="AF203" s="324" t="s">
        <v>1991</v>
      </c>
      <c r="AG203" s="324" t="s">
        <v>1991</v>
      </c>
      <c r="AH203" s="324" t="s">
        <v>1991</v>
      </c>
      <c r="AI203" s="324">
        <v>0</v>
      </c>
      <c r="AJ203" s="324" t="s">
        <v>1991</v>
      </c>
      <c r="AK203" s="324" t="s">
        <v>1991</v>
      </c>
      <c r="AL203" s="327"/>
      <c r="AM203" s="327"/>
      <c r="AN203" s="327"/>
      <c r="AO203" s="327"/>
      <c r="AP203" s="327"/>
      <c r="AQ203" s="327"/>
      <c r="AR203" s="327"/>
      <c r="AS203" s="327"/>
      <c r="AT203" s="327"/>
      <c r="AU203" s="327"/>
      <c r="AV203" s="327"/>
      <c r="AW203" s="327"/>
      <c r="AX203" s="327"/>
      <c r="AY203" s="327"/>
      <c r="AZ203" s="327"/>
      <c r="BA203" s="327"/>
      <c r="BB203" s="46">
        <f t="shared" si="59"/>
        <v>13</v>
      </c>
      <c r="BC203" s="46">
        <f t="shared" si="77"/>
        <v>15</v>
      </c>
      <c r="BD203" s="46">
        <f t="shared" si="89"/>
        <v>0</v>
      </c>
      <c r="BE203" s="46">
        <f t="shared" si="80"/>
        <v>0</v>
      </c>
      <c r="BF203" s="296">
        <f t="shared" si="81"/>
        <v>28</v>
      </c>
      <c r="BG203" s="2"/>
      <c r="BH203" s="2"/>
      <c r="BI203" s="2"/>
      <c r="BJ203" s="2"/>
      <c r="BK203" s="279">
        <f t="shared" si="78"/>
        <v>1</v>
      </c>
      <c r="BL203" s="279">
        <f t="shared" si="62"/>
        <v>28</v>
      </c>
      <c r="BM203" s="279"/>
      <c r="BN203" s="279"/>
      <c r="BO203" s="2">
        <f t="shared" si="63"/>
        <v>28</v>
      </c>
      <c r="BP203" s="430"/>
      <c r="BQ203" s="431"/>
      <c r="BR203" s="2"/>
      <c r="BS203" s="25"/>
      <c r="BT203" s="348">
        <f t="shared" si="64"/>
        <v>1</v>
      </c>
      <c r="BU203" s="2"/>
      <c r="BV203" s="282">
        <f t="shared" si="82"/>
        <v>0</v>
      </c>
      <c r="BW203" s="279">
        <v>0</v>
      </c>
      <c r="BX203" s="269">
        <f t="shared" si="87"/>
        <v>0</v>
      </c>
      <c r="BY203" s="349" t="e">
        <f t="shared" si="67"/>
        <v>#N/A</v>
      </c>
      <c r="BZ203" s="349" t="e">
        <f t="shared" si="68"/>
        <v>#N/A</v>
      </c>
      <c r="CA203" s="349" t="e">
        <f t="shared" si="69"/>
        <v>#N/A</v>
      </c>
      <c r="CB203" s="349" t="e">
        <f t="shared" si="70"/>
        <v>#N/A</v>
      </c>
      <c r="CC203" s="349" t="e">
        <f t="shared" si="83"/>
        <v>#N/A</v>
      </c>
      <c r="CD203" s="14" t="e">
        <f t="shared" si="72"/>
        <v>#N/A</v>
      </c>
      <c r="CE203" s="14">
        <f t="shared" si="84"/>
        <v>28</v>
      </c>
      <c r="CF203" s="25">
        <f t="shared" si="74"/>
        <v>1</v>
      </c>
      <c r="CG203" s="270"/>
      <c r="CH203" s="2"/>
      <c r="CL203" s="349" t="e">
        <f>#N/A</f>
        <v>#N/A</v>
      </c>
      <c r="CM203" s="349" t="e">
        <f>#N/A</f>
        <v>#N/A</v>
      </c>
      <c r="CN203" s="349" t="e">
        <f>#N/A</f>
        <v>#N/A</v>
      </c>
      <c r="CO203" s="349" t="e">
        <f>#N/A</f>
        <v>#N/A</v>
      </c>
      <c r="CP203" s="349" t="e">
        <f t="shared" si="88"/>
        <v>#N/A</v>
      </c>
      <c r="CQ203" s="14" t="e">
        <f t="shared" si="76"/>
        <v>#N/A</v>
      </c>
      <c r="CW203" s="1">
        <f t="shared" si="85"/>
        <v>0</v>
      </c>
      <c r="CX203" s="1">
        <f t="shared" si="86"/>
        <v>0</v>
      </c>
      <c r="CY203" s="2">
        <f t="shared" si="79"/>
        <v>0</v>
      </c>
    </row>
    <row r="204" spans="1:103" s="1" customFormat="1" ht="29.4" customHeight="1">
      <c r="A204" s="46">
        <v>30</v>
      </c>
      <c r="B204" s="46">
        <v>2</v>
      </c>
      <c r="C204" s="46">
        <v>77</v>
      </c>
      <c r="D204" s="48"/>
      <c r="E204" s="48"/>
      <c r="F204" s="46"/>
      <c r="G204" s="317" t="s">
        <v>1991</v>
      </c>
      <c r="H204" s="317" t="s">
        <v>1991</v>
      </c>
      <c r="I204" s="317" t="s">
        <v>1991</v>
      </c>
      <c r="J204" s="317"/>
      <c r="K204" s="317">
        <v>0</v>
      </c>
      <c r="L204" s="317" t="s">
        <v>1991</v>
      </c>
      <c r="M204" s="317" t="s">
        <v>1991</v>
      </c>
      <c r="N204" s="317" t="s">
        <v>1991</v>
      </c>
      <c r="O204" s="317" t="s">
        <v>1991</v>
      </c>
      <c r="P204" s="317" t="s">
        <v>1991</v>
      </c>
      <c r="Q204" s="317" t="s">
        <v>1991</v>
      </c>
      <c r="R204" s="317" t="s">
        <v>1991</v>
      </c>
      <c r="S204" s="317" t="s">
        <v>1991</v>
      </c>
      <c r="T204" s="326" t="s">
        <v>1991</v>
      </c>
      <c r="U204" s="312" t="s">
        <v>1991</v>
      </c>
      <c r="V204" s="46">
        <v>0</v>
      </c>
      <c r="W204" s="324" t="s">
        <v>1991</v>
      </c>
      <c r="X204" s="324">
        <v>0</v>
      </c>
      <c r="Y204" s="324" t="s">
        <v>1991</v>
      </c>
      <c r="Z204" s="46" t="s">
        <v>1991</v>
      </c>
      <c r="AA204" s="46" t="s">
        <v>1991</v>
      </c>
      <c r="AB204" s="46" t="s">
        <v>1991</v>
      </c>
      <c r="AC204" s="46" t="s">
        <v>1991</v>
      </c>
      <c r="AD204" s="46" t="s">
        <v>1991</v>
      </c>
      <c r="AE204" s="324" t="s">
        <v>1991</v>
      </c>
      <c r="AF204" s="324" t="s">
        <v>1991</v>
      </c>
      <c r="AG204" s="324" t="s">
        <v>1991</v>
      </c>
      <c r="AH204" s="324" t="s">
        <v>1991</v>
      </c>
      <c r="AI204" s="324" t="s">
        <v>1991</v>
      </c>
      <c r="AJ204" s="324" t="s">
        <v>1991</v>
      </c>
      <c r="AK204" s="324" t="s">
        <v>1991</v>
      </c>
      <c r="AL204" s="327"/>
      <c r="AM204" s="327"/>
      <c r="AN204" s="327"/>
      <c r="AO204" s="327"/>
      <c r="AP204" s="327"/>
      <c r="AQ204" s="327"/>
      <c r="AR204" s="327"/>
      <c r="AS204" s="327"/>
      <c r="AT204" s="327"/>
      <c r="AU204" s="327"/>
      <c r="AV204" s="327"/>
      <c r="AW204" s="327"/>
      <c r="AX204" s="327"/>
      <c r="AY204" s="327"/>
      <c r="AZ204" s="327"/>
      <c r="BA204" s="327"/>
      <c r="BB204" s="46">
        <f t="shared" si="59"/>
        <v>13</v>
      </c>
      <c r="BC204" s="46">
        <f t="shared" si="77"/>
        <v>14</v>
      </c>
      <c r="BD204" s="46">
        <f t="shared" si="89"/>
        <v>0</v>
      </c>
      <c r="BE204" s="46">
        <f t="shared" si="80"/>
        <v>0</v>
      </c>
      <c r="BF204" s="296">
        <f t="shared" si="81"/>
        <v>27</v>
      </c>
      <c r="BG204" s="2"/>
      <c r="BH204" s="2"/>
      <c r="BI204" s="2"/>
      <c r="BJ204" s="2"/>
      <c r="BK204" s="279">
        <f t="shared" si="78"/>
        <v>1</v>
      </c>
      <c r="BL204" s="279">
        <f t="shared" si="62"/>
        <v>27</v>
      </c>
      <c r="BM204" s="279"/>
      <c r="BN204" s="279"/>
      <c r="BO204" s="2">
        <f t="shared" si="63"/>
        <v>27</v>
      </c>
      <c r="BP204" s="430"/>
      <c r="BQ204" s="431"/>
      <c r="BR204" s="2"/>
      <c r="BS204" s="25"/>
      <c r="BT204" s="348">
        <f t="shared" si="64"/>
        <v>1</v>
      </c>
      <c r="BU204" s="2"/>
      <c r="BV204" s="282">
        <f t="shared" si="82"/>
        <v>0</v>
      </c>
      <c r="BW204" s="279">
        <v>0</v>
      </c>
      <c r="BX204" s="269">
        <f t="shared" si="87"/>
        <v>0</v>
      </c>
      <c r="BY204" s="349" t="e">
        <f t="shared" si="67"/>
        <v>#N/A</v>
      </c>
      <c r="BZ204" s="349" t="e">
        <f t="shared" si="68"/>
        <v>#N/A</v>
      </c>
      <c r="CA204" s="349" t="e">
        <f t="shared" si="69"/>
        <v>#N/A</v>
      </c>
      <c r="CB204" s="349" t="e">
        <f t="shared" si="70"/>
        <v>#N/A</v>
      </c>
      <c r="CC204" s="349" t="e">
        <f t="shared" si="83"/>
        <v>#N/A</v>
      </c>
      <c r="CD204" s="14" t="e">
        <f t="shared" si="72"/>
        <v>#N/A</v>
      </c>
      <c r="CE204" s="14">
        <f t="shared" si="84"/>
        <v>27</v>
      </c>
      <c r="CF204" s="25">
        <f t="shared" si="74"/>
        <v>1</v>
      </c>
      <c r="CG204" s="270"/>
      <c r="CH204" s="2"/>
      <c r="CL204" s="349" t="e">
        <f>#N/A</f>
        <v>#N/A</v>
      </c>
      <c r="CM204" s="349" t="e">
        <f>#N/A</f>
        <v>#N/A</v>
      </c>
      <c r="CN204" s="349" t="e">
        <f>#N/A</f>
        <v>#N/A</v>
      </c>
      <c r="CO204" s="349" t="e">
        <f>#N/A</f>
        <v>#N/A</v>
      </c>
      <c r="CP204" s="349" t="e">
        <f t="shared" si="88"/>
        <v>#N/A</v>
      </c>
      <c r="CQ204" s="14" t="e">
        <f t="shared" si="76"/>
        <v>#N/A</v>
      </c>
      <c r="CW204" s="1">
        <f t="shared" si="85"/>
        <v>0</v>
      </c>
      <c r="CX204" s="1">
        <f t="shared" si="86"/>
        <v>0</v>
      </c>
      <c r="CY204" s="2">
        <f t="shared" si="79"/>
        <v>0</v>
      </c>
    </row>
    <row r="205" spans="1:103" s="1" customFormat="1" ht="29.4" customHeight="1">
      <c r="A205" s="46">
        <v>31</v>
      </c>
      <c r="B205" s="46">
        <v>2</v>
      </c>
      <c r="C205" s="46">
        <v>78</v>
      </c>
      <c r="D205" s="48"/>
      <c r="E205" s="48"/>
      <c r="F205" s="46"/>
      <c r="G205" s="317">
        <v>0</v>
      </c>
      <c r="H205" s="317" t="s">
        <v>1991</v>
      </c>
      <c r="I205" s="317">
        <v>0</v>
      </c>
      <c r="J205" s="317"/>
      <c r="K205" s="317">
        <v>0</v>
      </c>
      <c r="L205" s="317" t="s">
        <v>1991</v>
      </c>
      <c r="M205" s="317" t="s">
        <v>1991</v>
      </c>
      <c r="N205" s="317" t="s">
        <v>1991</v>
      </c>
      <c r="O205" s="317" t="s">
        <v>1991</v>
      </c>
      <c r="P205" s="317" t="s">
        <v>1991</v>
      </c>
      <c r="Q205" s="317" t="s">
        <v>1991</v>
      </c>
      <c r="R205" s="317" t="s">
        <v>1991</v>
      </c>
      <c r="S205" s="317" t="s">
        <v>1991</v>
      </c>
      <c r="T205" s="326" t="s">
        <v>1991</v>
      </c>
      <c r="U205" s="312" t="s">
        <v>1991</v>
      </c>
      <c r="V205" s="46" t="s">
        <v>1991</v>
      </c>
      <c r="W205" s="324" t="s">
        <v>1991</v>
      </c>
      <c r="X205" s="324">
        <v>0</v>
      </c>
      <c r="Y205" s="324">
        <v>0</v>
      </c>
      <c r="Z205" s="46">
        <v>0</v>
      </c>
      <c r="AA205" s="46">
        <v>0</v>
      </c>
      <c r="AB205" s="46">
        <v>0</v>
      </c>
      <c r="AC205" s="46">
        <v>0</v>
      </c>
      <c r="AD205" s="46">
        <v>0</v>
      </c>
      <c r="AE205" s="324">
        <v>0</v>
      </c>
      <c r="AF205" s="324">
        <v>0</v>
      </c>
      <c r="AG205" s="324">
        <v>0</v>
      </c>
      <c r="AH205" s="324">
        <v>0</v>
      </c>
      <c r="AI205" s="324">
        <v>0</v>
      </c>
      <c r="AJ205" s="324">
        <v>0</v>
      </c>
      <c r="AK205" s="324">
        <v>0</v>
      </c>
      <c r="AL205" s="327"/>
      <c r="AM205" s="327"/>
      <c r="AN205" s="327"/>
      <c r="AO205" s="327"/>
      <c r="AP205" s="327"/>
      <c r="AQ205" s="327"/>
      <c r="AR205" s="327"/>
      <c r="AS205" s="327"/>
      <c r="AT205" s="327"/>
      <c r="AU205" s="327"/>
      <c r="AV205" s="327"/>
      <c r="AW205" s="327"/>
      <c r="AX205" s="327"/>
      <c r="AY205" s="327"/>
      <c r="AZ205" s="327"/>
      <c r="BA205" s="327"/>
      <c r="BB205" s="46">
        <f t="shared" si="59"/>
        <v>11</v>
      </c>
      <c r="BC205" s="46">
        <f t="shared" si="77"/>
        <v>2</v>
      </c>
      <c r="BD205" s="46">
        <f t="shared" si="89"/>
        <v>0</v>
      </c>
      <c r="BE205" s="46">
        <f t="shared" si="80"/>
        <v>0</v>
      </c>
      <c r="BF205" s="296">
        <f t="shared" si="81"/>
        <v>13</v>
      </c>
      <c r="BG205" s="2"/>
      <c r="BH205" s="2"/>
      <c r="BI205" s="2"/>
      <c r="BJ205" s="2"/>
      <c r="BK205" s="279">
        <f t="shared" si="78"/>
        <v>0</v>
      </c>
      <c r="BL205" s="279">
        <f t="shared" si="62"/>
        <v>13</v>
      </c>
      <c r="BM205" s="279"/>
      <c r="BN205" s="279"/>
      <c r="BO205" s="2">
        <f t="shared" si="63"/>
        <v>0</v>
      </c>
      <c r="BP205" s="430"/>
      <c r="BQ205" s="431"/>
      <c r="BR205" s="2"/>
      <c r="BS205" s="25"/>
      <c r="BT205" s="348">
        <f t="shared" si="64"/>
        <v>0</v>
      </c>
      <c r="BU205" s="2"/>
      <c r="BV205" s="282">
        <f t="shared" si="82"/>
        <v>0</v>
      </c>
      <c r="BW205" s="279">
        <v>0</v>
      </c>
      <c r="BX205" s="269">
        <f t="shared" si="87"/>
        <v>0</v>
      </c>
      <c r="BY205" s="349" t="e">
        <f t="shared" si="67"/>
        <v>#N/A</v>
      </c>
      <c r="BZ205" s="349" t="e">
        <f t="shared" si="68"/>
        <v>#N/A</v>
      </c>
      <c r="CA205" s="349" t="e">
        <f t="shared" si="69"/>
        <v>#N/A</v>
      </c>
      <c r="CB205" s="349" t="e">
        <f t="shared" si="70"/>
        <v>#N/A</v>
      </c>
      <c r="CC205" s="349" t="e">
        <f t="shared" si="83"/>
        <v>#N/A</v>
      </c>
      <c r="CD205" s="14" t="e">
        <f t="shared" si="72"/>
        <v>#N/A</v>
      </c>
      <c r="CE205" s="14">
        <f t="shared" si="84"/>
        <v>0</v>
      </c>
      <c r="CF205" s="25">
        <f t="shared" si="74"/>
        <v>0</v>
      </c>
      <c r="CG205" s="270"/>
      <c r="CH205" s="2"/>
      <c r="CL205" s="349" t="e">
        <f>#N/A</f>
        <v>#N/A</v>
      </c>
      <c r="CM205" s="349" t="e">
        <f>#N/A</f>
        <v>#N/A</v>
      </c>
      <c r="CN205" s="349" t="e">
        <f>#N/A</f>
        <v>#N/A</v>
      </c>
      <c r="CO205" s="349" t="e">
        <f>#N/A</f>
        <v>#N/A</v>
      </c>
      <c r="CP205" s="349" t="e">
        <f t="shared" si="88"/>
        <v>#N/A</v>
      </c>
      <c r="CQ205" s="14" t="e">
        <f t="shared" si="76"/>
        <v>#N/A</v>
      </c>
      <c r="CW205" s="1">
        <f t="shared" si="85"/>
        <v>0</v>
      </c>
      <c r="CX205" s="1">
        <f t="shared" si="86"/>
        <v>0</v>
      </c>
      <c r="CY205" s="2">
        <f t="shared" si="79"/>
        <v>0</v>
      </c>
    </row>
    <row r="206" spans="1:103" s="1" customFormat="1" ht="29.4" customHeight="1">
      <c r="A206" s="46">
        <v>32</v>
      </c>
      <c r="B206" s="46">
        <v>2</v>
      </c>
      <c r="C206" s="46">
        <v>79</v>
      </c>
      <c r="D206" s="48"/>
      <c r="E206" s="48"/>
      <c r="F206" s="46"/>
      <c r="G206" s="317">
        <v>0</v>
      </c>
      <c r="H206" s="317" t="s">
        <v>1991</v>
      </c>
      <c r="I206" s="317" t="s">
        <v>1991</v>
      </c>
      <c r="J206" s="317"/>
      <c r="K206" s="317">
        <v>0</v>
      </c>
      <c r="L206" s="317" t="s">
        <v>1991</v>
      </c>
      <c r="M206" s="317" t="s">
        <v>1991</v>
      </c>
      <c r="N206" s="317" t="s">
        <v>1991</v>
      </c>
      <c r="O206" s="317" t="s">
        <v>1991</v>
      </c>
      <c r="P206" s="317" t="s">
        <v>1991</v>
      </c>
      <c r="Q206" s="317">
        <v>0</v>
      </c>
      <c r="R206" s="317" t="s">
        <v>1991</v>
      </c>
      <c r="S206" s="317" t="s">
        <v>1991</v>
      </c>
      <c r="T206" s="326" t="s">
        <v>1991</v>
      </c>
      <c r="U206" s="312" t="s">
        <v>1991</v>
      </c>
      <c r="V206" s="46" t="s">
        <v>1991</v>
      </c>
      <c r="W206" s="324" t="s">
        <v>1991</v>
      </c>
      <c r="X206" s="324" t="s">
        <v>1991</v>
      </c>
      <c r="Y206" s="324" t="s">
        <v>1991</v>
      </c>
      <c r="Z206" s="46" t="s">
        <v>1991</v>
      </c>
      <c r="AA206" s="46" t="s">
        <v>1991</v>
      </c>
      <c r="AB206" s="46" t="s">
        <v>1991</v>
      </c>
      <c r="AC206" s="46" t="s">
        <v>1991</v>
      </c>
      <c r="AD206" s="46">
        <v>0</v>
      </c>
      <c r="AE206" s="324" t="s">
        <v>1991</v>
      </c>
      <c r="AF206" s="324" t="s">
        <v>1991</v>
      </c>
      <c r="AG206" s="324" t="s">
        <v>1991</v>
      </c>
      <c r="AH206" s="324" t="s">
        <v>1991</v>
      </c>
      <c r="AI206" s="324" t="s">
        <v>1991</v>
      </c>
      <c r="AJ206" s="324" t="s">
        <v>1991</v>
      </c>
      <c r="AK206" s="324" t="s">
        <v>1991</v>
      </c>
      <c r="AL206" s="327"/>
      <c r="AM206" s="327"/>
      <c r="AN206" s="327"/>
      <c r="AO206" s="327"/>
      <c r="AP206" s="327"/>
      <c r="AQ206" s="327"/>
      <c r="AR206" s="327"/>
      <c r="AS206" s="327"/>
      <c r="AT206" s="327"/>
      <c r="AU206" s="327"/>
      <c r="AV206" s="327"/>
      <c r="AW206" s="327"/>
      <c r="AX206" s="327"/>
      <c r="AY206" s="327"/>
      <c r="AZ206" s="327"/>
      <c r="BA206" s="327"/>
      <c r="BB206" s="46">
        <f t="shared" si="59"/>
        <v>11</v>
      </c>
      <c r="BC206" s="46">
        <f t="shared" si="77"/>
        <v>15</v>
      </c>
      <c r="BD206" s="46">
        <f t="shared" si="89"/>
        <v>0</v>
      </c>
      <c r="BE206" s="46">
        <f t="shared" si="80"/>
        <v>0</v>
      </c>
      <c r="BF206" s="296">
        <f t="shared" si="81"/>
        <v>26</v>
      </c>
      <c r="BG206" s="2"/>
      <c r="BH206" s="2"/>
      <c r="BI206" s="2"/>
      <c r="BJ206" s="2"/>
      <c r="BK206" s="279">
        <f t="shared" si="78"/>
        <v>1</v>
      </c>
      <c r="BL206" s="279">
        <f t="shared" si="62"/>
        <v>26</v>
      </c>
      <c r="BM206" s="279"/>
      <c r="BN206" s="279"/>
      <c r="BO206" s="2">
        <f t="shared" si="63"/>
        <v>26</v>
      </c>
      <c r="BP206" s="430"/>
      <c r="BQ206" s="431"/>
      <c r="BR206" s="2"/>
      <c r="BS206" s="25"/>
      <c r="BT206" s="348">
        <f t="shared" si="64"/>
        <v>1</v>
      </c>
      <c r="BU206" s="2"/>
      <c r="BV206" s="282">
        <f t="shared" si="82"/>
        <v>0</v>
      </c>
      <c r="BW206" s="279">
        <v>-20000</v>
      </c>
      <c r="BX206" s="269">
        <f t="shared" si="87"/>
        <v>0</v>
      </c>
      <c r="BY206" s="349" t="e">
        <f t="shared" si="67"/>
        <v>#N/A</v>
      </c>
      <c r="BZ206" s="349" t="e">
        <f t="shared" si="68"/>
        <v>#N/A</v>
      </c>
      <c r="CA206" s="349" t="e">
        <f t="shared" si="69"/>
        <v>#N/A</v>
      </c>
      <c r="CB206" s="349" t="e">
        <f t="shared" si="70"/>
        <v>#N/A</v>
      </c>
      <c r="CC206" s="349" t="e">
        <f t="shared" si="83"/>
        <v>#N/A</v>
      </c>
      <c r="CD206" s="14" t="e">
        <f t="shared" si="72"/>
        <v>#N/A</v>
      </c>
      <c r="CE206" s="14">
        <f t="shared" si="84"/>
        <v>26</v>
      </c>
      <c r="CF206" s="25">
        <f t="shared" si="74"/>
        <v>1</v>
      </c>
      <c r="CG206" s="270"/>
      <c r="CH206" s="2"/>
      <c r="CL206" s="349" t="e">
        <f>#N/A</f>
        <v>#N/A</v>
      </c>
      <c r="CM206" s="349" t="e">
        <f>#N/A</f>
        <v>#N/A</v>
      </c>
      <c r="CN206" s="349" t="e">
        <f>#N/A</f>
        <v>#N/A</v>
      </c>
      <c r="CO206" s="349" t="e">
        <f>#N/A</f>
        <v>#N/A</v>
      </c>
      <c r="CP206" s="349" t="e">
        <f t="shared" si="88"/>
        <v>#N/A</v>
      </c>
      <c r="CQ206" s="14" t="e">
        <f t="shared" si="76"/>
        <v>#N/A</v>
      </c>
      <c r="CW206" s="1">
        <f t="shared" si="85"/>
        <v>0</v>
      </c>
      <c r="CX206" s="1">
        <f t="shared" si="86"/>
        <v>-20000</v>
      </c>
      <c r="CY206" s="2">
        <f t="shared" si="79"/>
        <v>-10000</v>
      </c>
    </row>
    <row r="207" spans="1:103" s="1" customFormat="1" ht="29.4" customHeight="1">
      <c r="A207" s="46">
        <v>33</v>
      </c>
      <c r="B207" s="46">
        <v>2</v>
      </c>
      <c r="C207" s="46">
        <v>80</v>
      </c>
      <c r="D207" s="48"/>
      <c r="E207" s="48"/>
      <c r="F207" s="46"/>
      <c r="G207" s="317" t="s">
        <v>1991</v>
      </c>
      <c r="H207" s="317" t="s">
        <v>1991</v>
      </c>
      <c r="I207" s="317">
        <v>0</v>
      </c>
      <c r="J207" s="317"/>
      <c r="K207" s="317">
        <v>0</v>
      </c>
      <c r="L207" s="317" t="s">
        <v>1991</v>
      </c>
      <c r="M207" s="317" t="s">
        <v>1991</v>
      </c>
      <c r="N207" s="317" t="s">
        <v>1991</v>
      </c>
      <c r="O207" s="317">
        <v>0</v>
      </c>
      <c r="P207" s="317" t="s">
        <v>1991</v>
      </c>
      <c r="Q207" s="317" t="s">
        <v>1991</v>
      </c>
      <c r="R207" s="317" t="s">
        <v>1991</v>
      </c>
      <c r="S207" s="317" t="s">
        <v>1991</v>
      </c>
      <c r="T207" s="326" t="s">
        <v>1991</v>
      </c>
      <c r="U207" s="312" t="s">
        <v>1991</v>
      </c>
      <c r="V207" s="46" t="s">
        <v>1991</v>
      </c>
      <c r="W207" s="324">
        <v>0</v>
      </c>
      <c r="X207" s="324" t="s">
        <v>1991</v>
      </c>
      <c r="Y207" s="324" t="s">
        <v>1991</v>
      </c>
      <c r="Z207" s="46" t="s">
        <v>1991</v>
      </c>
      <c r="AA207" s="46" t="s">
        <v>1991</v>
      </c>
      <c r="AB207" s="46" t="s">
        <v>1991</v>
      </c>
      <c r="AC207" s="46" t="s">
        <v>1991</v>
      </c>
      <c r="AD207" s="46" t="s">
        <v>1991</v>
      </c>
      <c r="AE207" s="324" t="s">
        <v>1991</v>
      </c>
      <c r="AF207" s="324" t="s">
        <v>1991</v>
      </c>
      <c r="AG207" s="324" t="s">
        <v>1991</v>
      </c>
      <c r="AH207" s="324" t="s">
        <v>1991</v>
      </c>
      <c r="AI207" s="324" t="s">
        <v>1991</v>
      </c>
      <c r="AJ207" s="324" t="s">
        <v>1991</v>
      </c>
      <c r="AK207" s="324" t="s">
        <v>1991</v>
      </c>
      <c r="AL207" s="327"/>
      <c r="AM207" s="327"/>
      <c r="AN207" s="327"/>
      <c r="AO207" s="327"/>
      <c r="AP207" s="327"/>
      <c r="AQ207" s="327"/>
      <c r="AR207" s="327"/>
      <c r="AS207" s="327"/>
      <c r="AT207" s="327"/>
      <c r="AU207" s="327"/>
      <c r="AV207" s="327"/>
      <c r="AW207" s="327"/>
      <c r="AX207" s="327"/>
      <c r="AY207" s="327"/>
      <c r="AZ207" s="327"/>
      <c r="BA207" s="327"/>
      <c r="BB207" s="46">
        <f t="shared" si="59"/>
        <v>11</v>
      </c>
      <c r="BC207" s="46">
        <f t="shared" si="77"/>
        <v>15</v>
      </c>
      <c r="BD207" s="46">
        <f t="shared" si="89"/>
        <v>0</v>
      </c>
      <c r="BE207" s="46">
        <f t="shared" si="80"/>
        <v>0</v>
      </c>
      <c r="BF207" s="296">
        <f t="shared" si="81"/>
        <v>26</v>
      </c>
      <c r="BG207" s="2"/>
      <c r="BH207" s="2"/>
      <c r="BI207" s="2"/>
      <c r="BJ207" s="2"/>
      <c r="BK207" s="279">
        <f t="shared" si="78"/>
        <v>1</v>
      </c>
      <c r="BL207" s="279">
        <f t="shared" si="62"/>
        <v>26</v>
      </c>
      <c r="BM207" s="279"/>
      <c r="BN207" s="279"/>
      <c r="BO207" s="2">
        <f t="shared" si="63"/>
        <v>26</v>
      </c>
      <c r="BP207" s="430"/>
      <c r="BQ207" s="431"/>
      <c r="BR207" s="2"/>
      <c r="BS207" s="25"/>
      <c r="BT207" s="348">
        <f t="shared" si="64"/>
        <v>1</v>
      </c>
      <c r="BU207" s="2"/>
      <c r="BV207" s="282">
        <f t="shared" si="82"/>
        <v>0</v>
      </c>
      <c r="BW207" s="279">
        <v>0</v>
      </c>
      <c r="BX207" s="269">
        <f t="shared" si="87"/>
        <v>0</v>
      </c>
      <c r="BY207" s="349" t="e">
        <f t="shared" si="67"/>
        <v>#N/A</v>
      </c>
      <c r="BZ207" s="349" t="e">
        <f t="shared" si="68"/>
        <v>#N/A</v>
      </c>
      <c r="CA207" s="349" t="e">
        <f t="shared" si="69"/>
        <v>#N/A</v>
      </c>
      <c r="CB207" s="349" t="e">
        <f t="shared" si="70"/>
        <v>#N/A</v>
      </c>
      <c r="CC207" s="349" t="e">
        <f t="shared" si="83"/>
        <v>#N/A</v>
      </c>
      <c r="CD207" s="14" t="e">
        <f t="shared" si="72"/>
        <v>#N/A</v>
      </c>
      <c r="CE207" s="14">
        <f t="shared" si="84"/>
        <v>26</v>
      </c>
      <c r="CF207" s="25">
        <f t="shared" si="74"/>
        <v>1</v>
      </c>
      <c r="CG207" s="270"/>
      <c r="CH207" s="2"/>
      <c r="CL207" s="349" t="e">
        <f>#N/A</f>
        <v>#N/A</v>
      </c>
      <c r="CM207" s="349" t="e">
        <f>#N/A</f>
        <v>#N/A</v>
      </c>
      <c r="CN207" s="349" t="e">
        <f>#N/A</f>
        <v>#N/A</v>
      </c>
      <c r="CO207" s="349" t="e">
        <f>#N/A</f>
        <v>#N/A</v>
      </c>
      <c r="CP207" s="349" t="e">
        <f t="shared" si="88"/>
        <v>#N/A</v>
      </c>
      <c r="CQ207" s="14" t="e">
        <f t="shared" si="76"/>
        <v>#N/A</v>
      </c>
      <c r="CW207" s="1">
        <f t="shared" si="85"/>
        <v>0</v>
      </c>
      <c r="CX207" s="1">
        <f t="shared" si="86"/>
        <v>0</v>
      </c>
      <c r="CY207" s="2">
        <f t="shared" si="79"/>
        <v>0</v>
      </c>
    </row>
    <row r="208" spans="1:103" s="1" customFormat="1" ht="29.4" customHeight="1">
      <c r="A208" s="46">
        <v>34</v>
      </c>
      <c r="B208" s="46">
        <v>2</v>
      </c>
      <c r="C208" s="46">
        <v>81</v>
      </c>
      <c r="D208" s="48"/>
      <c r="E208" s="48"/>
      <c r="F208" s="46"/>
      <c r="G208" s="317" t="s">
        <v>1991</v>
      </c>
      <c r="H208" s="317" t="s">
        <v>1991</v>
      </c>
      <c r="I208" s="317">
        <v>0</v>
      </c>
      <c r="J208" s="317"/>
      <c r="K208" s="317">
        <v>0</v>
      </c>
      <c r="L208" s="317" t="s">
        <v>1991</v>
      </c>
      <c r="M208" s="317" t="s">
        <v>1991</v>
      </c>
      <c r="N208" s="317" t="s">
        <v>1991</v>
      </c>
      <c r="O208" s="317">
        <v>0</v>
      </c>
      <c r="P208" s="317" t="s">
        <v>1991</v>
      </c>
      <c r="Q208" s="317" t="s">
        <v>1991</v>
      </c>
      <c r="R208" s="317" t="s">
        <v>1991</v>
      </c>
      <c r="S208" s="317" t="s">
        <v>1991</v>
      </c>
      <c r="T208" s="326" t="s">
        <v>1991</v>
      </c>
      <c r="U208" s="312" t="s">
        <v>1991</v>
      </c>
      <c r="V208" s="46" t="s">
        <v>1991</v>
      </c>
      <c r="W208" s="324">
        <v>0</v>
      </c>
      <c r="X208" s="324" t="s">
        <v>1991</v>
      </c>
      <c r="Y208" s="324" t="s">
        <v>1991</v>
      </c>
      <c r="Z208" s="46" t="s">
        <v>1991</v>
      </c>
      <c r="AA208" s="46" t="s">
        <v>1991</v>
      </c>
      <c r="AB208" s="46" t="s">
        <v>1991</v>
      </c>
      <c r="AC208" s="46" t="s">
        <v>1991</v>
      </c>
      <c r="AD208" s="46" t="s">
        <v>1991</v>
      </c>
      <c r="AE208" s="324" t="s">
        <v>1991</v>
      </c>
      <c r="AF208" s="324" t="s">
        <v>1991</v>
      </c>
      <c r="AG208" s="324" t="s">
        <v>1991</v>
      </c>
      <c r="AH208" s="324" t="s">
        <v>1991</v>
      </c>
      <c r="AI208" s="324" t="s">
        <v>1991</v>
      </c>
      <c r="AJ208" s="324" t="s">
        <v>1991</v>
      </c>
      <c r="AK208" s="324" t="s">
        <v>1991</v>
      </c>
      <c r="AL208" s="327"/>
      <c r="AM208" s="327"/>
      <c r="AN208" s="327"/>
      <c r="AO208" s="327"/>
      <c r="AP208" s="327"/>
      <c r="AQ208" s="327"/>
      <c r="AR208" s="327"/>
      <c r="AS208" s="327"/>
      <c r="AT208" s="327"/>
      <c r="AU208" s="327"/>
      <c r="AV208" s="327"/>
      <c r="AW208" s="327"/>
      <c r="AX208" s="327"/>
      <c r="AY208" s="327"/>
      <c r="AZ208" s="327"/>
      <c r="BA208" s="327"/>
      <c r="BB208" s="46">
        <f t="shared" si="59"/>
        <v>11</v>
      </c>
      <c r="BC208" s="46">
        <f t="shared" si="77"/>
        <v>15</v>
      </c>
      <c r="BD208" s="46">
        <f t="shared" si="89"/>
        <v>0</v>
      </c>
      <c r="BE208" s="46">
        <f t="shared" si="80"/>
        <v>0</v>
      </c>
      <c r="BF208" s="296">
        <f t="shared" si="81"/>
        <v>26</v>
      </c>
      <c r="BG208" s="2"/>
      <c r="BH208" s="2"/>
      <c r="BI208" s="2"/>
      <c r="BJ208" s="2"/>
      <c r="BK208" s="279">
        <f t="shared" si="78"/>
        <v>1</v>
      </c>
      <c r="BL208" s="279">
        <f t="shared" si="62"/>
        <v>26</v>
      </c>
      <c r="BM208" s="279"/>
      <c r="BN208" s="279"/>
      <c r="BO208" s="2">
        <f t="shared" si="63"/>
        <v>26</v>
      </c>
      <c r="BP208" s="430"/>
      <c r="BQ208" s="431"/>
      <c r="BR208" s="2"/>
      <c r="BS208" s="25"/>
      <c r="BT208" s="348">
        <f t="shared" si="64"/>
        <v>1</v>
      </c>
      <c r="BU208" s="2"/>
      <c r="BV208" s="282">
        <f t="shared" si="82"/>
        <v>0</v>
      </c>
      <c r="BW208" s="279">
        <v>-20000</v>
      </c>
      <c r="BX208" s="269">
        <f t="shared" si="87"/>
        <v>0</v>
      </c>
      <c r="BY208" s="349" t="e">
        <f t="shared" si="67"/>
        <v>#N/A</v>
      </c>
      <c r="BZ208" s="349" t="e">
        <f t="shared" si="68"/>
        <v>#N/A</v>
      </c>
      <c r="CA208" s="349" t="e">
        <f t="shared" si="69"/>
        <v>#N/A</v>
      </c>
      <c r="CB208" s="349" t="e">
        <f t="shared" si="70"/>
        <v>#N/A</v>
      </c>
      <c r="CC208" s="349" t="e">
        <f t="shared" si="83"/>
        <v>#N/A</v>
      </c>
      <c r="CD208" s="14" t="e">
        <f t="shared" si="72"/>
        <v>#N/A</v>
      </c>
      <c r="CE208" s="14">
        <f t="shared" si="84"/>
        <v>26</v>
      </c>
      <c r="CF208" s="25">
        <f t="shared" si="74"/>
        <v>1</v>
      </c>
      <c r="CG208" s="270"/>
      <c r="CH208" s="2"/>
      <c r="CL208" s="349" t="e">
        <f>#N/A</f>
        <v>#N/A</v>
      </c>
      <c r="CM208" s="349" t="e">
        <f>#N/A</f>
        <v>#N/A</v>
      </c>
      <c r="CN208" s="349" t="e">
        <f>#N/A</f>
        <v>#N/A</v>
      </c>
      <c r="CO208" s="349" t="e">
        <f>#N/A</f>
        <v>#N/A</v>
      </c>
      <c r="CP208" s="349" t="e">
        <f t="shared" si="88"/>
        <v>#N/A</v>
      </c>
      <c r="CQ208" s="14" t="e">
        <f t="shared" si="76"/>
        <v>#N/A</v>
      </c>
      <c r="CW208" s="1">
        <f t="shared" si="85"/>
        <v>0</v>
      </c>
      <c r="CX208" s="1">
        <f t="shared" si="86"/>
        <v>-20000</v>
      </c>
      <c r="CY208" s="2">
        <f t="shared" si="79"/>
        <v>-10000</v>
      </c>
    </row>
    <row r="209" spans="1:103" s="1" customFormat="1" ht="29.4" customHeight="1">
      <c r="A209" s="46">
        <v>35</v>
      </c>
      <c r="B209" s="46">
        <v>2</v>
      </c>
      <c r="C209" s="46">
        <v>82</v>
      </c>
      <c r="D209" s="48"/>
      <c r="E209" s="48"/>
      <c r="F209" s="46"/>
      <c r="G209" s="317">
        <v>0</v>
      </c>
      <c r="H209" s="317" t="s">
        <v>1991</v>
      </c>
      <c r="I209" s="317" t="s">
        <v>1991</v>
      </c>
      <c r="J209" s="317"/>
      <c r="K209" s="317">
        <v>0</v>
      </c>
      <c r="L209" s="317" t="s">
        <v>1991</v>
      </c>
      <c r="M209" s="317" t="s">
        <v>1991</v>
      </c>
      <c r="N209" s="317" t="s">
        <v>1991</v>
      </c>
      <c r="O209" s="317" t="s">
        <v>1991</v>
      </c>
      <c r="P209" s="317">
        <v>0</v>
      </c>
      <c r="Q209" s="317" t="s">
        <v>1991</v>
      </c>
      <c r="R209" s="317" t="s">
        <v>1991</v>
      </c>
      <c r="S209" s="317" t="s">
        <v>1991</v>
      </c>
      <c r="T209" s="326" t="s">
        <v>1991</v>
      </c>
      <c r="U209" s="312" t="s">
        <v>1991</v>
      </c>
      <c r="V209" s="46" t="s">
        <v>1991</v>
      </c>
      <c r="W209" s="324">
        <v>0</v>
      </c>
      <c r="X209" s="324" t="s">
        <v>1991</v>
      </c>
      <c r="Y209" s="324" t="s">
        <v>1991</v>
      </c>
      <c r="Z209" s="46" t="s">
        <v>1991</v>
      </c>
      <c r="AA209" s="46" t="s">
        <v>1991</v>
      </c>
      <c r="AB209" s="46" t="s">
        <v>1991</v>
      </c>
      <c r="AC209" s="46" t="s">
        <v>1991</v>
      </c>
      <c r="AD209" s="46" t="s">
        <v>1991</v>
      </c>
      <c r="AE209" s="324" t="s">
        <v>1991</v>
      </c>
      <c r="AF209" s="324" t="s">
        <v>1991</v>
      </c>
      <c r="AG209" s="324" t="s">
        <v>1991</v>
      </c>
      <c r="AH209" s="324" t="s">
        <v>1991</v>
      </c>
      <c r="AI209" s="324" t="s">
        <v>1991</v>
      </c>
      <c r="AJ209" s="324" t="s">
        <v>1991</v>
      </c>
      <c r="AK209" s="324" t="s">
        <v>1991</v>
      </c>
      <c r="AL209" s="327"/>
      <c r="AM209" s="327"/>
      <c r="AN209" s="327"/>
      <c r="AO209" s="327"/>
      <c r="AP209" s="327"/>
      <c r="AQ209" s="327"/>
      <c r="AR209" s="327"/>
      <c r="AS209" s="327"/>
      <c r="AT209" s="327"/>
      <c r="AU209" s="327"/>
      <c r="AV209" s="327"/>
      <c r="AW209" s="327"/>
      <c r="AX209" s="327"/>
      <c r="AY209" s="327"/>
      <c r="AZ209" s="327"/>
      <c r="BA209" s="327"/>
      <c r="BB209" s="46">
        <f t="shared" si="59"/>
        <v>11</v>
      </c>
      <c r="BC209" s="46">
        <f t="shared" si="77"/>
        <v>15</v>
      </c>
      <c r="BD209" s="46">
        <f t="shared" si="89"/>
        <v>0</v>
      </c>
      <c r="BE209" s="46">
        <f t="shared" si="80"/>
        <v>0</v>
      </c>
      <c r="BF209" s="296">
        <f t="shared" si="81"/>
        <v>26</v>
      </c>
      <c r="BG209" s="2"/>
      <c r="BH209" s="2"/>
      <c r="BI209" s="2"/>
      <c r="BJ209" s="2"/>
      <c r="BK209" s="279">
        <f t="shared" si="78"/>
        <v>1</v>
      </c>
      <c r="BL209" s="279">
        <f t="shared" si="62"/>
        <v>26</v>
      </c>
      <c r="BM209" s="279"/>
      <c r="BN209" s="279"/>
      <c r="BO209" s="2">
        <f t="shared" si="63"/>
        <v>26</v>
      </c>
      <c r="BP209" s="430"/>
      <c r="BQ209" s="431"/>
      <c r="BR209" s="2"/>
      <c r="BS209" s="25"/>
      <c r="BT209" s="348">
        <f t="shared" si="64"/>
        <v>1</v>
      </c>
      <c r="BU209" s="2"/>
      <c r="BV209" s="282">
        <f t="shared" si="82"/>
        <v>0</v>
      </c>
      <c r="BW209" s="279">
        <v>0</v>
      </c>
      <c r="BX209" s="269">
        <f t="shared" si="87"/>
        <v>0</v>
      </c>
      <c r="BY209" s="349" t="e">
        <f t="shared" si="67"/>
        <v>#N/A</v>
      </c>
      <c r="BZ209" s="349" t="e">
        <f t="shared" si="68"/>
        <v>#N/A</v>
      </c>
      <c r="CA209" s="349" t="e">
        <f t="shared" si="69"/>
        <v>#N/A</v>
      </c>
      <c r="CB209" s="349" t="e">
        <f t="shared" si="70"/>
        <v>#N/A</v>
      </c>
      <c r="CC209" s="349" t="e">
        <f t="shared" si="83"/>
        <v>#N/A</v>
      </c>
      <c r="CD209" s="14" t="e">
        <f t="shared" si="72"/>
        <v>#N/A</v>
      </c>
      <c r="CE209" s="14">
        <f t="shared" si="84"/>
        <v>26</v>
      </c>
      <c r="CF209" s="25">
        <f t="shared" si="74"/>
        <v>1</v>
      </c>
      <c r="CG209" s="270"/>
      <c r="CH209" s="2"/>
      <c r="CL209" s="349" t="e">
        <f>#N/A</f>
        <v>#N/A</v>
      </c>
      <c r="CM209" s="349" t="e">
        <f>#N/A</f>
        <v>#N/A</v>
      </c>
      <c r="CN209" s="349" t="e">
        <f>#N/A</f>
        <v>#N/A</v>
      </c>
      <c r="CO209" s="349" t="e">
        <f>#N/A</f>
        <v>#N/A</v>
      </c>
      <c r="CP209" s="349" t="e">
        <f t="shared" si="88"/>
        <v>#N/A</v>
      </c>
      <c r="CQ209" s="14" t="e">
        <f t="shared" si="76"/>
        <v>#N/A</v>
      </c>
      <c r="CW209" s="1">
        <f t="shared" si="85"/>
        <v>0</v>
      </c>
      <c r="CX209" s="1">
        <f t="shared" si="86"/>
        <v>0</v>
      </c>
      <c r="CY209" s="2">
        <f t="shared" si="79"/>
        <v>0</v>
      </c>
    </row>
    <row r="210" spans="1:103" s="1" customFormat="1" ht="29.4" customHeight="1">
      <c r="A210" s="46">
        <v>36</v>
      </c>
      <c r="B210" s="46">
        <v>2</v>
      </c>
      <c r="C210" s="46">
        <v>83</v>
      </c>
      <c r="D210" s="48"/>
      <c r="E210" s="48"/>
      <c r="F210" s="46"/>
      <c r="G210" s="317">
        <v>0</v>
      </c>
      <c r="H210" s="317" t="s">
        <v>1991</v>
      </c>
      <c r="I210" s="317" t="s">
        <v>1991</v>
      </c>
      <c r="J210" s="317"/>
      <c r="K210" s="317">
        <v>0</v>
      </c>
      <c r="L210" s="317" t="s">
        <v>1991</v>
      </c>
      <c r="M210" s="317">
        <v>0</v>
      </c>
      <c r="N210" s="317" t="s">
        <v>1991</v>
      </c>
      <c r="O210" s="317" t="s">
        <v>1991</v>
      </c>
      <c r="P210" s="317" t="s">
        <v>1991</v>
      </c>
      <c r="Q210" s="317" t="s">
        <v>1991</v>
      </c>
      <c r="R210" s="317" t="s">
        <v>1991</v>
      </c>
      <c r="S210" s="317" t="s">
        <v>1991</v>
      </c>
      <c r="T210" s="326" t="s">
        <v>1991</v>
      </c>
      <c r="U210" s="312" t="s">
        <v>1991</v>
      </c>
      <c r="V210" s="46" t="s">
        <v>1991</v>
      </c>
      <c r="W210" s="324" t="s">
        <v>1991</v>
      </c>
      <c r="X210" s="324" t="s">
        <v>1991</v>
      </c>
      <c r="Y210" s="324" t="s">
        <v>1991</v>
      </c>
      <c r="Z210" s="46" t="s">
        <v>1991</v>
      </c>
      <c r="AA210" s="46" t="s">
        <v>1991</v>
      </c>
      <c r="AB210" s="46" t="s">
        <v>1991</v>
      </c>
      <c r="AC210" s="46" t="s">
        <v>1991</v>
      </c>
      <c r="AD210" s="46" t="s">
        <v>1991</v>
      </c>
      <c r="AE210" s="324">
        <v>0</v>
      </c>
      <c r="AF210" s="324" t="s">
        <v>1991</v>
      </c>
      <c r="AG210" s="324" t="s">
        <v>1991</v>
      </c>
      <c r="AH210" s="324" t="s">
        <v>1991</v>
      </c>
      <c r="AI210" s="324" t="s">
        <v>1991</v>
      </c>
      <c r="AJ210" s="324" t="s">
        <v>1991</v>
      </c>
      <c r="AK210" s="324" t="s">
        <v>1991</v>
      </c>
      <c r="AL210" s="327"/>
      <c r="AM210" s="327"/>
      <c r="AN210" s="327"/>
      <c r="AO210" s="327"/>
      <c r="AP210" s="327"/>
      <c r="AQ210" s="327"/>
      <c r="AR210" s="327"/>
      <c r="AS210" s="327"/>
      <c r="AT210" s="327"/>
      <c r="AU210" s="327"/>
      <c r="AV210" s="327"/>
      <c r="AW210" s="327"/>
      <c r="AX210" s="327"/>
      <c r="AY210" s="327"/>
      <c r="AZ210" s="327"/>
      <c r="BA210" s="327"/>
      <c r="BB210" s="46">
        <f t="shared" si="59"/>
        <v>11</v>
      </c>
      <c r="BC210" s="46">
        <f t="shared" si="77"/>
        <v>15</v>
      </c>
      <c r="BD210" s="46">
        <f t="shared" si="89"/>
        <v>0</v>
      </c>
      <c r="BE210" s="46">
        <f t="shared" si="80"/>
        <v>0</v>
      </c>
      <c r="BF210" s="296">
        <f t="shared" si="81"/>
        <v>26</v>
      </c>
      <c r="BG210" s="2"/>
      <c r="BH210" s="2"/>
      <c r="BI210" s="2"/>
      <c r="BJ210" s="2"/>
      <c r="BK210" s="279">
        <f t="shared" si="78"/>
        <v>1</v>
      </c>
      <c r="BL210" s="279">
        <f t="shared" si="62"/>
        <v>26</v>
      </c>
      <c r="BM210" s="279"/>
      <c r="BN210" s="279"/>
      <c r="BO210" s="2">
        <f t="shared" si="63"/>
        <v>26</v>
      </c>
      <c r="BP210" s="430"/>
      <c r="BQ210" s="431"/>
      <c r="BR210" s="2"/>
      <c r="BS210" s="25"/>
      <c r="BT210" s="348">
        <f t="shared" si="64"/>
        <v>1</v>
      </c>
      <c r="BU210" s="2"/>
      <c r="BV210" s="282">
        <f t="shared" si="82"/>
        <v>0</v>
      </c>
      <c r="BW210" s="279">
        <v>0</v>
      </c>
      <c r="BX210" s="269">
        <f t="shared" si="87"/>
        <v>0</v>
      </c>
      <c r="BY210" s="349" t="e">
        <f t="shared" si="67"/>
        <v>#N/A</v>
      </c>
      <c r="BZ210" s="349" t="e">
        <f t="shared" si="68"/>
        <v>#N/A</v>
      </c>
      <c r="CA210" s="349" t="e">
        <f t="shared" si="69"/>
        <v>#N/A</v>
      </c>
      <c r="CB210" s="349" t="e">
        <f t="shared" si="70"/>
        <v>#N/A</v>
      </c>
      <c r="CC210" s="349" t="e">
        <f t="shared" si="83"/>
        <v>#N/A</v>
      </c>
      <c r="CD210" s="14" t="e">
        <f t="shared" si="72"/>
        <v>#N/A</v>
      </c>
      <c r="CE210" s="14">
        <f t="shared" si="84"/>
        <v>26</v>
      </c>
      <c r="CF210" s="25">
        <f t="shared" si="74"/>
        <v>1</v>
      </c>
      <c r="CG210" s="270"/>
      <c r="CH210" s="2"/>
      <c r="CL210" s="349" t="e">
        <f>#N/A</f>
        <v>#N/A</v>
      </c>
      <c r="CM210" s="349" t="e">
        <f>#N/A</f>
        <v>#N/A</v>
      </c>
      <c r="CN210" s="349" t="e">
        <f>#N/A</f>
        <v>#N/A</v>
      </c>
      <c r="CO210" s="349" t="e">
        <f>#N/A</f>
        <v>#N/A</v>
      </c>
      <c r="CP210" s="349" t="e">
        <f t="shared" si="88"/>
        <v>#N/A</v>
      </c>
      <c r="CQ210" s="14" t="e">
        <f t="shared" si="76"/>
        <v>#N/A</v>
      </c>
      <c r="CW210" s="1">
        <f t="shared" si="85"/>
        <v>0</v>
      </c>
      <c r="CX210" s="1">
        <f t="shared" si="86"/>
        <v>0</v>
      </c>
      <c r="CY210" s="2">
        <f t="shared" si="79"/>
        <v>0</v>
      </c>
    </row>
    <row r="211" spans="1:103" s="1" customFormat="1" ht="29.4" customHeight="1">
      <c r="A211" s="46">
        <v>37</v>
      </c>
      <c r="B211" s="46">
        <v>2</v>
      </c>
      <c r="C211" s="46">
        <v>84</v>
      </c>
      <c r="D211" s="48"/>
      <c r="E211" s="48"/>
      <c r="F211" s="46"/>
      <c r="G211" s="317">
        <v>0</v>
      </c>
      <c r="H211" s="317" t="s">
        <v>1991</v>
      </c>
      <c r="I211" s="317" t="s">
        <v>1991</v>
      </c>
      <c r="J211" s="317"/>
      <c r="K211" s="317">
        <v>0</v>
      </c>
      <c r="L211" s="317" t="s">
        <v>1991</v>
      </c>
      <c r="M211" s="317" t="s">
        <v>1991</v>
      </c>
      <c r="N211" s="317">
        <v>0</v>
      </c>
      <c r="O211" s="317" t="s">
        <v>1991</v>
      </c>
      <c r="P211" s="317" t="s">
        <v>1991</v>
      </c>
      <c r="Q211" s="317" t="s">
        <v>1991</v>
      </c>
      <c r="R211" s="317" t="s">
        <v>1991</v>
      </c>
      <c r="S211" s="317" t="s">
        <v>1991</v>
      </c>
      <c r="T211" s="326" t="s">
        <v>1991</v>
      </c>
      <c r="U211" s="312">
        <v>0</v>
      </c>
      <c r="V211" s="46" t="s">
        <v>1991</v>
      </c>
      <c r="W211" s="324" t="s">
        <v>1991</v>
      </c>
      <c r="X211" s="324" t="s">
        <v>1991</v>
      </c>
      <c r="Y211" s="324" t="s">
        <v>1991</v>
      </c>
      <c r="Z211" s="46" t="s">
        <v>1991</v>
      </c>
      <c r="AA211" s="46" t="s">
        <v>1991</v>
      </c>
      <c r="AB211" s="46" t="s">
        <v>1991</v>
      </c>
      <c r="AC211" s="46" t="s">
        <v>1991</v>
      </c>
      <c r="AD211" s="46" t="s">
        <v>1991</v>
      </c>
      <c r="AE211" s="324" t="s">
        <v>1991</v>
      </c>
      <c r="AF211" s="324" t="s">
        <v>1991</v>
      </c>
      <c r="AG211" s="324" t="s">
        <v>1991</v>
      </c>
      <c r="AH211" s="324" t="s">
        <v>1991</v>
      </c>
      <c r="AI211" s="324">
        <v>0</v>
      </c>
      <c r="AJ211" s="324" t="s">
        <v>1991</v>
      </c>
      <c r="AK211" s="324" t="s">
        <v>1991</v>
      </c>
      <c r="AL211" s="327"/>
      <c r="AM211" s="327"/>
      <c r="AN211" s="327"/>
      <c r="AO211" s="327"/>
      <c r="AP211" s="327"/>
      <c r="AQ211" s="327"/>
      <c r="AR211" s="327"/>
      <c r="AS211" s="327"/>
      <c r="AT211" s="327"/>
      <c r="AU211" s="327"/>
      <c r="AV211" s="327"/>
      <c r="AW211" s="327"/>
      <c r="AX211" s="327"/>
      <c r="AY211" s="327"/>
      <c r="AZ211" s="327"/>
      <c r="BA211" s="327"/>
      <c r="BB211" s="46">
        <f t="shared" si="59"/>
        <v>10</v>
      </c>
      <c r="BC211" s="46">
        <f t="shared" si="77"/>
        <v>15</v>
      </c>
      <c r="BD211" s="46">
        <f t="shared" si="89"/>
        <v>0</v>
      </c>
      <c r="BE211" s="46">
        <f t="shared" si="80"/>
        <v>0</v>
      </c>
      <c r="BF211" s="296">
        <f t="shared" si="81"/>
        <v>25</v>
      </c>
      <c r="BG211" s="2"/>
      <c r="BH211" s="2"/>
      <c r="BI211" s="2"/>
      <c r="BJ211" s="2"/>
      <c r="BK211" s="279">
        <f t="shared" si="78"/>
        <v>0</v>
      </c>
      <c r="BL211" s="279">
        <f t="shared" si="62"/>
        <v>25</v>
      </c>
      <c r="BM211" s="279"/>
      <c r="BN211" s="279"/>
      <c r="BO211" s="2">
        <f t="shared" si="63"/>
        <v>0</v>
      </c>
      <c r="BP211" s="430"/>
      <c r="BQ211" s="431"/>
      <c r="BR211" s="2"/>
      <c r="BS211" s="25"/>
      <c r="BT211" s="348">
        <f t="shared" si="64"/>
        <v>0</v>
      </c>
      <c r="BU211" s="2"/>
      <c r="BV211" s="282">
        <f t="shared" si="82"/>
        <v>0</v>
      </c>
      <c r="BW211" s="279">
        <v>20000</v>
      </c>
      <c r="BX211" s="269">
        <f t="shared" si="87"/>
        <v>-0.15</v>
      </c>
      <c r="BY211" s="349" t="e">
        <f t="shared" si="67"/>
        <v>#N/A</v>
      </c>
      <c r="BZ211" s="349" t="e">
        <f t="shared" si="68"/>
        <v>#N/A</v>
      </c>
      <c r="CA211" s="349" t="e">
        <f t="shared" si="69"/>
        <v>#N/A</v>
      </c>
      <c r="CB211" s="349" t="e">
        <f t="shared" si="70"/>
        <v>#N/A</v>
      </c>
      <c r="CC211" s="349" t="e">
        <f t="shared" si="83"/>
        <v>#N/A</v>
      </c>
      <c r="CD211" s="14" t="e">
        <f t="shared" si="72"/>
        <v>#N/A</v>
      </c>
      <c r="CE211" s="14">
        <f t="shared" si="84"/>
        <v>0</v>
      </c>
      <c r="CF211" s="25">
        <f t="shared" si="74"/>
        <v>0</v>
      </c>
      <c r="CG211" s="270"/>
      <c r="CH211" s="2"/>
      <c r="CL211" s="349" t="e">
        <f>#N/A</f>
        <v>#N/A</v>
      </c>
      <c r="CM211" s="349" t="e">
        <f>#N/A</f>
        <v>#N/A</v>
      </c>
      <c r="CN211" s="349" t="e">
        <f>#N/A</f>
        <v>#N/A</v>
      </c>
      <c r="CO211" s="349" t="e">
        <f>#N/A</f>
        <v>#N/A</v>
      </c>
      <c r="CP211" s="349" t="e">
        <f t="shared" si="88"/>
        <v>#N/A</v>
      </c>
      <c r="CQ211" s="14" t="e">
        <f t="shared" si="76"/>
        <v>#N/A</v>
      </c>
      <c r="CW211" s="1">
        <f t="shared" si="85"/>
        <v>0</v>
      </c>
      <c r="CX211" s="1">
        <f t="shared" si="86"/>
        <v>20000</v>
      </c>
      <c r="CY211" s="2">
        <f t="shared" si="79"/>
        <v>10000</v>
      </c>
    </row>
    <row r="212" spans="1:103" s="1" customFormat="1" ht="29.4" customHeight="1">
      <c r="A212" s="46">
        <v>38</v>
      </c>
      <c r="B212" s="46">
        <v>2</v>
      </c>
      <c r="C212" s="46">
        <v>85</v>
      </c>
      <c r="D212" s="48"/>
      <c r="E212" s="48"/>
      <c r="F212" s="46"/>
      <c r="G212" s="317" t="s">
        <v>1991</v>
      </c>
      <c r="H212" s="317" t="s">
        <v>1991</v>
      </c>
      <c r="I212" s="317">
        <v>0</v>
      </c>
      <c r="J212" s="317"/>
      <c r="K212" s="317" t="s">
        <v>1991</v>
      </c>
      <c r="L212" s="317" t="s">
        <v>1991</v>
      </c>
      <c r="M212" s="317" t="s">
        <v>1991</v>
      </c>
      <c r="N212" s="317" t="s">
        <v>1991</v>
      </c>
      <c r="O212" s="317" t="s">
        <v>1991</v>
      </c>
      <c r="P212" s="317">
        <v>0</v>
      </c>
      <c r="Q212" s="317" t="s">
        <v>1991</v>
      </c>
      <c r="R212" s="317" t="s">
        <v>1991</v>
      </c>
      <c r="S212" s="317" t="s">
        <v>1991</v>
      </c>
      <c r="T212" s="326" t="s">
        <v>1991</v>
      </c>
      <c r="U212" s="312" t="s">
        <v>1991</v>
      </c>
      <c r="V212" s="46" t="s">
        <v>1991</v>
      </c>
      <c r="W212" s="324" t="s">
        <v>1991</v>
      </c>
      <c r="X212" s="324" t="s">
        <v>1991</v>
      </c>
      <c r="Y212" s="324" t="s">
        <v>1991</v>
      </c>
      <c r="Z212" s="46" t="s">
        <v>1991</v>
      </c>
      <c r="AA212" s="46" t="s">
        <v>1991</v>
      </c>
      <c r="AB212" s="46" t="s">
        <v>1991</v>
      </c>
      <c r="AC212" s="46" t="s">
        <v>1991</v>
      </c>
      <c r="AD212" s="46" t="s">
        <v>1991</v>
      </c>
      <c r="AE212" s="324" t="s">
        <v>1991</v>
      </c>
      <c r="AF212" s="324" t="s">
        <v>1991</v>
      </c>
      <c r="AG212" s="324" t="s">
        <v>1991</v>
      </c>
      <c r="AH212" s="324" t="s">
        <v>1991</v>
      </c>
      <c r="AI212" s="324" t="s">
        <v>1991</v>
      </c>
      <c r="AJ212" s="324" t="s">
        <v>1991</v>
      </c>
      <c r="AK212" s="324" t="s">
        <v>1991</v>
      </c>
      <c r="AL212" s="327"/>
      <c r="AM212" s="327"/>
      <c r="AN212" s="327"/>
      <c r="AO212" s="327"/>
      <c r="AP212" s="327"/>
      <c r="AQ212" s="327"/>
      <c r="AR212" s="327"/>
      <c r="AS212" s="327" t="s">
        <v>1991</v>
      </c>
      <c r="AT212" s="327"/>
      <c r="AU212" s="327"/>
      <c r="AV212" s="327"/>
      <c r="AW212" s="327"/>
      <c r="AX212" s="327"/>
      <c r="AY212" s="327"/>
      <c r="AZ212" s="327"/>
      <c r="BA212" s="327"/>
      <c r="BB212" s="46">
        <f t="shared" si="59"/>
        <v>12</v>
      </c>
      <c r="BC212" s="46">
        <f t="shared" si="77"/>
        <v>16</v>
      </c>
      <c r="BD212" s="46">
        <f t="shared" si="89"/>
        <v>1</v>
      </c>
      <c r="BE212" s="46">
        <f t="shared" si="80"/>
        <v>0</v>
      </c>
      <c r="BF212" s="296">
        <f t="shared" si="81"/>
        <v>28</v>
      </c>
      <c r="BG212" s="2"/>
      <c r="BH212" s="2"/>
      <c r="BI212" s="2"/>
      <c r="BJ212" s="2"/>
      <c r="BK212" s="279">
        <f t="shared" si="78"/>
        <v>1</v>
      </c>
      <c r="BL212" s="279">
        <f t="shared" si="62"/>
        <v>28</v>
      </c>
      <c r="BM212" s="279"/>
      <c r="BN212" s="279"/>
      <c r="BO212" s="2">
        <f t="shared" si="63"/>
        <v>28</v>
      </c>
      <c r="BP212" s="430"/>
      <c r="BQ212" s="431"/>
      <c r="BR212" s="2"/>
      <c r="BS212" s="25"/>
      <c r="BT212" s="348">
        <f t="shared" si="64"/>
        <v>1</v>
      </c>
      <c r="BU212" s="2"/>
      <c r="BV212" s="282">
        <f t="shared" si="82"/>
        <v>0</v>
      </c>
      <c r="BW212" s="279">
        <v>-20000</v>
      </c>
      <c r="BX212" s="269">
        <f t="shared" si="87"/>
        <v>0</v>
      </c>
      <c r="BY212" s="349" t="e">
        <f t="shared" si="67"/>
        <v>#N/A</v>
      </c>
      <c r="BZ212" s="349" t="e">
        <f t="shared" si="68"/>
        <v>#N/A</v>
      </c>
      <c r="CA212" s="349" t="e">
        <f t="shared" si="69"/>
        <v>#N/A</v>
      </c>
      <c r="CB212" s="349" t="e">
        <f t="shared" si="70"/>
        <v>#N/A</v>
      </c>
      <c r="CC212" s="349" t="e">
        <f t="shared" si="83"/>
        <v>#N/A</v>
      </c>
      <c r="CD212" s="14" t="e">
        <f t="shared" si="72"/>
        <v>#N/A</v>
      </c>
      <c r="CE212" s="14">
        <f t="shared" si="84"/>
        <v>28</v>
      </c>
      <c r="CF212" s="25">
        <f t="shared" si="74"/>
        <v>1</v>
      </c>
      <c r="CG212" s="270"/>
      <c r="CH212" s="2"/>
      <c r="CL212" s="349" t="e">
        <f>#N/A</f>
        <v>#N/A</v>
      </c>
      <c r="CM212" s="349" t="e">
        <f>#N/A</f>
        <v>#N/A</v>
      </c>
      <c r="CN212" s="349" t="e">
        <f>#N/A</f>
        <v>#N/A</v>
      </c>
      <c r="CO212" s="349" t="e">
        <f>#N/A</f>
        <v>#N/A</v>
      </c>
      <c r="CP212" s="349" t="e">
        <f t="shared" si="88"/>
        <v>#N/A</v>
      </c>
      <c r="CQ212" s="14" t="e">
        <f t="shared" si="76"/>
        <v>#N/A</v>
      </c>
      <c r="CW212" s="1">
        <f t="shared" si="85"/>
        <v>0</v>
      </c>
      <c r="CX212" s="1">
        <f t="shared" si="86"/>
        <v>-20000</v>
      </c>
      <c r="CY212" s="2">
        <f t="shared" si="79"/>
        <v>-10000</v>
      </c>
    </row>
    <row r="213" spans="1:103" s="1" customFormat="1" ht="29.4" customHeight="1">
      <c r="A213" s="46">
        <v>39</v>
      </c>
      <c r="B213" s="46">
        <v>2</v>
      </c>
      <c r="C213" s="46">
        <v>86</v>
      </c>
      <c r="D213" s="48"/>
      <c r="E213" s="48"/>
      <c r="F213" s="46"/>
      <c r="G213" s="317">
        <v>0</v>
      </c>
      <c r="H213" s="317">
        <v>0</v>
      </c>
      <c r="I213" s="317">
        <v>0</v>
      </c>
      <c r="J213" s="317"/>
      <c r="K213" s="317">
        <v>0</v>
      </c>
      <c r="L213" s="317" t="s">
        <v>1991</v>
      </c>
      <c r="M213" s="317" t="s">
        <v>1991</v>
      </c>
      <c r="N213" s="317" t="s">
        <v>1991</v>
      </c>
      <c r="O213" s="317" t="s">
        <v>1991</v>
      </c>
      <c r="P213" s="317" t="s">
        <v>1991</v>
      </c>
      <c r="Q213" s="317" t="s">
        <v>1991</v>
      </c>
      <c r="R213" s="317" t="s">
        <v>1991</v>
      </c>
      <c r="S213" s="317" t="s">
        <v>1991</v>
      </c>
      <c r="T213" s="326" t="s">
        <v>1991</v>
      </c>
      <c r="U213" s="312" t="s">
        <v>1991</v>
      </c>
      <c r="V213" s="46" t="s">
        <v>1991</v>
      </c>
      <c r="W213" s="324" t="s">
        <v>1991</v>
      </c>
      <c r="X213" s="324" t="s">
        <v>1991</v>
      </c>
      <c r="Y213" s="324" t="s">
        <v>1991</v>
      </c>
      <c r="Z213" s="46" t="s">
        <v>1991</v>
      </c>
      <c r="AA213" s="46" t="s">
        <v>1991</v>
      </c>
      <c r="AB213" s="46" t="s">
        <v>1991</v>
      </c>
      <c r="AC213" s="46" t="s">
        <v>1991</v>
      </c>
      <c r="AD213" s="46" t="s">
        <v>1991</v>
      </c>
      <c r="AE213" s="324" t="s">
        <v>1991</v>
      </c>
      <c r="AF213" s="324" t="s">
        <v>1991</v>
      </c>
      <c r="AG213" s="324" t="s">
        <v>1991</v>
      </c>
      <c r="AH213" s="324" t="s">
        <v>1991</v>
      </c>
      <c r="AI213" s="324" t="s">
        <v>1991</v>
      </c>
      <c r="AJ213" s="324" t="s">
        <v>1991</v>
      </c>
      <c r="AK213" s="324" t="s">
        <v>1991</v>
      </c>
      <c r="AL213" s="327"/>
      <c r="AM213" s="327"/>
      <c r="AN213" s="327"/>
      <c r="AO213" s="327"/>
      <c r="AP213" s="327"/>
      <c r="AQ213" s="327"/>
      <c r="AR213" s="327"/>
      <c r="AS213" s="327"/>
      <c r="AT213" s="327"/>
      <c r="AU213" s="327"/>
      <c r="AV213" s="327"/>
      <c r="AW213" s="327"/>
      <c r="AX213" s="327"/>
      <c r="AY213" s="327"/>
      <c r="AZ213" s="327"/>
      <c r="BA213" s="327"/>
      <c r="BB213" s="46">
        <f t="shared" si="59"/>
        <v>10</v>
      </c>
      <c r="BC213" s="46">
        <f t="shared" si="77"/>
        <v>16</v>
      </c>
      <c r="BD213" s="46">
        <f t="shared" si="89"/>
        <v>0</v>
      </c>
      <c r="BE213" s="46">
        <f t="shared" si="80"/>
        <v>0</v>
      </c>
      <c r="BF213" s="296">
        <f t="shared" si="81"/>
        <v>26</v>
      </c>
      <c r="BG213" s="2"/>
      <c r="BH213" s="2"/>
      <c r="BI213" s="2"/>
      <c r="BJ213" s="2"/>
      <c r="BK213" s="279">
        <f t="shared" si="78"/>
        <v>1</v>
      </c>
      <c r="BL213" s="279">
        <f t="shared" si="62"/>
        <v>26</v>
      </c>
      <c r="BM213" s="279"/>
      <c r="BN213" s="279"/>
      <c r="BO213" s="2">
        <f t="shared" si="63"/>
        <v>26</v>
      </c>
      <c r="BP213" s="430"/>
      <c r="BQ213" s="431"/>
      <c r="BR213" s="2"/>
      <c r="BS213" s="25"/>
      <c r="BT213" s="348">
        <f t="shared" si="64"/>
        <v>1</v>
      </c>
      <c r="BU213" s="2"/>
      <c r="BV213" s="282">
        <f t="shared" si="82"/>
        <v>0</v>
      </c>
      <c r="BW213" s="279">
        <v>0</v>
      </c>
      <c r="BX213" s="269">
        <f t="shared" si="87"/>
        <v>0</v>
      </c>
      <c r="BY213" s="349" t="e">
        <f t="shared" si="67"/>
        <v>#N/A</v>
      </c>
      <c r="BZ213" s="349" t="e">
        <f t="shared" si="68"/>
        <v>#N/A</v>
      </c>
      <c r="CA213" s="349" t="e">
        <f t="shared" si="69"/>
        <v>#N/A</v>
      </c>
      <c r="CB213" s="349" t="e">
        <f t="shared" si="70"/>
        <v>#N/A</v>
      </c>
      <c r="CC213" s="349" t="e">
        <f t="shared" si="83"/>
        <v>#N/A</v>
      </c>
      <c r="CD213" s="14" t="e">
        <f t="shared" si="72"/>
        <v>#N/A</v>
      </c>
      <c r="CE213" s="14">
        <f t="shared" si="84"/>
        <v>26</v>
      </c>
      <c r="CF213" s="25">
        <f t="shared" si="74"/>
        <v>1</v>
      </c>
      <c r="CG213" s="270"/>
      <c r="CH213" s="2"/>
      <c r="CL213" s="349" t="e">
        <f>#N/A</f>
        <v>#N/A</v>
      </c>
      <c r="CM213" s="349" t="e">
        <f>#N/A</f>
        <v>#N/A</v>
      </c>
      <c r="CN213" s="349" t="e">
        <f>#N/A</f>
        <v>#N/A</v>
      </c>
      <c r="CO213" s="349" t="e">
        <f>#N/A</f>
        <v>#N/A</v>
      </c>
      <c r="CP213" s="349" t="e">
        <f t="shared" si="88"/>
        <v>#N/A</v>
      </c>
      <c r="CQ213" s="14" t="e">
        <f t="shared" si="76"/>
        <v>#N/A</v>
      </c>
      <c r="CW213" s="1">
        <f t="shared" si="85"/>
        <v>0</v>
      </c>
      <c r="CX213" s="1">
        <f t="shared" si="86"/>
        <v>0</v>
      </c>
      <c r="CY213" s="2">
        <f t="shared" si="79"/>
        <v>0</v>
      </c>
    </row>
    <row r="214" spans="1:103" s="1" customFormat="1" ht="29.4" customHeight="1">
      <c r="A214" s="46">
        <v>40</v>
      </c>
      <c r="B214" s="46">
        <v>2</v>
      </c>
      <c r="C214" s="46">
        <v>87</v>
      </c>
      <c r="D214" s="48"/>
      <c r="E214" s="48"/>
      <c r="F214" s="46"/>
      <c r="G214" s="317" t="s">
        <v>1991</v>
      </c>
      <c r="H214" s="317" t="s">
        <v>1991</v>
      </c>
      <c r="I214" s="317" t="s">
        <v>1991</v>
      </c>
      <c r="J214" s="317"/>
      <c r="K214" s="317" t="s">
        <v>1991</v>
      </c>
      <c r="L214" s="317" t="s">
        <v>1991</v>
      </c>
      <c r="M214" s="317" t="s">
        <v>1991</v>
      </c>
      <c r="N214" s="317" t="s">
        <v>1991</v>
      </c>
      <c r="O214" s="317" t="s">
        <v>1991</v>
      </c>
      <c r="P214" s="317" t="s">
        <v>1991</v>
      </c>
      <c r="Q214" s="317" t="s">
        <v>1991</v>
      </c>
      <c r="R214" s="317" t="s">
        <v>1991</v>
      </c>
      <c r="S214" s="317" t="s">
        <v>1991</v>
      </c>
      <c r="T214" s="326" t="s">
        <v>1991</v>
      </c>
      <c r="U214" s="312" t="s">
        <v>1991</v>
      </c>
      <c r="V214" s="46" t="s">
        <v>1991</v>
      </c>
      <c r="W214" s="324" t="s">
        <v>1991</v>
      </c>
      <c r="X214" s="324" t="s">
        <v>1991</v>
      </c>
      <c r="Y214" s="324" t="s">
        <v>1991</v>
      </c>
      <c r="Z214" s="46" t="s">
        <v>1991</v>
      </c>
      <c r="AA214" s="46">
        <v>0</v>
      </c>
      <c r="AB214" s="46" t="s">
        <v>1991</v>
      </c>
      <c r="AC214" s="46" t="s">
        <v>1991</v>
      </c>
      <c r="AD214" s="46" t="s">
        <v>1991</v>
      </c>
      <c r="AE214" s="324" t="s">
        <v>1991</v>
      </c>
      <c r="AF214" s="324" t="s">
        <v>1991</v>
      </c>
      <c r="AG214" s="324" t="s">
        <v>1991</v>
      </c>
      <c r="AH214" s="324" t="s">
        <v>1991</v>
      </c>
      <c r="AI214" s="324" t="s">
        <v>1991</v>
      </c>
      <c r="AJ214" s="324" t="s">
        <v>1991</v>
      </c>
      <c r="AK214" s="324" t="s">
        <v>1991</v>
      </c>
      <c r="AL214" s="327"/>
      <c r="AM214" s="327"/>
      <c r="AN214" s="327"/>
      <c r="AO214" s="327"/>
      <c r="AP214" s="327"/>
      <c r="AQ214" s="327"/>
      <c r="AR214" s="327"/>
      <c r="AS214" s="327" t="s">
        <v>1991</v>
      </c>
      <c r="AT214" s="327"/>
      <c r="AU214" s="327"/>
      <c r="AV214" s="327"/>
      <c r="AW214" s="327"/>
      <c r="AX214" s="327"/>
      <c r="AY214" s="327"/>
      <c r="AZ214" s="327"/>
      <c r="BA214" s="327"/>
      <c r="BB214" s="46">
        <f t="shared" si="59"/>
        <v>14</v>
      </c>
      <c r="BC214" s="46">
        <f t="shared" si="77"/>
        <v>15</v>
      </c>
      <c r="BD214" s="46">
        <f t="shared" si="89"/>
        <v>1</v>
      </c>
      <c r="BE214" s="46">
        <f t="shared" si="80"/>
        <v>0</v>
      </c>
      <c r="BF214" s="296">
        <f t="shared" si="81"/>
        <v>29</v>
      </c>
      <c r="BG214" s="2"/>
      <c r="BH214" s="2"/>
      <c r="BI214" s="2"/>
      <c r="BJ214" s="2"/>
      <c r="BK214" s="279">
        <f t="shared" si="78"/>
        <v>1</v>
      </c>
      <c r="BL214" s="279">
        <f t="shared" si="62"/>
        <v>29</v>
      </c>
      <c r="BM214" s="279"/>
      <c r="BN214" s="279"/>
      <c r="BO214" s="2">
        <f t="shared" si="63"/>
        <v>29</v>
      </c>
      <c r="BP214" s="430"/>
      <c r="BQ214" s="431"/>
      <c r="BR214" s="2"/>
      <c r="BS214" s="25"/>
      <c r="BT214" s="348">
        <f t="shared" si="64"/>
        <v>1</v>
      </c>
      <c r="BU214" s="2"/>
      <c r="BV214" s="282">
        <f t="shared" si="82"/>
        <v>0</v>
      </c>
      <c r="BW214" s="279">
        <v>0</v>
      </c>
      <c r="BX214" s="269">
        <f t="shared" si="87"/>
        <v>0</v>
      </c>
      <c r="BY214" s="349" t="e">
        <f t="shared" si="67"/>
        <v>#N/A</v>
      </c>
      <c r="BZ214" s="349" t="e">
        <f t="shared" si="68"/>
        <v>#N/A</v>
      </c>
      <c r="CA214" s="349" t="e">
        <f t="shared" si="69"/>
        <v>#N/A</v>
      </c>
      <c r="CB214" s="349" t="e">
        <f t="shared" si="70"/>
        <v>#N/A</v>
      </c>
      <c r="CC214" s="349" t="e">
        <f t="shared" si="83"/>
        <v>#N/A</v>
      </c>
      <c r="CD214" s="14" t="e">
        <f t="shared" si="72"/>
        <v>#N/A</v>
      </c>
      <c r="CE214" s="14">
        <f t="shared" si="84"/>
        <v>29</v>
      </c>
      <c r="CF214" s="25">
        <f t="shared" si="74"/>
        <v>1</v>
      </c>
      <c r="CG214" s="270"/>
      <c r="CH214" s="2"/>
      <c r="CL214" s="349" t="e">
        <f>#N/A</f>
        <v>#N/A</v>
      </c>
      <c r="CM214" s="349" t="e">
        <f>#N/A</f>
        <v>#N/A</v>
      </c>
      <c r="CN214" s="349" t="e">
        <f>#N/A</f>
        <v>#N/A</v>
      </c>
      <c r="CO214" s="349" t="e">
        <f>#N/A</f>
        <v>#N/A</v>
      </c>
      <c r="CP214" s="349" t="e">
        <f t="shared" si="88"/>
        <v>#N/A</v>
      </c>
      <c r="CQ214" s="14" t="e">
        <f t="shared" si="76"/>
        <v>#N/A</v>
      </c>
      <c r="CW214" s="1">
        <f t="shared" si="85"/>
        <v>0</v>
      </c>
      <c r="CX214" s="1">
        <f t="shared" si="86"/>
        <v>0</v>
      </c>
      <c r="CY214" s="2">
        <f t="shared" si="79"/>
        <v>0</v>
      </c>
    </row>
    <row r="215" spans="1:103" s="1" customFormat="1" ht="29.4" customHeight="1">
      <c r="A215" s="46">
        <v>41</v>
      </c>
      <c r="B215" s="46">
        <v>2</v>
      </c>
      <c r="C215" s="46">
        <v>88</v>
      </c>
      <c r="D215" s="48"/>
      <c r="E215" s="48"/>
      <c r="F215" s="46"/>
      <c r="G215" s="317" t="s">
        <v>1991</v>
      </c>
      <c r="H215" s="317">
        <v>0</v>
      </c>
      <c r="I215" s="317" t="s">
        <v>1991</v>
      </c>
      <c r="J215" s="317"/>
      <c r="K215" s="317">
        <v>0</v>
      </c>
      <c r="L215" s="317" t="s">
        <v>1991</v>
      </c>
      <c r="M215" s="317" t="s">
        <v>1991</v>
      </c>
      <c r="N215" s="317" t="s">
        <v>1991</v>
      </c>
      <c r="O215" s="317" t="s">
        <v>1991</v>
      </c>
      <c r="P215" s="317" t="s">
        <v>1991</v>
      </c>
      <c r="Q215" s="317" t="s">
        <v>1991</v>
      </c>
      <c r="R215" s="317">
        <v>0</v>
      </c>
      <c r="S215" s="317" t="s">
        <v>1991</v>
      </c>
      <c r="T215" s="326" t="s">
        <v>1991</v>
      </c>
      <c r="U215" s="312" t="s">
        <v>1991</v>
      </c>
      <c r="V215" s="46" t="s">
        <v>1991</v>
      </c>
      <c r="W215" s="324" t="s">
        <v>1991</v>
      </c>
      <c r="X215" s="324" t="s">
        <v>1991</v>
      </c>
      <c r="Y215" s="324" t="s">
        <v>1991</v>
      </c>
      <c r="Z215" s="46" t="s">
        <v>1991</v>
      </c>
      <c r="AA215" s="46" t="s">
        <v>1991</v>
      </c>
      <c r="AB215" s="46" t="s">
        <v>1991</v>
      </c>
      <c r="AC215" s="46" t="s">
        <v>1991</v>
      </c>
      <c r="AD215" s="46" t="s">
        <v>1991</v>
      </c>
      <c r="AE215" s="324" t="s">
        <v>1991</v>
      </c>
      <c r="AF215" s="324" t="s">
        <v>1991</v>
      </c>
      <c r="AG215" s="324" t="s">
        <v>1991</v>
      </c>
      <c r="AH215" s="324" t="s">
        <v>1991</v>
      </c>
      <c r="AI215" s="324" t="s">
        <v>1991</v>
      </c>
      <c r="AJ215" s="324" t="s">
        <v>1991</v>
      </c>
      <c r="AK215" s="324" t="s">
        <v>1991</v>
      </c>
      <c r="AL215" s="327"/>
      <c r="AM215" s="327"/>
      <c r="AN215" s="327"/>
      <c r="AO215" s="327"/>
      <c r="AP215" s="327"/>
      <c r="AQ215" s="327"/>
      <c r="AR215" s="327"/>
      <c r="AS215" s="327"/>
      <c r="AT215" s="327"/>
      <c r="AU215" s="327"/>
      <c r="AV215" s="327"/>
      <c r="AW215" s="327"/>
      <c r="AX215" s="327"/>
      <c r="AY215" s="327"/>
      <c r="AZ215" s="327"/>
      <c r="BA215" s="327"/>
      <c r="BB215" s="46">
        <f t="shared" si="59"/>
        <v>11</v>
      </c>
      <c r="BC215" s="46">
        <f t="shared" si="77"/>
        <v>16</v>
      </c>
      <c r="BD215" s="46">
        <f t="shared" si="89"/>
        <v>0</v>
      </c>
      <c r="BE215" s="46">
        <f t="shared" si="80"/>
        <v>0</v>
      </c>
      <c r="BF215" s="296">
        <f t="shared" si="81"/>
        <v>27</v>
      </c>
      <c r="BG215" s="2"/>
      <c r="BH215" s="2"/>
      <c r="BI215" s="2"/>
      <c r="BJ215" s="2"/>
      <c r="BK215" s="279">
        <f t="shared" si="78"/>
        <v>1</v>
      </c>
      <c r="BL215" s="279">
        <f t="shared" si="62"/>
        <v>27</v>
      </c>
      <c r="BM215" s="279"/>
      <c r="BN215" s="279"/>
      <c r="BO215" s="2">
        <f t="shared" si="63"/>
        <v>27</v>
      </c>
      <c r="BP215" s="430"/>
      <c r="BQ215" s="431"/>
      <c r="BR215" s="2"/>
      <c r="BS215" s="25"/>
      <c r="BT215" s="348">
        <f t="shared" si="64"/>
        <v>1</v>
      </c>
      <c r="BU215" s="2"/>
      <c r="BV215" s="282">
        <f t="shared" si="82"/>
        <v>0</v>
      </c>
      <c r="BW215" s="279">
        <v>0</v>
      </c>
      <c r="BX215" s="269">
        <f t="shared" si="87"/>
        <v>0</v>
      </c>
      <c r="BY215" s="349" t="e">
        <f t="shared" si="67"/>
        <v>#N/A</v>
      </c>
      <c r="BZ215" s="349" t="e">
        <f t="shared" si="68"/>
        <v>#N/A</v>
      </c>
      <c r="CA215" s="349" t="e">
        <f t="shared" si="69"/>
        <v>#N/A</v>
      </c>
      <c r="CB215" s="349" t="e">
        <f t="shared" si="70"/>
        <v>#N/A</v>
      </c>
      <c r="CC215" s="349" t="e">
        <f t="shared" si="83"/>
        <v>#N/A</v>
      </c>
      <c r="CD215" s="14" t="e">
        <f t="shared" si="72"/>
        <v>#N/A</v>
      </c>
      <c r="CE215" s="14">
        <f t="shared" si="84"/>
        <v>27</v>
      </c>
      <c r="CF215" s="25">
        <f t="shared" si="74"/>
        <v>1</v>
      </c>
      <c r="CG215" s="270"/>
      <c r="CH215" s="2"/>
      <c r="CL215" s="349" t="e">
        <f>#N/A</f>
        <v>#N/A</v>
      </c>
      <c r="CM215" s="349" t="e">
        <f>#N/A</f>
        <v>#N/A</v>
      </c>
      <c r="CN215" s="349" t="e">
        <f>#N/A</f>
        <v>#N/A</v>
      </c>
      <c r="CO215" s="349" t="e">
        <f>#N/A</f>
        <v>#N/A</v>
      </c>
      <c r="CP215" s="349" t="e">
        <f t="shared" si="88"/>
        <v>#N/A</v>
      </c>
      <c r="CQ215" s="14" t="e">
        <f t="shared" si="76"/>
        <v>#N/A</v>
      </c>
      <c r="CW215" s="1">
        <f t="shared" si="85"/>
        <v>0</v>
      </c>
      <c r="CX215" s="1">
        <f t="shared" si="86"/>
        <v>0</v>
      </c>
      <c r="CY215" s="2">
        <f t="shared" si="79"/>
        <v>0</v>
      </c>
    </row>
    <row r="216" spans="1:103" s="1" customFormat="1" ht="29.4" customHeight="1">
      <c r="A216" s="46">
        <v>42</v>
      </c>
      <c r="B216" s="46">
        <v>2</v>
      </c>
      <c r="C216" s="46">
        <v>89</v>
      </c>
      <c r="D216" s="48"/>
      <c r="E216" s="48"/>
      <c r="F216" s="46"/>
      <c r="G216" s="317" t="s">
        <v>1991</v>
      </c>
      <c r="H216" s="317" t="s">
        <v>1991</v>
      </c>
      <c r="I216" s="317">
        <v>0</v>
      </c>
      <c r="J216" s="317"/>
      <c r="K216" s="317" t="s">
        <v>1991</v>
      </c>
      <c r="L216" s="317">
        <v>0</v>
      </c>
      <c r="M216" s="317" t="s">
        <v>1991</v>
      </c>
      <c r="N216" s="317" t="s">
        <v>1991</v>
      </c>
      <c r="O216" s="317" t="s">
        <v>1991</v>
      </c>
      <c r="P216" s="317" t="s">
        <v>1991</v>
      </c>
      <c r="Q216" s="317" t="s">
        <v>1991</v>
      </c>
      <c r="R216" s="317" t="s">
        <v>1991</v>
      </c>
      <c r="S216" s="317" t="s">
        <v>1991</v>
      </c>
      <c r="T216" s="326" t="s">
        <v>1991</v>
      </c>
      <c r="U216" s="312">
        <v>0</v>
      </c>
      <c r="V216" s="46" t="s">
        <v>1991</v>
      </c>
      <c r="W216" s="324" t="s">
        <v>1991</v>
      </c>
      <c r="X216" s="324" t="s">
        <v>1991</v>
      </c>
      <c r="Y216" s="324" t="s">
        <v>1991</v>
      </c>
      <c r="Z216" s="46" t="s">
        <v>1991</v>
      </c>
      <c r="AA216" s="46" t="s">
        <v>1991</v>
      </c>
      <c r="AB216" s="46" t="s">
        <v>1991</v>
      </c>
      <c r="AC216" s="46">
        <v>0</v>
      </c>
      <c r="AD216" s="46" t="s">
        <v>1991</v>
      </c>
      <c r="AE216" s="324" t="s">
        <v>1991</v>
      </c>
      <c r="AF216" s="324" t="s">
        <v>1991</v>
      </c>
      <c r="AG216" s="324" t="s">
        <v>1991</v>
      </c>
      <c r="AH216" s="324" t="s">
        <v>1991</v>
      </c>
      <c r="AI216" s="324" t="s">
        <v>1991</v>
      </c>
      <c r="AJ216" s="324" t="s">
        <v>1991</v>
      </c>
      <c r="AK216" s="324" t="s">
        <v>1991</v>
      </c>
      <c r="AL216" s="327"/>
      <c r="AM216" s="327"/>
      <c r="AN216" s="327"/>
      <c r="AO216" s="327"/>
      <c r="AP216" s="327"/>
      <c r="AQ216" s="327"/>
      <c r="AR216" s="327"/>
      <c r="AS216" s="327"/>
      <c r="AT216" s="327"/>
      <c r="AU216" s="327"/>
      <c r="AV216" s="327"/>
      <c r="AW216" s="327"/>
      <c r="AX216" s="327"/>
      <c r="AY216" s="327"/>
      <c r="AZ216" s="327"/>
      <c r="BA216" s="327"/>
      <c r="BB216" s="46">
        <f t="shared" si="59"/>
        <v>11</v>
      </c>
      <c r="BC216" s="46">
        <f t="shared" si="77"/>
        <v>15</v>
      </c>
      <c r="BD216" s="46">
        <f t="shared" si="89"/>
        <v>0</v>
      </c>
      <c r="BE216" s="46">
        <f t="shared" si="80"/>
        <v>0</v>
      </c>
      <c r="BF216" s="296">
        <f t="shared" si="81"/>
        <v>26</v>
      </c>
      <c r="BG216" s="2"/>
      <c r="BH216" s="2"/>
      <c r="BI216" s="2"/>
      <c r="BJ216" s="2"/>
      <c r="BK216" s="279">
        <f t="shared" si="78"/>
        <v>1</v>
      </c>
      <c r="BL216" s="279">
        <f t="shared" si="62"/>
        <v>26</v>
      </c>
      <c r="BM216" s="279"/>
      <c r="BN216" s="279"/>
      <c r="BO216" s="2">
        <f t="shared" si="63"/>
        <v>26</v>
      </c>
      <c r="BP216" s="430"/>
      <c r="BQ216" s="431"/>
      <c r="BR216" s="2"/>
      <c r="BS216" s="25"/>
      <c r="BT216" s="348">
        <f t="shared" si="64"/>
        <v>1</v>
      </c>
      <c r="BU216" s="2"/>
      <c r="BV216" s="282">
        <f t="shared" si="82"/>
        <v>0</v>
      </c>
      <c r="BW216" s="279">
        <v>0</v>
      </c>
      <c r="BX216" s="269">
        <f t="shared" si="87"/>
        <v>0</v>
      </c>
      <c r="BY216" s="349" t="e">
        <f t="shared" si="67"/>
        <v>#N/A</v>
      </c>
      <c r="BZ216" s="349" t="e">
        <f t="shared" si="68"/>
        <v>#N/A</v>
      </c>
      <c r="CA216" s="349" t="e">
        <f t="shared" si="69"/>
        <v>#N/A</v>
      </c>
      <c r="CB216" s="349" t="e">
        <f t="shared" si="70"/>
        <v>#N/A</v>
      </c>
      <c r="CC216" s="349" t="e">
        <f t="shared" si="83"/>
        <v>#N/A</v>
      </c>
      <c r="CD216" s="14" t="e">
        <f t="shared" si="72"/>
        <v>#N/A</v>
      </c>
      <c r="CE216" s="14">
        <f t="shared" si="84"/>
        <v>26</v>
      </c>
      <c r="CF216" s="25">
        <f t="shared" si="74"/>
        <v>1</v>
      </c>
      <c r="CG216" s="270"/>
      <c r="CH216" s="2"/>
      <c r="CL216" s="349" t="e">
        <f>#N/A</f>
        <v>#N/A</v>
      </c>
      <c r="CM216" s="349" t="e">
        <f>#N/A</f>
        <v>#N/A</v>
      </c>
      <c r="CN216" s="349" t="e">
        <f>#N/A</f>
        <v>#N/A</v>
      </c>
      <c r="CO216" s="349" t="e">
        <f>#N/A</f>
        <v>#N/A</v>
      </c>
      <c r="CP216" s="349" t="e">
        <f t="shared" si="88"/>
        <v>#N/A</v>
      </c>
      <c r="CQ216" s="14" t="e">
        <f t="shared" si="76"/>
        <v>#N/A</v>
      </c>
      <c r="CW216" s="1">
        <f t="shared" si="85"/>
        <v>0</v>
      </c>
      <c r="CX216" s="1">
        <f t="shared" si="86"/>
        <v>0</v>
      </c>
      <c r="CY216" s="2">
        <f t="shared" si="79"/>
        <v>0</v>
      </c>
    </row>
    <row r="217" spans="1:103" s="1" customFormat="1" ht="29.4" customHeight="1">
      <c r="A217" s="46">
        <v>43</v>
      </c>
      <c r="B217" s="46">
        <v>2</v>
      </c>
      <c r="C217" s="46">
        <v>90</v>
      </c>
      <c r="D217" s="48"/>
      <c r="E217" s="48"/>
      <c r="F217" s="46"/>
      <c r="G217" s="317" t="s">
        <v>1991</v>
      </c>
      <c r="H217" s="317" t="s">
        <v>1991</v>
      </c>
      <c r="I217" s="317" t="s">
        <v>1991</v>
      </c>
      <c r="J217" s="317"/>
      <c r="K217" s="317" t="s">
        <v>1991</v>
      </c>
      <c r="L217" s="317" t="s">
        <v>1991</v>
      </c>
      <c r="M217" s="317" t="s">
        <v>1991</v>
      </c>
      <c r="N217" s="317" t="s">
        <v>1991</v>
      </c>
      <c r="O217" s="317" t="s">
        <v>1991</v>
      </c>
      <c r="P217" s="317" t="s">
        <v>1991</v>
      </c>
      <c r="Q217" s="317" t="s">
        <v>1991</v>
      </c>
      <c r="R217" s="317" t="s">
        <v>1991</v>
      </c>
      <c r="S217" s="317" t="s">
        <v>1991</v>
      </c>
      <c r="T217" s="326" t="s">
        <v>1991</v>
      </c>
      <c r="U217" s="312" t="s">
        <v>1991</v>
      </c>
      <c r="V217" s="46" t="s">
        <v>1991</v>
      </c>
      <c r="W217" s="324" t="s">
        <v>1991</v>
      </c>
      <c r="X217" s="324" t="s">
        <v>1991</v>
      </c>
      <c r="Y217" s="324" t="s">
        <v>1991</v>
      </c>
      <c r="Z217" s="46">
        <v>0</v>
      </c>
      <c r="AA217" s="46" t="s">
        <v>1991</v>
      </c>
      <c r="AB217" s="46" t="s">
        <v>1991</v>
      </c>
      <c r="AC217" s="46" t="s">
        <v>1991</v>
      </c>
      <c r="AD217" s="46" t="s">
        <v>1991</v>
      </c>
      <c r="AE217" s="324" t="s">
        <v>1991</v>
      </c>
      <c r="AF217" s="324" t="s">
        <v>1991</v>
      </c>
      <c r="AG217" s="324" t="s">
        <v>1991</v>
      </c>
      <c r="AH217" s="324" t="s">
        <v>1991</v>
      </c>
      <c r="AI217" s="324" t="s">
        <v>1991</v>
      </c>
      <c r="AJ217" s="324" t="s">
        <v>1991</v>
      </c>
      <c r="AK217" s="324" t="s">
        <v>1991</v>
      </c>
      <c r="AL217" s="327"/>
      <c r="AM217" s="327"/>
      <c r="AN217" s="327"/>
      <c r="AO217" s="327"/>
      <c r="AP217" s="327"/>
      <c r="AQ217" s="327"/>
      <c r="AR217" s="327"/>
      <c r="AS217" s="327"/>
      <c r="AT217" s="327"/>
      <c r="AU217" s="327"/>
      <c r="AV217" s="327"/>
      <c r="AW217" s="327"/>
      <c r="AX217" s="327"/>
      <c r="AY217" s="327"/>
      <c r="AZ217" s="327"/>
      <c r="BA217" s="327"/>
      <c r="BB217" s="46">
        <f t="shared" si="59"/>
        <v>14</v>
      </c>
      <c r="BC217" s="46">
        <f t="shared" si="77"/>
        <v>15</v>
      </c>
      <c r="BD217" s="46">
        <f t="shared" si="89"/>
        <v>0</v>
      </c>
      <c r="BE217" s="46">
        <f t="shared" si="80"/>
        <v>0</v>
      </c>
      <c r="BF217" s="296">
        <f t="shared" si="81"/>
        <v>29</v>
      </c>
      <c r="BG217" s="2"/>
      <c r="BH217" s="2"/>
      <c r="BI217" s="2"/>
      <c r="BJ217" s="2"/>
      <c r="BK217" s="279">
        <f t="shared" si="78"/>
        <v>1</v>
      </c>
      <c r="BL217" s="279">
        <f t="shared" si="62"/>
        <v>29</v>
      </c>
      <c r="BM217" s="279"/>
      <c r="BN217" s="279"/>
      <c r="BO217" s="2">
        <f t="shared" si="63"/>
        <v>29</v>
      </c>
      <c r="BP217" s="430"/>
      <c r="BQ217" s="431"/>
      <c r="BR217" s="2"/>
      <c r="BS217" s="25"/>
      <c r="BT217" s="348">
        <f t="shared" si="64"/>
        <v>1</v>
      </c>
      <c r="BU217" s="2"/>
      <c r="BV217" s="282">
        <f t="shared" si="82"/>
        <v>0</v>
      </c>
      <c r="BW217" s="279">
        <v>0</v>
      </c>
      <c r="BX217" s="269">
        <f t="shared" si="87"/>
        <v>0</v>
      </c>
      <c r="BY217" s="349" t="e">
        <f t="shared" si="67"/>
        <v>#N/A</v>
      </c>
      <c r="BZ217" s="349" t="e">
        <f t="shared" si="68"/>
        <v>#N/A</v>
      </c>
      <c r="CA217" s="349" t="e">
        <f t="shared" si="69"/>
        <v>#N/A</v>
      </c>
      <c r="CB217" s="349" t="e">
        <f t="shared" si="70"/>
        <v>#N/A</v>
      </c>
      <c r="CC217" s="349" t="e">
        <f t="shared" si="83"/>
        <v>#N/A</v>
      </c>
      <c r="CD217" s="14" t="e">
        <f t="shared" si="72"/>
        <v>#N/A</v>
      </c>
      <c r="CE217" s="14">
        <f t="shared" si="84"/>
        <v>29</v>
      </c>
      <c r="CF217" s="25">
        <f t="shared" si="74"/>
        <v>1</v>
      </c>
      <c r="CG217" s="270"/>
      <c r="CH217" s="2"/>
      <c r="CL217" s="349" t="e">
        <f>#N/A</f>
        <v>#N/A</v>
      </c>
      <c r="CM217" s="349" t="e">
        <f>#N/A</f>
        <v>#N/A</v>
      </c>
      <c r="CN217" s="349" t="e">
        <f>#N/A</f>
        <v>#N/A</v>
      </c>
      <c r="CO217" s="349" t="e">
        <f>#N/A</f>
        <v>#N/A</v>
      </c>
      <c r="CP217" s="349" t="e">
        <f t="shared" si="88"/>
        <v>#N/A</v>
      </c>
      <c r="CQ217" s="14" t="e">
        <f t="shared" si="76"/>
        <v>#N/A</v>
      </c>
      <c r="CW217" s="1">
        <f t="shared" si="85"/>
        <v>0</v>
      </c>
      <c r="CX217" s="1">
        <f t="shared" si="86"/>
        <v>0</v>
      </c>
      <c r="CY217" s="2">
        <f t="shared" si="79"/>
        <v>0</v>
      </c>
    </row>
    <row r="218" spans="1:103" s="1" customFormat="1" ht="29.4" customHeight="1">
      <c r="A218" s="46">
        <v>44</v>
      </c>
      <c r="B218" s="46">
        <v>2</v>
      </c>
      <c r="C218" s="46">
        <v>91</v>
      </c>
      <c r="D218" s="48"/>
      <c r="E218" s="48"/>
      <c r="F218" s="46"/>
      <c r="G218" s="317" t="s">
        <v>1991</v>
      </c>
      <c r="H218" s="317" t="s">
        <v>1991</v>
      </c>
      <c r="I218" s="317" t="s">
        <v>1991</v>
      </c>
      <c r="J218" s="317"/>
      <c r="K218" s="317" t="s">
        <v>1991</v>
      </c>
      <c r="L218" s="317" t="s">
        <v>1991</v>
      </c>
      <c r="M218" s="317" t="s">
        <v>1991</v>
      </c>
      <c r="N218" s="317" t="s">
        <v>1991</v>
      </c>
      <c r="O218" s="317" t="s">
        <v>1991</v>
      </c>
      <c r="P218" s="317" t="s">
        <v>1991</v>
      </c>
      <c r="Q218" s="317" t="s">
        <v>1991</v>
      </c>
      <c r="R218" s="317" t="s">
        <v>1991</v>
      </c>
      <c r="S218" s="317" t="s">
        <v>1991</v>
      </c>
      <c r="T218" s="326" t="s">
        <v>1991</v>
      </c>
      <c r="U218" s="312" t="s">
        <v>1991</v>
      </c>
      <c r="V218" s="46" t="s">
        <v>1991</v>
      </c>
      <c r="W218" s="324" t="s">
        <v>1991</v>
      </c>
      <c r="X218" s="324" t="s">
        <v>1991</v>
      </c>
      <c r="Y218" s="324" t="s">
        <v>1991</v>
      </c>
      <c r="Z218" s="46" t="s">
        <v>1991</v>
      </c>
      <c r="AA218" s="46" t="s">
        <v>1991</v>
      </c>
      <c r="AB218" s="46" t="s">
        <v>1991</v>
      </c>
      <c r="AC218" s="46" t="s">
        <v>1991</v>
      </c>
      <c r="AD218" s="46" t="s">
        <v>1991</v>
      </c>
      <c r="AE218" s="324" t="s">
        <v>1991</v>
      </c>
      <c r="AF218" s="324" t="s">
        <v>1991</v>
      </c>
      <c r="AG218" s="324" t="s">
        <v>1991</v>
      </c>
      <c r="AH218" s="324" t="s">
        <v>1991</v>
      </c>
      <c r="AI218" s="324" t="s">
        <v>1991</v>
      </c>
      <c r="AJ218" s="324" t="s">
        <v>1991</v>
      </c>
      <c r="AK218" s="324" t="s">
        <v>1991</v>
      </c>
      <c r="AL218" s="327"/>
      <c r="AM218" s="327"/>
      <c r="AN218" s="327"/>
      <c r="AO218" s="327"/>
      <c r="AP218" s="327"/>
      <c r="AQ218" s="327"/>
      <c r="AR218" s="327"/>
      <c r="AS218" s="327"/>
      <c r="AT218" s="327"/>
      <c r="AU218" s="327"/>
      <c r="AV218" s="327"/>
      <c r="AW218" s="327"/>
      <c r="AX218" s="327"/>
      <c r="AY218" s="327"/>
      <c r="AZ218" s="327"/>
      <c r="BA218" s="327"/>
      <c r="BB218" s="46">
        <f t="shared" si="59"/>
        <v>14</v>
      </c>
      <c r="BC218" s="46">
        <f t="shared" si="77"/>
        <v>16</v>
      </c>
      <c r="BD218" s="46">
        <f t="shared" si="89"/>
        <v>0</v>
      </c>
      <c r="BE218" s="46">
        <f t="shared" si="80"/>
        <v>0</v>
      </c>
      <c r="BF218" s="296">
        <f t="shared" si="81"/>
        <v>30</v>
      </c>
      <c r="BG218" s="2"/>
      <c r="BH218" s="2"/>
      <c r="BI218" s="2"/>
      <c r="BJ218" s="2"/>
      <c r="BK218" s="279">
        <f t="shared" si="78"/>
        <v>1</v>
      </c>
      <c r="BL218" s="279">
        <f t="shared" si="62"/>
        <v>30</v>
      </c>
      <c r="BM218" s="279"/>
      <c r="BN218" s="279"/>
      <c r="BO218" s="2">
        <f t="shared" si="63"/>
        <v>30</v>
      </c>
      <c r="BP218" s="430"/>
      <c r="BQ218" s="431"/>
      <c r="BR218" s="2"/>
      <c r="BS218" s="25"/>
      <c r="BT218" s="348">
        <f t="shared" si="64"/>
        <v>1</v>
      </c>
      <c r="BU218" s="2"/>
      <c r="BV218" s="282">
        <f t="shared" si="82"/>
        <v>0</v>
      </c>
      <c r="BW218" s="279">
        <v>0</v>
      </c>
      <c r="BX218" s="269">
        <f t="shared" si="87"/>
        <v>0</v>
      </c>
      <c r="BY218" s="349" t="e">
        <f t="shared" si="67"/>
        <v>#N/A</v>
      </c>
      <c r="BZ218" s="349" t="e">
        <f t="shared" si="68"/>
        <v>#N/A</v>
      </c>
      <c r="CA218" s="349" t="e">
        <f t="shared" si="69"/>
        <v>#N/A</v>
      </c>
      <c r="CB218" s="349" t="e">
        <f t="shared" si="70"/>
        <v>#N/A</v>
      </c>
      <c r="CC218" s="349" t="e">
        <f t="shared" si="83"/>
        <v>#N/A</v>
      </c>
      <c r="CD218" s="14" t="e">
        <f t="shared" si="72"/>
        <v>#N/A</v>
      </c>
      <c r="CE218" s="14">
        <f t="shared" si="84"/>
        <v>30</v>
      </c>
      <c r="CF218" s="25">
        <f t="shared" si="74"/>
        <v>1</v>
      </c>
      <c r="CG218" s="270"/>
      <c r="CH218" s="2"/>
      <c r="CL218" s="349" t="e">
        <f>#N/A</f>
        <v>#N/A</v>
      </c>
      <c r="CM218" s="349" t="e">
        <f>#N/A</f>
        <v>#N/A</v>
      </c>
      <c r="CN218" s="349" t="e">
        <f>#N/A</f>
        <v>#N/A</v>
      </c>
      <c r="CO218" s="349" t="e">
        <f>#N/A</f>
        <v>#N/A</v>
      </c>
      <c r="CP218" s="349" t="e">
        <f t="shared" si="88"/>
        <v>#N/A</v>
      </c>
      <c r="CQ218" s="14" t="e">
        <f t="shared" si="76"/>
        <v>#N/A</v>
      </c>
      <c r="CW218" s="1">
        <f t="shared" si="85"/>
        <v>0</v>
      </c>
      <c r="CX218" s="1">
        <f t="shared" si="86"/>
        <v>0</v>
      </c>
      <c r="CY218" s="2">
        <f t="shared" si="79"/>
        <v>0</v>
      </c>
    </row>
    <row r="219" spans="1:103" s="1" customFormat="1" ht="29.4" customHeight="1">
      <c r="A219" s="46">
        <v>45</v>
      </c>
      <c r="B219" s="46">
        <v>2</v>
      </c>
      <c r="C219" s="46">
        <v>92</v>
      </c>
      <c r="D219" s="48"/>
      <c r="E219" s="48"/>
      <c r="F219" s="46"/>
      <c r="G219" s="317">
        <v>0</v>
      </c>
      <c r="H219" s="317" t="s">
        <v>1991</v>
      </c>
      <c r="I219" s="317" t="s">
        <v>1991</v>
      </c>
      <c r="J219" s="317"/>
      <c r="K219" s="317">
        <v>0</v>
      </c>
      <c r="L219" s="317" t="s">
        <v>1991</v>
      </c>
      <c r="M219" s="317" t="s">
        <v>1991</v>
      </c>
      <c r="N219" s="317" t="s">
        <v>1991</v>
      </c>
      <c r="O219" s="317" t="s">
        <v>1991</v>
      </c>
      <c r="P219" s="317" t="s">
        <v>1991</v>
      </c>
      <c r="Q219" s="317" t="s">
        <v>1991</v>
      </c>
      <c r="R219" s="317" t="s">
        <v>1991</v>
      </c>
      <c r="S219" s="317" t="s">
        <v>1991</v>
      </c>
      <c r="T219" s="326" t="s">
        <v>1991</v>
      </c>
      <c r="U219" s="312" t="s">
        <v>1991</v>
      </c>
      <c r="V219" s="46" t="s">
        <v>1991</v>
      </c>
      <c r="W219" s="324" t="s">
        <v>1991</v>
      </c>
      <c r="X219" s="324" t="s">
        <v>1991</v>
      </c>
      <c r="Y219" s="324" t="s">
        <v>1991</v>
      </c>
      <c r="Z219" s="46" t="s">
        <v>1991</v>
      </c>
      <c r="AA219" s="46" t="s">
        <v>1991</v>
      </c>
      <c r="AB219" s="46" t="s">
        <v>1991</v>
      </c>
      <c r="AC219" s="46" t="s">
        <v>1991</v>
      </c>
      <c r="AD219" s="46" t="s">
        <v>1991</v>
      </c>
      <c r="AE219" s="324" t="s">
        <v>1991</v>
      </c>
      <c r="AF219" s="324" t="s">
        <v>1991</v>
      </c>
      <c r="AG219" s="324" t="s">
        <v>1991</v>
      </c>
      <c r="AH219" s="324">
        <v>0</v>
      </c>
      <c r="AI219" s="324" t="s">
        <v>1991</v>
      </c>
      <c r="AJ219" s="324" t="s">
        <v>1991</v>
      </c>
      <c r="AK219" s="324" t="s">
        <v>1991</v>
      </c>
      <c r="AL219" s="327"/>
      <c r="AM219" s="327"/>
      <c r="AN219" s="327"/>
      <c r="AO219" s="327"/>
      <c r="AP219" s="327"/>
      <c r="AQ219" s="327"/>
      <c r="AR219" s="327"/>
      <c r="AS219" s="327"/>
      <c r="AT219" s="327"/>
      <c r="AU219" s="327"/>
      <c r="AV219" s="327"/>
      <c r="AW219" s="327"/>
      <c r="AX219" s="327"/>
      <c r="AY219" s="327"/>
      <c r="AZ219" s="327"/>
      <c r="BA219" s="327"/>
      <c r="BB219" s="46">
        <f t="shared" ref="BB219:BB282" si="90">COUNTIF(G219:U219,"X")</f>
        <v>12</v>
      </c>
      <c r="BC219" s="46">
        <f t="shared" ref="BC219:BC282" si="91">COUNTIF(V219:AK219,"X")</f>
        <v>15</v>
      </c>
      <c r="BD219" s="46">
        <f t="shared" si="89"/>
        <v>0</v>
      </c>
      <c r="BE219" s="46">
        <f t="shared" ref="BE219:BE282" si="92">COUNTIF(AU219:BA219,"x")</f>
        <v>0</v>
      </c>
      <c r="BF219" s="296">
        <f t="shared" ref="BF219:BF282" si="93">BB219+BC219</f>
        <v>27</v>
      </c>
      <c r="BG219" s="2"/>
      <c r="BH219" s="2"/>
      <c r="BI219" s="2"/>
      <c r="BJ219" s="2"/>
      <c r="BK219" s="279">
        <f t="shared" ref="BK219:BK282" si="94">IF(BO219&gt;=26,1,0)</f>
        <v>1</v>
      </c>
      <c r="BL219" s="279">
        <f t="shared" ref="BL219:BL282" si="95">(BB219+BC219)</f>
        <v>27</v>
      </c>
      <c r="BM219" s="279"/>
      <c r="BN219" s="279"/>
      <c r="BO219" s="2">
        <f t="shared" ref="BO219:BO282" si="96">IF(BT219&gt;0,BF219,0)</f>
        <v>27</v>
      </c>
      <c r="BP219" s="430"/>
      <c r="BQ219" s="431"/>
      <c r="BR219" s="2"/>
      <c r="BS219" s="25"/>
      <c r="BT219" s="348">
        <f t="shared" si="64"/>
        <v>1</v>
      </c>
      <c r="BU219" s="2"/>
      <c r="BV219" s="282">
        <f t="shared" ref="BV219:BV282" si="97">IF(AND(BU219&gt;0,BU219&lt;=1),50000,IF(AND(BU219&gt;1,BU219&lt;=3),40000,IF(AND(BU219&gt;3,BU219&lt;=5),20000,IF(AND(BU219&gt;5,BU219&lt;=9),0,IF(AND(BU219&gt;9,BU219&lt;=11),-20000,IF(AND(BU219&gt;11,BU219&lt;=13),-40000,IF(BU219&gt;13,-50000,0)))))))</f>
        <v>0</v>
      </c>
      <c r="BW219" s="279">
        <v>20000</v>
      </c>
      <c r="BX219" s="269">
        <f t="shared" ref="BX219:BX282" si="98">IF(AND(BW219&gt;0,BW219&lt;=1),1.15,IF(AND(BW219&gt;1,BW219&lt;=3),1.1,IF(AND(BW219&gt;3,BW219&lt;=5),1.05,IF(AND(BW219&gt;5,BW219&lt;=9),1,IF(AND(BW219&gt;9,BW219&lt;=11),-0.05,IF(AND(BW219&gt;11,BW219&lt;=13),-0.1,IF(BW219&gt;13,-0.15,0)))))))</f>
        <v>-0.15</v>
      </c>
      <c r="BY219" s="349" t="e">
        <f t="shared" si="67"/>
        <v>#N/A</v>
      </c>
      <c r="BZ219" s="349" t="e">
        <f t="shared" si="68"/>
        <v>#N/A</v>
      </c>
      <c r="CA219" s="349" t="e">
        <f t="shared" si="69"/>
        <v>#N/A</v>
      </c>
      <c r="CB219" s="349" t="e">
        <f t="shared" si="70"/>
        <v>#N/A</v>
      </c>
      <c r="CC219" s="349" t="e">
        <f t="shared" ref="CC219:CC282" si="99">SUM(BY219:CB219)</f>
        <v>#N/A</v>
      </c>
      <c r="CD219" s="14" t="e">
        <f t="shared" ref="CD219:CD282" si="100">CC219-BB219</f>
        <v>#N/A</v>
      </c>
      <c r="CE219" s="14">
        <f t="shared" ref="CE219:CE282" si="101">IF(CF219&gt;0,BF219,0)</f>
        <v>27</v>
      </c>
      <c r="CF219" s="25">
        <f t="shared" ref="CF219:CF282" si="102">IF(BF219&gt;=26,1,0)</f>
        <v>1</v>
      </c>
      <c r="CG219" s="270"/>
      <c r="CH219" s="2"/>
      <c r="CL219" s="349"/>
      <c r="CM219" s="349"/>
      <c r="CN219" s="349"/>
      <c r="CO219" s="349"/>
      <c r="CP219" s="349"/>
      <c r="CQ219" s="14"/>
      <c r="CY219" s="2"/>
    </row>
    <row r="220" spans="1:103" s="1" customFormat="1" ht="29.4" customHeight="1">
      <c r="A220" s="46">
        <v>46</v>
      </c>
      <c r="B220" s="46">
        <v>3</v>
      </c>
      <c r="C220" s="46">
        <v>93</v>
      </c>
      <c r="D220" s="48"/>
      <c r="E220" s="48"/>
      <c r="F220" s="46"/>
      <c r="G220" s="317" t="s">
        <v>1991</v>
      </c>
      <c r="H220" s="317" t="s">
        <v>1991</v>
      </c>
      <c r="I220" s="317" t="s">
        <v>1991</v>
      </c>
      <c r="J220" s="317"/>
      <c r="K220" s="317">
        <v>0</v>
      </c>
      <c r="L220" s="317">
        <v>0</v>
      </c>
      <c r="M220" s="317" t="s">
        <v>1991</v>
      </c>
      <c r="N220" s="317" t="s">
        <v>1991</v>
      </c>
      <c r="O220" s="317" t="s">
        <v>1991</v>
      </c>
      <c r="P220" s="317" t="s">
        <v>1991</v>
      </c>
      <c r="Q220" s="317" t="s">
        <v>1991</v>
      </c>
      <c r="R220" s="317" t="s">
        <v>1991</v>
      </c>
      <c r="S220" s="317" t="s">
        <v>1991</v>
      </c>
      <c r="T220" s="326" t="s">
        <v>1991</v>
      </c>
      <c r="U220" s="312" t="s">
        <v>1991</v>
      </c>
      <c r="V220" s="46" t="s">
        <v>1991</v>
      </c>
      <c r="W220" s="324" t="s">
        <v>1991</v>
      </c>
      <c r="X220" s="324" t="s">
        <v>1991</v>
      </c>
      <c r="Y220" s="324" t="s">
        <v>1991</v>
      </c>
      <c r="Z220" s="46" t="s">
        <v>1991</v>
      </c>
      <c r="AA220" s="46" t="s">
        <v>1991</v>
      </c>
      <c r="AB220" s="46" t="s">
        <v>1991</v>
      </c>
      <c r="AC220" s="46" t="s">
        <v>1991</v>
      </c>
      <c r="AD220" s="46" t="s">
        <v>1991</v>
      </c>
      <c r="AE220" s="324" t="s">
        <v>1991</v>
      </c>
      <c r="AF220" s="324" t="s">
        <v>1991</v>
      </c>
      <c r="AG220" s="324" t="s">
        <v>1991</v>
      </c>
      <c r="AH220" s="324" t="s">
        <v>1991</v>
      </c>
      <c r="AI220" s="324" t="s">
        <v>1991</v>
      </c>
      <c r="AJ220" s="324" t="s">
        <v>1991</v>
      </c>
      <c r="AK220" s="324" t="s">
        <v>1991</v>
      </c>
      <c r="AL220" s="327"/>
      <c r="AM220" s="327"/>
      <c r="AN220" s="327"/>
      <c r="AO220" s="327"/>
      <c r="AP220" s="327"/>
      <c r="AQ220" s="327"/>
      <c r="AR220" s="327"/>
      <c r="AS220" s="327"/>
      <c r="AT220" s="327"/>
      <c r="AU220" s="327"/>
      <c r="AV220" s="327"/>
      <c r="AW220" s="327"/>
      <c r="AX220" s="327"/>
      <c r="AY220" s="327"/>
      <c r="AZ220" s="327"/>
      <c r="BA220" s="327"/>
      <c r="BB220" s="46">
        <f t="shared" si="90"/>
        <v>12</v>
      </c>
      <c r="BC220" s="46">
        <f t="shared" si="91"/>
        <v>16</v>
      </c>
      <c r="BD220" s="46">
        <f t="shared" si="89"/>
        <v>0</v>
      </c>
      <c r="BE220" s="46">
        <f t="shared" si="92"/>
        <v>0</v>
      </c>
      <c r="BF220" s="296">
        <f t="shared" si="93"/>
        <v>28</v>
      </c>
      <c r="BG220" s="2"/>
      <c r="BH220" s="2"/>
      <c r="BI220" s="2"/>
      <c r="BJ220" s="2"/>
      <c r="BK220" s="279">
        <f t="shared" si="94"/>
        <v>1</v>
      </c>
      <c r="BL220" s="279">
        <f t="shared" si="95"/>
        <v>28</v>
      </c>
      <c r="BM220" s="279"/>
      <c r="BN220" s="279"/>
      <c r="BO220" s="2">
        <f t="shared" si="96"/>
        <v>28</v>
      </c>
      <c r="BP220" s="430"/>
      <c r="BQ220" s="431"/>
      <c r="BR220" s="2"/>
      <c r="BS220" s="25"/>
      <c r="BT220" s="348">
        <f t="shared" si="64"/>
        <v>1</v>
      </c>
      <c r="BU220" s="2"/>
      <c r="BV220" s="282">
        <f t="shared" si="97"/>
        <v>0</v>
      </c>
      <c r="BW220" s="279">
        <v>0</v>
      </c>
      <c r="BX220" s="269">
        <f t="shared" si="98"/>
        <v>0</v>
      </c>
      <c r="BY220" s="349" t="e">
        <f t="shared" si="67"/>
        <v>#N/A</v>
      </c>
      <c r="BZ220" s="349" t="e">
        <f t="shared" si="68"/>
        <v>#N/A</v>
      </c>
      <c r="CA220" s="349" t="e">
        <f t="shared" si="69"/>
        <v>#N/A</v>
      </c>
      <c r="CB220" s="349" t="e">
        <f t="shared" si="70"/>
        <v>#N/A</v>
      </c>
      <c r="CC220" s="349" t="e">
        <f t="shared" si="99"/>
        <v>#N/A</v>
      </c>
      <c r="CD220" s="14" t="e">
        <f t="shared" si="100"/>
        <v>#N/A</v>
      </c>
      <c r="CE220" s="14">
        <f t="shared" si="101"/>
        <v>28</v>
      </c>
      <c r="CF220" s="25">
        <f t="shared" si="102"/>
        <v>1</v>
      </c>
      <c r="CG220" s="270"/>
      <c r="CH220" s="2"/>
      <c r="CL220" s="349"/>
      <c r="CM220" s="349"/>
      <c r="CN220" s="349"/>
      <c r="CO220" s="349"/>
      <c r="CP220" s="349"/>
      <c r="CQ220" s="14"/>
      <c r="CY220" s="2"/>
    </row>
    <row r="221" spans="1:103" s="1" customFormat="1" ht="29.4" customHeight="1">
      <c r="A221" s="46">
        <v>47</v>
      </c>
      <c r="B221" s="46">
        <v>3</v>
      </c>
      <c r="C221" s="46">
        <v>94</v>
      </c>
      <c r="D221" s="48"/>
      <c r="E221" s="48"/>
      <c r="F221" s="46"/>
      <c r="G221" s="317" t="s">
        <v>1991</v>
      </c>
      <c r="H221" s="317" t="s">
        <v>1991</v>
      </c>
      <c r="I221" s="317">
        <v>0</v>
      </c>
      <c r="J221" s="317"/>
      <c r="K221" s="317">
        <v>0</v>
      </c>
      <c r="L221" s="317" t="s">
        <v>1991</v>
      </c>
      <c r="M221" s="317" t="s">
        <v>1991</v>
      </c>
      <c r="N221" s="317">
        <v>0</v>
      </c>
      <c r="O221" s="317" t="s">
        <v>1991</v>
      </c>
      <c r="P221" s="317" t="s">
        <v>1991</v>
      </c>
      <c r="Q221" s="317" t="s">
        <v>1991</v>
      </c>
      <c r="R221" s="317" t="s">
        <v>1991</v>
      </c>
      <c r="S221" s="317" t="s">
        <v>1991</v>
      </c>
      <c r="T221" s="326" t="s">
        <v>1991</v>
      </c>
      <c r="U221" s="312">
        <v>0</v>
      </c>
      <c r="V221" s="46">
        <v>0</v>
      </c>
      <c r="W221" s="324">
        <v>0</v>
      </c>
      <c r="X221" s="324">
        <v>0</v>
      </c>
      <c r="Y221" s="324">
        <v>0</v>
      </c>
      <c r="Z221" s="46">
        <v>0</v>
      </c>
      <c r="AA221" s="46">
        <v>0</v>
      </c>
      <c r="AB221" s="46">
        <v>0</v>
      </c>
      <c r="AC221" s="46">
        <v>0</v>
      </c>
      <c r="AD221" s="46">
        <v>0</v>
      </c>
      <c r="AE221" s="324">
        <v>0</v>
      </c>
      <c r="AF221" s="324">
        <v>0</v>
      </c>
      <c r="AG221" s="324">
        <v>0</v>
      </c>
      <c r="AH221" s="324">
        <v>0</v>
      </c>
      <c r="AI221" s="324">
        <v>0</v>
      </c>
      <c r="AJ221" s="324">
        <v>0</v>
      </c>
      <c r="AK221" s="324">
        <v>0</v>
      </c>
      <c r="AL221" s="327"/>
      <c r="AM221" s="327"/>
      <c r="AN221" s="327"/>
      <c r="AO221" s="327"/>
      <c r="AP221" s="327"/>
      <c r="AQ221" s="327"/>
      <c r="AR221" s="327"/>
      <c r="AS221" s="327"/>
      <c r="AT221" s="327"/>
      <c r="AU221" s="327"/>
      <c r="AV221" s="327"/>
      <c r="AW221" s="327"/>
      <c r="AX221" s="327"/>
      <c r="AY221" s="327"/>
      <c r="AZ221" s="327"/>
      <c r="BA221" s="327"/>
      <c r="BB221" s="46">
        <f t="shared" si="90"/>
        <v>10</v>
      </c>
      <c r="BC221" s="46">
        <f t="shared" si="91"/>
        <v>0</v>
      </c>
      <c r="BD221" s="46">
        <f t="shared" si="89"/>
        <v>0</v>
      </c>
      <c r="BE221" s="46">
        <f t="shared" si="92"/>
        <v>0</v>
      </c>
      <c r="BF221" s="296">
        <f t="shared" si="93"/>
        <v>10</v>
      </c>
      <c r="BG221" s="2"/>
      <c r="BH221" s="2"/>
      <c r="BI221" s="2"/>
      <c r="BJ221" s="2"/>
      <c r="BK221" s="279">
        <f t="shared" si="94"/>
        <v>0</v>
      </c>
      <c r="BL221" s="279">
        <f t="shared" si="95"/>
        <v>10</v>
      </c>
      <c r="BM221" s="279"/>
      <c r="BN221" s="279"/>
      <c r="BO221" s="2">
        <f t="shared" si="96"/>
        <v>0</v>
      </c>
      <c r="BP221" s="430"/>
      <c r="BQ221" s="431"/>
      <c r="BR221" s="2"/>
      <c r="BS221" s="25"/>
      <c r="BT221" s="348">
        <f t="shared" si="64"/>
        <v>0</v>
      </c>
      <c r="BU221" s="2"/>
      <c r="BV221" s="282">
        <f t="shared" si="97"/>
        <v>0</v>
      </c>
      <c r="BW221" s="279">
        <v>0</v>
      </c>
      <c r="BX221" s="269">
        <f t="shared" si="98"/>
        <v>0</v>
      </c>
      <c r="BY221" s="349" t="e">
        <f t="shared" si="67"/>
        <v>#N/A</v>
      </c>
      <c r="BZ221" s="349" t="e">
        <f t="shared" si="68"/>
        <v>#N/A</v>
      </c>
      <c r="CA221" s="349" t="e">
        <f t="shared" si="69"/>
        <v>#N/A</v>
      </c>
      <c r="CB221" s="349" t="e">
        <f t="shared" si="70"/>
        <v>#N/A</v>
      </c>
      <c r="CC221" s="349" t="e">
        <f t="shared" si="99"/>
        <v>#N/A</v>
      </c>
      <c r="CD221" s="14" t="e">
        <f t="shared" si="100"/>
        <v>#N/A</v>
      </c>
      <c r="CE221" s="14">
        <f t="shared" si="101"/>
        <v>0</v>
      </c>
      <c r="CF221" s="25">
        <f t="shared" si="102"/>
        <v>0</v>
      </c>
      <c r="CG221" s="270"/>
      <c r="CH221" s="2"/>
      <c r="CL221" s="349"/>
      <c r="CM221" s="349"/>
      <c r="CN221" s="349"/>
      <c r="CO221" s="349"/>
      <c r="CP221" s="349"/>
      <c r="CQ221" s="14"/>
      <c r="CY221" s="2"/>
    </row>
    <row r="222" spans="1:103" s="1" customFormat="1" ht="29.4" customHeight="1">
      <c r="A222" s="46">
        <v>48</v>
      </c>
      <c r="B222" s="46">
        <v>3</v>
      </c>
      <c r="C222" s="46">
        <v>95</v>
      </c>
      <c r="D222" s="48"/>
      <c r="E222" s="48"/>
      <c r="F222" s="46"/>
      <c r="G222" s="317" t="s">
        <v>1991</v>
      </c>
      <c r="H222" s="317" t="s">
        <v>1991</v>
      </c>
      <c r="I222" s="317">
        <v>0</v>
      </c>
      <c r="J222" s="317"/>
      <c r="K222" s="317">
        <v>0</v>
      </c>
      <c r="L222" s="317" t="s">
        <v>1991</v>
      </c>
      <c r="M222" s="317" t="s">
        <v>1991</v>
      </c>
      <c r="N222" s="317" t="s">
        <v>1991</v>
      </c>
      <c r="O222" s="317" t="s">
        <v>1991</v>
      </c>
      <c r="P222" s="317" t="s">
        <v>1991</v>
      </c>
      <c r="Q222" s="317" t="s">
        <v>1991</v>
      </c>
      <c r="R222" s="317" t="s">
        <v>1991</v>
      </c>
      <c r="S222" s="317" t="s">
        <v>1991</v>
      </c>
      <c r="T222" s="326" t="s">
        <v>1991</v>
      </c>
      <c r="U222" s="312" t="s">
        <v>1991</v>
      </c>
      <c r="V222" s="46" t="s">
        <v>1991</v>
      </c>
      <c r="W222" s="324" t="s">
        <v>1991</v>
      </c>
      <c r="X222" s="324" t="s">
        <v>1991</v>
      </c>
      <c r="Y222" s="324" t="s">
        <v>1991</v>
      </c>
      <c r="Z222" s="46" t="s">
        <v>1991</v>
      </c>
      <c r="AA222" s="46" t="s">
        <v>1991</v>
      </c>
      <c r="AB222" s="46" t="s">
        <v>1991</v>
      </c>
      <c r="AC222" s="46" t="s">
        <v>1991</v>
      </c>
      <c r="AD222" s="46" t="s">
        <v>1991</v>
      </c>
      <c r="AE222" s="324" t="s">
        <v>1991</v>
      </c>
      <c r="AF222" s="324" t="s">
        <v>1991</v>
      </c>
      <c r="AG222" s="324" t="s">
        <v>1991</v>
      </c>
      <c r="AH222" s="324" t="s">
        <v>1991</v>
      </c>
      <c r="AI222" s="324" t="s">
        <v>1991</v>
      </c>
      <c r="AJ222" s="324" t="s">
        <v>1991</v>
      </c>
      <c r="AK222" s="324">
        <v>0</v>
      </c>
      <c r="AL222" s="327"/>
      <c r="AM222" s="327"/>
      <c r="AN222" s="327"/>
      <c r="AO222" s="327"/>
      <c r="AP222" s="327"/>
      <c r="AQ222" s="327"/>
      <c r="AR222" s="327"/>
      <c r="AS222" s="327"/>
      <c r="AT222" s="327"/>
      <c r="AU222" s="327"/>
      <c r="AV222" s="327"/>
      <c r="AW222" s="327"/>
      <c r="AX222" s="327"/>
      <c r="AY222" s="327"/>
      <c r="AZ222" s="327"/>
      <c r="BA222" s="327"/>
      <c r="BB222" s="46">
        <f t="shared" si="90"/>
        <v>12</v>
      </c>
      <c r="BC222" s="46">
        <f t="shared" si="91"/>
        <v>15</v>
      </c>
      <c r="BD222" s="46">
        <f t="shared" si="89"/>
        <v>0</v>
      </c>
      <c r="BE222" s="46">
        <f t="shared" si="92"/>
        <v>0</v>
      </c>
      <c r="BF222" s="296">
        <f t="shared" si="93"/>
        <v>27</v>
      </c>
      <c r="BG222" s="2"/>
      <c r="BH222" s="2"/>
      <c r="BI222" s="2"/>
      <c r="BJ222" s="2"/>
      <c r="BK222" s="279">
        <f t="shared" si="94"/>
        <v>1</v>
      </c>
      <c r="BL222" s="279">
        <f t="shared" si="95"/>
        <v>27</v>
      </c>
      <c r="BM222" s="279"/>
      <c r="BN222" s="279"/>
      <c r="BO222" s="2">
        <f t="shared" si="96"/>
        <v>27</v>
      </c>
      <c r="BP222" s="430"/>
      <c r="BQ222" s="431"/>
      <c r="BR222" s="2"/>
      <c r="BS222" s="25"/>
      <c r="BT222" s="348">
        <f t="shared" si="64"/>
        <v>1</v>
      </c>
      <c r="BU222" s="2"/>
      <c r="BV222" s="282">
        <f t="shared" si="97"/>
        <v>0</v>
      </c>
      <c r="BW222" s="279">
        <v>-20000</v>
      </c>
      <c r="BX222" s="269">
        <f t="shared" si="98"/>
        <v>0</v>
      </c>
      <c r="BY222" s="349" t="e">
        <f t="shared" si="67"/>
        <v>#N/A</v>
      </c>
      <c r="BZ222" s="349" t="e">
        <f t="shared" si="68"/>
        <v>#N/A</v>
      </c>
      <c r="CA222" s="349" t="e">
        <f t="shared" si="69"/>
        <v>#N/A</v>
      </c>
      <c r="CB222" s="349" t="e">
        <f t="shared" si="70"/>
        <v>#N/A</v>
      </c>
      <c r="CC222" s="349" t="e">
        <f t="shared" si="99"/>
        <v>#N/A</v>
      </c>
      <c r="CD222" s="14" t="e">
        <f t="shared" si="100"/>
        <v>#N/A</v>
      </c>
      <c r="CE222" s="14">
        <f t="shared" si="101"/>
        <v>27</v>
      </c>
      <c r="CF222" s="25">
        <f t="shared" si="102"/>
        <v>1</v>
      </c>
      <c r="CG222" s="270"/>
      <c r="CH222" s="2"/>
      <c r="CL222" s="349"/>
      <c r="CM222" s="349"/>
      <c r="CN222" s="349"/>
      <c r="CO222" s="349"/>
      <c r="CP222" s="349"/>
      <c r="CQ222" s="14"/>
      <c r="CY222" s="2"/>
    </row>
    <row r="223" spans="1:103" s="1" customFormat="1" ht="29.4" customHeight="1">
      <c r="A223" s="46">
        <v>49</v>
      </c>
      <c r="B223" s="46">
        <v>3</v>
      </c>
      <c r="C223" s="46">
        <v>96</v>
      </c>
      <c r="D223" s="48"/>
      <c r="E223" s="48"/>
      <c r="F223" s="46"/>
      <c r="G223" s="317" t="s">
        <v>1991</v>
      </c>
      <c r="H223" s="317" t="s">
        <v>1991</v>
      </c>
      <c r="I223" s="317" t="s">
        <v>1991</v>
      </c>
      <c r="J223" s="317"/>
      <c r="K223" s="317">
        <v>0</v>
      </c>
      <c r="L223" s="317" t="s">
        <v>1991</v>
      </c>
      <c r="M223" s="317" t="s">
        <v>1991</v>
      </c>
      <c r="N223" s="317" t="s">
        <v>1991</v>
      </c>
      <c r="O223" s="317" t="s">
        <v>1991</v>
      </c>
      <c r="P223" s="317" t="s">
        <v>1991</v>
      </c>
      <c r="Q223" s="317" t="s">
        <v>1991</v>
      </c>
      <c r="R223" s="317" t="s">
        <v>1991</v>
      </c>
      <c r="S223" s="317" t="s">
        <v>1991</v>
      </c>
      <c r="T223" s="326" t="s">
        <v>1991</v>
      </c>
      <c r="U223" s="312" t="s">
        <v>1991</v>
      </c>
      <c r="V223" s="46" t="s">
        <v>1991</v>
      </c>
      <c r="W223" s="324" t="s">
        <v>1991</v>
      </c>
      <c r="X223" s="324" t="s">
        <v>1991</v>
      </c>
      <c r="Y223" s="324" t="s">
        <v>1991</v>
      </c>
      <c r="Z223" s="46" t="s">
        <v>1991</v>
      </c>
      <c r="AA223" s="46" t="s">
        <v>1991</v>
      </c>
      <c r="AB223" s="46" t="s">
        <v>1991</v>
      </c>
      <c r="AC223" s="46" t="s">
        <v>1991</v>
      </c>
      <c r="AD223" s="46">
        <v>0</v>
      </c>
      <c r="AE223" s="324" t="s">
        <v>1991</v>
      </c>
      <c r="AF223" s="324" t="s">
        <v>1991</v>
      </c>
      <c r="AG223" s="324" t="s">
        <v>1991</v>
      </c>
      <c r="AH223" s="324" t="s">
        <v>1991</v>
      </c>
      <c r="AI223" s="324" t="s">
        <v>1991</v>
      </c>
      <c r="AJ223" s="324" t="s">
        <v>1991</v>
      </c>
      <c r="AK223" s="324" t="s">
        <v>1991</v>
      </c>
      <c r="AL223" s="327"/>
      <c r="AM223" s="327"/>
      <c r="AN223" s="327"/>
      <c r="AO223" s="327"/>
      <c r="AP223" s="327"/>
      <c r="AQ223" s="327"/>
      <c r="AR223" s="327"/>
      <c r="AS223" s="327"/>
      <c r="AT223" s="327"/>
      <c r="AU223" s="327"/>
      <c r="AV223" s="327"/>
      <c r="AW223" s="327"/>
      <c r="AX223" s="327"/>
      <c r="AY223" s="327"/>
      <c r="AZ223" s="327"/>
      <c r="BA223" s="327"/>
      <c r="BB223" s="46">
        <f t="shared" si="90"/>
        <v>13</v>
      </c>
      <c r="BC223" s="46">
        <f t="shared" si="91"/>
        <v>15</v>
      </c>
      <c r="BD223" s="46">
        <f t="shared" si="89"/>
        <v>0</v>
      </c>
      <c r="BE223" s="46">
        <f t="shared" si="92"/>
        <v>0</v>
      </c>
      <c r="BF223" s="296">
        <f t="shared" si="93"/>
        <v>28</v>
      </c>
      <c r="BG223" s="2"/>
      <c r="BH223" s="2"/>
      <c r="BI223" s="2"/>
      <c r="BJ223" s="2"/>
      <c r="BK223" s="279">
        <f t="shared" si="94"/>
        <v>1</v>
      </c>
      <c r="BL223" s="279">
        <f t="shared" si="95"/>
        <v>28</v>
      </c>
      <c r="BM223" s="279"/>
      <c r="BN223" s="279"/>
      <c r="BO223" s="2">
        <f t="shared" si="96"/>
        <v>28</v>
      </c>
      <c r="BP223" s="430"/>
      <c r="BQ223" s="431"/>
      <c r="BR223" s="2"/>
      <c r="BS223" s="25"/>
      <c r="BT223" s="348">
        <f t="shared" si="64"/>
        <v>1</v>
      </c>
      <c r="BU223" s="2"/>
      <c r="BV223" s="282">
        <f t="shared" si="97"/>
        <v>0</v>
      </c>
      <c r="BW223" s="279">
        <v>0</v>
      </c>
      <c r="BX223" s="269">
        <f t="shared" si="98"/>
        <v>0</v>
      </c>
      <c r="BY223" s="349" t="e">
        <f t="shared" si="67"/>
        <v>#N/A</v>
      </c>
      <c r="BZ223" s="349" t="e">
        <f t="shared" si="68"/>
        <v>#N/A</v>
      </c>
      <c r="CA223" s="349" t="e">
        <f t="shared" si="69"/>
        <v>#N/A</v>
      </c>
      <c r="CB223" s="349" t="e">
        <f t="shared" si="70"/>
        <v>#N/A</v>
      </c>
      <c r="CC223" s="349" t="e">
        <f t="shared" si="99"/>
        <v>#N/A</v>
      </c>
      <c r="CD223" s="14" t="e">
        <f t="shared" si="100"/>
        <v>#N/A</v>
      </c>
      <c r="CE223" s="14">
        <f t="shared" si="101"/>
        <v>28</v>
      </c>
      <c r="CF223" s="25">
        <f t="shared" si="102"/>
        <v>1</v>
      </c>
      <c r="CG223" s="270"/>
      <c r="CH223" s="2"/>
      <c r="CL223" s="349"/>
      <c r="CM223" s="349"/>
      <c r="CN223" s="349"/>
      <c r="CO223" s="349"/>
      <c r="CP223" s="349"/>
      <c r="CQ223" s="14"/>
      <c r="CY223" s="2"/>
    </row>
    <row r="224" spans="1:103" s="1" customFormat="1" ht="29.4" customHeight="1">
      <c r="A224" s="46">
        <v>50</v>
      </c>
      <c r="B224" s="46">
        <v>3</v>
      </c>
      <c r="C224" s="46">
        <v>97</v>
      </c>
      <c r="D224" s="48"/>
      <c r="E224" s="48"/>
      <c r="F224" s="46"/>
      <c r="G224" s="317" t="s">
        <v>1991</v>
      </c>
      <c r="H224" s="317" t="s">
        <v>1991</v>
      </c>
      <c r="I224" s="317" t="s">
        <v>1991</v>
      </c>
      <c r="J224" s="317"/>
      <c r="K224" s="317">
        <v>0</v>
      </c>
      <c r="L224" s="317">
        <v>0</v>
      </c>
      <c r="M224" s="317" t="s">
        <v>1991</v>
      </c>
      <c r="N224" s="317" t="s">
        <v>1991</v>
      </c>
      <c r="O224" s="317" t="s">
        <v>1991</v>
      </c>
      <c r="P224" s="317" t="s">
        <v>1991</v>
      </c>
      <c r="Q224" s="317" t="s">
        <v>1991</v>
      </c>
      <c r="R224" s="317" t="s">
        <v>1991</v>
      </c>
      <c r="S224" s="317" t="s">
        <v>1991</v>
      </c>
      <c r="T224" s="326" t="s">
        <v>1991</v>
      </c>
      <c r="U224" s="312" t="s">
        <v>1991</v>
      </c>
      <c r="V224" s="46" t="s">
        <v>1991</v>
      </c>
      <c r="W224" s="324" t="s">
        <v>1991</v>
      </c>
      <c r="X224" s="324" t="s">
        <v>1991</v>
      </c>
      <c r="Y224" s="324" t="s">
        <v>1991</v>
      </c>
      <c r="Z224" s="46">
        <v>0</v>
      </c>
      <c r="AA224" s="46" t="s">
        <v>1991</v>
      </c>
      <c r="AB224" s="46" t="s">
        <v>1991</v>
      </c>
      <c r="AC224" s="46" t="s">
        <v>1991</v>
      </c>
      <c r="AD224" s="46" t="s">
        <v>1991</v>
      </c>
      <c r="AE224" s="324" t="s">
        <v>1991</v>
      </c>
      <c r="AF224" s="324" t="s">
        <v>1991</v>
      </c>
      <c r="AG224" s="324" t="s">
        <v>1991</v>
      </c>
      <c r="AH224" s="324" t="s">
        <v>1991</v>
      </c>
      <c r="AI224" s="324" t="s">
        <v>1991</v>
      </c>
      <c r="AJ224" s="324" t="s">
        <v>1991</v>
      </c>
      <c r="AK224" s="324" t="s">
        <v>1991</v>
      </c>
      <c r="AL224" s="327"/>
      <c r="AM224" s="327"/>
      <c r="AN224" s="327"/>
      <c r="AO224" s="327"/>
      <c r="AP224" s="327"/>
      <c r="AQ224" s="327"/>
      <c r="AR224" s="327"/>
      <c r="AS224" s="327"/>
      <c r="AT224" s="327"/>
      <c r="AU224" s="327"/>
      <c r="AV224" s="327"/>
      <c r="AW224" s="327"/>
      <c r="AX224" s="327"/>
      <c r="AY224" s="327"/>
      <c r="AZ224" s="327"/>
      <c r="BA224" s="327"/>
      <c r="BB224" s="46">
        <f t="shared" si="90"/>
        <v>12</v>
      </c>
      <c r="BC224" s="46">
        <f t="shared" si="91"/>
        <v>15</v>
      </c>
      <c r="BD224" s="46">
        <f t="shared" si="89"/>
        <v>0</v>
      </c>
      <c r="BE224" s="46">
        <f t="shared" si="92"/>
        <v>0</v>
      </c>
      <c r="BF224" s="296">
        <f t="shared" si="93"/>
        <v>27</v>
      </c>
      <c r="BG224" s="2"/>
      <c r="BH224" s="2"/>
      <c r="BI224" s="2"/>
      <c r="BJ224" s="2"/>
      <c r="BK224" s="279">
        <f t="shared" si="94"/>
        <v>1</v>
      </c>
      <c r="BL224" s="279">
        <f t="shared" si="95"/>
        <v>27</v>
      </c>
      <c r="BM224" s="279"/>
      <c r="BN224" s="279"/>
      <c r="BO224" s="2">
        <f t="shared" si="96"/>
        <v>27</v>
      </c>
      <c r="BP224" s="430"/>
      <c r="BQ224" s="431"/>
      <c r="BR224" s="2"/>
      <c r="BS224" s="25"/>
      <c r="BT224" s="348">
        <f t="shared" si="64"/>
        <v>1</v>
      </c>
      <c r="BU224" s="2"/>
      <c r="BV224" s="282">
        <f t="shared" si="97"/>
        <v>0</v>
      </c>
      <c r="BW224" s="279">
        <v>0</v>
      </c>
      <c r="BX224" s="269">
        <f t="shared" si="98"/>
        <v>0</v>
      </c>
      <c r="BY224" s="349" t="e">
        <f t="shared" si="67"/>
        <v>#N/A</v>
      </c>
      <c r="BZ224" s="349" t="e">
        <f t="shared" si="68"/>
        <v>#N/A</v>
      </c>
      <c r="CA224" s="349" t="e">
        <f t="shared" si="69"/>
        <v>#N/A</v>
      </c>
      <c r="CB224" s="349" t="e">
        <f t="shared" si="70"/>
        <v>#N/A</v>
      </c>
      <c r="CC224" s="349" t="e">
        <f t="shared" si="99"/>
        <v>#N/A</v>
      </c>
      <c r="CD224" s="14" t="e">
        <f t="shared" si="100"/>
        <v>#N/A</v>
      </c>
      <c r="CE224" s="14">
        <f t="shared" si="101"/>
        <v>27</v>
      </c>
      <c r="CF224" s="25">
        <f t="shared" si="102"/>
        <v>1</v>
      </c>
      <c r="CG224" s="270"/>
      <c r="CH224" s="2"/>
      <c r="CL224" s="349"/>
      <c r="CM224" s="349"/>
      <c r="CN224" s="349"/>
      <c r="CO224" s="349"/>
      <c r="CP224" s="349"/>
      <c r="CQ224" s="14"/>
      <c r="CY224" s="2"/>
    </row>
    <row r="225" spans="1:103" s="1" customFormat="1" ht="29.4" customHeight="1">
      <c r="A225" s="46">
        <v>51</v>
      </c>
      <c r="B225" s="46">
        <v>3</v>
      </c>
      <c r="C225" s="46">
        <v>98</v>
      </c>
      <c r="D225" s="48"/>
      <c r="E225" s="48"/>
      <c r="F225" s="46"/>
      <c r="G225" s="317" t="s">
        <v>1991</v>
      </c>
      <c r="H225" s="317" t="s">
        <v>1991</v>
      </c>
      <c r="I225" s="317" t="s">
        <v>1991</v>
      </c>
      <c r="J225" s="317"/>
      <c r="K225" s="317">
        <v>0</v>
      </c>
      <c r="L225" s="317" t="s">
        <v>1991</v>
      </c>
      <c r="M225" s="317" t="s">
        <v>1991</v>
      </c>
      <c r="N225" s="317" t="s">
        <v>1991</v>
      </c>
      <c r="O225" s="317" t="s">
        <v>1991</v>
      </c>
      <c r="P225" s="317" t="s">
        <v>1991</v>
      </c>
      <c r="Q225" s="317" t="s">
        <v>1991</v>
      </c>
      <c r="R225" s="317" t="s">
        <v>1991</v>
      </c>
      <c r="S225" s="317" t="s">
        <v>1991</v>
      </c>
      <c r="T225" s="326" t="s">
        <v>1991</v>
      </c>
      <c r="U225" s="312" t="s">
        <v>1991</v>
      </c>
      <c r="V225" s="46" t="s">
        <v>1991</v>
      </c>
      <c r="W225" s="324" t="s">
        <v>1991</v>
      </c>
      <c r="X225" s="324" t="s">
        <v>1991</v>
      </c>
      <c r="Y225" s="324" t="s">
        <v>1991</v>
      </c>
      <c r="Z225" s="46" t="s">
        <v>1991</v>
      </c>
      <c r="AA225" s="46" t="s">
        <v>1991</v>
      </c>
      <c r="AB225" s="46" t="s">
        <v>1991</v>
      </c>
      <c r="AC225" s="46" t="s">
        <v>1991</v>
      </c>
      <c r="AD225" s="46" t="s">
        <v>1991</v>
      </c>
      <c r="AE225" s="324" t="s">
        <v>1991</v>
      </c>
      <c r="AF225" s="324">
        <v>0</v>
      </c>
      <c r="AG225" s="324" t="s">
        <v>1991</v>
      </c>
      <c r="AH225" s="324" t="s">
        <v>1991</v>
      </c>
      <c r="AI225" s="324" t="s">
        <v>1991</v>
      </c>
      <c r="AJ225" s="324" t="s">
        <v>1991</v>
      </c>
      <c r="AK225" s="324" t="s">
        <v>1991</v>
      </c>
      <c r="AL225" s="327"/>
      <c r="AM225" s="327"/>
      <c r="AN225" s="327"/>
      <c r="AO225" s="327"/>
      <c r="AP225" s="327"/>
      <c r="AQ225" s="327"/>
      <c r="AR225" s="327"/>
      <c r="AS225" s="327"/>
      <c r="AT225" s="327"/>
      <c r="AU225" s="327"/>
      <c r="AV225" s="327"/>
      <c r="AW225" s="327"/>
      <c r="AX225" s="327"/>
      <c r="AY225" s="327"/>
      <c r="AZ225" s="327"/>
      <c r="BA225" s="327"/>
      <c r="BB225" s="46">
        <f t="shared" si="90"/>
        <v>13</v>
      </c>
      <c r="BC225" s="46">
        <f t="shared" si="91"/>
        <v>15</v>
      </c>
      <c r="BD225" s="46">
        <f t="shared" si="89"/>
        <v>0</v>
      </c>
      <c r="BE225" s="46">
        <f t="shared" si="92"/>
        <v>0</v>
      </c>
      <c r="BF225" s="296">
        <f t="shared" si="93"/>
        <v>28</v>
      </c>
      <c r="BG225" s="2"/>
      <c r="BH225" s="2"/>
      <c r="BI225" s="2"/>
      <c r="BJ225" s="2"/>
      <c r="BK225" s="279">
        <f t="shared" si="94"/>
        <v>1</v>
      </c>
      <c r="BL225" s="279">
        <f t="shared" si="95"/>
        <v>28</v>
      </c>
      <c r="BM225" s="279"/>
      <c r="BN225" s="279"/>
      <c r="BO225" s="2">
        <f t="shared" si="96"/>
        <v>28</v>
      </c>
      <c r="BP225" s="430"/>
      <c r="BQ225" s="431"/>
      <c r="BR225" s="2"/>
      <c r="BS225" s="25"/>
      <c r="BT225" s="348">
        <f t="shared" si="64"/>
        <v>1</v>
      </c>
      <c r="BU225" s="2"/>
      <c r="BV225" s="282">
        <f t="shared" si="97"/>
        <v>0</v>
      </c>
      <c r="BW225" s="279">
        <v>0</v>
      </c>
      <c r="BX225" s="269">
        <f t="shared" si="98"/>
        <v>0</v>
      </c>
      <c r="BY225" s="349" t="e">
        <f t="shared" si="67"/>
        <v>#N/A</v>
      </c>
      <c r="BZ225" s="349" t="e">
        <f t="shared" si="68"/>
        <v>#N/A</v>
      </c>
      <c r="CA225" s="349" t="e">
        <f t="shared" si="69"/>
        <v>#N/A</v>
      </c>
      <c r="CB225" s="349" t="e">
        <f t="shared" si="70"/>
        <v>#N/A</v>
      </c>
      <c r="CC225" s="349" t="e">
        <f t="shared" si="99"/>
        <v>#N/A</v>
      </c>
      <c r="CD225" s="14" t="e">
        <f t="shared" si="100"/>
        <v>#N/A</v>
      </c>
      <c r="CE225" s="14">
        <f t="shared" si="101"/>
        <v>28</v>
      </c>
      <c r="CF225" s="25">
        <f t="shared" si="102"/>
        <v>1</v>
      </c>
      <c r="CG225" s="270"/>
      <c r="CH225" s="2"/>
      <c r="CL225" s="349"/>
      <c r="CM225" s="349"/>
      <c r="CN225" s="349"/>
      <c r="CO225" s="349"/>
      <c r="CP225" s="349"/>
      <c r="CQ225" s="14"/>
      <c r="CY225" s="2"/>
    </row>
    <row r="226" spans="1:103" s="1" customFormat="1" ht="29.4" customHeight="1">
      <c r="A226" s="46">
        <v>52</v>
      </c>
      <c r="B226" s="46">
        <v>3</v>
      </c>
      <c r="C226" s="46">
        <v>99</v>
      </c>
      <c r="D226" s="48"/>
      <c r="E226" s="48"/>
      <c r="F226" s="46"/>
      <c r="G226" s="317" t="s">
        <v>1991</v>
      </c>
      <c r="H226" s="317" t="s">
        <v>1991</v>
      </c>
      <c r="I226" s="317" t="s">
        <v>1991</v>
      </c>
      <c r="J226" s="317"/>
      <c r="K226" s="317">
        <v>0</v>
      </c>
      <c r="L226" s="317" t="s">
        <v>1991</v>
      </c>
      <c r="M226" s="317" t="s">
        <v>1991</v>
      </c>
      <c r="N226" s="317" t="s">
        <v>1991</v>
      </c>
      <c r="O226" s="317" t="s">
        <v>1991</v>
      </c>
      <c r="P226" s="317" t="s">
        <v>1991</v>
      </c>
      <c r="Q226" s="317" t="s">
        <v>1991</v>
      </c>
      <c r="R226" s="317" t="s">
        <v>1991</v>
      </c>
      <c r="S226" s="317" t="s">
        <v>1991</v>
      </c>
      <c r="T226" s="326" t="s">
        <v>1991</v>
      </c>
      <c r="U226" s="312" t="s">
        <v>1991</v>
      </c>
      <c r="V226" s="46" t="s">
        <v>1991</v>
      </c>
      <c r="W226" s="324" t="s">
        <v>1991</v>
      </c>
      <c r="X226" s="324" t="s">
        <v>1991</v>
      </c>
      <c r="Y226" s="324" t="s">
        <v>1991</v>
      </c>
      <c r="Z226" s="46" t="s">
        <v>1991</v>
      </c>
      <c r="AA226" s="46" t="s">
        <v>1991</v>
      </c>
      <c r="AB226" s="46" t="s">
        <v>1991</v>
      </c>
      <c r="AC226" s="46" t="s">
        <v>1991</v>
      </c>
      <c r="AD226" s="46" t="s">
        <v>1991</v>
      </c>
      <c r="AE226" s="324" t="s">
        <v>1991</v>
      </c>
      <c r="AF226" s="324">
        <v>0</v>
      </c>
      <c r="AG226" s="324" t="s">
        <v>1991</v>
      </c>
      <c r="AH226" s="324" t="s">
        <v>1991</v>
      </c>
      <c r="AI226" s="324" t="s">
        <v>1991</v>
      </c>
      <c r="AJ226" s="324" t="s">
        <v>1991</v>
      </c>
      <c r="AK226" s="324" t="s">
        <v>1991</v>
      </c>
      <c r="AL226" s="327"/>
      <c r="AM226" s="327"/>
      <c r="AN226" s="327"/>
      <c r="AO226" s="327"/>
      <c r="AP226" s="327"/>
      <c r="AQ226" s="327"/>
      <c r="AR226" s="327"/>
      <c r="AS226" s="327" t="s">
        <v>1991</v>
      </c>
      <c r="AT226" s="327"/>
      <c r="AU226" s="327"/>
      <c r="AV226" s="327"/>
      <c r="AW226" s="327"/>
      <c r="AX226" s="327"/>
      <c r="AY226" s="327"/>
      <c r="AZ226" s="327"/>
      <c r="BA226" s="327"/>
      <c r="BB226" s="46">
        <f t="shared" si="90"/>
        <v>13</v>
      </c>
      <c r="BC226" s="46">
        <f t="shared" si="91"/>
        <v>15</v>
      </c>
      <c r="BD226" s="46">
        <f t="shared" si="89"/>
        <v>1</v>
      </c>
      <c r="BE226" s="46">
        <f t="shared" si="92"/>
        <v>0</v>
      </c>
      <c r="BF226" s="296">
        <f t="shared" si="93"/>
        <v>28</v>
      </c>
      <c r="BG226" s="2"/>
      <c r="BH226" s="2"/>
      <c r="BI226" s="2"/>
      <c r="BJ226" s="2"/>
      <c r="BK226" s="279">
        <f t="shared" si="94"/>
        <v>1</v>
      </c>
      <c r="BL226" s="279">
        <f t="shared" si="95"/>
        <v>28</v>
      </c>
      <c r="BM226" s="279"/>
      <c r="BN226" s="279"/>
      <c r="BO226" s="2">
        <f t="shared" si="96"/>
        <v>28</v>
      </c>
      <c r="BP226" s="430"/>
      <c r="BQ226" s="431"/>
      <c r="BR226" s="2"/>
      <c r="BS226" s="25"/>
      <c r="BT226" s="348">
        <f t="shared" si="64"/>
        <v>1</v>
      </c>
      <c r="BU226" s="2"/>
      <c r="BV226" s="282">
        <f t="shared" si="97"/>
        <v>0</v>
      </c>
      <c r="BW226" s="279">
        <v>0</v>
      </c>
      <c r="BX226" s="269">
        <f t="shared" si="98"/>
        <v>0</v>
      </c>
      <c r="BY226" s="349" t="e">
        <f t="shared" si="67"/>
        <v>#N/A</v>
      </c>
      <c r="BZ226" s="349" t="e">
        <f t="shared" si="68"/>
        <v>#N/A</v>
      </c>
      <c r="CA226" s="349" t="e">
        <f t="shared" si="69"/>
        <v>#N/A</v>
      </c>
      <c r="CB226" s="349" t="e">
        <f t="shared" si="70"/>
        <v>#N/A</v>
      </c>
      <c r="CC226" s="349" t="e">
        <f t="shared" si="99"/>
        <v>#N/A</v>
      </c>
      <c r="CD226" s="14" t="e">
        <f t="shared" si="100"/>
        <v>#N/A</v>
      </c>
      <c r="CE226" s="14">
        <f t="shared" si="101"/>
        <v>28</v>
      </c>
      <c r="CF226" s="25">
        <f t="shared" si="102"/>
        <v>1</v>
      </c>
      <c r="CG226" s="270"/>
      <c r="CH226" s="2"/>
      <c r="CL226" s="349"/>
      <c r="CM226" s="349"/>
      <c r="CN226" s="349"/>
      <c r="CO226" s="349"/>
      <c r="CP226" s="349"/>
      <c r="CQ226" s="14"/>
      <c r="CY226" s="2"/>
    </row>
    <row r="227" spans="1:103" s="1" customFormat="1" ht="29.4" customHeight="1">
      <c r="A227" s="46">
        <v>53</v>
      </c>
      <c r="B227" s="46">
        <v>3</v>
      </c>
      <c r="C227" s="46">
        <v>100</v>
      </c>
      <c r="D227" s="48"/>
      <c r="E227" s="48"/>
      <c r="F227" s="46"/>
      <c r="G227" s="317" t="s">
        <v>1991</v>
      </c>
      <c r="H227" s="317" t="s">
        <v>1991</v>
      </c>
      <c r="I227" s="317">
        <v>0</v>
      </c>
      <c r="J227" s="317"/>
      <c r="K227" s="317">
        <v>0</v>
      </c>
      <c r="L227" s="317" t="s">
        <v>1991</v>
      </c>
      <c r="M227" s="317" t="s">
        <v>1991</v>
      </c>
      <c r="N227" s="317" t="s">
        <v>1991</v>
      </c>
      <c r="O227" s="317" t="s">
        <v>1991</v>
      </c>
      <c r="P227" s="317" t="s">
        <v>1991</v>
      </c>
      <c r="Q227" s="317" t="s">
        <v>1991</v>
      </c>
      <c r="R227" s="317" t="s">
        <v>1991</v>
      </c>
      <c r="S227" s="317" t="s">
        <v>1991</v>
      </c>
      <c r="T227" s="326" t="s">
        <v>1991</v>
      </c>
      <c r="U227" s="312" t="s">
        <v>1991</v>
      </c>
      <c r="V227" s="46" t="s">
        <v>1991</v>
      </c>
      <c r="W227" s="324" t="s">
        <v>1991</v>
      </c>
      <c r="X227" s="324" t="s">
        <v>1991</v>
      </c>
      <c r="Y227" s="324" t="s">
        <v>1991</v>
      </c>
      <c r="Z227" s="46" t="s">
        <v>1991</v>
      </c>
      <c r="AA227" s="46" t="s">
        <v>1991</v>
      </c>
      <c r="AB227" s="46" t="s">
        <v>1991</v>
      </c>
      <c r="AC227" s="46" t="s">
        <v>1991</v>
      </c>
      <c r="AD227" s="46" t="s">
        <v>1991</v>
      </c>
      <c r="AE227" s="324" t="s">
        <v>1991</v>
      </c>
      <c r="AF227" s="324">
        <v>0</v>
      </c>
      <c r="AG227" s="324" t="s">
        <v>1991</v>
      </c>
      <c r="AH227" s="324" t="s">
        <v>1991</v>
      </c>
      <c r="AI227" s="324" t="s">
        <v>1991</v>
      </c>
      <c r="AJ227" s="324" t="s">
        <v>1991</v>
      </c>
      <c r="AK227" s="324">
        <v>0</v>
      </c>
      <c r="AL227" s="327"/>
      <c r="AM227" s="327"/>
      <c r="AN227" s="327"/>
      <c r="AO227" s="327"/>
      <c r="AP227" s="327"/>
      <c r="AQ227" s="327"/>
      <c r="AR227" s="327"/>
      <c r="AS227" s="327"/>
      <c r="AT227" s="327"/>
      <c r="AU227" s="327"/>
      <c r="AV227" s="327"/>
      <c r="AW227" s="327"/>
      <c r="AX227" s="327"/>
      <c r="AY227" s="327"/>
      <c r="AZ227" s="327"/>
      <c r="BA227" s="327"/>
      <c r="BB227" s="46">
        <f t="shared" si="90"/>
        <v>12</v>
      </c>
      <c r="BC227" s="46">
        <f t="shared" si="91"/>
        <v>14</v>
      </c>
      <c r="BD227" s="46">
        <f t="shared" si="89"/>
        <v>0</v>
      </c>
      <c r="BE227" s="46">
        <f t="shared" si="92"/>
        <v>0</v>
      </c>
      <c r="BF227" s="296">
        <f t="shared" si="93"/>
        <v>26</v>
      </c>
      <c r="BG227" s="2"/>
      <c r="BH227" s="2"/>
      <c r="BI227" s="2"/>
      <c r="BJ227" s="2"/>
      <c r="BK227" s="279">
        <f t="shared" si="94"/>
        <v>1</v>
      </c>
      <c r="BL227" s="279">
        <f t="shared" si="95"/>
        <v>26</v>
      </c>
      <c r="BM227" s="279"/>
      <c r="BN227" s="279"/>
      <c r="BO227" s="2">
        <f t="shared" si="96"/>
        <v>26</v>
      </c>
      <c r="BP227" s="430"/>
      <c r="BQ227" s="431"/>
      <c r="BR227" s="2"/>
      <c r="BS227" s="25"/>
      <c r="BT227" s="348">
        <f t="shared" si="64"/>
        <v>1</v>
      </c>
      <c r="BU227" s="2"/>
      <c r="BV227" s="282">
        <f t="shared" si="97"/>
        <v>0</v>
      </c>
      <c r="BW227" s="279">
        <v>0</v>
      </c>
      <c r="BX227" s="269">
        <f t="shared" si="98"/>
        <v>0</v>
      </c>
      <c r="BY227" s="349" t="e">
        <f t="shared" si="67"/>
        <v>#N/A</v>
      </c>
      <c r="BZ227" s="349" t="e">
        <f t="shared" si="68"/>
        <v>#N/A</v>
      </c>
      <c r="CA227" s="349" t="e">
        <f t="shared" si="69"/>
        <v>#N/A</v>
      </c>
      <c r="CB227" s="349" t="e">
        <f t="shared" si="70"/>
        <v>#N/A</v>
      </c>
      <c r="CC227" s="349" t="e">
        <f t="shared" si="99"/>
        <v>#N/A</v>
      </c>
      <c r="CD227" s="14" t="e">
        <f t="shared" si="100"/>
        <v>#N/A</v>
      </c>
      <c r="CE227" s="14">
        <f t="shared" si="101"/>
        <v>26</v>
      </c>
      <c r="CF227" s="25">
        <f t="shared" si="102"/>
        <v>1</v>
      </c>
      <c r="CG227" s="270"/>
      <c r="CH227" s="2"/>
      <c r="CL227" s="349"/>
      <c r="CM227" s="349"/>
      <c r="CN227" s="349"/>
      <c r="CO227" s="349"/>
      <c r="CP227" s="349"/>
      <c r="CQ227" s="14"/>
      <c r="CY227" s="2"/>
    </row>
    <row r="228" spans="1:103" s="1" customFormat="1" ht="29.4" customHeight="1">
      <c r="A228" s="46">
        <v>54</v>
      </c>
      <c r="B228" s="46">
        <v>3</v>
      </c>
      <c r="C228" s="46">
        <v>101</v>
      </c>
      <c r="D228" s="48"/>
      <c r="E228" s="48"/>
      <c r="F228" s="46"/>
      <c r="G228" s="317" t="s">
        <v>1991</v>
      </c>
      <c r="H228" s="317" t="s">
        <v>1991</v>
      </c>
      <c r="I228" s="317" t="s">
        <v>1991</v>
      </c>
      <c r="J228" s="317"/>
      <c r="K228" s="317" t="s">
        <v>1991</v>
      </c>
      <c r="L228" s="317" t="s">
        <v>1991</v>
      </c>
      <c r="M228" s="317" t="s">
        <v>1991</v>
      </c>
      <c r="N228" s="317" t="s">
        <v>1991</v>
      </c>
      <c r="O228" s="317" t="s">
        <v>1991</v>
      </c>
      <c r="P228" s="317" t="s">
        <v>1991</v>
      </c>
      <c r="Q228" s="317" t="s">
        <v>1991</v>
      </c>
      <c r="R228" s="317" t="s">
        <v>1991</v>
      </c>
      <c r="S228" s="317" t="s">
        <v>1991</v>
      </c>
      <c r="T228" s="326" t="s">
        <v>1991</v>
      </c>
      <c r="U228" s="312" t="s">
        <v>1991</v>
      </c>
      <c r="V228" s="46">
        <v>0</v>
      </c>
      <c r="W228" s="324" t="s">
        <v>1991</v>
      </c>
      <c r="X228" s="324" t="s">
        <v>1991</v>
      </c>
      <c r="Y228" s="324" t="s">
        <v>1991</v>
      </c>
      <c r="Z228" s="46" t="s">
        <v>1991</v>
      </c>
      <c r="AA228" s="46" t="s">
        <v>1991</v>
      </c>
      <c r="AB228" s="46" t="s">
        <v>1991</v>
      </c>
      <c r="AC228" s="46" t="s">
        <v>1991</v>
      </c>
      <c r="AD228" s="46" t="s">
        <v>1991</v>
      </c>
      <c r="AE228" s="324" t="s">
        <v>1991</v>
      </c>
      <c r="AF228" s="324" t="s">
        <v>1991</v>
      </c>
      <c r="AG228" s="324" t="s">
        <v>1991</v>
      </c>
      <c r="AH228" s="324" t="s">
        <v>1991</v>
      </c>
      <c r="AI228" s="324" t="s">
        <v>1991</v>
      </c>
      <c r="AJ228" s="324" t="s">
        <v>1991</v>
      </c>
      <c r="AK228" s="324" t="s">
        <v>1991</v>
      </c>
      <c r="AL228" s="327"/>
      <c r="AM228" s="327"/>
      <c r="AN228" s="327"/>
      <c r="AO228" s="327"/>
      <c r="AP228" s="327"/>
      <c r="AQ228" s="327"/>
      <c r="AR228" s="327"/>
      <c r="AS228" s="327"/>
      <c r="AT228" s="327"/>
      <c r="AU228" s="327"/>
      <c r="AV228" s="327"/>
      <c r="AW228" s="327"/>
      <c r="AX228" s="327"/>
      <c r="AY228" s="327"/>
      <c r="AZ228" s="327"/>
      <c r="BA228" s="327"/>
      <c r="BB228" s="46">
        <f t="shared" si="90"/>
        <v>14</v>
      </c>
      <c r="BC228" s="46">
        <f t="shared" si="91"/>
        <v>15</v>
      </c>
      <c r="BD228" s="46">
        <f t="shared" si="89"/>
        <v>0</v>
      </c>
      <c r="BE228" s="46">
        <f t="shared" si="92"/>
        <v>0</v>
      </c>
      <c r="BF228" s="296">
        <f t="shared" si="93"/>
        <v>29</v>
      </c>
      <c r="BG228" s="2"/>
      <c r="BH228" s="2"/>
      <c r="BI228" s="2"/>
      <c r="BJ228" s="2"/>
      <c r="BK228" s="279">
        <f t="shared" si="94"/>
        <v>1</v>
      </c>
      <c r="BL228" s="279">
        <f t="shared" si="95"/>
        <v>29</v>
      </c>
      <c r="BM228" s="279"/>
      <c r="BN228" s="279"/>
      <c r="BO228" s="2">
        <f t="shared" si="96"/>
        <v>29</v>
      </c>
      <c r="BP228" s="430"/>
      <c r="BQ228" s="431"/>
      <c r="BR228" s="2"/>
      <c r="BS228" s="25"/>
      <c r="BT228" s="348">
        <f t="shared" si="64"/>
        <v>1</v>
      </c>
      <c r="BU228" s="2"/>
      <c r="BV228" s="282">
        <f t="shared" si="97"/>
        <v>0</v>
      </c>
      <c r="BW228" s="279">
        <v>0</v>
      </c>
      <c r="BX228" s="269">
        <f t="shared" si="98"/>
        <v>0</v>
      </c>
      <c r="BY228" s="349" t="e">
        <f t="shared" si="67"/>
        <v>#N/A</v>
      </c>
      <c r="BZ228" s="349" t="e">
        <f t="shared" si="68"/>
        <v>#N/A</v>
      </c>
      <c r="CA228" s="349" t="e">
        <f t="shared" si="69"/>
        <v>#N/A</v>
      </c>
      <c r="CB228" s="349" t="e">
        <f t="shared" si="70"/>
        <v>#N/A</v>
      </c>
      <c r="CC228" s="349" t="e">
        <f t="shared" si="99"/>
        <v>#N/A</v>
      </c>
      <c r="CD228" s="14" t="e">
        <f t="shared" si="100"/>
        <v>#N/A</v>
      </c>
      <c r="CE228" s="14">
        <f t="shared" si="101"/>
        <v>29</v>
      </c>
      <c r="CF228" s="25">
        <f t="shared" si="102"/>
        <v>1</v>
      </c>
      <c r="CG228" s="270"/>
      <c r="CH228" s="2"/>
      <c r="CL228" s="349"/>
      <c r="CM228" s="349"/>
      <c r="CN228" s="349"/>
      <c r="CO228" s="349"/>
      <c r="CP228" s="349"/>
      <c r="CQ228" s="14"/>
      <c r="CY228" s="2"/>
    </row>
    <row r="229" spans="1:103" s="1" customFormat="1" ht="29.4" customHeight="1">
      <c r="A229" s="46">
        <v>55</v>
      </c>
      <c r="B229" s="46">
        <v>3</v>
      </c>
      <c r="C229" s="46">
        <v>102</v>
      </c>
      <c r="D229" s="48"/>
      <c r="E229" s="48"/>
      <c r="F229" s="46"/>
      <c r="G229" s="317" t="s">
        <v>1991</v>
      </c>
      <c r="H229" s="317" t="s">
        <v>1991</v>
      </c>
      <c r="I229" s="317" t="s">
        <v>1991</v>
      </c>
      <c r="J229" s="317"/>
      <c r="K229" s="317">
        <v>0</v>
      </c>
      <c r="L229" s="317" t="s">
        <v>1991</v>
      </c>
      <c r="M229" s="317">
        <v>0</v>
      </c>
      <c r="N229" s="317" t="s">
        <v>1991</v>
      </c>
      <c r="O229" s="317" t="s">
        <v>1991</v>
      </c>
      <c r="P229" s="317" t="s">
        <v>1991</v>
      </c>
      <c r="Q229" s="317" t="s">
        <v>1991</v>
      </c>
      <c r="R229" s="317" t="s">
        <v>1991</v>
      </c>
      <c r="S229" s="317" t="s">
        <v>1991</v>
      </c>
      <c r="T229" s="326" t="s">
        <v>1991</v>
      </c>
      <c r="U229" s="312" t="s">
        <v>1991</v>
      </c>
      <c r="V229" s="46" t="s">
        <v>1991</v>
      </c>
      <c r="W229" s="324">
        <v>0</v>
      </c>
      <c r="X229" s="324">
        <v>0</v>
      </c>
      <c r="Y229" s="324" t="s">
        <v>1991</v>
      </c>
      <c r="Z229" s="46" t="s">
        <v>1991</v>
      </c>
      <c r="AA229" s="46" t="s">
        <v>1991</v>
      </c>
      <c r="AB229" s="46" t="s">
        <v>1991</v>
      </c>
      <c r="AC229" s="46" t="s">
        <v>1991</v>
      </c>
      <c r="AD229" s="46" t="s">
        <v>1991</v>
      </c>
      <c r="AE229" s="324" t="s">
        <v>1991</v>
      </c>
      <c r="AF229" s="324" t="s">
        <v>1991</v>
      </c>
      <c r="AG229" s="324" t="s">
        <v>1991</v>
      </c>
      <c r="AH229" s="324" t="s">
        <v>1991</v>
      </c>
      <c r="AI229" s="324" t="s">
        <v>1991</v>
      </c>
      <c r="AJ229" s="324" t="s">
        <v>1991</v>
      </c>
      <c r="AK229" s="324" t="s">
        <v>1991</v>
      </c>
      <c r="AL229" s="327"/>
      <c r="AM229" s="327"/>
      <c r="AN229" s="327"/>
      <c r="AO229" s="327"/>
      <c r="AP229" s="327"/>
      <c r="AQ229" s="327"/>
      <c r="AR229" s="327"/>
      <c r="AS229" s="327"/>
      <c r="AT229" s="327"/>
      <c r="AU229" s="327"/>
      <c r="AV229" s="327"/>
      <c r="AW229" s="327"/>
      <c r="AX229" s="327"/>
      <c r="AY229" s="327"/>
      <c r="AZ229" s="327"/>
      <c r="BA229" s="327"/>
      <c r="BB229" s="46">
        <f t="shared" si="90"/>
        <v>12</v>
      </c>
      <c r="BC229" s="46">
        <f t="shared" si="91"/>
        <v>14</v>
      </c>
      <c r="BD229" s="46">
        <f t="shared" si="89"/>
        <v>0</v>
      </c>
      <c r="BE229" s="46">
        <f t="shared" si="92"/>
        <v>0</v>
      </c>
      <c r="BF229" s="296">
        <f t="shared" si="93"/>
        <v>26</v>
      </c>
      <c r="BG229" s="2"/>
      <c r="BH229" s="2"/>
      <c r="BI229" s="2"/>
      <c r="BJ229" s="2"/>
      <c r="BK229" s="279">
        <f t="shared" si="94"/>
        <v>1</v>
      </c>
      <c r="BL229" s="279">
        <f t="shared" si="95"/>
        <v>26</v>
      </c>
      <c r="BM229" s="279"/>
      <c r="BN229" s="279"/>
      <c r="BO229" s="2">
        <f t="shared" si="96"/>
        <v>26</v>
      </c>
      <c r="BP229" s="430"/>
      <c r="BQ229" s="431"/>
      <c r="BR229" s="2"/>
      <c r="BS229" s="25"/>
      <c r="BT229" s="348">
        <f t="shared" si="64"/>
        <v>1</v>
      </c>
      <c r="BU229" s="2"/>
      <c r="BV229" s="282">
        <f t="shared" si="97"/>
        <v>0</v>
      </c>
      <c r="BW229" s="279">
        <v>0</v>
      </c>
      <c r="BX229" s="269">
        <f t="shared" si="98"/>
        <v>0</v>
      </c>
      <c r="BY229" s="349" t="e">
        <f t="shared" si="67"/>
        <v>#N/A</v>
      </c>
      <c r="BZ229" s="349" t="e">
        <f t="shared" si="68"/>
        <v>#N/A</v>
      </c>
      <c r="CA229" s="349" t="e">
        <f t="shared" si="69"/>
        <v>#N/A</v>
      </c>
      <c r="CB229" s="349" t="e">
        <f t="shared" si="70"/>
        <v>#N/A</v>
      </c>
      <c r="CC229" s="349" t="e">
        <f t="shared" si="99"/>
        <v>#N/A</v>
      </c>
      <c r="CD229" s="14" t="e">
        <f t="shared" si="100"/>
        <v>#N/A</v>
      </c>
      <c r="CE229" s="14">
        <f t="shared" si="101"/>
        <v>26</v>
      </c>
      <c r="CF229" s="25">
        <f t="shared" si="102"/>
        <v>1</v>
      </c>
      <c r="CG229" s="270"/>
      <c r="CH229" s="2"/>
      <c r="CL229" s="349"/>
      <c r="CM229" s="349"/>
      <c r="CN229" s="349"/>
      <c r="CO229" s="349"/>
      <c r="CP229" s="349"/>
      <c r="CQ229" s="14"/>
      <c r="CY229" s="2"/>
    </row>
    <row r="230" spans="1:103" s="1" customFormat="1" ht="29.4" customHeight="1">
      <c r="A230" s="46">
        <v>56</v>
      </c>
      <c r="B230" s="46">
        <v>3</v>
      </c>
      <c r="C230" s="46">
        <v>103</v>
      </c>
      <c r="D230" s="48"/>
      <c r="E230" s="48"/>
      <c r="F230" s="46"/>
      <c r="G230" s="317" t="s">
        <v>1991</v>
      </c>
      <c r="H230" s="317" t="s">
        <v>1991</v>
      </c>
      <c r="I230" s="317" t="s">
        <v>1991</v>
      </c>
      <c r="J230" s="317"/>
      <c r="K230" s="317" t="s">
        <v>1991</v>
      </c>
      <c r="L230" s="317" t="s">
        <v>1991</v>
      </c>
      <c r="M230" s="317" t="s">
        <v>1991</v>
      </c>
      <c r="N230" s="317" t="s">
        <v>1991</v>
      </c>
      <c r="O230" s="317" t="s">
        <v>1991</v>
      </c>
      <c r="P230" s="317" t="s">
        <v>1991</v>
      </c>
      <c r="Q230" s="317" t="s">
        <v>1991</v>
      </c>
      <c r="R230" s="317" t="s">
        <v>1991</v>
      </c>
      <c r="S230" s="317" t="s">
        <v>1991</v>
      </c>
      <c r="T230" s="326" t="s">
        <v>1991</v>
      </c>
      <c r="U230" s="312" t="s">
        <v>1991</v>
      </c>
      <c r="V230" s="46">
        <v>0</v>
      </c>
      <c r="W230" s="324" t="s">
        <v>1991</v>
      </c>
      <c r="X230" s="324" t="s">
        <v>1991</v>
      </c>
      <c r="Y230" s="324" t="s">
        <v>1991</v>
      </c>
      <c r="Z230" s="46" t="s">
        <v>1991</v>
      </c>
      <c r="AA230" s="46" t="s">
        <v>1991</v>
      </c>
      <c r="AB230" s="46" t="s">
        <v>1991</v>
      </c>
      <c r="AC230" s="46" t="s">
        <v>1991</v>
      </c>
      <c r="AD230" s="46" t="s">
        <v>1991</v>
      </c>
      <c r="AE230" s="324" t="s">
        <v>1991</v>
      </c>
      <c r="AF230" s="324" t="s">
        <v>1991</v>
      </c>
      <c r="AG230" s="324" t="s">
        <v>1991</v>
      </c>
      <c r="AH230" s="324" t="s">
        <v>1991</v>
      </c>
      <c r="AI230" s="324" t="s">
        <v>1991</v>
      </c>
      <c r="AJ230" s="324" t="s">
        <v>1991</v>
      </c>
      <c r="AK230" s="324" t="s">
        <v>1991</v>
      </c>
      <c r="AL230" s="327"/>
      <c r="AM230" s="327"/>
      <c r="AN230" s="327"/>
      <c r="AO230" s="327"/>
      <c r="AP230" s="327"/>
      <c r="AQ230" s="327"/>
      <c r="AR230" s="327"/>
      <c r="AS230" s="327"/>
      <c r="AT230" s="327"/>
      <c r="AU230" s="327"/>
      <c r="AV230" s="327"/>
      <c r="AW230" s="327"/>
      <c r="AX230" s="327"/>
      <c r="AY230" s="327"/>
      <c r="AZ230" s="327"/>
      <c r="BA230" s="327"/>
      <c r="BB230" s="46">
        <f t="shared" si="90"/>
        <v>14</v>
      </c>
      <c r="BC230" s="46">
        <f t="shared" si="91"/>
        <v>15</v>
      </c>
      <c r="BD230" s="46">
        <f t="shared" si="89"/>
        <v>0</v>
      </c>
      <c r="BE230" s="46">
        <f t="shared" si="92"/>
        <v>0</v>
      </c>
      <c r="BF230" s="296">
        <f t="shared" si="93"/>
        <v>29</v>
      </c>
      <c r="BG230" s="2"/>
      <c r="BH230" s="2"/>
      <c r="BI230" s="2"/>
      <c r="BJ230" s="2"/>
      <c r="BK230" s="279">
        <f t="shared" si="94"/>
        <v>1</v>
      </c>
      <c r="BL230" s="279">
        <f t="shared" si="95"/>
        <v>29</v>
      </c>
      <c r="BM230" s="279"/>
      <c r="BN230" s="279"/>
      <c r="BO230" s="2">
        <f t="shared" si="96"/>
        <v>29</v>
      </c>
      <c r="BP230" s="430"/>
      <c r="BQ230" s="431"/>
      <c r="BR230" s="2"/>
      <c r="BS230" s="25"/>
      <c r="BT230" s="348">
        <f t="shared" si="64"/>
        <v>1</v>
      </c>
      <c r="BU230" s="2"/>
      <c r="BV230" s="282">
        <f t="shared" si="97"/>
        <v>0</v>
      </c>
      <c r="BW230" s="279">
        <v>0</v>
      </c>
      <c r="BX230" s="269">
        <f t="shared" si="98"/>
        <v>0</v>
      </c>
      <c r="BY230" s="349" t="e">
        <f t="shared" si="67"/>
        <v>#N/A</v>
      </c>
      <c r="BZ230" s="349" t="e">
        <f t="shared" si="68"/>
        <v>#N/A</v>
      </c>
      <c r="CA230" s="349" t="e">
        <f t="shared" si="69"/>
        <v>#N/A</v>
      </c>
      <c r="CB230" s="349" t="e">
        <f t="shared" si="70"/>
        <v>#N/A</v>
      </c>
      <c r="CC230" s="349" t="e">
        <f t="shared" si="99"/>
        <v>#N/A</v>
      </c>
      <c r="CD230" s="14" t="e">
        <f t="shared" si="100"/>
        <v>#N/A</v>
      </c>
      <c r="CE230" s="14">
        <f t="shared" si="101"/>
        <v>29</v>
      </c>
      <c r="CF230" s="25">
        <f t="shared" si="102"/>
        <v>1</v>
      </c>
      <c r="CG230" s="270"/>
      <c r="CH230" s="2"/>
      <c r="CL230" s="349"/>
      <c r="CM230" s="349"/>
      <c r="CN230" s="349"/>
      <c r="CO230" s="349"/>
      <c r="CP230" s="349"/>
      <c r="CQ230" s="14"/>
      <c r="CY230" s="2"/>
    </row>
    <row r="231" spans="1:103" s="1" customFormat="1" ht="29.4" customHeight="1">
      <c r="A231" s="46">
        <v>57</v>
      </c>
      <c r="B231" s="46">
        <v>3</v>
      </c>
      <c r="C231" s="46">
        <v>104</v>
      </c>
      <c r="D231" s="48"/>
      <c r="E231" s="48"/>
      <c r="F231" s="46"/>
      <c r="G231" s="317">
        <v>0</v>
      </c>
      <c r="H231" s="317" t="s">
        <v>1991</v>
      </c>
      <c r="I231" s="317" t="s">
        <v>1991</v>
      </c>
      <c r="J231" s="317"/>
      <c r="K231" s="317" t="s">
        <v>1991</v>
      </c>
      <c r="L231" s="317" t="s">
        <v>1991</v>
      </c>
      <c r="M231" s="317" t="s">
        <v>1991</v>
      </c>
      <c r="N231" s="317" t="s">
        <v>1991</v>
      </c>
      <c r="O231" s="317">
        <v>0</v>
      </c>
      <c r="P231" s="317">
        <v>0</v>
      </c>
      <c r="Q231" s="317" t="s">
        <v>1991</v>
      </c>
      <c r="R231" s="317" t="s">
        <v>1991</v>
      </c>
      <c r="S231" s="317" t="s">
        <v>1991</v>
      </c>
      <c r="T231" s="326" t="s">
        <v>1991</v>
      </c>
      <c r="U231" s="312" t="s">
        <v>1991</v>
      </c>
      <c r="V231" s="46">
        <v>0</v>
      </c>
      <c r="W231" s="324" t="s">
        <v>1991</v>
      </c>
      <c r="X231" s="324" t="s">
        <v>1991</v>
      </c>
      <c r="Y231" s="324" t="s">
        <v>1991</v>
      </c>
      <c r="Z231" s="46" t="s">
        <v>1991</v>
      </c>
      <c r="AA231" s="46" t="s">
        <v>1991</v>
      </c>
      <c r="AB231" s="46" t="s">
        <v>1991</v>
      </c>
      <c r="AC231" s="46" t="s">
        <v>1991</v>
      </c>
      <c r="AD231" s="46" t="s">
        <v>1991</v>
      </c>
      <c r="AE231" s="324" t="s">
        <v>1991</v>
      </c>
      <c r="AF231" s="324" t="s">
        <v>1991</v>
      </c>
      <c r="AG231" s="324">
        <v>0</v>
      </c>
      <c r="AH231" s="324">
        <v>0</v>
      </c>
      <c r="AI231" s="324" t="s">
        <v>1991</v>
      </c>
      <c r="AJ231" s="324">
        <v>0</v>
      </c>
      <c r="AK231" s="324">
        <v>0</v>
      </c>
      <c r="AL231" s="327"/>
      <c r="AM231" s="327"/>
      <c r="AN231" s="327"/>
      <c r="AO231" s="327"/>
      <c r="AP231" s="327"/>
      <c r="AQ231" s="327"/>
      <c r="AR231" s="327"/>
      <c r="AS231" s="327"/>
      <c r="AT231" s="327"/>
      <c r="AU231" s="327"/>
      <c r="AV231" s="327"/>
      <c r="AW231" s="327"/>
      <c r="AX231" s="327"/>
      <c r="AY231" s="327"/>
      <c r="AZ231" s="327"/>
      <c r="BA231" s="327"/>
      <c r="BB231" s="46">
        <f t="shared" si="90"/>
        <v>11</v>
      </c>
      <c r="BC231" s="46">
        <f t="shared" si="91"/>
        <v>11</v>
      </c>
      <c r="BD231" s="46">
        <f t="shared" si="89"/>
        <v>0</v>
      </c>
      <c r="BE231" s="46">
        <f t="shared" si="92"/>
        <v>0</v>
      </c>
      <c r="BF231" s="296">
        <f t="shared" si="93"/>
        <v>22</v>
      </c>
      <c r="BG231" s="2"/>
      <c r="BH231" s="2"/>
      <c r="BI231" s="2"/>
      <c r="BJ231" s="2"/>
      <c r="BK231" s="279">
        <f t="shared" si="94"/>
        <v>0</v>
      </c>
      <c r="BL231" s="279">
        <f t="shared" si="95"/>
        <v>22</v>
      </c>
      <c r="BM231" s="279"/>
      <c r="BN231" s="279"/>
      <c r="BO231" s="2">
        <f t="shared" si="96"/>
        <v>0</v>
      </c>
      <c r="BP231" s="430"/>
      <c r="BQ231" s="431"/>
      <c r="BR231" s="2"/>
      <c r="BS231" s="25"/>
      <c r="BT231" s="348">
        <f t="shared" si="64"/>
        <v>0</v>
      </c>
      <c r="BU231" s="2"/>
      <c r="BV231" s="282">
        <f t="shared" si="97"/>
        <v>0</v>
      </c>
      <c r="BW231" s="279">
        <v>0</v>
      </c>
      <c r="BX231" s="269">
        <f t="shared" si="98"/>
        <v>0</v>
      </c>
      <c r="BY231" s="349" t="e">
        <f t="shared" si="67"/>
        <v>#N/A</v>
      </c>
      <c r="BZ231" s="349" t="e">
        <f t="shared" si="68"/>
        <v>#N/A</v>
      </c>
      <c r="CA231" s="349" t="e">
        <f t="shared" si="69"/>
        <v>#N/A</v>
      </c>
      <c r="CB231" s="349" t="e">
        <f t="shared" si="70"/>
        <v>#N/A</v>
      </c>
      <c r="CC231" s="349" t="e">
        <f t="shared" si="99"/>
        <v>#N/A</v>
      </c>
      <c r="CD231" s="14" t="e">
        <f t="shared" si="100"/>
        <v>#N/A</v>
      </c>
      <c r="CE231" s="14">
        <f t="shared" si="101"/>
        <v>0</v>
      </c>
      <c r="CF231" s="25">
        <f t="shared" si="102"/>
        <v>0</v>
      </c>
      <c r="CG231" s="270"/>
      <c r="CH231" s="2"/>
      <c r="CL231" s="349"/>
      <c r="CM231" s="349"/>
      <c r="CN231" s="349"/>
      <c r="CO231" s="349"/>
      <c r="CP231" s="349"/>
      <c r="CQ231" s="14"/>
      <c r="CY231" s="2"/>
    </row>
    <row r="232" spans="1:103" s="1" customFormat="1" ht="29.4" customHeight="1">
      <c r="A232" s="46">
        <v>58</v>
      </c>
      <c r="B232" s="46">
        <v>3</v>
      </c>
      <c r="C232" s="46">
        <v>105</v>
      </c>
      <c r="D232" s="48"/>
      <c r="E232" s="48"/>
      <c r="F232" s="46"/>
      <c r="G232" s="317" t="s">
        <v>1991</v>
      </c>
      <c r="H232" s="317" t="s">
        <v>1991</v>
      </c>
      <c r="I232" s="317" t="s">
        <v>1991</v>
      </c>
      <c r="J232" s="317"/>
      <c r="K232" s="317" t="s">
        <v>1991</v>
      </c>
      <c r="L232" s="317" t="s">
        <v>1991</v>
      </c>
      <c r="M232" s="317" t="s">
        <v>1991</v>
      </c>
      <c r="N232" s="317" t="s">
        <v>1991</v>
      </c>
      <c r="O232" s="317" t="s">
        <v>1991</v>
      </c>
      <c r="P232" s="317" t="s">
        <v>1991</v>
      </c>
      <c r="Q232" s="317" t="s">
        <v>1991</v>
      </c>
      <c r="R232" s="317" t="s">
        <v>1991</v>
      </c>
      <c r="S232" s="317" t="s">
        <v>1991</v>
      </c>
      <c r="T232" s="326" t="s">
        <v>1991</v>
      </c>
      <c r="U232" s="312">
        <v>0</v>
      </c>
      <c r="V232" s="46" t="s">
        <v>1991</v>
      </c>
      <c r="W232" s="324" t="s">
        <v>1991</v>
      </c>
      <c r="X232" s="324" t="s">
        <v>1991</v>
      </c>
      <c r="Y232" s="324" t="s">
        <v>1991</v>
      </c>
      <c r="Z232" s="46" t="s">
        <v>1991</v>
      </c>
      <c r="AA232" s="46" t="s">
        <v>1991</v>
      </c>
      <c r="AB232" s="46" t="s">
        <v>1991</v>
      </c>
      <c r="AC232" s="46" t="s">
        <v>1991</v>
      </c>
      <c r="AD232" s="46" t="s">
        <v>1991</v>
      </c>
      <c r="AE232" s="324" t="s">
        <v>1991</v>
      </c>
      <c r="AF232" s="324">
        <v>0</v>
      </c>
      <c r="AG232" s="324" t="s">
        <v>1991</v>
      </c>
      <c r="AH232" s="324" t="s">
        <v>1991</v>
      </c>
      <c r="AI232" s="324" t="s">
        <v>1991</v>
      </c>
      <c r="AJ232" s="324" t="s">
        <v>1991</v>
      </c>
      <c r="AK232" s="324" t="s">
        <v>1991</v>
      </c>
      <c r="AL232" s="327"/>
      <c r="AM232" s="327"/>
      <c r="AN232" s="327"/>
      <c r="AO232" s="327"/>
      <c r="AP232" s="327"/>
      <c r="AQ232" s="327"/>
      <c r="AR232" s="327"/>
      <c r="AS232" s="327"/>
      <c r="AT232" s="327"/>
      <c r="AU232" s="327"/>
      <c r="AV232" s="327"/>
      <c r="AW232" s="327"/>
      <c r="AX232" s="327"/>
      <c r="AY232" s="327"/>
      <c r="AZ232" s="327"/>
      <c r="BA232" s="327"/>
      <c r="BB232" s="46">
        <f t="shared" si="90"/>
        <v>13</v>
      </c>
      <c r="BC232" s="46">
        <f t="shared" si="91"/>
        <v>15</v>
      </c>
      <c r="BD232" s="46">
        <f t="shared" si="89"/>
        <v>0</v>
      </c>
      <c r="BE232" s="46">
        <f t="shared" si="92"/>
        <v>0</v>
      </c>
      <c r="BF232" s="296">
        <f t="shared" si="93"/>
        <v>28</v>
      </c>
      <c r="BG232" s="2"/>
      <c r="BH232" s="2"/>
      <c r="BI232" s="2"/>
      <c r="BJ232" s="2"/>
      <c r="BK232" s="279">
        <f t="shared" si="94"/>
        <v>1</v>
      </c>
      <c r="BL232" s="279">
        <f t="shared" si="95"/>
        <v>28</v>
      </c>
      <c r="BM232" s="279"/>
      <c r="BN232" s="279"/>
      <c r="BO232" s="2">
        <f t="shared" si="96"/>
        <v>28</v>
      </c>
      <c r="BP232" s="430"/>
      <c r="BQ232" s="431"/>
      <c r="BR232" s="2"/>
      <c r="BS232" s="25"/>
      <c r="BT232" s="348">
        <f t="shared" si="64"/>
        <v>1</v>
      </c>
      <c r="BU232" s="2"/>
      <c r="BV232" s="282">
        <f t="shared" si="97"/>
        <v>0</v>
      </c>
      <c r="BW232" s="279">
        <v>0</v>
      </c>
      <c r="BX232" s="269">
        <f t="shared" si="98"/>
        <v>0</v>
      </c>
      <c r="BY232" s="349" t="e">
        <f t="shared" si="67"/>
        <v>#N/A</v>
      </c>
      <c r="BZ232" s="349" t="e">
        <f t="shared" si="68"/>
        <v>#N/A</v>
      </c>
      <c r="CA232" s="349" t="e">
        <f t="shared" si="69"/>
        <v>#N/A</v>
      </c>
      <c r="CB232" s="349" t="e">
        <f t="shared" si="70"/>
        <v>#N/A</v>
      </c>
      <c r="CC232" s="349" t="e">
        <f t="shared" si="99"/>
        <v>#N/A</v>
      </c>
      <c r="CD232" s="14" t="e">
        <f t="shared" si="100"/>
        <v>#N/A</v>
      </c>
      <c r="CE232" s="14">
        <f t="shared" si="101"/>
        <v>28</v>
      </c>
      <c r="CF232" s="25">
        <f t="shared" si="102"/>
        <v>1</v>
      </c>
      <c r="CG232" s="270"/>
      <c r="CH232" s="2"/>
      <c r="CL232" s="349"/>
      <c r="CM232" s="349"/>
      <c r="CN232" s="349"/>
      <c r="CO232" s="349"/>
      <c r="CP232" s="349"/>
      <c r="CQ232" s="14"/>
      <c r="CY232" s="2"/>
    </row>
    <row r="233" spans="1:103" s="1" customFormat="1" ht="29.4" customHeight="1">
      <c r="A233" s="46">
        <v>59</v>
      </c>
      <c r="B233" s="46">
        <v>3</v>
      </c>
      <c r="C233" s="46">
        <v>106</v>
      </c>
      <c r="D233" s="48"/>
      <c r="E233" s="48"/>
      <c r="F233" s="46"/>
      <c r="G233" s="317">
        <v>0</v>
      </c>
      <c r="H233" s="317" t="s">
        <v>1991</v>
      </c>
      <c r="I233" s="317" t="s">
        <v>1991</v>
      </c>
      <c r="J233" s="317"/>
      <c r="K233" s="317">
        <v>0</v>
      </c>
      <c r="L233" s="317" t="s">
        <v>1991</v>
      </c>
      <c r="M233" s="317">
        <v>0</v>
      </c>
      <c r="N233" s="317" t="s">
        <v>1991</v>
      </c>
      <c r="O233" s="317" t="s">
        <v>1991</v>
      </c>
      <c r="P233" s="317" t="s">
        <v>1991</v>
      </c>
      <c r="Q233" s="317" t="s">
        <v>1991</v>
      </c>
      <c r="R233" s="317" t="s">
        <v>1991</v>
      </c>
      <c r="S233" s="317" t="s">
        <v>1991</v>
      </c>
      <c r="T233" s="326" t="s">
        <v>1991</v>
      </c>
      <c r="U233" s="312" t="s">
        <v>1991</v>
      </c>
      <c r="V233" s="46" t="s">
        <v>1991</v>
      </c>
      <c r="W233" s="324">
        <v>0</v>
      </c>
      <c r="X233" s="324" t="s">
        <v>1991</v>
      </c>
      <c r="Y233" s="324" t="s">
        <v>1991</v>
      </c>
      <c r="Z233" s="46" t="s">
        <v>1991</v>
      </c>
      <c r="AA233" s="46" t="s">
        <v>1991</v>
      </c>
      <c r="AB233" s="46" t="s">
        <v>1991</v>
      </c>
      <c r="AC233" s="46" t="s">
        <v>1991</v>
      </c>
      <c r="AD233" s="46" t="s">
        <v>1991</v>
      </c>
      <c r="AE233" s="324" t="s">
        <v>1991</v>
      </c>
      <c r="AF233" s="324" t="s">
        <v>1991</v>
      </c>
      <c r="AG233" s="324" t="s">
        <v>1991</v>
      </c>
      <c r="AH233" s="324" t="s">
        <v>1991</v>
      </c>
      <c r="AI233" s="324" t="s">
        <v>1991</v>
      </c>
      <c r="AJ233" s="324" t="s">
        <v>1991</v>
      </c>
      <c r="AK233" s="324" t="s">
        <v>1991</v>
      </c>
      <c r="AL233" s="327"/>
      <c r="AM233" s="327"/>
      <c r="AN233" s="327"/>
      <c r="AO233" s="327"/>
      <c r="AP233" s="327" t="s">
        <v>1991</v>
      </c>
      <c r="AQ233" s="327"/>
      <c r="AR233" s="327"/>
      <c r="AS233" s="327"/>
      <c r="AT233" s="327"/>
      <c r="AU233" s="327"/>
      <c r="AV233" s="327"/>
      <c r="AW233" s="327"/>
      <c r="AX233" s="327"/>
      <c r="AY233" s="327"/>
      <c r="AZ233" s="327"/>
      <c r="BA233" s="327"/>
      <c r="BB233" s="46">
        <f t="shared" si="90"/>
        <v>11</v>
      </c>
      <c r="BC233" s="46">
        <f t="shared" si="91"/>
        <v>15</v>
      </c>
      <c r="BD233" s="46">
        <f t="shared" si="89"/>
        <v>1</v>
      </c>
      <c r="BE233" s="46">
        <f t="shared" si="92"/>
        <v>0</v>
      </c>
      <c r="BF233" s="296">
        <f t="shared" si="93"/>
        <v>26</v>
      </c>
      <c r="BG233" s="2"/>
      <c r="BH233" s="2"/>
      <c r="BI233" s="2"/>
      <c r="BJ233" s="2"/>
      <c r="BK233" s="279">
        <f t="shared" si="94"/>
        <v>1</v>
      </c>
      <c r="BL233" s="279">
        <f t="shared" si="95"/>
        <v>26</v>
      </c>
      <c r="BM233" s="279"/>
      <c r="BN233" s="279"/>
      <c r="BO233" s="2">
        <f t="shared" si="96"/>
        <v>26</v>
      </c>
      <c r="BP233" s="430"/>
      <c r="BQ233" s="431"/>
      <c r="BR233" s="2"/>
      <c r="BS233" s="25"/>
      <c r="BT233" s="348">
        <f t="shared" si="64"/>
        <v>1</v>
      </c>
      <c r="BU233" s="2"/>
      <c r="BV233" s="282">
        <f t="shared" si="97"/>
        <v>0</v>
      </c>
      <c r="BW233" s="279">
        <v>0</v>
      </c>
      <c r="BX233" s="269">
        <f t="shared" si="98"/>
        <v>0</v>
      </c>
      <c r="BY233" s="349" t="e">
        <f t="shared" si="67"/>
        <v>#N/A</v>
      </c>
      <c r="BZ233" s="349" t="e">
        <f t="shared" si="68"/>
        <v>#N/A</v>
      </c>
      <c r="CA233" s="349" t="e">
        <f t="shared" si="69"/>
        <v>#N/A</v>
      </c>
      <c r="CB233" s="349" t="e">
        <f t="shared" si="70"/>
        <v>#N/A</v>
      </c>
      <c r="CC233" s="349" t="e">
        <f t="shared" si="99"/>
        <v>#N/A</v>
      </c>
      <c r="CD233" s="14" t="e">
        <f t="shared" si="100"/>
        <v>#N/A</v>
      </c>
      <c r="CE233" s="14">
        <f t="shared" si="101"/>
        <v>26</v>
      </c>
      <c r="CF233" s="25">
        <f t="shared" si="102"/>
        <v>1</v>
      </c>
      <c r="CG233" s="270"/>
      <c r="CH233" s="2"/>
      <c r="CL233" s="349"/>
      <c r="CM233" s="349"/>
      <c r="CN233" s="349"/>
      <c r="CO233" s="349"/>
      <c r="CP233" s="349"/>
      <c r="CQ233" s="14"/>
      <c r="CY233" s="2"/>
    </row>
    <row r="234" spans="1:103" s="1" customFormat="1" ht="29.4" customHeight="1">
      <c r="A234" s="46">
        <v>60</v>
      </c>
      <c r="B234" s="46">
        <v>3</v>
      </c>
      <c r="C234" s="46">
        <v>107</v>
      </c>
      <c r="D234" s="48"/>
      <c r="E234" s="48"/>
      <c r="F234" s="46"/>
      <c r="G234" s="317" t="s">
        <v>1991</v>
      </c>
      <c r="H234" s="317" t="s">
        <v>1991</v>
      </c>
      <c r="I234" s="317">
        <v>0</v>
      </c>
      <c r="J234" s="317"/>
      <c r="K234" s="317">
        <v>0</v>
      </c>
      <c r="L234" s="317" t="s">
        <v>1991</v>
      </c>
      <c r="M234" s="317" t="s">
        <v>1991</v>
      </c>
      <c r="N234" s="317" t="s">
        <v>1991</v>
      </c>
      <c r="O234" s="317" t="s">
        <v>1991</v>
      </c>
      <c r="P234" s="317" t="s">
        <v>1991</v>
      </c>
      <c r="Q234" s="317" t="s">
        <v>1991</v>
      </c>
      <c r="R234" s="317" t="s">
        <v>1991</v>
      </c>
      <c r="S234" s="317" t="s">
        <v>1991</v>
      </c>
      <c r="T234" s="326" t="s">
        <v>1991</v>
      </c>
      <c r="U234" s="312" t="s">
        <v>1991</v>
      </c>
      <c r="V234" s="46" t="s">
        <v>1991</v>
      </c>
      <c r="W234" s="324" t="s">
        <v>1991</v>
      </c>
      <c r="X234" s="324" t="s">
        <v>1991</v>
      </c>
      <c r="Y234" s="324" t="s">
        <v>1991</v>
      </c>
      <c r="Z234" s="46" t="s">
        <v>1991</v>
      </c>
      <c r="AA234" s="46" t="s">
        <v>1991</v>
      </c>
      <c r="AB234" s="46" t="s">
        <v>1991</v>
      </c>
      <c r="AC234" s="46" t="s">
        <v>1991</v>
      </c>
      <c r="AD234" s="46" t="s">
        <v>1991</v>
      </c>
      <c r="AE234" s="324" t="s">
        <v>1991</v>
      </c>
      <c r="AF234" s="324">
        <v>0</v>
      </c>
      <c r="AG234" s="324" t="s">
        <v>1991</v>
      </c>
      <c r="AH234" s="324" t="s">
        <v>1991</v>
      </c>
      <c r="AI234" s="324" t="s">
        <v>1991</v>
      </c>
      <c r="AJ234" s="324" t="s">
        <v>1991</v>
      </c>
      <c r="AK234" s="324">
        <v>0</v>
      </c>
      <c r="AL234" s="327"/>
      <c r="AM234" s="327"/>
      <c r="AN234" s="327"/>
      <c r="AO234" s="327"/>
      <c r="AP234" s="327"/>
      <c r="AQ234" s="327"/>
      <c r="AR234" s="327"/>
      <c r="AS234" s="327"/>
      <c r="AT234" s="327"/>
      <c r="AU234" s="327"/>
      <c r="AV234" s="327"/>
      <c r="AW234" s="327"/>
      <c r="AX234" s="327"/>
      <c r="AY234" s="327"/>
      <c r="AZ234" s="327"/>
      <c r="BA234" s="327"/>
      <c r="BB234" s="46">
        <f t="shared" si="90"/>
        <v>12</v>
      </c>
      <c r="BC234" s="46">
        <f t="shared" si="91"/>
        <v>14</v>
      </c>
      <c r="BD234" s="46">
        <f t="shared" si="89"/>
        <v>0</v>
      </c>
      <c r="BE234" s="46">
        <f t="shared" si="92"/>
        <v>0</v>
      </c>
      <c r="BF234" s="296">
        <f t="shared" si="93"/>
        <v>26</v>
      </c>
      <c r="BG234" s="2"/>
      <c r="BH234" s="2"/>
      <c r="BI234" s="2"/>
      <c r="BJ234" s="2"/>
      <c r="BK234" s="279">
        <f t="shared" si="94"/>
        <v>1</v>
      </c>
      <c r="BL234" s="279">
        <f t="shared" si="95"/>
        <v>26</v>
      </c>
      <c r="BM234" s="279"/>
      <c r="BN234" s="279"/>
      <c r="BO234" s="2">
        <f t="shared" si="96"/>
        <v>26</v>
      </c>
      <c r="BP234" s="430"/>
      <c r="BQ234" s="431"/>
      <c r="BR234" s="2"/>
      <c r="BS234" s="25"/>
      <c r="BT234" s="348">
        <f t="shared" si="64"/>
        <v>1</v>
      </c>
      <c r="BU234" s="2"/>
      <c r="BV234" s="282">
        <f t="shared" si="97"/>
        <v>0</v>
      </c>
      <c r="BW234" s="279">
        <v>20000</v>
      </c>
      <c r="BX234" s="269">
        <f t="shared" si="98"/>
        <v>-0.15</v>
      </c>
      <c r="BY234" s="349" t="e">
        <f t="shared" si="67"/>
        <v>#N/A</v>
      </c>
      <c r="BZ234" s="349" t="e">
        <f t="shared" si="68"/>
        <v>#N/A</v>
      </c>
      <c r="CA234" s="349" t="e">
        <f t="shared" si="69"/>
        <v>#N/A</v>
      </c>
      <c r="CB234" s="349" t="e">
        <f t="shared" si="70"/>
        <v>#N/A</v>
      </c>
      <c r="CC234" s="349" t="e">
        <f t="shared" si="99"/>
        <v>#N/A</v>
      </c>
      <c r="CD234" s="14" t="e">
        <f t="shared" si="100"/>
        <v>#N/A</v>
      </c>
      <c r="CE234" s="14">
        <f t="shared" si="101"/>
        <v>26</v>
      </c>
      <c r="CF234" s="25">
        <f t="shared" si="102"/>
        <v>1</v>
      </c>
      <c r="CG234" s="270"/>
      <c r="CH234" s="2"/>
      <c r="CL234" s="349"/>
      <c r="CM234" s="349"/>
      <c r="CN234" s="349"/>
      <c r="CO234" s="349"/>
      <c r="CP234" s="349"/>
      <c r="CQ234" s="14"/>
      <c r="CY234" s="2"/>
    </row>
    <row r="235" spans="1:103" s="1" customFormat="1" ht="29.4" customHeight="1">
      <c r="A235" s="46">
        <v>61</v>
      </c>
      <c r="B235" s="46">
        <v>3</v>
      </c>
      <c r="C235" s="46">
        <v>108</v>
      </c>
      <c r="D235" s="48"/>
      <c r="E235" s="48"/>
      <c r="F235" s="46"/>
      <c r="G235" s="317" t="s">
        <v>1991</v>
      </c>
      <c r="H235" s="317" t="s">
        <v>1991</v>
      </c>
      <c r="I235" s="317" t="s">
        <v>1991</v>
      </c>
      <c r="J235" s="317"/>
      <c r="K235" s="317">
        <v>0</v>
      </c>
      <c r="L235" s="317" t="s">
        <v>1991</v>
      </c>
      <c r="M235" s="317" t="s">
        <v>1991</v>
      </c>
      <c r="N235" s="317" t="s">
        <v>1991</v>
      </c>
      <c r="O235" s="317" t="s">
        <v>1991</v>
      </c>
      <c r="P235" s="317" t="s">
        <v>1991</v>
      </c>
      <c r="Q235" s="317" t="s">
        <v>1991</v>
      </c>
      <c r="R235" s="317" t="s">
        <v>1991</v>
      </c>
      <c r="S235" s="317" t="s">
        <v>1991</v>
      </c>
      <c r="T235" s="326" t="s">
        <v>1991</v>
      </c>
      <c r="U235" s="312" t="s">
        <v>1991</v>
      </c>
      <c r="V235" s="46" t="s">
        <v>1991</v>
      </c>
      <c r="W235" s="324" t="s">
        <v>1991</v>
      </c>
      <c r="X235" s="324" t="s">
        <v>1991</v>
      </c>
      <c r="Y235" s="324" t="s">
        <v>1991</v>
      </c>
      <c r="Z235" s="46" t="s">
        <v>1991</v>
      </c>
      <c r="AA235" s="46" t="s">
        <v>1991</v>
      </c>
      <c r="AB235" s="46" t="s">
        <v>1991</v>
      </c>
      <c r="AC235" s="46" t="s">
        <v>1991</v>
      </c>
      <c r="AD235" s="46" t="s">
        <v>1991</v>
      </c>
      <c r="AE235" s="324" t="s">
        <v>1991</v>
      </c>
      <c r="AF235" s="324" t="s">
        <v>1991</v>
      </c>
      <c r="AG235" s="324" t="s">
        <v>1991</v>
      </c>
      <c r="AH235" s="324" t="s">
        <v>1991</v>
      </c>
      <c r="AI235" s="324" t="s">
        <v>1991</v>
      </c>
      <c r="AJ235" s="324" t="s">
        <v>1991</v>
      </c>
      <c r="AK235" s="324">
        <v>0</v>
      </c>
      <c r="AL235" s="327"/>
      <c r="AM235" s="327"/>
      <c r="AN235" s="327"/>
      <c r="AO235" s="327"/>
      <c r="AP235" s="327"/>
      <c r="AQ235" s="327"/>
      <c r="AR235" s="327"/>
      <c r="AS235" s="327"/>
      <c r="AT235" s="327"/>
      <c r="AU235" s="327"/>
      <c r="AV235" s="327"/>
      <c r="AW235" s="327"/>
      <c r="AX235" s="327"/>
      <c r="AY235" s="327"/>
      <c r="AZ235" s="327"/>
      <c r="BA235" s="327"/>
      <c r="BB235" s="46">
        <f t="shared" si="90"/>
        <v>13</v>
      </c>
      <c r="BC235" s="46">
        <f t="shared" si="91"/>
        <v>15</v>
      </c>
      <c r="BD235" s="46">
        <f t="shared" si="89"/>
        <v>0</v>
      </c>
      <c r="BE235" s="46">
        <f t="shared" si="92"/>
        <v>0</v>
      </c>
      <c r="BF235" s="296">
        <f t="shared" si="93"/>
        <v>28</v>
      </c>
      <c r="BG235" s="2"/>
      <c r="BH235" s="2"/>
      <c r="BI235" s="2"/>
      <c r="BJ235" s="2"/>
      <c r="BK235" s="279">
        <f t="shared" si="94"/>
        <v>1</v>
      </c>
      <c r="BL235" s="279">
        <f t="shared" si="95"/>
        <v>28</v>
      </c>
      <c r="BM235" s="279"/>
      <c r="BN235" s="279"/>
      <c r="BO235" s="2">
        <f t="shared" si="96"/>
        <v>28</v>
      </c>
      <c r="BP235" s="430"/>
      <c r="BQ235" s="431"/>
      <c r="BR235" s="2"/>
      <c r="BS235" s="25"/>
      <c r="BT235" s="348">
        <f t="shared" si="64"/>
        <v>1</v>
      </c>
      <c r="BU235" s="2"/>
      <c r="BV235" s="282">
        <f t="shared" si="97"/>
        <v>0</v>
      </c>
      <c r="BW235" s="279">
        <v>-20000</v>
      </c>
      <c r="BX235" s="269">
        <f t="shared" si="98"/>
        <v>0</v>
      </c>
      <c r="BY235" s="349" t="e">
        <f t="shared" si="67"/>
        <v>#N/A</v>
      </c>
      <c r="BZ235" s="349" t="e">
        <f t="shared" si="68"/>
        <v>#N/A</v>
      </c>
      <c r="CA235" s="349" t="e">
        <f t="shared" si="69"/>
        <v>#N/A</v>
      </c>
      <c r="CB235" s="349" t="e">
        <f t="shared" si="70"/>
        <v>#N/A</v>
      </c>
      <c r="CC235" s="349" t="e">
        <f t="shared" si="99"/>
        <v>#N/A</v>
      </c>
      <c r="CD235" s="14" t="e">
        <f t="shared" si="100"/>
        <v>#N/A</v>
      </c>
      <c r="CE235" s="14">
        <f t="shared" si="101"/>
        <v>28</v>
      </c>
      <c r="CF235" s="25">
        <f t="shared" si="102"/>
        <v>1</v>
      </c>
      <c r="CG235" s="270"/>
      <c r="CH235" s="2"/>
      <c r="CL235" s="349"/>
      <c r="CM235" s="349"/>
      <c r="CN235" s="349"/>
      <c r="CO235" s="349"/>
      <c r="CP235" s="349"/>
      <c r="CQ235" s="14"/>
      <c r="CY235" s="2"/>
    </row>
    <row r="236" spans="1:103" s="1" customFormat="1" ht="29.4" customHeight="1">
      <c r="A236" s="46">
        <v>62</v>
      </c>
      <c r="B236" s="46">
        <v>3</v>
      </c>
      <c r="C236" s="46">
        <v>109</v>
      </c>
      <c r="D236" s="48"/>
      <c r="E236" s="48"/>
      <c r="F236" s="46"/>
      <c r="G236" s="317">
        <v>0</v>
      </c>
      <c r="H236" s="317" t="s">
        <v>1991</v>
      </c>
      <c r="I236" s="317" t="s">
        <v>1991</v>
      </c>
      <c r="J236" s="317"/>
      <c r="K236" s="317">
        <v>0</v>
      </c>
      <c r="L236" s="317" t="s">
        <v>1991</v>
      </c>
      <c r="M236" s="317">
        <v>0</v>
      </c>
      <c r="N236" s="317" t="s">
        <v>1991</v>
      </c>
      <c r="O236" s="317" t="s">
        <v>1991</v>
      </c>
      <c r="P236" s="317" t="s">
        <v>1991</v>
      </c>
      <c r="Q236" s="317" t="s">
        <v>1991</v>
      </c>
      <c r="R236" s="317" t="s">
        <v>1991</v>
      </c>
      <c r="S236" s="317" t="s">
        <v>1991</v>
      </c>
      <c r="T236" s="326">
        <v>0</v>
      </c>
      <c r="U236" s="312" t="s">
        <v>1991</v>
      </c>
      <c r="V236" s="46" t="s">
        <v>1991</v>
      </c>
      <c r="W236" s="324" t="s">
        <v>1991</v>
      </c>
      <c r="X236" s="324" t="s">
        <v>1991</v>
      </c>
      <c r="Y236" s="324" t="s">
        <v>1991</v>
      </c>
      <c r="Z236" s="46" t="s">
        <v>1991</v>
      </c>
      <c r="AA236" s="46" t="s">
        <v>1991</v>
      </c>
      <c r="AB236" s="46" t="s">
        <v>1991</v>
      </c>
      <c r="AC236" s="46" t="s">
        <v>1991</v>
      </c>
      <c r="AD236" s="46" t="s">
        <v>1991</v>
      </c>
      <c r="AE236" s="324" t="s">
        <v>1991</v>
      </c>
      <c r="AF236" s="324" t="s">
        <v>1991</v>
      </c>
      <c r="AG236" s="324" t="s">
        <v>1991</v>
      </c>
      <c r="AH236" s="324" t="s">
        <v>1991</v>
      </c>
      <c r="AI236" s="324">
        <v>0</v>
      </c>
      <c r="AJ236" s="324">
        <v>0</v>
      </c>
      <c r="AK236" s="324">
        <v>0</v>
      </c>
      <c r="AL236" s="327"/>
      <c r="AM236" s="327"/>
      <c r="AN236" s="327"/>
      <c r="AO236" s="327"/>
      <c r="AP236" s="327"/>
      <c r="AQ236" s="327"/>
      <c r="AR236" s="327"/>
      <c r="AS236" s="327"/>
      <c r="AT236" s="327"/>
      <c r="AU236" s="327"/>
      <c r="AV236" s="327"/>
      <c r="AW236" s="327"/>
      <c r="AX236" s="327"/>
      <c r="AY236" s="327"/>
      <c r="AZ236" s="327"/>
      <c r="BA236" s="327"/>
      <c r="BB236" s="46">
        <f t="shared" si="90"/>
        <v>10</v>
      </c>
      <c r="BC236" s="46">
        <f t="shared" si="91"/>
        <v>13</v>
      </c>
      <c r="BD236" s="46">
        <f t="shared" si="89"/>
        <v>0</v>
      </c>
      <c r="BE236" s="46">
        <f t="shared" si="92"/>
        <v>0</v>
      </c>
      <c r="BF236" s="296">
        <f t="shared" si="93"/>
        <v>23</v>
      </c>
      <c r="BG236" s="2"/>
      <c r="BH236" s="2"/>
      <c r="BI236" s="2"/>
      <c r="BJ236" s="2"/>
      <c r="BK236" s="279">
        <f t="shared" si="94"/>
        <v>0</v>
      </c>
      <c r="BL236" s="279">
        <f t="shared" si="95"/>
        <v>23</v>
      </c>
      <c r="BM236" s="279"/>
      <c r="BN236" s="279"/>
      <c r="BO236" s="2">
        <f t="shared" si="96"/>
        <v>0</v>
      </c>
      <c r="BP236" s="430"/>
      <c r="BQ236" s="431"/>
      <c r="BR236" s="2"/>
      <c r="BS236" s="25"/>
      <c r="BT236" s="348">
        <f t="shared" si="64"/>
        <v>0</v>
      </c>
      <c r="BU236" s="2"/>
      <c r="BV236" s="282">
        <f t="shared" si="97"/>
        <v>0</v>
      </c>
      <c r="BW236" s="279">
        <v>-20000</v>
      </c>
      <c r="BX236" s="269">
        <f t="shared" si="98"/>
        <v>0</v>
      </c>
      <c r="BY236" s="349" t="e">
        <f t="shared" si="67"/>
        <v>#N/A</v>
      </c>
      <c r="BZ236" s="349" t="e">
        <f t="shared" si="68"/>
        <v>#N/A</v>
      </c>
      <c r="CA236" s="349" t="e">
        <f t="shared" si="69"/>
        <v>#N/A</v>
      </c>
      <c r="CB236" s="349" t="e">
        <f t="shared" si="70"/>
        <v>#N/A</v>
      </c>
      <c r="CC236" s="349" t="e">
        <f t="shared" si="99"/>
        <v>#N/A</v>
      </c>
      <c r="CD236" s="14" t="e">
        <f t="shared" si="100"/>
        <v>#N/A</v>
      </c>
      <c r="CE236" s="14">
        <f t="shared" si="101"/>
        <v>0</v>
      </c>
      <c r="CF236" s="25">
        <f t="shared" si="102"/>
        <v>0</v>
      </c>
      <c r="CG236" s="270"/>
      <c r="CH236" s="2"/>
      <c r="CL236" s="349"/>
      <c r="CM236" s="349"/>
      <c r="CN236" s="349"/>
      <c r="CO236" s="349"/>
      <c r="CP236" s="349"/>
      <c r="CQ236" s="14"/>
      <c r="CY236" s="2"/>
    </row>
    <row r="237" spans="1:103" s="1" customFormat="1" ht="29.4" customHeight="1">
      <c r="A237" s="46">
        <v>63</v>
      </c>
      <c r="B237" s="46">
        <v>3</v>
      </c>
      <c r="C237" s="46">
        <v>110</v>
      </c>
      <c r="D237" s="48"/>
      <c r="E237" s="48"/>
      <c r="F237" s="46"/>
      <c r="G237" s="317">
        <v>0</v>
      </c>
      <c r="H237" s="317" t="s">
        <v>1991</v>
      </c>
      <c r="I237" s="317" t="s">
        <v>1991</v>
      </c>
      <c r="J237" s="317"/>
      <c r="K237" s="317">
        <v>0</v>
      </c>
      <c r="L237" s="317" t="s">
        <v>1991</v>
      </c>
      <c r="M237" s="317">
        <v>0</v>
      </c>
      <c r="N237" s="317" t="s">
        <v>1991</v>
      </c>
      <c r="O237" s="317" t="s">
        <v>1991</v>
      </c>
      <c r="P237" s="317" t="s">
        <v>1991</v>
      </c>
      <c r="Q237" s="317" t="s">
        <v>1991</v>
      </c>
      <c r="R237" s="317" t="s">
        <v>1991</v>
      </c>
      <c r="S237" s="317" t="s">
        <v>1991</v>
      </c>
      <c r="T237" s="326">
        <v>0</v>
      </c>
      <c r="U237" s="312" t="s">
        <v>1991</v>
      </c>
      <c r="V237" s="46" t="s">
        <v>1991</v>
      </c>
      <c r="W237" s="324" t="s">
        <v>1991</v>
      </c>
      <c r="X237" s="324" t="s">
        <v>1991</v>
      </c>
      <c r="Y237" s="324" t="s">
        <v>1991</v>
      </c>
      <c r="Z237" s="46" t="s">
        <v>1991</v>
      </c>
      <c r="AA237" s="46" t="s">
        <v>1991</v>
      </c>
      <c r="AB237" s="46" t="s">
        <v>1991</v>
      </c>
      <c r="AC237" s="46" t="s">
        <v>1991</v>
      </c>
      <c r="AD237" s="46" t="s">
        <v>1991</v>
      </c>
      <c r="AE237" s="324" t="s">
        <v>1991</v>
      </c>
      <c r="AF237" s="324" t="s">
        <v>1991</v>
      </c>
      <c r="AG237" s="324" t="s">
        <v>1991</v>
      </c>
      <c r="AH237" s="324">
        <v>0</v>
      </c>
      <c r="AI237" s="324">
        <v>0</v>
      </c>
      <c r="AJ237" s="324">
        <v>0</v>
      </c>
      <c r="AK237" s="324">
        <v>0</v>
      </c>
      <c r="AL237" s="327"/>
      <c r="AM237" s="327"/>
      <c r="AN237" s="327"/>
      <c r="AO237" s="327"/>
      <c r="AP237" s="327"/>
      <c r="AQ237" s="327"/>
      <c r="AR237" s="327"/>
      <c r="AS237" s="327"/>
      <c r="AT237" s="327"/>
      <c r="AU237" s="327"/>
      <c r="AV237" s="327"/>
      <c r="AW237" s="327"/>
      <c r="AX237" s="327"/>
      <c r="AY237" s="327"/>
      <c r="AZ237" s="327"/>
      <c r="BA237" s="327"/>
      <c r="BB237" s="46">
        <f t="shared" si="90"/>
        <v>10</v>
      </c>
      <c r="BC237" s="46">
        <f t="shared" si="91"/>
        <v>12</v>
      </c>
      <c r="BD237" s="46">
        <f t="shared" si="89"/>
        <v>0</v>
      </c>
      <c r="BE237" s="46">
        <f t="shared" si="92"/>
        <v>0</v>
      </c>
      <c r="BF237" s="296">
        <f t="shared" si="93"/>
        <v>22</v>
      </c>
      <c r="BG237" s="2"/>
      <c r="BH237" s="2"/>
      <c r="BI237" s="2"/>
      <c r="BJ237" s="2"/>
      <c r="BK237" s="279">
        <f t="shared" si="94"/>
        <v>0</v>
      </c>
      <c r="BL237" s="279">
        <f t="shared" si="95"/>
        <v>22</v>
      </c>
      <c r="BM237" s="279"/>
      <c r="BN237" s="279"/>
      <c r="BO237" s="2">
        <f t="shared" si="96"/>
        <v>0</v>
      </c>
      <c r="BP237" s="430"/>
      <c r="BQ237" s="431"/>
      <c r="BR237" s="2"/>
      <c r="BS237" s="25"/>
      <c r="BT237" s="348">
        <f t="shared" si="64"/>
        <v>0</v>
      </c>
      <c r="BU237" s="2"/>
      <c r="BV237" s="282">
        <f t="shared" si="97"/>
        <v>0</v>
      </c>
      <c r="BW237" s="279">
        <v>-20000</v>
      </c>
      <c r="BX237" s="269">
        <f t="shared" si="98"/>
        <v>0</v>
      </c>
      <c r="BY237" s="349" t="e">
        <f t="shared" si="67"/>
        <v>#N/A</v>
      </c>
      <c r="BZ237" s="349" t="e">
        <f t="shared" si="68"/>
        <v>#N/A</v>
      </c>
      <c r="CA237" s="349" t="e">
        <f t="shared" si="69"/>
        <v>#N/A</v>
      </c>
      <c r="CB237" s="349" t="e">
        <f t="shared" si="70"/>
        <v>#N/A</v>
      </c>
      <c r="CC237" s="349" t="e">
        <f t="shared" si="99"/>
        <v>#N/A</v>
      </c>
      <c r="CD237" s="14" t="e">
        <f t="shared" si="100"/>
        <v>#N/A</v>
      </c>
      <c r="CE237" s="14">
        <f t="shared" si="101"/>
        <v>0</v>
      </c>
      <c r="CF237" s="25">
        <f t="shared" si="102"/>
        <v>0</v>
      </c>
      <c r="CG237" s="270"/>
      <c r="CH237" s="2"/>
      <c r="CL237" s="349"/>
      <c r="CM237" s="349"/>
      <c r="CN237" s="349"/>
      <c r="CO237" s="349"/>
      <c r="CP237" s="349"/>
      <c r="CQ237" s="14"/>
      <c r="CY237" s="2"/>
    </row>
    <row r="238" spans="1:103" s="1" customFormat="1" ht="29.4" customHeight="1">
      <c r="A238" s="46">
        <v>64</v>
      </c>
      <c r="B238" s="46">
        <v>3</v>
      </c>
      <c r="C238" s="46">
        <v>111</v>
      </c>
      <c r="D238" s="48"/>
      <c r="E238" s="48"/>
      <c r="F238" s="46"/>
      <c r="G238" s="317">
        <v>0</v>
      </c>
      <c r="H238" s="317" t="s">
        <v>1991</v>
      </c>
      <c r="I238" s="317" t="s">
        <v>1991</v>
      </c>
      <c r="J238" s="317"/>
      <c r="K238" s="317">
        <v>0</v>
      </c>
      <c r="L238" s="317">
        <v>0</v>
      </c>
      <c r="M238" s="317" t="s">
        <v>1991</v>
      </c>
      <c r="N238" s="317" t="s">
        <v>1991</v>
      </c>
      <c r="O238" s="317" t="s">
        <v>1991</v>
      </c>
      <c r="P238" s="317" t="s">
        <v>1991</v>
      </c>
      <c r="Q238" s="317" t="s">
        <v>1991</v>
      </c>
      <c r="R238" s="317" t="s">
        <v>1991</v>
      </c>
      <c r="S238" s="317" t="s">
        <v>1991</v>
      </c>
      <c r="T238" s="326" t="s">
        <v>1991</v>
      </c>
      <c r="U238" s="312" t="s">
        <v>1991</v>
      </c>
      <c r="V238" s="46">
        <v>0</v>
      </c>
      <c r="W238" s="324" t="s">
        <v>1991</v>
      </c>
      <c r="X238" s="324" t="s">
        <v>1991</v>
      </c>
      <c r="Y238" s="324" t="s">
        <v>1991</v>
      </c>
      <c r="Z238" s="46" t="s">
        <v>1991</v>
      </c>
      <c r="AA238" s="46" t="s">
        <v>1991</v>
      </c>
      <c r="AB238" s="46" t="s">
        <v>1991</v>
      </c>
      <c r="AC238" s="46" t="s">
        <v>1991</v>
      </c>
      <c r="AD238" s="46" t="s">
        <v>1991</v>
      </c>
      <c r="AE238" s="324" t="s">
        <v>1991</v>
      </c>
      <c r="AF238" s="324">
        <v>0</v>
      </c>
      <c r="AG238" s="324" t="s">
        <v>1991</v>
      </c>
      <c r="AH238" s="324" t="s">
        <v>1991</v>
      </c>
      <c r="AI238" s="324" t="s">
        <v>1991</v>
      </c>
      <c r="AJ238" s="324" t="s">
        <v>1991</v>
      </c>
      <c r="AK238" s="324" t="s">
        <v>1991</v>
      </c>
      <c r="AL238" s="327"/>
      <c r="AM238" s="327"/>
      <c r="AN238" s="327"/>
      <c r="AO238" s="327"/>
      <c r="AP238" s="327"/>
      <c r="AQ238" s="327"/>
      <c r="AR238" s="327"/>
      <c r="AS238" s="327"/>
      <c r="AT238" s="327"/>
      <c r="AU238" s="327"/>
      <c r="AV238" s="327"/>
      <c r="AW238" s="327"/>
      <c r="AX238" s="327"/>
      <c r="AY238" s="327"/>
      <c r="AZ238" s="327"/>
      <c r="BA238" s="327"/>
      <c r="BB238" s="46">
        <f t="shared" si="90"/>
        <v>11</v>
      </c>
      <c r="BC238" s="46">
        <f t="shared" si="91"/>
        <v>14</v>
      </c>
      <c r="BD238" s="46">
        <f t="shared" si="89"/>
        <v>0</v>
      </c>
      <c r="BE238" s="46">
        <f t="shared" si="92"/>
        <v>0</v>
      </c>
      <c r="BF238" s="296">
        <f t="shared" si="93"/>
        <v>25</v>
      </c>
      <c r="BG238" s="2"/>
      <c r="BH238" s="2"/>
      <c r="BI238" s="2"/>
      <c r="BJ238" s="2"/>
      <c r="BK238" s="279">
        <f t="shared" si="94"/>
        <v>0</v>
      </c>
      <c r="BL238" s="279">
        <f t="shared" si="95"/>
        <v>25</v>
      </c>
      <c r="BM238" s="279"/>
      <c r="BN238" s="279"/>
      <c r="BO238" s="2">
        <f t="shared" si="96"/>
        <v>0</v>
      </c>
      <c r="BP238" s="430"/>
      <c r="BQ238" s="431"/>
      <c r="BR238" s="2"/>
      <c r="BS238" s="25"/>
      <c r="BT238" s="348">
        <f t="shared" si="64"/>
        <v>0</v>
      </c>
      <c r="BU238" s="2"/>
      <c r="BV238" s="282">
        <f t="shared" si="97"/>
        <v>0</v>
      </c>
      <c r="BW238" s="279">
        <v>-20000</v>
      </c>
      <c r="BX238" s="269">
        <f t="shared" si="98"/>
        <v>0</v>
      </c>
      <c r="BY238" s="349" t="e">
        <f t="shared" si="67"/>
        <v>#N/A</v>
      </c>
      <c r="BZ238" s="349" t="e">
        <f t="shared" si="68"/>
        <v>#N/A</v>
      </c>
      <c r="CA238" s="349" t="e">
        <f t="shared" si="69"/>
        <v>#N/A</v>
      </c>
      <c r="CB238" s="349" t="e">
        <f t="shared" si="70"/>
        <v>#N/A</v>
      </c>
      <c r="CC238" s="349" t="e">
        <f t="shared" si="99"/>
        <v>#N/A</v>
      </c>
      <c r="CD238" s="14" t="e">
        <f t="shared" si="100"/>
        <v>#N/A</v>
      </c>
      <c r="CE238" s="14">
        <f t="shared" si="101"/>
        <v>0</v>
      </c>
      <c r="CF238" s="25">
        <f t="shared" si="102"/>
        <v>0</v>
      </c>
      <c r="CG238" s="270"/>
      <c r="CH238" s="2"/>
      <c r="CL238" s="349"/>
      <c r="CM238" s="349"/>
      <c r="CN238" s="349"/>
      <c r="CO238" s="349"/>
      <c r="CP238" s="349"/>
      <c r="CQ238" s="14"/>
      <c r="CY238" s="2"/>
    </row>
    <row r="239" spans="1:103" s="1" customFormat="1" ht="29.4" customHeight="1">
      <c r="A239" s="46">
        <v>65</v>
      </c>
      <c r="B239" s="46">
        <v>3</v>
      </c>
      <c r="C239" s="46">
        <v>112</v>
      </c>
      <c r="D239" s="48"/>
      <c r="E239" s="48"/>
      <c r="F239" s="46"/>
      <c r="G239" s="317">
        <v>0</v>
      </c>
      <c r="H239" s="317" t="s">
        <v>1991</v>
      </c>
      <c r="I239" s="317" t="s">
        <v>1991</v>
      </c>
      <c r="J239" s="317"/>
      <c r="K239" s="317">
        <v>0</v>
      </c>
      <c r="L239" s="317">
        <v>0</v>
      </c>
      <c r="M239" s="317" t="s">
        <v>1991</v>
      </c>
      <c r="N239" s="317" t="s">
        <v>1991</v>
      </c>
      <c r="O239" s="317" t="s">
        <v>1991</v>
      </c>
      <c r="P239" s="317" t="s">
        <v>1991</v>
      </c>
      <c r="Q239" s="317" t="s">
        <v>1991</v>
      </c>
      <c r="R239" s="317" t="s">
        <v>1991</v>
      </c>
      <c r="S239" s="317" t="s">
        <v>1991</v>
      </c>
      <c r="T239" s="326" t="s">
        <v>1991</v>
      </c>
      <c r="U239" s="312" t="s">
        <v>1991</v>
      </c>
      <c r="V239" s="46">
        <v>0</v>
      </c>
      <c r="W239" s="324" t="s">
        <v>1991</v>
      </c>
      <c r="X239" s="324" t="s">
        <v>1991</v>
      </c>
      <c r="Y239" s="324" t="s">
        <v>1991</v>
      </c>
      <c r="Z239" s="46" t="s">
        <v>1991</v>
      </c>
      <c r="AA239" s="46" t="s">
        <v>1991</v>
      </c>
      <c r="AB239" s="46" t="s">
        <v>1991</v>
      </c>
      <c r="AC239" s="46" t="s">
        <v>1991</v>
      </c>
      <c r="AD239" s="46" t="s">
        <v>1991</v>
      </c>
      <c r="AE239" s="324" t="s">
        <v>1991</v>
      </c>
      <c r="AF239" s="324" t="s">
        <v>1991</v>
      </c>
      <c r="AG239" s="324" t="s">
        <v>1991</v>
      </c>
      <c r="AH239" s="324" t="s">
        <v>1991</v>
      </c>
      <c r="AI239" s="324" t="s">
        <v>1991</v>
      </c>
      <c r="AJ239" s="324" t="s">
        <v>1991</v>
      </c>
      <c r="AK239" s="324" t="s">
        <v>1991</v>
      </c>
      <c r="AL239" s="327"/>
      <c r="AM239" s="327"/>
      <c r="AN239" s="327"/>
      <c r="AO239" s="327"/>
      <c r="AP239" s="327"/>
      <c r="AQ239" s="327"/>
      <c r="AR239" s="327"/>
      <c r="AS239" s="327"/>
      <c r="AT239" s="327"/>
      <c r="AU239" s="327"/>
      <c r="AV239" s="327"/>
      <c r="AW239" s="327"/>
      <c r="AX239" s="327"/>
      <c r="AY239" s="327"/>
      <c r="AZ239" s="327"/>
      <c r="BA239" s="327"/>
      <c r="BB239" s="46">
        <f t="shared" si="90"/>
        <v>11</v>
      </c>
      <c r="BC239" s="46">
        <f t="shared" si="91"/>
        <v>15</v>
      </c>
      <c r="BD239" s="46">
        <f t="shared" si="89"/>
        <v>0</v>
      </c>
      <c r="BE239" s="46">
        <f t="shared" si="92"/>
        <v>0</v>
      </c>
      <c r="BF239" s="296">
        <f t="shared" si="93"/>
        <v>26</v>
      </c>
      <c r="BG239" s="2"/>
      <c r="BH239" s="2"/>
      <c r="BI239" s="2"/>
      <c r="BJ239" s="2"/>
      <c r="BK239" s="279">
        <f t="shared" si="94"/>
        <v>1</v>
      </c>
      <c r="BL239" s="279">
        <f t="shared" si="95"/>
        <v>26</v>
      </c>
      <c r="BM239" s="279"/>
      <c r="BN239" s="279"/>
      <c r="BO239" s="2">
        <f t="shared" si="96"/>
        <v>26</v>
      </c>
      <c r="BP239" s="430"/>
      <c r="BQ239" s="431"/>
      <c r="BR239" s="2"/>
      <c r="BS239" s="25"/>
      <c r="BT239" s="348">
        <f t="shared" ref="BT239:BT302" si="103">IF(BF239&gt;=26,1,0)</f>
        <v>1</v>
      </c>
      <c r="BU239" s="2"/>
      <c r="BV239" s="282">
        <f t="shared" si="97"/>
        <v>0</v>
      </c>
      <c r="BW239" s="279">
        <v>-20000</v>
      </c>
      <c r="BX239" s="269">
        <f t="shared" si="98"/>
        <v>0</v>
      </c>
      <c r="BY239" s="349" t="e">
        <f t="shared" si="67"/>
        <v>#N/A</v>
      </c>
      <c r="BZ239" s="349" t="e">
        <f t="shared" si="68"/>
        <v>#N/A</v>
      </c>
      <c r="CA239" s="349" t="e">
        <f t="shared" si="69"/>
        <v>#N/A</v>
      </c>
      <c r="CB239" s="349" t="e">
        <f t="shared" si="70"/>
        <v>#N/A</v>
      </c>
      <c r="CC239" s="349" t="e">
        <f t="shared" si="99"/>
        <v>#N/A</v>
      </c>
      <c r="CD239" s="14" t="e">
        <f t="shared" si="100"/>
        <v>#N/A</v>
      </c>
      <c r="CE239" s="14">
        <f t="shared" si="101"/>
        <v>26</v>
      </c>
      <c r="CF239" s="25">
        <f t="shared" si="102"/>
        <v>1</v>
      </c>
      <c r="CG239" s="270"/>
      <c r="CH239" s="2"/>
      <c r="CL239" s="349"/>
      <c r="CM239" s="349"/>
      <c r="CN239" s="349"/>
      <c r="CO239" s="349"/>
      <c r="CP239" s="349"/>
      <c r="CQ239" s="14"/>
      <c r="CY239" s="2"/>
    </row>
    <row r="240" spans="1:103" s="1" customFormat="1" ht="29.4" customHeight="1">
      <c r="A240" s="46">
        <v>66</v>
      </c>
      <c r="B240" s="46">
        <v>3</v>
      </c>
      <c r="C240" s="46">
        <v>113</v>
      </c>
      <c r="D240" s="48"/>
      <c r="E240" s="48"/>
      <c r="F240" s="46"/>
      <c r="G240" s="317" t="s">
        <v>1991</v>
      </c>
      <c r="H240" s="317" t="s">
        <v>1991</v>
      </c>
      <c r="I240" s="317" t="s">
        <v>1991</v>
      </c>
      <c r="J240" s="317"/>
      <c r="K240" s="317">
        <v>0</v>
      </c>
      <c r="L240" s="317" t="s">
        <v>1991</v>
      </c>
      <c r="M240" s="317" t="s">
        <v>1991</v>
      </c>
      <c r="N240" s="317" t="s">
        <v>1991</v>
      </c>
      <c r="O240" s="317" t="s">
        <v>1991</v>
      </c>
      <c r="P240" s="317" t="s">
        <v>1991</v>
      </c>
      <c r="Q240" s="317">
        <v>0</v>
      </c>
      <c r="R240" s="317" t="s">
        <v>1991</v>
      </c>
      <c r="S240" s="317" t="s">
        <v>1991</v>
      </c>
      <c r="T240" s="326" t="s">
        <v>1991</v>
      </c>
      <c r="U240" s="312">
        <v>0</v>
      </c>
      <c r="V240" s="46" t="s">
        <v>1991</v>
      </c>
      <c r="W240" s="324" t="s">
        <v>1991</v>
      </c>
      <c r="X240" s="324" t="s">
        <v>1991</v>
      </c>
      <c r="Y240" s="324" t="s">
        <v>1991</v>
      </c>
      <c r="Z240" s="46" t="s">
        <v>1991</v>
      </c>
      <c r="AA240" s="46">
        <v>0</v>
      </c>
      <c r="AB240" s="46" t="s">
        <v>1991</v>
      </c>
      <c r="AC240" s="46" t="s">
        <v>1991</v>
      </c>
      <c r="AD240" s="46" t="s">
        <v>1991</v>
      </c>
      <c r="AE240" s="324" t="s">
        <v>1991</v>
      </c>
      <c r="AF240" s="324" t="s">
        <v>1991</v>
      </c>
      <c r="AG240" s="324" t="s">
        <v>1991</v>
      </c>
      <c r="AH240" s="324" t="s">
        <v>1991</v>
      </c>
      <c r="AI240" s="324" t="s">
        <v>1991</v>
      </c>
      <c r="AJ240" s="324" t="s">
        <v>1991</v>
      </c>
      <c r="AK240" s="324" t="s">
        <v>1991</v>
      </c>
      <c r="AL240" s="327"/>
      <c r="AM240" s="327"/>
      <c r="AN240" s="327"/>
      <c r="AO240" s="327"/>
      <c r="AP240" s="327"/>
      <c r="AQ240" s="327"/>
      <c r="AR240" s="327"/>
      <c r="AS240" s="327"/>
      <c r="AT240" s="327"/>
      <c r="AU240" s="327"/>
      <c r="AV240" s="327"/>
      <c r="AW240" s="327"/>
      <c r="AX240" s="327"/>
      <c r="AY240" s="327"/>
      <c r="AZ240" s="327"/>
      <c r="BA240" s="327"/>
      <c r="BB240" s="46">
        <f t="shared" si="90"/>
        <v>11</v>
      </c>
      <c r="BC240" s="46">
        <f t="shared" si="91"/>
        <v>15</v>
      </c>
      <c r="BD240" s="46">
        <f t="shared" si="89"/>
        <v>0</v>
      </c>
      <c r="BE240" s="46">
        <f t="shared" si="92"/>
        <v>0</v>
      </c>
      <c r="BF240" s="296">
        <f t="shared" si="93"/>
        <v>26</v>
      </c>
      <c r="BG240" s="2"/>
      <c r="BH240" s="2"/>
      <c r="BI240" s="2"/>
      <c r="BJ240" s="2"/>
      <c r="BK240" s="279">
        <f t="shared" si="94"/>
        <v>1</v>
      </c>
      <c r="BL240" s="279">
        <f t="shared" si="95"/>
        <v>26</v>
      </c>
      <c r="BM240" s="279"/>
      <c r="BN240" s="279"/>
      <c r="BO240" s="2">
        <f t="shared" si="96"/>
        <v>26</v>
      </c>
      <c r="BP240" s="430"/>
      <c r="BQ240" s="431"/>
      <c r="BR240" s="2"/>
      <c r="BS240" s="25"/>
      <c r="BT240" s="348">
        <f t="shared" si="103"/>
        <v>1</v>
      </c>
      <c r="BU240" s="2"/>
      <c r="BV240" s="282">
        <f t="shared" si="97"/>
        <v>0</v>
      </c>
      <c r="BW240" s="279">
        <v>0</v>
      </c>
      <c r="BX240" s="269">
        <f t="shared" si="98"/>
        <v>0</v>
      </c>
      <c r="BY240" s="349" t="e">
        <f t="shared" si="67"/>
        <v>#N/A</v>
      </c>
      <c r="BZ240" s="349" t="e">
        <f t="shared" si="68"/>
        <v>#N/A</v>
      </c>
      <c r="CA240" s="349" t="e">
        <f t="shared" si="69"/>
        <v>#N/A</v>
      </c>
      <c r="CB240" s="349" t="e">
        <f t="shared" si="70"/>
        <v>#N/A</v>
      </c>
      <c r="CC240" s="349" t="e">
        <f t="shared" si="99"/>
        <v>#N/A</v>
      </c>
      <c r="CD240" s="14" t="e">
        <f t="shared" si="100"/>
        <v>#N/A</v>
      </c>
      <c r="CE240" s="14">
        <f t="shared" si="101"/>
        <v>26</v>
      </c>
      <c r="CF240" s="25">
        <f t="shared" si="102"/>
        <v>1</v>
      </c>
      <c r="CG240" s="270"/>
      <c r="CH240" s="2"/>
      <c r="CL240" s="349"/>
      <c r="CM240" s="349"/>
      <c r="CN240" s="349"/>
      <c r="CO240" s="349"/>
      <c r="CP240" s="349"/>
      <c r="CQ240" s="14"/>
      <c r="CY240" s="2"/>
    </row>
    <row r="241" spans="1:103" s="1" customFormat="1" ht="29.4" customHeight="1">
      <c r="A241" s="46">
        <v>67</v>
      </c>
      <c r="B241" s="46">
        <v>3</v>
      </c>
      <c r="C241" s="46">
        <v>114</v>
      </c>
      <c r="D241" s="48"/>
      <c r="E241" s="48"/>
      <c r="F241" s="46"/>
      <c r="G241" s="317" t="s">
        <v>1991</v>
      </c>
      <c r="H241" s="317" t="s">
        <v>1991</v>
      </c>
      <c r="I241" s="317" t="s">
        <v>1991</v>
      </c>
      <c r="J241" s="317"/>
      <c r="K241" s="317">
        <v>0</v>
      </c>
      <c r="L241" s="317">
        <v>0</v>
      </c>
      <c r="M241" s="317" t="s">
        <v>1991</v>
      </c>
      <c r="N241" s="317" t="s">
        <v>1991</v>
      </c>
      <c r="O241" s="317" t="s">
        <v>1991</v>
      </c>
      <c r="P241" s="317" t="s">
        <v>1991</v>
      </c>
      <c r="Q241" s="317" t="s">
        <v>1991</v>
      </c>
      <c r="R241" s="317" t="s">
        <v>1991</v>
      </c>
      <c r="S241" s="317" t="s">
        <v>1991</v>
      </c>
      <c r="T241" s="326" t="s">
        <v>1991</v>
      </c>
      <c r="U241" s="312" t="s">
        <v>1991</v>
      </c>
      <c r="V241" s="46" t="s">
        <v>1991</v>
      </c>
      <c r="W241" s="324" t="s">
        <v>1991</v>
      </c>
      <c r="X241" s="324" t="s">
        <v>1991</v>
      </c>
      <c r="Y241" s="324" t="s">
        <v>1991</v>
      </c>
      <c r="Z241" s="46" t="s">
        <v>1991</v>
      </c>
      <c r="AA241" s="46" t="s">
        <v>1991</v>
      </c>
      <c r="AB241" s="46" t="s">
        <v>1991</v>
      </c>
      <c r="AC241" s="46" t="s">
        <v>1991</v>
      </c>
      <c r="AD241" s="46" t="s">
        <v>1991</v>
      </c>
      <c r="AE241" s="324" t="s">
        <v>1991</v>
      </c>
      <c r="AF241" s="324" t="s">
        <v>1991</v>
      </c>
      <c r="AG241" s="324" t="s">
        <v>1991</v>
      </c>
      <c r="AH241" s="324" t="s">
        <v>1991</v>
      </c>
      <c r="AI241" s="324" t="s">
        <v>1991</v>
      </c>
      <c r="AJ241" s="324" t="s">
        <v>1991</v>
      </c>
      <c r="AK241" s="324" t="s">
        <v>1991</v>
      </c>
      <c r="AL241" s="327"/>
      <c r="AM241" s="327"/>
      <c r="AN241" s="327"/>
      <c r="AO241" s="327"/>
      <c r="AP241" s="327"/>
      <c r="AQ241" s="327"/>
      <c r="AR241" s="327"/>
      <c r="AS241" s="327"/>
      <c r="AT241" s="327"/>
      <c r="AU241" s="327"/>
      <c r="AV241" s="327"/>
      <c r="AW241" s="327"/>
      <c r="AX241" s="327"/>
      <c r="AY241" s="327"/>
      <c r="AZ241" s="327"/>
      <c r="BA241" s="327"/>
      <c r="BB241" s="46">
        <f t="shared" si="90"/>
        <v>12</v>
      </c>
      <c r="BC241" s="46">
        <f t="shared" si="91"/>
        <v>16</v>
      </c>
      <c r="BD241" s="46">
        <f t="shared" si="89"/>
        <v>0</v>
      </c>
      <c r="BE241" s="46">
        <f t="shared" si="92"/>
        <v>0</v>
      </c>
      <c r="BF241" s="296">
        <f t="shared" si="93"/>
        <v>28</v>
      </c>
      <c r="BG241" s="2"/>
      <c r="BH241" s="2"/>
      <c r="BI241" s="2"/>
      <c r="BJ241" s="2"/>
      <c r="BK241" s="279">
        <f t="shared" si="94"/>
        <v>1</v>
      </c>
      <c r="BL241" s="279">
        <f t="shared" si="95"/>
        <v>28</v>
      </c>
      <c r="BM241" s="279"/>
      <c r="BN241" s="279"/>
      <c r="BO241" s="2">
        <f t="shared" si="96"/>
        <v>28</v>
      </c>
      <c r="BP241" s="430"/>
      <c r="BQ241" s="431"/>
      <c r="BR241" s="2"/>
      <c r="BS241" s="25"/>
      <c r="BT241" s="348">
        <f t="shared" si="103"/>
        <v>1</v>
      </c>
      <c r="BU241" s="2"/>
      <c r="BV241" s="282">
        <f t="shared" si="97"/>
        <v>0</v>
      </c>
      <c r="BW241" s="279">
        <v>0</v>
      </c>
      <c r="BX241" s="269">
        <f t="shared" si="98"/>
        <v>0</v>
      </c>
      <c r="BY241" s="349" t="e">
        <f t="shared" si="67"/>
        <v>#N/A</v>
      </c>
      <c r="BZ241" s="349" t="e">
        <f t="shared" si="68"/>
        <v>#N/A</v>
      </c>
      <c r="CA241" s="349" t="e">
        <f t="shared" si="69"/>
        <v>#N/A</v>
      </c>
      <c r="CB241" s="349" t="e">
        <f t="shared" si="70"/>
        <v>#N/A</v>
      </c>
      <c r="CC241" s="349" t="e">
        <f t="shared" si="99"/>
        <v>#N/A</v>
      </c>
      <c r="CD241" s="14" t="e">
        <f t="shared" si="100"/>
        <v>#N/A</v>
      </c>
      <c r="CE241" s="14">
        <f t="shared" si="101"/>
        <v>28</v>
      </c>
      <c r="CF241" s="25">
        <f t="shared" si="102"/>
        <v>1</v>
      </c>
      <c r="CG241" s="270"/>
      <c r="CH241" s="2"/>
      <c r="CL241" s="349"/>
      <c r="CM241" s="349"/>
      <c r="CN241" s="349"/>
      <c r="CO241" s="349"/>
      <c r="CP241" s="349"/>
      <c r="CQ241" s="14"/>
      <c r="CY241" s="2"/>
    </row>
    <row r="242" spans="1:103" s="1" customFormat="1" ht="29.4" customHeight="1">
      <c r="A242" s="46">
        <v>68</v>
      </c>
      <c r="B242" s="46">
        <v>3</v>
      </c>
      <c r="C242" s="46">
        <v>115</v>
      </c>
      <c r="D242" s="48"/>
      <c r="E242" s="48"/>
      <c r="F242" s="46"/>
      <c r="G242" s="317" t="s">
        <v>1991</v>
      </c>
      <c r="H242" s="317" t="s">
        <v>1991</v>
      </c>
      <c r="I242" s="317" t="s">
        <v>1991</v>
      </c>
      <c r="J242" s="317"/>
      <c r="K242" s="317" t="s">
        <v>1991</v>
      </c>
      <c r="L242" s="317" t="s">
        <v>1991</v>
      </c>
      <c r="M242" s="317">
        <v>0</v>
      </c>
      <c r="N242" s="317" t="s">
        <v>1991</v>
      </c>
      <c r="O242" s="317" t="s">
        <v>1991</v>
      </c>
      <c r="P242" s="317" t="s">
        <v>1991</v>
      </c>
      <c r="Q242" s="317" t="s">
        <v>1991</v>
      </c>
      <c r="R242" s="317" t="s">
        <v>1991</v>
      </c>
      <c r="S242" s="317" t="s">
        <v>1991</v>
      </c>
      <c r="T242" s="326" t="s">
        <v>1991</v>
      </c>
      <c r="U242" s="312" t="s">
        <v>1991</v>
      </c>
      <c r="V242" s="46" t="s">
        <v>1991</v>
      </c>
      <c r="W242" s="324" t="s">
        <v>1991</v>
      </c>
      <c r="X242" s="324" t="s">
        <v>1991</v>
      </c>
      <c r="Y242" s="324" t="s">
        <v>1991</v>
      </c>
      <c r="Z242" s="46" t="s">
        <v>1991</v>
      </c>
      <c r="AA242" s="46" t="s">
        <v>1991</v>
      </c>
      <c r="AB242" s="46" t="s">
        <v>1991</v>
      </c>
      <c r="AC242" s="46" t="s">
        <v>1991</v>
      </c>
      <c r="AD242" s="46" t="s">
        <v>1991</v>
      </c>
      <c r="AE242" s="324" t="s">
        <v>1991</v>
      </c>
      <c r="AF242" s="324">
        <v>0</v>
      </c>
      <c r="AG242" s="324" t="s">
        <v>1991</v>
      </c>
      <c r="AH242" s="324" t="s">
        <v>1991</v>
      </c>
      <c r="AI242" s="324" t="s">
        <v>1991</v>
      </c>
      <c r="AJ242" s="324" t="s">
        <v>1991</v>
      </c>
      <c r="AK242" s="324" t="s">
        <v>1991</v>
      </c>
      <c r="AL242" s="327"/>
      <c r="AM242" s="327"/>
      <c r="AN242" s="327"/>
      <c r="AO242" s="327"/>
      <c r="AP242" s="327"/>
      <c r="AQ242" s="327"/>
      <c r="AR242" s="327"/>
      <c r="AS242" s="327"/>
      <c r="AT242" s="327"/>
      <c r="AU242" s="327"/>
      <c r="AV242" s="327"/>
      <c r="AW242" s="327"/>
      <c r="AX242" s="327"/>
      <c r="AY242" s="327"/>
      <c r="AZ242" s="327"/>
      <c r="BA242" s="327"/>
      <c r="BB242" s="46">
        <f t="shared" si="90"/>
        <v>13</v>
      </c>
      <c r="BC242" s="46">
        <f t="shared" si="91"/>
        <v>15</v>
      </c>
      <c r="BD242" s="46">
        <f t="shared" si="89"/>
        <v>0</v>
      </c>
      <c r="BE242" s="46">
        <f t="shared" si="92"/>
        <v>0</v>
      </c>
      <c r="BF242" s="296">
        <f t="shared" si="93"/>
        <v>28</v>
      </c>
      <c r="BG242" s="2"/>
      <c r="BH242" s="2"/>
      <c r="BI242" s="2"/>
      <c r="BJ242" s="2"/>
      <c r="BK242" s="279">
        <f t="shared" si="94"/>
        <v>1</v>
      </c>
      <c r="BL242" s="279">
        <f t="shared" si="95"/>
        <v>28</v>
      </c>
      <c r="BM242" s="279"/>
      <c r="BN242" s="279"/>
      <c r="BO242" s="2">
        <f t="shared" si="96"/>
        <v>28</v>
      </c>
      <c r="BP242" s="430"/>
      <c r="BQ242" s="431"/>
      <c r="BR242" s="2"/>
      <c r="BS242" s="25"/>
      <c r="BT242" s="348">
        <f t="shared" si="103"/>
        <v>1</v>
      </c>
      <c r="BU242" s="2"/>
      <c r="BV242" s="282">
        <f t="shared" si="97"/>
        <v>0</v>
      </c>
      <c r="BW242" s="279">
        <v>20000</v>
      </c>
      <c r="BX242" s="269">
        <f t="shared" si="98"/>
        <v>-0.15</v>
      </c>
      <c r="BY242" s="349" t="e">
        <f t="shared" si="67"/>
        <v>#N/A</v>
      </c>
      <c r="BZ242" s="349" t="e">
        <f t="shared" si="68"/>
        <v>#N/A</v>
      </c>
      <c r="CA242" s="349" t="e">
        <f t="shared" si="69"/>
        <v>#N/A</v>
      </c>
      <c r="CB242" s="349" t="e">
        <f t="shared" si="70"/>
        <v>#N/A</v>
      </c>
      <c r="CC242" s="349" t="e">
        <f t="shared" si="99"/>
        <v>#N/A</v>
      </c>
      <c r="CD242" s="14" t="e">
        <f t="shared" si="100"/>
        <v>#N/A</v>
      </c>
      <c r="CE242" s="14">
        <f t="shared" si="101"/>
        <v>28</v>
      </c>
      <c r="CF242" s="25">
        <f t="shared" si="102"/>
        <v>1</v>
      </c>
      <c r="CG242" s="270"/>
      <c r="CH242" s="2"/>
      <c r="CL242" s="349"/>
      <c r="CM242" s="349"/>
      <c r="CN242" s="349"/>
      <c r="CO242" s="349"/>
      <c r="CP242" s="349"/>
      <c r="CQ242" s="14"/>
      <c r="CY242" s="2"/>
    </row>
    <row r="243" spans="1:103" s="1" customFormat="1" ht="29.4" customHeight="1">
      <c r="A243" s="46">
        <v>69</v>
      </c>
      <c r="B243" s="46">
        <v>3</v>
      </c>
      <c r="C243" s="46">
        <v>116</v>
      </c>
      <c r="D243" s="48"/>
      <c r="E243" s="48"/>
      <c r="F243" s="46"/>
      <c r="G243" s="317" t="s">
        <v>1991</v>
      </c>
      <c r="H243" s="317" t="s">
        <v>1991</v>
      </c>
      <c r="I243" s="317" t="s">
        <v>1991</v>
      </c>
      <c r="J243" s="317"/>
      <c r="K243" s="317" t="s">
        <v>1991</v>
      </c>
      <c r="L243" s="317" t="s">
        <v>1991</v>
      </c>
      <c r="M243" s="317">
        <v>0</v>
      </c>
      <c r="N243" s="317" t="s">
        <v>1991</v>
      </c>
      <c r="O243" s="317" t="s">
        <v>1991</v>
      </c>
      <c r="P243" s="317" t="s">
        <v>1991</v>
      </c>
      <c r="Q243" s="317" t="s">
        <v>1991</v>
      </c>
      <c r="R243" s="317" t="s">
        <v>1991</v>
      </c>
      <c r="S243" s="317" t="s">
        <v>1991</v>
      </c>
      <c r="T243" s="326" t="s">
        <v>1991</v>
      </c>
      <c r="U243" s="312" t="s">
        <v>1991</v>
      </c>
      <c r="V243" s="46" t="s">
        <v>1991</v>
      </c>
      <c r="W243" s="324" t="s">
        <v>1991</v>
      </c>
      <c r="X243" s="324" t="s">
        <v>1991</v>
      </c>
      <c r="Y243" s="324" t="s">
        <v>1991</v>
      </c>
      <c r="Z243" s="46" t="s">
        <v>1991</v>
      </c>
      <c r="AA243" s="46">
        <v>0</v>
      </c>
      <c r="AB243" s="46" t="s">
        <v>1991</v>
      </c>
      <c r="AC243" s="46" t="s">
        <v>1991</v>
      </c>
      <c r="AD243" s="46" t="s">
        <v>1991</v>
      </c>
      <c r="AE243" s="324" t="s">
        <v>1991</v>
      </c>
      <c r="AF243" s="324" t="s">
        <v>1991</v>
      </c>
      <c r="AG243" s="324" t="s">
        <v>1991</v>
      </c>
      <c r="AH243" s="324" t="s">
        <v>1991</v>
      </c>
      <c r="AI243" s="324" t="s">
        <v>1991</v>
      </c>
      <c r="AJ243" s="324" t="s">
        <v>1991</v>
      </c>
      <c r="AK243" s="324" t="s">
        <v>1991</v>
      </c>
      <c r="AL243" s="327"/>
      <c r="AM243" s="327"/>
      <c r="AN243" s="327"/>
      <c r="AO243" s="327"/>
      <c r="AP243" s="327"/>
      <c r="AQ243" s="327"/>
      <c r="AR243" s="327"/>
      <c r="AS243" s="327"/>
      <c r="AT243" s="327"/>
      <c r="AU243" s="327"/>
      <c r="AV243" s="327"/>
      <c r="AW243" s="327"/>
      <c r="AX243" s="327"/>
      <c r="AY243" s="327"/>
      <c r="AZ243" s="327"/>
      <c r="BA243" s="327"/>
      <c r="BB243" s="46">
        <f t="shared" si="90"/>
        <v>13</v>
      </c>
      <c r="BC243" s="46">
        <f t="shared" si="91"/>
        <v>15</v>
      </c>
      <c r="BD243" s="46">
        <f t="shared" si="89"/>
        <v>0</v>
      </c>
      <c r="BE243" s="46">
        <f t="shared" si="92"/>
        <v>0</v>
      </c>
      <c r="BF243" s="296">
        <f t="shared" si="93"/>
        <v>28</v>
      </c>
      <c r="BG243" s="2"/>
      <c r="BH243" s="2"/>
      <c r="BI243" s="2"/>
      <c r="BJ243" s="2"/>
      <c r="BK243" s="279">
        <f t="shared" si="94"/>
        <v>1</v>
      </c>
      <c r="BL243" s="279">
        <f t="shared" si="95"/>
        <v>28</v>
      </c>
      <c r="BM243" s="279"/>
      <c r="BN243" s="279"/>
      <c r="BO243" s="2">
        <f t="shared" si="96"/>
        <v>28</v>
      </c>
      <c r="BP243" s="430"/>
      <c r="BQ243" s="431"/>
      <c r="BR243" s="2"/>
      <c r="BS243" s="25"/>
      <c r="BT243" s="348">
        <f t="shared" si="103"/>
        <v>1</v>
      </c>
      <c r="BU243" s="2"/>
      <c r="BV243" s="282">
        <f t="shared" si="97"/>
        <v>0</v>
      </c>
      <c r="BW243" s="279">
        <v>0</v>
      </c>
      <c r="BX243" s="269">
        <f t="shared" si="98"/>
        <v>0</v>
      </c>
      <c r="BY243" s="349" t="e">
        <f t="shared" si="67"/>
        <v>#N/A</v>
      </c>
      <c r="BZ243" s="349" t="e">
        <f t="shared" si="68"/>
        <v>#N/A</v>
      </c>
      <c r="CA243" s="349" t="e">
        <f t="shared" si="69"/>
        <v>#N/A</v>
      </c>
      <c r="CB243" s="349" t="e">
        <f t="shared" si="70"/>
        <v>#N/A</v>
      </c>
      <c r="CC243" s="349" t="e">
        <f t="shared" si="99"/>
        <v>#N/A</v>
      </c>
      <c r="CD243" s="14" t="e">
        <f t="shared" si="100"/>
        <v>#N/A</v>
      </c>
      <c r="CE243" s="14">
        <f t="shared" si="101"/>
        <v>28</v>
      </c>
      <c r="CF243" s="25">
        <f t="shared" si="102"/>
        <v>1</v>
      </c>
      <c r="CG243" s="270"/>
      <c r="CH243" s="2"/>
      <c r="CL243" s="349"/>
      <c r="CM243" s="349"/>
      <c r="CN243" s="349"/>
      <c r="CO243" s="349"/>
      <c r="CP243" s="349"/>
      <c r="CQ243" s="14"/>
      <c r="CY243" s="2"/>
    </row>
    <row r="244" spans="1:103" s="1" customFormat="1" ht="29.4" customHeight="1">
      <c r="A244" s="46">
        <v>70</v>
      </c>
      <c r="B244" s="46">
        <v>3</v>
      </c>
      <c r="C244" s="46">
        <v>117</v>
      </c>
      <c r="D244" s="48"/>
      <c r="E244" s="48"/>
      <c r="F244" s="46"/>
      <c r="G244" s="317" t="s">
        <v>1991</v>
      </c>
      <c r="H244" s="317" t="s">
        <v>1991</v>
      </c>
      <c r="I244" s="317" t="s">
        <v>1991</v>
      </c>
      <c r="J244" s="317"/>
      <c r="K244" s="317">
        <v>0</v>
      </c>
      <c r="L244" s="317" t="s">
        <v>1991</v>
      </c>
      <c r="M244" s="317" t="s">
        <v>1991</v>
      </c>
      <c r="N244" s="317" t="s">
        <v>1991</v>
      </c>
      <c r="O244" s="317" t="s">
        <v>1991</v>
      </c>
      <c r="P244" s="317" t="s">
        <v>1991</v>
      </c>
      <c r="Q244" s="317" t="s">
        <v>1991</v>
      </c>
      <c r="R244" s="317" t="s">
        <v>1991</v>
      </c>
      <c r="S244" s="317" t="s">
        <v>1991</v>
      </c>
      <c r="T244" s="326" t="s">
        <v>1991</v>
      </c>
      <c r="U244" s="312" t="s">
        <v>1991</v>
      </c>
      <c r="V244" s="46" t="s">
        <v>1991</v>
      </c>
      <c r="W244" s="324" t="s">
        <v>1991</v>
      </c>
      <c r="X244" s="324" t="s">
        <v>1991</v>
      </c>
      <c r="Y244" s="324" t="s">
        <v>1991</v>
      </c>
      <c r="Z244" s="46" t="s">
        <v>1991</v>
      </c>
      <c r="AA244" s="46" t="s">
        <v>1991</v>
      </c>
      <c r="AB244" s="46" t="s">
        <v>1991</v>
      </c>
      <c r="AC244" s="46" t="s">
        <v>1991</v>
      </c>
      <c r="AD244" s="46" t="s">
        <v>1991</v>
      </c>
      <c r="AE244" s="324" t="s">
        <v>1991</v>
      </c>
      <c r="AF244" s="324">
        <v>0</v>
      </c>
      <c r="AG244" s="324" t="s">
        <v>1991</v>
      </c>
      <c r="AH244" s="324" t="s">
        <v>1991</v>
      </c>
      <c r="AI244" s="324" t="s">
        <v>1991</v>
      </c>
      <c r="AJ244" s="324" t="s">
        <v>1991</v>
      </c>
      <c r="AK244" s="324" t="s">
        <v>1991</v>
      </c>
      <c r="AL244" s="327"/>
      <c r="AM244" s="327"/>
      <c r="AN244" s="327"/>
      <c r="AO244" s="327"/>
      <c r="AP244" s="327"/>
      <c r="AQ244" s="327"/>
      <c r="AR244" s="327"/>
      <c r="AS244" s="327" t="s">
        <v>1991</v>
      </c>
      <c r="AT244" s="327"/>
      <c r="AU244" s="327"/>
      <c r="AV244" s="327"/>
      <c r="AW244" s="327"/>
      <c r="AX244" s="327"/>
      <c r="AY244" s="327"/>
      <c r="AZ244" s="327"/>
      <c r="BA244" s="327"/>
      <c r="BB244" s="46">
        <f t="shared" si="90"/>
        <v>13</v>
      </c>
      <c r="BC244" s="46">
        <f t="shared" si="91"/>
        <v>15</v>
      </c>
      <c r="BD244" s="46">
        <f t="shared" si="89"/>
        <v>1</v>
      </c>
      <c r="BE244" s="46">
        <f t="shared" si="92"/>
        <v>0</v>
      </c>
      <c r="BF244" s="296">
        <f t="shared" si="93"/>
        <v>28</v>
      </c>
      <c r="BG244" s="2"/>
      <c r="BH244" s="2"/>
      <c r="BI244" s="2"/>
      <c r="BJ244" s="2"/>
      <c r="BK244" s="279">
        <f t="shared" si="94"/>
        <v>1</v>
      </c>
      <c r="BL244" s="279">
        <f t="shared" si="95"/>
        <v>28</v>
      </c>
      <c r="BM244" s="279"/>
      <c r="BN244" s="279"/>
      <c r="BO244" s="2">
        <f t="shared" si="96"/>
        <v>28</v>
      </c>
      <c r="BP244" s="430"/>
      <c r="BQ244" s="431"/>
      <c r="BR244" s="2"/>
      <c r="BS244" s="25"/>
      <c r="BT244" s="348">
        <f t="shared" si="103"/>
        <v>1</v>
      </c>
      <c r="BU244" s="2"/>
      <c r="BV244" s="282">
        <f t="shared" si="97"/>
        <v>0</v>
      </c>
      <c r="BW244" s="279">
        <v>0</v>
      </c>
      <c r="BX244" s="269">
        <f t="shared" si="98"/>
        <v>0</v>
      </c>
      <c r="BY244" s="349" t="e">
        <f t="shared" si="67"/>
        <v>#N/A</v>
      </c>
      <c r="BZ244" s="349" t="e">
        <f t="shared" si="68"/>
        <v>#N/A</v>
      </c>
      <c r="CA244" s="349" t="e">
        <f t="shared" si="69"/>
        <v>#N/A</v>
      </c>
      <c r="CB244" s="349" t="e">
        <f t="shared" si="70"/>
        <v>#N/A</v>
      </c>
      <c r="CC244" s="349" t="e">
        <f t="shared" si="99"/>
        <v>#N/A</v>
      </c>
      <c r="CD244" s="14" t="e">
        <f t="shared" si="100"/>
        <v>#N/A</v>
      </c>
      <c r="CE244" s="14">
        <f t="shared" si="101"/>
        <v>28</v>
      </c>
      <c r="CF244" s="25">
        <f t="shared" si="102"/>
        <v>1</v>
      </c>
      <c r="CG244" s="270"/>
      <c r="CH244" s="2"/>
      <c r="CL244" s="349"/>
      <c r="CM244" s="349"/>
      <c r="CN244" s="349"/>
      <c r="CO244" s="349"/>
      <c r="CP244" s="349"/>
      <c r="CQ244" s="14"/>
      <c r="CY244" s="2"/>
    </row>
    <row r="245" spans="1:103" s="1" customFormat="1" ht="29.4" customHeight="1">
      <c r="A245" s="46">
        <v>71</v>
      </c>
      <c r="B245" s="46">
        <v>3</v>
      </c>
      <c r="C245" s="46">
        <v>118</v>
      </c>
      <c r="D245" s="48"/>
      <c r="E245" s="48"/>
      <c r="F245" s="46"/>
      <c r="G245" s="317" t="s">
        <v>1991</v>
      </c>
      <c r="H245" s="317" t="s">
        <v>1991</v>
      </c>
      <c r="I245" s="317" t="s">
        <v>1991</v>
      </c>
      <c r="J245" s="317"/>
      <c r="K245" s="317" t="s">
        <v>1991</v>
      </c>
      <c r="L245" s="317" t="s">
        <v>1991</v>
      </c>
      <c r="M245" s="317">
        <v>0</v>
      </c>
      <c r="N245" s="317" t="s">
        <v>1991</v>
      </c>
      <c r="O245" s="317" t="s">
        <v>1991</v>
      </c>
      <c r="P245" s="317">
        <v>0</v>
      </c>
      <c r="Q245" s="317" t="s">
        <v>1991</v>
      </c>
      <c r="R245" s="317" t="s">
        <v>1991</v>
      </c>
      <c r="S245" s="317" t="s">
        <v>1991</v>
      </c>
      <c r="T245" s="326" t="s">
        <v>1991</v>
      </c>
      <c r="U245" s="312" t="s">
        <v>1991</v>
      </c>
      <c r="V245" s="46" t="s">
        <v>1991</v>
      </c>
      <c r="W245" s="324" t="s">
        <v>1991</v>
      </c>
      <c r="X245" s="324" t="s">
        <v>1991</v>
      </c>
      <c r="Y245" s="324" t="s">
        <v>1991</v>
      </c>
      <c r="Z245" s="46" t="s">
        <v>1991</v>
      </c>
      <c r="AA245" s="46">
        <v>0</v>
      </c>
      <c r="AB245" s="46" t="s">
        <v>1991</v>
      </c>
      <c r="AC245" s="46" t="s">
        <v>1991</v>
      </c>
      <c r="AD245" s="46" t="s">
        <v>1991</v>
      </c>
      <c r="AE245" s="324" t="s">
        <v>1991</v>
      </c>
      <c r="AF245" s="324" t="s">
        <v>1991</v>
      </c>
      <c r="AG245" s="324" t="s">
        <v>1991</v>
      </c>
      <c r="AH245" s="324" t="s">
        <v>1991</v>
      </c>
      <c r="AI245" s="324" t="s">
        <v>1991</v>
      </c>
      <c r="AJ245" s="324" t="s">
        <v>1991</v>
      </c>
      <c r="AK245" s="324" t="s">
        <v>1991</v>
      </c>
      <c r="AL245" s="327"/>
      <c r="AM245" s="327"/>
      <c r="AN245" s="327"/>
      <c r="AO245" s="327"/>
      <c r="AP245" s="327"/>
      <c r="AQ245" s="327"/>
      <c r="AR245" s="327"/>
      <c r="AS245" s="327"/>
      <c r="AT245" s="327"/>
      <c r="AU245" s="327"/>
      <c r="AV245" s="327"/>
      <c r="AW245" s="327"/>
      <c r="AX245" s="327"/>
      <c r="AY245" s="327"/>
      <c r="AZ245" s="327"/>
      <c r="BA245" s="327"/>
      <c r="BB245" s="46">
        <f t="shared" si="90"/>
        <v>12</v>
      </c>
      <c r="BC245" s="46">
        <f t="shared" si="91"/>
        <v>15</v>
      </c>
      <c r="BD245" s="46">
        <f t="shared" si="89"/>
        <v>0</v>
      </c>
      <c r="BE245" s="46">
        <f t="shared" si="92"/>
        <v>0</v>
      </c>
      <c r="BF245" s="296">
        <f t="shared" si="93"/>
        <v>27</v>
      </c>
      <c r="BG245" s="2"/>
      <c r="BH245" s="2"/>
      <c r="BI245" s="2"/>
      <c r="BJ245" s="2"/>
      <c r="BK245" s="279">
        <f t="shared" si="94"/>
        <v>1</v>
      </c>
      <c r="BL245" s="279">
        <f t="shared" si="95"/>
        <v>27</v>
      </c>
      <c r="BM245" s="279"/>
      <c r="BN245" s="279"/>
      <c r="BO245" s="2">
        <f t="shared" si="96"/>
        <v>27</v>
      </c>
      <c r="BP245" s="430"/>
      <c r="BQ245" s="431"/>
      <c r="BR245" s="2"/>
      <c r="BS245" s="25"/>
      <c r="BT245" s="348">
        <f t="shared" si="103"/>
        <v>1</v>
      </c>
      <c r="BU245" s="2"/>
      <c r="BV245" s="282">
        <f t="shared" si="97"/>
        <v>0</v>
      </c>
      <c r="BW245" s="279">
        <v>0</v>
      </c>
      <c r="BX245" s="269">
        <f t="shared" si="98"/>
        <v>0</v>
      </c>
      <c r="BY245" s="349" t="e">
        <f t="shared" si="67"/>
        <v>#N/A</v>
      </c>
      <c r="BZ245" s="349" t="e">
        <f t="shared" si="68"/>
        <v>#N/A</v>
      </c>
      <c r="CA245" s="349" t="e">
        <f t="shared" si="69"/>
        <v>#N/A</v>
      </c>
      <c r="CB245" s="349" t="e">
        <f t="shared" si="70"/>
        <v>#N/A</v>
      </c>
      <c r="CC245" s="349" t="e">
        <f t="shared" si="99"/>
        <v>#N/A</v>
      </c>
      <c r="CD245" s="14" t="e">
        <f t="shared" si="100"/>
        <v>#N/A</v>
      </c>
      <c r="CE245" s="14">
        <f t="shared" si="101"/>
        <v>27</v>
      </c>
      <c r="CF245" s="25">
        <f t="shared" si="102"/>
        <v>1</v>
      </c>
      <c r="CG245" s="270"/>
      <c r="CH245" s="2"/>
      <c r="CL245" s="349"/>
      <c r="CM245" s="349"/>
      <c r="CN245" s="349"/>
      <c r="CO245" s="349"/>
      <c r="CP245" s="349"/>
      <c r="CQ245" s="14"/>
      <c r="CY245" s="2"/>
    </row>
    <row r="246" spans="1:103" s="1" customFormat="1" ht="29.4" customHeight="1">
      <c r="A246" s="46">
        <v>72</v>
      </c>
      <c r="B246" s="46">
        <v>3</v>
      </c>
      <c r="C246" s="46">
        <v>119</v>
      </c>
      <c r="D246" s="48"/>
      <c r="E246" s="48"/>
      <c r="F246" s="46"/>
      <c r="G246" s="317" t="s">
        <v>1991</v>
      </c>
      <c r="H246" s="317" t="s">
        <v>1991</v>
      </c>
      <c r="I246" s="317" t="s">
        <v>1991</v>
      </c>
      <c r="J246" s="317"/>
      <c r="K246" s="317" t="s">
        <v>1991</v>
      </c>
      <c r="L246" s="317" t="s">
        <v>1991</v>
      </c>
      <c r="M246" s="317" t="s">
        <v>1991</v>
      </c>
      <c r="N246" s="317" t="s">
        <v>1991</v>
      </c>
      <c r="O246" s="317" t="s">
        <v>1991</v>
      </c>
      <c r="P246" s="317" t="s">
        <v>1991</v>
      </c>
      <c r="Q246" s="317" t="s">
        <v>1991</v>
      </c>
      <c r="R246" s="317" t="s">
        <v>1991</v>
      </c>
      <c r="S246" s="317" t="s">
        <v>1991</v>
      </c>
      <c r="T246" s="326" t="s">
        <v>1991</v>
      </c>
      <c r="U246" s="312" t="s">
        <v>1991</v>
      </c>
      <c r="V246" s="46" t="s">
        <v>1991</v>
      </c>
      <c r="W246" s="324" t="s">
        <v>1991</v>
      </c>
      <c r="X246" s="324">
        <v>0</v>
      </c>
      <c r="Y246" s="324" t="s">
        <v>1991</v>
      </c>
      <c r="Z246" s="46" t="s">
        <v>1991</v>
      </c>
      <c r="AA246" s="46" t="s">
        <v>1991</v>
      </c>
      <c r="AB246" s="46" t="s">
        <v>1991</v>
      </c>
      <c r="AC246" s="46" t="s">
        <v>1991</v>
      </c>
      <c r="AD246" s="46" t="s">
        <v>1991</v>
      </c>
      <c r="AE246" s="324" t="s">
        <v>1991</v>
      </c>
      <c r="AF246" s="324" t="s">
        <v>1991</v>
      </c>
      <c r="AG246" s="324" t="s">
        <v>1991</v>
      </c>
      <c r="AH246" s="324" t="s">
        <v>1991</v>
      </c>
      <c r="AI246" s="324" t="s">
        <v>1991</v>
      </c>
      <c r="AJ246" s="324" t="s">
        <v>1991</v>
      </c>
      <c r="AK246" s="324" t="s">
        <v>1991</v>
      </c>
      <c r="AL246" s="327"/>
      <c r="AM246" s="327"/>
      <c r="AN246" s="327"/>
      <c r="AO246" s="327"/>
      <c r="AP246" s="327"/>
      <c r="AQ246" s="327"/>
      <c r="AR246" s="327"/>
      <c r="AS246" s="327"/>
      <c r="AT246" s="327"/>
      <c r="AU246" s="327"/>
      <c r="AV246" s="327"/>
      <c r="AW246" s="327"/>
      <c r="AX246" s="327"/>
      <c r="AY246" s="327"/>
      <c r="AZ246" s="327"/>
      <c r="BA246" s="327"/>
      <c r="BB246" s="46">
        <f t="shared" si="90"/>
        <v>14</v>
      </c>
      <c r="BC246" s="46">
        <f t="shared" si="91"/>
        <v>15</v>
      </c>
      <c r="BD246" s="46">
        <f t="shared" si="89"/>
        <v>0</v>
      </c>
      <c r="BE246" s="46">
        <f t="shared" si="92"/>
        <v>0</v>
      </c>
      <c r="BF246" s="296">
        <f t="shared" si="93"/>
        <v>29</v>
      </c>
      <c r="BG246" s="2"/>
      <c r="BH246" s="2"/>
      <c r="BI246" s="2"/>
      <c r="BJ246" s="2"/>
      <c r="BK246" s="279">
        <f t="shared" si="94"/>
        <v>1</v>
      </c>
      <c r="BL246" s="279">
        <f t="shared" si="95"/>
        <v>29</v>
      </c>
      <c r="BM246" s="279"/>
      <c r="BN246" s="279"/>
      <c r="BO246" s="2">
        <f t="shared" si="96"/>
        <v>29</v>
      </c>
      <c r="BP246" s="430"/>
      <c r="BQ246" s="431"/>
      <c r="BR246" s="2"/>
      <c r="BS246" s="25"/>
      <c r="BT246" s="348">
        <f t="shared" si="103"/>
        <v>1</v>
      </c>
      <c r="BU246" s="2"/>
      <c r="BV246" s="282">
        <f t="shared" si="97"/>
        <v>0</v>
      </c>
      <c r="BW246" s="279">
        <v>0</v>
      </c>
      <c r="BX246" s="269">
        <f t="shared" si="98"/>
        <v>0</v>
      </c>
      <c r="BY246" s="349" t="e">
        <f t="shared" si="67"/>
        <v>#N/A</v>
      </c>
      <c r="BZ246" s="349" t="e">
        <f t="shared" si="68"/>
        <v>#N/A</v>
      </c>
      <c r="CA246" s="349" t="e">
        <f t="shared" si="69"/>
        <v>#N/A</v>
      </c>
      <c r="CB246" s="349" t="e">
        <f t="shared" si="70"/>
        <v>#N/A</v>
      </c>
      <c r="CC246" s="349" t="e">
        <f t="shared" si="99"/>
        <v>#N/A</v>
      </c>
      <c r="CD246" s="14" t="e">
        <f t="shared" si="100"/>
        <v>#N/A</v>
      </c>
      <c r="CE246" s="14">
        <f t="shared" si="101"/>
        <v>29</v>
      </c>
      <c r="CF246" s="25">
        <f t="shared" si="102"/>
        <v>1</v>
      </c>
      <c r="CG246" s="270"/>
      <c r="CH246" s="2"/>
      <c r="CL246" s="349"/>
      <c r="CM246" s="349"/>
      <c r="CN246" s="349"/>
      <c r="CO246" s="349"/>
      <c r="CP246" s="349"/>
      <c r="CQ246" s="14"/>
      <c r="CY246" s="2"/>
    </row>
    <row r="247" spans="1:103" s="1" customFormat="1" ht="29.4" customHeight="1">
      <c r="A247" s="46">
        <v>73</v>
      </c>
      <c r="B247" s="46">
        <v>3</v>
      </c>
      <c r="C247" s="46">
        <v>120</v>
      </c>
      <c r="D247" s="48"/>
      <c r="E247" s="48"/>
      <c r="F247" s="46"/>
      <c r="G247" s="317" t="s">
        <v>1991</v>
      </c>
      <c r="H247" s="317" t="s">
        <v>1991</v>
      </c>
      <c r="I247" s="317" t="s">
        <v>1991</v>
      </c>
      <c r="J247" s="317"/>
      <c r="K247" s="317">
        <v>0</v>
      </c>
      <c r="L247" s="317" t="s">
        <v>1991</v>
      </c>
      <c r="M247" s="317" t="s">
        <v>1991</v>
      </c>
      <c r="N247" s="317" t="s">
        <v>1991</v>
      </c>
      <c r="O247" s="317" t="s">
        <v>1991</v>
      </c>
      <c r="P247" s="317" t="s">
        <v>1991</v>
      </c>
      <c r="Q247" s="317" t="s">
        <v>1991</v>
      </c>
      <c r="R247" s="317" t="s">
        <v>1991</v>
      </c>
      <c r="S247" s="317" t="s">
        <v>1991</v>
      </c>
      <c r="T247" s="326" t="s">
        <v>1991</v>
      </c>
      <c r="U247" s="312" t="s">
        <v>1991</v>
      </c>
      <c r="V247" s="46" t="s">
        <v>1991</v>
      </c>
      <c r="W247" s="324" t="s">
        <v>1991</v>
      </c>
      <c r="X247" s="324" t="s">
        <v>1991</v>
      </c>
      <c r="Y247" s="324" t="s">
        <v>1991</v>
      </c>
      <c r="Z247" s="46" t="s">
        <v>1991</v>
      </c>
      <c r="AA247" s="46" t="s">
        <v>1991</v>
      </c>
      <c r="AB247" s="46" t="s">
        <v>1991</v>
      </c>
      <c r="AC247" s="46" t="s">
        <v>1991</v>
      </c>
      <c r="AD247" s="46" t="s">
        <v>1991</v>
      </c>
      <c r="AE247" s="324" t="s">
        <v>1991</v>
      </c>
      <c r="AF247" s="324" t="s">
        <v>1991</v>
      </c>
      <c r="AG247" s="324" t="s">
        <v>1991</v>
      </c>
      <c r="AH247" s="324" t="s">
        <v>1991</v>
      </c>
      <c r="AI247" s="324" t="s">
        <v>1991</v>
      </c>
      <c r="AJ247" s="324" t="s">
        <v>1991</v>
      </c>
      <c r="AK247" s="324" t="s">
        <v>1991</v>
      </c>
      <c r="AL247" s="327"/>
      <c r="AM247" s="327"/>
      <c r="AN247" s="327"/>
      <c r="AO247" s="327"/>
      <c r="AP247" s="327"/>
      <c r="AQ247" s="327"/>
      <c r="AR247" s="327"/>
      <c r="AS247" s="327"/>
      <c r="AT247" s="327"/>
      <c r="AU247" s="327"/>
      <c r="AV247" s="327"/>
      <c r="AW247" s="327"/>
      <c r="AX247" s="327"/>
      <c r="AY247" s="327"/>
      <c r="AZ247" s="327"/>
      <c r="BA247" s="327"/>
      <c r="BB247" s="46">
        <f t="shared" si="90"/>
        <v>13</v>
      </c>
      <c r="BC247" s="46">
        <f t="shared" si="91"/>
        <v>16</v>
      </c>
      <c r="BD247" s="46">
        <f t="shared" si="89"/>
        <v>0</v>
      </c>
      <c r="BE247" s="46">
        <f t="shared" si="92"/>
        <v>0</v>
      </c>
      <c r="BF247" s="296">
        <f t="shared" si="93"/>
        <v>29</v>
      </c>
      <c r="BG247" s="2"/>
      <c r="BH247" s="2"/>
      <c r="BI247" s="2"/>
      <c r="BJ247" s="2"/>
      <c r="BK247" s="279">
        <f t="shared" si="94"/>
        <v>1</v>
      </c>
      <c r="BL247" s="279">
        <f t="shared" si="95"/>
        <v>29</v>
      </c>
      <c r="BM247" s="279"/>
      <c r="BN247" s="279"/>
      <c r="BO247" s="2">
        <f t="shared" si="96"/>
        <v>29</v>
      </c>
      <c r="BP247" s="430"/>
      <c r="BQ247" s="431"/>
      <c r="BR247" s="2"/>
      <c r="BS247" s="25"/>
      <c r="BT247" s="348">
        <f t="shared" si="103"/>
        <v>1</v>
      </c>
      <c r="BU247" s="2"/>
      <c r="BV247" s="282">
        <f t="shared" si="97"/>
        <v>0</v>
      </c>
      <c r="BW247" s="279">
        <v>0</v>
      </c>
      <c r="BX247" s="269">
        <f t="shared" si="98"/>
        <v>0</v>
      </c>
      <c r="BY247" s="349" t="e">
        <f t="shared" si="67"/>
        <v>#N/A</v>
      </c>
      <c r="BZ247" s="349" t="e">
        <f t="shared" si="68"/>
        <v>#N/A</v>
      </c>
      <c r="CA247" s="349" t="e">
        <f t="shared" si="69"/>
        <v>#N/A</v>
      </c>
      <c r="CB247" s="349" t="e">
        <f t="shared" si="70"/>
        <v>#N/A</v>
      </c>
      <c r="CC247" s="349" t="e">
        <f t="shared" si="99"/>
        <v>#N/A</v>
      </c>
      <c r="CD247" s="14" t="e">
        <f t="shared" si="100"/>
        <v>#N/A</v>
      </c>
      <c r="CE247" s="14">
        <f t="shared" si="101"/>
        <v>29</v>
      </c>
      <c r="CF247" s="25">
        <f t="shared" si="102"/>
        <v>1</v>
      </c>
      <c r="CG247" s="270"/>
      <c r="CH247" s="2"/>
      <c r="CL247" s="349"/>
      <c r="CM247" s="349"/>
      <c r="CN247" s="349"/>
      <c r="CO247" s="349"/>
      <c r="CP247" s="349"/>
      <c r="CQ247" s="14"/>
      <c r="CY247" s="2"/>
    </row>
    <row r="248" spans="1:103" s="1" customFormat="1" ht="29.4" customHeight="1">
      <c r="A248" s="46">
        <v>74</v>
      </c>
      <c r="B248" s="46">
        <v>3</v>
      </c>
      <c r="C248" s="46">
        <v>121</v>
      </c>
      <c r="D248" s="48"/>
      <c r="E248" s="48"/>
      <c r="F248" s="46"/>
      <c r="G248" s="317" t="s">
        <v>1991</v>
      </c>
      <c r="H248" s="317" t="s">
        <v>1991</v>
      </c>
      <c r="I248" s="317" t="s">
        <v>1991</v>
      </c>
      <c r="J248" s="317"/>
      <c r="K248" s="317">
        <v>0</v>
      </c>
      <c r="L248" s="317" t="s">
        <v>1991</v>
      </c>
      <c r="M248" s="317">
        <v>0</v>
      </c>
      <c r="N248" s="317" t="s">
        <v>1991</v>
      </c>
      <c r="O248" s="317" t="s">
        <v>1991</v>
      </c>
      <c r="P248" s="317" t="s">
        <v>1991</v>
      </c>
      <c r="Q248" s="317" t="s">
        <v>1991</v>
      </c>
      <c r="R248" s="317" t="s">
        <v>1991</v>
      </c>
      <c r="S248" s="317" t="s">
        <v>1991</v>
      </c>
      <c r="T248" s="326" t="s">
        <v>1991</v>
      </c>
      <c r="U248" s="312" t="s">
        <v>1991</v>
      </c>
      <c r="V248" s="46" t="s">
        <v>1991</v>
      </c>
      <c r="W248" s="324" t="s">
        <v>1991</v>
      </c>
      <c r="X248" s="324" t="s">
        <v>1991</v>
      </c>
      <c r="Y248" s="324">
        <v>0</v>
      </c>
      <c r="Z248" s="46" t="s">
        <v>1991</v>
      </c>
      <c r="AA248" s="46" t="s">
        <v>1991</v>
      </c>
      <c r="AB248" s="46" t="s">
        <v>1991</v>
      </c>
      <c r="AC248" s="46" t="s">
        <v>1991</v>
      </c>
      <c r="AD248" s="46" t="s">
        <v>1991</v>
      </c>
      <c r="AE248" s="324" t="s">
        <v>1991</v>
      </c>
      <c r="AF248" s="324" t="s">
        <v>1991</v>
      </c>
      <c r="AG248" s="324" t="s">
        <v>1991</v>
      </c>
      <c r="AH248" s="324" t="s">
        <v>1991</v>
      </c>
      <c r="AI248" s="324" t="s">
        <v>1991</v>
      </c>
      <c r="AJ248" s="324" t="s">
        <v>1991</v>
      </c>
      <c r="AK248" s="324" t="s">
        <v>1991</v>
      </c>
      <c r="AL248" s="327"/>
      <c r="AM248" s="327"/>
      <c r="AN248" s="327"/>
      <c r="AO248" s="327"/>
      <c r="AP248" s="327"/>
      <c r="AQ248" s="327"/>
      <c r="AR248" s="327"/>
      <c r="AS248" s="327"/>
      <c r="AT248" s="327"/>
      <c r="AU248" s="327"/>
      <c r="AV248" s="327"/>
      <c r="AW248" s="327"/>
      <c r="AX248" s="327"/>
      <c r="AY248" s="327"/>
      <c r="AZ248" s="327"/>
      <c r="BA248" s="327"/>
      <c r="BB248" s="46">
        <f t="shared" si="90"/>
        <v>12</v>
      </c>
      <c r="BC248" s="46">
        <f t="shared" si="91"/>
        <v>15</v>
      </c>
      <c r="BD248" s="46">
        <f t="shared" si="89"/>
        <v>0</v>
      </c>
      <c r="BE248" s="46">
        <f t="shared" si="92"/>
        <v>0</v>
      </c>
      <c r="BF248" s="296">
        <f t="shared" si="93"/>
        <v>27</v>
      </c>
      <c r="BG248" s="2"/>
      <c r="BH248" s="2"/>
      <c r="BI248" s="2"/>
      <c r="BJ248" s="2"/>
      <c r="BK248" s="279">
        <f t="shared" si="94"/>
        <v>1</v>
      </c>
      <c r="BL248" s="279">
        <f t="shared" si="95"/>
        <v>27</v>
      </c>
      <c r="BM248" s="279"/>
      <c r="BN248" s="279"/>
      <c r="BO248" s="2">
        <f t="shared" si="96"/>
        <v>27</v>
      </c>
      <c r="BP248" s="430"/>
      <c r="BQ248" s="431"/>
      <c r="BR248" s="2"/>
      <c r="BS248" s="25"/>
      <c r="BT248" s="348">
        <f t="shared" si="103"/>
        <v>1</v>
      </c>
      <c r="BU248" s="2"/>
      <c r="BV248" s="282">
        <f t="shared" si="97"/>
        <v>0</v>
      </c>
      <c r="BW248" s="279">
        <v>0</v>
      </c>
      <c r="BX248" s="269">
        <f t="shared" si="98"/>
        <v>0</v>
      </c>
      <c r="BY248" s="349" t="e">
        <f t="shared" si="67"/>
        <v>#N/A</v>
      </c>
      <c r="BZ248" s="349" t="e">
        <f t="shared" si="68"/>
        <v>#N/A</v>
      </c>
      <c r="CA248" s="349" t="e">
        <f t="shared" si="69"/>
        <v>#N/A</v>
      </c>
      <c r="CB248" s="349" t="e">
        <f t="shared" si="70"/>
        <v>#N/A</v>
      </c>
      <c r="CC248" s="349" t="e">
        <f t="shared" si="99"/>
        <v>#N/A</v>
      </c>
      <c r="CD248" s="14" t="e">
        <f t="shared" si="100"/>
        <v>#N/A</v>
      </c>
      <c r="CE248" s="14">
        <f t="shared" si="101"/>
        <v>27</v>
      </c>
      <c r="CF248" s="25">
        <f t="shared" si="102"/>
        <v>1</v>
      </c>
      <c r="CG248" s="270"/>
      <c r="CH248" s="2"/>
      <c r="CL248" s="349"/>
      <c r="CM248" s="349"/>
      <c r="CN248" s="349"/>
      <c r="CO248" s="349"/>
      <c r="CP248" s="349"/>
      <c r="CQ248" s="14"/>
      <c r="CY248" s="2"/>
    </row>
    <row r="249" spans="1:103" s="1" customFormat="1" ht="29.4" customHeight="1">
      <c r="A249" s="46">
        <v>75</v>
      </c>
      <c r="B249" s="46">
        <v>3</v>
      </c>
      <c r="C249" s="46">
        <v>122</v>
      </c>
      <c r="D249" s="48"/>
      <c r="E249" s="48"/>
      <c r="F249" s="46"/>
      <c r="G249" s="317" t="s">
        <v>1991</v>
      </c>
      <c r="H249" s="317" t="s">
        <v>1991</v>
      </c>
      <c r="I249" s="317" t="s">
        <v>1991</v>
      </c>
      <c r="J249" s="317"/>
      <c r="K249" s="317">
        <v>0</v>
      </c>
      <c r="L249" s="317" t="s">
        <v>1991</v>
      </c>
      <c r="M249" s="317" t="s">
        <v>1991</v>
      </c>
      <c r="N249" s="317" t="s">
        <v>1991</v>
      </c>
      <c r="O249" s="317" t="s">
        <v>1991</v>
      </c>
      <c r="P249" s="317" t="s">
        <v>1991</v>
      </c>
      <c r="Q249" s="317" t="s">
        <v>1991</v>
      </c>
      <c r="R249" s="317" t="s">
        <v>1991</v>
      </c>
      <c r="S249" s="317" t="s">
        <v>1991</v>
      </c>
      <c r="T249" s="326" t="s">
        <v>1991</v>
      </c>
      <c r="U249" s="312" t="s">
        <v>1991</v>
      </c>
      <c r="V249" s="46" t="s">
        <v>1991</v>
      </c>
      <c r="W249" s="324" t="s">
        <v>1991</v>
      </c>
      <c r="X249" s="324" t="s">
        <v>1991</v>
      </c>
      <c r="Y249" s="324" t="s">
        <v>1991</v>
      </c>
      <c r="Z249" s="46" t="s">
        <v>1991</v>
      </c>
      <c r="AA249" s="46" t="s">
        <v>1991</v>
      </c>
      <c r="AB249" s="46" t="s">
        <v>1991</v>
      </c>
      <c r="AC249" s="46" t="s">
        <v>1991</v>
      </c>
      <c r="AD249" s="46" t="s">
        <v>1991</v>
      </c>
      <c r="AE249" s="324" t="s">
        <v>1991</v>
      </c>
      <c r="AF249" s="324" t="s">
        <v>1991</v>
      </c>
      <c r="AG249" s="324" t="s">
        <v>1991</v>
      </c>
      <c r="AH249" s="324" t="s">
        <v>1991</v>
      </c>
      <c r="AI249" s="324" t="s">
        <v>1991</v>
      </c>
      <c r="AJ249" s="324" t="s">
        <v>1991</v>
      </c>
      <c r="AK249" s="324" t="s">
        <v>1991</v>
      </c>
      <c r="AL249" s="327"/>
      <c r="AM249" s="327"/>
      <c r="AN249" s="327"/>
      <c r="AO249" s="327"/>
      <c r="AP249" s="327" t="s">
        <v>1991</v>
      </c>
      <c r="AQ249" s="327"/>
      <c r="AR249" s="327"/>
      <c r="AS249" s="327"/>
      <c r="AT249" s="327"/>
      <c r="AU249" s="327"/>
      <c r="AV249" s="327"/>
      <c r="AW249" s="327"/>
      <c r="AX249" s="327"/>
      <c r="AY249" s="327"/>
      <c r="AZ249" s="327"/>
      <c r="BA249" s="327"/>
      <c r="BB249" s="46">
        <f t="shared" si="90"/>
        <v>13</v>
      </c>
      <c r="BC249" s="46">
        <f t="shared" si="91"/>
        <v>16</v>
      </c>
      <c r="BD249" s="46">
        <f t="shared" si="89"/>
        <v>1</v>
      </c>
      <c r="BE249" s="46">
        <f t="shared" si="92"/>
        <v>0</v>
      </c>
      <c r="BF249" s="296">
        <f t="shared" si="93"/>
        <v>29</v>
      </c>
      <c r="BG249" s="2"/>
      <c r="BH249" s="2"/>
      <c r="BI249" s="2"/>
      <c r="BJ249" s="2"/>
      <c r="BK249" s="279">
        <f t="shared" si="94"/>
        <v>1</v>
      </c>
      <c r="BL249" s="279">
        <f t="shared" si="95"/>
        <v>29</v>
      </c>
      <c r="BM249" s="279"/>
      <c r="BN249" s="279"/>
      <c r="BO249" s="2">
        <f t="shared" si="96"/>
        <v>29</v>
      </c>
      <c r="BP249" s="430"/>
      <c r="BQ249" s="431"/>
      <c r="BR249" s="2"/>
      <c r="BS249" s="25"/>
      <c r="BT249" s="348">
        <f t="shared" si="103"/>
        <v>1</v>
      </c>
      <c r="BU249" s="2"/>
      <c r="BV249" s="282">
        <f t="shared" si="97"/>
        <v>0</v>
      </c>
      <c r="BW249" s="279">
        <v>-20000</v>
      </c>
      <c r="BX249" s="269">
        <f t="shared" si="98"/>
        <v>0</v>
      </c>
      <c r="BY249" s="349" t="e">
        <f t="shared" si="67"/>
        <v>#N/A</v>
      </c>
      <c r="BZ249" s="349" t="e">
        <f t="shared" si="68"/>
        <v>#N/A</v>
      </c>
      <c r="CA249" s="349" t="e">
        <f t="shared" si="69"/>
        <v>#N/A</v>
      </c>
      <c r="CB249" s="349" t="e">
        <f t="shared" si="70"/>
        <v>#N/A</v>
      </c>
      <c r="CC249" s="349" t="e">
        <f t="shared" si="99"/>
        <v>#N/A</v>
      </c>
      <c r="CD249" s="14" t="e">
        <f t="shared" si="100"/>
        <v>#N/A</v>
      </c>
      <c r="CE249" s="14">
        <f t="shared" si="101"/>
        <v>29</v>
      </c>
      <c r="CF249" s="25">
        <f t="shared" si="102"/>
        <v>1</v>
      </c>
      <c r="CG249" s="270"/>
      <c r="CH249" s="2"/>
      <c r="CL249" s="349"/>
      <c r="CM249" s="349"/>
      <c r="CN249" s="349"/>
      <c r="CO249" s="349"/>
      <c r="CP249" s="349"/>
      <c r="CQ249" s="14"/>
      <c r="CY249" s="2"/>
    </row>
    <row r="250" spans="1:103" s="1" customFormat="1" ht="29.4" customHeight="1">
      <c r="A250" s="46">
        <v>76</v>
      </c>
      <c r="B250" s="46">
        <v>3</v>
      </c>
      <c r="C250" s="46">
        <v>123</v>
      </c>
      <c r="D250" s="48"/>
      <c r="E250" s="48"/>
      <c r="F250" s="46"/>
      <c r="G250" s="317">
        <v>0</v>
      </c>
      <c r="H250" s="317" t="s">
        <v>1991</v>
      </c>
      <c r="I250" s="317" t="s">
        <v>1991</v>
      </c>
      <c r="J250" s="317"/>
      <c r="K250" s="317">
        <v>0</v>
      </c>
      <c r="L250" s="317" t="s">
        <v>1991</v>
      </c>
      <c r="M250" s="317" t="s">
        <v>1991</v>
      </c>
      <c r="N250" s="317" t="s">
        <v>1991</v>
      </c>
      <c r="O250" s="317" t="s">
        <v>1991</v>
      </c>
      <c r="P250" s="317" t="s">
        <v>1991</v>
      </c>
      <c r="Q250" s="317" t="s">
        <v>1991</v>
      </c>
      <c r="R250" s="317" t="s">
        <v>1991</v>
      </c>
      <c r="S250" s="317" t="s">
        <v>1991</v>
      </c>
      <c r="T250" s="326" t="s">
        <v>1991</v>
      </c>
      <c r="U250" s="312" t="s">
        <v>1991</v>
      </c>
      <c r="V250" s="46" t="s">
        <v>1991</v>
      </c>
      <c r="W250" s="324">
        <v>0</v>
      </c>
      <c r="X250" s="324">
        <v>0</v>
      </c>
      <c r="Y250" s="324">
        <v>0</v>
      </c>
      <c r="Z250" s="46" t="s">
        <v>1991</v>
      </c>
      <c r="AA250" s="46" t="s">
        <v>1991</v>
      </c>
      <c r="AB250" s="46">
        <v>0</v>
      </c>
      <c r="AC250" s="46" t="s">
        <v>1991</v>
      </c>
      <c r="AD250" s="46" t="s">
        <v>1991</v>
      </c>
      <c r="AE250" s="324" t="s">
        <v>1991</v>
      </c>
      <c r="AF250" s="324">
        <v>0</v>
      </c>
      <c r="AG250" s="324" t="s">
        <v>1991</v>
      </c>
      <c r="AH250" s="324" t="s">
        <v>1991</v>
      </c>
      <c r="AI250" s="324" t="s">
        <v>1991</v>
      </c>
      <c r="AJ250" s="324" t="s">
        <v>1991</v>
      </c>
      <c r="AK250" s="324" t="s">
        <v>1991</v>
      </c>
      <c r="AL250" s="327"/>
      <c r="AM250" s="327"/>
      <c r="AN250" s="327"/>
      <c r="AO250" s="327"/>
      <c r="AP250" s="327"/>
      <c r="AQ250" s="327"/>
      <c r="AR250" s="327"/>
      <c r="AS250" s="327"/>
      <c r="AT250" s="327"/>
      <c r="AU250" s="327"/>
      <c r="AV250" s="327"/>
      <c r="AW250" s="327"/>
      <c r="AX250" s="327"/>
      <c r="AY250" s="327"/>
      <c r="AZ250" s="327"/>
      <c r="BA250" s="327"/>
      <c r="BB250" s="46">
        <f t="shared" si="90"/>
        <v>12</v>
      </c>
      <c r="BC250" s="46">
        <f t="shared" si="91"/>
        <v>11</v>
      </c>
      <c r="BD250" s="46">
        <f t="shared" si="89"/>
        <v>0</v>
      </c>
      <c r="BE250" s="46">
        <f t="shared" si="92"/>
        <v>0</v>
      </c>
      <c r="BF250" s="296">
        <f t="shared" si="93"/>
        <v>23</v>
      </c>
      <c r="BG250" s="2"/>
      <c r="BH250" s="2"/>
      <c r="BI250" s="2"/>
      <c r="BJ250" s="2"/>
      <c r="BK250" s="279">
        <f t="shared" si="94"/>
        <v>0</v>
      </c>
      <c r="BL250" s="279">
        <f t="shared" si="95"/>
        <v>23</v>
      </c>
      <c r="BM250" s="279"/>
      <c r="BN250" s="279"/>
      <c r="BO250" s="2">
        <f t="shared" si="96"/>
        <v>0</v>
      </c>
      <c r="BP250" s="430"/>
      <c r="BQ250" s="431"/>
      <c r="BR250" s="2"/>
      <c r="BS250" s="25"/>
      <c r="BT250" s="348">
        <f t="shared" si="103"/>
        <v>0</v>
      </c>
      <c r="BU250" s="2"/>
      <c r="BV250" s="282">
        <f t="shared" si="97"/>
        <v>0</v>
      </c>
      <c r="BW250" s="279">
        <v>0</v>
      </c>
      <c r="BX250" s="269">
        <f t="shared" si="98"/>
        <v>0</v>
      </c>
      <c r="BY250" s="349" t="e">
        <f t="shared" si="67"/>
        <v>#N/A</v>
      </c>
      <c r="BZ250" s="349" t="e">
        <f t="shared" si="68"/>
        <v>#N/A</v>
      </c>
      <c r="CA250" s="349" t="e">
        <f t="shared" si="69"/>
        <v>#N/A</v>
      </c>
      <c r="CB250" s="349" t="e">
        <f t="shared" si="70"/>
        <v>#N/A</v>
      </c>
      <c r="CC250" s="349" t="e">
        <f t="shared" si="99"/>
        <v>#N/A</v>
      </c>
      <c r="CD250" s="14" t="e">
        <f t="shared" si="100"/>
        <v>#N/A</v>
      </c>
      <c r="CE250" s="14">
        <f t="shared" si="101"/>
        <v>0</v>
      </c>
      <c r="CF250" s="25">
        <f t="shared" si="102"/>
        <v>0</v>
      </c>
      <c r="CG250" s="270"/>
      <c r="CH250" s="2"/>
      <c r="CL250" s="349"/>
      <c r="CM250" s="349"/>
      <c r="CN250" s="349"/>
      <c r="CO250" s="349"/>
      <c r="CP250" s="349"/>
      <c r="CQ250" s="14"/>
      <c r="CY250" s="2"/>
    </row>
    <row r="251" spans="1:103" s="1" customFormat="1" ht="29.4" customHeight="1">
      <c r="A251" s="46">
        <v>77</v>
      </c>
      <c r="B251" s="46">
        <v>3</v>
      </c>
      <c r="C251" s="46">
        <v>124</v>
      </c>
      <c r="D251" s="48"/>
      <c r="E251" s="48"/>
      <c r="F251" s="46"/>
      <c r="G251" s="317" t="s">
        <v>1991</v>
      </c>
      <c r="H251" s="317" t="s">
        <v>1991</v>
      </c>
      <c r="I251" s="317" t="s">
        <v>1991</v>
      </c>
      <c r="J251" s="317"/>
      <c r="K251" s="317">
        <v>0</v>
      </c>
      <c r="L251" s="317" t="s">
        <v>1991</v>
      </c>
      <c r="M251" s="317">
        <v>0</v>
      </c>
      <c r="N251" s="317" t="s">
        <v>1991</v>
      </c>
      <c r="O251" s="317" t="s">
        <v>1991</v>
      </c>
      <c r="P251" s="317" t="s">
        <v>1991</v>
      </c>
      <c r="Q251" s="317" t="s">
        <v>1991</v>
      </c>
      <c r="R251" s="317" t="s">
        <v>1991</v>
      </c>
      <c r="S251" s="317" t="s">
        <v>1991</v>
      </c>
      <c r="T251" s="326" t="s">
        <v>1991</v>
      </c>
      <c r="U251" s="312">
        <v>0</v>
      </c>
      <c r="V251" s="46" t="s">
        <v>1991</v>
      </c>
      <c r="W251" s="324" t="s">
        <v>1991</v>
      </c>
      <c r="X251" s="324" t="s">
        <v>1991</v>
      </c>
      <c r="Y251" s="324">
        <v>0</v>
      </c>
      <c r="Z251" s="46" t="s">
        <v>1991</v>
      </c>
      <c r="AA251" s="46" t="s">
        <v>1991</v>
      </c>
      <c r="AB251" s="46">
        <v>0</v>
      </c>
      <c r="AC251" s="46" t="s">
        <v>1991</v>
      </c>
      <c r="AD251" s="46" t="s">
        <v>1991</v>
      </c>
      <c r="AE251" s="324" t="s">
        <v>1991</v>
      </c>
      <c r="AF251" s="324" t="s">
        <v>1991</v>
      </c>
      <c r="AG251" s="324" t="s">
        <v>1991</v>
      </c>
      <c r="AH251" s="324" t="s">
        <v>1991</v>
      </c>
      <c r="AI251" s="324" t="s">
        <v>1991</v>
      </c>
      <c r="AJ251" s="324" t="s">
        <v>1991</v>
      </c>
      <c r="AK251" s="324">
        <v>0</v>
      </c>
      <c r="AL251" s="327"/>
      <c r="AM251" s="327"/>
      <c r="AN251" s="327"/>
      <c r="AO251" s="327"/>
      <c r="AP251" s="327"/>
      <c r="AQ251" s="327"/>
      <c r="AR251" s="327"/>
      <c r="AS251" s="327"/>
      <c r="AT251" s="327"/>
      <c r="AU251" s="327"/>
      <c r="AV251" s="327"/>
      <c r="AW251" s="327"/>
      <c r="AX251" s="327"/>
      <c r="AY251" s="327"/>
      <c r="AZ251" s="327"/>
      <c r="BA251" s="327"/>
      <c r="BB251" s="46">
        <f t="shared" si="90"/>
        <v>11</v>
      </c>
      <c r="BC251" s="46">
        <f t="shared" si="91"/>
        <v>13</v>
      </c>
      <c r="BD251" s="46">
        <f t="shared" si="89"/>
        <v>0</v>
      </c>
      <c r="BE251" s="46">
        <f t="shared" si="92"/>
        <v>0</v>
      </c>
      <c r="BF251" s="296">
        <f t="shared" si="93"/>
        <v>24</v>
      </c>
      <c r="BG251" s="2"/>
      <c r="BH251" s="2"/>
      <c r="BI251" s="2"/>
      <c r="BJ251" s="2"/>
      <c r="BK251" s="279">
        <f t="shared" si="94"/>
        <v>0</v>
      </c>
      <c r="BL251" s="279">
        <f t="shared" si="95"/>
        <v>24</v>
      </c>
      <c r="BM251" s="279"/>
      <c r="BN251" s="279"/>
      <c r="BO251" s="2">
        <f t="shared" si="96"/>
        <v>0</v>
      </c>
      <c r="BP251" s="430"/>
      <c r="BQ251" s="431"/>
      <c r="BR251" s="2"/>
      <c r="BS251" s="25"/>
      <c r="BT251" s="348">
        <f t="shared" si="103"/>
        <v>0</v>
      </c>
      <c r="BU251" s="2"/>
      <c r="BV251" s="282">
        <f t="shared" si="97"/>
        <v>0</v>
      </c>
      <c r="BW251" s="279">
        <v>0</v>
      </c>
      <c r="BX251" s="269">
        <f t="shared" si="98"/>
        <v>0</v>
      </c>
      <c r="BY251" s="349" t="e">
        <f t="shared" si="67"/>
        <v>#N/A</v>
      </c>
      <c r="BZ251" s="349" t="e">
        <f t="shared" si="68"/>
        <v>#N/A</v>
      </c>
      <c r="CA251" s="349" t="e">
        <f t="shared" si="69"/>
        <v>#N/A</v>
      </c>
      <c r="CB251" s="349" t="e">
        <f t="shared" si="70"/>
        <v>#N/A</v>
      </c>
      <c r="CC251" s="349" t="e">
        <f t="shared" si="99"/>
        <v>#N/A</v>
      </c>
      <c r="CD251" s="14" t="e">
        <f t="shared" si="100"/>
        <v>#N/A</v>
      </c>
      <c r="CE251" s="14">
        <f t="shared" si="101"/>
        <v>0</v>
      </c>
      <c r="CF251" s="25">
        <f t="shared" si="102"/>
        <v>0</v>
      </c>
      <c r="CG251" s="270"/>
      <c r="CH251" s="2"/>
      <c r="CL251" s="349"/>
      <c r="CM251" s="349"/>
      <c r="CN251" s="349"/>
      <c r="CO251" s="349"/>
      <c r="CP251" s="349"/>
      <c r="CQ251" s="14"/>
      <c r="CY251" s="2"/>
    </row>
    <row r="252" spans="1:103" s="1" customFormat="1" ht="29.4" customHeight="1">
      <c r="A252" s="46">
        <v>78</v>
      </c>
      <c r="B252" s="46">
        <v>3</v>
      </c>
      <c r="C252" s="46">
        <v>125</v>
      </c>
      <c r="D252" s="48"/>
      <c r="E252" s="48"/>
      <c r="F252" s="46"/>
      <c r="G252" s="317" t="s">
        <v>1991</v>
      </c>
      <c r="H252" s="317" t="s">
        <v>1991</v>
      </c>
      <c r="I252" s="317" t="s">
        <v>1991</v>
      </c>
      <c r="J252" s="317"/>
      <c r="K252" s="317">
        <v>0</v>
      </c>
      <c r="L252" s="317" t="s">
        <v>1991</v>
      </c>
      <c r="M252" s="317">
        <v>0</v>
      </c>
      <c r="N252" s="317" t="s">
        <v>1991</v>
      </c>
      <c r="O252" s="317" t="s">
        <v>1991</v>
      </c>
      <c r="P252" s="317" t="s">
        <v>1991</v>
      </c>
      <c r="Q252" s="317" t="s">
        <v>1991</v>
      </c>
      <c r="R252" s="317" t="s">
        <v>1991</v>
      </c>
      <c r="S252" s="317" t="s">
        <v>1991</v>
      </c>
      <c r="T252" s="326" t="s">
        <v>1991</v>
      </c>
      <c r="U252" s="312" t="s">
        <v>1991</v>
      </c>
      <c r="V252" s="46" t="s">
        <v>1991</v>
      </c>
      <c r="W252" s="324" t="s">
        <v>1991</v>
      </c>
      <c r="X252" s="324" t="s">
        <v>1991</v>
      </c>
      <c r="Y252" s="324">
        <v>0</v>
      </c>
      <c r="Z252" s="46" t="s">
        <v>1991</v>
      </c>
      <c r="AA252" s="46" t="s">
        <v>1991</v>
      </c>
      <c r="AB252" s="46" t="s">
        <v>1991</v>
      </c>
      <c r="AC252" s="46">
        <v>0</v>
      </c>
      <c r="AD252" s="46" t="s">
        <v>1991</v>
      </c>
      <c r="AE252" s="324" t="s">
        <v>1991</v>
      </c>
      <c r="AF252" s="324" t="s">
        <v>1991</v>
      </c>
      <c r="AG252" s="324" t="s">
        <v>1991</v>
      </c>
      <c r="AH252" s="324" t="s">
        <v>1991</v>
      </c>
      <c r="AI252" s="324" t="s">
        <v>1991</v>
      </c>
      <c r="AJ252" s="324" t="s">
        <v>1991</v>
      </c>
      <c r="AK252" s="324" t="s">
        <v>1991</v>
      </c>
      <c r="AL252" s="327"/>
      <c r="AM252" s="327"/>
      <c r="AN252" s="327"/>
      <c r="AO252" s="327"/>
      <c r="AP252" s="327"/>
      <c r="AQ252" s="327"/>
      <c r="AR252" s="327"/>
      <c r="AS252" s="327"/>
      <c r="AT252" s="327"/>
      <c r="AU252" s="327"/>
      <c r="AV252" s="327"/>
      <c r="AW252" s="327"/>
      <c r="AX252" s="327"/>
      <c r="AY252" s="327"/>
      <c r="AZ252" s="327"/>
      <c r="BA252" s="327"/>
      <c r="BB252" s="46">
        <f t="shared" si="90"/>
        <v>12</v>
      </c>
      <c r="BC252" s="46">
        <f t="shared" si="91"/>
        <v>14</v>
      </c>
      <c r="BD252" s="46">
        <f t="shared" si="89"/>
        <v>0</v>
      </c>
      <c r="BE252" s="46">
        <f t="shared" si="92"/>
        <v>0</v>
      </c>
      <c r="BF252" s="296">
        <f t="shared" si="93"/>
        <v>26</v>
      </c>
      <c r="BG252" s="2"/>
      <c r="BH252" s="2"/>
      <c r="BI252" s="2"/>
      <c r="BJ252" s="2"/>
      <c r="BK252" s="279">
        <f t="shared" si="94"/>
        <v>1</v>
      </c>
      <c r="BL252" s="279">
        <f t="shared" si="95"/>
        <v>26</v>
      </c>
      <c r="BM252" s="279"/>
      <c r="BN252" s="279"/>
      <c r="BO252" s="2">
        <f t="shared" si="96"/>
        <v>26</v>
      </c>
      <c r="BP252" s="430"/>
      <c r="BQ252" s="431"/>
      <c r="BR252" s="2"/>
      <c r="BS252" s="25"/>
      <c r="BT252" s="348">
        <f t="shared" si="103"/>
        <v>1</v>
      </c>
      <c r="BU252" s="2"/>
      <c r="BV252" s="282">
        <f t="shared" si="97"/>
        <v>0</v>
      </c>
      <c r="BW252" s="279">
        <v>0</v>
      </c>
      <c r="BX252" s="269">
        <f t="shared" si="98"/>
        <v>0</v>
      </c>
      <c r="BY252" s="349" t="e">
        <f t="shared" si="67"/>
        <v>#N/A</v>
      </c>
      <c r="BZ252" s="349" t="e">
        <f t="shared" si="68"/>
        <v>#N/A</v>
      </c>
      <c r="CA252" s="349" t="e">
        <f t="shared" si="69"/>
        <v>#N/A</v>
      </c>
      <c r="CB252" s="349" t="e">
        <f t="shared" si="70"/>
        <v>#N/A</v>
      </c>
      <c r="CC252" s="349" t="e">
        <f t="shared" si="99"/>
        <v>#N/A</v>
      </c>
      <c r="CD252" s="14" t="e">
        <f t="shared" si="100"/>
        <v>#N/A</v>
      </c>
      <c r="CE252" s="14">
        <f t="shared" si="101"/>
        <v>26</v>
      </c>
      <c r="CF252" s="25">
        <f t="shared" si="102"/>
        <v>1</v>
      </c>
      <c r="CG252" s="270"/>
      <c r="CH252" s="2"/>
      <c r="CL252" s="349"/>
      <c r="CM252" s="349"/>
      <c r="CN252" s="349"/>
      <c r="CO252" s="349"/>
      <c r="CP252" s="349"/>
      <c r="CQ252" s="14"/>
      <c r="CY252" s="2"/>
    </row>
    <row r="253" spans="1:103" s="1" customFormat="1" ht="29.4" customHeight="1">
      <c r="A253" s="46">
        <v>79</v>
      </c>
      <c r="B253" s="46">
        <v>3</v>
      </c>
      <c r="C253" s="46">
        <v>126</v>
      </c>
      <c r="D253" s="48"/>
      <c r="E253" s="48"/>
      <c r="F253" s="46"/>
      <c r="G253" s="317">
        <v>0</v>
      </c>
      <c r="H253" s="317" t="s">
        <v>1991</v>
      </c>
      <c r="I253" s="317" t="s">
        <v>1991</v>
      </c>
      <c r="J253" s="317"/>
      <c r="K253" s="317">
        <v>0</v>
      </c>
      <c r="L253" s="317" t="s">
        <v>1991</v>
      </c>
      <c r="M253" s="317">
        <v>0</v>
      </c>
      <c r="N253" s="317" t="s">
        <v>1991</v>
      </c>
      <c r="O253" s="317" t="s">
        <v>1991</v>
      </c>
      <c r="P253" s="317" t="s">
        <v>1991</v>
      </c>
      <c r="Q253" s="317" t="s">
        <v>1991</v>
      </c>
      <c r="R253" s="317" t="s">
        <v>1991</v>
      </c>
      <c r="S253" s="317" t="s">
        <v>1991</v>
      </c>
      <c r="T253" s="326" t="s">
        <v>1991</v>
      </c>
      <c r="U253" s="312" t="s">
        <v>1991</v>
      </c>
      <c r="V253" s="46" t="s">
        <v>1991</v>
      </c>
      <c r="W253" s="324">
        <v>0</v>
      </c>
      <c r="X253" s="324" t="s">
        <v>1991</v>
      </c>
      <c r="Y253" s="324" t="s">
        <v>1991</v>
      </c>
      <c r="Z253" s="46" t="s">
        <v>1991</v>
      </c>
      <c r="AA253" s="46" t="s">
        <v>1991</v>
      </c>
      <c r="AB253" s="46" t="s">
        <v>1991</v>
      </c>
      <c r="AC253" s="46" t="s">
        <v>1991</v>
      </c>
      <c r="AD253" s="46" t="s">
        <v>1991</v>
      </c>
      <c r="AE253" s="324" t="s">
        <v>1991</v>
      </c>
      <c r="AF253" s="324" t="s">
        <v>1991</v>
      </c>
      <c r="AG253" s="324" t="s">
        <v>1991</v>
      </c>
      <c r="AH253" s="324" t="s">
        <v>1991</v>
      </c>
      <c r="AI253" s="324">
        <v>0</v>
      </c>
      <c r="AJ253" s="324" t="s">
        <v>1991</v>
      </c>
      <c r="AK253" s="324" t="s">
        <v>1991</v>
      </c>
      <c r="AL253" s="327"/>
      <c r="AM253" s="327"/>
      <c r="AN253" s="327"/>
      <c r="AO253" s="327"/>
      <c r="AP253" s="327" t="s">
        <v>1991</v>
      </c>
      <c r="AQ253" s="327"/>
      <c r="AR253" s="327"/>
      <c r="AS253" s="327"/>
      <c r="AT253" s="327"/>
      <c r="AU253" s="327"/>
      <c r="AV253" s="327"/>
      <c r="AW253" s="327"/>
      <c r="AX253" s="327"/>
      <c r="AY253" s="327"/>
      <c r="AZ253" s="327"/>
      <c r="BA253" s="327"/>
      <c r="BB253" s="46">
        <f t="shared" si="90"/>
        <v>11</v>
      </c>
      <c r="BC253" s="46">
        <f t="shared" si="91"/>
        <v>14</v>
      </c>
      <c r="BD253" s="46">
        <f t="shared" si="89"/>
        <v>1</v>
      </c>
      <c r="BE253" s="46">
        <f t="shared" si="92"/>
        <v>0</v>
      </c>
      <c r="BF253" s="296">
        <f t="shared" si="93"/>
        <v>25</v>
      </c>
      <c r="BG253" s="2"/>
      <c r="BH253" s="2"/>
      <c r="BI253" s="2"/>
      <c r="BJ253" s="2"/>
      <c r="BK253" s="279">
        <f t="shared" si="94"/>
        <v>0</v>
      </c>
      <c r="BL253" s="279">
        <f t="shared" si="95"/>
        <v>25</v>
      </c>
      <c r="BM253" s="279"/>
      <c r="BN253" s="279"/>
      <c r="BO253" s="2">
        <f t="shared" si="96"/>
        <v>0</v>
      </c>
      <c r="BP253" s="430"/>
      <c r="BQ253" s="431"/>
      <c r="BR253" s="2"/>
      <c r="BS253" s="25"/>
      <c r="BT253" s="348">
        <f t="shared" si="103"/>
        <v>0</v>
      </c>
      <c r="BU253" s="2"/>
      <c r="BV253" s="282">
        <f t="shared" si="97"/>
        <v>0</v>
      </c>
      <c r="BW253" s="279">
        <v>0</v>
      </c>
      <c r="BX253" s="269">
        <f t="shared" si="98"/>
        <v>0</v>
      </c>
      <c r="BY253" s="349" t="e">
        <f t="shared" si="67"/>
        <v>#N/A</v>
      </c>
      <c r="BZ253" s="349" t="e">
        <f t="shared" si="68"/>
        <v>#N/A</v>
      </c>
      <c r="CA253" s="349" t="e">
        <f t="shared" si="69"/>
        <v>#N/A</v>
      </c>
      <c r="CB253" s="349" t="e">
        <f t="shared" si="70"/>
        <v>#N/A</v>
      </c>
      <c r="CC253" s="349" t="e">
        <f t="shared" si="99"/>
        <v>#N/A</v>
      </c>
      <c r="CD253" s="14" t="e">
        <f t="shared" si="100"/>
        <v>#N/A</v>
      </c>
      <c r="CE253" s="14">
        <f t="shared" si="101"/>
        <v>0</v>
      </c>
      <c r="CF253" s="25">
        <f t="shared" si="102"/>
        <v>0</v>
      </c>
      <c r="CG253" s="270"/>
      <c r="CH253" s="2"/>
      <c r="CL253" s="349"/>
      <c r="CM253" s="349"/>
      <c r="CN253" s="349"/>
      <c r="CO253" s="349"/>
      <c r="CP253" s="349"/>
      <c r="CQ253" s="14"/>
      <c r="CY253" s="2"/>
    </row>
    <row r="254" spans="1:103" s="1" customFormat="1" ht="29.4" customHeight="1">
      <c r="A254" s="46">
        <v>80</v>
      </c>
      <c r="B254" s="46">
        <v>3</v>
      </c>
      <c r="C254" s="46">
        <v>127</v>
      </c>
      <c r="D254" s="48"/>
      <c r="E254" s="48"/>
      <c r="F254" s="46"/>
      <c r="G254" s="317">
        <v>0</v>
      </c>
      <c r="H254" s="317" t="s">
        <v>1991</v>
      </c>
      <c r="I254" s="317" t="s">
        <v>1991</v>
      </c>
      <c r="J254" s="317"/>
      <c r="K254" s="317">
        <v>0</v>
      </c>
      <c r="L254" s="317" t="s">
        <v>1991</v>
      </c>
      <c r="M254" s="317" t="s">
        <v>1991</v>
      </c>
      <c r="N254" s="317" t="s">
        <v>1991</v>
      </c>
      <c r="O254" s="317" t="s">
        <v>1991</v>
      </c>
      <c r="P254" s="317" t="s">
        <v>1991</v>
      </c>
      <c r="Q254" s="317" t="s">
        <v>1991</v>
      </c>
      <c r="R254" s="317" t="s">
        <v>1991</v>
      </c>
      <c r="S254" s="317" t="s">
        <v>1991</v>
      </c>
      <c r="T254" s="326" t="s">
        <v>1991</v>
      </c>
      <c r="U254" s="312" t="s">
        <v>1991</v>
      </c>
      <c r="V254" s="46" t="s">
        <v>1991</v>
      </c>
      <c r="W254" s="324" t="s">
        <v>1991</v>
      </c>
      <c r="X254" s="324" t="s">
        <v>1991</v>
      </c>
      <c r="Y254" s="324" t="s">
        <v>1991</v>
      </c>
      <c r="Z254" s="46" t="s">
        <v>1991</v>
      </c>
      <c r="AA254" s="46">
        <v>0</v>
      </c>
      <c r="AB254" s="46" t="s">
        <v>1991</v>
      </c>
      <c r="AC254" s="46" t="s">
        <v>1991</v>
      </c>
      <c r="AD254" s="46" t="s">
        <v>1991</v>
      </c>
      <c r="AE254" s="324" t="s">
        <v>1991</v>
      </c>
      <c r="AF254" s="324" t="s">
        <v>1991</v>
      </c>
      <c r="AG254" s="324" t="s">
        <v>1991</v>
      </c>
      <c r="AH254" s="324" t="s">
        <v>1991</v>
      </c>
      <c r="AI254" s="324" t="s">
        <v>1991</v>
      </c>
      <c r="AJ254" s="324" t="s">
        <v>1991</v>
      </c>
      <c r="AK254" s="324" t="s">
        <v>1991</v>
      </c>
      <c r="AL254" s="327"/>
      <c r="AM254" s="327"/>
      <c r="AN254" s="327"/>
      <c r="AO254" s="327"/>
      <c r="AP254" s="327" t="s">
        <v>1991</v>
      </c>
      <c r="AQ254" s="327"/>
      <c r="AR254" s="327"/>
      <c r="AS254" s="327"/>
      <c r="AT254" s="327"/>
      <c r="AU254" s="327"/>
      <c r="AV254" s="327"/>
      <c r="AW254" s="327"/>
      <c r="AX254" s="327"/>
      <c r="AY254" s="327"/>
      <c r="AZ254" s="327"/>
      <c r="BA254" s="327"/>
      <c r="BB254" s="46">
        <f t="shared" si="90"/>
        <v>12</v>
      </c>
      <c r="BC254" s="46">
        <f t="shared" si="91"/>
        <v>15</v>
      </c>
      <c r="BD254" s="46">
        <f t="shared" si="89"/>
        <v>1</v>
      </c>
      <c r="BE254" s="46">
        <f t="shared" si="92"/>
        <v>0</v>
      </c>
      <c r="BF254" s="296">
        <f t="shared" si="93"/>
        <v>27</v>
      </c>
      <c r="BG254" s="2"/>
      <c r="BH254" s="2"/>
      <c r="BI254" s="2"/>
      <c r="BJ254" s="2"/>
      <c r="BK254" s="279">
        <f t="shared" si="94"/>
        <v>1</v>
      </c>
      <c r="BL254" s="279">
        <f t="shared" si="95"/>
        <v>27</v>
      </c>
      <c r="BM254" s="279"/>
      <c r="BN254" s="279"/>
      <c r="BO254" s="2">
        <f t="shared" si="96"/>
        <v>27</v>
      </c>
      <c r="BP254" s="430"/>
      <c r="BQ254" s="431"/>
      <c r="BR254" s="2"/>
      <c r="BS254" s="25"/>
      <c r="BT254" s="348">
        <f t="shared" si="103"/>
        <v>1</v>
      </c>
      <c r="BU254" s="2"/>
      <c r="BV254" s="282">
        <f t="shared" si="97"/>
        <v>0</v>
      </c>
      <c r="BW254" s="279">
        <v>20000</v>
      </c>
      <c r="BX254" s="269">
        <f t="shared" si="98"/>
        <v>-0.15</v>
      </c>
      <c r="BY254" s="349" t="e">
        <f t="shared" si="67"/>
        <v>#N/A</v>
      </c>
      <c r="BZ254" s="349" t="e">
        <f t="shared" si="68"/>
        <v>#N/A</v>
      </c>
      <c r="CA254" s="349" t="e">
        <f t="shared" si="69"/>
        <v>#N/A</v>
      </c>
      <c r="CB254" s="349" t="e">
        <f t="shared" si="70"/>
        <v>#N/A</v>
      </c>
      <c r="CC254" s="349" t="e">
        <f t="shared" si="99"/>
        <v>#N/A</v>
      </c>
      <c r="CD254" s="14" t="e">
        <f t="shared" si="100"/>
        <v>#N/A</v>
      </c>
      <c r="CE254" s="14">
        <f t="shared" si="101"/>
        <v>27</v>
      </c>
      <c r="CF254" s="25">
        <f t="shared" si="102"/>
        <v>1</v>
      </c>
      <c r="CG254" s="270"/>
      <c r="CH254" s="2"/>
      <c r="CL254" s="349"/>
      <c r="CM254" s="349"/>
      <c r="CN254" s="349"/>
      <c r="CO254" s="349"/>
      <c r="CP254" s="349"/>
      <c r="CQ254" s="14"/>
      <c r="CY254" s="2"/>
    </row>
    <row r="255" spans="1:103" s="1" customFormat="1" ht="29.4" customHeight="1">
      <c r="A255" s="46">
        <v>81</v>
      </c>
      <c r="B255" s="46">
        <v>3</v>
      </c>
      <c r="C255" s="46">
        <v>128</v>
      </c>
      <c r="D255" s="48"/>
      <c r="E255" s="48"/>
      <c r="F255" s="46"/>
      <c r="G255" s="317">
        <v>0</v>
      </c>
      <c r="H255" s="317" t="s">
        <v>1991</v>
      </c>
      <c r="I255" s="317" t="s">
        <v>1991</v>
      </c>
      <c r="J255" s="317"/>
      <c r="K255" s="317">
        <v>0</v>
      </c>
      <c r="L255" s="317" t="s">
        <v>1991</v>
      </c>
      <c r="M255" s="317" t="s">
        <v>1991</v>
      </c>
      <c r="N255" s="317" t="s">
        <v>1991</v>
      </c>
      <c r="O255" s="317" t="s">
        <v>1991</v>
      </c>
      <c r="P255" s="317" t="s">
        <v>1991</v>
      </c>
      <c r="Q255" s="317" t="s">
        <v>1991</v>
      </c>
      <c r="R255" s="317" t="s">
        <v>1991</v>
      </c>
      <c r="S255" s="317" t="s">
        <v>1991</v>
      </c>
      <c r="T255" s="326" t="s">
        <v>1991</v>
      </c>
      <c r="U255" s="312" t="s">
        <v>1991</v>
      </c>
      <c r="V255" s="46">
        <v>0</v>
      </c>
      <c r="W255" s="324" t="s">
        <v>1991</v>
      </c>
      <c r="X255" s="324" t="s">
        <v>1991</v>
      </c>
      <c r="Y255" s="324" t="s">
        <v>1991</v>
      </c>
      <c r="Z255" s="46" t="s">
        <v>1991</v>
      </c>
      <c r="AA255" s="46" t="s">
        <v>1991</v>
      </c>
      <c r="AB255" s="46" t="s">
        <v>1991</v>
      </c>
      <c r="AC255" s="46" t="s">
        <v>1991</v>
      </c>
      <c r="AD255" s="46" t="s">
        <v>1991</v>
      </c>
      <c r="AE255" s="324" t="s">
        <v>1991</v>
      </c>
      <c r="AF255" s="324" t="s">
        <v>1991</v>
      </c>
      <c r="AG255" s="324" t="s">
        <v>1991</v>
      </c>
      <c r="AH255" s="324" t="s">
        <v>1991</v>
      </c>
      <c r="AI255" s="324" t="s">
        <v>1991</v>
      </c>
      <c r="AJ255" s="324" t="s">
        <v>1991</v>
      </c>
      <c r="AK255" s="324" t="s">
        <v>1991</v>
      </c>
      <c r="AL255" s="327"/>
      <c r="AM255" s="327"/>
      <c r="AN255" s="327"/>
      <c r="AO255" s="327"/>
      <c r="AP255" s="327"/>
      <c r="AQ255" s="327"/>
      <c r="AR255" s="327"/>
      <c r="AS255" s="327"/>
      <c r="AT255" s="327"/>
      <c r="AU255" s="327"/>
      <c r="AV255" s="327"/>
      <c r="AW255" s="327"/>
      <c r="AX255" s="327"/>
      <c r="AY255" s="327"/>
      <c r="AZ255" s="327"/>
      <c r="BA255" s="327"/>
      <c r="BB255" s="46">
        <f t="shared" si="90"/>
        <v>12</v>
      </c>
      <c r="BC255" s="46">
        <f t="shared" si="91"/>
        <v>15</v>
      </c>
      <c r="BD255" s="46">
        <f t="shared" si="89"/>
        <v>0</v>
      </c>
      <c r="BE255" s="46">
        <f t="shared" si="92"/>
        <v>0</v>
      </c>
      <c r="BF255" s="296">
        <f t="shared" si="93"/>
        <v>27</v>
      </c>
      <c r="BG255" s="2"/>
      <c r="BH255" s="2"/>
      <c r="BI255" s="2"/>
      <c r="BJ255" s="2"/>
      <c r="BK255" s="279">
        <f t="shared" si="94"/>
        <v>1</v>
      </c>
      <c r="BL255" s="279">
        <f t="shared" si="95"/>
        <v>27</v>
      </c>
      <c r="BM255" s="279"/>
      <c r="BN255" s="279"/>
      <c r="BO255" s="2">
        <f t="shared" si="96"/>
        <v>27</v>
      </c>
      <c r="BP255" s="430"/>
      <c r="BQ255" s="431"/>
      <c r="BR255" s="2"/>
      <c r="BS255" s="25"/>
      <c r="BT255" s="348">
        <f t="shared" si="103"/>
        <v>1</v>
      </c>
      <c r="BU255" s="2"/>
      <c r="BV255" s="282">
        <f t="shared" si="97"/>
        <v>0</v>
      </c>
      <c r="BW255" s="279">
        <v>-20000</v>
      </c>
      <c r="BX255" s="269">
        <f t="shared" si="98"/>
        <v>0</v>
      </c>
      <c r="BY255" s="349" t="e">
        <f t="shared" si="67"/>
        <v>#N/A</v>
      </c>
      <c r="BZ255" s="349" t="e">
        <f t="shared" si="68"/>
        <v>#N/A</v>
      </c>
      <c r="CA255" s="349" t="e">
        <f t="shared" si="69"/>
        <v>#N/A</v>
      </c>
      <c r="CB255" s="349" t="e">
        <f t="shared" si="70"/>
        <v>#N/A</v>
      </c>
      <c r="CC255" s="349" t="e">
        <f t="shared" si="99"/>
        <v>#N/A</v>
      </c>
      <c r="CD255" s="14" t="e">
        <f t="shared" si="100"/>
        <v>#N/A</v>
      </c>
      <c r="CE255" s="14">
        <f t="shared" si="101"/>
        <v>27</v>
      </c>
      <c r="CF255" s="25">
        <f t="shared" si="102"/>
        <v>1</v>
      </c>
      <c r="CG255" s="270"/>
      <c r="CH255" s="2"/>
      <c r="CL255" s="349"/>
      <c r="CM255" s="349"/>
      <c r="CN255" s="349"/>
      <c r="CO255" s="349"/>
      <c r="CP255" s="349"/>
      <c r="CQ255" s="14"/>
      <c r="CY255" s="2"/>
    </row>
    <row r="256" spans="1:103" s="1" customFormat="1" ht="29.4" customHeight="1">
      <c r="A256" s="46">
        <v>82</v>
      </c>
      <c r="B256" s="46">
        <v>3</v>
      </c>
      <c r="C256" s="46">
        <v>129</v>
      </c>
      <c r="D256" s="48"/>
      <c r="E256" s="48"/>
      <c r="F256" s="46"/>
      <c r="G256" s="317">
        <v>0</v>
      </c>
      <c r="H256" s="317" t="s">
        <v>1991</v>
      </c>
      <c r="I256" s="317" t="s">
        <v>1991</v>
      </c>
      <c r="J256" s="317"/>
      <c r="K256" s="317">
        <v>0</v>
      </c>
      <c r="L256" s="317" t="s">
        <v>1991</v>
      </c>
      <c r="M256" s="317">
        <v>0</v>
      </c>
      <c r="N256" s="317" t="s">
        <v>1991</v>
      </c>
      <c r="O256" s="317" t="s">
        <v>1991</v>
      </c>
      <c r="P256" s="317" t="s">
        <v>1991</v>
      </c>
      <c r="Q256" s="317" t="s">
        <v>1991</v>
      </c>
      <c r="R256" s="317" t="s">
        <v>1991</v>
      </c>
      <c r="S256" s="317" t="s">
        <v>1991</v>
      </c>
      <c r="T256" s="326" t="s">
        <v>1991</v>
      </c>
      <c r="U256" s="312" t="s">
        <v>1991</v>
      </c>
      <c r="V256" s="46" t="s">
        <v>1991</v>
      </c>
      <c r="W256" s="324">
        <v>0</v>
      </c>
      <c r="X256" s="324" t="s">
        <v>1991</v>
      </c>
      <c r="Y256" s="324" t="s">
        <v>1991</v>
      </c>
      <c r="Z256" s="46" t="s">
        <v>1991</v>
      </c>
      <c r="AA256" s="46" t="s">
        <v>1991</v>
      </c>
      <c r="AB256" s="46" t="s">
        <v>1991</v>
      </c>
      <c r="AC256" s="46" t="s">
        <v>1991</v>
      </c>
      <c r="AD256" s="46" t="s">
        <v>1991</v>
      </c>
      <c r="AE256" s="324" t="s">
        <v>1991</v>
      </c>
      <c r="AF256" s="324" t="s">
        <v>1991</v>
      </c>
      <c r="AG256" s="324" t="s">
        <v>1991</v>
      </c>
      <c r="AH256" s="324" t="s">
        <v>1991</v>
      </c>
      <c r="AI256" s="324">
        <v>0</v>
      </c>
      <c r="AJ256" s="324">
        <v>0</v>
      </c>
      <c r="AK256" s="324" t="s">
        <v>1991</v>
      </c>
      <c r="AL256" s="327"/>
      <c r="AM256" s="327"/>
      <c r="AN256" s="327"/>
      <c r="AO256" s="327"/>
      <c r="AP256" s="327" t="s">
        <v>1991</v>
      </c>
      <c r="AQ256" s="327"/>
      <c r="AR256" s="327"/>
      <c r="AS256" s="327"/>
      <c r="AT256" s="327"/>
      <c r="AU256" s="327"/>
      <c r="AV256" s="327"/>
      <c r="AW256" s="327"/>
      <c r="AX256" s="327"/>
      <c r="AY256" s="327"/>
      <c r="AZ256" s="327"/>
      <c r="BA256" s="327"/>
      <c r="BB256" s="46">
        <f t="shared" si="90"/>
        <v>11</v>
      </c>
      <c r="BC256" s="46">
        <f t="shared" si="91"/>
        <v>13</v>
      </c>
      <c r="BD256" s="46">
        <f t="shared" si="89"/>
        <v>1</v>
      </c>
      <c r="BE256" s="46">
        <f t="shared" si="92"/>
        <v>0</v>
      </c>
      <c r="BF256" s="296">
        <f t="shared" si="93"/>
        <v>24</v>
      </c>
      <c r="BG256" s="2"/>
      <c r="BH256" s="2"/>
      <c r="BI256" s="2"/>
      <c r="BJ256" s="2"/>
      <c r="BK256" s="279">
        <f t="shared" si="94"/>
        <v>0</v>
      </c>
      <c r="BL256" s="279">
        <f t="shared" si="95"/>
        <v>24</v>
      </c>
      <c r="BM256" s="279"/>
      <c r="BN256" s="279"/>
      <c r="BO256" s="2">
        <f t="shared" si="96"/>
        <v>0</v>
      </c>
      <c r="BP256" s="430"/>
      <c r="BQ256" s="431"/>
      <c r="BR256" s="2"/>
      <c r="BS256" s="25"/>
      <c r="BT256" s="348">
        <f t="shared" si="103"/>
        <v>0</v>
      </c>
      <c r="BU256" s="2"/>
      <c r="BV256" s="282">
        <f t="shared" si="97"/>
        <v>0</v>
      </c>
      <c r="BW256" s="279">
        <v>0</v>
      </c>
      <c r="BX256" s="269">
        <f t="shared" si="98"/>
        <v>0</v>
      </c>
      <c r="BY256" s="349" t="e">
        <f t="shared" si="67"/>
        <v>#N/A</v>
      </c>
      <c r="BZ256" s="349" t="e">
        <f t="shared" si="68"/>
        <v>#N/A</v>
      </c>
      <c r="CA256" s="349" t="e">
        <f t="shared" si="69"/>
        <v>#N/A</v>
      </c>
      <c r="CB256" s="349" t="e">
        <f t="shared" si="70"/>
        <v>#N/A</v>
      </c>
      <c r="CC256" s="349" t="e">
        <f t="shared" si="99"/>
        <v>#N/A</v>
      </c>
      <c r="CD256" s="14" t="e">
        <f t="shared" si="100"/>
        <v>#N/A</v>
      </c>
      <c r="CE256" s="14">
        <f t="shared" si="101"/>
        <v>0</v>
      </c>
      <c r="CF256" s="25">
        <f t="shared" si="102"/>
        <v>0</v>
      </c>
      <c r="CG256" s="270"/>
      <c r="CH256" s="2"/>
      <c r="CL256" s="349"/>
      <c r="CM256" s="349"/>
      <c r="CN256" s="349"/>
      <c r="CO256" s="349"/>
      <c r="CP256" s="349"/>
      <c r="CQ256" s="14"/>
      <c r="CY256" s="2"/>
    </row>
    <row r="257" spans="1:103" s="1" customFormat="1" ht="29.4" customHeight="1">
      <c r="A257" s="46">
        <v>83</v>
      </c>
      <c r="B257" s="46">
        <v>3</v>
      </c>
      <c r="C257" s="46">
        <v>130</v>
      </c>
      <c r="D257" s="48"/>
      <c r="E257" s="48"/>
      <c r="F257" s="46"/>
      <c r="G257" s="317">
        <v>0</v>
      </c>
      <c r="H257" s="317">
        <v>0</v>
      </c>
      <c r="I257" s="317">
        <v>0</v>
      </c>
      <c r="J257" s="317"/>
      <c r="K257" s="317">
        <v>0</v>
      </c>
      <c r="L257" s="317">
        <v>0</v>
      </c>
      <c r="M257" s="317">
        <v>0</v>
      </c>
      <c r="N257" s="317">
        <v>0</v>
      </c>
      <c r="O257" s="317" t="s">
        <v>1991</v>
      </c>
      <c r="P257" s="317" t="s">
        <v>1991</v>
      </c>
      <c r="Q257" s="317" t="s">
        <v>1991</v>
      </c>
      <c r="R257" s="317" t="s">
        <v>1991</v>
      </c>
      <c r="S257" s="317" t="s">
        <v>1991</v>
      </c>
      <c r="T257" s="326" t="s">
        <v>1991</v>
      </c>
      <c r="U257" s="312" t="s">
        <v>1991</v>
      </c>
      <c r="V257" s="46" t="s">
        <v>1991</v>
      </c>
      <c r="W257" s="324" t="s">
        <v>1991</v>
      </c>
      <c r="X257" s="324" t="s">
        <v>1991</v>
      </c>
      <c r="Y257" s="324" t="s">
        <v>1991</v>
      </c>
      <c r="Z257" s="46">
        <v>0</v>
      </c>
      <c r="AA257" s="46" t="s">
        <v>1991</v>
      </c>
      <c r="AB257" s="46" t="s">
        <v>1991</v>
      </c>
      <c r="AC257" s="46" t="s">
        <v>1991</v>
      </c>
      <c r="AD257" s="46" t="s">
        <v>1991</v>
      </c>
      <c r="AE257" s="324" t="s">
        <v>1991</v>
      </c>
      <c r="AF257" s="324">
        <v>0</v>
      </c>
      <c r="AG257" s="324" t="s">
        <v>1991</v>
      </c>
      <c r="AH257" s="324" t="s">
        <v>1991</v>
      </c>
      <c r="AI257" s="324" t="s">
        <v>1991</v>
      </c>
      <c r="AJ257" s="324" t="s">
        <v>1991</v>
      </c>
      <c r="AK257" s="324" t="s">
        <v>1991</v>
      </c>
      <c r="AL257" s="327"/>
      <c r="AM257" s="327"/>
      <c r="AN257" s="327"/>
      <c r="AO257" s="327"/>
      <c r="AP257" s="327"/>
      <c r="AQ257" s="327"/>
      <c r="AR257" s="327"/>
      <c r="AS257" s="327"/>
      <c r="AT257" s="327"/>
      <c r="AU257" s="327"/>
      <c r="AV257" s="327"/>
      <c r="AW257" s="327"/>
      <c r="AX257" s="327"/>
      <c r="AY257" s="327"/>
      <c r="AZ257" s="327"/>
      <c r="BA257" s="327"/>
      <c r="BB257" s="46">
        <f t="shared" si="90"/>
        <v>7</v>
      </c>
      <c r="BC257" s="46">
        <f t="shared" si="91"/>
        <v>14</v>
      </c>
      <c r="BD257" s="46">
        <f t="shared" si="89"/>
        <v>0</v>
      </c>
      <c r="BE257" s="46">
        <f t="shared" si="92"/>
        <v>0</v>
      </c>
      <c r="BF257" s="296">
        <f t="shared" si="93"/>
        <v>21</v>
      </c>
      <c r="BG257" s="2"/>
      <c r="BH257" s="2"/>
      <c r="BI257" s="2"/>
      <c r="BJ257" s="2"/>
      <c r="BK257" s="279">
        <f t="shared" si="94"/>
        <v>0</v>
      </c>
      <c r="BL257" s="279">
        <f t="shared" si="95"/>
        <v>21</v>
      </c>
      <c r="BM257" s="279"/>
      <c r="BN257" s="279"/>
      <c r="BO257" s="2">
        <f t="shared" si="96"/>
        <v>0</v>
      </c>
      <c r="BP257" s="430"/>
      <c r="BQ257" s="431"/>
      <c r="BR257" s="2"/>
      <c r="BS257" s="25"/>
      <c r="BT257" s="348">
        <f t="shared" si="103"/>
        <v>0</v>
      </c>
      <c r="BU257" s="2"/>
      <c r="BV257" s="282">
        <f t="shared" si="97"/>
        <v>0</v>
      </c>
      <c r="BW257" s="279">
        <v>0</v>
      </c>
      <c r="BX257" s="269">
        <f t="shared" si="98"/>
        <v>0</v>
      </c>
      <c r="BY257" s="349" t="e">
        <f t="shared" si="67"/>
        <v>#N/A</v>
      </c>
      <c r="BZ257" s="349" t="e">
        <f t="shared" si="68"/>
        <v>#N/A</v>
      </c>
      <c r="CA257" s="349" t="e">
        <f t="shared" si="69"/>
        <v>#N/A</v>
      </c>
      <c r="CB257" s="349" t="e">
        <f t="shared" si="70"/>
        <v>#N/A</v>
      </c>
      <c r="CC257" s="349" t="e">
        <f t="shared" si="99"/>
        <v>#N/A</v>
      </c>
      <c r="CD257" s="14" t="e">
        <f t="shared" si="100"/>
        <v>#N/A</v>
      </c>
      <c r="CE257" s="14">
        <f t="shared" si="101"/>
        <v>0</v>
      </c>
      <c r="CF257" s="25">
        <f t="shared" si="102"/>
        <v>0</v>
      </c>
      <c r="CG257" s="270"/>
      <c r="CH257" s="2"/>
      <c r="CL257" s="349"/>
      <c r="CM257" s="349"/>
      <c r="CN257" s="349"/>
      <c r="CO257" s="349"/>
      <c r="CP257" s="349"/>
      <c r="CQ257" s="14"/>
      <c r="CY257" s="2"/>
    </row>
    <row r="258" spans="1:103" s="1" customFormat="1" ht="29.4" customHeight="1">
      <c r="A258" s="46">
        <v>84</v>
      </c>
      <c r="B258" s="46">
        <v>3</v>
      </c>
      <c r="C258" s="46">
        <v>131</v>
      </c>
      <c r="D258" s="48"/>
      <c r="E258" s="48"/>
      <c r="F258" s="46"/>
      <c r="G258" s="317">
        <v>0</v>
      </c>
      <c r="H258" s="317">
        <v>0</v>
      </c>
      <c r="I258" s="317">
        <v>0</v>
      </c>
      <c r="J258" s="317"/>
      <c r="K258" s="317">
        <v>0</v>
      </c>
      <c r="L258" s="317">
        <v>0</v>
      </c>
      <c r="M258" s="317">
        <v>0</v>
      </c>
      <c r="N258" s="317">
        <v>0</v>
      </c>
      <c r="O258" s="317">
        <v>0</v>
      </c>
      <c r="P258" s="317">
        <v>0</v>
      </c>
      <c r="Q258" s="317" t="s">
        <v>1991</v>
      </c>
      <c r="R258" s="317" t="s">
        <v>1991</v>
      </c>
      <c r="S258" s="317" t="s">
        <v>1991</v>
      </c>
      <c r="T258" s="326" t="s">
        <v>1991</v>
      </c>
      <c r="U258" s="312" t="s">
        <v>1991</v>
      </c>
      <c r="V258" s="46" t="s">
        <v>1991</v>
      </c>
      <c r="W258" s="324" t="s">
        <v>1991</v>
      </c>
      <c r="X258" s="324" t="s">
        <v>1991</v>
      </c>
      <c r="Y258" s="324" t="s">
        <v>1991</v>
      </c>
      <c r="Z258" s="46" t="s">
        <v>1991</v>
      </c>
      <c r="AA258" s="46" t="s">
        <v>1991</v>
      </c>
      <c r="AB258" s="46" t="s">
        <v>1991</v>
      </c>
      <c r="AC258" s="46" t="s">
        <v>1991</v>
      </c>
      <c r="AD258" s="46">
        <v>0</v>
      </c>
      <c r="AE258" s="324" t="s">
        <v>1991</v>
      </c>
      <c r="AF258" s="324">
        <v>0</v>
      </c>
      <c r="AG258" s="324">
        <v>0</v>
      </c>
      <c r="AH258" s="324">
        <v>0</v>
      </c>
      <c r="AI258" s="324">
        <v>0</v>
      </c>
      <c r="AJ258" s="324">
        <v>0</v>
      </c>
      <c r="AK258" s="324">
        <v>0</v>
      </c>
      <c r="AL258" s="327"/>
      <c r="AM258" s="327"/>
      <c r="AN258" s="327"/>
      <c r="AO258" s="327"/>
      <c r="AP258" s="327"/>
      <c r="AQ258" s="327"/>
      <c r="AR258" s="327"/>
      <c r="AS258" s="327"/>
      <c r="AT258" s="327"/>
      <c r="AU258" s="327"/>
      <c r="AV258" s="327"/>
      <c r="AW258" s="327"/>
      <c r="AX258" s="327"/>
      <c r="AY258" s="327"/>
      <c r="AZ258" s="327"/>
      <c r="BA258" s="327"/>
      <c r="BB258" s="46">
        <f t="shared" si="90"/>
        <v>5</v>
      </c>
      <c r="BC258" s="46">
        <f t="shared" si="91"/>
        <v>9</v>
      </c>
      <c r="BD258" s="46">
        <f t="shared" si="89"/>
        <v>0</v>
      </c>
      <c r="BE258" s="46">
        <f t="shared" si="92"/>
        <v>0</v>
      </c>
      <c r="BF258" s="296">
        <f t="shared" si="93"/>
        <v>14</v>
      </c>
      <c r="BG258" s="2"/>
      <c r="BH258" s="2"/>
      <c r="BI258" s="2"/>
      <c r="BJ258" s="2"/>
      <c r="BK258" s="279">
        <f t="shared" si="94"/>
        <v>0</v>
      </c>
      <c r="BL258" s="279">
        <f t="shared" si="95"/>
        <v>14</v>
      </c>
      <c r="BM258" s="279"/>
      <c r="BN258" s="279"/>
      <c r="BO258" s="2">
        <f t="shared" si="96"/>
        <v>0</v>
      </c>
      <c r="BP258" s="430"/>
      <c r="BQ258" s="431"/>
      <c r="BR258" s="2"/>
      <c r="BS258" s="25"/>
      <c r="BT258" s="348">
        <f t="shared" si="103"/>
        <v>0</v>
      </c>
      <c r="BU258" s="2"/>
      <c r="BV258" s="282">
        <f t="shared" si="97"/>
        <v>0</v>
      </c>
      <c r="BW258" s="279">
        <v>0</v>
      </c>
      <c r="BX258" s="269">
        <f t="shared" si="98"/>
        <v>0</v>
      </c>
      <c r="BY258" s="349" t="e">
        <f t="shared" si="67"/>
        <v>#N/A</v>
      </c>
      <c r="BZ258" s="349" t="e">
        <f t="shared" si="68"/>
        <v>#N/A</v>
      </c>
      <c r="CA258" s="349" t="e">
        <f t="shared" si="69"/>
        <v>#N/A</v>
      </c>
      <c r="CB258" s="349" t="e">
        <f t="shared" si="70"/>
        <v>#N/A</v>
      </c>
      <c r="CC258" s="349" t="e">
        <f t="shared" si="99"/>
        <v>#N/A</v>
      </c>
      <c r="CD258" s="14" t="e">
        <f t="shared" si="100"/>
        <v>#N/A</v>
      </c>
      <c r="CE258" s="14">
        <f t="shared" si="101"/>
        <v>0</v>
      </c>
      <c r="CF258" s="25">
        <f t="shared" si="102"/>
        <v>0</v>
      </c>
      <c r="CG258" s="270"/>
      <c r="CH258" s="2"/>
      <c r="CL258" s="349"/>
      <c r="CM258" s="349"/>
      <c r="CN258" s="349"/>
      <c r="CO258" s="349"/>
      <c r="CP258" s="349"/>
      <c r="CQ258" s="14"/>
      <c r="CY258" s="2"/>
    </row>
    <row r="259" spans="1:103" s="1" customFormat="1" ht="29.4" customHeight="1">
      <c r="A259" s="46">
        <v>85</v>
      </c>
      <c r="B259" s="46">
        <v>3</v>
      </c>
      <c r="C259" s="46">
        <v>132</v>
      </c>
      <c r="D259" s="48"/>
      <c r="E259" s="48"/>
      <c r="F259" s="46"/>
      <c r="G259" s="317" t="s">
        <v>1991</v>
      </c>
      <c r="H259" s="317" t="s">
        <v>1991</v>
      </c>
      <c r="I259" s="317" t="s">
        <v>1991</v>
      </c>
      <c r="J259" s="317"/>
      <c r="K259" s="317" t="s">
        <v>1991</v>
      </c>
      <c r="L259" s="317" t="s">
        <v>1991</v>
      </c>
      <c r="M259" s="317" t="s">
        <v>1991</v>
      </c>
      <c r="N259" s="317" t="s">
        <v>1991</v>
      </c>
      <c r="O259" s="317" t="s">
        <v>1991</v>
      </c>
      <c r="P259" s="317" t="s">
        <v>1991</v>
      </c>
      <c r="Q259" s="317" t="s">
        <v>1991</v>
      </c>
      <c r="R259" s="317" t="s">
        <v>1991</v>
      </c>
      <c r="S259" s="317" t="s">
        <v>1991</v>
      </c>
      <c r="T259" s="326" t="s">
        <v>1991</v>
      </c>
      <c r="U259" s="312" t="s">
        <v>1991</v>
      </c>
      <c r="V259" s="46" t="s">
        <v>1991</v>
      </c>
      <c r="W259" s="324" t="s">
        <v>1991</v>
      </c>
      <c r="X259" s="324" t="s">
        <v>1991</v>
      </c>
      <c r="Y259" s="324" t="s">
        <v>1991</v>
      </c>
      <c r="Z259" s="46" t="s">
        <v>1991</v>
      </c>
      <c r="AA259" s="46" t="s">
        <v>1991</v>
      </c>
      <c r="AB259" s="46" t="s">
        <v>1991</v>
      </c>
      <c r="AC259" s="46">
        <v>0</v>
      </c>
      <c r="AD259" s="46">
        <v>0</v>
      </c>
      <c r="AE259" s="324" t="s">
        <v>1991</v>
      </c>
      <c r="AF259" s="324" t="s">
        <v>1991</v>
      </c>
      <c r="AG259" s="324" t="s">
        <v>1991</v>
      </c>
      <c r="AH259" s="324">
        <v>0</v>
      </c>
      <c r="AI259" s="324" t="s">
        <v>1991</v>
      </c>
      <c r="AJ259" s="324" t="s">
        <v>1991</v>
      </c>
      <c r="AK259" s="324" t="s">
        <v>1991</v>
      </c>
      <c r="AL259" s="327"/>
      <c r="AM259" s="327"/>
      <c r="AN259" s="327"/>
      <c r="AO259" s="327"/>
      <c r="AP259" s="327"/>
      <c r="AQ259" s="327"/>
      <c r="AR259" s="327"/>
      <c r="AS259" s="327" t="s">
        <v>1991</v>
      </c>
      <c r="AT259" s="327"/>
      <c r="AU259" s="327"/>
      <c r="AV259" s="327"/>
      <c r="AW259" s="327"/>
      <c r="AX259" s="327"/>
      <c r="AY259" s="327"/>
      <c r="AZ259" s="327"/>
      <c r="BA259" s="327"/>
      <c r="BB259" s="46">
        <f t="shared" si="90"/>
        <v>14</v>
      </c>
      <c r="BC259" s="46">
        <f t="shared" si="91"/>
        <v>13</v>
      </c>
      <c r="BD259" s="46">
        <f t="shared" si="89"/>
        <v>1</v>
      </c>
      <c r="BE259" s="46">
        <f t="shared" si="92"/>
        <v>0</v>
      </c>
      <c r="BF259" s="296">
        <f t="shared" si="93"/>
        <v>27</v>
      </c>
      <c r="BG259" s="2"/>
      <c r="BH259" s="2"/>
      <c r="BI259" s="2"/>
      <c r="BJ259" s="2"/>
      <c r="BK259" s="279">
        <f t="shared" si="94"/>
        <v>1</v>
      </c>
      <c r="BL259" s="279">
        <f t="shared" si="95"/>
        <v>27</v>
      </c>
      <c r="BM259" s="279"/>
      <c r="BN259" s="279"/>
      <c r="BO259" s="2">
        <f t="shared" si="96"/>
        <v>27</v>
      </c>
      <c r="BP259" s="430"/>
      <c r="BQ259" s="431"/>
      <c r="BR259" s="2"/>
      <c r="BS259" s="25"/>
      <c r="BT259" s="348">
        <f t="shared" si="103"/>
        <v>1</v>
      </c>
      <c r="BU259" s="2"/>
      <c r="BV259" s="282">
        <f t="shared" si="97"/>
        <v>0</v>
      </c>
      <c r="BW259" s="279">
        <v>0</v>
      </c>
      <c r="BX259" s="269">
        <f t="shared" si="98"/>
        <v>0</v>
      </c>
      <c r="BY259" s="349" t="e">
        <f t="shared" si="67"/>
        <v>#N/A</v>
      </c>
      <c r="BZ259" s="349" t="e">
        <f t="shared" si="68"/>
        <v>#N/A</v>
      </c>
      <c r="CA259" s="349" t="e">
        <f t="shared" si="69"/>
        <v>#N/A</v>
      </c>
      <c r="CB259" s="349" t="e">
        <f t="shared" si="70"/>
        <v>#N/A</v>
      </c>
      <c r="CC259" s="349" t="e">
        <f t="shared" si="99"/>
        <v>#N/A</v>
      </c>
      <c r="CD259" s="14" t="e">
        <f t="shared" si="100"/>
        <v>#N/A</v>
      </c>
      <c r="CE259" s="14">
        <f t="shared" si="101"/>
        <v>27</v>
      </c>
      <c r="CF259" s="25">
        <f t="shared" si="102"/>
        <v>1</v>
      </c>
      <c r="CG259" s="270"/>
      <c r="CH259" s="2"/>
      <c r="CL259" s="349"/>
      <c r="CM259" s="349"/>
      <c r="CN259" s="349"/>
      <c r="CO259" s="349"/>
      <c r="CP259" s="349"/>
      <c r="CQ259" s="14"/>
      <c r="CY259" s="2"/>
    </row>
    <row r="260" spans="1:103" s="1" customFormat="1" ht="29.4" customHeight="1">
      <c r="A260" s="46">
        <v>86</v>
      </c>
      <c r="B260" s="46">
        <v>3</v>
      </c>
      <c r="C260" s="46">
        <v>133</v>
      </c>
      <c r="D260" s="48"/>
      <c r="E260" s="48"/>
      <c r="F260" s="46"/>
      <c r="G260" s="317" t="s">
        <v>1991</v>
      </c>
      <c r="H260" s="317" t="s">
        <v>1991</v>
      </c>
      <c r="I260" s="317" t="s">
        <v>1991</v>
      </c>
      <c r="J260" s="317"/>
      <c r="K260" s="317" t="s">
        <v>1991</v>
      </c>
      <c r="L260" s="317" t="s">
        <v>1991</v>
      </c>
      <c r="M260" s="317">
        <v>0</v>
      </c>
      <c r="N260" s="317" t="s">
        <v>1991</v>
      </c>
      <c r="O260" s="317" t="s">
        <v>1991</v>
      </c>
      <c r="P260" s="317" t="s">
        <v>1991</v>
      </c>
      <c r="Q260" s="317" t="s">
        <v>1991</v>
      </c>
      <c r="R260" s="317" t="s">
        <v>1991</v>
      </c>
      <c r="S260" s="317" t="s">
        <v>1991</v>
      </c>
      <c r="T260" s="326" t="s">
        <v>1991</v>
      </c>
      <c r="U260" s="312" t="s">
        <v>1991</v>
      </c>
      <c r="V260" s="46" t="s">
        <v>1991</v>
      </c>
      <c r="W260" s="324" t="s">
        <v>1991</v>
      </c>
      <c r="X260" s="324" t="s">
        <v>1991</v>
      </c>
      <c r="Y260" s="324" t="s">
        <v>1991</v>
      </c>
      <c r="Z260" s="46" t="s">
        <v>1991</v>
      </c>
      <c r="AA260" s="46" t="s">
        <v>1991</v>
      </c>
      <c r="AB260" s="46" t="s">
        <v>1991</v>
      </c>
      <c r="AC260" s="46">
        <v>0</v>
      </c>
      <c r="AD260" s="46" t="s">
        <v>1991</v>
      </c>
      <c r="AE260" s="324" t="s">
        <v>1991</v>
      </c>
      <c r="AF260" s="324" t="s">
        <v>1991</v>
      </c>
      <c r="AG260" s="324">
        <v>0</v>
      </c>
      <c r="AH260" s="324">
        <v>0</v>
      </c>
      <c r="AI260" s="324" t="s">
        <v>1991</v>
      </c>
      <c r="AJ260" s="324" t="s">
        <v>1991</v>
      </c>
      <c r="AK260" s="324" t="s">
        <v>1991</v>
      </c>
      <c r="AL260" s="327"/>
      <c r="AM260" s="327"/>
      <c r="AN260" s="327"/>
      <c r="AO260" s="327"/>
      <c r="AP260" s="327"/>
      <c r="AQ260" s="327"/>
      <c r="AR260" s="327"/>
      <c r="AS260" s="327" t="s">
        <v>1991</v>
      </c>
      <c r="AT260" s="327"/>
      <c r="AU260" s="327"/>
      <c r="AV260" s="327"/>
      <c r="AW260" s="327"/>
      <c r="AX260" s="327"/>
      <c r="AY260" s="327"/>
      <c r="AZ260" s="327"/>
      <c r="BA260" s="327"/>
      <c r="BB260" s="46">
        <f t="shared" si="90"/>
        <v>13</v>
      </c>
      <c r="BC260" s="46">
        <f t="shared" si="91"/>
        <v>13</v>
      </c>
      <c r="BD260" s="46">
        <f t="shared" ref="BD260:BD311" si="104">COUNTIF(AL260:BA260,"X")</f>
        <v>1</v>
      </c>
      <c r="BE260" s="46">
        <f t="shared" si="92"/>
        <v>0</v>
      </c>
      <c r="BF260" s="296">
        <f t="shared" si="93"/>
        <v>26</v>
      </c>
      <c r="BG260" s="2"/>
      <c r="BH260" s="2"/>
      <c r="BI260" s="2"/>
      <c r="BJ260" s="2"/>
      <c r="BK260" s="279">
        <f t="shared" si="94"/>
        <v>1</v>
      </c>
      <c r="BL260" s="279">
        <f t="shared" si="95"/>
        <v>26</v>
      </c>
      <c r="BM260" s="279"/>
      <c r="BN260" s="279"/>
      <c r="BO260" s="2">
        <f t="shared" si="96"/>
        <v>26</v>
      </c>
      <c r="BP260" s="430"/>
      <c r="BQ260" s="431"/>
      <c r="BR260" s="2"/>
      <c r="BS260" s="25"/>
      <c r="BT260" s="348">
        <f t="shared" si="103"/>
        <v>1</v>
      </c>
      <c r="BU260" s="2"/>
      <c r="BV260" s="282">
        <f t="shared" si="97"/>
        <v>0</v>
      </c>
      <c r="BW260" s="279">
        <v>0</v>
      </c>
      <c r="BX260" s="269">
        <f t="shared" si="98"/>
        <v>0</v>
      </c>
      <c r="BY260" s="349" t="e">
        <f t="shared" si="67"/>
        <v>#N/A</v>
      </c>
      <c r="BZ260" s="349" t="e">
        <f t="shared" si="68"/>
        <v>#N/A</v>
      </c>
      <c r="CA260" s="349" t="e">
        <f t="shared" si="69"/>
        <v>#N/A</v>
      </c>
      <c r="CB260" s="349" t="e">
        <f t="shared" si="70"/>
        <v>#N/A</v>
      </c>
      <c r="CC260" s="349" t="e">
        <f t="shared" si="99"/>
        <v>#N/A</v>
      </c>
      <c r="CD260" s="14" t="e">
        <f t="shared" si="100"/>
        <v>#N/A</v>
      </c>
      <c r="CE260" s="14">
        <f t="shared" si="101"/>
        <v>26</v>
      </c>
      <c r="CF260" s="25">
        <f t="shared" si="102"/>
        <v>1</v>
      </c>
      <c r="CG260" s="270"/>
      <c r="CH260" s="2"/>
      <c r="CL260" s="349"/>
      <c r="CM260" s="349"/>
      <c r="CN260" s="349"/>
      <c r="CO260" s="349"/>
      <c r="CP260" s="349"/>
      <c r="CQ260" s="14"/>
      <c r="CY260" s="2"/>
    </row>
    <row r="261" spans="1:103" s="1" customFormat="1" ht="29.4" customHeight="1">
      <c r="A261" s="46">
        <v>87</v>
      </c>
      <c r="B261" s="46">
        <v>3</v>
      </c>
      <c r="C261" s="46">
        <v>134</v>
      </c>
      <c r="D261" s="48"/>
      <c r="E261" s="48"/>
      <c r="F261" s="46"/>
      <c r="G261" s="317">
        <v>0</v>
      </c>
      <c r="H261" s="317" t="s">
        <v>1991</v>
      </c>
      <c r="I261" s="317" t="s">
        <v>1991</v>
      </c>
      <c r="J261" s="317"/>
      <c r="K261" s="317">
        <v>0</v>
      </c>
      <c r="L261" s="317" t="s">
        <v>1991</v>
      </c>
      <c r="M261" s="317" t="s">
        <v>1991</v>
      </c>
      <c r="N261" s="317" t="s">
        <v>1991</v>
      </c>
      <c r="O261" s="317" t="s">
        <v>1991</v>
      </c>
      <c r="P261" s="317" t="s">
        <v>1991</v>
      </c>
      <c r="Q261" s="317" t="s">
        <v>1991</v>
      </c>
      <c r="R261" s="317" t="s">
        <v>1991</v>
      </c>
      <c r="S261" s="317" t="s">
        <v>1991</v>
      </c>
      <c r="T261" s="326" t="s">
        <v>1991</v>
      </c>
      <c r="U261" s="312" t="s">
        <v>1991</v>
      </c>
      <c r="V261" s="46" t="s">
        <v>1991</v>
      </c>
      <c r="W261" s="324" t="s">
        <v>1991</v>
      </c>
      <c r="X261" s="324" t="s">
        <v>1991</v>
      </c>
      <c r="Y261" s="324" t="s">
        <v>1991</v>
      </c>
      <c r="Z261" s="46" t="s">
        <v>1991</v>
      </c>
      <c r="AA261" s="46">
        <v>0</v>
      </c>
      <c r="AB261" s="46" t="s">
        <v>1991</v>
      </c>
      <c r="AC261" s="46" t="s">
        <v>1991</v>
      </c>
      <c r="AD261" s="46" t="s">
        <v>1991</v>
      </c>
      <c r="AE261" s="324" t="s">
        <v>1991</v>
      </c>
      <c r="AF261" s="324" t="s">
        <v>1991</v>
      </c>
      <c r="AG261" s="324" t="s">
        <v>1991</v>
      </c>
      <c r="AH261" s="324" t="s">
        <v>1991</v>
      </c>
      <c r="AI261" s="324" t="s">
        <v>1991</v>
      </c>
      <c r="AJ261" s="324" t="s">
        <v>1991</v>
      </c>
      <c r="AK261" s="324" t="s">
        <v>1991</v>
      </c>
      <c r="AL261" s="327"/>
      <c r="AM261" s="327"/>
      <c r="AN261" s="327"/>
      <c r="AO261" s="327"/>
      <c r="AP261" s="327" t="s">
        <v>1991</v>
      </c>
      <c r="AQ261" s="327"/>
      <c r="AR261" s="327"/>
      <c r="AS261" s="327"/>
      <c r="AT261" s="327"/>
      <c r="AU261" s="327"/>
      <c r="AV261" s="327"/>
      <c r="AW261" s="327"/>
      <c r="AX261" s="327"/>
      <c r="AY261" s="327"/>
      <c r="AZ261" s="327"/>
      <c r="BA261" s="327"/>
      <c r="BB261" s="46">
        <f t="shared" si="90"/>
        <v>12</v>
      </c>
      <c r="BC261" s="46">
        <f t="shared" si="91"/>
        <v>15</v>
      </c>
      <c r="BD261" s="46">
        <f t="shared" si="104"/>
        <v>1</v>
      </c>
      <c r="BE261" s="46">
        <f t="shared" si="92"/>
        <v>0</v>
      </c>
      <c r="BF261" s="296">
        <f t="shared" si="93"/>
        <v>27</v>
      </c>
      <c r="BG261" s="2"/>
      <c r="BH261" s="2"/>
      <c r="BI261" s="2"/>
      <c r="BJ261" s="2"/>
      <c r="BK261" s="279">
        <f t="shared" si="94"/>
        <v>1</v>
      </c>
      <c r="BL261" s="279">
        <f t="shared" si="95"/>
        <v>27</v>
      </c>
      <c r="BM261" s="279"/>
      <c r="BN261" s="279"/>
      <c r="BO261" s="2">
        <f t="shared" si="96"/>
        <v>27</v>
      </c>
      <c r="BP261" s="430"/>
      <c r="BQ261" s="431"/>
      <c r="BR261" s="2"/>
      <c r="BS261" s="25"/>
      <c r="BT261" s="348">
        <f t="shared" si="103"/>
        <v>1</v>
      </c>
      <c r="BU261" s="2"/>
      <c r="BV261" s="282">
        <f t="shared" si="97"/>
        <v>0</v>
      </c>
      <c r="BW261" s="279">
        <v>0</v>
      </c>
      <c r="BX261" s="269">
        <f t="shared" si="98"/>
        <v>0</v>
      </c>
      <c r="BY261" s="349" t="e">
        <f t="shared" si="67"/>
        <v>#N/A</v>
      </c>
      <c r="BZ261" s="349" t="e">
        <f t="shared" si="68"/>
        <v>#N/A</v>
      </c>
      <c r="CA261" s="349" t="e">
        <f t="shared" si="69"/>
        <v>#N/A</v>
      </c>
      <c r="CB261" s="349" t="e">
        <f t="shared" si="70"/>
        <v>#N/A</v>
      </c>
      <c r="CC261" s="349" t="e">
        <f t="shared" si="99"/>
        <v>#N/A</v>
      </c>
      <c r="CD261" s="14" t="e">
        <f t="shared" si="100"/>
        <v>#N/A</v>
      </c>
      <c r="CE261" s="14">
        <f t="shared" si="101"/>
        <v>27</v>
      </c>
      <c r="CF261" s="25">
        <f t="shared" si="102"/>
        <v>1</v>
      </c>
      <c r="CG261" s="270"/>
      <c r="CH261" s="2"/>
      <c r="CL261" s="349"/>
      <c r="CM261" s="349"/>
      <c r="CN261" s="349"/>
      <c r="CO261" s="349"/>
      <c r="CP261" s="349"/>
      <c r="CQ261" s="14"/>
      <c r="CY261" s="2"/>
    </row>
    <row r="262" spans="1:103" s="1" customFormat="1" ht="29.4" customHeight="1">
      <c r="A262" s="46">
        <v>88</v>
      </c>
      <c r="B262" s="46">
        <v>3</v>
      </c>
      <c r="C262" s="46">
        <v>135</v>
      </c>
      <c r="D262" s="48"/>
      <c r="E262" s="48"/>
      <c r="F262" s="46"/>
      <c r="G262" s="317" t="s">
        <v>1991</v>
      </c>
      <c r="H262" s="317" t="s">
        <v>1991</v>
      </c>
      <c r="I262" s="317">
        <v>0</v>
      </c>
      <c r="J262" s="317"/>
      <c r="K262" s="317">
        <v>0</v>
      </c>
      <c r="L262" s="317" t="s">
        <v>1991</v>
      </c>
      <c r="M262" s="317" t="s">
        <v>1991</v>
      </c>
      <c r="N262" s="317" t="s">
        <v>1991</v>
      </c>
      <c r="O262" s="317" t="s">
        <v>1991</v>
      </c>
      <c r="P262" s="317" t="s">
        <v>1991</v>
      </c>
      <c r="Q262" s="317" t="s">
        <v>1991</v>
      </c>
      <c r="R262" s="317" t="s">
        <v>1991</v>
      </c>
      <c r="S262" s="317" t="s">
        <v>1991</v>
      </c>
      <c r="T262" s="326" t="s">
        <v>1991</v>
      </c>
      <c r="U262" s="312" t="s">
        <v>1991</v>
      </c>
      <c r="V262" s="46" t="s">
        <v>1991</v>
      </c>
      <c r="W262" s="324" t="s">
        <v>1991</v>
      </c>
      <c r="X262" s="324" t="s">
        <v>1991</v>
      </c>
      <c r="Y262" s="324" t="s">
        <v>1991</v>
      </c>
      <c r="Z262" s="46" t="s">
        <v>1991</v>
      </c>
      <c r="AA262" s="46" t="s">
        <v>1991</v>
      </c>
      <c r="AB262" s="46" t="s">
        <v>1991</v>
      </c>
      <c r="AC262" s="46" t="s">
        <v>1991</v>
      </c>
      <c r="AD262" s="46" t="s">
        <v>1991</v>
      </c>
      <c r="AE262" s="324" t="s">
        <v>1991</v>
      </c>
      <c r="AF262" s="324" t="s">
        <v>1991</v>
      </c>
      <c r="AG262" s="324" t="s">
        <v>1991</v>
      </c>
      <c r="AH262" s="324" t="s">
        <v>1991</v>
      </c>
      <c r="AI262" s="324" t="s">
        <v>1991</v>
      </c>
      <c r="AJ262" s="324" t="s">
        <v>1991</v>
      </c>
      <c r="AK262" s="324" t="s">
        <v>1991</v>
      </c>
      <c r="AL262" s="327"/>
      <c r="AM262" s="327"/>
      <c r="AN262" s="327"/>
      <c r="AO262" s="327"/>
      <c r="AP262" s="327"/>
      <c r="AQ262" s="327"/>
      <c r="AR262" s="327"/>
      <c r="AS262" s="327"/>
      <c r="AT262" s="327"/>
      <c r="AU262" s="327"/>
      <c r="AV262" s="327"/>
      <c r="AW262" s="327"/>
      <c r="AX262" s="327"/>
      <c r="AY262" s="327"/>
      <c r="AZ262" s="327"/>
      <c r="BA262" s="327"/>
      <c r="BB262" s="46">
        <f t="shared" si="90"/>
        <v>12</v>
      </c>
      <c r="BC262" s="46">
        <f t="shared" si="91"/>
        <v>16</v>
      </c>
      <c r="BD262" s="46">
        <f t="shared" si="104"/>
        <v>0</v>
      </c>
      <c r="BE262" s="46">
        <f t="shared" si="92"/>
        <v>0</v>
      </c>
      <c r="BF262" s="296">
        <f t="shared" si="93"/>
        <v>28</v>
      </c>
      <c r="BG262" s="2"/>
      <c r="BH262" s="2"/>
      <c r="BI262" s="2"/>
      <c r="BJ262" s="2"/>
      <c r="BK262" s="279">
        <f t="shared" si="94"/>
        <v>1</v>
      </c>
      <c r="BL262" s="279">
        <f t="shared" si="95"/>
        <v>28</v>
      </c>
      <c r="BM262" s="279"/>
      <c r="BN262" s="279"/>
      <c r="BO262" s="2">
        <f t="shared" si="96"/>
        <v>28</v>
      </c>
      <c r="BP262" s="430"/>
      <c r="BQ262" s="431"/>
      <c r="BR262" s="2"/>
      <c r="BS262" s="25"/>
      <c r="BT262" s="348">
        <f t="shared" si="103"/>
        <v>1</v>
      </c>
      <c r="BU262" s="2"/>
      <c r="BV262" s="282">
        <f t="shared" si="97"/>
        <v>0</v>
      </c>
      <c r="BW262" s="279">
        <v>0</v>
      </c>
      <c r="BX262" s="269">
        <f t="shared" si="98"/>
        <v>0</v>
      </c>
      <c r="BY262" s="349" t="e">
        <f t="shared" si="67"/>
        <v>#N/A</v>
      </c>
      <c r="BZ262" s="349" t="e">
        <f t="shared" si="68"/>
        <v>#N/A</v>
      </c>
      <c r="CA262" s="349" t="e">
        <f t="shared" si="69"/>
        <v>#N/A</v>
      </c>
      <c r="CB262" s="349" t="e">
        <f t="shared" si="70"/>
        <v>#N/A</v>
      </c>
      <c r="CC262" s="349" t="e">
        <f t="shared" si="99"/>
        <v>#N/A</v>
      </c>
      <c r="CD262" s="14" t="e">
        <f t="shared" si="100"/>
        <v>#N/A</v>
      </c>
      <c r="CE262" s="14">
        <f t="shared" si="101"/>
        <v>28</v>
      </c>
      <c r="CF262" s="25">
        <f t="shared" si="102"/>
        <v>1</v>
      </c>
      <c r="CG262" s="270"/>
      <c r="CH262" s="2"/>
      <c r="CL262" s="349"/>
      <c r="CM262" s="349"/>
      <c r="CN262" s="349"/>
      <c r="CO262" s="349"/>
      <c r="CP262" s="349"/>
      <c r="CQ262" s="14"/>
      <c r="CY262" s="2"/>
    </row>
    <row r="263" spans="1:103" s="1" customFormat="1" ht="29.4" customHeight="1">
      <c r="A263" s="46">
        <v>89</v>
      </c>
      <c r="B263" s="46">
        <v>3</v>
      </c>
      <c r="C263" s="46">
        <v>136</v>
      </c>
      <c r="D263" s="48"/>
      <c r="E263" s="48"/>
      <c r="F263" s="46"/>
      <c r="G263" s="317">
        <v>0</v>
      </c>
      <c r="H263" s="317" t="s">
        <v>1991</v>
      </c>
      <c r="I263" s="317">
        <v>0</v>
      </c>
      <c r="J263" s="317"/>
      <c r="K263" s="317" t="s">
        <v>1991</v>
      </c>
      <c r="L263" s="317" t="s">
        <v>1991</v>
      </c>
      <c r="M263" s="317" t="s">
        <v>1991</v>
      </c>
      <c r="N263" s="317" t="s">
        <v>1991</v>
      </c>
      <c r="O263" s="317" t="s">
        <v>1991</v>
      </c>
      <c r="P263" s="317" t="s">
        <v>1991</v>
      </c>
      <c r="Q263" s="317" t="s">
        <v>1991</v>
      </c>
      <c r="R263" s="317" t="s">
        <v>1991</v>
      </c>
      <c r="S263" s="317" t="s">
        <v>1991</v>
      </c>
      <c r="T263" s="326">
        <v>0</v>
      </c>
      <c r="U263" s="312">
        <v>0</v>
      </c>
      <c r="V263" s="46">
        <v>0</v>
      </c>
      <c r="W263" s="324">
        <v>0</v>
      </c>
      <c r="X263" s="324">
        <v>0</v>
      </c>
      <c r="Y263" s="324">
        <v>0</v>
      </c>
      <c r="Z263" s="46">
        <v>0</v>
      </c>
      <c r="AA263" s="46">
        <v>0</v>
      </c>
      <c r="AB263" s="46">
        <v>0</v>
      </c>
      <c r="AC263" s="46">
        <v>0</v>
      </c>
      <c r="AD263" s="46">
        <v>0</v>
      </c>
      <c r="AE263" s="324">
        <v>0</v>
      </c>
      <c r="AF263" s="324">
        <v>0</v>
      </c>
      <c r="AG263" s="324">
        <v>0</v>
      </c>
      <c r="AH263" s="324">
        <v>0</v>
      </c>
      <c r="AI263" s="324">
        <v>0</v>
      </c>
      <c r="AJ263" s="324">
        <v>0</v>
      </c>
      <c r="AK263" s="324">
        <v>0</v>
      </c>
      <c r="AL263" s="327"/>
      <c r="AM263" s="327"/>
      <c r="AN263" s="327"/>
      <c r="AO263" s="327"/>
      <c r="AP263" s="327"/>
      <c r="AQ263" s="327"/>
      <c r="AR263" s="327"/>
      <c r="AS263" s="327"/>
      <c r="AT263" s="327"/>
      <c r="AU263" s="327"/>
      <c r="AV263" s="327"/>
      <c r="AW263" s="327"/>
      <c r="AX263" s="327"/>
      <c r="AY263" s="327"/>
      <c r="AZ263" s="327"/>
      <c r="BA263" s="327"/>
      <c r="BB263" s="46">
        <f t="shared" si="90"/>
        <v>10</v>
      </c>
      <c r="BC263" s="46">
        <f t="shared" si="91"/>
        <v>0</v>
      </c>
      <c r="BD263" s="46">
        <f t="shared" si="104"/>
        <v>0</v>
      </c>
      <c r="BE263" s="46">
        <f t="shared" si="92"/>
        <v>0</v>
      </c>
      <c r="BF263" s="296">
        <f t="shared" si="93"/>
        <v>10</v>
      </c>
      <c r="BG263" s="2"/>
      <c r="BH263" s="2"/>
      <c r="BI263" s="2"/>
      <c r="BJ263" s="2"/>
      <c r="BK263" s="279">
        <f t="shared" si="94"/>
        <v>0</v>
      </c>
      <c r="BL263" s="279">
        <f t="shared" si="95"/>
        <v>10</v>
      </c>
      <c r="BM263" s="279"/>
      <c r="BN263" s="279"/>
      <c r="BO263" s="2">
        <f t="shared" si="96"/>
        <v>0</v>
      </c>
      <c r="BP263" s="430"/>
      <c r="BQ263" s="431"/>
      <c r="BR263" s="2"/>
      <c r="BS263" s="25"/>
      <c r="BT263" s="348">
        <f t="shared" si="103"/>
        <v>0</v>
      </c>
      <c r="BU263" s="2"/>
      <c r="BV263" s="282">
        <f t="shared" si="97"/>
        <v>0</v>
      </c>
      <c r="BW263" s="279">
        <v>0</v>
      </c>
      <c r="BX263" s="269">
        <f t="shared" si="98"/>
        <v>0</v>
      </c>
      <c r="BY263" s="349" t="e">
        <f t="shared" si="67"/>
        <v>#N/A</v>
      </c>
      <c r="BZ263" s="349" t="e">
        <f t="shared" si="68"/>
        <v>#N/A</v>
      </c>
      <c r="CA263" s="349" t="e">
        <f t="shared" si="69"/>
        <v>#N/A</v>
      </c>
      <c r="CB263" s="349" t="e">
        <f t="shared" si="70"/>
        <v>#N/A</v>
      </c>
      <c r="CC263" s="349" t="e">
        <f t="shared" si="99"/>
        <v>#N/A</v>
      </c>
      <c r="CD263" s="14" t="e">
        <f t="shared" si="100"/>
        <v>#N/A</v>
      </c>
      <c r="CE263" s="14">
        <f t="shared" si="101"/>
        <v>0</v>
      </c>
      <c r="CF263" s="25">
        <f t="shared" si="102"/>
        <v>0</v>
      </c>
      <c r="CG263" s="270"/>
      <c r="CH263" s="2"/>
      <c r="CL263" s="349"/>
      <c r="CM263" s="349"/>
      <c r="CN263" s="349"/>
      <c r="CO263" s="349"/>
      <c r="CP263" s="349"/>
      <c r="CQ263" s="14"/>
      <c r="CY263" s="2"/>
    </row>
    <row r="264" spans="1:103" s="1" customFormat="1" ht="29.4" customHeight="1">
      <c r="A264" s="46">
        <v>90</v>
      </c>
      <c r="B264" s="46">
        <v>6</v>
      </c>
      <c r="C264" s="46">
        <v>215</v>
      </c>
      <c r="D264" s="48"/>
      <c r="E264" s="48"/>
      <c r="F264" s="46"/>
      <c r="G264" s="317">
        <v>0</v>
      </c>
      <c r="H264" s="317" t="s">
        <v>1991</v>
      </c>
      <c r="I264" s="317" t="s">
        <v>1991</v>
      </c>
      <c r="J264" s="317"/>
      <c r="K264" s="317" t="s">
        <v>1991</v>
      </c>
      <c r="L264" s="317" t="s">
        <v>1991</v>
      </c>
      <c r="M264" s="317" t="s">
        <v>1991</v>
      </c>
      <c r="N264" s="317" t="s">
        <v>1991</v>
      </c>
      <c r="O264" s="317" t="s">
        <v>1991</v>
      </c>
      <c r="P264" s="317" t="s">
        <v>1991</v>
      </c>
      <c r="Q264" s="317">
        <v>0</v>
      </c>
      <c r="R264" s="317" t="s">
        <v>1991</v>
      </c>
      <c r="S264" s="317" t="s">
        <v>1991</v>
      </c>
      <c r="T264" s="326" t="s">
        <v>1991</v>
      </c>
      <c r="U264" s="312" t="s">
        <v>1991</v>
      </c>
      <c r="V264" s="46" t="s">
        <v>1991</v>
      </c>
      <c r="W264" s="324" t="s">
        <v>1991</v>
      </c>
      <c r="X264" s="324" t="s">
        <v>1991</v>
      </c>
      <c r="Y264" s="324" t="s">
        <v>1991</v>
      </c>
      <c r="Z264" s="46" t="s">
        <v>1991</v>
      </c>
      <c r="AA264" s="46" t="s">
        <v>1991</v>
      </c>
      <c r="AB264" s="46" t="s">
        <v>1991</v>
      </c>
      <c r="AC264" s="46" t="s">
        <v>1991</v>
      </c>
      <c r="AD264" s="46" t="s">
        <v>1991</v>
      </c>
      <c r="AE264" s="324" t="s">
        <v>1991</v>
      </c>
      <c r="AF264" s="324" t="s">
        <v>1991</v>
      </c>
      <c r="AG264" s="324" t="s">
        <v>1991</v>
      </c>
      <c r="AH264" s="324" t="s">
        <v>1991</v>
      </c>
      <c r="AI264" s="324" t="s">
        <v>1991</v>
      </c>
      <c r="AJ264" s="324">
        <v>0</v>
      </c>
      <c r="AK264" s="324" t="s">
        <v>1991</v>
      </c>
      <c r="AL264" s="327"/>
      <c r="AM264" s="327"/>
      <c r="AN264" s="327"/>
      <c r="AO264" s="327"/>
      <c r="AP264" s="327" t="s">
        <v>1991</v>
      </c>
      <c r="AQ264" s="327"/>
      <c r="AR264" s="327"/>
      <c r="AS264" s="327"/>
      <c r="AT264" s="327"/>
      <c r="AU264" s="327"/>
      <c r="AV264" s="327"/>
      <c r="AW264" s="327"/>
      <c r="AX264" s="327"/>
      <c r="AY264" s="327"/>
      <c r="AZ264" s="327"/>
      <c r="BA264" s="327"/>
      <c r="BB264" s="46">
        <f t="shared" si="90"/>
        <v>12</v>
      </c>
      <c r="BC264" s="46">
        <f t="shared" si="91"/>
        <v>15</v>
      </c>
      <c r="BD264" s="46">
        <f t="shared" si="104"/>
        <v>1</v>
      </c>
      <c r="BE264" s="46">
        <f t="shared" si="92"/>
        <v>0</v>
      </c>
      <c r="BF264" s="296">
        <f t="shared" si="93"/>
        <v>27</v>
      </c>
      <c r="BG264" s="2"/>
      <c r="BH264" s="2"/>
      <c r="BI264" s="2"/>
      <c r="BJ264" s="2"/>
      <c r="BK264" s="279">
        <f t="shared" si="94"/>
        <v>1</v>
      </c>
      <c r="BL264" s="279">
        <f t="shared" si="95"/>
        <v>27</v>
      </c>
      <c r="BM264" s="279"/>
      <c r="BN264" s="279"/>
      <c r="BO264" s="2">
        <f t="shared" si="96"/>
        <v>27</v>
      </c>
      <c r="BP264" s="430"/>
      <c r="BQ264" s="431"/>
      <c r="BR264" s="2"/>
      <c r="BS264" s="25"/>
      <c r="BT264" s="348">
        <f t="shared" si="103"/>
        <v>1</v>
      </c>
      <c r="BU264" s="2"/>
      <c r="BV264" s="282">
        <f t="shared" si="97"/>
        <v>0</v>
      </c>
      <c r="BW264" s="279">
        <v>0</v>
      </c>
      <c r="BX264" s="269">
        <f t="shared" si="98"/>
        <v>0</v>
      </c>
      <c r="BY264" s="349" t="e">
        <f t="shared" si="67"/>
        <v>#N/A</v>
      </c>
      <c r="BZ264" s="349" t="e">
        <f t="shared" si="68"/>
        <v>#N/A</v>
      </c>
      <c r="CA264" s="349" t="e">
        <f t="shared" si="69"/>
        <v>#N/A</v>
      </c>
      <c r="CB264" s="349" t="e">
        <f t="shared" si="70"/>
        <v>#N/A</v>
      </c>
      <c r="CC264" s="349" t="e">
        <f t="shared" si="99"/>
        <v>#N/A</v>
      </c>
      <c r="CD264" s="14" t="e">
        <f t="shared" si="100"/>
        <v>#N/A</v>
      </c>
      <c r="CE264" s="14">
        <f t="shared" si="101"/>
        <v>27</v>
      </c>
      <c r="CF264" s="25">
        <f t="shared" si="102"/>
        <v>1</v>
      </c>
      <c r="CG264" s="270"/>
      <c r="CH264" s="2"/>
      <c r="CL264" s="349"/>
      <c r="CM264" s="349"/>
      <c r="CN264" s="349"/>
      <c r="CO264" s="349"/>
      <c r="CP264" s="349"/>
      <c r="CQ264" s="14"/>
      <c r="CY264" s="2"/>
    </row>
    <row r="265" spans="1:103" s="1" customFormat="1" ht="29.4" customHeight="1">
      <c r="A265" s="46">
        <v>91</v>
      </c>
      <c r="B265" s="46">
        <v>6</v>
      </c>
      <c r="C265" s="46">
        <v>216</v>
      </c>
      <c r="D265" s="48"/>
      <c r="E265" s="48"/>
      <c r="F265" s="46"/>
      <c r="G265" s="317">
        <v>0</v>
      </c>
      <c r="H265" s="317" t="s">
        <v>1991</v>
      </c>
      <c r="I265" s="317">
        <v>0</v>
      </c>
      <c r="J265" s="317"/>
      <c r="K265" s="317" t="s">
        <v>1991</v>
      </c>
      <c r="L265" s="317" t="s">
        <v>1991</v>
      </c>
      <c r="M265" s="317" t="s">
        <v>1991</v>
      </c>
      <c r="N265" s="317">
        <v>0</v>
      </c>
      <c r="O265" s="317" t="s">
        <v>1991</v>
      </c>
      <c r="P265" s="317" t="s">
        <v>1991</v>
      </c>
      <c r="Q265" s="317" t="s">
        <v>1991</v>
      </c>
      <c r="R265" s="317">
        <v>0</v>
      </c>
      <c r="S265" s="317" t="s">
        <v>1991</v>
      </c>
      <c r="T265" s="326" t="s">
        <v>1991</v>
      </c>
      <c r="U265" s="312" t="s">
        <v>1991</v>
      </c>
      <c r="V265" s="46" t="s">
        <v>1991</v>
      </c>
      <c r="W265" s="324" t="s">
        <v>1991</v>
      </c>
      <c r="X265" s="324" t="s">
        <v>1991</v>
      </c>
      <c r="Y265" s="324" t="s">
        <v>1991</v>
      </c>
      <c r="Z265" s="46" t="s">
        <v>1991</v>
      </c>
      <c r="AA265" s="46" t="s">
        <v>1991</v>
      </c>
      <c r="AB265" s="46" t="s">
        <v>1991</v>
      </c>
      <c r="AC265" s="46" t="s">
        <v>1991</v>
      </c>
      <c r="AD265" s="46" t="s">
        <v>1991</v>
      </c>
      <c r="AE265" s="324" t="s">
        <v>1991</v>
      </c>
      <c r="AF265" s="324" t="s">
        <v>1991</v>
      </c>
      <c r="AG265" s="324" t="s">
        <v>1991</v>
      </c>
      <c r="AH265" s="324" t="s">
        <v>1991</v>
      </c>
      <c r="AI265" s="324" t="s">
        <v>1991</v>
      </c>
      <c r="AJ265" s="324" t="s">
        <v>1991</v>
      </c>
      <c r="AK265" s="324" t="s">
        <v>1991</v>
      </c>
      <c r="AL265" s="327"/>
      <c r="AM265" s="327"/>
      <c r="AN265" s="327"/>
      <c r="AO265" s="327"/>
      <c r="AP265" s="327" t="s">
        <v>1991</v>
      </c>
      <c r="AQ265" s="327"/>
      <c r="AR265" s="327"/>
      <c r="AS265" s="327"/>
      <c r="AT265" s="327"/>
      <c r="AU265" s="327"/>
      <c r="AV265" s="327"/>
      <c r="AW265" s="327"/>
      <c r="AX265" s="327"/>
      <c r="AY265" s="327"/>
      <c r="AZ265" s="327"/>
      <c r="BA265" s="327"/>
      <c r="BB265" s="46">
        <f t="shared" si="90"/>
        <v>10</v>
      </c>
      <c r="BC265" s="46">
        <f t="shared" si="91"/>
        <v>16</v>
      </c>
      <c r="BD265" s="46">
        <f t="shared" si="104"/>
        <v>1</v>
      </c>
      <c r="BE265" s="46">
        <f t="shared" si="92"/>
        <v>0</v>
      </c>
      <c r="BF265" s="296">
        <f t="shared" si="93"/>
        <v>26</v>
      </c>
      <c r="BG265" s="2"/>
      <c r="BH265" s="2"/>
      <c r="BI265" s="2"/>
      <c r="BJ265" s="2"/>
      <c r="BK265" s="279">
        <f t="shared" si="94"/>
        <v>1</v>
      </c>
      <c r="BL265" s="279">
        <f t="shared" si="95"/>
        <v>26</v>
      </c>
      <c r="BM265" s="279"/>
      <c r="BN265" s="279"/>
      <c r="BO265" s="2">
        <f t="shared" si="96"/>
        <v>26</v>
      </c>
      <c r="BP265" s="430"/>
      <c r="BQ265" s="431"/>
      <c r="BR265" s="2"/>
      <c r="BS265" s="25"/>
      <c r="BT265" s="348">
        <f t="shared" si="103"/>
        <v>1</v>
      </c>
      <c r="BU265" s="2"/>
      <c r="BV265" s="282">
        <f t="shared" si="97"/>
        <v>0</v>
      </c>
      <c r="BW265" s="279">
        <v>0</v>
      </c>
      <c r="BX265" s="269">
        <f t="shared" si="98"/>
        <v>0</v>
      </c>
      <c r="BY265" s="349" t="e">
        <f t="shared" si="67"/>
        <v>#N/A</v>
      </c>
      <c r="BZ265" s="349" t="e">
        <f t="shared" si="68"/>
        <v>#N/A</v>
      </c>
      <c r="CA265" s="349" t="e">
        <f t="shared" si="69"/>
        <v>#N/A</v>
      </c>
      <c r="CB265" s="349" t="e">
        <f t="shared" si="70"/>
        <v>#N/A</v>
      </c>
      <c r="CC265" s="349" t="e">
        <f t="shared" si="99"/>
        <v>#N/A</v>
      </c>
      <c r="CD265" s="14" t="e">
        <f t="shared" si="100"/>
        <v>#N/A</v>
      </c>
      <c r="CE265" s="14">
        <f t="shared" si="101"/>
        <v>26</v>
      </c>
      <c r="CF265" s="25">
        <f t="shared" si="102"/>
        <v>1</v>
      </c>
      <c r="CG265" s="270"/>
      <c r="CH265" s="2"/>
      <c r="CL265" s="349"/>
      <c r="CM265" s="349"/>
      <c r="CN265" s="349"/>
      <c r="CO265" s="349"/>
      <c r="CP265" s="349"/>
      <c r="CQ265" s="14"/>
      <c r="CY265" s="2"/>
    </row>
    <row r="266" spans="1:103" s="1" customFormat="1" ht="29.4" customHeight="1">
      <c r="A266" s="46">
        <v>92</v>
      </c>
      <c r="B266" s="46">
        <v>6</v>
      </c>
      <c r="C266" s="46">
        <v>217</v>
      </c>
      <c r="D266" s="48"/>
      <c r="E266" s="48"/>
      <c r="F266" s="46"/>
      <c r="G266" s="317" t="s">
        <v>1991</v>
      </c>
      <c r="H266" s="317" t="s">
        <v>1991</v>
      </c>
      <c r="I266" s="317">
        <v>0</v>
      </c>
      <c r="J266" s="317"/>
      <c r="K266" s="317" t="s">
        <v>1991</v>
      </c>
      <c r="L266" s="317" t="s">
        <v>1991</v>
      </c>
      <c r="M266" s="317" t="s">
        <v>1991</v>
      </c>
      <c r="N266" s="317" t="s">
        <v>1991</v>
      </c>
      <c r="O266" s="317" t="s">
        <v>1991</v>
      </c>
      <c r="P266" s="317" t="s">
        <v>1991</v>
      </c>
      <c r="Q266" s="317" t="s">
        <v>1991</v>
      </c>
      <c r="R266" s="317">
        <v>0</v>
      </c>
      <c r="S266" s="317" t="s">
        <v>1991</v>
      </c>
      <c r="T266" s="326" t="s">
        <v>1991</v>
      </c>
      <c r="U266" s="312" t="s">
        <v>1991</v>
      </c>
      <c r="V266" s="46" t="s">
        <v>1991</v>
      </c>
      <c r="W266" s="324" t="s">
        <v>1991</v>
      </c>
      <c r="X266" s="324" t="s">
        <v>1991</v>
      </c>
      <c r="Y266" s="324" t="s">
        <v>1991</v>
      </c>
      <c r="Z266" s="46" t="s">
        <v>1991</v>
      </c>
      <c r="AA266" s="46" t="s">
        <v>1991</v>
      </c>
      <c r="AB266" s="46" t="s">
        <v>1991</v>
      </c>
      <c r="AC266" s="46" t="s">
        <v>1991</v>
      </c>
      <c r="AD266" s="46" t="s">
        <v>1991</v>
      </c>
      <c r="AE266" s="324" t="s">
        <v>1991</v>
      </c>
      <c r="AF266" s="324" t="s">
        <v>1991</v>
      </c>
      <c r="AG266" s="324" t="s">
        <v>1991</v>
      </c>
      <c r="AH266" s="324" t="s">
        <v>1991</v>
      </c>
      <c r="AI266" s="324" t="s">
        <v>1991</v>
      </c>
      <c r="AJ266" s="324" t="s">
        <v>1991</v>
      </c>
      <c r="AK266" s="324" t="s">
        <v>1991</v>
      </c>
      <c r="AL266" s="327"/>
      <c r="AM266" s="327"/>
      <c r="AN266" s="327"/>
      <c r="AO266" s="327"/>
      <c r="AP266" s="327" t="s">
        <v>1991</v>
      </c>
      <c r="AQ266" s="327"/>
      <c r="AR266" s="327"/>
      <c r="AS266" s="327"/>
      <c r="AT266" s="327"/>
      <c r="AU266" s="327"/>
      <c r="AV266" s="327"/>
      <c r="AW266" s="327"/>
      <c r="AX266" s="327"/>
      <c r="AY266" s="327"/>
      <c r="AZ266" s="327"/>
      <c r="BA266" s="327"/>
      <c r="BB266" s="46">
        <f t="shared" si="90"/>
        <v>12</v>
      </c>
      <c r="BC266" s="46">
        <f t="shared" si="91"/>
        <v>16</v>
      </c>
      <c r="BD266" s="46">
        <f t="shared" si="104"/>
        <v>1</v>
      </c>
      <c r="BE266" s="46">
        <f t="shared" si="92"/>
        <v>0</v>
      </c>
      <c r="BF266" s="296">
        <f t="shared" si="93"/>
        <v>28</v>
      </c>
      <c r="BG266" s="2"/>
      <c r="BH266" s="2"/>
      <c r="BI266" s="2"/>
      <c r="BJ266" s="2"/>
      <c r="BK266" s="279">
        <f t="shared" si="94"/>
        <v>1</v>
      </c>
      <c r="BL266" s="279">
        <f t="shared" si="95"/>
        <v>28</v>
      </c>
      <c r="BM266" s="279"/>
      <c r="BN266" s="279"/>
      <c r="BO266" s="2">
        <f t="shared" si="96"/>
        <v>28</v>
      </c>
      <c r="BP266" s="430"/>
      <c r="BQ266" s="431"/>
      <c r="BR266" s="2"/>
      <c r="BS266" s="25"/>
      <c r="BT266" s="348">
        <f t="shared" si="103"/>
        <v>1</v>
      </c>
      <c r="BU266" s="2"/>
      <c r="BV266" s="282">
        <f t="shared" si="97"/>
        <v>0</v>
      </c>
      <c r="BW266" s="279">
        <v>0</v>
      </c>
      <c r="BX266" s="269">
        <f t="shared" si="98"/>
        <v>0</v>
      </c>
      <c r="BY266" s="349" t="e">
        <f t="shared" si="67"/>
        <v>#N/A</v>
      </c>
      <c r="BZ266" s="349" t="e">
        <f t="shared" si="68"/>
        <v>#N/A</v>
      </c>
      <c r="CA266" s="349" t="e">
        <f t="shared" si="69"/>
        <v>#N/A</v>
      </c>
      <c r="CB266" s="349" t="e">
        <f t="shared" si="70"/>
        <v>#N/A</v>
      </c>
      <c r="CC266" s="349" t="e">
        <f t="shared" si="99"/>
        <v>#N/A</v>
      </c>
      <c r="CD266" s="14" t="e">
        <f t="shared" si="100"/>
        <v>#N/A</v>
      </c>
      <c r="CE266" s="14">
        <f t="shared" si="101"/>
        <v>28</v>
      </c>
      <c r="CF266" s="25">
        <f t="shared" si="102"/>
        <v>1</v>
      </c>
      <c r="CG266" s="270"/>
      <c r="CH266" s="2"/>
      <c r="CL266" s="349"/>
      <c r="CM266" s="349"/>
      <c r="CN266" s="349"/>
      <c r="CO266" s="349"/>
      <c r="CP266" s="349"/>
      <c r="CQ266" s="14"/>
      <c r="CY266" s="2"/>
    </row>
    <row r="267" spans="1:103" s="1" customFormat="1" ht="29.4" customHeight="1">
      <c r="A267" s="46">
        <v>93</v>
      </c>
      <c r="B267" s="46">
        <v>6</v>
      </c>
      <c r="C267" s="46">
        <v>218</v>
      </c>
      <c r="D267" s="48"/>
      <c r="E267" s="48"/>
      <c r="F267" s="46"/>
      <c r="G267" s="317">
        <v>0</v>
      </c>
      <c r="H267" s="317" t="s">
        <v>1991</v>
      </c>
      <c r="I267" s="317" t="s">
        <v>1991</v>
      </c>
      <c r="J267" s="317"/>
      <c r="K267" s="317" t="s">
        <v>1991</v>
      </c>
      <c r="L267" s="317" t="s">
        <v>1991</v>
      </c>
      <c r="M267" s="317" t="s">
        <v>1991</v>
      </c>
      <c r="N267" s="317" t="s">
        <v>1991</v>
      </c>
      <c r="O267" s="317" t="s">
        <v>1991</v>
      </c>
      <c r="P267" s="317" t="s">
        <v>1991</v>
      </c>
      <c r="Q267" s="317" t="s">
        <v>1991</v>
      </c>
      <c r="R267" s="317" t="s">
        <v>1991</v>
      </c>
      <c r="S267" s="317" t="s">
        <v>1991</v>
      </c>
      <c r="T267" s="326" t="s">
        <v>1991</v>
      </c>
      <c r="U267" s="312" t="s">
        <v>1991</v>
      </c>
      <c r="V267" s="46" t="s">
        <v>1991</v>
      </c>
      <c r="W267" s="324" t="s">
        <v>1991</v>
      </c>
      <c r="X267" s="324" t="s">
        <v>1991</v>
      </c>
      <c r="Y267" s="324" t="s">
        <v>1991</v>
      </c>
      <c r="Z267" s="46" t="s">
        <v>1991</v>
      </c>
      <c r="AA267" s="46" t="s">
        <v>1991</v>
      </c>
      <c r="AB267" s="46">
        <v>0</v>
      </c>
      <c r="AC267" s="46" t="s">
        <v>1991</v>
      </c>
      <c r="AD267" s="46" t="s">
        <v>1991</v>
      </c>
      <c r="AE267" s="324" t="s">
        <v>1991</v>
      </c>
      <c r="AF267" s="324" t="s">
        <v>1991</v>
      </c>
      <c r="AG267" s="324" t="s">
        <v>1991</v>
      </c>
      <c r="AH267" s="324" t="s">
        <v>1991</v>
      </c>
      <c r="AI267" s="324" t="s">
        <v>1991</v>
      </c>
      <c r="AJ267" s="324" t="s">
        <v>1991</v>
      </c>
      <c r="AK267" s="324" t="s">
        <v>1991</v>
      </c>
      <c r="AL267" s="327"/>
      <c r="AM267" s="327"/>
      <c r="AN267" s="327"/>
      <c r="AO267" s="327"/>
      <c r="AP267" s="327" t="s">
        <v>1991</v>
      </c>
      <c r="AQ267" s="327"/>
      <c r="AR267" s="327"/>
      <c r="AS267" s="327" t="s">
        <v>1991</v>
      </c>
      <c r="AT267" s="327"/>
      <c r="AU267" s="327"/>
      <c r="AV267" s="327"/>
      <c r="AW267" s="327"/>
      <c r="AX267" s="327"/>
      <c r="AY267" s="327"/>
      <c r="AZ267" s="327"/>
      <c r="BA267" s="327"/>
      <c r="BB267" s="46">
        <f t="shared" si="90"/>
        <v>13</v>
      </c>
      <c r="BC267" s="46">
        <f t="shared" si="91"/>
        <v>15</v>
      </c>
      <c r="BD267" s="46">
        <f t="shared" si="104"/>
        <v>2</v>
      </c>
      <c r="BE267" s="46">
        <f t="shared" si="92"/>
        <v>0</v>
      </c>
      <c r="BF267" s="296">
        <f t="shared" si="93"/>
        <v>28</v>
      </c>
      <c r="BG267" s="2"/>
      <c r="BH267" s="2"/>
      <c r="BI267" s="2"/>
      <c r="BJ267" s="2"/>
      <c r="BK267" s="279">
        <f t="shared" si="94"/>
        <v>1</v>
      </c>
      <c r="BL267" s="279">
        <f t="shared" si="95"/>
        <v>28</v>
      </c>
      <c r="BM267" s="279"/>
      <c r="BN267" s="279"/>
      <c r="BO267" s="2">
        <f t="shared" si="96"/>
        <v>28</v>
      </c>
      <c r="BP267" s="430"/>
      <c r="BQ267" s="431"/>
      <c r="BR267" s="2"/>
      <c r="BS267" s="25"/>
      <c r="BT267" s="348">
        <f t="shared" si="103"/>
        <v>1</v>
      </c>
      <c r="BU267" s="2"/>
      <c r="BV267" s="282">
        <f t="shared" si="97"/>
        <v>0</v>
      </c>
      <c r="BW267" s="279">
        <v>0</v>
      </c>
      <c r="BX267" s="269">
        <f t="shared" si="98"/>
        <v>0</v>
      </c>
      <c r="BY267" s="349" t="e">
        <f t="shared" si="67"/>
        <v>#N/A</v>
      </c>
      <c r="BZ267" s="349" t="e">
        <f t="shared" si="68"/>
        <v>#N/A</v>
      </c>
      <c r="CA267" s="349" t="e">
        <f t="shared" si="69"/>
        <v>#N/A</v>
      </c>
      <c r="CB267" s="349" t="e">
        <f t="shared" si="70"/>
        <v>#N/A</v>
      </c>
      <c r="CC267" s="349" t="e">
        <f t="shared" si="99"/>
        <v>#N/A</v>
      </c>
      <c r="CD267" s="14" t="e">
        <f t="shared" si="100"/>
        <v>#N/A</v>
      </c>
      <c r="CE267" s="14">
        <f t="shared" si="101"/>
        <v>28</v>
      </c>
      <c r="CF267" s="25">
        <f t="shared" si="102"/>
        <v>1</v>
      </c>
      <c r="CG267" s="270"/>
      <c r="CH267" s="2"/>
      <c r="CL267" s="349"/>
      <c r="CM267" s="349"/>
      <c r="CN267" s="349"/>
      <c r="CO267" s="349"/>
      <c r="CP267" s="349"/>
      <c r="CQ267" s="14"/>
      <c r="CY267" s="2"/>
    </row>
    <row r="268" spans="1:103" s="1" customFormat="1" ht="29.4" customHeight="1">
      <c r="A268" s="46">
        <v>94</v>
      </c>
      <c r="B268" s="46">
        <v>6</v>
      </c>
      <c r="C268" s="46">
        <v>219</v>
      </c>
      <c r="D268" s="48"/>
      <c r="E268" s="48"/>
      <c r="F268" s="46"/>
      <c r="G268" s="317" t="s">
        <v>1991</v>
      </c>
      <c r="H268" s="317" t="s">
        <v>1991</v>
      </c>
      <c r="I268" s="317" t="s">
        <v>1991</v>
      </c>
      <c r="J268" s="317"/>
      <c r="K268" s="317" t="s">
        <v>1991</v>
      </c>
      <c r="L268" s="317">
        <v>0</v>
      </c>
      <c r="M268" s="317" t="s">
        <v>1991</v>
      </c>
      <c r="N268" s="317" t="s">
        <v>1991</v>
      </c>
      <c r="O268" s="317" t="s">
        <v>1991</v>
      </c>
      <c r="P268" s="317" t="s">
        <v>1991</v>
      </c>
      <c r="Q268" s="317" t="s">
        <v>1991</v>
      </c>
      <c r="R268" s="317" t="s">
        <v>1991</v>
      </c>
      <c r="S268" s="317" t="s">
        <v>1991</v>
      </c>
      <c r="T268" s="326" t="s">
        <v>1991</v>
      </c>
      <c r="U268" s="312" t="s">
        <v>1991</v>
      </c>
      <c r="V268" s="46" t="s">
        <v>1991</v>
      </c>
      <c r="W268" s="324" t="s">
        <v>1991</v>
      </c>
      <c r="X268" s="324" t="s">
        <v>1991</v>
      </c>
      <c r="Y268" s="324" t="s">
        <v>1991</v>
      </c>
      <c r="Z268" s="46" t="s">
        <v>1991</v>
      </c>
      <c r="AA268" s="46">
        <v>0</v>
      </c>
      <c r="AB268" s="46">
        <v>0</v>
      </c>
      <c r="AC268" s="46" t="s">
        <v>1991</v>
      </c>
      <c r="AD268" s="46">
        <v>0</v>
      </c>
      <c r="AE268" s="324" t="s">
        <v>1991</v>
      </c>
      <c r="AF268" s="324" t="s">
        <v>1991</v>
      </c>
      <c r="AG268" s="324" t="s">
        <v>1991</v>
      </c>
      <c r="AH268" s="324">
        <v>0</v>
      </c>
      <c r="AI268" s="324" t="s">
        <v>1991</v>
      </c>
      <c r="AJ268" s="324" t="s">
        <v>1991</v>
      </c>
      <c r="AK268" s="324" t="s">
        <v>1991</v>
      </c>
      <c r="AL268" s="327"/>
      <c r="AM268" s="327"/>
      <c r="AN268" s="327"/>
      <c r="AO268" s="327"/>
      <c r="AP268" s="327">
        <v>0</v>
      </c>
      <c r="AQ268" s="327"/>
      <c r="AR268" s="327"/>
      <c r="AS268" s="327"/>
      <c r="AT268" s="327"/>
      <c r="AU268" s="327"/>
      <c r="AV268" s="327"/>
      <c r="AW268" s="327"/>
      <c r="AX268" s="327"/>
      <c r="AY268" s="327"/>
      <c r="AZ268" s="327"/>
      <c r="BA268" s="327"/>
      <c r="BB268" s="46">
        <f t="shared" si="90"/>
        <v>13</v>
      </c>
      <c r="BC268" s="46">
        <f t="shared" si="91"/>
        <v>12</v>
      </c>
      <c r="BD268" s="46">
        <f t="shared" si="104"/>
        <v>0</v>
      </c>
      <c r="BE268" s="46">
        <f t="shared" si="92"/>
        <v>0</v>
      </c>
      <c r="BF268" s="296">
        <f t="shared" si="93"/>
        <v>25</v>
      </c>
      <c r="BG268" s="2"/>
      <c r="BH268" s="2"/>
      <c r="BI268" s="2"/>
      <c r="BJ268" s="2"/>
      <c r="BK268" s="279">
        <f t="shared" si="94"/>
        <v>0</v>
      </c>
      <c r="BL268" s="279">
        <f t="shared" si="95"/>
        <v>25</v>
      </c>
      <c r="BM268" s="279"/>
      <c r="BN268" s="279"/>
      <c r="BO268" s="2">
        <f t="shared" si="96"/>
        <v>0</v>
      </c>
      <c r="BP268" s="430"/>
      <c r="BQ268" s="431"/>
      <c r="BR268" s="2"/>
      <c r="BS268" s="25"/>
      <c r="BT268" s="348">
        <f t="shared" si="103"/>
        <v>0</v>
      </c>
      <c r="BU268" s="2"/>
      <c r="BV268" s="282">
        <f t="shared" si="97"/>
        <v>0</v>
      </c>
      <c r="BW268" s="279">
        <v>0</v>
      </c>
      <c r="BX268" s="269">
        <f t="shared" si="98"/>
        <v>0</v>
      </c>
      <c r="BY268" s="349" t="e">
        <f t="shared" si="67"/>
        <v>#N/A</v>
      </c>
      <c r="BZ268" s="349" t="e">
        <f t="shared" si="68"/>
        <v>#N/A</v>
      </c>
      <c r="CA268" s="349" t="e">
        <f t="shared" si="69"/>
        <v>#N/A</v>
      </c>
      <c r="CB268" s="349" t="e">
        <f t="shared" si="70"/>
        <v>#N/A</v>
      </c>
      <c r="CC268" s="349" t="e">
        <f t="shared" si="99"/>
        <v>#N/A</v>
      </c>
      <c r="CD268" s="14" t="e">
        <f t="shared" si="100"/>
        <v>#N/A</v>
      </c>
      <c r="CE268" s="14">
        <f t="shared" si="101"/>
        <v>0</v>
      </c>
      <c r="CF268" s="25">
        <f t="shared" si="102"/>
        <v>0</v>
      </c>
      <c r="CG268" s="270"/>
      <c r="CH268" s="2"/>
      <c r="CL268" s="349"/>
      <c r="CM268" s="349"/>
      <c r="CN268" s="349"/>
      <c r="CO268" s="349"/>
      <c r="CP268" s="349"/>
      <c r="CQ268" s="14"/>
      <c r="CY268" s="2"/>
    </row>
    <row r="269" spans="1:103" s="1" customFormat="1" ht="29.4" customHeight="1">
      <c r="A269" s="46">
        <v>95</v>
      </c>
      <c r="B269" s="46">
        <v>6</v>
      </c>
      <c r="C269" s="46">
        <v>220</v>
      </c>
      <c r="D269" s="48"/>
      <c r="E269" s="48"/>
      <c r="F269" s="46"/>
      <c r="G269" s="317">
        <v>0</v>
      </c>
      <c r="H269" s="317" t="s">
        <v>1991</v>
      </c>
      <c r="I269" s="317" t="s">
        <v>1991</v>
      </c>
      <c r="J269" s="317"/>
      <c r="K269" s="317" t="s">
        <v>1991</v>
      </c>
      <c r="L269" s="317" t="s">
        <v>1991</v>
      </c>
      <c r="M269" s="317">
        <v>0</v>
      </c>
      <c r="N269" s="317" t="s">
        <v>1991</v>
      </c>
      <c r="O269" s="317" t="s">
        <v>1991</v>
      </c>
      <c r="P269" s="317" t="s">
        <v>1991</v>
      </c>
      <c r="Q269" s="317" t="s">
        <v>1991</v>
      </c>
      <c r="R269" s="317" t="s">
        <v>1991</v>
      </c>
      <c r="S269" s="317" t="s">
        <v>1991</v>
      </c>
      <c r="T269" s="326" t="s">
        <v>1991</v>
      </c>
      <c r="U269" s="312" t="s">
        <v>1991</v>
      </c>
      <c r="V269" s="46" t="s">
        <v>1991</v>
      </c>
      <c r="W269" s="324">
        <v>0</v>
      </c>
      <c r="X269" s="324" t="s">
        <v>1991</v>
      </c>
      <c r="Y269" s="324" t="s">
        <v>1991</v>
      </c>
      <c r="Z269" s="46" t="s">
        <v>1991</v>
      </c>
      <c r="AA269" s="46" t="s">
        <v>1991</v>
      </c>
      <c r="AB269" s="46">
        <v>0</v>
      </c>
      <c r="AC269" s="46" t="s">
        <v>1991</v>
      </c>
      <c r="AD269" s="46" t="s">
        <v>1991</v>
      </c>
      <c r="AE269" s="324" t="s">
        <v>1991</v>
      </c>
      <c r="AF269" s="324">
        <v>0</v>
      </c>
      <c r="AG269" s="324" t="s">
        <v>1991</v>
      </c>
      <c r="AH269" s="324" t="s">
        <v>1991</v>
      </c>
      <c r="AI269" s="324" t="s">
        <v>1991</v>
      </c>
      <c r="AJ269" s="324" t="s">
        <v>1991</v>
      </c>
      <c r="AK269" s="324">
        <v>0</v>
      </c>
      <c r="AL269" s="327"/>
      <c r="AM269" s="327"/>
      <c r="AN269" s="327"/>
      <c r="AO269" s="327"/>
      <c r="AP269" s="327" t="s">
        <v>1991</v>
      </c>
      <c r="AQ269" s="327"/>
      <c r="AR269" s="327"/>
      <c r="AS269" s="327" t="s">
        <v>1991</v>
      </c>
      <c r="AT269" s="327"/>
      <c r="AU269" s="327"/>
      <c r="AV269" s="327"/>
      <c r="AW269" s="327"/>
      <c r="AX269" s="327"/>
      <c r="AY269" s="327"/>
      <c r="AZ269" s="327"/>
      <c r="BA269" s="327"/>
      <c r="BB269" s="46">
        <f t="shared" si="90"/>
        <v>12</v>
      </c>
      <c r="BC269" s="46">
        <f t="shared" si="91"/>
        <v>12</v>
      </c>
      <c r="BD269" s="46">
        <f t="shared" si="104"/>
        <v>2</v>
      </c>
      <c r="BE269" s="46">
        <f t="shared" si="92"/>
        <v>0</v>
      </c>
      <c r="BF269" s="296">
        <f t="shared" si="93"/>
        <v>24</v>
      </c>
      <c r="BG269" s="2"/>
      <c r="BH269" s="2"/>
      <c r="BI269" s="2"/>
      <c r="BJ269" s="2"/>
      <c r="BK269" s="279">
        <f t="shared" si="94"/>
        <v>0</v>
      </c>
      <c r="BL269" s="279">
        <f t="shared" si="95"/>
        <v>24</v>
      </c>
      <c r="BM269" s="279"/>
      <c r="BN269" s="279"/>
      <c r="BO269" s="2">
        <f t="shared" si="96"/>
        <v>0</v>
      </c>
      <c r="BP269" s="430"/>
      <c r="BQ269" s="431"/>
      <c r="BR269" s="2"/>
      <c r="BS269" s="25"/>
      <c r="BT269" s="348">
        <f t="shared" si="103"/>
        <v>0</v>
      </c>
      <c r="BU269" s="2"/>
      <c r="BV269" s="282">
        <f t="shared" si="97"/>
        <v>0</v>
      </c>
      <c r="BW269" s="279">
        <v>0</v>
      </c>
      <c r="BX269" s="269">
        <f t="shared" si="98"/>
        <v>0</v>
      </c>
      <c r="BY269" s="349" t="e">
        <f t="shared" si="67"/>
        <v>#N/A</v>
      </c>
      <c r="BZ269" s="349" t="e">
        <f t="shared" si="68"/>
        <v>#N/A</v>
      </c>
      <c r="CA269" s="349" t="e">
        <f t="shared" si="69"/>
        <v>#N/A</v>
      </c>
      <c r="CB269" s="349" t="e">
        <f t="shared" si="70"/>
        <v>#N/A</v>
      </c>
      <c r="CC269" s="349" t="e">
        <f t="shared" si="99"/>
        <v>#N/A</v>
      </c>
      <c r="CD269" s="14" t="e">
        <f t="shared" si="100"/>
        <v>#N/A</v>
      </c>
      <c r="CE269" s="14">
        <f t="shared" si="101"/>
        <v>0</v>
      </c>
      <c r="CF269" s="25">
        <f t="shared" si="102"/>
        <v>0</v>
      </c>
      <c r="CG269" s="270"/>
      <c r="CH269" s="2"/>
      <c r="CL269" s="349"/>
      <c r="CM269" s="349"/>
      <c r="CN269" s="349"/>
      <c r="CO269" s="349"/>
      <c r="CP269" s="349"/>
      <c r="CQ269" s="14"/>
      <c r="CY269" s="2"/>
    </row>
    <row r="270" spans="1:103" s="1" customFormat="1" ht="29.4" customHeight="1">
      <c r="A270" s="46">
        <v>96</v>
      </c>
      <c r="B270" s="46">
        <v>6</v>
      </c>
      <c r="C270" s="46">
        <v>221</v>
      </c>
      <c r="D270" s="48"/>
      <c r="E270" s="48"/>
      <c r="F270" s="46"/>
      <c r="G270" s="317" t="s">
        <v>1991</v>
      </c>
      <c r="H270" s="317" t="s">
        <v>1991</v>
      </c>
      <c r="I270" s="317" t="s">
        <v>1991</v>
      </c>
      <c r="J270" s="317"/>
      <c r="K270" s="317" t="s">
        <v>1991</v>
      </c>
      <c r="L270" s="317" t="s">
        <v>1991</v>
      </c>
      <c r="M270" s="317" t="s">
        <v>1991</v>
      </c>
      <c r="N270" s="317" t="s">
        <v>1991</v>
      </c>
      <c r="O270" s="317" t="s">
        <v>1991</v>
      </c>
      <c r="P270" s="317" t="s">
        <v>1991</v>
      </c>
      <c r="Q270" s="317" t="s">
        <v>1991</v>
      </c>
      <c r="R270" s="317" t="s">
        <v>1991</v>
      </c>
      <c r="S270" s="317" t="s">
        <v>1991</v>
      </c>
      <c r="T270" s="326" t="s">
        <v>1991</v>
      </c>
      <c r="U270" s="312" t="s">
        <v>1991</v>
      </c>
      <c r="V270" s="46" t="s">
        <v>1991</v>
      </c>
      <c r="W270" s="324" t="s">
        <v>1991</v>
      </c>
      <c r="X270" s="324" t="s">
        <v>1991</v>
      </c>
      <c r="Y270" s="324" t="s">
        <v>1991</v>
      </c>
      <c r="Z270" s="46" t="s">
        <v>1991</v>
      </c>
      <c r="AA270" s="46" t="s">
        <v>1991</v>
      </c>
      <c r="AB270" s="46">
        <v>0</v>
      </c>
      <c r="AC270" s="46" t="s">
        <v>1991</v>
      </c>
      <c r="AD270" s="46" t="s">
        <v>1991</v>
      </c>
      <c r="AE270" s="324" t="s">
        <v>1991</v>
      </c>
      <c r="AF270" s="324" t="s">
        <v>1991</v>
      </c>
      <c r="AG270" s="324" t="s">
        <v>1991</v>
      </c>
      <c r="AH270" s="324" t="s">
        <v>1991</v>
      </c>
      <c r="AI270" s="324" t="s">
        <v>1991</v>
      </c>
      <c r="AJ270" s="324" t="s">
        <v>1991</v>
      </c>
      <c r="AK270" s="324" t="s">
        <v>1991</v>
      </c>
      <c r="AL270" s="327"/>
      <c r="AM270" s="327"/>
      <c r="AN270" s="327"/>
      <c r="AO270" s="327"/>
      <c r="AP270" s="327" t="s">
        <v>1991</v>
      </c>
      <c r="AQ270" s="327"/>
      <c r="AR270" s="327"/>
      <c r="AS270" s="327" t="s">
        <v>1991</v>
      </c>
      <c r="AT270" s="327"/>
      <c r="AU270" s="327"/>
      <c r="AV270" s="327"/>
      <c r="AW270" s="327"/>
      <c r="AX270" s="327"/>
      <c r="AY270" s="327"/>
      <c r="AZ270" s="327"/>
      <c r="BA270" s="327"/>
      <c r="BB270" s="46">
        <f t="shared" si="90"/>
        <v>14</v>
      </c>
      <c r="BC270" s="46">
        <f t="shared" si="91"/>
        <v>15</v>
      </c>
      <c r="BD270" s="46">
        <f t="shared" si="104"/>
        <v>2</v>
      </c>
      <c r="BE270" s="46">
        <f t="shared" si="92"/>
        <v>0</v>
      </c>
      <c r="BF270" s="296">
        <f t="shared" si="93"/>
        <v>29</v>
      </c>
      <c r="BG270" s="2"/>
      <c r="BH270" s="2"/>
      <c r="BI270" s="2"/>
      <c r="BJ270" s="2"/>
      <c r="BK270" s="279">
        <f t="shared" si="94"/>
        <v>1</v>
      </c>
      <c r="BL270" s="279">
        <f t="shared" si="95"/>
        <v>29</v>
      </c>
      <c r="BM270" s="279"/>
      <c r="BN270" s="279"/>
      <c r="BO270" s="2">
        <f t="shared" si="96"/>
        <v>29</v>
      </c>
      <c r="BP270" s="430"/>
      <c r="BQ270" s="431"/>
      <c r="BR270" s="2"/>
      <c r="BS270" s="25"/>
      <c r="BT270" s="348">
        <f t="shared" si="103"/>
        <v>1</v>
      </c>
      <c r="BU270" s="2"/>
      <c r="BV270" s="282">
        <f t="shared" si="97"/>
        <v>0</v>
      </c>
      <c r="BW270" s="279">
        <v>0</v>
      </c>
      <c r="BX270" s="269">
        <f t="shared" si="98"/>
        <v>0</v>
      </c>
      <c r="BY270" s="349" t="e">
        <f t="shared" si="67"/>
        <v>#N/A</v>
      </c>
      <c r="BZ270" s="349" t="e">
        <f t="shared" si="68"/>
        <v>#N/A</v>
      </c>
      <c r="CA270" s="349" t="e">
        <f t="shared" si="69"/>
        <v>#N/A</v>
      </c>
      <c r="CB270" s="349" t="e">
        <f t="shared" si="70"/>
        <v>#N/A</v>
      </c>
      <c r="CC270" s="349" t="e">
        <f t="shared" si="99"/>
        <v>#N/A</v>
      </c>
      <c r="CD270" s="14" t="e">
        <f t="shared" si="100"/>
        <v>#N/A</v>
      </c>
      <c r="CE270" s="14">
        <f t="shared" si="101"/>
        <v>29</v>
      </c>
      <c r="CF270" s="25">
        <f t="shared" si="102"/>
        <v>1</v>
      </c>
      <c r="CG270" s="270"/>
      <c r="CH270" s="2"/>
      <c r="CL270" s="349"/>
      <c r="CM270" s="349"/>
      <c r="CN270" s="349"/>
      <c r="CO270" s="349"/>
      <c r="CP270" s="349"/>
      <c r="CQ270" s="14"/>
      <c r="CY270" s="2"/>
    </row>
    <row r="271" spans="1:103" s="1" customFormat="1" ht="29.4" customHeight="1">
      <c r="A271" s="46">
        <v>97</v>
      </c>
      <c r="B271" s="46">
        <v>6</v>
      </c>
      <c r="C271" s="46">
        <v>222</v>
      </c>
      <c r="D271" s="48"/>
      <c r="E271" s="48"/>
      <c r="F271" s="46"/>
      <c r="G271" s="317" t="s">
        <v>1991</v>
      </c>
      <c r="H271" s="317" t="s">
        <v>1991</v>
      </c>
      <c r="I271" s="317" t="s">
        <v>1991</v>
      </c>
      <c r="J271" s="317"/>
      <c r="K271" s="317" t="s">
        <v>1991</v>
      </c>
      <c r="L271" s="317" t="s">
        <v>1991</v>
      </c>
      <c r="M271" s="317" t="s">
        <v>1991</v>
      </c>
      <c r="N271" s="317" t="s">
        <v>1991</v>
      </c>
      <c r="O271" s="317" t="s">
        <v>1991</v>
      </c>
      <c r="P271" s="317" t="s">
        <v>1991</v>
      </c>
      <c r="Q271" s="317" t="s">
        <v>1991</v>
      </c>
      <c r="R271" s="317" t="s">
        <v>1991</v>
      </c>
      <c r="S271" s="317" t="s">
        <v>1991</v>
      </c>
      <c r="T271" s="326" t="s">
        <v>1991</v>
      </c>
      <c r="U271" s="312" t="s">
        <v>1991</v>
      </c>
      <c r="V271" s="46" t="s">
        <v>1991</v>
      </c>
      <c r="W271" s="324" t="s">
        <v>1991</v>
      </c>
      <c r="X271" s="324" t="s">
        <v>1991</v>
      </c>
      <c r="Y271" s="324" t="s">
        <v>1991</v>
      </c>
      <c r="Z271" s="46" t="s">
        <v>1991</v>
      </c>
      <c r="AA271" s="46" t="s">
        <v>1991</v>
      </c>
      <c r="AB271" s="46">
        <v>0</v>
      </c>
      <c r="AC271" s="46" t="s">
        <v>1991</v>
      </c>
      <c r="AD271" s="46" t="s">
        <v>1991</v>
      </c>
      <c r="AE271" s="324" t="s">
        <v>1991</v>
      </c>
      <c r="AF271" s="324" t="s">
        <v>1991</v>
      </c>
      <c r="AG271" s="324" t="s">
        <v>1991</v>
      </c>
      <c r="AH271" s="324" t="s">
        <v>1991</v>
      </c>
      <c r="AI271" s="324" t="s">
        <v>1991</v>
      </c>
      <c r="AJ271" s="324" t="s">
        <v>1991</v>
      </c>
      <c r="AK271" s="324" t="s">
        <v>1991</v>
      </c>
      <c r="AL271" s="327"/>
      <c r="AM271" s="327"/>
      <c r="AN271" s="327"/>
      <c r="AO271" s="327"/>
      <c r="AP271" s="327" t="s">
        <v>1991</v>
      </c>
      <c r="AQ271" s="327"/>
      <c r="AR271" s="327"/>
      <c r="AS271" s="327"/>
      <c r="AT271" s="327"/>
      <c r="AU271" s="327"/>
      <c r="AV271" s="327"/>
      <c r="AW271" s="327"/>
      <c r="AX271" s="327"/>
      <c r="AY271" s="327"/>
      <c r="AZ271" s="327"/>
      <c r="BA271" s="327"/>
      <c r="BB271" s="46">
        <f t="shared" si="90"/>
        <v>14</v>
      </c>
      <c r="BC271" s="46">
        <f t="shared" si="91"/>
        <v>15</v>
      </c>
      <c r="BD271" s="46">
        <f t="shared" si="104"/>
        <v>1</v>
      </c>
      <c r="BE271" s="46">
        <f t="shared" si="92"/>
        <v>0</v>
      </c>
      <c r="BF271" s="296">
        <f t="shared" si="93"/>
        <v>29</v>
      </c>
      <c r="BG271" s="2"/>
      <c r="BH271" s="2"/>
      <c r="BI271" s="2"/>
      <c r="BJ271" s="2"/>
      <c r="BK271" s="279">
        <f t="shared" si="94"/>
        <v>1</v>
      </c>
      <c r="BL271" s="279">
        <f t="shared" si="95"/>
        <v>29</v>
      </c>
      <c r="BM271" s="279"/>
      <c r="BN271" s="279"/>
      <c r="BO271" s="2">
        <f t="shared" si="96"/>
        <v>29</v>
      </c>
      <c r="BP271" s="430"/>
      <c r="BQ271" s="431"/>
      <c r="BR271" s="2"/>
      <c r="BS271" s="25"/>
      <c r="BT271" s="348">
        <f t="shared" si="103"/>
        <v>1</v>
      </c>
      <c r="BU271" s="2"/>
      <c r="BV271" s="282">
        <f t="shared" si="97"/>
        <v>0</v>
      </c>
      <c r="BW271" s="279">
        <v>0</v>
      </c>
      <c r="BX271" s="269">
        <f t="shared" si="98"/>
        <v>0</v>
      </c>
      <c r="BY271" s="349" t="e">
        <f t="shared" si="67"/>
        <v>#N/A</v>
      </c>
      <c r="BZ271" s="349" t="e">
        <f t="shared" si="68"/>
        <v>#N/A</v>
      </c>
      <c r="CA271" s="349" t="e">
        <f t="shared" si="69"/>
        <v>#N/A</v>
      </c>
      <c r="CB271" s="349" t="e">
        <f t="shared" si="70"/>
        <v>#N/A</v>
      </c>
      <c r="CC271" s="349" t="e">
        <f t="shared" si="99"/>
        <v>#N/A</v>
      </c>
      <c r="CD271" s="14" t="e">
        <f t="shared" si="100"/>
        <v>#N/A</v>
      </c>
      <c r="CE271" s="14">
        <f t="shared" si="101"/>
        <v>29</v>
      </c>
      <c r="CF271" s="25">
        <f t="shared" si="102"/>
        <v>1</v>
      </c>
      <c r="CG271" s="270"/>
      <c r="CH271" s="2"/>
      <c r="CL271" s="349"/>
      <c r="CM271" s="349"/>
      <c r="CN271" s="349"/>
      <c r="CO271" s="349"/>
      <c r="CP271" s="349"/>
      <c r="CQ271" s="14"/>
      <c r="CY271" s="2"/>
    </row>
    <row r="272" spans="1:103" s="1" customFormat="1" ht="29.4" customHeight="1">
      <c r="A272" s="46">
        <v>98</v>
      </c>
      <c r="B272" s="46">
        <v>6</v>
      </c>
      <c r="C272" s="46">
        <v>223</v>
      </c>
      <c r="D272" s="48"/>
      <c r="E272" s="48"/>
      <c r="F272" s="46"/>
      <c r="G272" s="317">
        <v>0</v>
      </c>
      <c r="H272" s="317" t="s">
        <v>1991</v>
      </c>
      <c r="I272" s="317" t="s">
        <v>1991</v>
      </c>
      <c r="J272" s="317"/>
      <c r="K272" s="317" t="s">
        <v>1991</v>
      </c>
      <c r="L272" s="317" t="s">
        <v>1991</v>
      </c>
      <c r="M272" s="317" t="s">
        <v>1991</v>
      </c>
      <c r="N272" s="317" t="s">
        <v>1991</v>
      </c>
      <c r="O272" s="317" t="s">
        <v>1991</v>
      </c>
      <c r="P272" s="317" t="s">
        <v>1991</v>
      </c>
      <c r="Q272" s="317" t="s">
        <v>1991</v>
      </c>
      <c r="R272" s="317" t="s">
        <v>1991</v>
      </c>
      <c r="S272" s="317" t="s">
        <v>1991</v>
      </c>
      <c r="T272" s="326" t="s">
        <v>1991</v>
      </c>
      <c r="U272" s="312" t="s">
        <v>1991</v>
      </c>
      <c r="V272" s="46" t="s">
        <v>1991</v>
      </c>
      <c r="W272" s="324" t="s">
        <v>1991</v>
      </c>
      <c r="X272" s="324" t="s">
        <v>1991</v>
      </c>
      <c r="Y272" s="324" t="s">
        <v>1991</v>
      </c>
      <c r="Z272" s="46">
        <v>0</v>
      </c>
      <c r="AA272" s="46" t="s">
        <v>1991</v>
      </c>
      <c r="AB272" s="46" t="s">
        <v>1991</v>
      </c>
      <c r="AC272" s="46" t="s">
        <v>1991</v>
      </c>
      <c r="AD272" s="46" t="s">
        <v>1991</v>
      </c>
      <c r="AE272" s="324" t="s">
        <v>1991</v>
      </c>
      <c r="AF272" s="324" t="s">
        <v>1991</v>
      </c>
      <c r="AG272" s="324" t="s">
        <v>1991</v>
      </c>
      <c r="AH272" s="324" t="s">
        <v>1991</v>
      </c>
      <c r="AI272" s="324" t="s">
        <v>1991</v>
      </c>
      <c r="AJ272" s="324" t="s">
        <v>1991</v>
      </c>
      <c r="AK272" s="324" t="s">
        <v>1991</v>
      </c>
      <c r="AL272" s="327"/>
      <c r="AM272" s="327"/>
      <c r="AN272" s="327"/>
      <c r="AO272" s="327"/>
      <c r="AP272" s="327" t="s">
        <v>1991</v>
      </c>
      <c r="AQ272" s="327"/>
      <c r="AR272" s="327"/>
      <c r="AS272" s="327"/>
      <c r="AT272" s="327"/>
      <c r="AU272" s="327"/>
      <c r="AV272" s="327"/>
      <c r="AW272" s="327"/>
      <c r="AX272" s="327"/>
      <c r="AY272" s="327"/>
      <c r="AZ272" s="327"/>
      <c r="BA272" s="327"/>
      <c r="BB272" s="46">
        <f t="shared" si="90"/>
        <v>13</v>
      </c>
      <c r="BC272" s="46">
        <f t="shared" si="91"/>
        <v>15</v>
      </c>
      <c r="BD272" s="46">
        <f t="shared" si="104"/>
        <v>1</v>
      </c>
      <c r="BE272" s="46">
        <f t="shared" si="92"/>
        <v>0</v>
      </c>
      <c r="BF272" s="296">
        <f t="shared" si="93"/>
        <v>28</v>
      </c>
      <c r="BG272" s="2"/>
      <c r="BH272" s="2"/>
      <c r="BI272" s="2"/>
      <c r="BJ272" s="2"/>
      <c r="BK272" s="279">
        <f t="shared" si="94"/>
        <v>1</v>
      </c>
      <c r="BL272" s="279">
        <f t="shared" si="95"/>
        <v>28</v>
      </c>
      <c r="BM272" s="279"/>
      <c r="BN272" s="279"/>
      <c r="BO272" s="2">
        <f t="shared" si="96"/>
        <v>28</v>
      </c>
      <c r="BP272" s="430"/>
      <c r="BQ272" s="431"/>
      <c r="BR272" s="2"/>
      <c r="BS272" s="25"/>
      <c r="BT272" s="348">
        <f t="shared" si="103"/>
        <v>1</v>
      </c>
      <c r="BU272" s="2"/>
      <c r="BV272" s="282">
        <f t="shared" si="97"/>
        <v>0</v>
      </c>
      <c r="BW272" s="279">
        <v>0</v>
      </c>
      <c r="BX272" s="269">
        <f t="shared" si="98"/>
        <v>0</v>
      </c>
      <c r="BY272" s="349" t="e">
        <f t="shared" si="67"/>
        <v>#N/A</v>
      </c>
      <c r="BZ272" s="349" t="e">
        <f t="shared" si="68"/>
        <v>#N/A</v>
      </c>
      <c r="CA272" s="349" t="e">
        <f t="shared" si="69"/>
        <v>#N/A</v>
      </c>
      <c r="CB272" s="349" t="e">
        <f t="shared" si="70"/>
        <v>#N/A</v>
      </c>
      <c r="CC272" s="349" t="e">
        <f t="shared" si="99"/>
        <v>#N/A</v>
      </c>
      <c r="CD272" s="14" t="e">
        <f t="shared" si="100"/>
        <v>#N/A</v>
      </c>
      <c r="CE272" s="14">
        <f t="shared" si="101"/>
        <v>28</v>
      </c>
      <c r="CF272" s="25">
        <f t="shared" si="102"/>
        <v>1</v>
      </c>
      <c r="CG272" s="270"/>
      <c r="CH272" s="2"/>
      <c r="CL272" s="349"/>
      <c r="CM272" s="349"/>
      <c r="CN272" s="349"/>
      <c r="CO272" s="349"/>
      <c r="CP272" s="349"/>
      <c r="CQ272" s="14"/>
      <c r="CY272" s="2"/>
    </row>
    <row r="273" spans="1:103" s="1" customFormat="1" ht="29.4" customHeight="1">
      <c r="A273" s="46">
        <v>99</v>
      </c>
      <c r="B273" s="46">
        <v>6</v>
      </c>
      <c r="C273" s="46">
        <v>224</v>
      </c>
      <c r="D273" s="48"/>
      <c r="E273" s="48"/>
      <c r="F273" s="46"/>
      <c r="G273" s="317">
        <v>0</v>
      </c>
      <c r="H273" s="317" t="s">
        <v>1991</v>
      </c>
      <c r="I273" s="317" t="s">
        <v>1991</v>
      </c>
      <c r="J273" s="317"/>
      <c r="K273" s="317" t="s">
        <v>1991</v>
      </c>
      <c r="L273" s="317" t="s">
        <v>1991</v>
      </c>
      <c r="M273" s="317" t="s">
        <v>1991</v>
      </c>
      <c r="N273" s="317" t="s">
        <v>1991</v>
      </c>
      <c r="O273" s="317" t="s">
        <v>1991</v>
      </c>
      <c r="P273" s="317" t="s">
        <v>1991</v>
      </c>
      <c r="Q273" s="317" t="s">
        <v>1991</v>
      </c>
      <c r="R273" s="317" t="s">
        <v>1991</v>
      </c>
      <c r="S273" s="317" t="s">
        <v>1991</v>
      </c>
      <c r="T273" s="326" t="s">
        <v>1991</v>
      </c>
      <c r="U273" s="312" t="s">
        <v>1991</v>
      </c>
      <c r="V273" s="46" t="s">
        <v>1991</v>
      </c>
      <c r="W273" s="324" t="s">
        <v>1991</v>
      </c>
      <c r="X273" s="324" t="s">
        <v>1991</v>
      </c>
      <c r="Y273" s="324" t="s">
        <v>1991</v>
      </c>
      <c r="Z273" s="46">
        <v>0</v>
      </c>
      <c r="AA273" s="46" t="s">
        <v>1991</v>
      </c>
      <c r="AB273" s="46" t="s">
        <v>1991</v>
      </c>
      <c r="AC273" s="46" t="s">
        <v>1991</v>
      </c>
      <c r="AD273" s="46" t="s">
        <v>1991</v>
      </c>
      <c r="AE273" s="324" t="s">
        <v>1991</v>
      </c>
      <c r="AF273" s="324" t="s">
        <v>1991</v>
      </c>
      <c r="AG273" s="324" t="s">
        <v>1991</v>
      </c>
      <c r="AH273" s="324" t="s">
        <v>1991</v>
      </c>
      <c r="AI273" s="324" t="s">
        <v>1991</v>
      </c>
      <c r="AJ273" s="324" t="s">
        <v>1991</v>
      </c>
      <c r="AK273" s="324" t="s">
        <v>1991</v>
      </c>
      <c r="AL273" s="327"/>
      <c r="AM273" s="327"/>
      <c r="AN273" s="327"/>
      <c r="AO273" s="327"/>
      <c r="AP273" s="327" t="s">
        <v>1991</v>
      </c>
      <c r="AQ273" s="327"/>
      <c r="AR273" s="327"/>
      <c r="AS273" s="327"/>
      <c r="AT273" s="327"/>
      <c r="AU273" s="327"/>
      <c r="AV273" s="327"/>
      <c r="AW273" s="327"/>
      <c r="AX273" s="327"/>
      <c r="AY273" s="327"/>
      <c r="AZ273" s="327"/>
      <c r="BA273" s="327"/>
      <c r="BB273" s="46">
        <f t="shared" si="90"/>
        <v>13</v>
      </c>
      <c r="BC273" s="46">
        <f t="shared" si="91"/>
        <v>15</v>
      </c>
      <c r="BD273" s="46">
        <f t="shared" si="104"/>
        <v>1</v>
      </c>
      <c r="BE273" s="46">
        <f t="shared" si="92"/>
        <v>0</v>
      </c>
      <c r="BF273" s="296">
        <f t="shared" si="93"/>
        <v>28</v>
      </c>
      <c r="BG273" s="2"/>
      <c r="BH273" s="2"/>
      <c r="BI273" s="2"/>
      <c r="BJ273" s="2"/>
      <c r="BK273" s="279">
        <f t="shared" si="94"/>
        <v>1</v>
      </c>
      <c r="BL273" s="279">
        <f t="shared" si="95"/>
        <v>28</v>
      </c>
      <c r="BM273" s="279"/>
      <c r="BN273" s="279"/>
      <c r="BO273" s="2">
        <f t="shared" si="96"/>
        <v>28</v>
      </c>
      <c r="BP273" s="430"/>
      <c r="BQ273" s="431"/>
      <c r="BR273" s="2"/>
      <c r="BS273" s="25"/>
      <c r="BT273" s="348">
        <f t="shared" si="103"/>
        <v>1</v>
      </c>
      <c r="BU273" s="2"/>
      <c r="BV273" s="282">
        <f t="shared" si="97"/>
        <v>0</v>
      </c>
      <c r="BW273" s="279">
        <v>0</v>
      </c>
      <c r="BX273" s="269">
        <f t="shared" si="98"/>
        <v>0</v>
      </c>
      <c r="BY273" s="349" t="e">
        <f t="shared" si="67"/>
        <v>#N/A</v>
      </c>
      <c r="BZ273" s="349" t="e">
        <f t="shared" si="68"/>
        <v>#N/A</v>
      </c>
      <c r="CA273" s="349" t="e">
        <f t="shared" si="69"/>
        <v>#N/A</v>
      </c>
      <c r="CB273" s="349" t="e">
        <f t="shared" si="70"/>
        <v>#N/A</v>
      </c>
      <c r="CC273" s="349" t="e">
        <f t="shared" si="99"/>
        <v>#N/A</v>
      </c>
      <c r="CD273" s="14" t="e">
        <f t="shared" si="100"/>
        <v>#N/A</v>
      </c>
      <c r="CE273" s="14">
        <f t="shared" si="101"/>
        <v>28</v>
      </c>
      <c r="CF273" s="25">
        <f t="shared" si="102"/>
        <v>1</v>
      </c>
      <c r="CG273" s="270"/>
      <c r="CH273" s="2"/>
      <c r="CL273" s="349"/>
      <c r="CM273" s="349"/>
      <c r="CN273" s="349"/>
      <c r="CO273" s="349"/>
      <c r="CP273" s="349"/>
      <c r="CQ273" s="14"/>
      <c r="CY273" s="2"/>
    </row>
    <row r="274" spans="1:103" s="1" customFormat="1" ht="29.4" customHeight="1">
      <c r="A274" s="46">
        <v>100</v>
      </c>
      <c r="B274" s="46">
        <v>6</v>
      </c>
      <c r="C274" s="46">
        <v>225</v>
      </c>
      <c r="D274" s="48"/>
      <c r="E274" s="48"/>
      <c r="F274" s="46"/>
      <c r="G274" s="317">
        <v>0</v>
      </c>
      <c r="H274" s="317" t="s">
        <v>1991</v>
      </c>
      <c r="I274" s="317" t="s">
        <v>1991</v>
      </c>
      <c r="J274" s="317"/>
      <c r="K274" s="317" t="s">
        <v>1991</v>
      </c>
      <c r="L274" s="317" t="s">
        <v>1991</v>
      </c>
      <c r="M274" s="317" t="s">
        <v>1991</v>
      </c>
      <c r="N274" s="317" t="s">
        <v>1991</v>
      </c>
      <c r="O274" s="317" t="s">
        <v>1991</v>
      </c>
      <c r="P274" s="317" t="s">
        <v>1991</v>
      </c>
      <c r="Q274" s="317">
        <v>0</v>
      </c>
      <c r="R274" s="317" t="s">
        <v>1991</v>
      </c>
      <c r="S274" s="317" t="s">
        <v>1991</v>
      </c>
      <c r="T274" s="326" t="s">
        <v>1991</v>
      </c>
      <c r="U274" s="312" t="s">
        <v>1991</v>
      </c>
      <c r="V274" s="46" t="s">
        <v>1991</v>
      </c>
      <c r="W274" s="324" t="s">
        <v>1991</v>
      </c>
      <c r="X274" s="324" t="s">
        <v>1991</v>
      </c>
      <c r="Y274" s="324" t="s">
        <v>1991</v>
      </c>
      <c r="Z274" s="46" t="s">
        <v>1991</v>
      </c>
      <c r="AA274" s="46" t="s">
        <v>1991</v>
      </c>
      <c r="AB274" s="46" t="s">
        <v>1991</v>
      </c>
      <c r="AC274" s="46" t="s">
        <v>1991</v>
      </c>
      <c r="AD274" s="46" t="s">
        <v>1991</v>
      </c>
      <c r="AE274" s="324" t="s">
        <v>1991</v>
      </c>
      <c r="AF274" s="324" t="s">
        <v>1991</v>
      </c>
      <c r="AG274" s="324" t="s">
        <v>1991</v>
      </c>
      <c r="AH274" s="324" t="s">
        <v>1991</v>
      </c>
      <c r="AI274" s="324" t="s">
        <v>1991</v>
      </c>
      <c r="AJ274" s="324">
        <v>0</v>
      </c>
      <c r="AK274" s="324" t="s">
        <v>1991</v>
      </c>
      <c r="AL274" s="327"/>
      <c r="AM274" s="327"/>
      <c r="AN274" s="327"/>
      <c r="AO274" s="327"/>
      <c r="AP274" s="327" t="s">
        <v>1991</v>
      </c>
      <c r="AQ274" s="327"/>
      <c r="AR274" s="327"/>
      <c r="AS274" s="327"/>
      <c r="AT274" s="327"/>
      <c r="AU274" s="327"/>
      <c r="AV274" s="327"/>
      <c r="AW274" s="327"/>
      <c r="AX274" s="327"/>
      <c r="AY274" s="327"/>
      <c r="AZ274" s="327"/>
      <c r="BA274" s="327"/>
      <c r="BB274" s="46">
        <f t="shared" si="90"/>
        <v>12</v>
      </c>
      <c r="BC274" s="46">
        <f t="shared" si="91"/>
        <v>15</v>
      </c>
      <c r="BD274" s="46">
        <f t="shared" si="104"/>
        <v>1</v>
      </c>
      <c r="BE274" s="46">
        <f t="shared" si="92"/>
        <v>0</v>
      </c>
      <c r="BF274" s="296">
        <f t="shared" si="93"/>
        <v>27</v>
      </c>
      <c r="BG274" s="2"/>
      <c r="BH274" s="2"/>
      <c r="BI274" s="2"/>
      <c r="BJ274" s="2"/>
      <c r="BK274" s="279">
        <f t="shared" si="94"/>
        <v>1</v>
      </c>
      <c r="BL274" s="279">
        <f t="shared" si="95"/>
        <v>27</v>
      </c>
      <c r="BM274" s="279"/>
      <c r="BN274" s="279"/>
      <c r="BO274" s="2">
        <f t="shared" si="96"/>
        <v>27</v>
      </c>
      <c r="BP274" s="430"/>
      <c r="BQ274" s="431"/>
      <c r="BR274" s="2"/>
      <c r="BS274" s="25"/>
      <c r="BT274" s="348">
        <f t="shared" si="103"/>
        <v>1</v>
      </c>
      <c r="BU274" s="2"/>
      <c r="BV274" s="282">
        <f t="shared" si="97"/>
        <v>0</v>
      </c>
      <c r="BW274" s="279">
        <v>0</v>
      </c>
      <c r="BX274" s="269">
        <f t="shared" si="98"/>
        <v>0</v>
      </c>
      <c r="BY274" s="349" t="e">
        <f t="shared" si="67"/>
        <v>#N/A</v>
      </c>
      <c r="BZ274" s="349" t="e">
        <f t="shared" si="68"/>
        <v>#N/A</v>
      </c>
      <c r="CA274" s="349" t="e">
        <f t="shared" si="69"/>
        <v>#N/A</v>
      </c>
      <c r="CB274" s="349" t="e">
        <f t="shared" si="70"/>
        <v>#N/A</v>
      </c>
      <c r="CC274" s="349" t="e">
        <f t="shared" si="99"/>
        <v>#N/A</v>
      </c>
      <c r="CD274" s="14" t="e">
        <f t="shared" si="100"/>
        <v>#N/A</v>
      </c>
      <c r="CE274" s="14">
        <f t="shared" si="101"/>
        <v>27</v>
      </c>
      <c r="CF274" s="25">
        <f t="shared" si="102"/>
        <v>1</v>
      </c>
      <c r="CG274" s="270"/>
      <c r="CH274" s="2"/>
      <c r="CL274" s="349"/>
      <c r="CM274" s="349"/>
      <c r="CN274" s="349"/>
      <c r="CO274" s="349"/>
      <c r="CP274" s="349"/>
      <c r="CQ274" s="14"/>
      <c r="CY274" s="2"/>
    </row>
    <row r="275" spans="1:103" s="1" customFormat="1" ht="29.4" customHeight="1">
      <c r="A275" s="46">
        <v>101</v>
      </c>
      <c r="B275" s="46">
        <v>6</v>
      </c>
      <c r="C275" s="46">
        <v>226</v>
      </c>
      <c r="D275" s="48"/>
      <c r="E275" s="48"/>
      <c r="F275" s="46"/>
      <c r="G275" s="317">
        <v>0</v>
      </c>
      <c r="H275" s="317" t="s">
        <v>1991</v>
      </c>
      <c r="I275" s="317" t="s">
        <v>1991</v>
      </c>
      <c r="J275" s="317"/>
      <c r="K275" s="317" t="s">
        <v>1991</v>
      </c>
      <c r="L275" s="317" t="s">
        <v>1991</v>
      </c>
      <c r="M275" s="317" t="s">
        <v>1991</v>
      </c>
      <c r="N275" s="317" t="s">
        <v>1991</v>
      </c>
      <c r="O275" s="317" t="s">
        <v>1991</v>
      </c>
      <c r="P275" s="317" t="s">
        <v>1991</v>
      </c>
      <c r="Q275" s="317">
        <v>0</v>
      </c>
      <c r="R275" s="317" t="s">
        <v>1991</v>
      </c>
      <c r="S275" s="317" t="s">
        <v>1991</v>
      </c>
      <c r="T275" s="326" t="s">
        <v>1991</v>
      </c>
      <c r="U275" s="312" t="s">
        <v>1991</v>
      </c>
      <c r="V275" s="46" t="s">
        <v>1991</v>
      </c>
      <c r="W275" s="324" t="s">
        <v>1991</v>
      </c>
      <c r="X275" s="324" t="s">
        <v>1991</v>
      </c>
      <c r="Y275" s="324" t="s">
        <v>1991</v>
      </c>
      <c r="Z275" s="46" t="s">
        <v>1991</v>
      </c>
      <c r="AA275" s="46" t="s">
        <v>1991</v>
      </c>
      <c r="AB275" s="46">
        <v>0</v>
      </c>
      <c r="AC275" s="46" t="s">
        <v>1991</v>
      </c>
      <c r="AD275" s="46" t="s">
        <v>1991</v>
      </c>
      <c r="AE275" s="324">
        <v>0</v>
      </c>
      <c r="AF275" s="324" t="s">
        <v>1991</v>
      </c>
      <c r="AG275" s="324" t="s">
        <v>1991</v>
      </c>
      <c r="AH275" s="324" t="s">
        <v>1991</v>
      </c>
      <c r="AI275" s="324" t="s">
        <v>1991</v>
      </c>
      <c r="AJ275" s="324" t="s">
        <v>1991</v>
      </c>
      <c r="AK275" s="324" t="s">
        <v>1991</v>
      </c>
      <c r="AL275" s="327"/>
      <c r="AM275" s="327"/>
      <c r="AN275" s="327"/>
      <c r="AO275" s="327"/>
      <c r="AP275" s="327">
        <v>0</v>
      </c>
      <c r="AQ275" s="327"/>
      <c r="AR275" s="327"/>
      <c r="AS275" s="327"/>
      <c r="AT275" s="327"/>
      <c r="AU275" s="327"/>
      <c r="AV275" s="327"/>
      <c r="AW275" s="327"/>
      <c r="AX275" s="327"/>
      <c r="AY275" s="327"/>
      <c r="AZ275" s="327"/>
      <c r="BA275" s="327"/>
      <c r="BB275" s="46">
        <f t="shared" si="90"/>
        <v>12</v>
      </c>
      <c r="BC275" s="46">
        <f t="shared" si="91"/>
        <v>14</v>
      </c>
      <c r="BD275" s="46">
        <f t="shared" si="104"/>
        <v>0</v>
      </c>
      <c r="BE275" s="46">
        <f t="shared" si="92"/>
        <v>0</v>
      </c>
      <c r="BF275" s="296">
        <f t="shared" si="93"/>
        <v>26</v>
      </c>
      <c r="BG275" s="2"/>
      <c r="BH275" s="2"/>
      <c r="BI275" s="2"/>
      <c r="BJ275" s="2"/>
      <c r="BK275" s="279">
        <f t="shared" si="94"/>
        <v>1</v>
      </c>
      <c r="BL275" s="279">
        <f t="shared" si="95"/>
        <v>26</v>
      </c>
      <c r="BM275" s="279"/>
      <c r="BN275" s="279"/>
      <c r="BO275" s="2">
        <f t="shared" si="96"/>
        <v>26</v>
      </c>
      <c r="BP275" s="430"/>
      <c r="BQ275" s="431"/>
      <c r="BR275" s="2"/>
      <c r="BS275" s="25"/>
      <c r="BT275" s="348">
        <f t="shared" si="103"/>
        <v>1</v>
      </c>
      <c r="BU275" s="2"/>
      <c r="BV275" s="282">
        <f t="shared" si="97"/>
        <v>0</v>
      </c>
      <c r="BW275" s="279">
        <v>0</v>
      </c>
      <c r="BX275" s="269">
        <f t="shared" si="98"/>
        <v>0</v>
      </c>
      <c r="BY275" s="349" t="e">
        <f t="shared" si="67"/>
        <v>#N/A</v>
      </c>
      <c r="BZ275" s="349" t="e">
        <f t="shared" si="68"/>
        <v>#N/A</v>
      </c>
      <c r="CA275" s="349" t="e">
        <f t="shared" si="69"/>
        <v>#N/A</v>
      </c>
      <c r="CB275" s="349" t="e">
        <f t="shared" si="70"/>
        <v>#N/A</v>
      </c>
      <c r="CC275" s="349" t="e">
        <f t="shared" si="99"/>
        <v>#N/A</v>
      </c>
      <c r="CD275" s="14" t="e">
        <f t="shared" si="100"/>
        <v>#N/A</v>
      </c>
      <c r="CE275" s="14">
        <f t="shared" si="101"/>
        <v>26</v>
      </c>
      <c r="CF275" s="25">
        <f t="shared" si="102"/>
        <v>1</v>
      </c>
      <c r="CG275" s="270"/>
      <c r="CH275" s="2"/>
      <c r="CL275" s="349"/>
      <c r="CM275" s="349"/>
      <c r="CN275" s="349"/>
      <c r="CO275" s="349"/>
      <c r="CP275" s="349"/>
      <c r="CQ275" s="14"/>
      <c r="CY275" s="2"/>
    </row>
    <row r="276" spans="1:103" s="1" customFormat="1" ht="29.4" customHeight="1">
      <c r="A276" s="46">
        <v>102</v>
      </c>
      <c r="B276" s="46">
        <v>6</v>
      </c>
      <c r="C276" s="46">
        <v>227</v>
      </c>
      <c r="D276" s="48"/>
      <c r="E276" s="48"/>
      <c r="F276" s="46"/>
      <c r="G276" s="317" t="s">
        <v>1991</v>
      </c>
      <c r="H276" s="317" t="s">
        <v>1991</v>
      </c>
      <c r="I276" s="317" t="s">
        <v>1991</v>
      </c>
      <c r="J276" s="317"/>
      <c r="K276" s="317">
        <v>0</v>
      </c>
      <c r="L276" s="317" t="s">
        <v>1991</v>
      </c>
      <c r="M276" s="317" t="s">
        <v>1991</v>
      </c>
      <c r="N276" s="317" t="s">
        <v>1991</v>
      </c>
      <c r="O276" s="317" t="s">
        <v>1991</v>
      </c>
      <c r="P276" s="317" t="s">
        <v>1991</v>
      </c>
      <c r="Q276" s="317" t="s">
        <v>1991</v>
      </c>
      <c r="R276" s="317" t="s">
        <v>1991</v>
      </c>
      <c r="S276" s="317" t="s">
        <v>1991</v>
      </c>
      <c r="T276" s="326" t="s">
        <v>1991</v>
      </c>
      <c r="U276" s="312" t="s">
        <v>1991</v>
      </c>
      <c r="V276" s="46" t="s">
        <v>1991</v>
      </c>
      <c r="W276" s="324" t="s">
        <v>1991</v>
      </c>
      <c r="X276" s="324" t="s">
        <v>1991</v>
      </c>
      <c r="Y276" s="324" t="s">
        <v>1991</v>
      </c>
      <c r="Z276" s="46" t="s">
        <v>1991</v>
      </c>
      <c r="AA276" s="46" t="s">
        <v>1991</v>
      </c>
      <c r="AB276" s="46" t="s">
        <v>1991</v>
      </c>
      <c r="AC276" s="46" t="s">
        <v>1991</v>
      </c>
      <c r="AD276" s="46" t="s">
        <v>1991</v>
      </c>
      <c r="AE276" s="324" t="s">
        <v>1991</v>
      </c>
      <c r="AF276" s="324" t="s">
        <v>1991</v>
      </c>
      <c r="AG276" s="324" t="s">
        <v>1991</v>
      </c>
      <c r="AH276" s="324" t="s">
        <v>1991</v>
      </c>
      <c r="AI276" s="324" t="s">
        <v>1991</v>
      </c>
      <c r="AJ276" s="324" t="s">
        <v>1991</v>
      </c>
      <c r="AK276" s="324" t="s">
        <v>1991</v>
      </c>
      <c r="AL276" s="327"/>
      <c r="AM276" s="327"/>
      <c r="AN276" s="327"/>
      <c r="AO276" s="327"/>
      <c r="AP276" s="327" t="s">
        <v>1991</v>
      </c>
      <c r="AQ276" s="327"/>
      <c r="AR276" s="327"/>
      <c r="AS276" s="327"/>
      <c r="AT276" s="327"/>
      <c r="AU276" s="327"/>
      <c r="AV276" s="327"/>
      <c r="AW276" s="327"/>
      <c r="AX276" s="327"/>
      <c r="AY276" s="327"/>
      <c r="AZ276" s="327"/>
      <c r="BA276" s="327"/>
      <c r="BB276" s="46">
        <f t="shared" si="90"/>
        <v>13</v>
      </c>
      <c r="BC276" s="46">
        <f t="shared" si="91"/>
        <v>16</v>
      </c>
      <c r="BD276" s="46">
        <f t="shared" si="104"/>
        <v>1</v>
      </c>
      <c r="BE276" s="46">
        <f t="shared" si="92"/>
        <v>0</v>
      </c>
      <c r="BF276" s="296">
        <f t="shared" si="93"/>
        <v>29</v>
      </c>
      <c r="BG276" s="2"/>
      <c r="BH276" s="2"/>
      <c r="BI276" s="2"/>
      <c r="BJ276" s="2"/>
      <c r="BK276" s="279">
        <f t="shared" si="94"/>
        <v>1</v>
      </c>
      <c r="BL276" s="279">
        <f t="shared" si="95"/>
        <v>29</v>
      </c>
      <c r="BM276" s="279"/>
      <c r="BN276" s="279"/>
      <c r="BO276" s="2">
        <f t="shared" si="96"/>
        <v>29</v>
      </c>
      <c r="BP276" s="430"/>
      <c r="BQ276" s="431"/>
      <c r="BR276" s="2"/>
      <c r="BS276" s="25"/>
      <c r="BT276" s="348">
        <f t="shared" si="103"/>
        <v>1</v>
      </c>
      <c r="BU276" s="2"/>
      <c r="BV276" s="282">
        <f t="shared" si="97"/>
        <v>0</v>
      </c>
      <c r="BW276" s="279">
        <v>0</v>
      </c>
      <c r="BX276" s="269">
        <f t="shared" si="98"/>
        <v>0</v>
      </c>
      <c r="BY276" s="349" t="e">
        <f t="shared" si="67"/>
        <v>#N/A</v>
      </c>
      <c r="BZ276" s="349" t="e">
        <f t="shared" si="68"/>
        <v>#N/A</v>
      </c>
      <c r="CA276" s="349" t="e">
        <f t="shared" si="69"/>
        <v>#N/A</v>
      </c>
      <c r="CB276" s="349" t="e">
        <f t="shared" si="70"/>
        <v>#N/A</v>
      </c>
      <c r="CC276" s="349" t="e">
        <f t="shared" si="99"/>
        <v>#N/A</v>
      </c>
      <c r="CD276" s="14" t="e">
        <f t="shared" si="100"/>
        <v>#N/A</v>
      </c>
      <c r="CE276" s="14">
        <f t="shared" si="101"/>
        <v>29</v>
      </c>
      <c r="CF276" s="25">
        <f t="shared" si="102"/>
        <v>1</v>
      </c>
      <c r="CG276" s="270"/>
      <c r="CH276" s="2"/>
      <c r="CL276" s="349"/>
      <c r="CM276" s="349"/>
      <c r="CN276" s="349"/>
      <c r="CO276" s="349"/>
      <c r="CP276" s="349"/>
      <c r="CQ276" s="14"/>
      <c r="CY276" s="2"/>
    </row>
    <row r="277" spans="1:103" s="1" customFormat="1" ht="29.4" customHeight="1">
      <c r="A277" s="46">
        <v>103</v>
      </c>
      <c r="B277" s="46">
        <v>6</v>
      </c>
      <c r="C277" s="46">
        <v>228</v>
      </c>
      <c r="D277" s="48"/>
      <c r="E277" s="48"/>
      <c r="F277" s="46"/>
      <c r="G277" s="317" t="s">
        <v>1991</v>
      </c>
      <c r="H277" s="317" t="s">
        <v>1991</v>
      </c>
      <c r="I277" s="317" t="s">
        <v>1991</v>
      </c>
      <c r="J277" s="317"/>
      <c r="K277" s="317">
        <v>0</v>
      </c>
      <c r="L277" s="317" t="s">
        <v>1991</v>
      </c>
      <c r="M277" s="317" t="s">
        <v>1991</v>
      </c>
      <c r="N277" s="317" t="s">
        <v>1991</v>
      </c>
      <c r="O277" s="317" t="s">
        <v>1991</v>
      </c>
      <c r="P277" s="317" t="s">
        <v>1991</v>
      </c>
      <c r="Q277" s="317" t="s">
        <v>1991</v>
      </c>
      <c r="R277" s="317" t="s">
        <v>1991</v>
      </c>
      <c r="S277" s="317" t="s">
        <v>1991</v>
      </c>
      <c r="T277" s="326" t="s">
        <v>1991</v>
      </c>
      <c r="U277" s="312" t="s">
        <v>1991</v>
      </c>
      <c r="V277" s="46" t="s">
        <v>1991</v>
      </c>
      <c r="W277" s="324" t="s">
        <v>1991</v>
      </c>
      <c r="X277" s="324" t="s">
        <v>1991</v>
      </c>
      <c r="Y277" s="324" t="s">
        <v>1991</v>
      </c>
      <c r="Z277" s="46" t="s">
        <v>1991</v>
      </c>
      <c r="AA277" s="46" t="s">
        <v>1991</v>
      </c>
      <c r="AB277" s="46" t="s">
        <v>1991</v>
      </c>
      <c r="AC277" s="46" t="s">
        <v>1991</v>
      </c>
      <c r="AD277" s="46" t="s">
        <v>1991</v>
      </c>
      <c r="AE277" s="324" t="s">
        <v>1991</v>
      </c>
      <c r="AF277" s="324" t="s">
        <v>1991</v>
      </c>
      <c r="AG277" s="324" t="s">
        <v>1991</v>
      </c>
      <c r="AH277" s="324" t="s">
        <v>1991</v>
      </c>
      <c r="AI277" s="324" t="s">
        <v>1991</v>
      </c>
      <c r="AJ277" s="324" t="s">
        <v>1991</v>
      </c>
      <c r="AK277" s="324" t="s">
        <v>1991</v>
      </c>
      <c r="AL277" s="327"/>
      <c r="AM277" s="327"/>
      <c r="AN277" s="327"/>
      <c r="AO277" s="327"/>
      <c r="AP277" s="327" t="s">
        <v>1991</v>
      </c>
      <c r="AQ277" s="327"/>
      <c r="AR277" s="327"/>
      <c r="AS277" s="327"/>
      <c r="AT277" s="327"/>
      <c r="AU277" s="327"/>
      <c r="AV277" s="327"/>
      <c r="AW277" s="327"/>
      <c r="AX277" s="327"/>
      <c r="AY277" s="327"/>
      <c r="AZ277" s="327"/>
      <c r="BA277" s="327"/>
      <c r="BB277" s="46">
        <f t="shared" si="90"/>
        <v>13</v>
      </c>
      <c r="BC277" s="46">
        <f t="shared" si="91"/>
        <v>16</v>
      </c>
      <c r="BD277" s="46">
        <f t="shared" si="104"/>
        <v>1</v>
      </c>
      <c r="BE277" s="46">
        <f t="shared" si="92"/>
        <v>0</v>
      </c>
      <c r="BF277" s="296">
        <f t="shared" si="93"/>
        <v>29</v>
      </c>
      <c r="BG277" s="2"/>
      <c r="BH277" s="2"/>
      <c r="BI277" s="2"/>
      <c r="BJ277" s="2"/>
      <c r="BK277" s="279">
        <f t="shared" si="94"/>
        <v>1</v>
      </c>
      <c r="BL277" s="279">
        <f t="shared" si="95"/>
        <v>29</v>
      </c>
      <c r="BM277" s="279"/>
      <c r="BN277" s="279"/>
      <c r="BO277" s="2">
        <f t="shared" si="96"/>
        <v>29</v>
      </c>
      <c r="BP277" s="430"/>
      <c r="BQ277" s="431"/>
      <c r="BR277" s="2"/>
      <c r="BS277" s="25"/>
      <c r="BT277" s="348">
        <f t="shared" si="103"/>
        <v>1</v>
      </c>
      <c r="BU277" s="2"/>
      <c r="BV277" s="282">
        <f t="shared" si="97"/>
        <v>0</v>
      </c>
      <c r="BW277" s="279">
        <v>0</v>
      </c>
      <c r="BX277" s="269">
        <f t="shared" si="98"/>
        <v>0</v>
      </c>
      <c r="BY277" s="349" t="e">
        <f t="shared" si="67"/>
        <v>#N/A</v>
      </c>
      <c r="BZ277" s="349" t="e">
        <f t="shared" si="68"/>
        <v>#N/A</v>
      </c>
      <c r="CA277" s="349" t="e">
        <f t="shared" si="69"/>
        <v>#N/A</v>
      </c>
      <c r="CB277" s="349" t="e">
        <f t="shared" si="70"/>
        <v>#N/A</v>
      </c>
      <c r="CC277" s="349" t="e">
        <f t="shared" si="99"/>
        <v>#N/A</v>
      </c>
      <c r="CD277" s="14" t="e">
        <f t="shared" si="100"/>
        <v>#N/A</v>
      </c>
      <c r="CE277" s="14">
        <f t="shared" si="101"/>
        <v>29</v>
      </c>
      <c r="CF277" s="25">
        <f t="shared" si="102"/>
        <v>1</v>
      </c>
      <c r="CG277" s="270"/>
      <c r="CH277" s="2"/>
      <c r="CL277" s="349"/>
      <c r="CM277" s="349"/>
      <c r="CN277" s="349"/>
      <c r="CO277" s="349"/>
      <c r="CP277" s="349"/>
      <c r="CQ277" s="14"/>
      <c r="CY277" s="2"/>
    </row>
    <row r="278" spans="1:103" s="1" customFormat="1" ht="29.4" customHeight="1">
      <c r="A278" s="46">
        <v>104</v>
      </c>
      <c r="B278" s="46">
        <v>6</v>
      </c>
      <c r="C278" s="46">
        <v>229</v>
      </c>
      <c r="D278" s="48"/>
      <c r="E278" s="48"/>
      <c r="F278" s="46"/>
      <c r="G278" s="317" t="s">
        <v>1991</v>
      </c>
      <c r="H278" s="317" t="s">
        <v>1991</v>
      </c>
      <c r="I278" s="317">
        <v>0</v>
      </c>
      <c r="J278" s="317"/>
      <c r="K278" s="317" t="s">
        <v>1991</v>
      </c>
      <c r="L278" s="317" t="s">
        <v>1991</v>
      </c>
      <c r="M278" s="317" t="s">
        <v>1991</v>
      </c>
      <c r="N278" s="317" t="s">
        <v>1991</v>
      </c>
      <c r="O278" s="317" t="s">
        <v>1991</v>
      </c>
      <c r="P278" s="317" t="s">
        <v>1991</v>
      </c>
      <c r="Q278" s="317" t="s">
        <v>1991</v>
      </c>
      <c r="R278" s="317" t="s">
        <v>1991</v>
      </c>
      <c r="S278" s="317" t="s">
        <v>1991</v>
      </c>
      <c r="T278" s="326" t="s">
        <v>1991</v>
      </c>
      <c r="U278" s="312" t="s">
        <v>1991</v>
      </c>
      <c r="V278" s="46" t="s">
        <v>1991</v>
      </c>
      <c r="W278" s="324" t="s">
        <v>1991</v>
      </c>
      <c r="X278" s="324" t="s">
        <v>1991</v>
      </c>
      <c r="Y278" s="324" t="s">
        <v>1991</v>
      </c>
      <c r="Z278" s="46" t="s">
        <v>1991</v>
      </c>
      <c r="AA278" s="46">
        <v>0</v>
      </c>
      <c r="AB278" s="46">
        <v>0</v>
      </c>
      <c r="AC278" s="46" t="s">
        <v>1991</v>
      </c>
      <c r="AD278" s="46" t="s">
        <v>1991</v>
      </c>
      <c r="AE278" s="324" t="s">
        <v>1991</v>
      </c>
      <c r="AF278" s="324" t="s">
        <v>1991</v>
      </c>
      <c r="AG278" s="324" t="s">
        <v>1991</v>
      </c>
      <c r="AH278" s="324" t="s">
        <v>1991</v>
      </c>
      <c r="AI278" s="324" t="s">
        <v>1991</v>
      </c>
      <c r="AJ278" s="324" t="s">
        <v>1991</v>
      </c>
      <c r="AK278" s="324" t="s">
        <v>1991</v>
      </c>
      <c r="AL278" s="327"/>
      <c r="AM278" s="327"/>
      <c r="AN278" s="327"/>
      <c r="AO278" s="327"/>
      <c r="AP278" s="327">
        <v>0</v>
      </c>
      <c r="AQ278" s="327"/>
      <c r="AR278" s="327"/>
      <c r="AS278" s="327"/>
      <c r="AT278" s="327"/>
      <c r="AU278" s="327"/>
      <c r="AV278" s="327"/>
      <c r="AW278" s="327"/>
      <c r="AX278" s="327"/>
      <c r="AY278" s="327"/>
      <c r="AZ278" s="327"/>
      <c r="BA278" s="327"/>
      <c r="BB278" s="46">
        <f t="shared" si="90"/>
        <v>13</v>
      </c>
      <c r="BC278" s="46">
        <f t="shared" si="91"/>
        <v>14</v>
      </c>
      <c r="BD278" s="46">
        <f t="shared" si="104"/>
        <v>0</v>
      </c>
      <c r="BE278" s="46">
        <f t="shared" si="92"/>
        <v>0</v>
      </c>
      <c r="BF278" s="296">
        <f t="shared" si="93"/>
        <v>27</v>
      </c>
      <c r="BG278" s="2"/>
      <c r="BH278" s="2"/>
      <c r="BI278" s="2"/>
      <c r="BJ278" s="2"/>
      <c r="BK278" s="279">
        <f t="shared" si="94"/>
        <v>1</v>
      </c>
      <c r="BL278" s="279">
        <f t="shared" si="95"/>
        <v>27</v>
      </c>
      <c r="BM278" s="279"/>
      <c r="BN278" s="279"/>
      <c r="BO278" s="2">
        <f t="shared" si="96"/>
        <v>27</v>
      </c>
      <c r="BP278" s="430"/>
      <c r="BQ278" s="431"/>
      <c r="BR278" s="2"/>
      <c r="BS278" s="25"/>
      <c r="BT278" s="348">
        <f t="shared" si="103"/>
        <v>1</v>
      </c>
      <c r="BU278" s="2"/>
      <c r="BV278" s="282">
        <f t="shared" si="97"/>
        <v>0</v>
      </c>
      <c r="BW278" s="279">
        <v>20000</v>
      </c>
      <c r="BX278" s="269">
        <f t="shared" si="98"/>
        <v>-0.15</v>
      </c>
      <c r="BY278" s="349" t="e">
        <f t="shared" si="67"/>
        <v>#N/A</v>
      </c>
      <c r="BZ278" s="349" t="e">
        <f t="shared" si="68"/>
        <v>#N/A</v>
      </c>
      <c r="CA278" s="349" t="e">
        <f t="shared" si="69"/>
        <v>#N/A</v>
      </c>
      <c r="CB278" s="349" t="e">
        <f t="shared" si="70"/>
        <v>#N/A</v>
      </c>
      <c r="CC278" s="349" t="e">
        <f t="shared" si="99"/>
        <v>#N/A</v>
      </c>
      <c r="CD278" s="14" t="e">
        <f t="shared" si="100"/>
        <v>#N/A</v>
      </c>
      <c r="CE278" s="14">
        <f t="shared" si="101"/>
        <v>27</v>
      </c>
      <c r="CF278" s="25">
        <f t="shared" si="102"/>
        <v>1</v>
      </c>
      <c r="CG278" s="270"/>
      <c r="CH278" s="2"/>
      <c r="CL278" s="349"/>
      <c r="CM278" s="349"/>
      <c r="CN278" s="349"/>
      <c r="CO278" s="349"/>
      <c r="CP278" s="349"/>
      <c r="CQ278" s="14"/>
      <c r="CY278" s="2"/>
    </row>
    <row r="279" spans="1:103" s="1" customFormat="1" ht="29.4" customHeight="1">
      <c r="A279" s="46">
        <v>105</v>
      </c>
      <c r="B279" s="46">
        <v>6</v>
      </c>
      <c r="C279" s="46">
        <v>230</v>
      </c>
      <c r="D279" s="48"/>
      <c r="E279" s="48"/>
      <c r="F279" s="46"/>
      <c r="G279" s="317" t="s">
        <v>1991</v>
      </c>
      <c r="H279" s="317" t="s">
        <v>1991</v>
      </c>
      <c r="I279" s="317">
        <v>0</v>
      </c>
      <c r="J279" s="317"/>
      <c r="K279" s="317" t="s">
        <v>1991</v>
      </c>
      <c r="L279" s="317" t="s">
        <v>1991</v>
      </c>
      <c r="M279" s="317" t="s">
        <v>1991</v>
      </c>
      <c r="N279" s="317" t="s">
        <v>1991</v>
      </c>
      <c r="O279" s="317" t="s">
        <v>1991</v>
      </c>
      <c r="P279" s="317" t="s">
        <v>1991</v>
      </c>
      <c r="Q279" s="317" t="s">
        <v>1991</v>
      </c>
      <c r="R279" s="317" t="s">
        <v>1991</v>
      </c>
      <c r="S279" s="317" t="s">
        <v>1991</v>
      </c>
      <c r="T279" s="326" t="s">
        <v>1991</v>
      </c>
      <c r="U279" s="312" t="s">
        <v>1991</v>
      </c>
      <c r="V279" s="46" t="s">
        <v>1991</v>
      </c>
      <c r="W279" s="324">
        <v>0</v>
      </c>
      <c r="X279" s="324" t="s">
        <v>1991</v>
      </c>
      <c r="Y279" s="324" t="s">
        <v>1991</v>
      </c>
      <c r="Z279" s="46" t="s">
        <v>1991</v>
      </c>
      <c r="AA279" s="46" t="s">
        <v>1991</v>
      </c>
      <c r="AB279" s="46" t="s">
        <v>1991</v>
      </c>
      <c r="AC279" s="46" t="s">
        <v>1991</v>
      </c>
      <c r="AD279" s="46" t="s">
        <v>1991</v>
      </c>
      <c r="AE279" s="324" t="s">
        <v>1991</v>
      </c>
      <c r="AF279" s="324" t="s">
        <v>1991</v>
      </c>
      <c r="AG279" s="324" t="s">
        <v>1991</v>
      </c>
      <c r="AH279" s="324" t="s">
        <v>1991</v>
      </c>
      <c r="AI279" s="324" t="s">
        <v>1991</v>
      </c>
      <c r="AJ279" s="324" t="s">
        <v>1991</v>
      </c>
      <c r="AK279" s="324" t="s">
        <v>1991</v>
      </c>
      <c r="AL279" s="327"/>
      <c r="AM279" s="327"/>
      <c r="AN279" s="327"/>
      <c r="AO279" s="327"/>
      <c r="AP279" s="327" t="s">
        <v>1991</v>
      </c>
      <c r="AQ279" s="327"/>
      <c r="AR279" s="327"/>
      <c r="AS279" s="327"/>
      <c r="AT279" s="327"/>
      <c r="AU279" s="327"/>
      <c r="AV279" s="327"/>
      <c r="AW279" s="327"/>
      <c r="AX279" s="327"/>
      <c r="AY279" s="327"/>
      <c r="AZ279" s="327"/>
      <c r="BA279" s="327"/>
      <c r="BB279" s="46">
        <f t="shared" si="90"/>
        <v>13</v>
      </c>
      <c r="BC279" s="46">
        <f t="shared" si="91"/>
        <v>15</v>
      </c>
      <c r="BD279" s="46">
        <f t="shared" si="104"/>
        <v>1</v>
      </c>
      <c r="BE279" s="46">
        <f t="shared" si="92"/>
        <v>0</v>
      </c>
      <c r="BF279" s="296">
        <f t="shared" si="93"/>
        <v>28</v>
      </c>
      <c r="BG279" s="2"/>
      <c r="BH279" s="2"/>
      <c r="BI279" s="2"/>
      <c r="BJ279" s="2"/>
      <c r="BK279" s="279">
        <f t="shared" si="94"/>
        <v>1</v>
      </c>
      <c r="BL279" s="279">
        <f t="shared" si="95"/>
        <v>28</v>
      </c>
      <c r="BM279" s="279"/>
      <c r="BN279" s="279"/>
      <c r="BO279" s="2">
        <f t="shared" si="96"/>
        <v>28</v>
      </c>
      <c r="BP279" s="430"/>
      <c r="BQ279" s="431"/>
      <c r="BR279" s="2"/>
      <c r="BS279" s="25"/>
      <c r="BT279" s="348">
        <f t="shared" si="103"/>
        <v>1</v>
      </c>
      <c r="BU279" s="2"/>
      <c r="BV279" s="282">
        <f t="shared" si="97"/>
        <v>0</v>
      </c>
      <c r="BW279" s="279">
        <v>-20000</v>
      </c>
      <c r="BX279" s="269">
        <f t="shared" si="98"/>
        <v>0</v>
      </c>
      <c r="BY279" s="349" t="e">
        <f t="shared" si="67"/>
        <v>#N/A</v>
      </c>
      <c r="BZ279" s="349" t="e">
        <f t="shared" si="68"/>
        <v>#N/A</v>
      </c>
      <c r="CA279" s="349" t="e">
        <f t="shared" si="69"/>
        <v>#N/A</v>
      </c>
      <c r="CB279" s="349" t="e">
        <f t="shared" si="70"/>
        <v>#N/A</v>
      </c>
      <c r="CC279" s="349" t="e">
        <f t="shared" si="99"/>
        <v>#N/A</v>
      </c>
      <c r="CD279" s="14" t="e">
        <f t="shared" si="100"/>
        <v>#N/A</v>
      </c>
      <c r="CE279" s="14">
        <f t="shared" si="101"/>
        <v>28</v>
      </c>
      <c r="CF279" s="25">
        <f t="shared" si="102"/>
        <v>1</v>
      </c>
      <c r="CG279" s="270"/>
      <c r="CH279" s="2"/>
      <c r="CL279" s="349"/>
      <c r="CM279" s="349"/>
      <c r="CN279" s="349"/>
      <c r="CO279" s="349"/>
      <c r="CP279" s="349"/>
      <c r="CQ279" s="14"/>
      <c r="CY279" s="2"/>
    </row>
    <row r="280" spans="1:103" s="1" customFormat="1" ht="29.4" customHeight="1">
      <c r="A280" s="46">
        <v>106</v>
      </c>
      <c r="B280" s="46">
        <v>6</v>
      </c>
      <c r="C280" s="46">
        <v>231</v>
      </c>
      <c r="D280" s="48"/>
      <c r="E280" s="48"/>
      <c r="F280" s="46"/>
      <c r="G280" s="317" t="s">
        <v>1991</v>
      </c>
      <c r="H280" s="317" t="s">
        <v>1991</v>
      </c>
      <c r="I280" s="317" t="s">
        <v>1991</v>
      </c>
      <c r="J280" s="317"/>
      <c r="K280" s="317" t="s">
        <v>1991</v>
      </c>
      <c r="L280" s="317" t="s">
        <v>1991</v>
      </c>
      <c r="M280" s="317" t="s">
        <v>1991</v>
      </c>
      <c r="N280" s="317" t="s">
        <v>1991</v>
      </c>
      <c r="O280" s="317" t="s">
        <v>1991</v>
      </c>
      <c r="P280" s="317" t="s">
        <v>1991</v>
      </c>
      <c r="Q280" s="317" t="s">
        <v>1991</v>
      </c>
      <c r="R280" s="317" t="s">
        <v>1991</v>
      </c>
      <c r="S280" s="317" t="s">
        <v>1991</v>
      </c>
      <c r="T280" s="326" t="s">
        <v>1991</v>
      </c>
      <c r="U280" s="312" t="s">
        <v>1991</v>
      </c>
      <c r="V280" s="46" t="s">
        <v>1991</v>
      </c>
      <c r="W280" s="324" t="s">
        <v>1991</v>
      </c>
      <c r="X280" s="324" t="s">
        <v>1991</v>
      </c>
      <c r="Y280" s="324" t="s">
        <v>1991</v>
      </c>
      <c r="Z280" s="46" t="s">
        <v>1991</v>
      </c>
      <c r="AA280" s="46" t="s">
        <v>1991</v>
      </c>
      <c r="AB280" s="46">
        <v>0</v>
      </c>
      <c r="AC280" s="46" t="s">
        <v>1991</v>
      </c>
      <c r="AD280" s="46" t="s">
        <v>1991</v>
      </c>
      <c r="AE280" s="324" t="s">
        <v>1991</v>
      </c>
      <c r="AF280" s="324" t="s">
        <v>1991</v>
      </c>
      <c r="AG280" s="324" t="s">
        <v>1991</v>
      </c>
      <c r="AH280" s="324" t="s">
        <v>1991</v>
      </c>
      <c r="AI280" s="324" t="s">
        <v>1991</v>
      </c>
      <c r="AJ280" s="324" t="s">
        <v>1991</v>
      </c>
      <c r="AK280" s="324" t="s">
        <v>1991</v>
      </c>
      <c r="AL280" s="327"/>
      <c r="AM280" s="327"/>
      <c r="AN280" s="327"/>
      <c r="AO280" s="327"/>
      <c r="AP280" s="327" t="s">
        <v>1991</v>
      </c>
      <c r="AQ280" s="327"/>
      <c r="AR280" s="327"/>
      <c r="AS280" s="327"/>
      <c r="AT280" s="327"/>
      <c r="AU280" s="327"/>
      <c r="AV280" s="327"/>
      <c r="AW280" s="327"/>
      <c r="AX280" s="327"/>
      <c r="AY280" s="327"/>
      <c r="AZ280" s="327"/>
      <c r="BA280" s="327"/>
      <c r="BB280" s="46">
        <f t="shared" si="90"/>
        <v>14</v>
      </c>
      <c r="BC280" s="46">
        <f t="shared" si="91"/>
        <v>15</v>
      </c>
      <c r="BD280" s="46">
        <f t="shared" si="104"/>
        <v>1</v>
      </c>
      <c r="BE280" s="46">
        <f t="shared" si="92"/>
        <v>0</v>
      </c>
      <c r="BF280" s="296">
        <f t="shared" si="93"/>
        <v>29</v>
      </c>
      <c r="BG280" s="2"/>
      <c r="BH280" s="2"/>
      <c r="BI280" s="2"/>
      <c r="BJ280" s="2"/>
      <c r="BK280" s="279">
        <f t="shared" si="94"/>
        <v>1</v>
      </c>
      <c r="BL280" s="279">
        <f t="shared" si="95"/>
        <v>29</v>
      </c>
      <c r="BM280" s="279"/>
      <c r="BN280" s="279"/>
      <c r="BO280" s="2">
        <f t="shared" si="96"/>
        <v>29</v>
      </c>
      <c r="BP280" s="430"/>
      <c r="BQ280" s="431"/>
      <c r="BR280" s="2"/>
      <c r="BS280" s="25"/>
      <c r="BT280" s="348">
        <f t="shared" si="103"/>
        <v>1</v>
      </c>
      <c r="BU280" s="2"/>
      <c r="BV280" s="282">
        <f t="shared" si="97"/>
        <v>0</v>
      </c>
      <c r="BW280" s="279">
        <v>-20000</v>
      </c>
      <c r="BX280" s="269">
        <f t="shared" si="98"/>
        <v>0</v>
      </c>
      <c r="BY280" s="349" t="e">
        <f t="shared" si="67"/>
        <v>#N/A</v>
      </c>
      <c r="BZ280" s="349" t="e">
        <f t="shared" si="68"/>
        <v>#N/A</v>
      </c>
      <c r="CA280" s="349" t="e">
        <f t="shared" si="69"/>
        <v>#N/A</v>
      </c>
      <c r="CB280" s="349" t="e">
        <f t="shared" si="70"/>
        <v>#N/A</v>
      </c>
      <c r="CC280" s="349" t="e">
        <f t="shared" si="99"/>
        <v>#N/A</v>
      </c>
      <c r="CD280" s="14" t="e">
        <f t="shared" si="100"/>
        <v>#N/A</v>
      </c>
      <c r="CE280" s="14">
        <f t="shared" si="101"/>
        <v>29</v>
      </c>
      <c r="CF280" s="25">
        <f t="shared" si="102"/>
        <v>1</v>
      </c>
      <c r="CG280" s="270"/>
      <c r="CH280" s="2"/>
      <c r="CL280" s="349"/>
      <c r="CM280" s="349"/>
      <c r="CN280" s="349"/>
      <c r="CO280" s="349"/>
      <c r="CP280" s="349"/>
      <c r="CQ280" s="14"/>
      <c r="CY280" s="2"/>
    </row>
    <row r="281" spans="1:103" s="1" customFormat="1" ht="29.4" customHeight="1">
      <c r="A281" s="46">
        <v>107</v>
      </c>
      <c r="B281" s="46">
        <v>6</v>
      </c>
      <c r="C281" s="46">
        <v>232</v>
      </c>
      <c r="D281" s="48"/>
      <c r="E281" s="48"/>
      <c r="F281" s="46"/>
      <c r="G281" s="317" t="s">
        <v>1991</v>
      </c>
      <c r="H281" s="317" t="s">
        <v>1991</v>
      </c>
      <c r="I281" s="317" t="s">
        <v>1991</v>
      </c>
      <c r="J281" s="317"/>
      <c r="K281" s="317" t="s">
        <v>1991</v>
      </c>
      <c r="L281" s="317" t="s">
        <v>1991</v>
      </c>
      <c r="M281" s="317">
        <v>0</v>
      </c>
      <c r="N281" s="317" t="s">
        <v>1991</v>
      </c>
      <c r="O281" s="317" t="s">
        <v>1991</v>
      </c>
      <c r="P281" s="317" t="s">
        <v>1991</v>
      </c>
      <c r="Q281" s="317" t="s">
        <v>1991</v>
      </c>
      <c r="R281" s="317" t="s">
        <v>1991</v>
      </c>
      <c r="S281" s="317" t="s">
        <v>1991</v>
      </c>
      <c r="T281" s="326" t="s">
        <v>1991</v>
      </c>
      <c r="U281" s="312" t="s">
        <v>1991</v>
      </c>
      <c r="V281" s="46" t="s">
        <v>1991</v>
      </c>
      <c r="W281" s="324" t="s">
        <v>1991</v>
      </c>
      <c r="X281" s="324" t="s">
        <v>1991</v>
      </c>
      <c r="Y281" s="324" t="s">
        <v>1991</v>
      </c>
      <c r="Z281" s="46" t="s">
        <v>1991</v>
      </c>
      <c r="AA281" s="46" t="s">
        <v>1991</v>
      </c>
      <c r="AB281" s="46" t="s">
        <v>1991</v>
      </c>
      <c r="AC281" s="46" t="s">
        <v>1991</v>
      </c>
      <c r="AD281" s="46" t="s">
        <v>1991</v>
      </c>
      <c r="AE281" s="324" t="s">
        <v>1991</v>
      </c>
      <c r="AF281" s="324">
        <v>0</v>
      </c>
      <c r="AG281" s="324" t="s">
        <v>1991</v>
      </c>
      <c r="AH281" s="324" t="s">
        <v>1991</v>
      </c>
      <c r="AI281" s="324" t="s">
        <v>1991</v>
      </c>
      <c r="AJ281" s="324" t="s">
        <v>1991</v>
      </c>
      <c r="AK281" s="324" t="s">
        <v>1991</v>
      </c>
      <c r="AL281" s="327"/>
      <c r="AM281" s="327"/>
      <c r="AN281" s="327"/>
      <c r="AO281" s="327"/>
      <c r="AP281" s="327" t="s">
        <v>1991</v>
      </c>
      <c r="AQ281" s="327"/>
      <c r="AR281" s="327"/>
      <c r="AS281" s="327"/>
      <c r="AT281" s="327"/>
      <c r="AU281" s="327"/>
      <c r="AV281" s="327"/>
      <c r="AW281" s="327"/>
      <c r="AX281" s="327"/>
      <c r="AY281" s="327"/>
      <c r="AZ281" s="327"/>
      <c r="BA281" s="327"/>
      <c r="BB281" s="46">
        <f t="shared" si="90"/>
        <v>13</v>
      </c>
      <c r="BC281" s="46">
        <f t="shared" si="91"/>
        <v>15</v>
      </c>
      <c r="BD281" s="46">
        <f t="shared" si="104"/>
        <v>1</v>
      </c>
      <c r="BE281" s="46">
        <f t="shared" si="92"/>
        <v>0</v>
      </c>
      <c r="BF281" s="296">
        <f t="shared" si="93"/>
        <v>28</v>
      </c>
      <c r="BG281" s="2"/>
      <c r="BH281" s="2"/>
      <c r="BI281" s="2"/>
      <c r="BJ281" s="2"/>
      <c r="BK281" s="279">
        <f t="shared" si="94"/>
        <v>1</v>
      </c>
      <c r="BL281" s="279">
        <f t="shared" si="95"/>
        <v>28</v>
      </c>
      <c r="BM281" s="279"/>
      <c r="BN281" s="279"/>
      <c r="BO281" s="2">
        <f t="shared" si="96"/>
        <v>28</v>
      </c>
      <c r="BP281" s="430"/>
      <c r="BQ281" s="431"/>
      <c r="BR281" s="2"/>
      <c r="BS281" s="25"/>
      <c r="BT281" s="348">
        <f t="shared" si="103"/>
        <v>1</v>
      </c>
      <c r="BU281" s="2"/>
      <c r="BV281" s="282">
        <f t="shared" si="97"/>
        <v>0</v>
      </c>
      <c r="BW281" s="279">
        <v>0</v>
      </c>
      <c r="BX281" s="269">
        <f t="shared" si="98"/>
        <v>0</v>
      </c>
      <c r="BY281" s="349" t="e">
        <f t="shared" si="67"/>
        <v>#N/A</v>
      </c>
      <c r="BZ281" s="349" t="e">
        <f t="shared" si="68"/>
        <v>#N/A</v>
      </c>
      <c r="CA281" s="349" t="e">
        <f t="shared" si="69"/>
        <v>#N/A</v>
      </c>
      <c r="CB281" s="349" t="e">
        <f t="shared" si="70"/>
        <v>#N/A</v>
      </c>
      <c r="CC281" s="349" t="e">
        <f t="shared" si="99"/>
        <v>#N/A</v>
      </c>
      <c r="CD281" s="14" t="e">
        <f t="shared" si="100"/>
        <v>#N/A</v>
      </c>
      <c r="CE281" s="14">
        <f t="shared" si="101"/>
        <v>28</v>
      </c>
      <c r="CF281" s="25">
        <f t="shared" si="102"/>
        <v>1</v>
      </c>
      <c r="CG281" s="270"/>
      <c r="CH281" s="2"/>
      <c r="CL281" s="349"/>
      <c r="CM281" s="349"/>
      <c r="CN281" s="349"/>
      <c r="CO281" s="349"/>
      <c r="CP281" s="349"/>
      <c r="CQ281" s="14"/>
      <c r="CY281" s="2"/>
    </row>
    <row r="282" spans="1:103" s="1" customFormat="1" ht="29.4" customHeight="1">
      <c r="A282" s="46">
        <v>108</v>
      </c>
      <c r="B282" s="46">
        <v>6</v>
      </c>
      <c r="C282" s="46">
        <v>233</v>
      </c>
      <c r="D282" s="48"/>
      <c r="E282" s="48"/>
      <c r="F282" s="46"/>
      <c r="G282" s="317" t="s">
        <v>1991</v>
      </c>
      <c r="H282" s="317" t="s">
        <v>1991</v>
      </c>
      <c r="I282" s="317" t="s">
        <v>1991</v>
      </c>
      <c r="J282" s="317"/>
      <c r="K282" s="317" t="s">
        <v>1991</v>
      </c>
      <c r="L282" s="317" t="s">
        <v>1991</v>
      </c>
      <c r="M282" s="317">
        <v>0</v>
      </c>
      <c r="N282" s="317" t="s">
        <v>1991</v>
      </c>
      <c r="O282" s="317" t="s">
        <v>1991</v>
      </c>
      <c r="P282" s="317" t="s">
        <v>1991</v>
      </c>
      <c r="Q282" s="317" t="s">
        <v>1991</v>
      </c>
      <c r="R282" s="317" t="s">
        <v>1991</v>
      </c>
      <c r="S282" s="317" t="s">
        <v>1991</v>
      </c>
      <c r="T282" s="326" t="s">
        <v>1991</v>
      </c>
      <c r="U282" s="312" t="s">
        <v>1991</v>
      </c>
      <c r="V282" s="46" t="s">
        <v>1991</v>
      </c>
      <c r="W282" s="324" t="s">
        <v>1991</v>
      </c>
      <c r="X282" s="324" t="s">
        <v>1991</v>
      </c>
      <c r="Y282" s="324" t="s">
        <v>1991</v>
      </c>
      <c r="Z282" s="46" t="s">
        <v>1991</v>
      </c>
      <c r="AA282" s="46" t="s">
        <v>1991</v>
      </c>
      <c r="AB282" s="46" t="s">
        <v>1991</v>
      </c>
      <c r="AC282" s="46" t="s">
        <v>1991</v>
      </c>
      <c r="AD282" s="46" t="s">
        <v>1991</v>
      </c>
      <c r="AE282" s="324" t="s">
        <v>1991</v>
      </c>
      <c r="AF282" s="324">
        <v>0</v>
      </c>
      <c r="AG282" s="324" t="s">
        <v>1991</v>
      </c>
      <c r="AH282" s="324" t="s">
        <v>1991</v>
      </c>
      <c r="AI282" s="324" t="s">
        <v>1991</v>
      </c>
      <c r="AJ282" s="324" t="s">
        <v>1991</v>
      </c>
      <c r="AK282" s="324" t="s">
        <v>1991</v>
      </c>
      <c r="AL282" s="327"/>
      <c r="AM282" s="327"/>
      <c r="AN282" s="327"/>
      <c r="AO282" s="327"/>
      <c r="AP282" s="327" t="s">
        <v>1991</v>
      </c>
      <c r="AQ282" s="327"/>
      <c r="AR282" s="327"/>
      <c r="AS282" s="327" t="s">
        <v>1991</v>
      </c>
      <c r="AT282" s="327"/>
      <c r="AU282" s="327"/>
      <c r="AV282" s="327"/>
      <c r="AW282" s="327"/>
      <c r="AX282" s="327"/>
      <c r="AY282" s="327"/>
      <c r="AZ282" s="327"/>
      <c r="BA282" s="327"/>
      <c r="BB282" s="46">
        <f t="shared" si="90"/>
        <v>13</v>
      </c>
      <c r="BC282" s="46">
        <f t="shared" si="91"/>
        <v>15</v>
      </c>
      <c r="BD282" s="46">
        <f t="shared" si="104"/>
        <v>2</v>
      </c>
      <c r="BE282" s="46">
        <f t="shared" si="92"/>
        <v>0</v>
      </c>
      <c r="BF282" s="296">
        <f t="shared" si="93"/>
        <v>28</v>
      </c>
      <c r="BG282" s="2"/>
      <c r="BH282" s="2"/>
      <c r="BI282" s="2"/>
      <c r="BJ282" s="2"/>
      <c r="BK282" s="279">
        <f t="shared" si="94"/>
        <v>1</v>
      </c>
      <c r="BL282" s="279">
        <f t="shared" si="95"/>
        <v>28</v>
      </c>
      <c r="BM282" s="279"/>
      <c r="BN282" s="279"/>
      <c r="BO282" s="2">
        <f t="shared" si="96"/>
        <v>28</v>
      </c>
      <c r="BP282" s="430"/>
      <c r="BQ282" s="431"/>
      <c r="BR282" s="2"/>
      <c r="BS282" s="25"/>
      <c r="BT282" s="348">
        <f t="shared" si="103"/>
        <v>1</v>
      </c>
      <c r="BU282" s="2"/>
      <c r="BV282" s="282">
        <f t="shared" si="97"/>
        <v>0</v>
      </c>
      <c r="BW282" s="279">
        <v>20000</v>
      </c>
      <c r="BX282" s="269">
        <f t="shared" si="98"/>
        <v>-0.15</v>
      </c>
      <c r="BY282" s="349" t="e">
        <f t="shared" si="67"/>
        <v>#N/A</v>
      </c>
      <c r="BZ282" s="349" t="e">
        <f t="shared" si="68"/>
        <v>#N/A</v>
      </c>
      <c r="CA282" s="349" t="e">
        <f t="shared" si="69"/>
        <v>#N/A</v>
      </c>
      <c r="CB282" s="349" t="e">
        <f t="shared" si="70"/>
        <v>#N/A</v>
      </c>
      <c r="CC282" s="349" t="e">
        <f t="shared" si="99"/>
        <v>#N/A</v>
      </c>
      <c r="CD282" s="14" t="e">
        <f t="shared" si="100"/>
        <v>#N/A</v>
      </c>
      <c r="CE282" s="14">
        <f t="shared" si="101"/>
        <v>28</v>
      </c>
      <c r="CF282" s="25">
        <f t="shared" si="102"/>
        <v>1</v>
      </c>
      <c r="CG282" s="270"/>
      <c r="CH282" s="2"/>
      <c r="CL282" s="349"/>
      <c r="CM282" s="349"/>
      <c r="CN282" s="349"/>
      <c r="CO282" s="349"/>
      <c r="CP282" s="349"/>
      <c r="CQ282" s="14"/>
      <c r="CY282" s="2"/>
    </row>
    <row r="283" spans="1:103" s="1" customFormat="1" ht="29.4" customHeight="1">
      <c r="A283" s="46">
        <v>109</v>
      </c>
      <c r="B283" s="46">
        <v>6</v>
      </c>
      <c r="C283" s="46">
        <v>234</v>
      </c>
      <c r="D283" s="48"/>
      <c r="E283" s="48"/>
      <c r="F283" s="46"/>
      <c r="G283" s="317">
        <v>0</v>
      </c>
      <c r="H283" s="317" t="s">
        <v>1991</v>
      </c>
      <c r="I283" s="317" t="s">
        <v>1991</v>
      </c>
      <c r="J283" s="317"/>
      <c r="K283" s="317" t="s">
        <v>1991</v>
      </c>
      <c r="L283" s="317" t="s">
        <v>1991</v>
      </c>
      <c r="M283" s="317" t="s">
        <v>1991</v>
      </c>
      <c r="N283" s="317" t="s">
        <v>1991</v>
      </c>
      <c r="O283" s="317" t="s">
        <v>1991</v>
      </c>
      <c r="P283" s="317" t="s">
        <v>1991</v>
      </c>
      <c r="Q283" s="317" t="s">
        <v>1991</v>
      </c>
      <c r="R283" s="317" t="s">
        <v>1991</v>
      </c>
      <c r="S283" s="317" t="s">
        <v>1991</v>
      </c>
      <c r="T283" s="326" t="s">
        <v>1991</v>
      </c>
      <c r="U283" s="312" t="s">
        <v>1991</v>
      </c>
      <c r="V283" s="46" t="s">
        <v>1991</v>
      </c>
      <c r="W283" s="324" t="s">
        <v>1991</v>
      </c>
      <c r="X283" s="324" t="s">
        <v>1991</v>
      </c>
      <c r="Y283" s="324" t="s">
        <v>1991</v>
      </c>
      <c r="Z283" s="46" t="s">
        <v>1991</v>
      </c>
      <c r="AA283" s="46" t="s">
        <v>1991</v>
      </c>
      <c r="AB283" s="46" t="s">
        <v>1991</v>
      </c>
      <c r="AC283" s="46" t="s">
        <v>1991</v>
      </c>
      <c r="AD283" s="46" t="s">
        <v>1991</v>
      </c>
      <c r="AE283" s="324" t="s">
        <v>1991</v>
      </c>
      <c r="AF283" s="324" t="s">
        <v>1991</v>
      </c>
      <c r="AG283" s="324" t="s">
        <v>1991</v>
      </c>
      <c r="AH283" s="324" t="s">
        <v>1991</v>
      </c>
      <c r="AI283" s="324" t="s">
        <v>1991</v>
      </c>
      <c r="AJ283" s="324">
        <v>0</v>
      </c>
      <c r="AK283" s="324" t="s">
        <v>1991</v>
      </c>
      <c r="AL283" s="327"/>
      <c r="AM283" s="327"/>
      <c r="AN283" s="327"/>
      <c r="AO283" s="327"/>
      <c r="AP283" s="327" t="s">
        <v>1991</v>
      </c>
      <c r="AQ283" s="327"/>
      <c r="AR283" s="327"/>
      <c r="AS283" s="327"/>
      <c r="AT283" s="327"/>
      <c r="AU283" s="327"/>
      <c r="AV283" s="327"/>
      <c r="AW283" s="327"/>
      <c r="AX283" s="327"/>
      <c r="AY283" s="327"/>
      <c r="AZ283" s="327"/>
      <c r="BA283" s="327"/>
      <c r="BB283" s="46">
        <f t="shared" ref="BB283:BB311" si="105">COUNTIF(G283:U283,"X")</f>
        <v>13</v>
      </c>
      <c r="BC283" s="46">
        <f t="shared" ref="BC283:BC311" si="106">COUNTIF(V283:AK283,"X")</f>
        <v>15</v>
      </c>
      <c r="BD283" s="46">
        <f t="shared" si="104"/>
        <v>1</v>
      </c>
      <c r="BE283" s="46">
        <f t="shared" ref="BE283:BE311" si="107">COUNTIF(AU283:BA283,"x")</f>
        <v>0</v>
      </c>
      <c r="BF283" s="296">
        <f t="shared" ref="BF283:BF311" si="108">BB283+BC283</f>
        <v>28</v>
      </c>
      <c r="BG283" s="2"/>
      <c r="BH283" s="2"/>
      <c r="BI283" s="2"/>
      <c r="BJ283" s="2"/>
      <c r="BK283" s="279">
        <f t="shared" ref="BK283:BK311" si="109">IF(BO283&gt;=26,1,0)</f>
        <v>1</v>
      </c>
      <c r="BL283" s="279">
        <f t="shared" ref="BL283:BL311" si="110">(BB283+BC283)</f>
        <v>28</v>
      </c>
      <c r="BM283" s="279"/>
      <c r="BN283" s="279"/>
      <c r="BO283" s="2">
        <f t="shared" ref="BO283:BO311" si="111">IF(BT283&gt;0,BF283,0)</f>
        <v>28</v>
      </c>
      <c r="BP283" s="430"/>
      <c r="BQ283" s="431"/>
      <c r="BR283" s="2"/>
      <c r="BS283" s="25"/>
      <c r="BT283" s="348">
        <f t="shared" si="103"/>
        <v>1</v>
      </c>
      <c r="BU283" s="2"/>
      <c r="BV283" s="282">
        <f t="shared" ref="BV283:BV311" si="112">IF(AND(BU283&gt;0,BU283&lt;=1),50000,IF(AND(BU283&gt;1,BU283&lt;=3),40000,IF(AND(BU283&gt;3,BU283&lt;=5),20000,IF(AND(BU283&gt;5,BU283&lt;=9),0,IF(AND(BU283&gt;9,BU283&lt;=11),-20000,IF(AND(BU283&gt;11,BU283&lt;=13),-40000,IF(BU283&gt;13,-50000,0)))))))</f>
        <v>0</v>
      </c>
      <c r="BW283" s="279">
        <v>0</v>
      </c>
      <c r="BX283" s="269">
        <f t="shared" ref="BX283:BX311" si="113">IF(AND(BW283&gt;0,BW283&lt;=1),1.15,IF(AND(BW283&gt;1,BW283&lt;=3),1.1,IF(AND(BW283&gt;3,BW283&lt;=5),1.05,IF(AND(BW283&gt;5,BW283&lt;=9),1,IF(AND(BW283&gt;9,BW283&lt;=11),-0.05,IF(AND(BW283&gt;11,BW283&lt;=13),-0.1,IF(BW283&gt;13,-0.15,0)))))))</f>
        <v>0</v>
      </c>
      <c r="BY283" s="349" t="e">
        <f t="shared" si="67"/>
        <v>#N/A</v>
      </c>
      <c r="BZ283" s="349" t="e">
        <f t="shared" si="68"/>
        <v>#N/A</v>
      </c>
      <c r="CA283" s="349" t="e">
        <f t="shared" si="69"/>
        <v>#N/A</v>
      </c>
      <c r="CB283" s="349" t="e">
        <f t="shared" si="70"/>
        <v>#N/A</v>
      </c>
      <c r="CC283" s="349" t="e">
        <f t="shared" ref="CC283:CC311" si="114">SUM(BY283:CB283)</f>
        <v>#N/A</v>
      </c>
      <c r="CD283" s="14" t="e">
        <f t="shared" ref="CD283:CD311" si="115">CC283-BB283</f>
        <v>#N/A</v>
      </c>
      <c r="CE283" s="14">
        <f t="shared" ref="CE283:CE311" si="116">IF(CF283&gt;0,BF283,0)</f>
        <v>28</v>
      </c>
      <c r="CF283" s="25">
        <f t="shared" ref="CF283:CF311" si="117">IF(BF283&gt;=26,1,0)</f>
        <v>1</v>
      </c>
      <c r="CG283" s="270"/>
      <c r="CH283" s="2"/>
      <c r="CL283" s="349"/>
      <c r="CM283" s="349"/>
      <c r="CN283" s="349"/>
      <c r="CO283" s="349"/>
      <c r="CP283" s="349"/>
      <c r="CQ283" s="14"/>
      <c r="CY283" s="2"/>
    </row>
    <row r="284" spans="1:103" s="1" customFormat="1" ht="29.4" customHeight="1">
      <c r="A284" s="46">
        <v>110</v>
      </c>
      <c r="B284" s="46">
        <v>6</v>
      </c>
      <c r="C284" s="46">
        <v>235</v>
      </c>
      <c r="D284" s="48"/>
      <c r="E284" s="48"/>
      <c r="F284" s="46"/>
      <c r="G284" s="317" t="s">
        <v>1991</v>
      </c>
      <c r="H284" s="317" t="s">
        <v>1991</v>
      </c>
      <c r="I284" s="317" t="s">
        <v>1991</v>
      </c>
      <c r="J284" s="317"/>
      <c r="K284" s="317" t="s">
        <v>1991</v>
      </c>
      <c r="L284" s="317" t="s">
        <v>1991</v>
      </c>
      <c r="M284" s="317" t="s">
        <v>1991</v>
      </c>
      <c r="N284" s="317" t="s">
        <v>1991</v>
      </c>
      <c r="O284" s="317" t="s">
        <v>1991</v>
      </c>
      <c r="P284" s="317" t="s">
        <v>1991</v>
      </c>
      <c r="Q284" s="317" t="s">
        <v>1991</v>
      </c>
      <c r="R284" s="317" t="s">
        <v>1991</v>
      </c>
      <c r="S284" s="317" t="s">
        <v>1991</v>
      </c>
      <c r="T284" s="326" t="s">
        <v>1991</v>
      </c>
      <c r="U284" s="312" t="s">
        <v>1991</v>
      </c>
      <c r="V284" s="46" t="s">
        <v>1991</v>
      </c>
      <c r="W284" s="324" t="s">
        <v>1991</v>
      </c>
      <c r="X284" s="324" t="s">
        <v>1991</v>
      </c>
      <c r="Y284" s="324" t="s">
        <v>1991</v>
      </c>
      <c r="Z284" s="46" t="s">
        <v>1991</v>
      </c>
      <c r="AA284" s="46" t="s">
        <v>1991</v>
      </c>
      <c r="AB284" s="46">
        <v>0</v>
      </c>
      <c r="AC284" s="46" t="s">
        <v>1991</v>
      </c>
      <c r="AD284" s="46" t="s">
        <v>1991</v>
      </c>
      <c r="AE284" s="324" t="s">
        <v>1991</v>
      </c>
      <c r="AF284" s="324" t="s">
        <v>1991</v>
      </c>
      <c r="AG284" s="324" t="s">
        <v>1991</v>
      </c>
      <c r="AH284" s="324" t="s">
        <v>1991</v>
      </c>
      <c r="AI284" s="324" t="s">
        <v>1991</v>
      </c>
      <c r="AJ284" s="324" t="s">
        <v>1991</v>
      </c>
      <c r="AK284" s="324" t="s">
        <v>1991</v>
      </c>
      <c r="AL284" s="327"/>
      <c r="AM284" s="327"/>
      <c r="AN284" s="327"/>
      <c r="AO284" s="327"/>
      <c r="AP284" s="327" t="s">
        <v>1991</v>
      </c>
      <c r="AQ284" s="327"/>
      <c r="AR284" s="327"/>
      <c r="AS284" s="327" t="s">
        <v>1991</v>
      </c>
      <c r="AT284" s="327"/>
      <c r="AU284" s="327"/>
      <c r="AV284" s="327"/>
      <c r="AW284" s="327"/>
      <c r="AX284" s="327"/>
      <c r="AY284" s="327"/>
      <c r="AZ284" s="327"/>
      <c r="BA284" s="327"/>
      <c r="BB284" s="46">
        <f t="shared" si="105"/>
        <v>14</v>
      </c>
      <c r="BC284" s="46">
        <f t="shared" si="106"/>
        <v>15</v>
      </c>
      <c r="BD284" s="46">
        <f t="shared" si="104"/>
        <v>2</v>
      </c>
      <c r="BE284" s="46">
        <f t="shared" si="107"/>
        <v>0</v>
      </c>
      <c r="BF284" s="296">
        <f t="shared" si="108"/>
        <v>29</v>
      </c>
      <c r="BG284" s="2"/>
      <c r="BH284" s="2"/>
      <c r="BI284" s="2"/>
      <c r="BJ284" s="2"/>
      <c r="BK284" s="279">
        <f t="shared" si="109"/>
        <v>1</v>
      </c>
      <c r="BL284" s="279">
        <f t="shared" si="110"/>
        <v>29</v>
      </c>
      <c r="BM284" s="279"/>
      <c r="BN284" s="279"/>
      <c r="BO284" s="2">
        <f t="shared" si="111"/>
        <v>29</v>
      </c>
      <c r="BP284" s="430"/>
      <c r="BQ284" s="431"/>
      <c r="BR284" s="2"/>
      <c r="BS284" s="25"/>
      <c r="BT284" s="348">
        <f t="shared" si="103"/>
        <v>1</v>
      </c>
      <c r="BU284" s="2"/>
      <c r="BV284" s="282">
        <f t="shared" si="112"/>
        <v>0</v>
      </c>
      <c r="BW284" s="279">
        <v>0</v>
      </c>
      <c r="BX284" s="269">
        <f t="shared" si="113"/>
        <v>0</v>
      </c>
      <c r="BY284" s="349" t="e">
        <f t="shared" si="67"/>
        <v>#N/A</v>
      </c>
      <c r="BZ284" s="349" t="e">
        <f t="shared" si="68"/>
        <v>#N/A</v>
      </c>
      <c r="CA284" s="349" t="e">
        <f t="shared" si="69"/>
        <v>#N/A</v>
      </c>
      <c r="CB284" s="349" t="e">
        <f t="shared" si="70"/>
        <v>#N/A</v>
      </c>
      <c r="CC284" s="349" t="e">
        <f t="shared" si="114"/>
        <v>#N/A</v>
      </c>
      <c r="CD284" s="14" t="e">
        <f t="shared" si="115"/>
        <v>#N/A</v>
      </c>
      <c r="CE284" s="14">
        <f t="shared" si="116"/>
        <v>29</v>
      </c>
      <c r="CF284" s="25">
        <f t="shared" si="117"/>
        <v>1</v>
      </c>
      <c r="CG284" s="270"/>
      <c r="CH284" s="2"/>
      <c r="CL284" s="349"/>
      <c r="CM284" s="349"/>
      <c r="CN284" s="349"/>
      <c r="CO284" s="349"/>
      <c r="CP284" s="349"/>
      <c r="CQ284" s="14"/>
      <c r="CY284" s="2"/>
    </row>
    <row r="285" spans="1:103" s="1" customFormat="1" ht="29.4" customHeight="1">
      <c r="A285" s="46">
        <v>111</v>
      </c>
      <c r="B285" s="46">
        <v>6</v>
      </c>
      <c r="C285" s="46">
        <v>236</v>
      </c>
      <c r="D285" s="48"/>
      <c r="E285" s="48"/>
      <c r="F285" s="46"/>
      <c r="G285" s="317" t="s">
        <v>1991</v>
      </c>
      <c r="H285" s="317" t="s">
        <v>1991</v>
      </c>
      <c r="I285" s="317" t="s">
        <v>1991</v>
      </c>
      <c r="J285" s="317"/>
      <c r="K285" s="317" t="s">
        <v>1991</v>
      </c>
      <c r="L285" s="317" t="s">
        <v>1991</v>
      </c>
      <c r="M285" s="317" t="s">
        <v>1991</v>
      </c>
      <c r="N285" s="317" t="s">
        <v>1991</v>
      </c>
      <c r="O285" s="317" t="s">
        <v>1991</v>
      </c>
      <c r="P285" s="317" t="s">
        <v>1991</v>
      </c>
      <c r="Q285" s="317" t="s">
        <v>1991</v>
      </c>
      <c r="R285" s="317" t="s">
        <v>1991</v>
      </c>
      <c r="S285" s="317" t="s">
        <v>1991</v>
      </c>
      <c r="T285" s="326" t="s">
        <v>1991</v>
      </c>
      <c r="U285" s="312" t="s">
        <v>1991</v>
      </c>
      <c r="V285" s="46" t="s">
        <v>1991</v>
      </c>
      <c r="W285" s="324" t="s">
        <v>1991</v>
      </c>
      <c r="X285" s="324" t="s">
        <v>1991</v>
      </c>
      <c r="Y285" s="324" t="s">
        <v>1991</v>
      </c>
      <c r="Z285" s="46" t="s">
        <v>1991</v>
      </c>
      <c r="AA285" s="46" t="s">
        <v>1991</v>
      </c>
      <c r="AB285" s="46">
        <v>0</v>
      </c>
      <c r="AC285" s="46" t="s">
        <v>1991</v>
      </c>
      <c r="AD285" s="46" t="s">
        <v>1991</v>
      </c>
      <c r="AE285" s="324" t="s">
        <v>1991</v>
      </c>
      <c r="AF285" s="324" t="s">
        <v>1991</v>
      </c>
      <c r="AG285" s="324" t="s">
        <v>1991</v>
      </c>
      <c r="AH285" s="324" t="s">
        <v>1991</v>
      </c>
      <c r="AI285" s="324" t="s">
        <v>1991</v>
      </c>
      <c r="AJ285" s="324" t="s">
        <v>1991</v>
      </c>
      <c r="AK285" s="324" t="s">
        <v>1991</v>
      </c>
      <c r="AL285" s="327"/>
      <c r="AM285" s="327"/>
      <c r="AN285" s="327"/>
      <c r="AO285" s="327"/>
      <c r="AP285" s="327" t="s">
        <v>1991</v>
      </c>
      <c r="AQ285" s="327"/>
      <c r="AR285" s="327"/>
      <c r="AS285" s="327" t="s">
        <v>1991</v>
      </c>
      <c r="AT285" s="327"/>
      <c r="AU285" s="327"/>
      <c r="AV285" s="327"/>
      <c r="AW285" s="327"/>
      <c r="AX285" s="327"/>
      <c r="AY285" s="327"/>
      <c r="AZ285" s="327"/>
      <c r="BA285" s="327"/>
      <c r="BB285" s="46">
        <f t="shared" si="105"/>
        <v>14</v>
      </c>
      <c r="BC285" s="46">
        <f t="shared" si="106"/>
        <v>15</v>
      </c>
      <c r="BD285" s="46">
        <f t="shared" si="104"/>
        <v>2</v>
      </c>
      <c r="BE285" s="46">
        <f t="shared" si="107"/>
        <v>0</v>
      </c>
      <c r="BF285" s="296">
        <f t="shared" si="108"/>
        <v>29</v>
      </c>
      <c r="BG285" s="2"/>
      <c r="BH285" s="2"/>
      <c r="BI285" s="2"/>
      <c r="BJ285" s="2"/>
      <c r="BK285" s="279">
        <f t="shared" si="109"/>
        <v>1</v>
      </c>
      <c r="BL285" s="279">
        <f t="shared" si="110"/>
        <v>29</v>
      </c>
      <c r="BM285" s="279"/>
      <c r="BN285" s="279"/>
      <c r="BO285" s="2">
        <f t="shared" si="111"/>
        <v>29</v>
      </c>
      <c r="BP285" s="430"/>
      <c r="BQ285" s="431"/>
      <c r="BR285" s="2"/>
      <c r="BS285" s="25"/>
      <c r="BT285" s="348">
        <f t="shared" si="103"/>
        <v>1</v>
      </c>
      <c r="BU285" s="2"/>
      <c r="BV285" s="282">
        <f t="shared" si="112"/>
        <v>0</v>
      </c>
      <c r="BW285" s="279">
        <v>20000</v>
      </c>
      <c r="BX285" s="269">
        <f t="shared" si="113"/>
        <v>-0.15</v>
      </c>
      <c r="BY285" s="349" t="e">
        <f t="shared" si="67"/>
        <v>#N/A</v>
      </c>
      <c r="BZ285" s="349" t="e">
        <f t="shared" si="68"/>
        <v>#N/A</v>
      </c>
      <c r="CA285" s="349" t="e">
        <f t="shared" si="69"/>
        <v>#N/A</v>
      </c>
      <c r="CB285" s="349" t="e">
        <f t="shared" si="70"/>
        <v>#N/A</v>
      </c>
      <c r="CC285" s="349" t="e">
        <f t="shared" si="114"/>
        <v>#N/A</v>
      </c>
      <c r="CD285" s="14" t="e">
        <f t="shared" si="115"/>
        <v>#N/A</v>
      </c>
      <c r="CE285" s="14">
        <f t="shared" si="116"/>
        <v>29</v>
      </c>
      <c r="CF285" s="25">
        <f t="shared" si="117"/>
        <v>1</v>
      </c>
      <c r="CG285" s="270"/>
      <c r="CH285" s="2"/>
      <c r="CL285" s="349"/>
      <c r="CM285" s="349"/>
      <c r="CN285" s="349"/>
      <c r="CO285" s="349"/>
      <c r="CP285" s="349"/>
      <c r="CQ285" s="14"/>
      <c r="CY285" s="2"/>
    </row>
    <row r="286" spans="1:103" s="1" customFormat="1" ht="29.4" customHeight="1">
      <c r="A286" s="46">
        <v>112</v>
      </c>
      <c r="B286" s="46">
        <v>6</v>
      </c>
      <c r="C286" s="46">
        <v>237</v>
      </c>
      <c r="D286" s="48"/>
      <c r="E286" s="48"/>
      <c r="F286" s="46"/>
      <c r="G286" s="317">
        <v>0</v>
      </c>
      <c r="H286" s="317" t="s">
        <v>1991</v>
      </c>
      <c r="I286" s="317" t="s">
        <v>1991</v>
      </c>
      <c r="J286" s="317"/>
      <c r="K286" s="317" t="s">
        <v>1991</v>
      </c>
      <c r="L286" s="317" t="s">
        <v>1991</v>
      </c>
      <c r="M286" s="317">
        <v>0</v>
      </c>
      <c r="N286" s="317" t="s">
        <v>1991</v>
      </c>
      <c r="O286" s="317" t="s">
        <v>1991</v>
      </c>
      <c r="P286" s="317" t="s">
        <v>1991</v>
      </c>
      <c r="Q286" s="317" t="s">
        <v>1991</v>
      </c>
      <c r="R286" s="317" t="s">
        <v>1991</v>
      </c>
      <c r="S286" s="317" t="s">
        <v>1991</v>
      </c>
      <c r="T286" s="326" t="s">
        <v>1991</v>
      </c>
      <c r="U286" s="312" t="s">
        <v>1991</v>
      </c>
      <c r="V286" s="46" t="s">
        <v>1991</v>
      </c>
      <c r="W286" s="324" t="s">
        <v>1991</v>
      </c>
      <c r="X286" s="324" t="s">
        <v>1991</v>
      </c>
      <c r="Y286" s="324" t="s">
        <v>1991</v>
      </c>
      <c r="Z286" s="46" t="s">
        <v>1991</v>
      </c>
      <c r="AA286" s="46" t="s">
        <v>1991</v>
      </c>
      <c r="AB286" s="46">
        <v>0</v>
      </c>
      <c r="AC286" s="46" t="s">
        <v>1991</v>
      </c>
      <c r="AD286" s="46" t="s">
        <v>1991</v>
      </c>
      <c r="AE286" s="324" t="s">
        <v>1991</v>
      </c>
      <c r="AF286" s="324">
        <v>0</v>
      </c>
      <c r="AG286" s="324" t="s">
        <v>1991</v>
      </c>
      <c r="AH286" s="324" t="s">
        <v>1991</v>
      </c>
      <c r="AI286" s="324" t="s">
        <v>1991</v>
      </c>
      <c r="AJ286" s="324" t="s">
        <v>1991</v>
      </c>
      <c r="AK286" s="324">
        <v>0</v>
      </c>
      <c r="AL286" s="327"/>
      <c r="AM286" s="327"/>
      <c r="AN286" s="327"/>
      <c r="AO286" s="327"/>
      <c r="AP286" s="327" t="s">
        <v>1991</v>
      </c>
      <c r="AQ286" s="327"/>
      <c r="AR286" s="327"/>
      <c r="AS286" s="327" t="s">
        <v>1991</v>
      </c>
      <c r="AT286" s="327"/>
      <c r="AU286" s="327"/>
      <c r="AV286" s="327"/>
      <c r="AW286" s="327"/>
      <c r="AX286" s="327"/>
      <c r="AY286" s="327"/>
      <c r="AZ286" s="327"/>
      <c r="BA286" s="327"/>
      <c r="BB286" s="46">
        <f t="shared" si="105"/>
        <v>12</v>
      </c>
      <c r="BC286" s="46">
        <f t="shared" si="106"/>
        <v>13</v>
      </c>
      <c r="BD286" s="46">
        <f t="shared" si="104"/>
        <v>2</v>
      </c>
      <c r="BE286" s="46">
        <f t="shared" si="107"/>
        <v>0</v>
      </c>
      <c r="BF286" s="296">
        <f t="shared" si="108"/>
        <v>25</v>
      </c>
      <c r="BG286" s="2"/>
      <c r="BH286" s="2"/>
      <c r="BI286" s="2"/>
      <c r="BJ286" s="2"/>
      <c r="BK286" s="279">
        <f t="shared" si="109"/>
        <v>0</v>
      </c>
      <c r="BL286" s="279">
        <f t="shared" si="110"/>
        <v>25</v>
      </c>
      <c r="BM286" s="279"/>
      <c r="BN286" s="279"/>
      <c r="BO286" s="2">
        <f t="shared" si="111"/>
        <v>0</v>
      </c>
      <c r="BP286" s="430"/>
      <c r="BQ286" s="431"/>
      <c r="BR286" s="2"/>
      <c r="BS286" s="25"/>
      <c r="BT286" s="348">
        <f t="shared" si="103"/>
        <v>0</v>
      </c>
      <c r="BU286" s="2"/>
      <c r="BV286" s="282">
        <f t="shared" si="112"/>
        <v>0</v>
      </c>
      <c r="BW286" s="279">
        <v>0</v>
      </c>
      <c r="BX286" s="269">
        <f t="shared" si="113"/>
        <v>0</v>
      </c>
      <c r="BY286" s="349" t="e">
        <f t="shared" si="67"/>
        <v>#N/A</v>
      </c>
      <c r="BZ286" s="349" t="e">
        <f t="shared" si="68"/>
        <v>#N/A</v>
      </c>
      <c r="CA286" s="349" t="e">
        <f t="shared" si="69"/>
        <v>#N/A</v>
      </c>
      <c r="CB286" s="349" t="e">
        <f t="shared" si="70"/>
        <v>#N/A</v>
      </c>
      <c r="CC286" s="349" t="e">
        <f t="shared" si="114"/>
        <v>#N/A</v>
      </c>
      <c r="CD286" s="14" t="e">
        <f t="shared" si="115"/>
        <v>#N/A</v>
      </c>
      <c r="CE286" s="14">
        <f t="shared" si="116"/>
        <v>0</v>
      </c>
      <c r="CF286" s="25">
        <f t="shared" si="117"/>
        <v>0</v>
      </c>
      <c r="CG286" s="270"/>
      <c r="CH286" s="2"/>
      <c r="CL286" s="349"/>
      <c r="CM286" s="349"/>
      <c r="CN286" s="349"/>
      <c r="CO286" s="349"/>
      <c r="CP286" s="349"/>
      <c r="CQ286" s="14"/>
      <c r="CY286" s="2"/>
    </row>
    <row r="287" spans="1:103" s="1" customFormat="1" ht="29.4" customHeight="1">
      <c r="A287" s="46">
        <v>113</v>
      </c>
      <c r="B287" s="46">
        <v>6</v>
      </c>
      <c r="C287" s="46">
        <v>238</v>
      </c>
      <c r="D287" s="48"/>
      <c r="E287" s="48"/>
      <c r="F287" s="46"/>
      <c r="G287" s="317" t="s">
        <v>1991</v>
      </c>
      <c r="H287" s="317">
        <v>0</v>
      </c>
      <c r="I287" s="317" t="s">
        <v>1991</v>
      </c>
      <c r="J287" s="317"/>
      <c r="K287" s="317">
        <v>0</v>
      </c>
      <c r="L287" s="317" t="s">
        <v>1991</v>
      </c>
      <c r="M287" s="317" t="s">
        <v>1991</v>
      </c>
      <c r="N287" s="317" t="s">
        <v>1991</v>
      </c>
      <c r="O287" s="317" t="s">
        <v>1991</v>
      </c>
      <c r="P287" s="317" t="s">
        <v>1991</v>
      </c>
      <c r="Q287" s="317" t="s">
        <v>1991</v>
      </c>
      <c r="R287" s="317" t="s">
        <v>1991</v>
      </c>
      <c r="S287" s="317" t="s">
        <v>1991</v>
      </c>
      <c r="T287" s="326" t="s">
        <v>1991</v>
      </c>
      <c r="U287" s="312" t="s">
        <v>1991</v>
      </c>
      <c r="V287" s="46" t="s">
        <v>1991</v>
      </c>
      <c r="W287" s="324" t="s">
        <v>1991</v>
      </c>
      <c r="X287" s="324" t="s">
        <v>1991</v>
      </c>
      <c r="Y287" s="324" t="s">
        <v>1991</v>
      </c>
      <c r="Z287" s="46" t="s">
        <v>1991</v>
      </c>
      <c r="AA287" s="46" t="s">
        <v>1991</v>
      </c>
      <c r="AB287" s="46" t="s">
        <v>1991</v>
      </c>
      <c r="AC287" s="46" t="s">
        <v>1991</v>
      </c>
      <c r="AD287" s="46" t="s">
        <v>1991</v>
      </c>
      <c r="AE287" s="324" t="s">
        <v>1991</v>
      </c>
      <c r="AF287" s="324" t="s">
        <v>1991</v>
      </c>
      <c r="AG287" s="324" t="s">
        <v>1991</v>
      </c>
      <c r="AH287" s="324" t="s">
        <v>1991</v>
      </c>
      <c r="AI287" s="324" t="s">
        <v>1991</v>
      </c>
      <c r="AJ287" s="324" t="s">
        <v>1991</v>
      </c>
      <c r="AK287" s="324" t="s">
        <v>1991</v>
      </c>
      <c r="AL287" s="327"/>
      <c r="AM287" s="327"/>
      <c r="AN287" s="327"/>
      <c r="AO287" s="327"/>
      <c r="AP287" s="327" t="s">
        <v>1991</v>
      </c>
      <c r="AQ287" s="327"/>
      <c r="AR287" s="327"/>
      <c r="AS287" s="327" t="s">
        <v>1991</v>
      </c>
      <c r="AT287" s="327"/>
      <c r="AU287" s="327"/>
      <c r="AV287" s="327"/>
      <c r="AW287" s="327"/>
      <c r="AX287" s="327"/>
      <c r="AY287" s="327"/>
      <c r="AZ287" s="327"/>
      <c r="BA287" s="327"/>
      <c r="BB287" s="46">
        <f t="shared" si="105"/>
        <v>12</v>
      </c>
      <c r="BC287" s="46">
        <f t="shared" si="106"/>
        <v>16</v>
      </c>
      <c r="BD287" s="46">
        <f t="shared" si="104"/>
        <v>2</v>
      </c>
      <c r="BE287" s="46">
        <f t="shared" si="107"/>
        <v>0</v>
      </c>
      <c r="BF287" s="296">
        <f t="shared" si="108"/>
        <v>28</v>
      </c>
      <c r="BG287" s="2"/>
      <c r="BH287" s="2"/>
      <c r="BI287" s="2"/>
      <c r="BJ287" s="2"/>
      <c r="BK287" s="279">
        <f t="shared" si="109"/>
        <v>1</v>
      </c>
      <c r="BL287" s="279">
        <f t="shared" si="110"/>
        <v>28</v>
      </c>
      <c r="BM287" s="279"/>
      <c r="BN287" s="279"/>
      <c r="BO287" s="2">
        <f t="shared" si="111"/>
        <v>28</v>
      </c>
      <c r="BP287" s="430"/>
      <c r="BQ287" s="431"/>
      <c r="BR287" s="2"/>
      <c r="BS287" s="25"/>
      <c r="BT287" s="348">
        <f t="shared" si="103"/>
        <v>1</v>
      </c>
      <c r="BU287" s="2"/>
      <c r="BV287" s="282">
        <f t="shared" si="112"/>
        <v>0</v>
      </c>
      <c r="BW287" s="279">
        <v>0</v>
      </c>
      <c r="BX287" s="269">
        <f t="shared" si="113"/>
        <v>0</v>
      </c>
      <c r="BY287" s="349" t="e">
        <f t="shared" si="67"/>
        <v>#N/A</v>
      </c>
      <c r="BZ287" s="349" t="e">
        <f t="shared" si="68"/>
        <v>#N/A</v>
      </c>
      <c r="CA287" s="349" t="e">
        <f t="shared" si="69"/>
        <v>#N/A</v>
      </c>
      <c r="CB287" s="349" t="e">
        <f t="shared" si="70"/>
        <v>#N/A</v>
      </c>
      <c r="CC287" s="349" t="e">
        <f t="shared" si="114"/>
        <v>#N/A</v>
      </c>
      <c r="CD287" s="14" t="e">
        <f t="shared" si="115"/>
        <v>#N/A</v>
      </c>
      <c r="CE287" s="14">
        <f t="shared" si="116"/>
        <v>28</v>
      </c>
      <c r="CF287" s="25">
        <f t="shared" si="117"/>
        <v>1</v>
      </c>
      <c r="CG287" s="270"/>
      <c r="CH287" s="2"/>
      <c r="CL287" s="349"/>
      <c r="CM287" s="349"/>
      <c r="CN287" s="349"/>
      <c r="CO287" s="349"/>
      <c r="CP287" s="349"/>
      <c r="CQ287" s="14"/>
      <c r="CY287" s="2"/>
    </row>
    <row r="288" spans="1:103" s="1" customFormat="1" ht="29.4" customHeight="1">
      <c r="A288" s="46">
        <v>114</v>
      </c>
      <c r="B288" s="46">
        <v>6</v>
      </c>
      <c r="C288" s="46">
        <v>239</v>
      </c>
      <c r="D288" s="48"/>
      <c r="E288" s="48"/>
      <c r="F288" s="46"/>
      <c r="G288" s="317" t="s">
        <v>1991</v>
      </c>
      <c r="H288" s="317" t="s">
        <v>1991</v>
      </c>
      <c r="I288" s="317">
        <v>0</v>
      </c>
      <c r="J288" s="317"/>
      <c r="K288" s="317" t="s">
        <v>1991</v>
      </c>
      <c r="L288" s="317" t="s">
        <v>1991</v>
      </c>
      <c r="M288" s="317" t="s">
        <v>1991</v>
      </c>
      <c r="N288" s="317" t="s">
        <v>1991</v>
      </c>
      <c r="O288" s="317" t="s">
        <v>1991</v>
      </c>
      <c r="P288" s="317" t="s">
        <v>1991</v>
      </c>
      <c r="Q288" s="317" t="s">
        <v>1991</v>
      </c>
      <c r="R288" s="317" t="s">
        <v>1991</v>
      </c>
      <c r="S288" s="317" t="s">
        <v>1991</v>
      </c>
      <c r="T288" s="326" t="s">
        <v>1991</v>
      </c>
      <c r="U288" s="312" t="s">
        <v>1991</v>
      </c>
      <c r="V288" s="46" t="s">
        <v>1991</v>
      </c>
      <c r="W288" s="324" t="s">
        <v>1991</v>
      </c>
      <c r="X288" s="324" t="s">
        <v>1991</v>
      </c>
      <c r="Y288" s="324" t="s">
        <v>1991</v>
      </c>
      <c r="Z288" s="46" t="s">
        <v>1991</v>
      </c>
      <c r="AA288" s="46" t="s">
        <v>1991</v>
      </c>
      <c r="AB288" s="46" t="s">
        <v>1991</v>
      </c>
      <c r="AC288" s="46" t="s">
        <v>1991</v>
      </c>
      <c r="AD288" s="46" t="s">
        <v>1991</v>
      </c>
      <c r="AE288" s="324" t="s">
        <v>1991</v>
      </c>
      <c r="AF288" s="324" t="s">
        <v>1991</v>
      </c>
      <c r="AG288" s="324" t="s">
        <v>1991</v>
      </c>
      <c r="AH288" s="324" t="s">
        <v>1991</v>
      </c>
      <c r="AI288" s="324" t="s">
        <v>1991</v>
      </c>
      <c r="AJ288" s="324" t="s">
        <v>1991</v>
      </c>
      <c r="AK288" s="324" t="s">
        <v>1991</v>
      </c>
      <c r="AL288" s="327"/>
      <c r="AM288" s="327"/>
      <c r="AN288" s="327"/>
      <c r="AO288" s="327"/>
      <c r="AP288" s="327" t="s">
        <v>1991</v>
      </c>
      <c r="AQ288" s="327"/>
      <c r="AR288" s="327"/>
      <c r="AS288" s="327" t="s">
        <v>1991</v>
      </c>
      <c r="AT288" s="327"/>
      <c r="AU288" s="327"/>
      <c r="AV288" s="327"/>
      <c r="AW288" s="327"/>
      <c r="AX288" s="327"/>
      <c r="AY288" s="327"/>
      <c r="AZ288" s="327"/>
      <c r="BA288" s="327"/>
      <c r="BB288" s="46">
        <f t="shared" si="105"/>
        <v>13</v>
      </c>
      <c r="BC288" s="46">
        <f t="shared" si="106"/>
        <v>16</v>
      </c>
      <c r="BD288" s="46">
        <f t="shared" si="104"/>
        <v>2</v>
      </c>
      <c r="BE288" s="46">
        <f t="shared" si="107"/>
        <v>0</v>
      </c>
      <c r="BF288" s="296">
        <f t="shared" si="108"/>
        <v>29</v>
      </c>
      <c r="BG288" s="2"/>
      <c r="BH288" s="2"/>
      <c r="BI288" s="2"/>
      <c r="BJ288" s="2"/>
      <c r="BK288" s="279">
        <f t="shared" si="109"/>
        <v>1</v>
      </c>
      <c r="BL288" s="279">
        <f t="shared" si="110"/>
        <v>29</v>
      </c>
      <c r="BM288" s="279"/>
      <c r="BN288" s="279"/>
      <c r="BO288" s="2">
        <f t="shared" si="111"/>
        <v>29</v>
      </c>
      <c r="BP288" s="430"/>
      <c r="BQ288" s="431"/>
      <c r="BR288" s="2"/>
      <c r="BS288" s="25"/>
      <c r="BT288" s="348">
        <f t="shared" si="103"/>
        <v>1</v>
      </c>
      <c r="BU288" s="2"/>
      <c r="BV288" s="282">
        <f t="shared" si="112"/>
        <v>0</v>
      </c>
      <c r="BW288" s="279">
        <v>0</v>
      </c>
      <c r="BX288" s="269">
        <f t="shared" si="113"/>
        <v>0</v>
      </c>
      <c r="BY288" s="349" t="e">
        <f t="shared" si="67"/>
        <v>#N/A</v>
      </c>
      <c r="BZ288" s="349" t="e">
        <f t="shared" si="68"/>
        <v>#N/A</v>
      </c>
      <c r="CA288" s="349" t="e">
        <f t="shared" si="69"/>
        <v>#N/A</v>
      </c>
      <c r="CB288" s="349" t="e">
        <f t="shared" si="70"/>
        <v>#N/A</v>
      </c>
      <c r="CC288" s="349" t="e">
        <f t="shared" si="114"/>
        <v>#N/A</v>
      </c>
      <c r="CD288" s="14" t="e">
        <f t="shared" si="115"/>
        <v>#N/A</v>
      </c>
      <c r="CE288" s="14">
        <f t="shared" si="116"/>
        <v>29</v>
      </c>
      <c r="CF288" s="25">
        <f t="shared" si="117"/>
        <v>1</v>
      </c>
      <c r="CG288" s="270"/>
      <c r="CH288" s="2"/>
      <c r="CL288" s="349"/>
      <c r="CM288" s="349"/>
      <c r="CN288" s="349"/>
      <c r="CO288" s="349"/>
      <c r="CP288" s="349"/>
      <c r="CQ288" s="14"/>
      <c r="CY288" s="2"/>
    </row>
    <row r="289" spans="1:103" s="1" customFormat="1" ht="29.4" customHeight="1">
      <c r="A289" s="46">
        <v>115</v>
      </c>
      <c r="B289" s="46">
        <v>6</v>
      </c>
      <c r="C289" s="46">
        <v>240</v>
      </c>
      <c r="D289" s="48"/>
      <c r="E289" s="48"/>
      <c r="F289" s="46"/>
      <c r="G289" s="317" t="s">
        <v>1991</v>
      </c>
      <c r="H289" s="317">
        <v>0</v>
      </c>
      <c r="I289" s="317" t="s">
        <v>1991</v>
      </c>
      <c r="J289" s="317"/>
      <c r="K289" s="317" t="s">
        <v>1991</v>
      </c>
      <c r="L289" s="317" t="s">
        <v>1991</v>
      </c>
      <c r="M289" s="317" t="s">
        <v>1991</v>
      </c>
      <c r="N289" s="317" t="s">
        <v>1991</v>
      </c>
      <c r="O289" s="317" t="s">
        <v>1991</v>
      </c>
      <c r="P289" s="317" t="s">
        <v>1991</v>
      </c>
      <c r="Q289" s="317" t="s">
        <v>1991</v>
      </c>
      <c r="R289" s="317" t="s">
        <v>1991</v>
      </c>
      <c r="S289" s="317" t="s">
        <v>1991</v>
      </c>
      <c r="T289" s="326" t="s">
        <v>1991</v>
      </c>
      <c r="U289" s="312" t="s">
        <v>1991</v>
      </c>
      <c r="V289" s="46" t="s">
        <v>1991</v>
      </c>
      <c r="W289" s="324" t="s">
        <v>1991</v>
      </c>
      <c r="X289" s="324" t="s">
        <v>1991</v>
      </c>
      <c r="Y289" s="324" t="s">
        <v>1991</v>
      </c>
      <c r="Z289" s="46" t="s">
        <v>1991</v>
      </c>
      <c r="AA289" s="46">
        <v>0</v>
      </c>
      <c r="AB289" s="46" t="s">
        <v>1991</v>
      </c>
      <c r="AC289" s="46" t="s">
        <v>1991</v>
      </c>
      <c r="AD289" s="46" t="s">
        <v>1991</v>
      </c>
      <c r="AE289" s="324" t="s">
        <v>1991</v>
      </c>
      <c r="AF289" s="324">
        <v>0</v>
      </c>
      <c r="AG289" s="324" t="s">
        <v>1991</v>
      </c>
      <c r="AH289" s="324" t="s">
        <v>1991</v>
      </c>
      <c r="AI289" s="324" t="s">
        <v>1991</v>
      </c>
      <c r="AJ289" s="324" t="s">
        <v>1991</v>
      </c>
      <c r="AK289" s="324" t="s">
        <v>1991</v>
      </c>
      <c r="AL289" s="327"/>
      <c r="AM289" s="327"/>
      <c r="AN289" s="327"/>
      <c r="AO289" s="327"/>
      <c r="AP289" s="327">
        <v>0</v>
      </c>
      <c r="AQ289" s="327"/>
      <c r="AR289" s="327"/>
      <c r="AS289" s="327"/>
      <c r="AT289" s="327"/>
      <c r="AU289" s="327"/>
      <c r="AV289" s="327"/>
      <c r="AW289" s="327"/>
      <c r="AX289" s="327"/>
      <c r="AY289" s="327"/>
      <c r="AZ289" s="327"/>
      <c r="BA289" s="327"/>
      <c r="BB289" s="46">
        <f t="shared" si="105"/>
        <v>13</v>
      </c>
      <c r="BC289" s="46">
        <f t="shared" si="106"/>
        <v>14</v>
      </c>
      <c r="BD289" s="46">
        <f t="shared" si="104"/>
        <v>0</v>
      </c>
      <c r="BE289" s="46">
        <f t="shared" si="107"/>
        <v>0</v>
      </c>
      <c r="BF289" s="296">
        <f t="shared" si="108"/>
        <v>27</v>
      </c>
      <c r="BG289" s="2"/>
      <c r="BH289" s="2"/>
      <c r="BI289" s="2"/>
      <c r="BJ289" s="2"/>
      <c r="BK289" s="279">
        <f t="shared" si="109"/>
        <v>1</v>
      </c>
      <c r="BL289" s="279">
        <f t="shared" si="110"/>
        <v>27</v>
      </c>
      <c r="BM289" s="279"/>
      <c r="BN289" s="279"/>
      <c r="BO289" s="2">
        <f t="shared" si="111"/>
        <v>27</v>
      </c>
      <c r="BP289" s="430"/>
      <c r="BQ289" s="431"/>
      <c r="BR289" s="2"/>
      <c r="BS289" s="25"/>
      <c r="BT289" s="348">
        <f t="shared" si="103"/>
        <v>1</v>
      </c>
      <c r="BU289" s="2"/>
      <c r="BV289" s="282">
        <f t="shared" si="112"/>
        <v>0</v>
      </c>
      <c r="BW289" s="279">
        <v>0</v>
      </c>
      <c r="BX289" s="269">
        <f t="shared" si="113"/>
        <v>0</v>
      </c>
      <c r="BY289" s="349" t="e">
        <f t="shared" si="67"/>
        <v>#N/A</v>
      </c>
      <c r="BZ289" s="349" t="e">
        <f t="shared" si="68"/>
        <v>#N/A</v>
      </c>
      <c r="CA289" s="349" t="e">
        <f t="shared" si="69"/>
        <v>#N/A</v>
      </c>
      <c r="CB289" s="349" t="e">
        <f t="shared" si="70"/>
        <v>#N/A</v>
      </c>
      <c r="CC289" s="349" t="e">
        <f t="shared" si="114"/>
        <v>#N/A</v>
      </c>
      <c r="CD289" s="14" t="e">
        <f t="shared" si="115"/>
        <v>#N/A</v>
      </c>
      <c r="CE289" s="14">
        <f t="shared" si="116"/>
        <v>27</v>
      </c>
      <c r="CF289" s="25">
        <f t="shared" si="117"/>
        <v>1</v>
      </c>
      <c r="CG289" s="270"/>
      <c r="CH289" s="2"/>
      <c r="CL289" s="349"/>
      <c r="CM289" s="349"/>
      <c r="CN289" s="349"/>
      <c r="CO289" s="349"/>
      <c r="CP289" s="349"/>
      <c r="CQ289" s="14"/>
      <c r="CY289" s="2"/>
    </row>
    <row r="290" spans="1:103" s="1" customFormat="1" ht="29.4" customHeight="1">
      <c r="A290" s="46">
        <v>116</v>
      </c>
      <c r="B290" s="46">
        <v>6</v>
      </c>
      <c r="C290" s="46">
        <v>241</v>
      </c>
      <c r="D290" s="48"/>
      <c r="E290" s="48"/>
      <c r="F290" s="46"/>
      <c r="G290" s="317">
        <v>0</v>
      </c>
      <c r="H290" s="317" t="s">
        <v>1991</v>
      </c>
      <c r="I290" s="317">
        <v>0</v>
      </c>
      <c r="J290" s="317"/>
      <c r="K290" s="317" t="s">
        <v>1991</v>
      </c>
      <c r="L290" s="317" t="s">
        <v>1991</v>
      </c>
      <c r="M290" s="317">
        <v>0</v>
      </c>
      <c r="N290" s="317" t="s">
        <v>1991</v>
      </c>
      <c r="O290" s="317" t="s">
        <v>1991</v>
      </c>
      <c r="P290" s="317" t="s">
        <v>1991</v>
      </c>
      <c r="Q290" s="317" t="s">
        <v>1991</v>
      </c>
      <c r="R290" s="317" t="s">
        <v>1991</v>
      </c>
      <c r="S290" s="317" t="s">
        <v>1991</v>
      </c>
      <c r="T290" s="326" t="s">
        <v>1991</v>
      </c>
      <c r="U290" s="312" t="s">
        <v>1991</v>
      </c>
      <c r="V290" s="46" t="s">
        <v>1991</v>
      </c>
      <c r="W290" s="324" t="s">
        <v>1991</v>
      </c>
      <c r="X290" s="324" t="s">
        <v>1991</v>
      </c>
      <c r="Y290" s="324" t="s">
        <v>1991</v>
      </c>
      <c r="Z290" s="46" t="s">
        <v>1991</v>
      </c>
      <c r="AA290" s="46" t="s">
        <v>1991</v>
      </c>
      <c r="AB290" s="46" t="s">
        <v>1991</v>
      </c>
      <c r="AC290" s="46" t="s">
        <v>1991</v>
      </c>
      <c r="AD290" s="46" t="s">
        <v>1991</v>
      </c>
      <c r="AE290" s="324" t="s">
        <v>1991</v>
      </c>
      <c r="AF290" s="324" t="s">
        <v>1991</v>
      </c>
      <c r="AG290" s="324" t="s">
        <v>1991</v>
      </c>
      <c r="AH290" s="324" t="s">
        <v>1991</v>
      </c>
      <c r="AI290" s="324" t="s">
        <v>1991</v>
      </c>
      <c r="AJ290" s="324" t="s">
        <v>1991</v>
      </c>
      <c r="AK290" s="324" t="s">
        <v>1991</v>
      </c>
      <c r="AL290" s="327"/>
      <c r="AM290" s="327"/>
      <c r="AN290" s="327"/>
      <c r="AO290" s="327"/>
      <c r="AP290" s="327" t="s">
        <v>1991</v>
      </c>
      <c r="AQ290" s="327"/>
      <c r="AR290" s="327"/>
      <c r="AS290" s="327"/>
      <c r="AT290" s="327"/>
      <c r="AU290" s="327"/>
      <c r="AV290" s="327"/>
      <c r="AW290" s="327"/>
      <c r="AX290" s="327"/>
      <c r="AY290" s="327"/>
      <c r="AZ290" s="327"/>
      <c r="BA290" s="327"/>
      <c r="BB290" s="46">
        <f t="shared" si="105"/>
        <v>11</v>
      </c>
      <c r="BC290" s="46">
        <f t="shared" si="106"/>
        <v>16</v>
      </c>
      <c r="BD290" s="46">
        <f t="shared" si="104"/>
        <v>1</v>
      </c>
      <c r="BE290" s="46">
        <f t="shared" si="107"/>
        <v>0</v>
      </c>
      <c r="BF290" s="296">
        <f t="shared" si="108"/>
        <v>27</v>
      </c>
      <c r="BG290" s="2"/>
      <c r="BH290" s="2"/>
      <c r="BI290" s="2"/>
      <c r="BJ290" s="2"/>
      <c r="BK290" s="279">
        <f t="shared" si="109"/>
        <v>1</v>
      </c>
      <c r="BL290" s="279">
        <f t="shared" si="110"/>
        <v>27</v>
      </c>
      <c r="BM290" s="279"/>
      <c r="BN290" s="279"/>
      <c r="BO290" s="2">
        <f t="shared" si="111"/>
        <v>27</v>
      </c>
      <c r="BP290" s="430"/>
      <c r="BQ290" s="431"/>
      <c r="BR290" s="2"/>
      <c r="BS290" s="25"/>
      <c r="BT290" s="348">
        <f t="shared" si="103"/>
        <v>1</v>
      </c>
      <c r="BU290" s="2"/>
      <c r="BV290" s="282">
        <f t="shared" si="112"/>
        <v>0</v>
      </c>
      <c r="BW290" s="279">
        <v>0</v>
      </c>
      <c r="BX290" s="269">
        <f t="shared" si="113"/>
        <v>0</v>
      </c>
      <c r="BY290" s="349" t="e">
        <f t="shared" si="67"/>
        <v>#N/A</v>
      </c>
      <c r="BZ290" s="349" t="e">
        <f t="shared" si="68"/>
        <v>#N/A</v>
      </c>
      <c r="CA290" s="349" t="e">
        <f t="shared" si="69"/>
        <v>#N/A</v>
      </c>
      <c r="CB290" s="349" t="e">
        <f t="shared" si="70"/>
        <v>#N/A</v>
      </c>
      <c r="CC290" s="349" t="e">
        <f t="shared" si="114"/>
        <v>#N/A</v>
      </c>
      <c r="CD290" s="14" t="e">
        <f t="shared" si="115"/>
        <v>#N/A</v>
      </c>
      <c r="CE290" s="14">
        <f t="shared" si="116"/>
        <v>27</v>
      </c>
      <c r="CF290" s="25">
        <f t="shared" si="117"/>
        <v>1</v>
      </c>
      <c r="CG290" s="270"/>
      <c r="CH290" s="2"/>
      <c r="CL290" s="349"/>
      <c r="CM290" s="349"/>
      <c r="CN290" s="349"/>
      <c r="CO290" s="349"/>
      <c r="CP290" s="349"/>
      <c r="CQ290" s="14"/>
      <c r="CY290" s="2"/>
    </row>
    <row r="291" spans="1:103" s="1" customFormat="1" ht="29.4" customHeight="1">
      <c r="A291" s="46">
        <v>117</v>
      </c>
      <c r="B291" s="46">
        <v>6</v>
      </c>
      <c r="C291" s="46">
        <v>242</v>
      </c>
      <c r="D291" s="48"/>
      <c r="E291" s="48"/>
      <c r="F291" s="46"/>
      <c r="G291" s="317">
        <v>0</v>
      </c>
      <c r="H291" s="317" t="s">
        <v>1991</v>
      </c>
      <c r="I291" s="317">
        <v>0</v>
      </c>
      <c r="J291" s="317"/>
      <c r="K291" s="317" t="s">
        <v>1991</v>
      </c>
      <c r="L291" s="317" t="s">
        <v>1991</v>
      </c>
      <c r="M291" s="317">
        <v>0</v>
      </c>
      <c r="N291" s="317" t="s">
        <v>1991</v>
      </c>
      <c r="O291" s="317" t="s">
        <v>1991</v>
      </c>
      <c r="P291" s="317" t="s">
        <v>1991</v>
      </c>
      <c r="Q291" s="317" t="s">
        <v>1991</v>
      </c>
      <c r="R291" s="317" t="s">
        <v>1991</v>
      </c>
      <c r="S291" s="317" t="s">
        <v>1991</v>
      </c>
      <c r="T291" s="326" t="s">
        <v>1991</v>
      </c>
      <c r="U291" s="312" t="s">
        <v>1991</v>
      </c>
      <c r="V291" s="46" t="s">
        <v>1991</v>
      </c>
      <c r="W291" s="324" t="s">
        <v>1991</v>
      </c>
      <c r="X291" s="324" t="s">
        <v>1991</v>
      </c>
      <c r="Y291" s="324" t="s">
        <v>1991</v>
      </c>
      <c r="Z291" s="46" t="s">
        <v>1991</v>
      </c>
      <c r="AA291" s="46" t="s">
        <v>1991</v>
      </c>
      <c r="AB291" s="46" t="s">
        <v>1991</v>
      </c>
      <c r="AC291" s="46" t="s">
        <v>1991</v>
      </c>
      <c r="AD291" s="46" t="s">
        <v>1991</v>
      </c>
      <c r="AE291" s="324" t="s">
        <v>1991</v>
      </c>
      <c r="AF291" s="324" t="s">
        <v>1991</v>
      </c>
      <c r="AG291" s="324" t="s">
        <v>1991</v>
      </c>
      <c r="AH291" s="324" t="s">
        <v>1991</v>
      </c>
      <c r="AI291" s="324" t="s">
        <v>1991</v>
      </c>
      <c r="AJ291" s="324" t="s">
        <v>1991</v>
      </c>
      <c r="AK291" s="324" t="s">
        <v>1991</v>
      </c>
      <c r="AL291" s="327"/>
      <c r="AM291" s="327"/>
      <c r="AN291" s="327"/>
      <c r="AO291" s="327"/>
      <c r="AP291" s="327" t="s">
        <v>1991</v>
      </c>
      <c r="AQ291" s="327"/>
      <c r="AR291" s="327"/>
      <c r="AS291" s="327"/>
      <c r="AT291" s="327"/>
      <c r="AU291" s="327"/>
      <c r="AV291" s="327"/>
      <c r="AW291" s="327"/>
      <c r="AX291" s="327"/>
      <c r="AY291" s="327"/>
      <c r="AZ291" s="327"/>
      <c r="BA291" s="327"/>
      <c r="BB291" s="46">
        <f t="shared" si="105"/>
        <v>11</v>
      </c>
      <c r="BC291" s="46">
        <f t="shared" si="106"/>
        <v>16</v>
      </c>
      <c r="BD291" s="46">
        <f t="shared" si="104"/>
        <v>1</v>
      </c>
      <c r="BE291" s="46">
        <f t="shared" si="107"/>
        <v>0</v>
      </c>
      <c r="BF291" s="296">
        <f t="shared" si="108"/>
        <v>27</v>
      </c>
      <c r="BG291" s="2"/>
      <c r="BH291" s="2"/>
      <c r="BI291" s="2"/>
      <c r="BJ291" s="2"/>
      <c r="BK291" s="279">
        <f t="shared" si="109"/>
        <v>1</v>
      </c>
      <c r="BL291" s="279">
        <f t="shared" si="110"/>
        <v>27</v>
      </c>
      <c r="BM291" s="279"/>
      <c r="BN291" s="279"/>
      <c r="BO291" s="2">
        <f t="shared" si="111"/>
        <v>27</v>
      </c>
      <c r="BP291" s="430"/>
      <c r="BQ291" s="431"/>
      <c r="BR291" s="2"/>
      <c r="BS291" s="25"/>
      <c r="BT291" s="348">
        <f t="shared" si="103"/>
        <v>1</v>
      </c>
      <c r="BU291" s="2"/>
      <c r="BV291" s="282">
        <f t="shared" si="112"/>
        <v>0</v>
      </c>
      <c r="BW291" s="279">
        <v>0</v>
      </c>
      <c r="BX291" s="269">
        <f t="shared" si="113"/>
        <v>0</v>
      </c>
      <c r="BY291" s="349" t="e">
        <f t="shared" si="67"/>
        <v>#N/A</v>
      </c>
      <c r="BZ291" s="349" t="e">
        <f t="shared" si="68"/>
        <v>#N/A</v>
      </c>
      <c r="CA291" s="349" t="e">
        <f t="shared" si="69"/>
        <v>#N/A</v>
      </c>
      <c r="CB291" s="349" t="e">
        <f t="shared" si="70"/>
        <v>#N/A</v>
      </c>
      <c r="CC291" s="349" t="e">
        <f t="shared" si="114"/>
        <v>#N/A</v>
      </c>
      <c r="CD291" s="14" t="e">
        <f t="shared" si="115"/>
        <v>#N/A</v>
      </c>
      <c r="CE291" s="14">
        <f t="shared" si="116"/>
        <v>27</v>
      </c>
      <c r="CF291" s="25">
        <f t="shared" si="117"/>
        <v>1</v>
      </c>
      <c r="CG291" s="270"/>
      <c r="CH291" s="2"/>
      <c r="CL291" s="349"/>
      <c r="CM291" s="349"/>
      <c r="CN291" s="349"/>
      <c r="CO291" s="349"/>
      <c r="CP291" s="349"/>
      <c r="CQ291" s="14"/>
      <c r="CY291" s="2"/>
    </row>
    <row r="292" spans="1:103" s="1" customFormat="1" ht="29.4" customHeight="1">
      <c r="A292" s="46">
        <v>118</v>
      </c>
      <c r="B292" s="46">
        <v>6</v>
      </c>
      <c r="C292" s="46">
        <v>243</v>
      </c>
      <c r="D292" s="48"/>
      <c r="E292" s="48"/>
      <c r="F292" s="46"/>
      <c r="G292" s="317" t="s">
        <v>1991</v>
      </c>
      <c r="H292" s="317" t="s">
        <v>1991</v>
      </c>
      <c r="I292" s="317" t="s">
        <v>1991</v>
      </c>
      <c r="J292" s="317" t="s">
        <v>1991</v>
      </c>
      <c r="K292" s="317" t="s">
        <v>1991</v>
      </c>
      <c r="L292" s="317" t="s">
        <v>1991</v>
      </c>
      <c r="M292" s="317" t="s">
        <v>1991</v>
      </c>
      <c r="N292" s="317">
        <v>0</v>
      </c>
      <c r="O292" s="317" t="s">
        <v>1991</v>
      </c>
      <c r="P292" s="317" t="s">
        <v>1991</v>
      </c>
      <c r="Q292" s="317" t="s">
        <v>1991</v>
      </c>
      <c r="R292" s="317">
        <v>0</v>
      </c>
      <c r="S292" s="317" t="s">
        <v>1991</v>
      </c>
      <c r="T292" s="326" t="s">
        <v>1991</v>
      </c>
      <c r="U292" s="312" t="s">
        <v>1991</v>
      </c>
      <c r="V292" s="46">
        <v>0</v>
      </c>
      <c r="W292" s="324" t="s">
        <v>1991</v>
      </c>
      <c r="X292" s="324" t="s">
        <v>1991</v>
      </c>
      <c r="Y292" s="324" t="s">
        <v>1991</v>
      </c>
      <c r="Z292" s="46" t="s">
        <v>1991</v>
      </c>
      <c r="AA292" s="46" t="s">
        <v>1991</v>
      </c>
      <c r="AB292" s="46">
        <v>0</v>
      </c>
      <c r="AC292" s="46" t="s">
        <v>1991</v>
      </c>
      <c r="AD292" s="46" t="s">
        <v>1991</v>
      </c>
      <c r="AE292" s="324" t="s">
        <v>1991</v>
      </c>
      <c r="AF292" s="324" t="s">
        <v>1991</v>
      </c>
      <c r="AG292" s="324" t="s">
        <v>1991</v>
      </c>
      <c r="AH292" s="324" t="s">
        <v>1991</v>
      </c>
      <c r="AI292" s="324" t="s">
        <v>1991</v>
      </c>
      <c r="AJ292" s="324" t="s">
        <v>1991</v>
      </c>
      <c r="AK292" s="324" t="s">
        <v>1991</v>
      </c>
      <c r="AL292" s="327"/>
      <c r="AM292" s="327"/>
      <c r="AN292" s="327"/>
      <c r="AO292" s="327"/>
      <c r="AP292" s="327" t="s">
        <v>1991</v>
      </c>
      <c r="AQ292" s="327"/>
      <c r="AR292" s="327"/>
      <c r="AS292" s="327" t="s">
        <v>1991</v>
      </c>
      <c r="AT292" s="327"/>
      <c r="AU292" s="327"/>
      <c r="AV292" s="327"/>
      <c r="AW292" s="327"/>
      <c r="AX292" s="327"/>
      <c r="AY292" s="327"/>
      <c r="AZ292" s="327"/>
      <c r="BA292" s="327"/>
      <c r="BB292" s="46">
        <f t="shared" si="105"/>
        <v>13</v>
      </c>
      <c r="BC292" s="46">
        <f t="shared" si="106"/>
        <v>14</v>
      </c>
      <c r="BD292" s="46">
        <f t="shared" si="104"/>
        <v>2</v>
      </c>
      <c r="BE292" s="46">
        <f t="shared" si="107"/>
        <v>0</v>
      </c>
      <c r="BF292" s="296">
        <f t="shared" si="108"/>
        <v>27</v>
      </c>
      <c r="BG292" s="2"/>
      <c r="BH292" s="2"/>
      <c r="BI292" s="2"/>
      <c r="BJ292" s="2"/>
      <c r="BK292" s="279">
        <f t="shared" si="109"/>
        <v>1</v>
      </c>
      <c r="BL292" s="279">
        <f t="shared" si="110"/>
        <v>27</v>
      </c>
      <c r="BM292" s="279"/>
      <c r="BN292" s="279"/>
      <c r="BO292" s="2">
        <f t="shared" si="111"/>
        <v>27</v>
      </c>
      <c r="BP292" s="430"/>
      <c r="BQ292" s="431"/>
      <c r="BR292" s="2"/>
      <c r="BS292" s="25"/>
      <c r="BT292" s="348">
        <f t="shared" si="103"/>
        <v>1</v>
      </c>
      <c r="BU292" s="2"/>
      <c r="BV292" s="282">
        <f t="shared" si="112"/>
        <v>0</v>
      </c>
      <c r="BW292" s="279">
        <v>0</v>
      </c>
      <c r="BX292" s="269">
        <f t="shared" si="113"/>
        <v>0</v>
      </c>
      <c r="BY292" s="349" t="e">
        <f t="shared" si="67"/>
        <v>#N/A</v>
      </c>
      <c r="BZ292" s="349" t="e">
        <f t="shared" si="68"/>
        <v>#N/A</v>
      </c>
      <c r="CA292" s="349" t="e">
        <f t="shared" si="69"/>
        <v>#N/A</v>
      </c>
      <c r="CB292" s="349" t="e">
        <f t="shared" si="70"/>
        <v>#N/A</v>
      </c>
      <c r="CC292" s="349" t="e">
        <f t="shared" si="114"/>
        <v>#N/A</v>
      </c>
      <c r="CD292" s="14" t="e">
        <f t="shared" si="115"/>
        <v>#N/A</v>
      </c>
      <c r="CE292" s="14">
        <f t="shared" si="116"/>
        <v>27</v>
      </c>
      <c r="CF292" s="25">
        <f t="shared" si="117"/>
        <v>1</v>
      </c>
      <c r="CG292" s="270"/>
      <c r="CH292" s="2"/>
      <c r="CL292" s="349"/>
      <c r="CM292" s="349"/>
      <c r="CN292" s="349"/>
      <c r="CO292" s="349"/>
      <c r="CP292" s="349"/>
      <c r="CQ292" s="14"/>
      <c r="CY292" s="2"/>
    </row>
    <row r="293" spans="1:103" s="1" customFormat="1" ht="29.4" customHeight="1">
      <c r="A293" s="46">
        <v>119</v>
      </c>
      <c r="B293" s="46">
        <v>6</v>
      </c>
      <c r="C293" s="46">
        <v>244</v>
      </c>
      <c r="D293" s="48"/>
      <c r="E293" s="48"/>
      <c r="F293" s="46"/>
      <c r="G293" s="317" t="s">
        <v>1991</v>
      </c>
      <c r="H293" s="317" t="s">
        <v>1991</v>
      </c>
      <c r="I293" s="317" t="s">
        <v>1991</v>
      </c>
      <c r="J293" s="317" t="s">
        <v>1991</v>
      </c>
      <c r="K293" s="317">
        <v>0</v>
      </c>
      <c r="L293" s="317" t="s">
        <v>1991</v>
      </c>
      <c r="M293" s="317" t="s">
        <v>1991</v>
      </c>
      <c r="N293" s="317" t="s">
        <v>1991</v>
      </c>
      <c r="O293" s="317" t="s">
        <v>1991</v>
      </c>
      <c r="P293" s="317" t="s">
        <v>1991</v>
      </c>
      <c r="Q293" s="317" t="s">
        <v>1991</v>
      </c>
      <c r="R293" s="317" t="s">
        <v>1991</v>
      </c>
      <c r="S293" s="317" t="s">
        <v>1991</v>
      </c>
      <c r="T293" s="326" t="s">
        <v>1991</v>
      </c>
      <c r="U293" s="312" t="s">
        <v>1991</v>
      </c>
      <c r="V293" s="46" t="s">
        <v>1991</v>
      </c>
      <c r="W293" s="324" t="s">
        <v>1991</v>
      </c>
      <c r="X293" s="324" t="s">
        <v>1991</v>
      </c>
      <c r="Y293" s="324" t="s">
        <v>1991</v>
      </c>
      <c r="Z293" s="46" t="s">
        <v>1991</v>
      </c>
      <c r="AA293" s="46" t="s">
        <v>1991</v>
      </c>
      <c r="AB293" s="46">
        <v>0</v>
      </c>
      <c r="AC293" s="46" t="s">
        <v>1991</v>
      </c>
      <c r="AD293" s="46" t="s">
        <v>1991</v>
      </c>
      <c r="AE293" s="324" t="s">
        <v>1991</v>
      </c>
      <c r="AF293" s="324" t="s">
        <v>1991</v>
      </c>
      <c r="AG293" s="324" t="s">
        <v>1991</v>
      </c>
      <c r="AH293" s="324" t="s">
        <v>1991</v>
      </c>
      <c r="AI293" s="324" t="s">
        <v>1991</v>
      </c>
      <c r="AJ293" s="324" t="s">
        <v>1991</v>
      </c>
      <c r="AK293" s="324" t="s">
        <v>1991</v>
      </c>
      <c r="AL293" s="327"/>
      <c r="AM293" s="327"/>
      <c r="AN293" s="327"/>
      <c r="AO293" s="327"/>
      <c r="AP293" s="327">
        <v>0</v>
      </c>
      <c r="AQ293" s="327"/>
      <c r="AR293" s="327"/>
      <c r="AS293" s="327"/>
      <c r="AT293" s="327"/>
      <c r="AU293" s="327"/>
      <c r="AV293" s="327"/>
      <c r="AW293" s="327"/>
      <c r="AX293" s="327"/>
      <c r="AY293" s="327"/>
      <c r="AZ293" s="327"/>
      <c r="BA293" s="327"/>
      <c r="BB293" s="46">
        <f t="shared" si="105"/>
        <v>14</v>
      </c>
      <c r="BC293" s="46">
        <f t="shared" si="106"/>
        <v>15</v>
      </c>
      <c r="BD293" s="46">
        <f t="shared" si="104"/>
        <v>0</v>
      </c>
      <c r="BE293" s="46">
        <f t="shared" si="107"/>
        <v>0</v>
      </c>
      <c r="BF293" s="296">
        <f t="shared" si="108"/>
        <v>29</v>
      </c>
      <c r="BG293" s="2"/>
      <c r="BH293" s="2"/>
      <c r="BI293" s="2"/>
      <c r="BJ293" s="2"/>
      <c r="BK293" s="279">
        <f t="shared" si="109"/>
        <v>1</v>
      </c>
      <c r="BL293" s="279">
        <f t="shared" si="110"/>
        <v>29</v>
      </c>
      <c r="BM293" s="279"/>
      <c r="BN293" s="279"/>
      <c r="BO293" s="2">
        <f t="shared" si="111"/>
        <v>29</v>
      </c>
      <c r="BP293" s="430"/>
      <c r="BQ293" s="431"/>
      <c r="BR293" s="2"/>
      <c r="BS293" s="25"/>
      <c r="BT293" s="348">
        <f t="shared" si="103"/>
        <v>1</v>
      </c>
      <c r="BU293" s="2"/>
      <c r="BV293" s="282">
        <f t="shared" si="112"/>
        <v>0</v>
      </c>
      <c r="BW293" s="279">
        <v>20000</v>
      </c>
      <c r="BX293" s="269">
        <f t="shared" si="113"/>
        <v>-0.15</v>
      </c>
      <c r="BY293" s="349" t="e">
        <f t="shared" si="67"/>
        <v>#N/A</v>
      </c>
      <c r="BZ293" s="349" t="e">
        <f t="shared" si="68"/>
        <v>#N/A</v>
      </c>
      <c r="CA293" s="349" t="e">
        <f t="shared" si="69"/>
        <v>#N/A</v>
      </c>
      <c r="CB293" s="349" t="e">
        <f t="shared" si="70"/>
        <v>#N/A</v>
      </c>
      <c r="CC293" s="349" t="e">
        <f t="shared" si="114"/>
        <v>#N/A</v>
      </c>
      <c r="CD293" s="14" t="e">
        <f t="shared" si="115"/>
        <v>#N/A</v>
      </c>
      <c r="CE293" s="14">
        <f t="shared" si="116"/>
        <v>29</v>
      </c>
      <c r="CF293" s="25">
        <f t="shared" si="117"/>
        <v>1</v>
      </c>
      <c r="CG293" s="270"/>
      <c r="CH293" s="2"/>
      <c r="CL293" s="349"/>
      <c r="CM293" s="349"/>
      <c r="CN293" s="349"/>
      <c r="CO293" s="349"/>
      <c r="CP293" s="349"/>
      <c r="CQ293" s="14"/>
      <c r="CY293" s="2"/>
    </row>
    <row r="294" spans="1:103" s="1" customFormat="1" ht="29.4" customHeight="1">
      <c r="A294" s="46">
        <v>120</v>
      </c>
      <c r="B294" s="46">
        <v>6</v>
      </c>
      <c r="C294" s="46">
        <v>245</v>
      </c>
      <c r="D294" s="48"/>
      <c r="E294" s="48"/>
      <c r="F294" s="46"/>
      <c r="G294" s="317">
        <v>0</v>
      </c>
      <c r="H294" s="317" t="s">
        <v>1991</v>
      </c>
      <c r="I294" s="317">
        <v>0</v>
      </c>
      <c r="J294" s="317" t="s">
        <v>1991</v>
      </c>
      <c r="K294" s="317" t="s">
        <v>1991</v>
      </c>
      <c r="L294" s="317" t="s">
        <v>1991</v>
      </c>
      <c r="M294" s="317" t="s">
        <v>1991</v>
      </c>
      <c r="N294" s="317">
        <v>0</v>
      </c>
      <c r="O294" s="317" t="s">
        <v>1991</v>
      </c>
      <c r="P294" s="317" t="s">
        <v>1991</v>
      </c>
      <c r="Q294" s="317" t="s">
        <v>1991</v>
      </c>
      <c r="R294" s="317" t="s">
        <v>1991</v>
      </c>
      <c r="S294" s="317">
        <v>0</v>
      </c>
      <c r="T294" s="326">
        <v>0</v>
      </c>
      <c r="U294" s="312">
        <v>0</v>
      </c>
      <c r="V294" s="46">
        <v>0</v>
      </c>
      <c r="W294" s="324">
        <v>0</v>
      </c>
      <c r="X294" s="324">
        <v>0</v>
      </c>
      <c r="Y294" s="324">
        <v>0</v>
      </c>
      <c r="Z294" s="46">
        <v>0</v>
      </c>
      <c r="AA294" s="46" t="s">
        <v>1991</v>
      </c>
      <c r="AB294" s="46" t="s">
        <v>1991</v>
      </c>
      <c r="AC294" s="46" t="s">
        <v>1991</v>
      </c>
      <c r="AD294" s="46">
        <v>0</v>
      </c>
      <c r="AE294" s="324" t="s">
        <v>1991</v>
      </c>
      <c r="AF294" s="324" t="s">
        <v>1991</v>
      </c>
      <c r="AG294" s="324" t="s">
        <v>1991</v>
      </c>
      <c r="AH294" s="324" t="s">
        <v>1991</v>
      </c>
      <c r="AI294" s="324" t="s">
        <v>1991</v>
      </c>
      <c r="AJ294" s="324" t="s">
        <v>1991</v>
      </c>
      <c r="AK294" s="324" t="s">
        <v>1991</v>
      </c>
      <c r="AL294" s="327"/>
      <c r="AM294" s="327"/>
      <c r="AN294" s="327"/>
      <c r="AO294" s="327"/>
      <c r="AP294" s="327">
        <v>0</v>
      </c>
      <c r="AQ294" s="327"/>
      <c r="AR294" s="327"/>
      <c r="AS294" s="327"/>
      <c r="AT294" s="327"/>
      <c r="AU294" s="327"/>
      <c r="AV294" s="327"/>
      <c r="AW294" s="327"/>
      <c r="AX294" s="327"/>
      <c r="AY294" s="327"/>
      <c r="AZ294" s="327"/>
      <c r="BA294" s="327"/>
      <c r="BB294" s="46">
        <f t="shared" si="105"/>
        <v>9</v>
      </c>
      <c r="BC294" s="46">
        <f t="shared" si="106"/>
        <v>10</v>
      </c>
      <c r="BD294" s="46">
        <f t="shared" si="104"/>
        <v>0</v>
      </c>
      <c r="BE294" s="46">
        <f t="shared" si="107"/>
        <v>0</v>
      </c>
      <c r="BF294" s="296">
        <f t="shared" si="108"/>
        <v>19</v>
      </c>
      <c r="BG294" s="2"/>
      <c r="BH294" s="2"/>
      <c r="BI294" s="2"/>
      <c r="BJ294" s="2"/>
      <c r="BK294" s="279">
        <f t="shared" si="109"/>
        <v>0</v>
      </c>
      <c r="BL294" s="279">
        <f t="shared" si="110"/>
        <v>19</v>
      </c>
      <c r="BM294" s="279"/>
      <c r="BN294" s="279"/>
      <c r="BO294" s="2">
        <f t="shared" si="111"/>
        <v>0</v>
      </c>
      <c r="BP294" s="430"/>
      <c r="BQ294" s="431"/>
      <c r="BR294" s="2"/>
      <c r="BS294" s="25"/>
      <c r="BT294" s="348">
        <f t="shared" si="103"/>
        <v>0</v>
      </c>
      <c r="BU294" s="2"/>
      <c r="BV294" s="282">
        <f t="shared" si="112"/>
        <v>0</v>
      </c>
      <c r="BW294" s="279">
        <v>0</v>
      </c>
      <c r="BX294" s="269">
        <f t="shared" si="113"/>
        <v>0</v>
      </c>
      <c r="BY294" s="349" t="e">
        <f t="shared" si="67"/>
        <v>#N/A</v>
      </c>
      <c r="BZ294" s="349" t="e">
        <f t="shared" si="68"/>
        <v>#N/A</v>
      </c>
      <c r="CA294" s="349" t="e">
        <f t="shared" si="69"/>
        <v>#N/A</v>
      </c>
      <c r="CB294" s="349" t="e">
        <f t="shared" si="70"/>
        <v>#N/A</v>
      </c>
      <c r="CC294" s="349" t="e">
        <f t="shared" si="114"/>
        <v>#N/A</v>
      </c>
      <c r="CD294" s="14" t="e">
        <f t="shared" si="115"/>
        <v>#N/A</v>
      </c>
      <c r="CE294" s="14">
        <f t="shared" si="116"/>
        <v>0</v>
      </c>
      <c r="CF294" s="25">
        <f t="shared" si="117"/>
        <v>0</v>
      </c>
      <c r="CG294" s="270"/>
      <c r="CH294" s="2"/>
      <c r="CL294" s="349"/>
      <c r="CM294" s="349"/>
      <c r="CN294" s="349"/>
      <c r="CO294" s="349"/>
      <c r="CP294" s="349"/>
      <c r="CQ294" s="14"/>
      <c r="CY294" s="2"/>
    </row>
    <row r="295" spans="1:103" s="1" customFormat="1" ht="29.4" customHeight="1">
      <c r="A295" s="46">
        <v>121</v>
      </c>
      <c r="B295" s="46">
        <v>6</v>
      </c>
      <c r="C295" s="46">
        <v>246</v>
      </c>
      <c r="D295" s="48"/>
      <c r="E295" s="48"/>
      <c r="F295" s="46"/>
      <c r="G295" s="317" t="s">
        <v>1991</v>
      </c>
      <c r="H295" s="317" t="s">
        <v>1991</v>
      </c>
      <c r="I295" s="317" t="s">
        <v>1991</v>
      </c>
      <c r="J295" s="317"/>
      <c r="K295" s="317" t="s">
        <v>1991</v>
      </c>
      <c r="L295" s="317" t="s">
        <v>1991</v>
      </c>
      <c r="M295" s="317" t="s">
        <v>1991</v>
      </c>
      <c r="N295" s="317" t="s">
        <v>1991</v>
      </c>
      <c r="O295" s="317" t="s">
        <v>1991</v>
      </c>
      <c r="P295" s="317" t="s">
        <v>1991</v>
      </c>
      <c r="Q295" s="317" t="s">
        <v>1991</v>
      </c>
      <c r="R295" s="317" t="s">
        <v>1991</v>
      </c>
      <c r="S295" s="317" t="s">
        <v>1991</v>
      </c>
      <c r="T295" s="326" t="s">
        <v>1991</v>
      </c>
      <c r="U295" s="312" t="s">
        <v>1991</v>
      </c>
      <c r="V295" s="46" t="s">
        <v>1991</v>
      </c>
      <c r="W295" s="324" t="s">
        <v>1991</v>
      </c>
      <c r="X295" s="324" t="s">
        <v>1991</v>
      </c>
      <c r="Y295" s="324">
        <v>0</v>
      </c>
      <c r="Z295" s="46" t="s">
        <v>1991</v>
      </c>
      <c r="AA295" s="46" t="s">
        <v>1991</v>
      </c>
      <c r="AB295" s="46" t="s">
        <v>1991</v>
      </c>
      <c r="AC295" s="46" t="s">
        <v>1991</v>
      </c>
      <c r="AD295" s="46" t="s">
        <v>1991</v>
      </c>
      <c r="AE295" s="324" t="s">
        <v>1991</v>
      </c>
      <c r="AF295" s="324" t="s">
        <v>1991</v>
      </c>
      <c r="AG295" s="324" t="s">
        <v>1991</v>
      </c>
      <c r="AH295" s="324" t="s">
        <v>1991</v>
      </c>
      <c r="AI295" s="324" t="s">
        <v>1991</v>
      </c>
      <c r="AJ295" s="324" t="s">
        <v>1991</v>
      </c>
      <c r="AK295" s="324" t="s">
        <v>1991</v>
      </c>
      <c r="AL295" s="327"/>
      <c r="AM295" s="327"/>
      <c r="AN295" s="327"/>
      <c r="AO295" s="327"/>
      <c r="AP295" s="327" t="s">
        <v>1991</v>
      </c>
      <c r="AQ295" s="327"/>
      <c r="AR295" s="327"/>
      <c r="AS295" s="327"/>
      <c r="AT295" s="327"/>
      <c r="AU295" s="327"/>
      <c r="AV295" s="327"/>
      <c r="AW295" s="327"/>
      <c r="AX295" s="327"/>
      <c r="AY295" s="327"/>
      <c r="AZ295" s="327"/>
      <c r="BA295" s="327"/>
      <c r="BB295" s="46">
        <f t="shared" si="105"/>
        <v>14</v>
      </c>
      <c r="BC295" s="46">
        <f t="shared" si="106"/>
        <v>15</v>
      </c>
      <c r="BD295" s="46">
        <f t="shared" si="104"/>
        <v>1</v>
      </c>
      <c r="BE295" s="46">
        <f t="shared" si="107"/>
        <v>0</v>
      </c>
      <c r="BF295" s="296">
        <f t="shared" si="108"/>
        <v>29</v>
      </c>
      <c r="BG295" s="2"/>
      <c r="BH295" s="2"/>
      <c r="BI295" s="2"/>
      <c r="BJ295" s="2"/>
      <c r="BK295" s="279">
        <f t="shared" si="109"/>
        <v>1</v>
      </c>
      <c r="BL295" s="279">
        <f t="shared" si="110"/>
        <v>29</v>
      </c>
      <c r="BM295" s="279"/>
      <c r="BN295" s="279"/>
      <c r="BO295" s="2">
        <f t="shared" si="111"/>
        <v>29</v>
      </c>
      <c r="BP295" s="430"/>
      <c r="BQ295" s="431"/>
      <c r="BR295" s="2"/>
      <c r="BS295" s="25"/>
      <c r="BT295" s="348">
        <f t="shared" si="103"/>
        <v>1</v>
      </c>
      <c r="BU295" s="2"/>
      <c r="BV295" s="282">
        <f t="shared" si="112"/>
        <v>0</v>
      </c>
      <c r="BW295" s="279">
        <v>0</v>
      </c>
      <c r="BX295" s="269">
        <f t="shared" si="113"/>
        <v>0</v>
      </c>
      <c r="BY295" s="349" t="e">
        <f t="shared" si="67"/>
        <v>#N/A</v>
      </c>
      <c r="BZ295" s="349" t="e">
        <f t="shared" si="68"/>
        <v>#N/A</v>
      </c>
      <c r="CA295" s="349" t="e">
        <f t="shared" si="69"/>
        <v>#N/A</v>
      </c>
      <c r="CB295" s="349" t="e">
        <f t="shared" si="70"/>
        <v>#N/A</v>
      </c>
      <c r="CC295" s="349" t="e">
        <f t="shared" si="114"/>
        <v>#N/A</v>
      </c>
      <c r="CD295" s="14" t="e">
        <f t="shared" si="115"/>
        <v>#N/A</v>
      </c>
      <c r="CE295" s="14">
        <f t="shared" si="116"/>
        <v>29</v>
      </c>
      <c r="CF295" s="25">
        <f t="shared" si="117"/>
        <v>1</v>
      </c>
      <c r="CG295" s="270"/>
      <c r="CH295" s="2"/>
      <c r="CL295" s="349"/>
      <c r="CM295" s="349"/>
      <c r="CN295" s="349"/>
      <c r="CO295" s="349"/>
      <c r="CP295" s="349"/>
      <c r="CQ295" s="14"/>
      <c r="CY295" s="2"/>
    </row>
    <row r="296" spans="1:103" s="1" customFormat="1" ht="29.4" customHeight="1">
      <c r="A296" s="46">
        <v>122</v>
      </c>
      <c r="B296" s="46">
        <v>6</v>
      </c>
      <c r="C296" s="46">
        <v>247</v>
      </c>
      <c r="D296" s="48"/>
      <c r="E296" s="48"/>
      <c r="F296" s="46"/>
      <c r="G296" s="317" t="s">
        <v>1991</v>
      </c>
      <c r="H296" s="317" t="s">
        <v>1991</v>
      </c>
      <c r="I296" s="317" t="s">
        <v>1991</v>
      </c>
      <c r="J296" s="317"/>
      <c r="K296" s="317" t="s">
        <v>1991</v>
      </c>
      <c r="L296" s="317" t="s">
        <v>1991</v>
      </c>
      <c r="M296" s="317" t="s">
        <v>1991</v>
      </c>
      <c r="N296" s="317" t="s">
        <v>1991</v>
      </c>
      <c r="O296" s="317" t="s">
        <v>1991</v>
      </c>
      <c r="P296" s="317" t="s">
        <v>1991</v>
      </c>
      <c r="Q296" s="317" t="s">
        <v>1991</v>
      </c>
      <c r="R296" s="317" t="s">
        <v>1991</v>
      </c>
      <c r="S296" s="317" t="s">
        <v>1991</v>
      </c>
      <c r="T296" s="326" t="s">
        <v>1991</v>
      </c>
      <c r="U296" s="312" t="s">
        <v>1991</v>
      </c>
      <c r="V296" s="46" t="s">
        <v>1991</v>
      </c>
      <c r="W296" s="324" t="s">
        <v>1991</v>
      </c>
      <c r="X296" s="324" t="s">
        <v>1991</v>
      </c>
      <c r="Y296" s="324">
        <v>0</v>
      </c>
      <c r="Z296" s="46" t="s">
        <v>1991</v>
      </c>
      <c r="AA296" s="46" t="s">
        <v>1991</v>
      </c>
      <c r="AB296" s="46" t="s">
        <v>1991</v>
      </c>
      <c r="AC296" s="46" t="s">
        <v>1991</v>
      </c>
      <c r="AD296" s="46" t="s">
        <v>1991</v>
      </c>
      <c r="AE296" s="324" t="s">
        <v>1991</v>
      </c>
      <c r="AF296" s="324" t="s">
        <v>1991</v>
      </c>
      <c r="AG296" s="324" t="s">
        <v>1991</v>
      </c>
      <c r="AH296" s="324" t="s">
        <v>1991</v>
      </c>
      <c r="AI296" s="324" t="s">
        <v>1991</v>
      </c>
      <c r="AJ296" s="324" t="s">
        <v>1991</v>
      </c>
      <c r="AK296" s="324" t="s">
        <v>1991</v>
      </c>
      <c r="AL296" s="327"/>
      <c r="AM296" s="327"/>
      <c r="AN296" s="327"/>
      <c r="AO296" s="327"/>
      <c r="AP296" s="327" t="s">
        <v>1991</v>
      </c>
      <c r="AQ296" s="327"/>
      <c r="AR296" s="327"/>
      <c r="AS296" s="327" t="s">
        <v>1991</v>
      </c>
      <c r="AT296" s="327"/>
      <c r="AU296" s="327"/>
      <c r="AV296" s="327"/>
      <c r="AW296" s="327"/>
      <c r="AX296" s="327"/>
      <c r="AY296" s="327"/>
      <c r="AZ296" s="327"/>
      <c r="BA296" s="327"/>
      <c r="BB296" s="46">
        <f t="shared" si="105"/>
        <v>14</v>
      </c>
      <c r="BC296" s="46">
        <f t="shared" si="106"/>
        <v>15</v>
      </c>
      <c r="BD296" s="46">
        <f t="shared" si="104"/>
        <v>2</v>
      </c>
      <c r="BE296" s="46">
        <f t="shared" si="107"/>
        <v>0</v>
      </c>
      <c r="BF296" s="296">
        <f t="shared" si="108"/>
        <v>29</v>
      </c>
      <c r="BG296" s="2"/>
      <c r="BH296" s="2"/>
      <c r="BI296" s="2"/>
      <c r="BJ296" s="2"/>
      <c r="BK296" s="279">
        <f t="shared" si="109"/>
        <v>1</v>
      </c>
      <c r="BL296" s="279">
        <f t="shared" si="110"/>
        <v>29</v>
      </c>
      <c r="BM296" s="279"/>
      <c r="BN296" s="279"/>
      <c r="BO296" s="2">
        <f t="shared" si="111"/>
        <v>29</v>
      </c>
      <c r="BP296" s="430"/>
      <c r="BQ296" s="431"/>
      <c r="BR296" s="2"/>
      <c r="BS296" s="25"/>
      <c r="BT296" s="348">
        <f t="shared" si="103"/>
        <v>1</v>
      </c>
      <c r="BU296" s="2"/>
      <c r="BV296" s="282">
        <f t="shared" si="112"/>
        <v>0</v>
      </c>
      <c r="BW296" s="279">
        <v>0</v>
      </c>
      <c r="BX296" s="269">
        <f t="shared" si="113"/>
        <v>0</v>
      </c>
      <c r="BY296" s="349" t="e">
        <f t="shared" si="67"/>
        <v>#N/A</v>
      </c>
      <c r="BZ296" s="349" t="e">
        <f t="shared" si="68"/>
        <v>#N/A</v>
      </c>
      <c r="CA296" s="349" t="e">
        <f t="shared" si="69"/>
        <v>#N/A</v>
      </c>
      <c r="CB296" s="349" t="e">
        <f t="shared" si="70"/>
        <v>#N/A</v>
      </c>
      <c r="CC296" s="349" t="e">
        <f t="shared" si="114"/>
        <v>#N/A</v>
      </c>
      <c r="CD296" s="14" t="e">
        <f t="shared" si="115"/>
        <v>#N/A</v>
      </c>
      <c r="CE296" s="14">
        <f t="shared" si="116"/>
        <v>29</v>
      </c>
      <c r="CF296" s="25">
        <f t="shared" si="117"/>
        <v>1</v>
      </c>
      <c r="CG296" s="270"/>
      <c r="CH296" s="2"/>
      <c r="CL296" s="349"/>
      <c r="CM296" s="349"/>
      <c r="CN296" s="349"/>
      <c r="CO296" s="349"/>
      <c r="CP296" s="349"/>
      <c r="CQ296" s="14"/>
      <c r="CY296" s="2"/>
    </row>
    <row r="297" spans="1:103" s="1" customFormat="1" ht="29.4" customHeight="1">
      <c r="A297" s="46">
        <v>123</v>
      </c>
      <c r="B297" s="46">
        <v>6</v>
      </c>
      <c r="C297" s="46">
        <v>248</v>
      </c>
      <c r="D297" s="48"/>
      <c r="E297" s="48"/>
      <c r="F297" s="46"/>
      <c r="G297" s="317" t="s">
        <v>1991</v>
      </c>
      <c r="H297" s="317" t="s">
        <v>1991</v>
      </c>
      <c r="I297" s="317" t="s">
        <v>1991</v>
      </c>
      <c r="J297" s="317" t="s">
        <v>1991</v>
      </c>
      <c r="K297" s="317" t="s">
        <v>1991</v>
      </c>
      <c r="L297" s="317" t="s">
        <v>1991</v>
      </c>
      <c r="M297" s="317" t="s">
        <v>1991</v>
      </c>
      <c r="N297" s="317" t="s">
        <v>1991</v>
      </c>
      <c r="O297" s="317" t="s">
        <v>1991</v>
      </c>
      <c r="P297" s="317" t="s">
        <v>1991</v>
      </c>
      <c r="Q297" s="317">
        <v>0</v>
      </c>
      <c r="R297" s="317">
        <v>0</v>
      </c>
      <c r="S297" s="317" t="s">
        <v>1991</v>
      </c>
      <c r="T297" s="326" t="s">
        <v>1991</v>
      </c>
      <c r="U297" s="312" t="s">
        <v>1991</v>
      </c>
      <c r="V297" s="46" t="s">
        <v>1991</v>
      </c>
      <c r="W297" s="324" t="s">
        <v>1991</v>
      </c>
      <c r="X297" s="324" t="s">
        <v>1991</v>
      </c>
      <c r="Y297" s="324" t="s">
        <v>1991</v>
      </c>
      <c r="Z297" s="46" t="s">
        <v>1991</v>
      </c>
      <c r="AA297" s="46" t="s">
        <v>1991</v>
      </c>
      <c r="AB297" s="46">
        <v>0</v>
      </c>
      <c r="AC297" s="46" t="s">
        <v>1991</v>
      </c>
      <c r="AD297" s="46" t="s">
        <v>1991</v>
      </c>
      <c r="AE297" s="324" t="s">
        <v>1991</v>
      </c>
      <c r="AF297" s="324" t="s">
        <v>1991</v>
      </c>
      <c r="AG297" s="324" t="s">
        <v>1991</v>
      </c>
      <c r="AH297" s="324" t="s">
        <v>1991</v>
      </c>
      <c r="AI297" s="324" t="s">
        <v>1991</v>
      </c>
      <c r="AJ297" s="324" t="s">
        <v>1991</v>
      </c>
      <c r="AK297" s="324" t="s">
        <v>1991</v>
      </c>
      <c r="AL297" s="327"/>
      <c r="AM297" s="327"/>
      <c r="AN297" s="327"/>
      <c r="AO297" s="327"/>
      <c r="AP297" s="327">
        <v>0</v>
      </c>
      <c r="AQ297" s="327"/>
      <c r="AR297" s="327"/>
      <c r="AS297" s="327"/>
      <c r="AT297" s="327"/>
      <c r="AU297" s="327"/>
      <c r="AV297" s="327"/>
      <c r="AW297" s="327"/>
      <c r="AX297" s="327"/>
      <c r="AY297" s="327"/>
      <c r="AZ297" s="327"/>
      <c r="BA297" s="327"/>
      <c r="BB297" s="46">
        <f t="shared" si="105"/>
        <v>13</v>
      </c>
      <c r="BC297" s="46">
        <f t="shared" si="106"/>
        <v>15</v>
      </c>
      <c r="BD297" s="46">
        <f t="shared" si="104"/>
        <v>0</v>
      </c>
      <c r="BE297" s="46">
        <f t="shared" si="107"/>
        <v>0</v>
      </c>
      <c r="BF297" s="296">
        <f t="shared" si="108"/>
        <v>28</v>
      </c>
      <c r="BG297" s="2"/>
      <c r="BH297" s="2"/>
      <c r="BI297" s="2"/>
      <c r="BJ297" s="2"/>
      <c r="BK297" s="279">
        <f t="shared" si="109"/>
        <v>1</v>
      </c>
      <c r="BL297" s="279">
        <f t="shared" si="110"/>
        <v>28</v>
      </c>
      <c r="BM297" s="279"/>
      <c r="BN297" s="279"/>
      <c r="BO297" s="2">
        <f t="shared" si="111"/>
        <v>28</v>
      </c>
      <c r="BP297" s="430"/>
      <c r="BQ297" s="431"/>
      <c r="BR297" s="2"/>
      <c r="BS297" s="25"/>
      <c r="BT297" s="348">
        <f t="shared" si="103"/>
        <v>1</v>
      </c>
      <c r="BU297" s="2"/>
      <c r="BV297" s="282">
        <f t="shared" si="112"/>
        <v>0</v>
      </c>
      <c r="BW297" s="279">
        <v>20000</v>
      </c>
      <c r="BX297" s="269">
        <f t="shared" si="113"/>
        <v>-0.15</v>
      </c>
      <c r="BY297" s="349" t="e">
        <f t="shared" si="67"/>
        <v>#N/A</v>
      </c>
      <c r="BZ297" s="349" t="e">
        <f t="shared" si="68"/>
        <v>#N/A</v>
      </c>
      <c r="CA297" s="349" t="e">
        <f t="shared" si="69"/>
        <v>#N/A</v>
      </c>
      <c r="CB297" s="349" t="e">
        <f t="shared" si="70"/>
        <v>#N/A</v>
      </c>
      <c r="CC297" s="349" t="e">
        <f t="shared" si="114"/>
        <v>#N/A</v>
      </c>
      <c r="CD297" s="14" t="e">
        <f t="shared" si="115"/>
        <v>#N/A</v>
      </c>
      <c r="CE297" s="14">
        <f t="shared" si="116"/>
        <v>28</v>
      </c>
      <c r="CF297" s="25">
        <f t="shared" si="117"/>
        <v>1</v>
      </c>
      <c r="CG297" s="270"/>
      <c r="CH297" s="2"/>
      <c r="CL297" s="349"/>
      <c r="CM297" s="349"/>
      <c r="CN297" s="349"/>
      <c r="CO297" s="349"/>
      <c r="CP297" s="349"/>
      <c r="CQ297" s="14"/>
      <c r="CY297" s="2"/>
    </row>
    <row r="298" spans="1:103" s="1" customFormat="1" ht="29.4" customHeight="1">
      <c r="A298" s="46">
        <v>124</v>
      </c>
      <c r="B298" s="46">
        <v>6</v>
      </c>
      <c r="C298" s="46">
        <v>249</v>
      </c>
      <c r="D298" s="48"/>
      <c r="E298" s="48"/>
      <c r="F298" s="46"/>
      <c r="G298" s="317" t="s">
        <v>1991</v>
      </c>
      <c r="H298" s="317" t="s">
        <v>1991</v>
      </c>
      <c r="I298" s="317" t="s">
        <v>1991</v>
      </c>
      <c r="J298" s="317"/>
      <c r="K298" s="317" t="s">
        <v>1991</v>
      </c>
      <c r="L298" s="317" t="s">
        <v>1991</v>
      </c>
      <c r="M298" s="317" t="s">
        <v>1991</v>
      </c>
      <c r="N298" s="317" t="s">
        <v>1991</v>
      </c>
      <c r="O298" s="317" t="s">
        <v>1991</v>
      </c>
      <c r="P298" s="317" t="s">
        <v>1991</v>
      </c>
      <c r="Q298" s="317" t="s">
        <v>1991</v>
      </c>
      <c r="R298" s="317" t="s">
        <v>1991</v>
      </c>
      <c r="S298" s="317" t="s">
        <v>1991</v>
      </c>
      <c r="T298" s="326" t="s">
        <v>1991</v>
      </c>
      <c r="U298" s="312" t="s">
        <v>1991</v>
      </c>
      <c r="V298" s="46" t="s">
        <v>1991</v>
      </c>
      <c r="W298" s="324" t="s">
        <v>1991</v>
      </c>
      <c r="X298" s="324" t="s">
        <v>1991</v>
      </c>
      <c r="Y298" s="324" t="s">
        <v>1991</v>
      </c>
      <c r="Z298" s="46" t="s">
        <v>1991</v>
      </c>
      <c r="AA298" s="46" t="s">
        <v>1991</v>
      </c>
      <c r="AB298" s="46" t="s">
        <v>1991</v>
      </c>
      <c r="AC298" s="46" t="s">
        <v>1991</v>
      </c>
      <c r="AD298" s="46" t="s">
        <v>1991</v>
      </c>
      <c r="AE298" s="324" t="s">
        <v>1991</v>
      </c>
      <c r="AF298" s="324" t="s">
        <v>1991</v>
      </c>
      <c r="AG298" s="324" t="s">
        <v>1991</v>
      </c>
      <c r="AH298" s="324" t="s">
        <v>1991</v>
      </c>
      <c r="AI298" s="324" t="s">
        <v>1991</v>
      </c>
      <c r="AJ298" s="324">
        <v>0</v>
      </c>
      <c r="AK298" s="324" t="s">
        <v>1991</v>
      </c>
      <c r="AL298" s="327"/>
      <c r="AM298" s="327"/>
      <c r="AN298" s="327"/>
      <c r="AO298" s="327"/>
      <c r="AP298" s="327" t="s">
        <v>1991</v>
      </c>
      <c r="AQ298" s="327"/>
      <c r="AR298" s="327"/>
      <c r="AS298" s="327" t="s">
        <v>1991</v>
      </c>
      <c r="AT298" s="327"/>
      <c r="AU298" s="327"/>
      <c r="AV298" s="327"/>
      <c r="AW298" s="327"/>
      <c r="AX298" s="327"/>
      <c r="AY298" s="327"/>
      <c r="AZ298" s="327"/>
      <c r="BA298" s="327"/>
      <c r="BB298" s="46">
        <f t="shared" si="105"/>
        <v>14</v>
      </c>
      <c r="BC298" s="46">
        <f t="shared" si="106"/>
        <v>15</v>
      </c>
      <c r="BD298" s="46">
        <f t="shared" si="104"/>
        <v>2</v>
      </c>
      <c r="BE298" s="46">
        <f t="shared" si="107"/>
        <v>0</v>
      </c>
      <c r="BF298" s="296">
        <f t="shared" si="108"/>
        <v>29</v>
      </c>
      <c r="BG298" s="2"/>
      <c r="BH298" s="2"/>
      <c r="BI298" s="2"/>
      <c r="BJ298" s="2"/>
      <c r="BK298" s="279">
        <f t="shared" si="109"/>
        <v>1</v>
      </c>
      <c r="BL298" s="279">
        <f t="shared" si="110"/>
        <v>29</v>
      </c>
      <c r="BM298" s="279"/>
      <c r="BN298" s="279"/>
      <c r="BO298" s="2">
        <f t="shared" si="111"/>
        <v>29</v>
      </c>
      <c r="BP298" s="430"/>
      <c r="BQ298" s="431"/>
      <c r="BR298" s="2"/>
      <c r="BS298" s="25"/>
      <c r="BT298" s="348">
        <f t="shared" si="103"/>
        <v>1</v>
      </c>
      <c r="BU298" s="2"/>
      <c r="BV298" s="282">
        <f t="shared" si="112"/>
        <v>0</v>
      </c>
      <c r="BW298" s="279">
        <v>0</v>
      </c>
      <c r="BX298" s="269">
        <f t="shared" si="113"/>
        <v>0</v>
      </c>
      <c r="BY298" s="349" t="e">
        <f t="shared" si="67"/>
        <v>#N/A</v>
      </c>
      <c r="BZ298" s="349" t="e">
        <f t="shared" si="68"/>
        <v>#N/A</v>
      </c>
      <c r="CA298" s="349" t="e">
        <f t="shared" si="69"/>
        <v>#N/A</v>
      </c>
      <c r="CB298" s="349" t="e">
        <f t="shared" si="70"/>
        <v>#N/A</v>
      </c>
      <c r="CC298" s="349" t="e">
        <f t="shared" si="114"/>
        <v>#N/A</v>
      </c>
      <c r="CD298" s="14" t="e">
        <f t="shared" si="115"/>
        <v>#N/A</v>
      </c>
      <c r="CE298" s="14">
        <f t="shared" si="116"/>
        <v>29</v>
      </c>
      <c r="CF298" s="25">
        <f t="shared" si="117"/>
        <v>1</v>
      </c>
      <c r="CG298" s="270"/>
      <c r="CH298" s="2"/>
      <c r="CL298" s="349"/>
      <c r="CM298" s="349"/>
      <c r="CN298" s="349"/>
      <c r="CO298" s="349"/>
      <c r="CP298" s="349"/>
      <c r="CQ298" s="14"/>
      <c r="CY298" s="2"/>
    </row>
    <row r="299" spans="1:103" s="1" customFormat="1" ht="29.4" customHeight="1">
      <c r="A299" s="46">
        <v>125</v>
      </c>
      <c r="B299" s="46">
        <v>6</v>
      </c>
      <c r="C299" s="46">
        <v>250</v>
      </c>
      <c r="D299" s="48"/>
      <c r="E299" s="48"/>
      <c r="F299" s="46"/>
      <c r="G299" s="317" t="s">
        <v>1991</v>
      </c>
      <c r="H299" s="317" t="s">
        <v>1991</v>
      </c>
      <c r="I299" s="317" t="s">
        <v>1991</v>
      </c>
      <c r="J299" s="317"/>
      <c r="K299" s="317">
        <v>0</v>
      </c>
      <c r="L299" s="317" t="s">
        <v>1991</v>
      </c>
      <c r="M299" s="317" t="s">
        <v>1991</v>
      </c>
      <c r="N299" s="317" t="s">
        <v>1991</v>
      </c>
      <c r="O299" s="317" t="s">
        <v>1991</v>
      </c>
      <c r="P299" s="317" t="s">
        <v>1991</v>
      </c>
      <c r="Q299" s="317">
        <v>0</v>
      </c>
      <c r="R299" s="317" t="s">
        <v>1991</v>
      </c>
      <c r="S299" s="317" t="s">
        <v>1991</v>
      </c>
      <c r="T299" s="326">
        <v>0</v>
      </c>
      <c r="U299" s="312" t="s">
        <v>1991</v>
      </c>
      <c r="V299" s="46" t="s">
        <v>1991</v>
      </c>
      <c r="W299" s="324" t="s">
        <v>1991</v>
      </c>
      <c r="X299" s="324" t="s">
        <v>1991</v>
      </c>
      <c r="Y299" s="324">
        <v>0</v>
      </c>
      <c r="Z299" s="46" t="s">
        <v>1991</v>
      </c>
      <c r="AA299" s="46" t="s">
        <v>1991</v>
      </c>
      <c r="AB299" s="46" t="s">
        <v>1991</v>
      </c>
      <c r="AC299" s="46" t="s">
        <v>1991</v>
      </c>
      <c r="AD299" s="46" t="s">
        <v>1991</v>
      </c>
      <c r="AE299" s="324">
        <v>0</v>
      </c>
      <c r="AF299" s="324" t="s">
        <v>1991</v>
      </c>
      <c r="AG299" s="324" t="s">
        <v>1991</v>
      </c>
      <c r="AH299" s="324" t="s">
        <v>1991</v>
      </c>
      <c r="AI299" s="324">
        <v>0</v>
      </c>
      <c r="AJ299" s="324" t="s">
        <v>1991</v>
      </c>
      <c r="AK299" s="324">
        <v>0</v>
      </c>
      <c r="AL299" s="327"/>
      <c r="AM299" s="327"/>
      <c r="AN299" s="327"/>
      <c r="AO299" s="327"/>
      <c r="AP299" s="327">
        <v>0</v>
      </c>
      <c r="AQ299" s="327"/>
      <c r="AR299" s="327"/>
      <c r="AS299" s="327"/>
      <c r="AT299" s="327"/>
      <c r="AU299" s="327"/>
      <c r="AV299" s="327"/>
      <c r="AW299" s="327"/>
      <c r="AX299" s="327"/>
      <c r="AY299" s="327"/>
      <c r="AZ299" s="327"/>
      <c r="BA299" s="327"/>
      <c r="BB299" s="46">
        <f t="shared" si="105"/>
        <v>11</v>
      </c>
      <c r="BC299" s="46">
        <f t="shared" si="106"/>
        <v>12</v>
      </c>
      <c r="BD299" s="46">
        <f t="shared" si="104"/>
        <v>0</v>
      </c>
      <c r="BE299" s="46">
        <f t="shared" si="107"/>
        <v>0</v>
      </c>
      <c r="BF299" s="296">
        <f t="shared" si="108"/>
        <v>23</v>
      </c>
      <c r="BG299" s="2"/>
      <c r="BH299" s="2"/>
      <c r="BI299" s="2"/>
      <c r="BJ299" s="2"/>
      <c r="BK299" s="279">
        <f t="shared" si="109"/>
        <v>0</v>
      </c>
      <c r="BL299" s="279">
        <f t="shared" si="110"/>
        <v>23</v>
      </c>
      <c r="BM299" s="279"/>
      <c r="BN299" s="279"/>
      <c r="BO299" s="2">
        <f t="shared" si="111"/>
        <v>0</v>
      </c>
      <c r="BP299" s="430"/>
      <c r="BQ299" s="431"/>
      <c r="BR299" s="2"/>
      <c r="BS299" s="25"/>
      <c r="BT299" s="348">
        <f t="shared" si="103"/>
        <v>0</v>
      </c>
      <c r="BU299" s="2"/>
      <c r="BV299" s="282">
        <f t="shared" si="112"/>
        <v>0</v>
      </c>
      <c r="BW299" s="279">
        <v>0</v>
      </c>
      <c r="BX299" s="269">
        <f t="shared" si="113"/>
        <v>0</v>
      </c>
      <c r="BY299" s="349" t="e">
        <f t="shared" si="67"/>
        <v>#N/A</v>
      </c>
      <c r="BZ299" s="349" t="e">
        <f t="shared" si="68"/>
        <v>#N/A</v>
      </c>
      <c r="CA299" s="349" t="e">
        <f t="shared" si="69"/>
        <v>#N/A</v>
      </c>
      <c r="CB299" s="349" t="e">
        <f t="shared" si="70"/>
        <v>#N/A</v>
      </c>
      <c r="CC299" s="349" t="e">
        <f t="shared" si="114"/>
        <v>#N/A</v>
      </c>
      <c r="CD299" s="14" t="e">
        <f t="shared" si="115"/>
        <v>#N/A</v>
      </c>
      <c r="CE299" s="14">
        <f t="shared" si="116"/>
        <v>0</v>
      </c>
      <c r="CF299" s="25">
        <f t="shared" si="117"/>
        <v>0</v>
      </c>
      <c r="CG299" s="270"/>
      <c r="CH299" s="2"/>
      <c r="CL299" s="349"/>
      <c r="CM299" s="349"/>
      <c r="CN299" s="349"/>
      <c r="CO299" s="349"/>
      <c r="CP299" s="349"/>
      <c r="CQ299" s="14"/>
      <c r="CY299" s="2"/>
    </row>
    <row r="300" spans="1:103" s="1" customFormat="1" ht="29.4" customHeight="1">
      <c r="A300" s="46">
        <v>126</v>
      </c>
      <c r="B300" s="46">
        <v>6</v>
      </c>
      <c r="C300" s="46">
        <v>499</v>
      </c>
      <c r="D300" s="48"/>
      <c r="E300" s="48"/>
      <c r="F300" s="46"/>
      <c r="G300" s="317">
        <v>0</v>
      </c>
      <c r="H300" s="317" t="s">
        <v>1991</v>
      </c>
      <c r="I300" s="317" t="s">
        <v>1991</v>
      </c>
      <c r="J300" s="317" t="s">
        <v>1991</v>
      </c>
      <c r="K300" s="317" t="s">
        <v>1991</v>
      </c>
      <c r="L300" s="317">
        <v>0</v>
      </c>
      <c r="M300" s="317" t="s">
        <v>1991</v>
      </c>
      <c r="N300" s="317" t="s">
        <v>1991</v>
      </c>
      <c r="O300" s="317" t="s">
        <v>1991</v>
      </c>
      <c r="P300" s="317" t="s">
        <v>1991</v>
      </c>
      <c r="Q300" s="317" t="s">
        <v>1991</v>
      </c>
      <c r="R300" s="317" t="s">
        <v>1991</v>
      </c>
      <c r="S300" s="317">
        <v>0</v>
      </c>
      <c r="T300" s="326" t="s">
        <v>1991</v>
      </c>
      <c r="U300" s="312" t="s">
        <v>1991</v>
      </c>
      <c r="V300" s="46">
        <v>0</v>
      </c>
      <c r="W300" s="324" t="s">
        <v>1991</v>
      </c>
      <c r="X300" s="324" t="s">
        <v>1991</v>
      </c>
      <c r="Y300" s="324" t="s">
        <v>1991</v>
      </c>
      <c r="Z300" s="46" t="s">
        <v>1991</v>
      </c>
      <c r="AA300" s="46" t="s">
        <v>1991</v>
      </c>
      <c r="AB300" s="46" t="s">
        <v>1991</v>
      </c>
      <c r="AC300" s="46" t="s">
        <v>1991</v>
      </c>
      <c r="AD300" s="46" t="s">
        <v>1991</v>
      </c>
      <c r="AE300" s="324">
        <v>0</v>
      </c>
      <c r="AF300" s="324" t="s">
        <v>1991</v>
      </c>
      <c r="AG300" s="324">
        <v>0</v>
      </c>
      <c r="AH300" s="324">
        <v>0</v>
      </c>
      <c r="AI300" s="324">
        <v>0</v>
      </c>
      <c r="AJ300" s="324">
        <v>0</v>
      </c>
      <c r="AK300" s="324">
        <v>0</v>
      </c>
      <c r="AL300" s="327"/>
      <c r="AM300" s="327"/>
      <c r="AN300" s="327"/>
      <c r="AO300" s="327"/>
      <c r="AP300" s="327" t="s">
        <v>1991</v>
      </c>
      <c r="AQ300" s="327"/>
      <c r="AR300" s="327"/>
      <c r="AS300" s="327"/>
      <c r="AT300" s="327"/>
      <c r="AU300" s="327"/>
      <c r="AV300" s="327"/>
      <c r="AW300" s="327"/>
      <c r="AX300" s="327"/>
      <c r="AY300" s="327"/>
      <c r="AZ300" s="327"/>
      <c r="BA300" s="327"/>
      <c r="BB300" s="46">
        <f t="shared" si="105"/>
        <v>12</v>
      </c>
      <c r="BC300" s="46">
        <f t="shared" si="106"/>
        <v>9</v>
      </c>
      <c r="BD300" s="46">
        <f t="shared" si="104"/>
        <v>1</v>
      </c>
      <c r="BE300" s="46">
        <f t="shared" si="107"/>
        <v>0</v>
      </c>
      <c r="BF300" s="296">
        <f t="shared" si="108"/>
        <v>21</v>
      </c>
      <c r="BG300" s="2"/>
      <c r="BH300" s="2"/>
      <c r="BI300" s="2"/>
      <c r="BJ300" s="2"/>
      <c r="BK300" s="279">
        <f t="shared" si="109"/>
        <v>0</v>
      </c>
      <c r="BL300" s="279">
        <f t="shared" si="110"/>
        <v>21</v>
      </c>
      <c r="BM300" s="279"/>
      <c r="BN300" s="279"/>
      <c r="BO300" s="2">
        <f t="shared" si="111"/>
        <v>0</v>
      </c>
      <c r="BP300" s="430"/>
      <c r="BQ300" s="431"/>
      <c r="BR300" s="2"/>
      <c r="BS300" s="25"/>
      <c r="BT300" s="348">
        <f t="shared" si="103"/>
        <v>0</v>
      </c>
      <c r="BU300" s="2"/>
      <c r="BV300" s="282">
        <f t="shared" si="112"/>
        <v>0</v>
      </c>
      <c r="BW300" s="279">
        <v>0</v>
      </c>
      <c r="BX300" s="269">
        <f t="shared" si="113"/>
        <v>0</v>
      </c>
      <c r="BY300" s="349" t="e">
        <f t="shared" si="67"/>
        <v>#N/A</v>
      </c>
      <c r="BZ300" s="349" t="e">
        <f t="shared" si="68"/>
        <v>#N/A</v>
      </c>
      <c r="CA300" s="349" t="e">
        <f t="shared" si="69"/>
        <v>#N/A</v>
      </c>
      <c r="CB300" s="349" t="e">
        <f t="shared" si="70"/>
        <v>#N/A</v>
      </c>
      <c r="CC300" s="349" t="e">
        <f t="shared" si="114"/>
        <v>#N/A</v>
      </c>
      <c r="CD300" s="14" t="e">
        <f t="shared" si="115"/>
        <v>#N/A</v>
      </c>
      <c r="CE300" s="14">
        <f t="shared" si="116"/>
        <v>0</v>
      </c>
      <c r="CF300" s="25">
        <f t="shared" si="117"/>
        <v>0</v>
      </c>
      <c r="CG300" s="270"/>
      <c r="CH300" s="2"/>
      <c r="CL300" s="349"/>
      <c r="CM300" s="349"/>
      <c r="CN300" s="349"/>
      <c r="CO300" s="349"/>
      <c r="CP300" s="349"/>
      <c r="CQ300" s="14"/>
      <c r="CY300" s="2"/>
    </row>
    <row r="301" spans="1:103" s="1" customFormat="1" ht="29.4" customHeight="1">
      <c r="A301" s="46">
        <v>127</v>
      </c>
      <c r="B301" s="46">
        <v>6</v>
      </c>
      <c r="C301" s="46">
        <v>500</v>
      </c>
      <c r="D301" s="48"/>
      <c r="E301" s="48"/>
      <c r="F301" s="46"/>
      <c r="G301" s="317" t="s">
        <v>1991</v>
      </c>
      <c r="H301" s="317" t="s">
        <v>1991</v>
      </c>
      <c r="I301" s="317" t="s">
        <v>1991</v>
      </c>
      <c r="J301" s="317" t="s">
        <v>1991</v>
      </c>
      <c r="K301" s="317">
        <v>0</v>
      </c>
      <c r="L301" s="317" t="s">
        <v>1991</v>
      </c>
      <c r="M301" s="317" t="s">
        <v>1991</v>
      </c>
      <c r="N301" s="317" t="s">
        <v>1991</v>
      </c>
      <c r="O301" s="317" t="s">
        <v>1991</v>
      </c>
      <c r="P301" s="317" t="s">
        <v>1991</v>
      </c>
      <c r="Q301" s="317" t="s">
        <v>1991</v>
      </c>
      <c r="R301" s="317" t="s">
        <v>1991</v>
      </c>
      <c r="S301" s="317" t="s">
        <v>1991</v>
      </c>
      <c r="T301" s="326" t="s">
        <v>1991</v>
      </c>
      <c r="U301" s="312" t="s">
        <v>1991</v>
      </c>
      <c r="V301" s="46" t="s">
        <v>1991</v>
      </c>
      <c r="W301" s="324" t="s">
        <v>1991</v>
      </c>
      <c r="X301" s="324" t="s">
        <v>1991</v>
      </c>
      <c r="Y301" s="324" t="s">
        <v>1991</v>
      </c>
      <c r="Z301" s="46" t="s">
        <v>1991</v>
      </c>
      <c r="AA301" s="46" t="s">
        <v>1991</v>
      </c>
      <c r="AB301" s="46" t="s">
        <v>1991</v>
      </c>
      <c r="AC301" s="46" t="s">
        <v>1991</v>
      </c>
      <c r="AD301" s="46">
        <v>0</v>
      </c>
      <c r="AE301" s="324">
        <v>0</v>
      </c>
      <c r="AF301" s="324">
        <v>0</v>
      </c>
      <c r="AG301" s="324">
        <v>0</v>
      </c>
      <c r="AH301" s="324">
        <v>0</v>
      </c>
      <c r="AI301" s="324">
        <v>0</v>
      </c>
      <c r="AJ301" s="324">
        <v>0</v>
      </c>
      <c r="AK301" s="324">
        <v>0</v>
      </c>
      <c r="AL301" s="327"/>
      <c r="AM301" s="327"/>
      <c r="AN301" s="327"/>
      <c r="AO301" s="327"/>
      <c r="AP301" s="327">
        <v>0</v>
      </c>
      <c r="AQ301" s="327"/>
      <c r="AR301" s="327"/>
      <c r="AS301" s="327"/>
      <c r="AT301" s="327"/>
      <c r="AU301" s="327"/>
      <c r="AV301" s="327"/>
      <c r="AW301" s="327"/>
      <c r="AX301" s="327"/>
      <c r="AY301" s="327"/>
      <c r="AZ301" s="327"/>
      <c r="BA301" s="327"/>
      <c r="BB301" s="46">
        <f t="shared" si="105"/>
        <v>14</v>
      </c>
      <c r="BC301" s="46">
        <f t="shared" si="106"/>
        <v>8</v>
      </c>
      <c r="BD301" s="46">
        <f t="shared" si="104"/>
        <v>0</v>
      </c>
      <c r="BE301" s="46">
        <f t="shared" si="107"/>
        <v>0</v>
      </c>
      <c r="BF301" s="296">
        <f t="shared" si="108"/>
        <v>22</v>
      </c>
      <c r="BG301" s="2"/>
      <c r="BH301" s="2"/>
      <c r="BI301" s="2"/>
      <c r="BJ301" s="2"/>
      <c r="BK301" s="279">
        <f t="shared" si="109"/>
        <v>0</v>
      </c>
      <c r="BL301" s="279">
        <f t="shared" si="110"/>
        <v>22</v>
      </c>
      <c r="BM301" s="279"/>
      <c r="BN301" s="279"/>
      <c r="BO301" s="2">
        <f t="shared" si="111"/>
        <v>0</v>
      </c>
      <c r="BP301" s="430"/>
      <c r="BQ301" s="431"/>
      <c r="BR301" s="2"/>
      <c r="BS301" s="25"/>
      <c r="BT301" s="348">
        <f t="shared" si="103"/>
        <v>0</v>
      </c>
      <c r="BU301" s="2"/>
      <c r="BV301" s="282">
        <f t="shared" si="112"/>
        <v>0</v>
      </c>
      <c r="BW301" s="279">
        <v>-20000</v>
      </c>
      <c r="BX301" s="269">
        <f t="shared" si="113"/>
        <v>0</v>
      </c>
      <c r="BY301" s="349" t="e">
        <f t="shared" si="67"/>
        <v>#N/A</v>
      </c>
      <c r="BZ301" s="349" t="e">
        <f t="shared" si="68"/>
        <v>#N/A</v>
      </c>
      <c r="CA301" s="349" t="e">
        <f t="shared" si="69"/>
        <v>#N/A</v>
      </c>
      <c r="CB301" s="349" t="e">
        <f t="shared" si="70"/>
        <v>#N/A</v>
      </c>
      <c r="CC301" s="349" t="e">
        <f t="shared" si="114"/>
        <v>#N/A</v>
      </c>
      <c r="CD301" s="14" t="e">
        <f t="shared" si="115"/>
        <v>#N/A</v>
      </c>
      <c r="CE301" s="14">
        <f t="shared" si="116"/>
        <v>0</v>
      </c>
      <c r="CF301" s="25">
        <f t="shared" si="117"/>
        <v>0</v>
      </c>
      <c r="CG301" s="270"/>
      <c r="CH301" s="2"/>
      <c r="CL301" s="349"/>
      <c r="CM301" s="349"/>
      <c r="CN301" s="349"/>
      <c r="CO301" s="349"/>
      <c r="CP301" s="349"/>
      <c r="CQ301" s="14"/>
      <c r="CY301" s="2"/>
    </row>
    <row r="302" spans="1:103" s="1" customFormat="1" ht="29.4" customHeight="1">
      <c r="A302" s="46">
        <v>128</v>
      </c>
      <c r="B302" s="46">
        <v>6</v>
      </c>
      <c r="C302" s="46">
        <v>501</v>
      </c>
      <c r="D302" s="48"/>
      <c r="E302" s="48"/>
      <c r="F302" s="46"/>
      <c r="G302" s="317" t="s">
        <v>1991</v>
      </c>
      <c r="H302" s="317" t="s">
        <v>1991</v>
      </c>
      <c r="I302" s="317" t="s">
        <v>1991</v>
      </c>
      <c r="J302" s="317"/>
      <c r="K302" s="317" t="s">
        <v>1991</v>
      </c>
      <c r="L302" s="317" t="s">
        <v>1991</v>
      </c>
      <c r="M302" s="317" t="s">
        <v>1991</v>
      </c>
      <c r="N302" s="317" t="s">
        <v>1991</v>
      </c>
      <c r="O302" s="317" t="s">
        <v>1991</v>
      </c>
      <c r="P302" s="317" t="s">
        <v>1991</v>
      </c>
      <c r="Q302" s="317" t="s">
        <v>1991</v>
      </c>
      <c r="R302" s="317" t="s">
        <v>1991</v>
      </c>
      <c r="S302" s="317" t="s">
        <v>1991</v>
      </c>
      <c r="T302" s="326" t="s">
        <v>1991</v>
      </c>
      <c r="U302" s="312" t="s">
        <v>1991</v>
      </c>
      <c r="V302" s="46" t="s">
        <v>1991</v>
      </c>
      <c r="W302" s="324" t="s">
        <v>1991</v>
      </c>
      <c r="X302" s="324" t="s">
        <v>1991</v>
      </c>
      <c r="Y302" s="324">
        <v>0</v>
      </c>
      <c r="Z302" s="46" t="s">
        <v>1991</v>
      </c>
      <c r="AA302" s="46" t="s">
        <v>1991</v>
      </c>
      <c r="AB302" s="46" t="s">
        <v>1991</v>
      </c>
      <c r="AC302" s="46" t="s">
        <v>1991</v>
      </c>
      <c r="AD302" s="46" t="s">
        <v>1991</v>
      </c>
      <c r="AE302" s="324" t="s">
        <v>1991</v>
      </c>
      <c r="AF302" s="324" t="s">
        <v>1991</v>
      </c>
      <c r="AG302" s="324" t="s">
        <v>1991</v>
      </c>
      <c r="AH302" s="324" t="s">
        <v>1991</v>
      </c>
      <c r="AI302" s="324" t="s">
        <v>1991</v>
      </c>
      <c r="AJ302" s="324" t="s">
        <v>1991</v>
      </c>
      <c r="AK302" s="324" t="s">
        <v>1991</v>
      </c>
      <c r="AL302" s="327"/>
      <c r="AM302" s="327"/>
      <c r="AN302" s="327"/>
      <c r="AO302" s="327"/>
      <c r="AP302" s="327" t="s">
        <v>1991</v>
      </c>
      <c r="AQ302" s="327"/>
      <c r="AR302" s="327"/>
      <c r="AS302" s="327"/>
      <c r="AT302" s="327"/>
      <c r="AU302" s="327"/>
      <c r="AV302" s="327"/>
      <c r="AW302" s="327"/>
      <c r="AX302" s="327"/>
      <c r="AY302" s="327"/>
      <c r="AZ302" s="327"/>
      <c r="BA302" s="327"/>
      <c r="BB302" s="46">
        <f t="shared" si="105"/>
        <v>14</v>
      </c>
      <c r="BC302" s="46">
        <f t="shared" si="106"/>
        <v>15</v>
      </c>
      <c r="BD302" s="46">
        <f t="shared" si="104"/>
        <v>1</v>
      </c>
      <c r="BE302" s="46">
        <f t="shared" si="107"/>
        <v>0</v>
      </c>
      <c r="BF302" s="296">
        <f t="shared" si="108"/>
        <v>29</v>
      </c>
      <c r="BG302" s="2"/>
      <c r="BH302" s="2"/>
      <c r="BI302" s="2"/>
      <c r="BJ302" s="2"/>
      <c r="BK302" s="279">
        <f t="shared" si="109"/>
        <v>1</v>
      </c>
      <c r="BL302" s="279">
        <f t="shared" si="110"/>
        <v>29</v>
      </c>
      <c r="BM302" s="279"/>
      <c r="BN302" s="279"/>
      <c r="BO302" s="2">
        <f t="shared" si="111"/>
        <v>29</v>
      </c>
      <c r="BP302" s="430"/>
      <c r="BQ302" s="431"/>
      <c r="BR302" s="2"/>
      <c r="BS302" s="25"/>
      <c r="BT302" s="348">
        <f t="shared" si="103"/>
        <v>1</v>
      </c>
      <c r="BU302" s="2"/>
      <c r="BV302" s="282">
        <f t="shared" si="112"/>
        <v>0</v>
      </c>
      <c r="BW302" s="279">
        <v>0</v>
      </c>
      <c r="BX302" s="269">
        <f t="shared" si="113"/>
        <v>0</v>
      </c>
      <c r="BY302" s="349" t="e">
        <f t="shared" si="67"/>
        <v>#N/A</v>
      </c>
      <c r="BZ302" s="349" t="e">
        <f t="shared" si="68"/>
        <v>#N/A</v>
      </c>
      <c r="CA302" s="349" t="e">
        <f t="shared" si="69"/>
        <v>#N/A</v>
      </c>
      <c r="CB302" s="349" t="e">
        <f t="shared" si="70"/>
        <v>#N/A</v>
      </c>
      <c r="CC302" s="349" t="e">
        <f t="shared" si="114"/>
        <v>#N/A</v>
      </c>
      <c r="CD302" s="14" t="e">
        <f t="shared" si="115"/>
        <v>#N/A</v>
      </c>
      <c r="CE302" s="14">
        <f t="shared" si="116"/>
        <v>29</v>
      </c>
      <c r="CF302" s="25">
        <f t="shared" si="117"/>
        <v>1</v>
      </c>
      <c r="CG302" s="270"/>
      <c r="CH302" s="2"/>
      <c r="CL302" s="349"/>
      <c r="CM302" s="349"/>
      <c r="CN302" s="349"/>
      <c r="CO302" s="349"/>
      <c r="CP302" s="349"/>
      <c r="CQ302" s="14"/>
      <c r="CY302" s="2"/>
    </row>
    <row r="303" spans="1:103" s="1" customFormat="1" ht="29.4" customHeight="1">
      <c r="A303" s="46">
        <v>129</v>
      </c>
      <c r="B303" s="46">
        <v>6</v>
      </c>
      <c r="C303" s="46">
        <v>502</v>
      </c>
      <c r="D303" s="48"/>
      <c r="E303" s="48"/>
      <c r="F303" s="46"/>
      <c r="G303" s="317" t="s">
        <v>1991</v>
      </c>
      <c r="H303" s="317" t="s">
        <v>1991</v>
      </c>
      <c r="I303" s="317" t="s">
        <v>1991</v>
      </c>
      <c r="J303" s="317"/>
      <c r="K303" s="317" t="s">
        <v>1991</v>
      </c>
      <c r="L303" s="317" t="s">
        <v>1991</v>
      </c>
      <c r="M303" s="317" t="s">
        <v>1991</v>
      </c>
      <c r="N303" s="317" t="s">
        <v>1991</v>
      </c>
      <c r="O303" s="317" t="s">
        <v>1991</v>
      </c>
      <c r="P303" s="317" t="s">
        <v>1991</v>
      </c>
      <c r="Q303" s="317" t="s">
        <v>1991</v>
      </c>
      <c r="R303" s="317" t="s">
        <v>1991</v>
      </c>
      <c r="S303" s="317" t="s">
        <v>1991</v>
      </c>
      <c r="T303" s="326" t="s">
        <v>1991</v>
      </c>
      <c r="U303" s="312" t="s">
        <v>1991</v>
      </c>
      <c r="V303" s="46" t="s">
        <v>1991</v>
      </c>
      <c r="W303" s="324" t="s">
        <v>1991</v>
      </c>
      <c r="X303" s="324" t="s">
        <v>1991</v>
      </c>
      <c r="Y303" s="324">
        <v>0</v>
      </c>
      <c r="Z303" s="46" t="s">
        <v>1991</v>
      </c>
      <c r="AA303" s="46" t="s">
        <v>1991</v>
      </c>
      <c r="AB303" s="46" t="s">
        <v>1991</v>
      </c>
      <c r="AC303" s="46" t="s">
        <v>1991</v>
      </c>
      <c r="AD303" s="46">
        <v>0</v>
      </c>
      <c r="AE303" s="324">
        <v>0</v>
      </c>
      <c r="AF303" s="324" t="s">
        <v>1991</v>
      </c>
      <c r="AG303" s="324" t="s">
        <v>1991</v>
      </c>
      <c r="AH303" s="324" t="s">
        <v>1991</v>
      </c>
      <c r="AI303" s="324">
        <v>0</v>
      </c>
      <c r="AJ303" s="324" t="s">
        <v>1991</v>
      </c>
      <c r="AK303" s="324" t="s">
        <v>1991</v>
      </c>
      <c r="AL303" s="327"/>
      <c r="AM303" s="327"/>
      <c r="AN303" s="327"/>
      <c r="AO303" s="327"/>
      <c r="AP303" s="327" t="s">
        <v>1991</v>
      </c>
      <c r="AQ303" s="327"/>
      <c r="AR303" s="327"/>
      <c r="AS303" s="327"/>
      <c r="AT303" s="327"/>
      <c r="AU303" s="327"/>
      <c r="AV303" s="327"/>
      <c r="AW303" s="327"/>
      <c r="AX303" s="327"/>
      <c r="AY303" s="327"/>
      <c r="AZ303" s="327"/>
      <c r="BA303" s="327"/>
      <c r="BB303" s="46">
        <f t="shared" si="105"/>
        <v>14</v>
      </c>
      <c r="BC303" s="46">
        <f t="shared" si="106"/>
        <v>12</v>
      </c>
      <c r="BD303" s="46">
        <f t="shared" si="104"/>
        <v>1</v>
      </c>
      <c r="BE303" s="46">
        <f t="shared" si="107"/>
        <v>0</v>
      </c>
      <c r="BF303" s="296">
        <f t="shared" si="108"/>
        <v>26</v>
      </c>
      <c r="BG303" s="2"/>
      <c r="BH303" s="2"/>
      <c r="BI303" s="2"/>
      <c r="BJ303" s="2"/>
      <c r="BK303" s="279">
        <f t="shared" si="109"/>
        <v>1</v>
      </c>
      <c r="BL303" s="279">
        <f t="shared" si="110"/>
        <v>26</v>
      </c>
      <c r="BM303" s="279"/>
      <c r="BN303" s="279"/>
      <c r="BO303" s="2">
        <f t="shared" si="111"/>
        <v>26</v>
      </c>
      <c r="BP303" s="430"/>
      <c r="BQ303" s="431"/>
      <c r="BR303" s="2"/>
      <c r="BS303" s="25"/>
      <c r="BT303" s="348">
        <f t="shared" ref="BT303:BT311" si="118">IF(BF303&gt;=26,1,0)</f>
        <v>1</v>
      </c>
      <c r="BU303" s="2"/>
      <c r="BV303" s="282">
        <f t="shared" si="112"/>
        <v>0</v>
      </c>
      <c r="BW303" s="279">
        <v>0</v>
      </c>
      <c r="BX303" s="269">
        <f t="shared" si="113"/>
        <v>0</v>
      </c>
      <c r="BY303" s="349" t="e">
        <f t="shared" si="67"/>
        <v>#N/A</v>
      </c>
      <c r="BZ303" s="349" t="e">
        <f t="shared" si="68"/>
        <v>#N/A</v>
      </c>
      <c r="CA303" s="349" t="e">
        <f t="shared" si="69"/>
        <v>#N/A</v>
      </c>
      <c r="CB303" s="349" t="e">
        <f t="shared" si="70"/>
        <v>#N/A</v>
      </c>
      <c r="CC303" s="349" t="e">
        <f t="shared" si="114"/>
        <v>#N/A</v>
      </c>
      <c r="CD303" s="14" t="e">
        <f t="shared" si="115"/>
        <v>#N/A</v>
      </c>
      <c r="CE303" s="14">
        <f t="shared" si="116"/>
        <v>26</v>
      </c>
      <c r="CF303" s="25">
        <f t="shared" si="117"/>
        <v>1</v>
      </c>
      <c r="CG303" s="270"/>
      <c r="CH303" s="2"/>
      <c r="CL303" s="349"/>
      <c r="CM303" s="349"/>
      <c r="CN303" s="349"/>
      <c r="CO303" s="349"/>
      <c r="CP303" s="349"/>
      <c r="CQ303" s="14"/>
      <c r="CY303" s="2"/>
    </row>
    <row r="304" spans="1:103" s="1" customFormat="1" ht="29.4" customHeight="1">
      <c r="A304" s="46">
        <v>130</v>
      </c>
      <c r="B304" s="46">
        <v>6</v>
      </c>
      <c r="C304" s="46">
        <v>503</v>
      </c>
      <c r="D304" s="48"/>
      <c r="E304" s="48"/>
      <c r="F304" s="46"/>
      <c r="G304" s="317" t="s">
        <v>1991</v>
      </c>
      <c r="H304" s="317" t="s">
        <v>1991</v>
      </c>
      <c r="I304" s="317" t="s">
        <v>1991</v>
      </c>
      <c r="J304" s="317"/>
      <c r="K304" s="317" t="s">
        <v>1991</v>
      </c>
      <c r="L304" s="317" t="s">
        <v>1991</v>
      </c>
      <c r="M304" s="317" t="s">
        <v>1991</v>
      </c>
      <c r="N304" s="317" t="s">
        <v>1991</v>
      </c>
      <c r="O304" s="317" t="s">
        <v>1991</v>
      </c>
      <c r="P304" s="317" t="s">
        <v>1991</v>
      </c>
      <c r="Q304" s="317" t="s">
        <v>1991</v>
      </c>
      <c r="R304" s="317" t="s">
        <v>1991</v>
      </c>
      <c r="S304" s="317" t="s">
        <v>1991</v>
      </c>
      <c r="T304" s="326" t="s">
        <v>1991</v>
      </c>
      <c r="U304" s="312" t="s">
        <v>1991</v>
      </c>
      <c r="V304" s="46" t="s">
        <v>1991</v>
      </c>
      <c r="W304" s="324" t="s">
        <v>1991</v>
      </c>
      <c r="X304" s="324" t="s">
        <v>1991</v>
      </c>
      <c r="Y304" s="324">
        <v>0</v>
      </c>
      <c r="Z304" s="46" t="s">
        <v>1991</v>
      </c>
      <c r="AA304" s="46" t="s">
        <v>1991</v>
      </c>
      <c r="AB304" s="46" t="s">
        <v>1991</v>
      </c>
      <c r="AC304" s="46" t="s">
        <v>1991</v>
      </c>
      <c r="AD304" s="46">
        <v>0</v>
      </c>
      <c r="AE304" s="324" t="s">
        <v>1991</v>
      </c>
      <c r="AF304" s="324" t="s">
        <v>1991</v>
      </c>
      <c r="AG304" s="324" t="s">
        <v>1991</v>
      </c>
      <c r="AH304" s="324" t="s">
        <v>1991</v>
      </c>
      <c r="AI304" s="324">
        <v>0</v>
      </c>
      <c r="AJ304" s="324" t="s">
        <v>1991</v>
      </c>
      <c r="AK304" s="324" t="s">
        <v>1991</v>
      </c>
      <c r="AL304" s="327"/>
      <c r="AM304" s="327"/>
      <c r="AN304" s="327"/>
      <c r="AO304" s="327"/>
      <c r="AP304" s="327" t="s">
        <v>1991</v>
      </c>
      <c r="AQ304" s="327"/>
      <c r="AR304" s="327"/>
      <c r="AS304" s="327"/>
      <c r="AT304" s="327"/>
      <c r="AU304" s="327"/>
      <c r="AV304" s="327"/>
      <c r="AW304" s="327"/>
      <c r="AX304" s="327"/>
      <c r="AY304" s="327"/>
      <c r="AZ304" s="327"/>
      <c r="BA304" s="327"/>
      <c r="BB304" s="46">
        <f t="shared" si="105"/>
        <v>14</v>
      </c>
      <c r="BC304" s="46">
        <f t="shared" si="106"/>
        <v>13</v>
      </c>
      <c r="BD304" s="46">
        <f t="shared" si="104"/>
        <v>1</v>
      </c>
      <c r="BE304" s="46">
        <f t="shared" si="107"/>
        <v>0</v>
      </c>
      <c r="BF304" s="296">
        <f t="shared" si="108"/>
        <v>27</v>
      </c>
      <c r="BG304" s="2"/>
      <c r="BH304" s="2"/>
      <c r="BI304" s="2"/>
      <c r="BJ304" s="2"/>
      <c r="BK304" s="279">
        <f t="shared" si="109"/>
        <v>1</v>
      </c>
      <c r="BL304" s="279">
        <f t="shared" si="110"/>
        <v>27</v>
      </c>
      <c r="BM304" s="279"/>
      <c r="BN304" s="279"/>
      <c r="BO304" s="2">
        <f t="shared" si="111"/>
        <v>27</v>
      </c>
      <c r="BP304" s="430"/>
      <c r="BQ304" s="431"/>
      <c r="BR304" s="2"/>
      <c r="BS304" s="25"/>
      <c r="BT304" s="348">
        <f t="shared" si="118"/>
        <v>1</v>
      </c>
      <c r="BU304" s="2"/>
      <c r="BV304" s="282">
        <f t="shared" si="112"/>
        <v>0</v>
      </c>
      <c r="BW304" s="279">
        <v>-20000</v>
      </c>
      <c r="BX304" s="269">
        <f t="shared" si="113"/>
        <v>0</v>
      </c>
      <c r="BY304" s="349" t="e">
        <f t="shared" si="67"/>
        <v>#N/A</v>
      </c>
      <c r="BZ304" s="349" t="e">
        <f t="shared" si="68"/>
        <v>#N/A</v>
      </c>
      <c r="CA304" s="349" t="e">
        <f t="shared" si="69"/>
        <v>#N/A</v>
      </c>
      <c r="CB304" s="349" t="e">
        <f t="shared" si="70"/>
        <v>#N/A</v>
      </c>
      <c r="CC304" s="349" t="e">
        <f t="shared" si="114"/>
        <v>#N/A</v>
      </c>
      <c r="CD304" s="14" t="e">
        <f t="shared" si="115"/>
        <v>#N/A</v>
      </c>
      <c r="CE304" s="14">
        <f t="shared" si="116"/>
        <v>27</v>
      </c>
      <c r="CF304" s="25">
        <f t="shared" si="117"/>
        <v>1</v>
      </c>
      <c r="CG304" s="270"/>
      <c r="CH304" s="2"/>
      <c r="CL304" s="349"/>
      <c r="CM304" s="349"/>
      <c r="CN304" s="349"/>
      <c r="CO304" s="349"/>
      <c r="CP304" s="349"/>
      <c r="CQ304" s="14"/>
      <c r="CY304" s="2"/>
    </row>
    <row r="305" spans="1:103" s="1" customFormat="1" ht="29.4" customHeight="1">
      <c r="A305" s="46">
        <v>131</v>
      </c>
      <c r="B305" s="46">
        <v>6</v>
      </c>
      <c r="C305" s="46">
        <v>504</v>
      </c>
      <c r="D305" s="48"/>
      <c r="E305" s="48"/>
      <c r="F305" s="46"/>
      <c r="G305" s="317">
        <v>0</v>
      </c>
      <c r="H305" s="317">
        <v>0</v>
      </c>
      <c r="I305" s="317" t="s">
        <v>1991</v>
      </c>
      <c r="J305" s="317"/>
      <c r="K305" s="317">
        <v>0</v>
      </c>
      <c r="L305" s="317">
        <v>0</v>
      </c>
      <c r="M305" s="317">
        <v>0</v>
      </c>
      <c r="N305" s="317" t="s">
        <v>1991</v>
      </c>
      <c r="O305" s="317" t="s">
        <v>1991</v>
      </c>
      <c r="P305" s="317" t="s">
        <v>1991</v>
      </c>
      <c r="Q305" s="317" t="s">
        <v>1991</v>
      </c>
      <c r="R305" s="317" t="s">
        <v>1991</v>
      </c>
      <c r="S305" s="317" t="s">
        <v>1991</v>
      </c>
      <c r="T305" s="326" t="s">
        <v>1991</v>
      </c>
      <c r="U305" s="312" t="s">
        <v>1991</v>
      </c>
      <c r="V305" s="46" t="s">
        <v>1991</v>
      </c>
      <c r="W305" s="324" t="s">
        <v>1991</v>
      </c>
      <c r="X305" s="324" t="s">
        <v>1991</v>
      </c>
      <c r="Y305" s="324" t="s">
        <v>1991</v>
      </c>
      <c r="Z305" s="46" t="s">
        <v>1991</v>
      </c>
      <c r="AA305" s="46" t="s">
        <v>1991</v>
      </c>
      <c r="AB305" s="46" t="s">
        <v>1991</v>
      </c>
      <c r="AC305" s="46" t="s">
        <v>1991</v>
      </c>
      <c r="AD305" s="46" t="s">
        <v>1991</v>
      </c>
      <c r="AE305" s="324">
        <v>0</v>
      </c>
      <c r="AF305" s="324" t="s">
        <v>1991</v>
      </c>
      <c r="AG305" s="324" t="s">
        <v>1991</v>
      </c>
      <c r="AH305" s="324" t="s">
        <v>1991</v>
      </c>
      <c r="AI305" s="324" t="s">
        <v>1991</v>
      </c>
      <c r="AJ305" s="324" t="s">
        <v>1991</v>
      </c>
      <c r="AK305" s="324" t="s">
        <v>1991</v>
      </c>
      <c r="AL305" s="327"/>
      <c r="AM305" s="327"/>
      <c r="AN305" s="327"/>
      <c r="AO305" s="327"/>
      <c r="AP305" s="327" t="s">
        <v>1991</v>
      </c>
      <c r="AQ305" s="327"/>
      <c r="AR305" s="327"/>
      <c r="AS305" s="327" t="s">
        <v>1991</v>
      </c>
      <c r="AT305" s="327"/>
      <c r="AU305" s="327"/>
      <c r="AV305" s="327"/>
      <c r="AW305" s="327"/>
      <c r="AX305" s="327"/>
      <c r="AY305" s="327"/>
      <c r="AZ305" s="327"/>
      <c r="BA305" s="327"/>
      <c r="BB305" s="46">
        <f t="shared" si="105"/>
        <v>9</v>
      </c>
      <c r="BC305" s="46">
        <f t="shared" si="106"/>
        <v>15</v>
      </c>
      <c r="BD305" s="46">
        <f t="shared" si="104"/>
        <v>2</v>
      </c>
      <c r="BE305" s="46">
        <f t="shared" si="107"/>
        <v>0</v>
      </c>
      <c r="BF305" s="296">
        <f t="shared" si="108"/>
        <v>24</v>
      </c>
      <c r="BG305" s="2"/>
      <c r="BH305" s="2"/>
      <c r="BI305" s="2"/>
      <c r="BJ305" s="2"/>
      <c r="BK305" s="279">
        <f t="shared" si="109"/>
        <v>0</v>
      </c>
      <c r="BL305" s="279">
        <f t="shared" si="110"/>
        <v>24</v>
      </c>
      <c r="BM305" s="279"/>
      <c r="BN305" s="279"/>
      <c r="BO305" s="2">
        <f t="shared" si="111"/>
        <v>0</v>
      </c>
      <c r="BP305" s="430"/>
      <c r="BQ305" s="431"/>
      <c r="BR305" s="2"/>
      <c r="BS305" s="25"/>
      <c r="BT305" s="348">
        <f t="shared" si="118"/>
        <v>0</v>
      </c>
      <c r="BU305" s="2"/>
      <c r="BV305" s="282">
        <f t="shared" si="112"/>
        <v>0</v>
      </c>
      <c r="BW305" s="279">
        <v>0</v>
      </c>
      <c r="BX305" s="269">
        <f t="shared" si="113"/>
        <v>0</v>
      </c>
      <c r="BY305" s="349" t="e">
        <f t="shared" si="67"/>
        <v>#N/A</v>
      </c>
      <c r="BZ305" s="349" t="e">
        <f t="shared" si="68"/>
        <v>#N/A</v>
      </c>
      <c r="CA305" s="349" t="e">
        <f t="shared" si="69"/>
        <v>#N/A</v>
      </c>
      <c r="CB305" s="349" t="e">
        <f t="shared" si="70"/>
        <v>#N/A</v>
      </c>
      <c r="CC305" s="349" t="e">
        <f t="shared" si="114"/>
        <v>#N/A</v>
      </c>
      <c r="CD305" s="14" t="e">
        <f t="shared" si="115"/>
        <v>#N/A</v>
      </c>
      <c r="CE305" s="14">
        <f t="shared" si="116"/>
        <v>0</v>
      </c>
      <c r="CF305" s="25">
        <f t="shared" si="117"/>
        <v>0</v>
      </c>
      <c r="CG305" s="270"/>
      <c r="CH305" s="2"/>
      <c r="CL305" s="349"/>
      <c r="CM305" s="349"/>
      <c r="CN305" s="349"/>
      <c r="CO305" s="349"/>
      <c r="CP305" s="349"/>
      <c r="CQ305" s="14"/>
      <c r="CY305" s="2"/>
    </row>
    <row r="306" spans="1:103" s="1" customFormat="1" ht="29.4" customHeight="1">
      <c r="A306" s="46">
        <v>132</v>
      </c>
      <c r="B306" s="46">
        <v>6</v>
      </c>
      <c r="C306" s="46">
        <v>505</v>
      </c>
      <c r="D306" s="48"/>
      <c r="E306" s="48"/>
      <c r="F306" s="46"/>
      <c r="G306" s="317">
        <v>0</v>
      </c>
      <c r="H306" s="317" t="s">
        <v>1991</v>
      </c>
      <c r="I306" s="317" t="s">
        <v>1991</v>
      </c>
      <c r="J306" s="317"/>
      <c r="K306" s="317" t="s">
        <v>1991</v>
      </c>
      <c r="L306" s="317" t="s">
        <v>1991</v>
      </c>
      <c r="M306" s="317" t="s">
        <v>1991</v>
      </c>
      <c r="N306" s="317">
        <v>0</v>
      </c>
      <c r="O306" s="317" t="s">
        <v>1991</v>
      </c>
      <c r="P306" s="317" t="s">
        <v>1991</v>
      </c>
      <c r="Q306" s="317" t="s">
        <v>1991</v>
      </c>
      <c r="R306" s="317" t="s">
        <v>1991</v>
      </c>
      <c r="S306" s="317" t="s">
        <v>1991</v>
      </c>
      <c r="T306" s="326" t="s">
        <v>1991</v>
      </c>
      <c r="U306" s="312" t="s">
        <v>1991</v>
      </c>
      <c r="V306" s="46" t="s">
        <v>1991</v>
      </c>
      <c r="W306" s="324" t="s">
        <v>1991</v>
      </c>
      <c r="X306" s="324" t="s">
        <v>1991</v>
      </c>
      <c r="Y306" s="324">
        <v>0</v>
      </c>
      <c r="Z306" s="46">
        <v>0</v>
      </c>
      <c r="AA306" s="46" t="s">
        <v>1991</v>
      </c>
      <c r="AB306" s="46" t="s">
        <v>1991</v>
      </c>
      <c r="AC306" s="46" t="s">
        <v>1991</v>
      </c>
      <c r="AD306" s="46">
        <v>0</v>
      </c>
      <c r="AE306" s="324" t="s">
        <v>1991</v>
      </c>
      <c r="AF306" s="324" t="s">
        <v>1991</v>
      </c>
      <c r="AG306" s="324" t="s">
        <v>1991</v>
      </c>
      <c r="AH306" s="324" t="s">
        <v>1991</v>
      </c>
      <c r="AI306" s="324" t="s">
        <v>1991</v>
      </c>
      <c r="AJ306" s="324">
        <v>0</v>
      </c>
      <c r="AK306" s="324" t="s">
        <v>1991</v>
      </c>
      <c r="AL306" s="327"/>
      <c r="AM306" s="327"/>
      <c r="AN306" s="327"/>
      <c r="AO306" s="327"/>
      <c r="AP306" s="327">
        <v>0</v>
      </c>
      <c r="AQ306" s="327"/>
      <c r="AR306" s="327"/>
      <c r="AS306" s="327"/>
      <c r="AT306" s="327"/>
      <c r="AU306" s="327"/>
      <c r="AV306" s="327"/>
      <c r="AW306" s="327"/>
      <c r="AX306" s="327"/>
      <c r="AY306" s="327"/>
      <c r="AZ306" s="327"/>
      <c r="BA306" s="327"/>
      <c r="BB306" s="46">
        <f t="shared" si="105"/>
        <v>12</v>
      </c>
      <c r="BC306" s="46">
        <f t="shared" si="106"/>
        <v>12</v>
      </c>
      <c r="BD306" s="46">
        <f t="shared" si="104"/>
        <v>0</v>
      </c>
      <c r="BE306" s="46">
        <f t="shared" si="107"/>
        <v>0</v>
      </c>
      <c r="BF306" s="296">
        <f t="shared" si="108"/>
        <v>24</v>
      </c>
      <c r="BG306" s="2"/>
      <c r="BH306" s="2"/>
      <c r="BI306" s="2"/>
      <c r="BJ306" s="2"/>
      <c r="BK306" s="279">
        <f t="shared" si="109"/>
        <v>0</v>
      </c>
      <c r="BL306" s="279">
        <f t="shared" si="110"/>
        <v>24</v>
      </c>
      <c r="BM306" s="279"/>
      <c r="BN306" s="279"/>
      <c r="BO306" s="2">
        <f t="shared" si="111"/>
        <v>0</v>
      </c>
      <c r="BP306" s="430"/>
      <c r="BQ306" s="431"/>
      <c r="BR306" s="2"/>
      <c r="BS306" s="25"/>
      <c r="BT306" s="348">
        <f t="shared" si="118"/>
        <v>0</v>
      </c>
      <c r="BU306" s="2"/>
      <c r="BV306" s="282">
        <f t="shared" si="112"/>
        <v>0</v>
      </c>
      <c r="BW306" s="279">
        <v>20000</v>
      </c>
      <c r="BX306" s="269">
        <f t="shared" si="113"/>
        <v>-0.15</v>
      </c>
      <c r="BY306" s="349" t="e">
        <f t="shared" si="67"/>
        <v>#N/A</v>
      </c>
      <c r="BZ306" s="349" t="e">
        <f t="shared" si="68"/>
        <v>#N/A</v>
      </c>
      <c r="CA306" s="349" t="e">
        <f t="shared" si="69"/>
        <v>#N/A</v>
      </c>
      <c r="CB306" s="349" t="e">
        <f t="shared" si="70"/>
        <v>#N/A</v>
      </c>
      <c r="CC306" s="349" t="e">
        <f t="shared" si="114"/>
        <v>#N/A</v>
      </c>
      <c r="CD306" s="14" t="e">
        <f t="shared" si="115"/>
        <v>#N/A</v>
      </c>
      <c r="CE306" s="14">
        <f t="shared" si="116"/>
        <v>0</v>
      </c>
      <c r="CF306" s="25">
        <f t="shared" si="117"/>
        <v>0</v>
      </c>
      <c r="CG306" s="270"/>
      <c r="CH306" s="2"/>
      <c r="CL306" s="349"/>
      <c r="CM306" s="349"/>
      <c r="CN306" s="349"/>
      <c r="CO306" s="349"/>
      <c r="CP306" s="349"/>
      <c r="CQ306" s="14"/>
      <c r="CY306" s="2"/>
    </row>
    <row r="307" spans="1:103" s="1" customFormat="1" ht="29.4" customHeight="1">
      <c r="A307" s="46">
        <v>133</v>
      </c>
      <c r="B307" s="46">
        <v>6</v>
      </c>
      <c r="C307" s="46">
        <v>506</v>
      </c>
      <c r="D307" s="48"/>
      <c r="E307" s="48"/>
      <c r="F307" s="46"/>
      <c r="G307" s="317" t="s">
        <v>1991</v>
      </c>
      <c r="H307" s="317" t="s">
        <v>1991</v>
      </c>
      <c r="I307" s="317" t="s">
        <v>1991</v>
      </c>
      <c r="J307" s="317"/>
      <c r="K307" s="317" t="s">
        <v>1991</v>
      </c>
      <c r="L307" s="317" t="s">
        <v>1991</v>
      </c>
      <c r="M307" s="317" t="s">
        <v>1991</v>
      </c>
      <c r="N307" s="317" t="s">
        <v>1991</v>
      </c>
      <c r="O307" s="317">
        <v>0</v>
      </c>
      <c r="P307" s="317" t="s">
        <v>1991</v>
      </c>
      <c r="Q307" s="317" t="s">
        <v>1991</v>
      </c>
      <c r="R307" s="317" t="s">
        <v>1991</v>
      </c>
      <c r="S307" s="317" t="s">
        <v>1991</v>
      </c>
      <c r="T307" s="326" t="s">
        <v>1991</v>
      </c>
      <c r="U307" s="312" t="s">
        <v>1991</v>
      </c>
      <c r="V307" s="46" t="s">
        <v>1991</v>
      </c>
      <c r="W307" s="324" t="s">
        <v>1991</v>
      </c>
      <c r="X307" s="324" t="s">
        <v>1991</v>
      </c>
      <c r="Y307" s="324" t="s">
        <v>1991</v>
      </c>
      <c r="Z307" s="46" t="s">
        <v>1991</v>
      </c>
      <c r="AA307" s="46" t="s">
        <v>1991</v>
      </c>
      <c r="AB307" s="46" t="s">
        <v>1991</v>
      </c>
      <c r="AC307" s="46" t="s">
        <v>1991</v>
      </c>
      <c r="AD307" s="46">
        <v>0</v>
      </c>
      <c r="AE307" s="324" t="s">
        <v>1991</v>
      </c>
      <c r="AF307" s="324" t="s">
        <v>1991</v>
      </c>
      <c r="AG307" s="324" t="s">
        <v>1991</v>
      </c>
      <c r="AH307" s="324" t="s">
        <v>1991</v>
      </c>
      <c r="AI307" s="324" t="s">
        <v>1991</v>
      </c>
      <c r="AJ307" s="324" t="s">
        <v>1991</v>
      </c>
      <c r="AK307" s="324" t="s">
        <v>1991</v>
      </c>
      <c r="AL307" s="327"/>
      <c r="AM307" s="327"/>
      <c r="AN307" s="327"/>
      <c r="AO307" s="327"/>
      <c r="AP307" s="327" t="s">
        <v>1991</v>
      </c>
      <c r="AQ307" s="327"/>
      <c r="AR307" s="327"/>
      <c r="AS307" s="327" t="s">
        <v>1991</v>
      </c>
      <c r="AT307" s="327"/>
      <c r="AU307" s="327"/>
      <c r="AV307" s="327"/>
      <c r="AW307" s="327"/>
      <c r="AX307" s="327"/>
      <c r="AY307" s="327"/>
      <c r="AZ307" s="327"/>
      <c r="BA307" s="327"/>
      <c r="BB307" s="46">
        <f t="shared" si="105"/>
        <v>13</v>
      </c>
      <c r="BC307" s="46">
        <f t="shared" si="106"/>
        <v>15</v>
      </c>
      <c r="BD307" s="46">
        <f t="shared" si="104"/>
        <v>2</v>
      </c>
      <c r="BE307" s="46">
        <f t="shared" si="107"/>
        <v>0</v>
      </c>
      <c r="BF307" s="296">
        <f t="shared" si="108"/>
        <v>28</v>
      </c>
      <c r="BG307" s="2"/>
      <c r="BH307" s="2"/>
      <c r="BI307" s="2"/>
      <c r="BJ307" s="2"/>
      <c r="BK307" s="279">
        <f t="shared" si="109"/>
        <v>1</v>
      </c>
      <c r="BL307" s="279">
        <f t="shared" si="110"/>
        <v>28</v>
      </c>
      <c r="BM307" s="279"/>
      <c r="BN307" s="279"/>
      <c r="BO307" s="2">
        <f t="shared" si="111"/>
        <v>28</v>
      </c>
      <c r="BP307" s="430"/>
      <c r="BQ307" s="431"/>
      <c r="BR307" s="2"/>
      <c r="BS307" s="25"/>
      <c r="BT307" s="348">
        <f t="shared" si="118"/>
        <v>1</v>
      </c>
      <c r="BU307" s="2"/>
      <c r="BV307" s="282">
        <f t="shared" si="112"/>
        <v>0</v>
      </c>
      <c r="BW307" s="279">
        <v>0</v>
      </c>
      <c r="BX307" s="269">
        <f t="shared" si="113"/>
        <v>0</v>
      </c>
      <c r="BY307" s="349" t="e">
        <f t="shared" si="67"/>
        <v>#N/A</v>
      </c>
      <c r="BZ307" s="349" t="e">
        <f t="shared" si="68"/>
        <v>#N/A</v>
      </c>
      <c r="CA307" s="349" t="e">
        <f t="shared" si="69"/>
        <v>#N/A</v>
      </c>
      <c r="CB307" s="349" t="e">
        <f t="shared" si="70"/>
        <v>#N/A</v>
      </c>
      <c r="CC307" s="349" t="e">
        <f t="shared" si="114"/>
        <v>#N/A</v>
      </c>
      <c r="CD307" s="14" t="e">
        <f t="shared" si="115"/>
        <v>#N/A</v>
      </c>
      <c r="CE307" s="14">
        <f t="shared" si="116"/>
        <v>28</v>
      </c>
      <c r="CF307" s="25">
        <f t="shared" si="117"/>
        <v>1</v>
      </c>
      <c r="CG307" s="270"/>
      <c r="CH307" s="2"/>
      <c r="CL307" s="349"/>
      <c r="CM307" s="349"/>
      <c r="CN307" s="349"/>
      <c r="CO307" s="349"/>
      <c r="CP307" s="349"/>
      <c r="CQ307" s="14"/>
      <c r="CY307" s="2"/>
    </row>
    <row r="308" spans="1:103" s="1" customFormat="1" ht="29.4" customHeight="1">
      <c r="A308" s="46">
        <v>134</v>
      </c>
      <c r="B308" s="46">
        <v>6</v>
      </c>
      <c r="C308" s="46">
        <v>507</v>
      </c>
      <c r="D308" s="48"/>
      <c r="E308" s="48"/>
      <c r="F308" s="46"/>
      <c r="G308" s="317" t="s">
        <v>1991</v>
      </c>
      <c r="H308" s="317" t="s">
        <v>1991</v>
      </c>
      <c r="I308" s="317" t="s">
        <v>1991</v>
      </c>
      <c r="J308" s="317"/>
      <c r="K308" s="317" t="s">
        <v>1991</v>
      </c>
      <c r="L308" s="317" t="s">
        <v>1991</v>
      </c>
      <c r="M308" s="317" t="s">
        <v>1991</v>
      </c>
      <c r="N308" s="317" t="s">
        <v>1991</v>
      </c>
      <c r="O308" s="317">
        <v>0</v>
      </c>
      <c r="P308" s="317" t="s">
        <v>1991</v>
      </c>
      <c r="Q308" s="317" t="s">
        <v>1991</v>
      </c>
      <c r="R308" s="317" t="s">
        <v>1991</v>
      </c>
      <c r="S308" s="317" t="s">
        <v>1991</v>
      </c>
      <c r="T308" s="326" t="s">
        <v>1991</v>
      </c>
      <c r="U308" s="312" t="s">
        <v>1991</v>
      </c>
      <c r="V308" s="46" t="s">
        <v>1991</v>
      </c>
      <c r="W308" s="324" t="s">
        <v>1991</v>
      </c>
      <c r="X308" s="324" t="s">
        <v>1991</v>
      </c>
      <c r="Y308" s="324" t="s">
        <v>1991</v>
      </c>
      <c r="Z308" s="46" t="s">
        <v>1991</v>
      </c>
      <c r="AA308" s="46" t="s">
        <v>1991</v>
      </c>
      <c r="AB308" s="46" t="s">
        <v>1991</v>
      </c>
      <c r="AC308" s="46" t="s">
        <v>1991</v>
      </c>
      <c r="AD308" s="46">
        <v>0</v>
      </c>
      <c r="AE308" s="324" t="s">
        <v>1991</v>
      </c>
      <c r="AF308" s="324" t="s">
        <v>1991</v>
      </c>
      <c r="AG308" s="324" t="s">
        <v>1991</v>
      </c>
      <c r="AH308" s="324" t="s">
        <v>1991</v>
      </c>
      <c r="AI308" s="324" t="s">
        <v>1991</v>
      </c>
      <c r="AJ308" s="324" t="s">
        <v>1991</v>
      </c>
      <c r="AK308" s="324" t="s">
        <v>1991</v>
      </c>
      <c r="AL308" s="327"/>
      <c r="AM308" s="327"/>
      <c r="AN308" s="327"/>
      <c r="AO308" s="327"/>
      <c r="AP308" s="327" t="s">
        <v>1991</v>
      </c>
      <c r="AQ308" s="327"/>
      <c r="AR308" s="327"/>
      <c r="AS308" s="327" t="s">
        <v>1991</v>
      </c>
      <c r="AT308" s="327"/>
      <c r="AU308" s="327"/>
      <c r="AV308" s="327"/>
      <c r="AW308" s="327"/>
      <c r="AX308" s="327"/>
      <c r="AY308" s="327"/>
      <c r="AZ308" s="327"/>
      <c r="BA308" s="327"/>
      <c r="BB308" s="46">
        <f t="shared" si="105"/>
        <v>13</v>
      </c>
      <c r="BC308" s="46">
        <f t="shared" si="106"/>
        <v>15</v>
      </c>
      <c r="BD308" s="46">
        <f t="shared" si="104"/>
        <v>2</v>
      </c>
      <c r="BE308" s="46">
        <f t="shared" si="107"/>
        <v>0</v>
      </c>
      <c r="BF308" s="296">
        <f t="shared" si="108"/>
        <v>28</v>
      </c>
      <c r="BG308" s="2"/>
      <c r="BH308" s="2"/>
      <c r="BI308" s="2"/>
      <c r="BJ308" s="2"/>
      <c r="BK308" s="279">
        <f t="shared" si="109"/>
        <v>1</v>
      </c>
      <c r="BL308" s="279">
        <f t="shared" si="110"/>
        <v>28</v>
      </c>
      <c r="BM308" s="279"/>
      <c r="BN308" s="279"/>
      <c r="BO308" s="2">
        <f t="shared" si="111"/>
        <v>28</v>
      </c>
      <c r="BP308" s="430"/>
      <c r="BQ308" s="431"/>
      <c r="BR308" s="2"/>
      <c r="BS308" s="25"/>
      <c r="BT308" s="348">
        <f t="shared" si="118"/>
        <v>1</v>
      </c>
      <c r="BU308" s="2"/>
      <c r="BV308" s="282">
        <f t="shared" si="112"/>
        <v>0</v>
      </c>
      <c r="BW308" s="279">
        <v>0</v>
      </c>
      <c r="BX308" s="269">
        <f t="shared" si="113"/>
        <v>0</v>
      </c>
      <c r="BY308" s="349" t="e">
        <f t="shared" si="67"/>
        <v>#N/A</v>
      </c>
      <c r="BZ308" s="349" t="e">
        <f t="shared" si="68"/>
        <v>#N/A</v>
      </c>
      <c r="CA308" s="349" t="e">
        <f t="shared" si="69"/>
        <v>#N/A</v>
      </c>
      <c r="CB308" s="349" t="e">
        <f t="shared" si="70"/>
        <v>#N/A</v>
      </c>
      <c r="CC308" s="349" t="e">
        <f t="shared" si="114"/>
        <v>#N/A</v>
      </c>
      <c r="CD308" s="14" t="e">
        <f t="shared" si="115"/>
        <v>#N/A</v>
      </c>
      <c r="CE308" s="14">
        <f t="shared" si="116"/>
        <v>28</v>
      </c>
      <c r="CF308" s="25">
        <f t="shared" si="117"/>
        <v>1</v>
      </c>
      <c r="CG308" s="270"/>
      <c r="CH308" s="2"/>
      <c r="CL308" s="349"/>
      <c r="CM308" s="349"/>
      <c r="CN308" s="349"/>
      <c r="CO308" s="349"/>
      <c r="CP308" s="349"/>
      <c r="CQ308" s="14"/>
      <c r="CY308" s="2"/>
    </row>
    <row r="309" spans="1:103" s="1" customFormat="1" ht="29.4" customHeight="1">
      <c r="A309" s="46">
        <v>135</v>
      </c>
      <c r="B309" s="46">
        <v>6</v>
      </c>
      <c r="C309" s="46">
        <v>508</v>
      </c>
      <c r="D309" s="48"/>
      <c r="E309" s="48"/>
      <c r="F309" s="46"/>
      <c r="G309" s="317" t="s">
        <v>1991</v>
      </c>
      <c r="H309" s="317" t="s">
        <v>1991</v>
      </c>
      <c r="I309" s="317" t="s">
        <v>1991</v>
      </c>
      <c r="J309" s="317" t="s">
        <v>1991</v>
      </c>
      <c r="K309" s="317" t="s">
        <v>1991</v>
      </c>
      <c r="L309" s="317" t="s">
        <v>1991</v>
      </c>
      <c r="M309" s="317" t="s">
        <v>1991</v>
      </c>
      <c r="N309" s="317">
        <v>0</v>
      </c>
      <c r="O309" s="317" t="s">
        <v>1991</v>
      </c>
      <c r="P309" s="317" t="s">
        <v>1991</v>
      </c>
      <c r="Q309" s="317">
        <v>0</v>
      </c>
      <c r="R309" s="317">
        <v>0</v>
      </c>
      <c r="S309" s="317" t="s">
        <v>1991</v>
      </c>
      <c r="T309" s="326" t="s">
        <v>1991</v>
      </c>
      <c r="U309" s="312" t="s">
        <v>1991</v>
      </c>
      <c r="V309" s="46" t="s">
        <v>1991</v>
      </c>
      <c r="W309" s="324" t="s">
        <v>1991</v>
      </c>
      <c r="X309" s="324" t="s">
        <v>1991</v>
      </c>
      <c r="Y309" s="324" t="s">
        <v>1991</v>
      </c>
      <c r="Z309" s="46" t="s">
        <v>1991</v>
      </c>
      <c r="AA309" s="46" t="s">
        <v>1991</v>
      </c>
      <c r="AB309" s="46" t="s">
        <v>1991</v>
      </c>
      <c r="AC309" s="46" t="s">
        <v>1991</v>
      </c>
      <c r="AD309" s="46" t="s">
        <v>1991</v>
      </c>
      <c r="AE309" s="324" t="s">
        <v>1991</v>
      </c>
      <c r="AF309" s="324" t="s">
        <v>1991</v>
      </c>
      <c r="AG309" s="324" t="s">
        <v>1991</v>
      </c>
      <c r="AH309" s="324" t="s">
        <v>1991</v>
      </c>
      <c r="AI309" s="324">
        <v>0</v>
      </c>
      <c r="AJ309" s="324" t="s">
        <v>1991</v>
      </c>
      <c r="AK309" s="324" t="s">
        <v>1991</v>
      </c>
      <c r="AL309" s="327"/>
      <c r="AM309" s="327"/>
      <c r="AN309" s="327"/>
      <c r="AO309" s="327"/>
      <c r="AP309" s="327">
        <v>0</v>
      </c>
      <c r="AQ309" s="327"/>
      <c r="AR309" s="327"/>
      <c r="AS309" s="327"/>
      <c r="AT309" s="327"/>
      <c r="AU309" s="327"/>
      <c r="AV309" s="327"/>
      <c r="AW309" s="327"/>
      <c r="AX309" s="327"/>
      <c r="AY309" s="327"/>
      <c r="AZ309" s="327"/>
      <c r="BA309" s="327"/>
      <c r="BB309" s="46">
        <f t="shared" si="105"/>
        <v>12</v>
      </c>
      <c r="BC309" s="46">
        <f t="shared" si="106"/>
        <v>15</v>
      </c>
      <c r="BD309" s="46">
        <f t="shared" si="104"/>
        <v>0</v>
      </c>
      <c r="BE309" s="46">
        <f t="shared" si="107"/>
        <v>0</v>
      </c>
      <c r="BF309" s="296">
        <f t="shared" si="108"/>
        <v>27</v>
      </c>
      <c r="BG309" s="2"/>
      <c r="BH309" s="2"/>
      <c r="BI309" s="2"/>
      <c r="BJ309" s="2"/>
      <c r="BK309" s="279">
        <f t="shared" si="109"/>
        <v>1</v>
      </c>
      <c r="BL309" s="279">
        <f t="shared" si="110"/>
        <v>27</v>
      </c>
      <c r="BM309" s="279"/>
      <c r="BN309" s="279"/>
      <c r="BO309" s="2">
        <f t="shared" si="111"/>
        <v>27</v>
      </c>
      <c r="BP309" s="430"/>
      <c r="BQ309" s="431"/>
      <c r="BR309" s="2"/>
      <c r="BS309" s="25"/>
      <c r="BT309" s="348">
        <f t="shared" si="118"/>
        <v>1</v>
      </c>
      <c r="BU309" s="2"/>
      <c r="BV309" s="282">
        <f t="shared" si="112"/>
        <v>0</v>
      </c>
      <c r="BW309" s="279">
        <v>0</v>
      </c>
      <c r="BX309" s="269">
        <f t="shared" si="113"/>
        <v>0</v>
      </c>
      <c r="BY309" s="349" t="e">
        <f t="shared" si="67"/>
        <v>#N/A</v>
      </c>
      <c r="BZ309" s="349" t="e">
        <f t="shared" si="68"/>
        <v>#N/A</v>
      </c>
      <c r="CA309" s="349" t="e">
        <f t="shared" si="69"/>
        <v>#N/A</v>
      </c>
      <c r="CB309" s="349" t="e">
        <f t="shared" si="70"/>
        <v>#N/A</v>
      </c>
      <c r="CC309" s="349" t="e">
        <f t="shared" si="114"/>
        <v>#N/A</v>
      </c>
      <c r="CD309" s="14" t="e">
        <f t="shared" si="115"/>
        <v>#N/A</v>
      </c>
      <c r="CE309" s="14">
        <f t="shared" si="116"/>
        <v>27</v>
      </c>
      <c r="CF309" s="25">
        <f t="shared" si="117"/>
        <v>1</v>
      </c>
      <c r="CG309" s="270"/>
      <c r="CH309" s="2"/>
      <c r="CL309" s="349"/>
      <c r="CM309" s="349"/>
      <c r="CN309" s="349"/>
      <c r="CO309" s="349"/>
      <c r="CP309" s="349"/>
      <c r="CQ309" s="14"/>
      <c r="CY309" s="2"/>
    </row>
    <row r="310" spans="1:103" s="1" customFormat="1" ht="29.4" customHeight="1">
      <c r="A310" s="46">
        <v>136</v>
      </c>
      <c r="B310" s="46">
        <v>6</v>
      </c>
      <c r="C310" s="46">
        <v>509</v>
      </c>
      <c r="D310" s="48"/>
      <c r="E310" s="48"/>
      <c r="F310" s="46"/>
      <c r="G310" s="317" t="s">
        <v>1991</v>
      </c>
      <c r="H310" s="317" t="s">
        <v>1991</v>
      </c>
      <c r="I310" s="317" t="s">
        <v>1991</v>
      </c>
      <c r="J310" s="317"/>
      <c r="K310" s="317" t="s">
        <v>1991</v>
      </c>
      <c r="L310" s="317" t="s">
        <v>1991</v>
      </c>
      <c r="M310" s="317" t="s">
        <v>1991</v>
      </c>
      <c r="N310" s="317" t="s">
        <v>1991</v>
      </c>
      <c r="O310" s="317" t="s">
        <v>1991</v>
      </c>
      <c r="P310" s="317" t="s">
        <v>1991</v>
      </c>
      <c r="Q310" s="317" t="s">
        <v>1991</v>
      </c>
      <c r="R310" s="317" t="s">
        <v>1991</v>
      </c>
      <c r="S310" s="317" t="s">
        <v>1991</v>
      </c>
      <c r="T310" s="326" t="s">
        <v>1991</v>
      </c>
      <c r="U310" s="312" t="s">
        <v>1991</v>
      </c>
      <c r="V310" s="46" t="s">
        <v>1991</v>
      </c>
      <c r="W310" s="324" t="s">
        <v>1991</v>
      </c>
      <c r="X310" s="324" t="s">
        <v>1991</v>
      </c>
      <c r="Y310" s="324" t="s">
        <v>1991</v>
      </c>
      <c r="Z310" s="46" t="s">
        <v>1991</v>
      </c>
      <c r="AA310" s="46" t="s">
        <v>1991</v>
      </c>
      <c r="AB310" s="46" t="s">
        <v>1991</v>
      </c>
      <c r="AC310" s="46" t="s">
        <v>1991</v>
      </c>
      <c r="AD310" s="46" t="s">
        <v>1991</v>
      </c>
      <c r="AE310" s="324" t="s">
        <v>1991</v>
      </c>
      <c r="AF310" s="324" t="s">
        <v>1991</v>
      </c>
      <c r="AG310" s="324" t="s">
        <v>1991</v>
      </c>
      <c r="AH310" s="324" t="s">
        <v>1991</v>
      </c>
      <c r="AI310" s="324" t="s">
        <v>1991</v>
      </c>
      <c r="AJ310" s="324" t="s">
        <v>1991</v>
      </c>
      <c r="AK310" s="324" t="s">
        <v>1991</v>
      </c>
      <c r="AL310" s="327"/>
      <c r="AM310" s="327"/>
      <c r="AN310" s="327"/>
      <c r="AO310" s="327"/>
      <c r="AP310" s="327">
        <v>0</v>
      </c>
      <c r="AQ310" s="327"/>
      <c r="AR310" s="327"/>
      <c r="AS310" s="327"/>
      <c r="AT310" s="327"/>
      <c r="AU310" s="327"/>
      <c r="AV310" s="327"/>
      <c r="AW310" s="327"/>
      <c r="AX310" s="327"/>
      <c r="AY310" s="327"/>
      <c r="AZ310" s="327"/>
      <c r="BA310" s="327"/>
      <c r="BB310" s="46">
        <f t="shared" si="105"/>
        <v>14</v>
      </c>
      <c r="BC310" s="46">
        <f t="shared" si="106"/>
        <v>16</v>
      </c>
      <c r="BD310" s="46">
        <f t="shared" si="104"/>
        <v>0</v>
      </c>
      <c r="BE310" s="46">
        <f t="shared" si="107"/>
        <v>0</v>
      </c>
      <c r="BF310" s="296">
        <f t="shared" si="108"/>
        <v>30</v>
      </c>
      <c r="BG310" s="2"/>
      <c r="BH310" s="2"/>
      <c r="BI310" s="2"/>
      <c r="BJ310" s="2"/>
      <c r="BK310" s="279">
        <f t="shared" si="109"/>
        <v>1</v>
      </c>
      <c r="BL310" s="279">
        <f t="shared" si="110"/>
        <v>30</v>
      </c>
      <c r="BM310" s="279"/>
      <c r="BN310" s="279"/>
      <c r="BO310" s="2">
        <f t="shared" si="111"/>
        <v>30</v>
      </c>
      <c r="BP310" s="430"/>
      <c r="BQ310" s="431"/>
      <c r="BR310" s="2"/>
      <c r="BS310" s="25"/>
      <c r="BT310" s="348">
        <f t="shared" si="118"/>
        <v>1</v>
      </c>
      <c r="BU310" s="2"/>
      <c r="BV310" s="282">
        <f t="shared" si="112"/>
        <v>0</v>
      </c>
      <c r="BW310" s="279">
        <v>0</v>
      </c>
      <c r="BX310" s="269">
        <f t="shared" si="113"/>
        <v>0</v>
      </c>
      <c r="BY310" s="349" t="e">
        <f t="shared" si="67"/>
        <v>#N/A</v>
      </c>
      <c r="BZ310" s="349" t="e">
        <f t="shared" si="68"/>
        <v>#N/A</v>
      </c>
      <c r="CA310" s="349" t="e">
        <f t="shared" si="69"/>
        <v>#N/A</v>
      </c>
      <c r="CB310" s="349" t="e">
        <f t="shared" si="70"/>
        <v>#N/A</v>
      </c>
      <c r="CC310" s="349" t="e">
        <f t="shared" si="114"/>
        <v>#N/A</v>
      </c>
      <c r="CD310" s="14" t="e">
        <f t="shared" si="115"/>
        <v>#N/A</v>
      </c>
      <c r="CE310" s="14">
        <f t="shared" si="116"/>
        <v>30</v>
      </c>
      <c r="CF310" s="25">
        <f t="shared" si="117"/>
        <v>1</v>
      </c>
      <c r="CG310" s="270"/>
      <c r="CH310" s="2"/>
      <c r="CL310" s="349"/>
      <c r="CM310" s="349"/>
      <c r="CN310" s="349"/>
      <c r="CO310" s="349"/>
      <c r="CP310" s="349"/>
      <c r="CQ310" s="14"/>
      <c r="CY310" s="2"/>
    </row>
    <row r="311" spans="1:103" s="1" customFormat="1" ht="29.4" customHeight="1">
      <c r="A311" s="46">
        <v>137</v>
      </c>
      <c r="B311" s="46">
        <v>6</v>
      </c>
      <c r="C311" s="46">
        <v>510</v>
      </c>
      <c r="D311" s="48"/>
      <c r="E311" s="48"/>
      <c r="F311" s="46"/>
      <c r="G311" s="317" t="s">
        <v>1991</v>
      </c>
      <c r="H311" s="317" t="s">
        <v>1991</v>
      </c>
      <c r="I311" s="317" t="s">
        <v>1991</v>
      </c>
      <c r="J311" s="317" t="s">
        <v>1991</v>
      </c>
      <c r="K311" s="317" t="s">
        <v>1991</v>
      </c>
      <c r="L311" s="317" t="s">
        <v>1991</v>
      </c>
      <c r="M311" s="317" t="s">
        <v>1991</v>
      </c>
      <c r="N311" s="317" t="s">
        <v>1991</v>
      </c>
      <c r="O311" s="317">
        <v>0</v>
      </c>
      <c r="P311" s="317" t="s">
        <v>1991</v>
      </c>
      <c r="Q311" s="317">
        <v>0</v>
      </c>
      <c r="R311" s="317">
        <v>0</v>
      </c>
      <c r="S311" s="317" t="s">
        <v>1991</v>
      </c>
      <c r="T311" s="326" t="s">
        <v>1991</v>
      </c>
      <c r="U311" s="312" t="s">
        <v>1991</v>
      </c>
      <c r="V311" s="46" t="s">
        <v>1991</v>
      </c>
      <c r="W311" s="324" t="s">
        <v>1991</v>
      </c>
      <c r="X311" s="324" t="s">
        <v>1991</v>
      </c>
      <c r="Y311" s="324" t="s">
        <v>1991</v>
      </c>
      <c r="Z311" s="46" t="s">
        <v>1991</v>
      </c>
      <c r="AA311" s="46" t="s">
        <v>1991</v>
      </c>
      <c r="AB311" s="46" t="s">
        <v>1991</v>
      </c>
      <c r="AC311" s="46" t="s">
        <v>1991</v>
      </c>
      <c r="AD311" s="46">
        <v>0</v>
      </c>
      <c r="AE311" s="324" t="s">
        <v>1991</v>
      </c>
      <c r="AF311" s="324" t="s">
        <v>1991</v>
      </c>
      <c r="AG311" s="324">
        <v>0</v>
      </c>
      <c r="AH311" s="324" t="s">
        <v>1991</v>
      </c>
      <c r="AI311" s="324" t="s">
        <v>1991</v>
      </c>
      <c r="AJ311" s="324" t="s">
        <v>1991</v>
      </c>
      <c r="AK311" s="324" t="s">
        <v>1991</v>
      </c>
      <c r="AL311" s="327"/>
      <c r="AM311" s="327"/>
      <c r="AN311" s="327"/>
      <c r="AO311" s="327"/>
      <c r="AP311" s="327" t="s">
        <v>1991</v>
      </c>
      <c r="AQ311" s="327"/>
      <c r="AR311" s="327"/>
      <c r="AS311" s="327"/>
      <c r="AT311" s="327"/>
      <c r="AU311" s="327"/>
      <c r="AV311" s="327"/>
      <c r="AW311" s="327"/>
      <c r="AX311" s="327"/>
      <c r="AY311" s="327"/>
      <c r="AZ311" s="327"/>
      <c r="BA311" s="327"/>
      <c r="BB311" s="46">
        <f t="shared" si="105"/>
        <v>12</v>
      </c>
      <c r="BC311" s="46">
        <f t="shared" si="106"/>
        <v>14</v>
      </c>
      <c r="BD311" s="46">
        <f t="shared" si="104"/>
        <v>1</v>
      </c>
      <c r="BE311" s="46">
        <f t="shared" si="107"/>
        <v>0</v>
      </c>
      <c r="BF311" s="296">
        <f t="shared" si="108"/>
        <v>26</v>
      </c>
      <c r="BG311" s="2"/>
      <c r="BH311" s="2"/>
      <c r="BI311" s="2"/>
      <c r="BJ311" s="2"/>
      <c r="BK311" s="279">
        <f t="shared" si="109"/>
        <v>1</v>
      </c>
      <c r="BL311" s="279">
        <f t="shared" si="110"/>
        <v>26</v>
      </c>
      <c r="BM311" s="279"/>
      <c r="BN311" s="279"/>
      <c r="BO311" s="2">
        <f t="shared" si="111"/>
        <v>26</v>
      </c>
      <c r="BP311" s="430"/>
      <c r="BQ311" s="431"/>
      <c r="BR311" s="2"/>
      <c r="BS311" s="25"/>
      <c r="BT311" s="348">
        <f t="shared" si="118"/>
        <v>1</v>
      </c>
      <c r="BU311" s="2"/>
      <c r="BV311" s="282">
        <f t="shared" si="112"/>
        <v>0</v>
      </c>
      <c r="BW311" s="279">
        <v>0</v>
      </c>
      <c r="BX311" s="269">
        <f t="shared" si="113"/>
        <v>0</v>
      </c>
      <c r="BY311" s="349" t="e">
        <f t="shared" si="67"/>
        <v>#N/A</v>
      </c>
      <c r="BZ311" s="349" t="e">
        <f t="shared" si="68"/>
        <v>#N/A</v>
      </c>
      <c r="CA311" s="349" t="e">
        <f t="shared" si="69"/>
        <v>#N/A</v>
      </c>
      <c r="CB311" s="349" t="e">
        <f t="shared" si="70"/>
        <v>#N/A</v>
      </c>
      <c r="CC311" s="349" t="e">
        <f t="shared" si="114"/>
        <v>#N/A</v>
      </c>
      <c r="CD311" s="14" t="e">
        <f t="shared" si="115"/>
        <v>#N/A</v>
      </c>
      <c r="CE311" s="14">
        <f t="shared" si="116"/>
        <v>26</v>
      </c>
      <c r="CF311" s="25">
        <f t="shared" si="117"/>
        <v>1</v>
      </c>
      <c r="CG311" s="270"/>
      <c r="CH311" s="2"/>
      <c r="CL311" s="349" t="e">
        <f>#N/A</f>
        <v>#N/A</v>
      </c>
      <c r="CM311" s="349" t="e">
        <f>#N/A</f>
        <v>#N/A</v>
      </c>
      <c r="CN311" s="349" t="e">
        <f>#N/A</f>
        <v>#N/A</v>
      </c>
      <c r="CO311" s="349" t="e">
        <f>#N/A</f>
        <v>#N/A</v>
      </c>
      <c r="CP311" s="349" t="e">
        <f>SUM(CL311:CO311)</f>
        <v>#N/A</v>
      </c>
      <c r="CQ311" s="14" t="e">
        <f>CP311-BC311</f>
        <v>#N/A</v>
      </c>
      <c r="CW311" s="1">
        <f>BU311</f>
        <v>0</v>
      </c>
      <c r="CX311" s="1">
        <f>BW311</f>
        <v>0</v>
      </c>
      <c r="CY311" s="2">
        <f>IF(COUNT(CW311:CX311)=2,ROUND((CW311+CX311)/2,2),CW311)</f>
        <v>0</v>
      </c>
    </row>
    <row r="312" spans="1:103" s="1" customFormat="1" ht="29.4" customHeight="1">
      <c r="A312" s="46"/>
      <c r="B312" s="363"/>
      <c r="C312" s="363"/>
      <c r="D312" s="362"/>
      <c r="E312" s="362"/>
      <c r="F312" s="363"/>
      <c r="G312" s="312"/>
      <c r="H312" s="312"/>
      <c r="I312" s="312"/>
      <c r="J312" s="312"/>
      <c r="K312" s="312"/>
      <c r="L312" s="312"/>
      <c r="M312" s="312"/>
      <c r="N312" s="312"/>
      <c r="O312" s="312"/>
      <c r="P312" s="312"/>
      <c r="Q312" s="312"/>
      <c r="R312" s="312"/>
      <c r="S312" s="312"/>
      <c r="T312" s="323"/>
      <c r="U312" s="360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  <c r="AG312" s="46"/>
      <c r="AH312" s="46"/>
      <c r="AI312" s="46"/>
      <c r="AJ312" s="46"/>
      <c r="AK312" s="46"/>
      <c r="AL312" s="327"/>
      <c r="AM312" s="327"/>
      <c r="AN312" s="327"/>
      <c r="AO312" s="327"/>
      <c r="AP312" s="327"/>
      <c r="AQ312" s="327"/>
      <c r="AR312" s="327"/>
      <c r="AS312" s="327"/>
      <c r="AT312" s="327"/>
      <c r="AU312" s="327"/>
      <c r="AV312" s="327"/>
      <c r="AW312" s="327"/>
      <c r="AX312" s="327"/>
      <c r="AY312" s="327"/>
      <c r="AZ312" s="327"/>
      <c r="BA312" s="327"/>
      <c r="BB312" s="46"/>
      <c r="BC312" s="46"/>
      <c r="BD312" s="46"/>
      <c r="BE312" s="46"/>
      <c r="BF312" s="296"/>
      <c r="BG312" s="2"/>
      <c r="BH312" s="2"/>
      <c r="BI312" s="2"/>
      <c r="BJ312" s="2"/>
      <c r="BK312" s="279"/>
      <c r="BL312" s="279"/>
      <c r="BM312" s="279"/>
      <c r="BN312" s="279"/>
      <c r="BO312" s="2"/>
      <c r="BP312" s="2"/>
      <c r="BQ312" s="2"/>
      <c r="BR312" s="2"/>
      <c r="BS312" s="25"/>
      <c r="BT312" s="348"/>
      <c r="BU312" s="2"/>
      <c r="BV312" s="282"/>
      <c r="BW312" s="279"/>
      <c r="BX312" s="269"/>
      <c r="BY312" s="349"/>
      <c r="BZ312" s="349"/>
      <c r="CA312" s="349"/>
      <c r="CB312" s="349"/>
      <c r="CC312" s="349"/>
      <c r="CD312" s="14"/>
      <c r="CE312" s="14"/>
      <c r="CF312" s="14"/>
      <c r="CG312" s="270"/>
      <c r="CH312" s="2"/>
      <c r="CL312" s="349"/>
      <c r="CM312" s="349"/>
      <c r="CN312" s="349"/>
      <c r="CO312" s="349"/>
      <c r="CP312" s="349"/>
      <c r="CQ312" s="14"/>
      <c r="CY312" s="2"/>
    </row>
    <row r="313" spans="1:103" s="305" customFormat="1" ht="29.4" customHeight="1">
      <c r="A313" s="1017" t="s">
        <v>1695</v>
      </c>
      <c r="B313" s="1018"/>
      <c r="C313" s="1019"/>
      <c r="D313" s="367"/>
      <c r="E313" s="367"/>
      <c r="F313" s="366"/>
      <c r="G313" s="316">
        <f>COUNTIF(G175:G311,"X")</f>
        <v>89</v>
      </c>
      <c r="H313" s="316">
        <f t="shared" ref="H313:BA313" si="119">COUNTIF(H175:H311,"X")</f>
        <v>124</v>
      </c>
      <c r="I313" s="316">
        <f t="shared" si="119"/>
        <v>108</v>
      </c>
      <c r="J313" s="316">
        <f t="shared" si="119"/>
        <v>8</v>
      </c>
      <c r="K313" s="316">
        <f t="shared" si="119"/>
        <v>64</v>
      </c>
      <c r="L313" s="316">
        <f t="shared" si="119"/>
        <v>115</v>
      </c>
      <c r="M313" s="316">
        <f t="shared" si="119"/>
        <v>110</v>
      </c>
      <c r="N313" s="316">
        <f t="shared" si="119"/>
        <v>124</v>
      </c>
      <c r="O313" s="316">
        <f t="shared" si="119"/>
        <v>129</v>
      </c>
      <c r="P313" s="316">
        <f t="shared" si="119"/>
        <v>130</v>
      </c>
      <c r="Q313" s="316">
        <f t="shared" si="119"/>
        <v>126</v>
      </c>
      <c r="R313" s="316">
        <f t="shared" si="119"/>
        <v>128</v>
      </c>
      <c r="S313" s="316">
        <f t="shared" si="119"/>
        <v>131</v>
      </c>
      <c r="T313" s="316">
        <f t="shared" si="119"/>
        <v>130</v>
      </c>
      <c r="U313" s="316">
        <f t="shared" si="119"/>
        <v>126</v>
      </c>
      <c r="V313" s="316">
        <f t="shared" si="119"/>
        <v>120</v>
      </c>
      <c r="W313" s="316">
        <f t="shared" si="119"/>
        <v>121</v>
      </c>
      <c r="X313" s="316">
        <f t="shared" si="119"/>
        <v>125</v>
      </c>
      <c r="Y313" s="316">
        <f t="shared" si="119"/>
        <v>120</v>
      </c>
      <c r="Z313" s="316">
        <f t="shared" si="119"/>
        <v>125</v>
      </c>
      <c r="AA313" s="316">
        <f t="shared" si="119"/>
        <v>119</v>
      </c>
      <c r="AB313" s="316">
        <f t="shared" si="119"/>
        <v>117</v>
      </c>
      <c r="AC313" s="316">
        <f t="shared" si="119"/>
        <v>129</v>
      </c>
      <c r="AD313" s="316">
        <f t="shared" si="119"/>
        <v>120</v>
      </c>
      <c r="AE313" s="316">
        <f t="shared" si="119"/>
        <v>126</v>
      </c>
      <c r="AF313" s="316">
        <f t="shared" si="119"/>
        <v>116</v>
      </c>
      <c r="AG313" s="316">
        <f t="shared" si="119"/>
        <v>127</v>
      </c>
      <c r="AH313" s="316">
        <f t="shared" si="119"/>
        <v>122</v>
      </c>
      <c r="AI313" s="316">
        <f t="shared" si="119"/>
        <v>120</v>
      </c>
      <c r="AJ313" s="316">
        <f t="shared" si="119"/>
        <v>121</v>
      </c>
      <c r="AK313" s="316">
        <f t="shared" si="119"/>
        <v>118</v>
      </c>
      <c r="AL313" s="316">
        <f t="shared" si="119"/>
        <v>0</v>
      </c>
      <c r="AM313" s="316">
        <f t="shared" si="119"/>
        <v>0</v>
      </c>
      <c r="AN313" s="316">
        <f t="shared" si="119"/>
        <v>0</v>
      </c>
      <c r="AO313" s="316">
        <f t="shared" si="119"/>
        <v>0</v>
      </c>
      <c r="AP313" s="316">
        <f t="shared" si="119"/>
        <v>47</v>
      </c>
      <c r="AQ313" s="316">
        <f t="shared" si="119"/>
        <v>0</v>
      </c>
      <c r="AR313" s="316">
        <f t="shared" si="119"/>
        <v>0</v>
      </c>
      <c r="AS313" s="316">
        <f t="shared" si="119"/>
        <v>25</v>
      </c>
      <c r="AT313" s="316">
        <f t="shared" si="119"/>
        <v>0</v>
      </c>
      <c r="AU313" s="316">
        <f t="shared" si="119"/>
        <v>0</v>
      </c>
      <c r="AV313" s="316">
        <f t="shared" si="119"/>
        <v>0</v>
      </c>
      <c r="AW313" s="316">
        <f t="shared" si="119"/>
        <v>0</v>
      </c>
      <c r="AX313" s="316">
        <f t="shared" si="119"/>
        <v>0</v>
      </c>
      <c r="AY313" s="316">
        <f t="shared" si="119"/>
        <v>0</v>
      </c>
      <c r="AZ313" s="316">
        <f t="shared" si="119"/>
        <v>0</v>
      </c>
      <c r="BA313" s="316">
        <f t="shared" si="119"/>
        <v>0</v>
      </c>
      <c r="BB313" s="325">
        <f>SUM(BB175:BB311)</f>
        <v>1642</v>
      </c>
      <c r="BC313" s="325">
        <f t="shared" ref="BC313:CD313" si="120">SUM(BC175:BC311)</f>
        <v>1946</v>
      </c>
      <c r="BD313" s="325">
        <f t="shared" si="120"/>
        <v>72</v>
      </c>
      <c r="BE313" s="325">
        <f t="shared" si="120"/>
        <v>0</v>
      </c>
      <c r="BF313" s="325">
        <f t="shared" si="120"/>
        <v>3588</v>
      </c>
      <c r="BG313" s="325">
        <f t="shared" si="120"/>
        <v>0</v>
      </c>
      <c r="BH313" s="325">
        <f t="shared" si="120"/>
        <v>0</v>
      </c>
      <c r="BI313" s="325">
        <f t="shared" si="120"/>
        <v>0</v>
      </c>
      <c r="BJ313" s="325">
        <f t="shared" si="120"/>
        <v>0</v>
      </c>
      <c r="BK313" s="325">
        <f t="shared" si="120"/>
        <v>111</v>
      </c>
      <c r="BL313" s="325">
        <f t="shared" si="120"/>
        <v>3588</v>
      </c>
      <c r="BM313" s="325">
        <f t="shared" si="120"/>
        <v>0</v>
      </c>
      <c r="BN313" s="325">
        <f t="shared" si="120"/>
        <v>0</v>
      </c>
      <c r="BO313" s="325">
        <f t="shared" si="120"/>
        <v>3049</v>
      </c>
      <c r="BP313" s="325">
        <f t="shared" si="120"/>
        <v>0</v>
      </c>
      <c r="BQ313" s="325">
        <f t="shared" si="120"/>
        <v>0</v>
      </c>
      <c r="BR313" s="325">
        <f t="shared" si="120"/>
        <v>0</v>
      </c>
      <c r="BS313" s="325">
        <f t="shared" si="120"/>
        <v>0</v>
      </c>
      <c r="BT313" s="325">
        <f t="shared" si="120"/>
        <v>111</v>
      </c>
      <c r="BU313" s="325">
        <f t="shared" si="120"/>
        <v>0</v>
      </c>
      <c r="BV313" s="325">
        <f t="shared" si="120"/>
        <v>0</v>
      </c>
      <c r="BW313" s="325">
        <f t="shared" si="120"/>
        <v>-30000</v>
      </c>
      <c r="BX313" s="325">
        <f t="shared" si="120"/>
        <v>-2.5499999999999994</v>
      </c>
      <c r="BY313" s="325" t="e">
        <f t="shared" si="120"/>
        <v>#N/A</v>
      </c>
      <c r="BZ313" s="325" t="e">
        <f t="shared" si="120"/>
        <v>#N/A</v>
      </c>
      <c r="CA313" s="325" t="e">
        <f t="shared" si="120"/>
        <v>#N/A</v>
      </c>
      <c r="CB313" s="325" t="e">
        <f t="shared" si="120"/>
        <v>#N/A</v>
      </c>
      <c r="CC313" s="325" t="e">
        <f t="shared" si="120"/>
        <v>#N/A</v>
      </c>
      <c r="CD313" s="325" t="e">
        <f t="shared" si="120"/>
        <v>#N/A</v>
      </c>
      <c r="CE313" s="365"/>
      <c r="CF313" s="365" t="e">
        <f>SUM(#REF!)</f>
        <v>#REF!</v>
      </c>
      <c r="CG313" s="370"/>
      <c r="CH313" s="371"/>
      <c r="CL313" s="372" t="e">
        <f t="shared" ref="CL313:CL342" si="121">#N/A</f>
        <v>#N/A</v>
      </c>
      <c r="CM313" s="372" t="e">
        <f t="shared" ref="CM313:CM342" si="122">#N/A</f>
        <v>#N/A</v>
      </c>
      <c r="CN313" s="372" t="e">
        <f t="shared" ref="CN313:CN342" si="123">#N/A</f>
        <v>#N/A</v>
      </c>
      <c r="CO313" s="372" t="e">
        <f t="shared" ref="CO313:CO342" si="124">#N/A</f>
        <v>#N/A</v>
      </c>
      <c r="CP313" s="372" t="e">
        <f t="shared" ref="CP313:CP352" si="125">SUM(CL313:CO313)</f>
        <v>#N/A</v>
      </c>
      <c r="CQ313" s="373"/>
      <c r="CY313" s="371"/>
    </row>
    <row r="314" spans="1:103" s="1" customFormat="1" ht="29.4" customHeight="1">
      <c r="A314" s="46">
        <v>1</v>
      </c>
      <c r="B314" s="363">
        <v>9</v>
      </c>
      <c r="C314" s="363">
        <v>344</v>
      </c>
      <c r="D314" s="362"/>
      <c r="E314" s="362"/>
      <c r="F314" s="363"/>
      <c r="G314" s="312" t="s">
        <v>1991</v>
      </c>
      <c r="H314" s="312" t="s">
        <v>1991</v>
      </c>
      <c r="I314" s="312" t="s">
        <v>1991</v>
      </c>
      <c r="J314" s="312"/>
      <c r="K314" s="312" t="s">
        <v>1991</v>
      </c>
      <c r="L314" s="312" t="s">
        <v>1991</v>
      </c>
      <c r="M314" s="312" t="s">
        <v>1991</v>
      </c>
      <c r="N314" s="312" t="s">
        <v>1991</v>
      </c>
      <c r="O314" s="312" t="s">
        <v>1991</v>
      </c>
      <c r="P314" s="312" t="s">
        <v>1991</v>
      </c>
      <c r="Q314" s="312" t="s">
        <v>1991</v>
      </c>
      <c r="R314" s="312" t="s">
        <v>1991</v>
      </c>
      <c r="S314" s="312" t="s">
        <v>1991</v>
      </c>
      <c r="T314" s="323" t="s">
        <v>1991</v>
      </c>
      <c r="U314" s="312" t="s">
        <v>1991</v>
      </c>
      <c r="V314" s="46" t="s">
        <v>1991</v>
      </c>
      <c r="W314" s="46" t="s">
        <v>1991</v>
      </c>
      <c r="X314" s="46" t="s">
        <v>1991</v>
      </c>
      <c r="Y314" s="46" t="s">
        <v>1991</v>
      </c>
      <c r="Z314" s="46" t="s">
        <v>1991</v>
      </c>
      <c r="AA314" s="46">
        <v>0</v>
      </c>
      <c r="AB314" s="46" t="s">
        <v>1991</v>
      </c>
      <c r="AC314" s="46" t="s">
        <v>1991</v>
      </c>
      <c r="AD314" s="46" t="s">
        <v>1991</v>
      </c>
      <c r="AE314" s="46" t="s">
        <v>1991</v>
      </c>
      <c r="AF314" s="46" t="s">
        <v>1991</v>
      </c>
      <c r="AG314" s="46" t="s">
        <v>1991</v>
      </c>
      <c r="AH314" s="46" t="s">
        <v>1991</v>
      </c>
      <c r="AI314" s="46" t="s">
        <v>1991</v>
      </c>
      <c r="AJ314" s="46" t="s">
        <v>1991</v>
      </c>
      <c r="AK314" s="46" t="s">
        <v>1991</v>
      </c>
      <c r="AL314" s="327"/>
      <c r="AM314" s="327" t="s">
        <v>1991</v>
      </c>
      <c r="AN314" s="327" t="s">
        <v>1991</v>
      </c>
      <c r="AO314" s="327" t="s">
        <v>1991</v>
      </c>
      <c r="AP314" s="327"/>
      <c r="AQ314" s="327"/>
      <c r="AR314" s="327"/>
      <c r="AS314" s="327" t="s">
        <v>1991</v>
      </c>
      <c r="AT314" s="327" t="s">
        <v>1991</v>
      </c>
      <c r="AU314" s="327"/>
      <c r="AV314" s="327"/>
      <c r="AW314" s="327"/>
      <c r="AX314" s="327"/>
      <c r="AY314" s="327"/>
      <c r="AZ314" s="327"/>
      <c r="BA314" s="327"/>
      <c r="BB314" s="46">
        <f t="shared" ref="BB314:BB355" si="126">COUNTIF(G314:U314,"X")</f>
        <v>14</v>
      </c>
      <c r="BC314" s="46">
        <f>COUNTIF(V314:AK314,"X")</f>
        <v>15</v>
      </c>
      <c r="BD314" s="46">
        <f t="shared" ref="BD314:BD377" si="127">COUNTIF(AL314:BA314,"X")</f>
        <v>5</v>
      </c>
      <c r="BE314" s="46">
        <f t="shared" ref="BE314:BE355" si="128">COUNTIF(AL314:BA314,"x")</f>
        <v>5</v>
      </c>
      <c r="BF314" s="296">
        <f t="shared" ref="BF314:BF321" si="129">BB314+BC314</f>
        <v>29</v>
      </c>
      <c r="BG314" s="2"/>
      <c r="BH314" s="2"/>
      <c r="BI314" s="2"/>
      <c r="BJ314" s="2"/>
      <c r="BK314" s="279">
        <f>IF(BO314&gt;=31,1,0)</f>
        <v>0</v>
      </c>
      <c r="BL314" s="279">
        <f t="shared" ref="BL314:BL352" si="130">(BB314+BC314)</f>
        <v>29</v>
      </c>
      <c r="BM314" s="279"/>
      <c r="BN314" s="279"/>
      <c r="BO314" s="2">
        <f t="shared" ref="BO314:BO355" si="131">IF(BT314&gt;0,BF314,0)</f>
        <v>29</v>
      </c>
      <c r="BP314" s="430"/>
      <c r="BQ314" s="431"/>
      <c r="BR314" s="2"/>
      <c r="BS314" s="25"/>
      <c r="BT314" s="348">
        <f t="shared" ref="BT314:BT377" si="132">IF(BF314&gt;=26,1,0)</f>
        <v>1</v>
      </c>
      <c r="BU314" s="2"/>
      <c r="BV314" s="282">
        <f t="shared" ref="BV314:BV355" si="133">IF(AND(BU314&gt;0,BU314&lt;=1),50000,IF(AND(BU314&gt;1,BU314&lt;=3),40000,IF(AND(BU314&gt;3,BU314&lt;=5),20000,IF(AND(BU314&gt;5,BU314&lt;=9),0,IF(AND(BU314&gt;9,BU314&lt;=11),-20000,IF(AND(BU314&gt;11,BU314&lt;=13),-40000,IF(BU314&gt;13,-50000,0)))))))</f>
        <v>0</v>
      </c>
      <c r="BW314" s="368"/>
      <c r="BX314" s="269">
        <f t="shared" ref="BX314:BX355" si="134">IF(AND(BW314&gt;0,BW314&lt;=1),1.15,IF(AND(BW314&gt;1,BW314&lt;=3),1.1,IF(AND(BW314&gt;3,BW314&lt;=5),1.05,IF(AND(BW314&gt;5,BW314&lt;=9),1,IF(AND(BW314&gt;9,BW314&lt;=11),-0.05,IF(AND(BW314&gt;11,BW314&lt;=13),-0.1,IF(BW314&gt;13,-0.15,0)))))))</f>
        <v>0</v>
      </c>
      <c r="BY314" s="349" t="e">
        <f t="shared" ref="BY314:BY342" si="135">#N/A</f>
        <v>#N/A</v>
      </c>
      <c r="BZ314" s="349" t="e">
        <f t="shared" ref="BZ314:BZ342" si="136">#N/A</f>
        <v>#N/A</v>
      </c>
      <c r="CA314" s="349" t="e">
        <f t="shared" ref="CA314:CA342" si="137">#N/A</f>
        <v>#N/A</v>
      </c>
      <c r="CB314" s="349" t="e">
        <f t="shared" ref="CB314:CB342" si="138">#N/A</f>
        <v>#N/A</v>
      </c>
      <c r="CC314" s="349" t="e">
        <f t="shared" ref="CC314:CC355" si="139">SUM(BY314:CB314)</f>
        <v>#N/A</v>
      </c>
      <c r="CD314" s="14" t="e">
        <f t="shared" ref="CD314:CD320" si="140">CC314-BB314</f>
        <v>#N/A</v>
      </c>
      <c r="CE314" s="14">
        <f t="shared" ref="CE314:CE319" si="141">IF(CF314&gt;0,BF314,0)</f>
        <v>29</v>
      </c>
      <c r="CF314" s="2">
        <f t="shared" ref="CF314:CF379" si="142">IF(BF314&gt;=26,1,0)</f>
        <v>1</v>
      </c>
      <c r="CG314" s="270"/>
      <c r="CH314" s="2"/>
      <c r="CL314" s="349" t="e">
        <f t="shared" si="121"/>
        <v>#N/A</v>
      </c>
      <c r="CM314" s="349" t="e">
        <f t="shared" si="122"/>
        <v>#N/A</v>
      </c>
      <c r="CN314" s="349" t="e">
        <f t="shared" si="123"/>
        <v>#N/A</v>
      </c>
      <c r="CO314" s="349" t="e">
        <f t="shared" si="124"/>
        <v>#N/A</v>
      </c>
      <c r="CP314" s="349" t="e">
        <f t="shared" si="125"/>
        <v>#N/A</v>
      </c>
      <c r="CQ314" s="14"/>
      <c r="CY314" s="2"/>
    </row>
    <row r="315" spans="1:103" s="1" customFormat="1" ht="29.4" customHeight="1">
      <c r="A315" s="46">
        <v>2</v>
      </c>
      <c r="B315" s="363">
        <v>9</v>
      </c>
      <c r="C315" s="363">
        <v>345</v>
      </c>
      <c r="D315" s="362"/>
      <c r="E315" s="362"/>
      <c r="F315" s="363"/>
      <c r="G315" s="312">
        <v>0</v>
      </c>
      <c r="H315" s="312" t="s">
        <v>1991</v>
      </c>
      <c r="I315" s="312" t="s">
        <v>1991</v>
      </c>
      <c r="J315" s="312"/>
      <c r="K315" s="312" t="s">
        <v>1991</v>
      </c>
      <c r="L315" s="312" t="s">
        <v>1991</v>
      </c>
      <c r="M315" s="312" t="s">
        <v>1991</v>
      </c>
      <c r="N315" s="312" t="s">
        <v>1991</v>
      </c>
      <c r="O315" s="312" t="s">
        <v>1991</v>
      </c>
      <c r="P315" s="312" t="s">
        <v>1991</v>
      </c>
      <c r="Q315" s="312" t="s">
        <v>1991</v>
      </c>
      <c r="R315" s="312" t="s">
        <v>1991</v>
      </c>
      <c r="S315" s="312" t="s">
        <v>1991</v>
      </c>
      <c r="T315" s="323" t="s">
        <v>1991</v>
      </c>
      <c r="U315" s="312" t="s">
        <v>1991</v>
      </c>
      <c r="V315" s="46" t="s">
        <v>1991</v>
      </c>
      <c r="W315" s="46" t="s">
        <v>1991</v>
      </c>
      <c r="X315" s="46" t="s">
        <v>1991</v>
      </c>
      <c r="Y315" s="46" t="s">
        <v>1991</v>
      </c>
      <c r="Z315" s="46" t="s">
        <v>1991</v>
      </c>
      <c r="AA315" s="46">
        <v>0</v>
      </c>
      <c r="AB315" s="46" t="s">
        <v>1991</v>
      </c>
      <c r="AC315" s="46" t="s">
        <v>1991</v>
      </c>
      <c r="AD315" s="46" t="s">
        <v>1991</v>
      </c>
      <c r="AE315" s="46" t="s">
        <v>1991</v>
      </c>
      <c r="AF315" s="46">
        <v>0</v>
      </c>
      <c r="AG315" s="46" t="s">
        <v>1991</v>
      </c>
      <c r="AH315" s="46" t="s">
        <v>1991</v>
      </c>
      <c r="AI315" s="46" t="s">
        <v>1991</v>
      </c>
      <c r="AJ315" s="46" t="s">
        <v>1991</v>
      </c>
      <c r="AK315" s="46" t="s">
        <v>1991</v>
      </c>
      <c r="AL315" s="327"/>
      <c r="AM315" s="327">
        <v>0</v>
      </c>
      <c r="AN315" s="327" t="s">
        <v>1991</v>
      </c>
      <c r="AO315" s="327" t="s">
        <v>1991</v>
      </c>
      <c r="AP315" s="327"/>
      <c r="AQ315" s="327"/>
      <c r="AR315" s="327"/>
      <c r="AS315" s="327" t="s">
        <v>1991</v>
      </c>
      <c r="AT315" s="327"/>
      <c r="AU315" s="327"/>
      <c r="AV315" s="327"/>
      <c r="AW315" s="327"/>
      <c r="AX315" s="327"/>
      <c r="AY315" s="327"/>
      <c r="AZ315" s="327"/>
      <c r="BA315" s="327"/>
      <c r="BB315" s="46">
        <f t="shared" si="126"/>
        <v>13</v>
      </c>
      <c r="BC315" s="46">
        <f t="shared" ref="BC315:BC355" si="143">COUNTIF(V315:AK315,"X")</f>
        <v>14</v>
      </c>
      <c r="BD315" s="46">
        <f t="shared" si="127"/>
        <v>3</v>
      </c>
      <c r="BE315" s="46">
        <f t="shared" si="128"/>
        <v>3</v>
      </c>
      <c r="BF315" s="296">
        <f t="shared" si="129"/>
        <v>27</v>
      </c>
      <c r="BG315" s="2"/>
      <c r="BH315" s="2"/>
      <c r="BI315" s="2"/>
      <c r="BJ315" s="2"/>
      <c r="BK315" s="279">
        <f t="shared" ref="BK315:BK320" si="144">IF(BO315&gt;=31,1,0)</f>
        <v>0</v>
      </c>
      <c r="BL315" s="279">
        <f t="shared" si="130"/>
        <v>27</v>
      </c>
      <c r="BM315" s="279"/>
      <c r="BN315" s="279"/>
      <c r="BO315" s="2">
        <f t="shared" si="131"/>
        <v>27</v>
      </c>
      <c r="BP315" s="430"/>
      <c r="BQ315" s="431"/>
      <c r="BR315" s="2"/>
      <c r="BS315" s="25"/>
      <c r="BT315" s="348">
        <f t="shared" si="132"/>
        <v>1</v>
      </c>
      <c r="BU315" s="2"/>
      <c r="BV315" s="282">
        <f t="shared" si="133"/>
        <v>0</v>
      </c>
      <c r="BW315" s="369"/>
      <c r="BX315" s="269">
        <f t="shared" si="134"/>
        <v>0</v>
      </c>
      <c r="BY315" s="349" t="e">
        <f t="shared" si="135"/>
        <v>#N/A</v>
      </c>
      <c r="BZ315" s="349" t="e">
        <f t="shared" si="136"/>
        <v>#N/A</v>
      </c>
      <c r="CA315" s="349" t="e">
        <f t="shared" si="137"/>
        <v>#N/A</v>
      </c>
      <c r="CB315" s="349" t="e">
        <f t="shared" si="138"/>
        <v>#N/A</v>
      </c>
      <c r="CC315" s="349" t="e">
        <f t="shared" si="139"/>
        <v>#N/A</v>
      </c>
      <c r="CD315" s="14" t="e">
        <f t="shared" si="140"/>
        <v>#N/A</v>
      </c>
      <c r="CE315" s="14">
        <f t="shared" si="141"/>
        <v>27</v>
      </c>
      <c r="CF315" s="2">
        <f t="shared" si="142"/>
        <v>1</v>
      </c>
      <c r="CG315" s="270"/>
      <c r="CH315" s="2"/>
      <c r="CL315" s="349" t="e">
        <f t="shared" si="121"/>
        <v>#N/A</v>
      </c>
      <c r="CM315" s="349" t="e">
        <f t="shared" si="122"/>
        <v>#N/A</v>
      </c>
      <c r="CN315" s="349" t="e">
        <f t="shared" si="123"/>
        <v>#N/A</v>
      </c>
      <c r="CO315" s="349" t="e">
        <f t="shared" si="124"/>
        <v>#N/A</v>
      </c>
      <c r="CP315" s="349" t="e">
        <f t="shared" si="125"/>
        <v>#N/A</v>
      </c>
      <c r="CQ315" s="14"/>
      <c r="CY315" s="2"/>
    </row>
    <row r="316" spans="1:103" s="1" customFormat="1" ht="29.4" customHeight="1">
      <c r="A316" s="46">
        <v>3</v>
      </c>
      <c r="B316" s="363">
        <v>9</v>
      </c>
      <c r="C316" s="363">
        <v>346</v>
      </c>
      <c r="D316" s="362"/>
      <c r="E316" s="362"/>
      <c r="F316" s="363"/>
      <c r="G316" s="312" t="s">
        <v>1991</v>
      </c>
      <c r="H316" s="312" t="s">
        <v>1991</v>
      </c>
      <c r="I316" s="312" t="s">
        <v>1991</v>
      </c>
      <c r="J316" s="312"/>
      <c r="K316" s="312" t="s">
        <v>1991</v>
      </c>
      <c r="L316" s="312" t="s">
        <v>1991</v>
      </c>
      <c r="M316" s="312" t="s">
        <v>1991</v>
      </c>
      <c r="N316" s="312" t="s">
        <v>1991</v>
      </c>
      <c r="O316" s="312" t="s">
        <v>1991</v>
      </c>
      <c r="P316" s="312" t="s">
        <v>1991</v>
      </c>
      <c r="Q316" s="312" t="s">
        <v>1991</v>
      </c>
      <c r="R316" s="312" t="s">
        <v>1991</v>
      </c>
      <c r="S316" s="312" t="s">
        <v>1991</v>
      </c>
      <c r="T316" s="323" t="s">
        <v>1991</v>
      </c>
      <c r="U316" s="312" t="s">
        <v>1991</v>
      </c>
      <c r="V316" s="46" t="s">
        <v>1991</v>
      </c>
      <c r="W316" s="46" t="s">
        <v>1991</v>
      </c>
      <c r="X316" s="46" t="s">
        <v>1991</v>
      </c>
      <c r="Y316" s="46" t="s">
        <v>1991</v>
      </c>
      <c r="Z316" s="46" t="s">
        <v>1991</v>
      </c>
      <c r="AA316" s="46" t="s">
        <v>1991</v>
      </c>
      <c r="AB316" s="46" t="s">
        <v>1991</v>
      </c>
      <c r="AC316" s="46" t="s">
        <v>1991</v>
      </c>
      <c r="AD316" s="46" t="s">
        <v>1991</v>
      </c>
      <c r="AE316" s="46" t="s">
        <v>1991</v>
      </c>
      <c r="AF316" s="46" t="s">
        <v>1991</v>
      </c>
      <c r="AG316" s="46" t="s">
        <v>1991</v>
      </c>
      <c r="AH316" s="46" t="s">
        <v>1991</v>
      </c>
      <c r="AI316" s="46" t="s">
        <v>1991</v>
      </c>
      <c r="AJ316" s="46" t="s">
        <v>1991</v>
      </c>
      <c r="AK316" s="46">
        <v>0</v>
      </c>
      <c r="AL316" s="327"/>
      <c r="AM316" s="327" t="s">
        <v>1991</v>
      </c>
      <c r="AN316" s="327" t="s">
        <v>1991</v>
      </c>
      <c r="AO316" s="327" t="s">
        <v>1991</v>
      </c>
      <c r="AP316" s="327"/>
      <c r="AQ316" s="327"/>
      <c r="AR316" s="327"/>
      <c r="AS316" s="327" t="s">
        <v>1991</v>
      </c>
      <c r="AT316" s="327"/>
      <c r="AU316" s="327"/>
      <c r="AV316" s="327"/>
      <c r="AW316" s="327"/>
      <c r="AX316" s="327"/>
      <c r="AY316" s="327"/>
      <c r="AZ316" s="327"/>
      <c r="BA316" s="327"/>
      <c r="BB316" s="46">
        <f t="shared" si="126"/>
        <v>14</v>
      </c>
      <c r="BC316" s="46">
        <f t="shared" si="143"/>
        <v>15</v>
      </c>
      <c r="BD316" s="46">
        <f t="shared" si="127"/>
        <v>4</v>
      </c>
      <c r="BE316" s="46">
        <f t="shared" si="128"/>
        <v>4</v>
      </c>
      <c r="BF316" s="296">
        <f t="shared" si="129"/>
        <v>29</v>
      </c>
      <c r="BG316" s="2"/>
      <c r="BH316" s="2"/>
      <c r="BI316" s="2"/>
      <c r="BJ316" s="2"/>
      <c r="BK316" s="279">
        <f t="shared" si="144"/>
        <v>0</v>
      </c>
      <c r="BL316" s="279">
        <f t="shared" si="130"/>
        <v>29</v>
      </c>
      <c r="BM316" s="279"/>
      <c r="BN316" s="279"/>
      <c r="BO316" s="2">
        <f t="shared" si="131"/>
        <v>29</v>
      </c>
      <c r="BP316" s="430"/>
      <c r="BQ316" s="431"/>
      <c r="BR316" s="2"/>
      <c r="BS316" s="25"/>
      <c r="BT316" s="348">
        <f t="shared" si="132"/>
        <v>1</v>
      </c>
      <c r="BU316" s="2"/>
      <c r="BV316" s="282">
        <f t="shared" si="133"/>
        <v>0</v>
      </c>
      <c r="BW316" s="369"/>
      <c r="BX316" s="269">
        <f t="shared" si="134"/>
        <v>0</v>
      </c>
      <c r="BY316" s="349" t="e">
        <f t="shared" si="135"/>
        <v>#N/A</v>
      </c>
      <c r="BZ316" s="349" t="e">
        <f t="shared" si="136"/>
        <v>#N/A</v>
      </c>
      <c r="CA316" s="349" t="e">
        <f t="shared" si="137"/>
        <v>#N/A</v>
      </c>
      <c r="CB316" s="349" t="e">
        <f t="shared" si="138"/>
        <v>#N/A</v>
      </c>
      <c r="CC316" s="349" t="e">
        <f t="shared" si="139"/>
        <v>#N/A</v>
      </c>
      <c r="CD316" s="14" t="e">
        <f t="shared" si="140"/>
        <v>#N/A</v>
      </c>
      <c r="CE316" s="14">
        <f t="shared" si="141"/>
        <v>29</v>
      </c>
      <c r="CF316" s="2">
        <f t="shared" si="142"/>
        <v>1</v>
      </c>
      <c r="CG316" s="270"/>
      <c r="CH316" s="2"/>
      <c r="CL316" s="349" t="e">
        <f t="shared" si="121"/>
        <v>#N/A</v>
      </c>
      <c r="CM316" s="349" t="e">
        <f t="shared" si="122"/>
        <v>#N/A</v>
      </c>
      <c r="CN316" s="349" t="e">
        <f t="shared" si="123"/>
        <v>#N/A</v>
      </c>
      <c r="CO316" s="349" t="e">
        <f t="shared" si="124"/>
        <v>#N/A</v>
      </c>
      <c r="CP316" s="349" t="e">
        <f t="shared" si="125"/>
        <v>#N/A</v>
      </c>
      <c r="CQ316" s="14"/>
      <c r="CY316" s="2"/>
    </row>
    <row r="317" spans="1:103" s="1" customFormat="1" ht="29.4" customHeight="1">
      <c r="A317" s="46">
        <v>4</v>
      </c>
      <c r="B317" s="363">
        <v>9</v>
      </c>
      <c r="C317" s="363">
        <v>347</v>
      </c>
      <c r="D317" s="362"/>
      <c r="E317" s="362"/>
      <c r="F317" s="363"/>
      <c r="G317" s="312" t="s">
        <v>1991</v>
      </c>
      <c r="H317" s="312" t="s">
        <v>1991</v>
      </c>
      <c r="I317" s="312" t="s">
        <v>1991</v>
      </c>
      <c r="J317" s="312"/>
      <c r="K317" s="312" t="s">
        <v>1991</v>
      </c>
      <c r="L317" s="312" t="s">
        <v>1991</v>
      </c>
      <c r="M317" s="312" t="s">
        <v>1991</v>
      </c>
      <c r="N317" s="312" t="s">
        <v>1991</v>
      </c>
      <c r="O317" s="312" t="s">
        <v>1991</v>
      </c>
      <c r="P317" s="312" t="s">
        <v>1991</v>
      </c>
      <c r="Q317" s="312" t="s">
        <v>1991</v>
      </c>
      <c r="R317" s="312" t="s">
        <v>1991</v>
      </c>
      <c r="S317" s="312" t="s">
        <v>1991</v>
      </c>
      <c r="T317" s="323" t="s">
        <v>1991</v>
      </c>
      <c r="U317" s="312" t="s">
        <v>1991</v>
      </c>
      <c r="V317" s="46" t="s">
        <v>1991</v>
      </c>
      <c r="W317" s="46" t="s">
        <v>1991</v>
      </c>
      <c r="X317" s="46" t="s">
        <v>1991</v>
      </c>
      <c r="Y317" s="46" t="s">
        <v>1991</v>
      </c>
      <c r="Z317" s="46" t="s">
        <v>1991</v>
      </c>
      <c r="AA317" s="46" t="s">
        <v>1991</v>
      </c>
      <c r="AB317" s="46" t="s">
        <v>1991</v>
      </c>
      <c r="AC317" s="46" t="s">
        <v>1991</v>
      </c>
      <c r="AD317" s="46" t="s">
        <v>1991</v>
      </c>
      <c r="AE317" s="46" t="s">
        <v>1991</v>
      </c>
      <c r="AF317" s="46" t="s">
        <v>1991</v>
      </c>
      <c r="AG317" s="46" t="s">
        <v>1991</v>
      </c>
      <c r="AH317" s="46" t="s">
        <v>1991</v>
      </c>
      <c r="AI317" s="46" t="s">
        <v>1991</v>
      </c>
      <c r="AJ317" s="46" t="s">
        <v>1991</v>
      </c>
      <c r="AK317" s="46">
        <v>0</v>
      </c>
      <c r="AL317" s="327"/>
      <c r="AM317" s="327" t="s">
        <v>1991</v>
      </c>
      <c r="AN317" s="327">
        <v>0</v>
      </c>
      <c r="AO317" s="327">
        <v>0</v>
      </c>
      <c r="AP317" s="327"/>
      <c r="AQ317" s="327"/>
      <c r="AR317" s="327"/>
      <c r="AS317" s="327" t="s">
        <v>1991</v>
      </c>
      <c r="AT317" s="327"/>
      <c r="AU317" s="327"/>
      <c r="AV317" s="327"/>
      <c r="AW317" s="327"/>
      <c r="AX317" s="327"/>
      <c r="AY317" s="327"/>
      <c r="AZ317" s="327"/>
      <c r="BA317" s="327"/>
      <c r="BB317" s="46">
        <f t="shared" si="126"/>
        <v>14</v>
      </c>
      <c r="BC317" s="46">
        <f t="shared" si="143"/>
        <v>15</v>
      </c>
      <c r="BD317" s="46">
        <f t="shared" si="127"/>
        <v>2</v>
      </c>
      <c r="BE317" s="46">
        <f t="shared" si="128"/>
        <v>2</v>
      </c>
      <c r="BF317" s="296">
        <f t="shared" si="129"/>
        <v>29</v>
      </c>
      <c r="BG317" s="2"/>
      <c r="BH317" s="2"/>
      <c r="BI317" s="2"/>
      <c r="BJ317" s="2"/>
      <c r="BK317" s="279">
        <f t="shared" si="144"/>
        <v>0</v>
      </c>
      <c r="BL317" s="279">
        <f t="shared" si="130"/>
        <v>29</v>
      </c>
      <c r="BM317" s="279"/>
      <c r="BN317" s="279"/>
      <c r="BO317" s="2">
        <f t="shared" si="131"/>
        <v>29</v>
      </c>
      <c r="BP317" s="430"/>
      <c r="BQ317" s="431"/>
      <c r="BR317" s="2"/>
      <c r="BS317" s="25"/>
      <c r="BT317" s="348">
        <f t="shared" si="132"/>
        <v>1</v>
      </c>
      <c r="BU317" s="2"/>
      <c r="BV317" s="282">
        <f t="shared" si="133"/>
        <v>0</v>
      </c>
      <c r="BW317" s="369"/>
      <c r="BX317" s="269">
        <f t="shared" si="134"/>
        <v>0</v>
      </c>
      <c r="BY317" s="349" t="e">
        <f t="shared" si="135"/>
        <v>#N/A</v>
      </c>
      <c r="BZ317" s="349" t="e">
        <f t="shared" si="136"/>
        <v>#N/A</v>
      </c>
      <c r="CA317" s="349" t="e">
        <f t="shared" si="137"/>
        <v>#N/A</v>
      </c>
      <c r="CB317" s="349" t="e">
        <f t="shared" si="138"/>
        <v>#N/A</v>
      </c>
      <c r="CC317" s="349" t="e">
        <f t="shared" si="139"/>
        <v>#N/A</v>
      </c>
      <c r="CD317" s="14" t="e">
        <f t="shared" si="140"/>
        <v>#N/A</v>
      </c>
      <c r="CE317" s="14">
        <f t="shared" si="141"/>
        <v>29</v>
      </c>
      <c r="CF317" s="2">
        <f t="shared" si="142"/>
        <v>1</v>
      </c>
      <c r="CG317" s="270"/>
      <c r="CH317" s="2"/>
      <c r="CL317" s="349" t="e">
        <f t="shared" si="121"/>
        <v>#N/A</v>
      </c>
      <c r="CM317" s="349" t="e">
        <f t="shared" si="122"/>
        <v>#N/A</v>
      </c>
      <c r="CN317" s="349" t="e">
        <f t="shared" si="123"/>
        <v>#N/A</v>
      </c>
      <c r="CO317" s="349" t="e">
        <f t="shared" si="124"/>
        <v>#N/A</v>
      </c>
      <c r="CP317" s="349" t="e">
        <f t="shared" si="125"/>
        <v>#N/A</v>
      </c>
      <c r="CQ317" s="14"/>
      <c r="CY317" s="2"/>
    </row>
    <row r="318" spans="1:103" s="1" customFormat="1" ht="29.4" customHeight="1">
      <c r="A318" s="46">
        <v>5</v>
      </c>
      <c r="B318" s="363">
        <v>9</v>
      </c>
      <c r="C318" s="363">
        <v>348</v>
      </c>
      <c r="D318" s="362"/>
      <c r="E318" s="362"/>
      <c r="F318" s="363"/>
      <c r="G318" s="312">
        <v>0</v>
      </c>
      <c r="H318" s="312" t="s">
        <v>1991</v>
      </c>
      <c r="I318" s="312" t="s">
        <v>1991</v>
      </c>
      <c r="J318" s="312"/>
      <c r="K318" s="312" t="s">
        <v>1991</v>
      </c>
      <c r="L318" s="312" t="s">
        <v>1991</v>
      </c>
      <c r="M318" s="312" t="s">
        <v>1991</v>
      </c>
      <c r="N318" s="312" t="s">
        <v>1991</v>
      </c>
      <c r="O318" s="312" t="s">
        <v>1991</v>
      </c>
      <c r="P318" s="312" t="s">
        <v>1991</v>
      </c>
      <c r="Q318" s="312" t="s">
        <v>1991</v>
      </c>
      <c r="R318" s="312" t="s">
        <v>1991</v>
      </c>
      <c r="S318" s="312" t="s">
        <v>1991</v>
      </c>
      <c r="T318" s="323" t="s">
        <v>1991</v>
      </c>
      <c r="U318" s="312" t="s">
        <v>1991</v>
      </c>
      <c r="V318" s="46" t="s">
        <v>1991</v>
      </c>
      <c r="W318" s="46" t="s">
        <v>1991</v>
      </c>
      <c r="X318" s="46" t="s">
        <v>1991</v>
      </c>
      <c r="Y318" s="46" t="s">
        <v>1991</v>
      </c>
      <c r="Z318" s="46" t="s">
        <v>1991</v>
      </c>
      <c r="AA318" s="46" t="s">
        <v>1991</v>
      </c>
      <c r="AB318" s="46" t="s">
        <v>1991</v>
      </c>
      <c r="AC318" s="46" t="s">
        <v>1991</v>
      </c>
      <c r="AD318" s="46" t="s">
        <v>1991</v>
      </c>
      <c r="AE318" s="46" t="s">
        <v>1991</v>
      </c>
      <c r="AF318" s="46" t="s">
        <v>1991</v>
      </c>
      <c r="AG318" s="46" t="s">
        <v>1991</v>
      </c>
      <c r="AH318" s="46" t="s">
        <v>1991</v>
      </c>
      <c r="AI318" s="46">
        <v>0</v>
      </c>
      <c r="AJ318" s="46" t="s">
        <v>1991</v>
      </c>
      <c r="AK318" s="46" t="s">
        <v>1991</v>
      </c>
      <c r="AL318" s="327"/>
      <c r="AM318" s="327" t="s">
        <v>1991</v>
      </c>
      <c r="AN318" s="327">
        <v>0</v>
      </c>
      <c r="AO318" s="327">
        <v>0</v>
      </c>
      <c r="AP318" s="327"/>
      <c r="AQ318" s="327"/>
      <c r="AR318" s="327"/>
      <c r="AS318" s="327">
        <v>0</v>
      </c>
      <c r="AT318" s="327"/>
      <c r="AU318" s="327"/>
      <c r="AV318" s="327"/>
      <c r="AW318" s="327"/>
      <c r="AX318" s="327"/>
      <c r="AY318" s="327"/>
      <c r="AZ318" s="327"/>
      <c r="BA318" s="327"/>
      <c r="BB318" s="46">
        <f t="shared" si="126"/>
        <v>13</v>
      </c>
      <c r="BC318" s="46">
        <f t="shared" si="143"/>
        <v>15</v>
      </c>
      <c r="BD318" s="46">
        <f t="shared" si="127"/>
        <v>1</v>
      </c>
      <c r="BE318" s="46">
        <f t="shared" si="128"/>
        <v>1</v>
      </c>
      <c r="BF318" s="296">
        <f t="shared" si="129"/>
        <v>28</v>
      </c>
      <c r="BG318" s="2"/>
      <c r="BH318" s="2"/>
      <c r="BI318" s="2"/>
      <c r="BJ318" s="2"/>
      <c r="BK318" s="279">
        <f t="shared" si="144"/>
        <v>0</v>
      </c>
      <c r="BL318" s="279">
        <f t="shared" si="130"/>
        <v>28</v>
      </c>
      <c r="BM318" s="279"/>
      <c r="BN318" s="279"/>
      <c r="BO318" s="2">
        <f t="shared" si="131"/>
        <v>28</v>
      </c>
      <c r="BP318" s="430"/>
      <c r="BQ318" s="431"/>
      <c r="BR318" s="2"/>
      <c r="BS318" s="25"/>
      <c r="BT318" s="348">
        <f t="shared" si="132"/>
        <v>1</v>
      </c>
      <c r="BU318" s="2"/>
      <c r="BV318" s="282">
        <f t="shared" si="133"/>
        <v>0</v>
      </c>
      <c r="BW318" s="369"/>
      <c r="BX318" s="269">
        <f t="shared" si="134"/>
        <v>0</v>
      </c>
      <c r="BY318" s="349" t="e">
        <f t="shared" si="135"/>
        <v>#N/A</v>
      </c>
      <c r="BZ318" s="349" t="e">
        <f t="shared" si="136"/>
        <v>#N/A</v>
      </c>
      <c r="CA318" s="349" t="e">
        <f t="shared" si="137"/>
        <v>#N/A</v>
      </c>
      <c r="CB318" s="349" t="e">
        <f t="shared" si="138"/>
        <v>#N/A</v>
      </c>
      <c r="CC318" s="349" t="e">
        <f t="shared" si="139"/>
        <v>#N/A</v>
      </c>
      <c r="CD318" s="14" t="e">
        <f t="shared" si="140"/>
        <v>#N/A</v>
      </c>
      <c r="CE318" s="14">
        <f t="shared" si="141"/>
        <v>28</v>
      </c>
      <c r="CF318" s="2">
        <f t="shared" si="142"/>
        <v>1</v>
      </c>
      <c r="CG318" s="270"/>
      <c r="CH318" s="2"/>
      <c r="CL318" s="349" t="e">
        <f t="shared" si="121"/>
        <v>#N/A</v>
      </c>
      <c r="CM318" s="349" t="e">
        <f t="shared" si="122"/>
        <v>#N/A</v>
      </c>
      <c r="CN318" s="349" t="e">
        <f t="shared" si="123"/>
        <v>#N/A</v>
      </c>
      <c r="CO318" s="349" t="e">
        <f t="shared" si="124"/>
        <v>#N/A</v>
      </c>
      <c r="CP318" s="349" t="e">
        <f t="shared" si="125"/>
        <v>#N/A</v>
      </c>
      <c r="CQ318" s="14"/>
      <c r="CY318" s="2"/>
    </row>
    <row r="319" spans="1:103" s="1" customFormat="1" ht="29.4" customHeight="1">
      <c r="A319" s="46">
        <v>6</v>
      </c>
      <c r="B319" s="363">
        <v>9</v>
      </c>
      <c r="C319" s="363">
        <v>349</v>
      </c>
      <c r="D319" s="362"/>
      <c r="E319" s="362"/>
      <c r="F319" s="363"/>
      <c r="G319" s="312">
        <v>0</v>
      </c>
      <c r="H319" s="312" t="s">
        <v>1991</v>
      </c>
      <c r="I319" s="312" t="s">
        <v>1991</v>
      </c>
      <c r="J319" s="312"/>
      <c r="K319" s="312" t="s">
        <v>1991</v>
      </c>
      <c r="L319" s="312" t="s">
        <v>1991</v>
      </c>
      <c r="M319" s="312" t="s">
        <v>1991</v>
      </c>
      <c r="N319" s="312" t="s">
        <v>1991</v>
      </c>
      <c r="O319" s="312" t="s">
        <v>1991</v>
      </c>
      <c r="P319" s="312" t="s">
        <v>1991</v>
      </c>
      <c r="Q319" s="312" t="s">
        <v>1991</v>
      </c>
      <c r="R319" s="312" t="s">
        <v>1991</v>
      </c>
      <c r="S319" s="312" t="s">
        <v>1991</v>
      </c>
      <c r="T319" s="323" t="s">
        <v>1991</v>
      </c>
      <c r="U319" s="312" t="s">
        <v>1991</v>
      </c>
      <c r="V319" s="46" t="s">
        <v>1991</v>
      </c>
      <c r="W319" s="46" t="s">
        <v>1991</v>
      </c>
      <c r="X319" s="46" t="s">
        <v>1991</v>
      </c>
      <c r="Y319" s="46" t="s">
        <v>1991</v>
      </c>
      <c r="Z319" s="46" t="s">
        <v>1991</v>
      </c>
      <c r="AA319" s="46" t="s">
        <v>1991</v>
      </c>
      <c r="AB319" s="46" t="s">
        <v>1991</v>
      </c>
      <c r="AC319" s="46" t="s">
        <v>1991</v>
      </c>
      <c r="AD319" s="46" t="s">
        <v>1991</v>
      </c>
      <c r="AE319" s="46" t="s">
        <v>1991</v>
      </c>
      <c r="AF319" s="46" t="s">
        <v>1991</v>
      </c>
      <c r="AG319" s="46" t="s">
        <v>1991</v>
      </c>
      <c r="AH319" s="46" t="s">
        <v>1991</v>
      </c>
      <c r="AI319" s="46">
        <v>0</v>
      </c>
      <c r="AJ319" s="46" t="s">
        <v>1991</v>
      </c>
      <c r="AK319" s="46" t="s">
        <v>1991</v>
      </c>
      <c r="AL319" s="327"/>
      <c r="AM319" s="327">
        <v>0</v>
      </c>
      <c r="AN319" s="327">
        <v>0</v>
      </c>
      <c r="AO319" s="327">
        <v>0</v>
      </c>
      <c r="AP319" s="327"/>
      <c r="AQ319" s="327"/>
      <c r="AR319" s="327"/>
      <c r="AS319" s="327" t="s">
        <v>1991</v>
      </c>
      <c r="AT319" s="327"/>
      <c r="AU319" s="327"/>
      <c r="AV319" s="327"/>
      <c r="AW319" s="327"/>
      <c r="AX319" s="327"/>
      <c r="AY319" s="327"/>
      <c r="AZ319" s="327"/>
      <c r="BA319" s="327"/>
      <c r="BB319" s="46">
        <f t="shared" si="126"/>
        <v>13</v>
      </c>
      <c r="BC319" s="46">
        <f t="shared" si="143"/>
        <v>15</v>
      </c>
      <c r="BD319" s="46">
        <f t="shared" si="127"/>
        <v>1</v>
      </c>
      <c r="BE319" s="46">
        <f t="shared" si="128"/>
        <v>1</v>
      </c>
      <c r="BF319" s="296">
        <f t="shared" si="129"/>
        <v>28</v>
      </c>
      <c r="BG319" s="2"/>
      <c r="BH319" s="2"/>
      <c r="BI319" s="2"/>
      <c r="BJ319" s="2"/>
      <c r="BK319" s="279">
        <f t="shared" si="144"/>
        <v>0</v>
      </c>
      <c r="BL319" s="279">
        <f t="shared" si="130"/>
        <v>28</v>
      </c>
      <c r="BM319" s="279"/>
      <c r="BN319" s="279"/>
      <c r="BO319" s="2">
        <f t="shared" si="131"/>
        <v>28</v>
      </c>
      <c r="BP319" s="430"/>
      <c r="BQ319" s="431"/>
      <c r="BR319" s="2"/>
      <c r="BS319" s="25"/>
      <c r="BT319" s="348">
        <f t="shared" si="132"/>
        <v>1</v>
      </c>
      <c r="BU319" s="2"/>
      <c r="BV319" s="282">
        <f t="shared" si="133"/>
        <v>0</v>
      </c>
      <c r="BW319" s="369"/>
      <c r="BX319" s="269">
        <f t="shared" si="134"/>
        <v>0</v>
      </c>
      <c r="BY319" s="349" t="e">
        <f t="shared" si="135"/>
        <v>#N/A</v>
      </c>
      <c r="BZ319" s="349" t="e">
        <f t="shared" si="136"/>
        <v>#N/A</v>
      </c>
      <c r="CA319" s="349" t="e">
        <f t="shared" si="137"/>
        <v>#N/A</v>
      </c>
      <c r="CB319" s="349" t="e">
        <f t="shared" si="138"/>
        <v>#N/A</v>
      </c>
      <c r="CC319" s="349" t="e">
        <f t="shared" si="139"/>
        <v>#N/A</v>
      </c>
      <c r="CD319" s="14" t="e">
        <f t="shared" si="140"/>
        <v>#N/A</v>
      </c>
      <c r="CE319" s="14">
        <f t="shared" si="141"/>
        <v>28</v>
      </c>
      <c r="CF319" s="2">
        <f t="shared" si="142"/>
        <v>1</v>
      </c>
      <c r="CG319" s="270"/>
      <c r="CH319" s="2"/>
      <c r="CL319" s="349" t="e">
        <f t="shared" si="121"/>
        <v>#N/A</v>
      </c>
      <c r="CM319" s="349" t="e">
        <f t="shared" si="122"/>
        <v>#N/A</v>
      </c>
      <c r="CN319" s="349" t="e">
        <f t="shared" si="123"/>
        <v>#N/A</v>
      </c>
      <c r="CO319" s="349" t="e">
        <f t="shared" si="124"/>
        <v>#N/A</v>
      </c>
      <c r="CP319" s="349" t="e">
        <f t="shared" si="125"/>
        <v>#N/A</v>
      </c>
      <c r="CQ319" s="14"/>
      <c r="CY319" s="2"/>
    </row>
    <row r="320" spans="1:103" s="1" customFormat="1" ht="29.4" customHeight="1">
      <c r="A320" s="46">
        <v>7</v>
      </c>
      <c r="B320" s="363">
        <v>9</v>
      </c>
      <c r="C320" s="363">
        <v>350</v>
      </c>
      <c r="D320" s="362"/>
      <c r="E320" s="362"/>
      <c r="F320" s="363"/>
      <c r="G320" s="312" t="s">
        <v>1991</v>
      </c>
      <c r="H320" s="312" t="s">
        <v>1991</v>
      </c>
      <c r="I320" s="312" t="s">
        <v>1991</v>
      </c>
      <c r="J320" s="312"/>
      <c r="K320" s="312" t="s">
        <v>1991</v>
      </c>
      <c r="L320" s="312" t="s">
        <v>1991</v>
      </c>
      <c r="M320" s="312" t="s">
        <v>1991</v>
      </c>
      <c r="N320" s="312" t="s">
        <v>1991</v>
      </c>
      <c r="O320" s="312" t="s">
        <v>1991</v>
      </c>
      <c r="P320" s="312" t="s">
        <v>1991</v>
      </c>
      <c r="Q320" s="312">
        <v>0</v>
      </c>
      <c r="R320" s="312" t="s">
        <v>1991</v>
      </c>
      <c r="S320" s="312" t="s">
        <v>1991</v>
      </c>
      <c r="T320" s="323" t="s">
        <v>1991</v>
      </c>
      <c r="U320" s="312" t="s">
        <v>1991</v>
      </c>
      <c r="V320" s="46" t="s">
        <v>1991</v>
      </c>
      <c r="W320" s="46" t="s">
        <v>1991</v>
      </c>
      <c r="X320" s="46">
        <v>0</v>
      </c>
      <c r="Y320" s="46" t="s">
        <v>1991</v>
      </c>
      <c r="Z320" s="46" t="s">
        <v>1991</v>
      </c>
      <c r="AA320" s="46" t="s">
        <v>1991</v>
      </c>
      <c r="AB320" s="46" t="s">
        <v>1991</v>
      </c>
      <c r="AC320" s="46" t="s">
        <v>1991</v>
      </c>
      <c r="AD320" s="46" t="s">
        <v>1991</v>
      </c>
      <c r="AE320" s="46" t="s">
        <v>1991</v>
      </c>
      <c r="AF320" s="46" t="s">
        <v>1991</v>
      </c>
      <c r="AG320" s="46" t="s">
        <v>1991</v>
      </c>
      <c r="AH320" s="46" t="s">
        <v>1991</v>
      </c>
      <c r="AI320" s="46" t="s">
        <v>1991</v>
      </c>
      <c r="AJ320" s="46" t="s">
        <v>1991</v>
      </c>
      <c r="AK320" s="46" t="s">
        <v>1991</v>
      </c>
      <c r="AL320" s="327"/>
      <c r="AM320" s="327">
        <v>0</v>
      </c>
      <c r="AN320" s="327" t="s">
        <v>1991</v>
      </c>
      <c r="AO320" s="327" t="s">
        <v>1991</v>
      </c>
      <c r="AP320" s="327"/>
      <c r="AQ320" s="327"/>
      <c r="AR320" s="327"/>
      <c r="AS320" s="327" t="s">
        <v>1991</v>
      </c>
      <c r="AT320" s="327" t="s">
        <v>1991</v>
      </c>
      <c r="AU320" s="327"/>
      <c r="AV320" s="327"/>
      <c r="AW320" s="327"/>
      <c r="AX320" s="327"/>
      <c r="AY320" s="327"/>
      <c r="AZ320" s="327"/>
      <c r="BA320" s="327"/>
      <c r="BB320" s="46">
        <f t="shared" si="126"/>
        <v>13</v>
      </c>
      <c r="BC320" s="46">
        <f t="shared" si="143"/>
        <v>15</v>
      </c>
      <c r="BD320" s="46">
        <f t="shared" si="127"/>
        <v>4</v>
      </c>
      <c r="BE320" s="46">
        <f t="shared" si="128"/>
        <v>4</v>
      </c>
      <c r="BF320" s="296">
        <f t="shared" si="129"/>
        <v>28</v>
      </c>
      <c r="BG320" s="2"/>
      <c r="BH320" s="2"/>
      <c r="BI320" s="2"/>
      <c r="BJ320" s="2"/>
      <c r="BK320" s="279">
        <f t="shared" si="144"/>
        <v>0</v>
      </c>
      <c r="BL320" s="279">
        <f t="shared" si="130"/>
        <v>28</v>
      </c>
      <c r="BM320" s="279"/>
      <c r="BN320" s="279"/>
      <c r="BO320" s="2">
        <f t="shared" si="131"/>
        <v>28</v>
      </c>
      <c r="BP320" s="430"/>
      <c r="BQ320" s="431"/>
      <c r="BR320" s="2"/>
      <c r="BS320" s="25"/>
      <c r="BT320" s="348">
        <f t="shared" si="132"/>
        <v>1</v>
      </c>
      <c r="BU320" s="2"/>
      <c r="BV320" s="282">
        <f t="shared" si="133"/>
        <v>0</v>
      </c>
      <c r="BW320" s="369"/>
      <c r="BX320" s="269">
        <f t="shared" si="134"/>
        <v>0</v>
      </c>
      <c r="BY320" s="349" t="e">
        <f t="shared" si="135"/>
        <v>#N/A</v>
      </c>
      <c r="BZ320" s="349" t="e">
        <f t="shared" si="136"/>
        <v>#N/A</v>
      </c>
      <c r="CA320" s="349" t="e">
        <f t="shared" si="137"/>
        <v>#N/A</v>
      </c>
      <c r="CB320" s="349" t="e">
        <f t="shared" si="138"/>
        <v>#N/A</v>
      </c>
      <c r="CC320" s="349" t="e">
        <f t="shared" si="139"/>
        <v>#N/A</v>
      </c>
      <c r="CD320" s="14" t="e">
        <f t="shared" si="140"/>
        <v>#N/A</v>
      </c>
      <c r="CE320" s="14">
        <f t="shared" ref="CE320:CE386" si="145">IF(CF320&gt;0,BF320,0)</f>
        <v>28</v>
      </c>
      <c r="CF320" s="2">
        <f t="shared" si="142"/>
        <v>1</v>
      </c>
      <c r="CG320" s="270"/>
      <c r="CH320" s="2"/>
      <c r="CL320" s="349" t="e">
        <f t="shared" si="121"/>
        <v>#N/A</v>
      </c>
      <c r="CM320" s="349" t="e">
        <f t="shared" si="122"/>
        <v>#N/A</v>
      </c>
      <c r="CN320" s="349" t="e">
        <f t="shared" si="123"/>
        <v>#N/A</v>
      </c>
      <c r="CO320" s="349" t="e">
        <f t="shared" si="124"/>
        <v>#N/A</v>
      </c>
      <c r="CP320" s="349" t="e">
        <f t="shared" si="125"/>
        <v>#N/A</v>
      </c>
      <c r="CQ320" s="14"/>
      <c r="CY320" s="2"/>
    </row>
    <row r="321" spans="1:103" s="1" customFormat="1" ht="29.4" customHeight="1">
      <c r="A321" s="46">
        <v>8</v>
      </c>
      <c r="B321" s="363">
        <v>9</v>
      </c>
      <c r="C321" s="363">
        <v>351</v>
      </c>
      <c r="D321" s="362"/>
      <c r="E321" s="362"/>
      <c r="F321" s="363"/>
      <c r="G321" s="312" t="s">
        <v>1991</v>
      </c>
      <c r="H321" s="312" t="s">
        <v>1991</v>
      </c>
      <c r="I321" s="312" t="s">
        <v>1991</v>
      </c>
      <c r="J321" s="312"/>
      <c r="K321" s="312" t="s">
        <v>1991</v>
      </c>
      <c r="L321" s="312" t="s">
        <v>1991</v>
      </c>
      <c r="M321" s="312" t="s">
        <v>1991</v>
      </c>
      <c r="N321" s="312" t="s">
        <v>1991</v>
      </c>
      <c r="O321" s="312" t="s">
        <v>1991</v>
      </c>
      <c r="P321" s="312" t="s">
        <v>1991</v>
      </c>
      <c r="Q321" s="312">
        <v>0</v>
      </c>
      <c r="R321" s="312" t="s">
        <v>1991</v>
      </c>
      <c r="S321" s="312" t="s">
        <v>1991</v>
      </c>
      <c r="T321" s="323" t="s">
        <v>1991</v>
      </c>
      <c r="U321" s="312" t="s">
        <v>1991</v>
      </c>
      <c r="V321" s="46" t="s">
        <v>1991</v>
      </c>
      <c r="W321" s="46" t="s">
        <v>1991</v>
      </c>
      <c r="X321" s="46">
        <v>0</v>
      </c>
      <c r="Y321" s="46" t="s">
        <v>1991</v>
      </c>
      <c r="Z321" s="46" t="s">
        <v>1991</v>
      </c>
      <c r="AA321" s="46" t="s">
        <v>1991</v>
      </c>
      <c r="AB321" s="46" t="s">
        <v>1991</v>
      </c>
      <c r="AC321" s="46" t="s">
        <v>1991</v>
      </c>
      <c r="AD321" s="46" t="s">
        <v>1991</v>
      </c>
      <c r="AE321" s="46" t="s">
        <v>1991</v>
      </c>
      <c r="AF321" s="46" t="s">
        <v>1991</v>
      </c>
      <c r="AG321" s="46" t="s">
        <v>1991</v>
      </c>
      <c r="AH321" s="46" t="s">
        <v>1991</v>
      </c>
      <c r="AI321" s="46" t="s">
        <v>1991</v>
      </c>
      <c r="AJ321" s="46" t="s">
        <v>1991</v>
      </c>
      <c r="AK321" s="46" t="s">
        <v>1991</v>
      </c>
      <c r="AL321" s="327"/>
      <c r="AM321" s="327">
        <v>0</v>
      </c>
      <c r="AN321" s="327" t="s">
        <v>1991</v>
      </c>
      <c r="AO321" s="327" t="s">
        <v>1991</v>
      </c>
      <c r="AP321" s="327"/>
      <c r="AQ321" s="327"/>
      <c r="AR321" s="327"/>
      <c r="AS321" s="327" t="s">
        <v>1991</v>
      </c>
      <c r="AT321" s="327" t="s">
        <v>1991</v>
      </c>
      <c r="AU321" s="327"/>
      <c r="AV321" s="327"/>
      <c r="AW321" s="327"/>
      <c r="AX321" s="327"/>
      <c r="AY321" s="327"/>
      <c r="AZ321" s="327"/>
      <c r="BA321" s="327"/>
      <c r="BB321" s="46">
        <f t="shared" si="126"/>
        <v>13</v>
      </c>
      <c r="BC321" s="46">
        <f t="shared" si="143"/>
        <v>15</v>
      </c>
      <c r="BD321" s="46">
        <f t="shared" si="127"/>
        <v>4</v>
      </c>
      <c r="BE321" s="46">
        <f t="shared" si="128"/>
        <v>4</v>
      </c>
      <c r="BF321" s="296">
        <f t="shared" si="129"/>
        <v>28</v>
      </c>
      <c r="BG321" s="2"/>
      <c r="BH321" s="2"/>
      <c r="BI321" s="2"/>
      <c r="BJ321" s="2"/>
      <c r="BK321" s="279">
        <f t="shared" ref="BK321:BK352" si="146">IF(BO321&gt;=31,1,0)</f>
        <v>0</v>
      </c>
      <c r="BL321" s="279">
        <f t="shared" si="130"/>
        <v>28</v>
      </c>
      <c r="BM321" s="279"/>
      <c r="BN321" s="279"/>
      <c r="BO321" s="2">
        <f t="shared" si="131"/>
        <v>28</v>
      </c>
      <c r="BP321" s="430"/>
      <c r="BQ321" s="431"/>
      <c r="BR321" s="2"/>
      <c r="BS321" s="25"/>
      <c r="BT321" s="348">
        <f t="shared" si="132"/>
        <v>1</v>
      </c>
      <c r="BU321" s="2"/>
      <c r="BV321" s="282">
        <f t="shared" si="133"/>
        <v>0</v>
      </c>
      <c r="BW321" s="369"/>
      <c r="BX321" s="269">
        <f t="shared" si="134"/>
        <v>0</v>
      </c>
      <c r="BY321" s="349" t="e">
        <f t="shared" si="135"/>
        <v>#N/A</v>
      </c>
      <c r="BZ321" s="349" t="e">
        <f t="shared" si="136"/>
        <v>#N/A</v>
      </c>
      <c r="CA321" s="349" t="e">
        <f t="shared" si="137"/>
        <v>#N/A</v>
      </c>
      <c r="CB321" s="349" t="e">
        <f t="shared" si="138"/>
        <v>#N/A</v>
      </c>
      <c r="CC321" s="349" t="e">
        <f t="shared" si="139"/>
        <v>#N/A</v>
      </c>
      <c r="CD321" s="14" t="e">
        <f t="shared" ref="CD321:CD355" si="147">CC321-BB321</f>
        <v>#N/A</v>
      </c>
      <c r="CE321" s="14">
        <f t="shared" si="145"/>
        <v>28</v>
      </c>
      <c r="CF321" s="2">
        <f t="shared" si="142"/>
        <v>1</v>
      </c>
      <c r="CG321" s="270"/>
      <c r="CH321" s="2"/>
      <c r="CL321" s="349" t="e">
        <f t="shared" si="121"/>
        <v>#N/A</v>
      </c>
      <c r="CM321" s="349" t="e">
        <f t="shared" si="122"/>
        <v>#N/A</v>
      </c>
      <c r="CN321" s="349" t="e">
        <f t="shared" si="123"/>
        <v>#N/A</v>
      </c>
      <c r="CO321" s="349" t="e">
        <f t="shared" si="124"/>
        <v>#N/A</v>
      </c>
      <c r="CP321" s="349" t="e">
        <f t="shared" si="125"/>
        <v>#N/A</v>
      </c>
      <c r="CQ321" s="14"/>
      <c r="CY321" s="2"/>
    </row>
    <row r="322" spans="1:103" s="1" customFormat="1" ht="29.4" customHeight="1">
      <c r="A322" s="46">
        <v>9</v>
      </c>
      <c r="B322" s="363">
        <v>9</v>
      </c>
      <c r="C322" s="363">
        <v>352</v>
      </c>
      <c r="D322" s="362"/>
      <c r="E322" s="362"/>
      <c r="F322" s="363"/>
      <c r="G322" s="312" t="s">
        <v>1991</v>
      </c>
      <c r="H322" s="312" t="s">
        <v>1991</v>
      </c>
      <c r="I322" s="312" t="s">
        <v>1991</v>
      </c>
      <c r="J322" s="312" t="s">
        <v>1991</v>
      </c>
      <c r="K322" s="312" t="s">
        <v>1991</v>
      </c>
      <c r="L322" s="312" t="s">
        <v>1991</v>
      </c>
      <c r="M322" s="312" t="s">
        <v>1991</v>
      </c>
      <c r="N322" s="312" t="s">
        <v>1991</v>
      </c>
      <c r="O322" s="312" t="s">
        <v>1991</v>
      </c>
      <c r="P322" s="312">
        <v>0</v>
      </c>
      <c r="Q322" s="312" t="s">
        <v>1991</v>
      </c>
      <c r="R322" s="312" t="s">
        <v>1991</v>
      </c>
      <c r="S322" s="312" t="s">
        <v>1991</v>
      </c>
      <c r="T322" s="323" t="s">
        <v>1991</v>
      </c>
      <c r="U322" s="312" t="s">
        <v>1991</v>
      </c>
      <c r="V322" s="46" t="s">
        <v>1991</v>
      </c>
      <c r="W322" s="46" t="s">
        <v>1991</v>
      </c>
      <c r="X322" s="46" t="s">
        <v>1991</v>
      </c>
      <c r="Y322" s="46" t="s">
        <v>1991</v>
      </c>
      <c r="Z322" s="46" t="s">
        <v>1991</v>
      </c>
      <c r="AA322" s="46" t="s">
        <v>1991</v>
      </c>
      <c r="AB322" s="46" t="s">
        <v>1991</v>
      </c>
      <c r="AC322" s="46" t="s">
        <v>1991</v>
      </c>
      <c r="AD322" s="46">
        <v>0</v>
      </c>
      <c r="AE322" s="46" t="s">
        <v>1991</v>
      </c>
      <c r="AF322" s="46" t="s">
        <v>1991</v>
      </c>
      <c r="AG322" s="46" t="s">
        <v>1991</v>
      </c>
      <c r="AH322" s="46" t="s">
        <v>1991</v>
      </c>
      <c r="AI322" s="46" t="s">
        <v>1991</v>
      </c>
      <c r="AJ322" s="46" t="s">
        <v>1991</v>
      </c>
      <c r="AK322" s="46" t="s">
        <v>1991</v>
      </c>
      <c r="AL322" s="327"/>
      <c r="AM322" s="327" t="s">
        <v>1991</v>
      </c>
      <c r="AN322" s="327" t="s">
        <v>1991</v>
      </c>
      <c r="AO322" s="327" t="s">
        <v>1991</v>
      </c>
      <c r="AP322" s="327"/>
      <c r="AQ322" s="327"/>
      <c r="AR322" s="327"/>
      <c r="AS322" s="327">
        <v>0</v>
      </c>
      <c r="AT322" s="327" t="s">
        <v>1991</v>
      </c>
      <c r="AU322" s="327"/>
      <c r="AV322" s="327"/>
      <c r="AW322" s="327"/>
      <c r="AX322" s="327"/>
      <c r="AY322" s="327"/>
      <c r="AZ322" s="327"/>
      <c r="BA322" s="327"/>
      <c r="BB322" s="46">
        <f t="shared" si="126"/>
        <v>14</v>
      </c>
      <c r="BC322" s="46">
        <f t="shared" si="143"/>
        <v>15</v>
      </c>
      <c r="BD322" s="46">
        <f t="shared" si="127"/>
        <v>4</v>
      </c>
      <c r="BE322" s="46">
        <f t="shared" si="128"/>
        <v>4</v>
      </c>
      <c r="BF322" s="296">
        <f t="shared" ref="BF322:BF388" si="148">BB322+BC322</f>
        <v>29</v>
      </c>
      <c r="BG322" s="2"/>
      <c r="BH322" s="2"/>
      <c r="BI322" s="2"/>
      <c r="BJ322" s="2"/>
      <c r="BK322" s="279">
        <f t="shared" si="146"/>
        <v>0</v>
      </c>
      <c r="BL322" s="279">
        <f t="shared" si="130"/>
        <v>29</v>
      </c>
      <c r="BM322" s="279"/>
      <c r="BN322" s="279"/>
      <c r="BO322" s="2">
        <f t="shared" si="131"/>
        <v>29</v>
      </c>
      <c r="BP322" s="430"/>
      <c r="BQ322" s="431"/>
      <c r="BR322" s="2"/>
      <c r="BS322" s="25"/>
      <c r="BT322" s="348">
        <f t="shared" si="132"/>
        <v>1</v>
      </c>
      <c r="BU322" s="2"/>
      <c r="BV322" s="282">
        <f t="shared" si="133"/>
        <v>0</v>
      </c>
      <c r="BW322" s="369"/>
      <c r="BX322" s="269">
        <f t="shared" si="134"/>
        <v>0</v>
      </c>
      <c r="BY322" s="349" t="e">
        <f t="shared" si="135"/>
        <v>#N/A</v>
      </c>
      <c r="BZ322" s="349" t="e">
        <f t="shared" si="136"/>
        <v>#N/A</v>
      </c>
      <c r="CA322" s="349" t="e">
        <f t="shared" si="137"/>
        <v>#N/A</v>
      </c>
      <c r="CB322" s="349" t="e">
        <f t="shared" si="138"/>
        <v>#N/A</v>
      </c>
      <c r="CC322" s="349" t="e">
        <f t="shared" si="139"/>
        <v>#N/A</v>
      </c>
      <c r="CD322" s="14" t="e">
        <f t="shared" si="147"/>
        <v>#N/A</v>
      </c>
      <c r="CE322" s="14">
        <f t="shared" si="145"/>
        <v>29</v>
      </c>
      <c r="CF322" s="2">
        <f t="shared" si="142"/>
        <v>1</v>
      </c>
      <c r="CG322" s="270"/>
      <c r="CH322" s="2"/>
      <c r="CL322" s="349" t="e">
        <f t="shared" si="121"/>
        <v>#N/A</v>
      </c>
      <c r="CM322" s="349" t="e">
        <f t="shared" si="122"/>
        <v>#N/A</v>
      </c>
      <c r="CN322" s="349" t="e">
        <f t="shared" si="123"/>
        <v>#N/A</v>
      </c>
      <c r="CO322" s="349" t="e">
        <f t="shared" si="124"/>
        <v>#N/A</v>
      </c>
      <c r="CP322" s="349" t="e">
        <f t="shared" si="125"/>
        <v>#N/A</v>
      </c>
      <c r="CQ322" s="14"/>
      <c r="CY322" s="2"/>
    </row>
    <row r="323" spans="1:103" s="1" customFormat="1" ht="29.4" customHeight="1">
      <c r="A323" s="46">
        <v>10</v>
      </c>
      <c r="B323" s="363">
        <v>9</v>
      </c>
      <c r="C323" s="363">
        <v>353</v>
      </c>
      <c r="D323" s="362"/>
      <c r="E323" s="362"/>
      <c r="F323" s="363"/>
      <c r="G323" s="312" t="s">
        <v>1991</v>
      </c>
      <c r="H323" s="312" t="s">
        <v>1991</v>
      </c>
      <c r="I323" s="312" t="s">
        <v>1991</v>
      </c>
      <c r="J323" s="312"/>
      <c r="K323" s="312">
        <v>0</v>
      </c>
      <c r="L323" s="312" t="s">
        <v>1991</v>
      </c>
      <c r="M323" s="312" t="s">
        <v>1991</v>
      </c>
      <c r="N323" s="312" t="s">
        <v>1991</v>
      </c>
      <c r="O323" s="312" t="s">
        <v>1991</v>
      </c>
      <c r="P323" s="312" t="s">
        <v>1991</v>
      </c>
      <c r="Q323" s="312" t="s">
        <v>1991</v>
      </c>
      <c r="R323" s="312" t="s">
        <v>1991</v>
      </c>
      <c r="S323" s="312" t="s">
        <v>1991</v>
      </c>
      <c r="T323" s="323" t="s">
        <v>1991</v>
      </c>
      <c r="U323" s="312" t="s">
        <v>1991</v>
      </c>
      <c r="V323" s="46" t="s">
        <v>1991</v>
      </c>
      <c r="W323" s="46" t="s">
        <v>1991</v>
      </c>
      <c r="X323" s="46" t="s">
        <v>1991</v>
      </c>
      <c r="Y323" s="46" t="s">
        <v>1991</v>
      </c>
      <c r="Z323" s="46" t="s">
        <v>1991</v>
      </c>
      <c r="AA323" s="46" t="s">
        <v>1991</v>
      </c>
      <c r="AB323" s="46" t="s">
        <v>1991</v>
      </c>
      <c r="AC323" s="46" t="s">
        <v>1991</v>
      </c>
      <c r="AD323" s="46" t="s">
        <v>1991</v>
      </c>
      <c r="AE323" s="46" t="s">
        <v>1991</v>
      </c>
      <c r="AF323" s="46" t="s">
        <v>1991</v>
      </c>
      <c r="AG323" s="46">
        <v>0</v>
      </c>
      <c r="AH323" s="46" t="s">
        <v>1991</v>
      </c>
      <c r="AI323" s="46" t="s">
        <v>1991</v>
      </c>
      <c r="AJ323" s="46" t="s">
        <v>1991</v>
      </c>
      <c r="AK323" s="46" t="s">
        <v>1991</v>
      </c>
      <c r="AL323" s="327"/>
      <c r="AM323" s="327" t="s">
        <v>1991</v>
      </c>
      <c r="AN323" s="327" t="s">
        <v>1991</v>
      </c>
      <c r="AO323" s="327" t="s">
        <v>1991</v>
      </c>
      <c r="AP323" s="327"/>
      <c r="AQ323" s="327"/>
      <c r="AR323" s="327"/>
      <c r="AS323" s="327">
        <v>0</v>
      </c>
      <c r="AT323" s="327"/>
      <c r="AU323" s="327"/>
      <c r="AV323" s="327"/>
      <c r="AW323" s="327"/>
      <c r="AX323" s="327"/>
      <c r="AY323" s="327"/>
      <c r="AZ323" s="327"/>
      <c r="BA323" s="327"/>
      <c r="BB323" s="46">
        <f t="shared" si="126"/>
        <v>13</v>
      </c>
      <c r="BC323" s="46">
        <f t="shared" si="143"/>
        <v>15</v>
      </c>
      <c r="BD323" s="46">
        <f t="shared" si="127"/>
        <v>3</v>
      </c>
      <c r="BE323" s="46">
        <f t="shared" si="128"/>
        <v>3</v>
      </c>
      <c r="BF323" s="296">
        <f t="shared" si="148"/>
        <v>28</v>
      </c>
      <c r="BG323" s="2"/>
      <c r="BH323" s="2"/>
      <c r="BI323" s="2"/>
      <c r="BJ323" s="2"/>
      <c r="BK323" s="279">
        <f t="shared" si="146"/>
        <v>0</v>
      </c>
      <c r="BL323" s="279">
        <f t="shared" si="130"/>
        <v>28</v>
      </c>
      <c r="BM323" s="279"/>
      <c r="BN323" s="279"/>
      <c r="BO323" s="2">
        <f t="shared" si="131"/>
        <v>28</v>
      </c>
      <c r="BP323" s="430"/>
      <c r="BQ323" s="431"/>
      <c r="BR323" s="2"/>
      <c r="BS323" s="25"/>
      <c r="BT323" s="348">
        <f t="shared" si="132"/>
        <v>1</v>
      </c>
      <c r="BU323" s="2"/>
      <c r="BV323" s="282">
        <f t="shared" si="133"/>
        <v>0</v>
      </c>
      <c r="BW323" s="369"/>
      <c r="BX323" s="269">
        <f t="shared" si="134"/>
        <v>0</v>
      </c>
      <c r="BY323" s="349" t="e">
        <f t="shared" si="135"/>
        <v>#N/A</v>
      </c>
      <c r="BZ323" s="349" t="e">
        <f t="shared" si="136"/>
        <v>#N/A</v>
      </c>
      <c r="CA323" s="349" t="e">
        <f t="shared" si="137"/>
        <v>#N/A</v>
      </c>
      <c r="CB323" s="349" t="e">
        <f t="shared" si="138"/>
        <v>#N/A</v>
      </c>
      <c r="CC323" s="349" t="e">
        <f t="shared" si="139"/>
        <v>#N/A</v>
      </c>
      <c r="CD323" s="14" t="e">
        <f t="shared" si="147"/>
        <v>#N/A</v>
      </c>
      <c r="CE323" s="14">
        <f t="shared" si="145"/>
        <v>28</v>
      </c>
      <c r="CF323" s="2">
        <f t="shared" si="142"/>
        <v>1</v>
      </c>
      <c r="CG323" s="270"/>
      <c r="CH323" s="2"/>
      <c r="CL323" s="349" t="e">
        <f t="shared" si="121"/>
        <v>#N/A</v>
      </c>
      <c r="CM323" s="349" t="e">
        <f t="shared" si="122"/>
        <v>#N/A</v>
      </c>
      <c r="CN323" s="349" t="e">
        <f t="shared" si="123"/>
        <v>#N/A</v>
      </c>
      <c r="CO323" s="349" t="e">
        <f t="shared" si="124"/>
        <v>#N/A</v>
      </c>
      <c r="CP323" s="349" t="e">
        <f t="shared" si="125"/>
        <v>#N/A</v>
      </c>
      <c r="CQ323" s="14"/>
      <c r="CY323" s="2"/>
    </row>
    <row r="324" spans="1:103" s="1" customFormat="1" ht="29.4" customHeight="1">
      <c r="A324" s="46">
        <v>11</v>
      </c>
      <c r="B324" s="363">
        <v>9</v>
      </c>
      <c r="C324" s="363">
        <v>354</v>
      </c>
      <c r="D324" s="362"/>
      <c r="E324" s="362"/>
      <c r="F324" s="363"/>
      <c r="G324" s="312" t="s">
        <v>1991</v>
      </c>
      <c r="H324" s="312" t="s">
        <v>1991</v>
      </c>
      <c r="I324" s="312" t="s">
        <v>1991</v>
      </c>
      <c r="J324" s="312"/>
      <c r="K324" s="312">
        <v>0</v>
      </c>
      <c r="L324" s="312" t="s">
        <v>1991</v>
      </c>
      <c r="M324" s="312" t="s">
        <v>1991</v>
      </c>
      <c r="N324" s="312" t="s">
        <v>1991</v>
      </c>
      <c r="O324" s="312" t="s">
        <v>1991</v>
      </c>
      <c r="P324" s="312" t="s">
        <v>1991</v>
      </c>
      <c r="Q324" s="312" t="s">
        <v>1991</v>
      </c>
      <c r="R324" s="312" t="s">
        <v>1991</v>
      </c>
      <c r="S324" s="312" t="s">
        <v>1991</v>
      </c>
      <c r="T324" s="323" t="s">
        <v>1991</v>
      </c>
      <c r="U324" s="312" t="s">
        <v>1991</v>
      </c>
      <c r="V324" s="46" t="s">
        <v>1991</v>
      </c>
      <c r="W324" s="46" t="s">
        <v>1991</v>
      </c>
      <c r="X324" s="46" t="s">
        <v>1991</v>
      </c>
      <c r="Y324" s="46" t="s">
        <v>1991</v>
      </c>
      <c r="Z324" s="46" t="s">
        <v>1991</v>
      </c>
      <c r="AA324" s="46" t="s">
        <v>1991</v>
      </c>
      <c r="AB324" s="46" t="s">
        <v>1991</v>
      </c>
      <c r="AC324" s="46" t="s">
        <v>1991</v>
      </c>
      <c r="AD324" s="46" t="s">
        <v>1991</v>
      </c>
      <c r="AE324" s="46">
        <v>0</v>
      </c>
      <c r="AF324" s="46" t="s">
        <v>1991</v>
      </c>
      <c r="AG324" s="46" t="s">
        <v>1991</v>
      </c>
      <c r="AH324" s="46" t="s">
        <v>1991</v>
      </c>
      <c r="AI324" s="46" t="s">
        <v>1991</v>
      </c>
      <c r="AJ324" s="46" t="s">
        <v>1991</v>
      </c>
      <c r="AK324" s="46" t="s">
        <v>1991</v>
      </c>
      <c r="AL324" s="327"/>
      <c r="AM324" s="327">
        <v>0</v>
      </c>
      <c r="AN324" s="327" t="s">
        <v>1991</v>
      </c>
      <c r="AO324" s="327" t="s">
        <v>1991</v>
      </c>
      <c r="AP324" s="327"/>
      <c r="AQ324" s="327"/>
      <c r="AR324" s="327"/>
      <c r="AS324" s="327">
        <v>0</v>
      </c>
      <c r="AT324" s="327" t="s">
        <v>1991</v>
      </c>
      <c r="AU324" s="327"/>
      <c r="AV324" s="327"/>
      <c r="AW324" s="327"/>
      <c r="AX324" s="327"/>
      <c r="AY324" s="327"/>
      <c r="AZ324" s="327"/>
      <c r="BA324" s="327"/>
      <c r="BB324" s="46">
        <f t="shared" si="126"/>
        <v>13</v>
      </c>
      <c r="BC324" s="46">
        <f t="shared" si="143"/>
        <v>15</v>
      </c>
      <c r="BD324" s="46">
        <f t="shared" si="127"/>
        <v>3</v>
      </c>
      <c r="BE324" s="46">
        <f t="shared" si="128"/>
        <v>3</v>
      </c>
      <c r="BF324" s="296">
        <f t="shared" si="148"/>
        <v>28</v>
      </c>
      <c r="BG324" s="2"/>
      <c r="BH324" s="2"/>
      <c r="BI324" s="2"/>
      <c r="BJ324" s="2"/>
      <c r="BK324" s="279">
        <f t="shared" si="146"/>
        <v>0</v>
      </c>
      <c r="BL324" s="279">
        <f t="shared" si="130"/>
        <v>28</v>
      </c>
      <c r="BM324" s="279"/>
      <c r="BN324" s="279"/>
      <c r="BO324" s="2">
        <f t="shared" si="131"/>
        <v>28</v>
      </c>
      <c r="BP324" s="430"/>
      <c r="BQ324" s="431"/>
      <c r="BR324" s="2"/>
      <c r="BS324" s="25"/>
      <c r="BT324" s="348">
        <f t="shared" si="132"/>
        <v>1</v>
      </c>
      <c r="BU324" s="2"/>
      <c r="BV324" s="282">
        <f t="shared" si="133"/>
        <v>0</v>
      </c>
      <c r="BW324" s="369"/>
      <c r="BX324" s="269">
        <f t="shared" si="134"/>
        <v>0</v>
      </c>
      <c r="BY324" s="349" t="e">
        <f t="shared" si="135"/>
        <v>#N/A</v>
      </c>
      <c r="BZ324" s="349" t="e">
        <f t="shared" si="136"/>
        <v>#N/A</v>
      </c>
      <c r="CA324" s="349" t="e">
        <f t="shared" si="137"/>
        <v>#N/A</v>
      </c>
      <c r="CB324" s="349" t="e">
        <f t="shared" si="138"/>
        <v>#N/A</v>
      </c>
      <c r="CC324" s="349" t="e">
        <f t="shared" si="139"/>
        <v>#N/A</v>
      </c>
      <c r="CD324" s="14" t="e">
        <f t="shared" si="147"/>
        <v>#N/A</v>
      </c>
      <c r="CE324" s="14">
        <f t="shared" si="145"/>
        <v>28</v>
      </c>
      <c r="CF324" s="2">
        <f t="shared" si="142"/>
        <v>1</v>
      </c>
      <c r="CG324" s="270"/>
      <c r="CH324" s="2"/>
      <c r="CL324" s="349" t="e">
        <f t="shared" si="121"/>
        <v>#N/A</v>
      </c>
      <c r="CM324" s="349" t="e">
        <f t="shared" si="122"/>
        <v>#N/A</v>
      </c>
      <c r="CN324" s="349" t="e">
        <f t="shared" si="123"/>
        <v>#N/A</v>
      </c>
      <c r="CO324" s="349" t="e">
        <f t="shared" si="124"/>
        <v>#N/A</v>
      </c>
      <c r="CP324" s="349" t="e">
        <f t="shared" si="125"/>
        <v>#N/A</v>
      </c>
      <c r="CQ324" s="14"/>
      <c r="CY324" s="2"/>
    </row>
    <row r="325" spans="1:103" s="1" customFormat="1" ht="29.4" customHeight="1">
      <c r="A325" s="46">
        <v>12</v>
      </c>
      <c r="B325" s="363">
        <v>9</v>
      </c>
      <c r="C325" s="363">
        <v>355</v>
      </c>
      <c r="D325" s="362"/>
      <c r="E325" s="362"/>
      <c r="F325" s="363"/>
      <c r="G325" s="312" t="s">
        <v>1991</v>
      </c>
      <c r="H325" s="312" t="s">
        <v>1991</v>
      </c>
      <c r="I325" s="312" t="s">
        <v>1991</v>
      </c>
      <c r="J325" s="312"/>
      <c r="K325" s="312">
        <v>0</v>
      </c>
      <c r="L325" s="312" t="s">
        <v>1991</v>
      </c>
      <c r="M325" s="312" t="s">
        <v>1991</v>
      </c>
      <c r="N325" s="312" t="s">
        <v>1991</v>
      </c>
      <c r="O325" s="312" t="s">
        <v>1991</v>
      </c>
      <c r="P325" s="312" t="s">
        <v>1991</v>
      </c>
      <c r="Q325" s="312" t="s">
        <v>1991</v>
      </c>
      <c r="R325" s="312" t="s">
        <v>1991</v>
      </c>
      <c r="S325" s="312" t="s">
        <v>1991</v>
      </c>
      <c r="T325" s="323" t="s">
        <v>1991</v>
      </c>
      <c r="U325" s="312" t="s">
        <v>1991</v>
      </c>
      <c r="V325" s="46" t="s">
        <v>1991</v>
      </c>
      <c r="W325" s="46" t="s">
        <v>1991</v>
      </c>
      <c r="X325" s="46" t="s">
        <v>1991</v>
      </c>
      <c r="Y325" s="46" t="s">
        <v>1991</v>
      </c>
      <c r="Z325" s="46" t="s">
        <v>1991</v>
      </c>
      <c r="AA325" s="46" t="s">
        <v>1991</v>
      </c>
      <c r="AB325" s="46" t="s">
        <v>1991</v>
      </c>
      <c r="AC325" s="46" t="s">
        <v>1991</v>
      </c>
      <c r="AD325" s="46" t="s">
        <v>1991</v>
      </c>
      <c r="AE325" s="46" t="s">
        <v>1991</v>
      </c>
      <c r="AF325" s="46" t="s">
        <v>1991</v>
      </c>
      <c r="AG325" s="46" t="s">
        <v>1991</v>
      </c>
      <c r="AH325" s="46" t="s">
        <v>1991</v>
      </c>
      <c r="AI325" s="46" t="s">
        <v>1991</v>
      </c>
      <c r="AJ325" s="46" t="s">
        <v>1991</v>
      </c>
      <c r="AK325" s="46" t="s">
        <v>1991</v>
      </c>
      <c r="AL325" s="327"/>
      <c r="AM325" s="327" t="s">
        <v>1991</v>
      </c>
      <c r="AN325" s="327">
        <v>0</v>
      </c>
      <c r="AO325" s="327">
        <v>0</v>
      </c>
      <c r="AP325" s="327"/>
      <c r="AQ325" s="327"/>
      <c r="AR325" s="327"/>
      <c r="AS325" s="327" t="s">
        <v>1991</v>
      </c>
      <c r="AT325" s="327"/>
      <c r="AU325" s="327"/>
      <c r="AV325" s="327"/>
      <c r="AW325" s="327"/>
      <c r="AX325" s="327"/>
      <c r="AY325" s="327"/>
      <c r="AZ325" s="327"/>
      <c r="BA325" s="327"/>
      <c r="BB325" s="46">
        <f t="shared" si="126"/>
        <v>13</v>
      </c>
      <c r="BC325" s="46">
        <f t="shared" si="143"/>
        <v>16</v>
      </c>
      <c r="BD325" s="46">
        <f t="shared" si="127"/>
        <v>2</v>
      </c>
      <c r="BE325" s="46">
        <f t="shared" si="128"/>
        <v>2</v>
      </c>
      <c r="BF325" s="296">
        <f t="shared" si="148"/>
        <v>29</v>
      </c>
      <c r="BG325" s="2"/>
      <c r="BH325" s="2"/>
      <c r="BI325" s="2"/>
      <c r="BJ325" s="2"/>
      <c r="BK325" s="279">
        <f t="shared" si="146"/>
        <v>0</v>
      </c>
      <c r="BL325" s="279">
        <f t="shared" si="130"/>
        <v>29</v>
      </c>
      <c r="BM325" s="279"/>
      <c r="BN325" s="279"/>
      <c r="BO325" s="2">
        <f t="shared" si="131"/>
        <v>29</v>
      </c>
      <c r="BP325" s="430"/>
      <c r="BQ325" s="431"/>
      <c r="BR325" s="2"/>
      <c r="BS325" s="25"/>
      <c r="BT325" s="348">
        <f t="shared" si="132"/>
        <v>1</v>
      </c>
      <c r="BU325" s="2"/>
      <c r="BV325" s="282">
        <f t="shared" si="133"/>
        <v>0</v>
      </c>
      <c r="BW325" s="369"/>
      <c r="BX325" s="269">
        <f t="shared" si="134"/>
        <v>0</v>
      </c>
      <c r="BY325" s="349" t="e">
        <f t="shared" si="135"/>
        <v>#N/A</v>
      </c>
      <c r="BZ325" s="349" t="e">
        <f t="shared" si="136"/>
        <v>#N/A</v>
      </c>
      <c r="CA325" s="349" t="e">
        <f t="shared" si="137"/>
        <v>#N/A</v>
      </c>
      <c r="CB325" s="349" t="e">
        <f t="shared" si="138"/>
        <v>#N/A</v>
      </c>
      <c r="CC325" s="349" t="e">
        <f t="shared" si="139"/>
        <v>#N/A</v>
      </c>
      <c r="CD325" s="14" t="e">
        <f t="shared" si="147"/>
        <v>#N/A</v>
      </c>
      <c r="CE325" s="14">
        <f t="shared" si="145"/>
        <v>29</v>
      </c>
      <c r="CF325" s="2">
        <f t="shared" si="142"/>
        <v>1</v>
      </c>
      <c r="CG325" s="270"/>
      <c r="CH325" s="2"/>
      <c r="CL325" s="349" t="e">
        <f t="shared" si="121"/>
        <v>#N/A</v>
      </c>
      <c r="CM325" s="349" t="e">
        <f t="shared" si="122"/>
        <v>#N/A</v>
      </c>
      <c r="CN325" s="349" t="e">
        <f t="shared" si="123"/>
        <v>#N/A</v>
      </c>
      <c r="CO325" s="349" t="e">
        <f t="shared" si="124"/>
        <v>#N/A</v>
      </c>
      <c r="CP325" s="349" t="e">
        <f t="shared" si="125"/>
        <v>#N/A</v>
      </c>
      <c r="CQ325" s="14"/>
      <c r="CY325" s="2"/>
    </row>
    <row r="326" spans="1:103" s="1" customFormat="1" ht="29.4" customHeight="1">
      <c r="A326" s="46">
        <v>13</v>
      </c>
      <c r="B326" s="363">
        <v>9</v>
      </c>
      <c r="C326" s="363">
        <v>356</v>
      </c>
      <c r="D326" s="362"/>
      <c r="E326" s="362"/>
      <c r="F326" s="363"/>
      <c r="G326" s="312" t="s">
        <v>1991</v>
      </c>
      <c r="H326" s="312" t="s">
        <v>1991</v>
      </c>
      <c r="I326" s="312" t="s">
        <v>1991</v>
      </c>
      <c r="J326" s="312"/>
      <c r="K326" s="312" t="s">
        <v>1991</v>
      </c>
      <c r="L326" s="312" t="s">
        <v>1991</v>
      </c>
      <c r="M326" s="312" t="s">
        <v>1991</v>
      </c>
      <c r="N326" s="312" t="s">
        <v>1991</v>
      </c>
      <c r="O326" s="312" t="s">
        <v>1991</v>
      </c>
      <c r="P326" s="312" t="s">
        <v>1991</v>
      </c>
      <c r="Q326" s="312">
        <v>0</v>
      </c>
      <c r="R326" s="312" t="s">
        <v>1991</v>
      </c>
      <c r="S326" s="312" t="s">
        <v>1991</v>
      </c>
      <c r="T326" s="323" t="s">
        <v>1991</v>
      </c>
      <c r="U326" s="312" t="s">
        <v>1991</v>
      </c>
      <c r="V326" s="46" t="s">
        <v>1991</v>
      </c>
      <c r="W326" s="46" t="s">
        <v>1991</v>
      </c>
      <c r="X326" s="46" t="s">
        <v>1991</v>
      </c>
      <c r="Y326" s="46" t="s">
        <v>1991</v>
      </c>
      <c r="Z326" s="46">
        <v>0</v>
      </c>
      <c r="AA326" s="46" t="s">
        <v>1991</v>
      </c>
      <c r="AB326" s="46" t="s">
        <v>1991</v>
      </c>
      <c r="AC326" s="46" t="s">
        <v>1991</v>
      </c>
      <c r="AD326" s="46" t="s">
        <v>1991</v>
      </c>
      <c r="AE326" s="46" t="s">
        <v>1991</v>
      </c>
      <c r="AF326" s="46" t="s">
        <v>1991</v>
      </c>
      <c r="AG326" s="46" t="s">
        <v>1991</v>
      </c>
      <c r="AH326" s="46" t="s">
        <v>1991</v>
      </c>
      <c r="AI326" s="46">
        <v>0</v>
      </c>
      <c r="AJ326" s="46" t="s">
        <v>1991</v>
      </c>
      <c r="AK326" s="46" t="s">
        <v>1991</v>
      </c>
      <c r="AL326" s="327"/>
      <c r="AM326" s="327" t="s">
        <v>1991</v>
      </c>
      <c r="AN326" s="327" t="s">
        <v>1991</v>
      </c>
      <c r="AO326" s="327" t="s">
        <v>1991</v>
      </c>
      <c r="AP326" s="327"/>
      <c r="AQ326" s="327"/>
      <c r="AR326" s="327"/>
      <c r="AS326" s="327" t="s">
        <v>1991</v>
      </c>
      <c r="AT326" s="327" t="s">
        <v>1991</v>
      </c>
      <c r="AU326" s="327"/>
      <c r="AV326" s="327"/>
      <c r="AW326" s="327"/>
      <c r="AX326" s="327"/>
      <c r="AY326" s="327"/>
      <c r="AZ326" s="327"/>
      <c r="BA326" s="327"/>
      <c r="BB326" s="46">
        <f t="shared" si="126"/>
        <v>13</v>
      </c>
      <c r="BC326" s="46">
        <f t="shared" si="143"/>
        <v>14</v>
      </c>
      <c r="BD326" s="46">
        <f t="shared" si="127"/>
        <v>5</v>
      </c>
      <c r="BE326" s="46">
        <f t="shared" si="128"/>
        <v>5</v>
      </c>
      <c r="BF326" s="296">
        <f t="shared" si="148"/>
        <v>27</v>
      </c>
      <c r="BG326" s="2"/>
      <c r="BH326" s="2"/>
      <c r="BI326" s="2"/>
      <c r="BJ326" s="2"/>
      <c r="BK326" s="279">
        <f t="shared" si="146"/>
        <v>0</v>
      </c>
      <c r="BL326" s="279">
        <f t="shared" si="130"/>
        <v>27</v>
      </c>
      <c r="BM326" s="279"/>
      <c r="BN326" s="279"/>
      <c r="BO326" s="2">
        <f t="shared" si="131"/>
        <v>27</v>
      </c>
      <c r="BP326" s="430"/>
      <c r="BQ326" s="431"/>
      <c r="BR326" s="2"/>
      <c r="BS326" s="25"/>
      <c r="BT326" s="348">
        <f t="shared" si="132"/>
        <v>1</v>
      </c>
      <c r="BU326" s="2"/>
      <c r="BV326" s="282">
        <f t="shared" si="133"/>
        <v>0</v>
      </c>
      <c r="BW326" s="369"/>
      <c r="BX326" s="269">
        <f t="shared" si="134"/>
        <v>0</v>
      </c>
      <c r="BY326" s="349" t="e">
        <f t="shared" si="135"/>
        <v>#N/A</v>
      </c>
      <c r="BZ326" s="349" t="e">
        <f t="shared" si="136"/>
        <v>#N/A</v>
      </c>
      <c r="CA326" s="349" t="e">
        <f t="shared" si="137"/>
        <v>#N/A</v>
      </c>
      <c r="CB326" s="349" t="e">
        <f t="shared" si="138"/>
        <v>#N/A</v>
      </c>
      <c r="CC326" s="349" t="e">
        <f t="shared" si="139"/>
        <v>#N/A</v>
      </c>
      <c r="CD326" s="14" t="e">
        <f t="shared" si="147"/>
        <v>#N/A</v>
      </c>
      <c r="CE326" s="14">
        <f t="shared" si="145"/>
        <v>27</v>
      </c>
      <c r="CF326" s="2">
        <f t="shared" si="142"/>
        <v>1</v>
      </c>
      <c r="CG326" s="270"/>
      <c r="CH326" s="2"/>
      <c r="CL326" s="349" t="e">
        <f t="shared" si="121"/>
        <v>#N/A</v>
      </c>
      <c r="CM326" s="349" t="e">
        <f t="shared" si="122"/>
        <v>#N/A</v>
      </c>
      <c r="CN326" s="349" t="e">
        <f t="shared" si="123"/>
        <v>#N/A</v>
      </c>
      <c r="CO326" s="349" t="e">
        <f t="shared" si="124"/>
        <v>#N/A</v>
      </c>
      <c r="CP326" s="349" t="e">
        <f t="shared" si="125"/>
        <v>#N/A</v>
      </c>
      <c r="CQ326" s="14"/>
      <c r="CY326" s="2"/>
    </row>
    <row r="327" spans="1:103" s="1" customFormat="1" ht="29.4" customHeight="1">
      <c r="A327" s="46">
        <v>14</v>
      </c>
      <c r="B327" s="363">
        <v>9</v>
      </c>
      <c r="C327" s="363">
        <v>357</v>
      </c>
      <c r="D327" s="362"/>
      <c r="E327" s="362"/>
      <c r="F327" s="363"/>
      <c r="G327" s="312" t="s">
        <v>1991</v>
      </c>
      <c r="H327" s="312" t="s">
        <v>1991</v>
      </c>
      <c r="I327" s="312" t="s">
        <v>1991</v>
      </c>
      <c r="J327" s="312"/>
      <c r="K327" s="312" t="s">
        <v>1991</v>
      </c>
      <c r="L327" s="312" t="s">
        <v>1991</v>
      </c>
      <c r="M327" s="312" t="s">
        <v>1991</v>
      </c>
      <c r="N327" s="312" t="s">
        <v>1991</v>
      </c>
      <c r="O327" s="312" t="s">
        <v>1991</v>
      </c>
      <c r="P327" s="312" t="s">
        <v>1991</v>
      </c>
      <c r="Q327" s="312" t="s">
        <v>1991</v>
      </c>
      <c r="R327" s="312" t="s">
        <v>1991</v>
      </c>
      <c r="S327" s="312" t="s">
        <v>1991</v>
      </c>
      <c r="T327" s="323" t="s">
        <v>1991</v>
      </c>
      <c r="U327" s="312" t="s">
        <v>1991</v>
      </c>
      <c r="V327" s="46" t="s">
        <v>1991</v>
      </c>
      <c r="W327" s="46" t="s">
        <v>1991</v>
      </c>
      <c r="X327" s="46" t="s">
        <v>1991</v>
      </c>
      <c r="Y327" s="46" t="s">
        <v>1991</v>
      </c>
      <c r="Z327" s="46" t="s">
        <v>1991</v>
      </c>
      <c r="AA327" s="46" t="s">
        <v>1991</v>
      </c>
      <c r="AB327" s="46" t="s">
        <v>1991</v>
      </c>
      <c r="AC327" s="46" t="s">
        <v>1991</v>
      </c>
      <c r="AD327" s="46" t="s">
        <v>1991</v>
      </c>
      <c r="AE327" s="46" t="s">
        <v>1991</v>
      </c>
      <c r="AF327" s="46" t="s">
        <v>1991</v>
      </c>
      <c r="AG327" s="46" t="s">
        <v>1991</v>
      </c>
      <c r="AH327" s="46" t="s">
        <v>1991</v>
      </c>
      <c r="AI327" s="46" t="s">
        <v>1991</v>
      </c>
      <c r="AJ327" s="46" t="s">
        <v>1991</v>
      </c>
      <c r="AK327" s="46" t="s">
        <v>1991</v>
      </c>
      <c r="AL327" s="327"/>
      <c r="AM327" s="327" t="s">
        <v>1991</v>
      </c>
      <c r="AN327" s="327" t="s">
        <v>1991</v>
      </c>
      <c r="AO327" s="327" t="s">
        <v>1991</v>
      </c>
      <c r="AP327" s="327"/>
      <c r="AQ327" s="327"/>
      <c r="AR327" s="327"/>
      <c r="AS327" s="327" t="s">
        <v>1991</v>
      </c>
      <c r="AT327" s="327" t="s">
        <v>1991</v>
      </c>
      <c r="AU327" s="327"/>
      <c r="AV327" s="327"/>
      <c r="AW327" s="327"/>
      <c r="AX327" s="327"/>
      <c r="AY327" s="327"/>
      <c r="AZ327" s="327"/>
      <c r="BA327" s="327"/>
      <c r="BB327" s="46">
        <f t="shared" si="126"/>
        <v>14</v>
      </c>
      <c r="BC327" s="46">
        <f t="shared" si="143"/>
        <v>16</v>
      </c>
      <c r="BD327" s="46">
        <f t="shared" si="127"/>
        <v>5</v>
      </c>
      <c r="BE327" s="46">
        <f t="shared" si="128"/>
        <v>5</v>
      </c>
      <c r="BF327" s="296">
        <f t="shared" si="148"/>
        <v>30</v>
      </c>
      <c r="BG327" s="2"/>
      <c r="BH327" s="2"/>
      <c r="BI327" s="2"/>
      <c r="BJ327" s="2"/>
      <c r="BK327" s="279">
        <f t="shared" si="146"/>
        <v>0</v>
      </c>
      <c r="BL327" s="279">
        <f t="shared" si="130"/>
        <v>30</v>
      </c>
      <c r="BM327" s="279"/>
      <c r="BN327" s="279"/>
      <c r="BO327" s="2">
        <f t="shared" si="131"/>
        <v>30</v>
      </c>
      <c r="BP327" s="430"/>
      <c r="BQ327" s="431"/>
      <c r="BR327" s="2"/>
      <c r="BS327" s="25"/>
      <c r="BT327" s="348">
        <f t="shared" si="132"/>
        <v>1</v>
      </c>
      <c r="BU327" s="2"/>
      <c r="BV327" s="282">
        <f t="shared" si="133"/>
        <v>0</v>
      </c>
      <c r="BW327" s="369"/>
      <c r="BX327" s="269">
        <f t="shared" si="134"/>
        <v>0</v>
      </c>
      <c r="BY327" s="349" t="e">
        <f t="shared" si="135"/>
        <v>#N/A</v>
      </c>
      <c r="BZ327" s="349" t="e">
        <f t="shared" si="136"/>
        <v>#N/A</v>
      </c>
      <c r="CA327" s="349" t="e">
        <f t="shared" si="137"/>
        <v>#N/A</v>
      </c>
      <c r="CB327" s="349" t="e">
        <f t="shared" si="138"/>
        <v>#N/A</v>
      </c>
      <c r="CC327" s="349" t="e">
        <f t="shared" si="139"/>
        <v>#N/A</v>
      </c>
      <c r="CD327" s="14" t="e">
        <f t="shared" si="147"/>
        <v>#N/A</v>
      </c>
      <c r="CE327" s="14">
        <f t="shared" si="145"/>
        <v>30</v>
      </c>
      <c r="CF327" s="2">
        <f t="shared" si="142"/>
        <v>1</v>
      </c>
      <c r="CG327" s="270"/>
      <c r="CH327" s="2"/>
      <c r="CL327" s="349" t="e">
        <f t="shared" si="121"/>
        <v>#N/A</v>
      </c>
      <c r="CM327" s="349" t="e">
        <f t="shared" si="122"/>
        <v>#N/A</v>
      </c>
      <c r="CN327" s="349" t="e">
        <f t="shared" si="123"/>
        <v>#N/A</v>
      </c>
      <c r="CO327" s="349" t="e">
        <f t="shared" si="124"/>
        <v>#N/A</v>
      </c>
      <c r="CP327" s="349" t="e">
        <f t="shared" si="125"/>
        <v>#N/A</v>
      </c>
      <c r="CQ327" s="14"/>
      <c r="CY327" s="2"/>
    </row>
    <row r="328" spans="1:103" s="1" customFormat="1" ht="29.4" customHeight="1">
      <c r="A328" s="46">
        <v>15</v>
      </c>
      <c r="B328" s="363">
        <v>9</v>
      </c>
      <c r="C328" s="363">
        <v>358</v>
      </c>
      <c r="D328" s="362"/>
      <c r="E328" s="362"/>
      <c r="F328" s="363"/>
      <c r="G328" s="312" t="s">
        <v>1991</v>
      </c>
      <c r="H328" s="312" t="s">
        <v>1991</v>
      </c>
      <c r="I328" s="312" t="s">
        <v>1991</v>
      </c>
      <c r="J328" s="312" t="s">
        <v>1991</v>
      </c>
      <c r="K328" s="312" t="s">
        <v>1991</v>
      </c>
      <c r="L328" s="312" t="s">
        <v>1991</v>
      </c>
      <c r="M328" s="312" t="s">
        <v>1991</v>
      </c>
      <c r="N328" s="312" t="s">
        <v>1991</v>
      </c>
      <c r="O328" s="312" t="s">
        <v>1991</v>
      </c>
      <c r="P328" s="312" t="s">
        <v>1991</v>
      </c>
      <c r="Q328" s="312" t="s">
        <v>1991</v>
      </c>
      <c r="R328" s="312" t="s">
        <v>1991</v>
      </c>
      <c r="S328" s="312" t="s">
        <v>1991</v>
      </c>
      <c r="T328" s="323" t="s">
        <v>1991</v>
      </c>
      <c r="U328" s="312" t="s">
        <v>1991</v>
      </c>
      <c r="V328" s="46" t="s">
        <v>1991</v>
      </c>
      <c r="W328" s="46" t="s">
        <v>1991</v>
      </c>
      <c r="X328" s="46" t="s">
        <v>1991</v>
      </c>
      <c r="Y328" s="46" t="s">
        <v>1991</v>
      </c>
      <c r="Z328" s="46" t="s">
        <v>1991</v>
      </c>
      <c r="AA328" s="46" t="s">
        <v>1991</v>
      </c>
      <c r="AB328" s="46" t="s">
        <v>1991</v>
      </c>
      <c r="AC328" s="46" t="s">
        <v>1991</v>
      </c>
      <c r="AD328" s="46" t="s">
        <v>1991</v>
      </c>
      <c r="AE328" s="46" t="s">
        <v>1991</v>
      </c>
      <c r="AF328" s="46" t="s">
        <v>1991</v>
      </c>
      <c r="AG328" s="46" t="s">
        <v>1991</v>
      </c>
      <c r="AH328" s="46" t="s">
        <v>1991</v>
      </c>
      <c r="AI328" s="46" t="s">
        <v>1991</v>
      </c>
      <c r="AJ328" s="46" t="s">
        <v>1991</v>
      </c>
      <c r="AK328" s="46" t="s">
        <v>1991</v>
      </c>
      <c r="AL328" s="327"/>
      <c r="AM328" s="327" t="s">
        <v>1991</v>
      </c>
      <c r="AN328" s="327" t="s">
        <v>1991</v>
      </c>
      <c r="AO328" s="327" t="s">
        <v>1991</v>
      </c>
      <c r="AP328" s="327"/>
      <c r="AQ328" s="327"/>
      <c r="AR328" s="327"/>
      <c r="AS328" s="327" t="s">
        <v>1991</v>
      </c>
      <c r="AT328" s="327" t="s">
        <v>1991</v>
      </c>
      <c r="AU328" s="327"/>
      <c r="AV328" s="327"/>
      <c r="AW328" s="327"/>
      <c r="AX328" s="327"/>
      <c r="AY328" s="327"/>
      <c r="AZ328" s="327"/>
      <c r="BA328" s="327"/>
      <c r="BB328" s="46">
        <f t="shared" si="126"/>
        <v>15</v>
      </c>
      <c r="BC328" s="46">
        <f t="shared" si="143"/>
        <v>16</v>
      </c>
      <c r="BD328" s="46">
        <f t="shared" si="127"/>
        <v>5</v>
      </c>
      <c r="BE328" s="46">
        <f t="shared" si="128"/>
        <v>5</v>
      </c>
      <c r="BF328" s="296">
        <f t="shared" si="148"/>
        <v>31</v>
      </c>
      <c r="BG328" s="2"/>
      <c r="BH328" s="2"/>
      <c r="BI328" s="2"/>
      <c r="BJ328" s="2"/>
      <c r="BK328" s="279">
        <f t="shared" si="146"/>
        <v>1</v>
      </c>
      <c r="BL328" s="279">
        <f t="shared" si="130"/>
        <v>31</v>
      </c>
      <c r="BM328" s="279"/>
      <c r="BN328" s="279"/>
      <c r="BO328" s="2">
        <f t="shared" si="131"/>
        <v>31</v>
      </c>
      <c r="BP328" s="430"/>
      <c r="BQ328" s="431"/>
      <c r="BR328" s="2"/>
      <c r="BS328" s="25"/>
      <c r="BT328" s="348">
        <f t="shared" si="132"/>
        <v>1</v>
      </c>
      <c r="BU328" s="2"/>
      <c r="BV328" s="282">
        <f t="shared" si="133"/>
        <v>0</v>
      </c>
      <c r="BW328" s="369"/>
      <c r="BX328" s="269">
        <f t="shared" si="134"/>
        <v>0</v>
      </c>
      <c r="BY328" s="349" t="e">
        <f t="shared" si="135"/>
        <v>#N/A</v>
      </c>
      <c r="BZ328" s="349" t="e">
        <f t="shared" si="136"/>
        <v>#N/A</v>
      </c>
      <c r="CA328" s="349" t="e">
        <f t="shared" si="137"/>
        <v>#N/A</v>
      </c>
      <c r="CB328" s="349" t="e">
        <f t="shared" si="138"/>
        <v>#N/A</v>
      </c>
      <c r="CC328" s="349" t="e">
        <f t="shared" si="139"/>
        <v>#N/A</v>
      </c>
      <c r="CD328" s="14" t="e">
        <f t="shared" si="147"/>
        <v>#N/A</v>
      </c>
      <c r="CE328" s="14">
        <f t="shared" si="145"/>
        <v>31</v>
      </c>
      <c r="CF328" s="2">
        <f t="shared" si="142"/>
        <v>1</v>
      </c>
      <c r="CG328" s="270"/>
      <c r="CH328" s="2"/>
      <c r="CL328" s="349" t="e">
        <f t="shared" si="121"/>
        <v>#N/A</v>
      </c>
      <c r="CM328" s="349" t="e">
        <f t="shared" si="122"/>
        <v>#N/A</v>
      </c>
      <c r="CN328" s="349" t="e">
        <f t="shared" si="123"/>
        <v>#N/A</v>
      </c>
      <c r="CO328" s="349" t="e">
        <f t="shared" si="124"/>
        <v>#N/A</v>
      </c>
      <c r="CP328" s="349" t="e">
        <f t="shared" si="125"/>
        <v>#N/A</v>
      </c>
      <c r="CQ328" s="14"/>
      <c r="CY328" s="2"/>
    </row>
    <row r="329" spans="1:103" s="1" customFormat="1" ht="29.4" customHeight="1">
      <c r="A329" s="46">
        <v>16</v>
      </c>
      <c r="B329" s="363">
        <v>9</v>
      </c>
      <c r="C329" s="363">
        <v>359</v>
      </c>
      <c r="D329" s="362"/>
      <c r="E329" s="362"/>
      <c r="F329" s="363"/>
      <c r="G329" s="312">
        <v>0</v>
      </c>
      <c r="H329" s="312" t="s">
        <v>1991</v>
      </c>
      <c r="I329" s="312" t="s">
        <v>1991</v>
      </c>
      <c r="J329" s="312"/>
      <c r="K329" s="312" t="s">
        <v>1991</v>
      </c>
      <c r="L329" s="312" t="s">
        <v>1991</v>
      </c>
      <c r="M329" s="312" t="s">
        <v>1991</v>
      </c>
      <c r="N329" s="312" t="s">
        <v>1991</v>
      </c>
      <c r="O329" s="312" t="s">
        <v>1991</v>
      </c>
      <c r="P329" s="312">
        <v>0</v>
      </c>
      <c r="Q329" s="312" t="s">
        <v>1991</v>
      </c>
      <c r="R329" s="312" t="s">
        <v>1991</v>
      </c>
      <c r="S329" s="312" t="s">
        <v>1991</v>
      </c>
      <c r="T329" s="323" t="s">
        <v>1991</v>
      </c>
      <c r="U329" s="312" t="s">
        <v>1991</v>
      </c>
      <c r="V329" s="46" t="s">
        <v>1991</v>
      </c>
      <c r="W329" s="46" t="s">
        <v>1991</v>
      </c>
      <c r="X329" s="46" t="s">
        <v>1991</v>
      </c>
      <c r="Y329" s="46" t="s">
        <v>1991</v>
      </c>
      <c r="Z329" s="46" t="s">
        <v>1991</v>
      </c>
      <c r="AA329" s="46">
        <v>0</v>
      </c>
      <c r="AB329" s="46" t="s">
        <v>1991</v>
      </c>
      <c r="AC329" s="46" t="s">
        <v>1991</v>
      </c>
      <c r="AD329" s="46" t="s">
        <v>1991</v>
      </c>
      <c r="AE329" s="46" t="s">
        <v>1991</v>
      </c>
      <c r="AF329" s="46" t="s">
        <v>1991</v>
      </c>
      <c r="AG329" s="46" t="s">
        <v>1991</v>
      </c>
      <c r="AH329" s="46" t="s">
        <v>1991</v>
      </c>
      <c r="AI329" s="46">
        <v>0</v>
      </c>
      <c r="AJ329" s="46" t="s">
        <v>1991</v>
      </c>
      <c r="AK329" s="46" t="s">
        <v>1991</v>
      </c>
      <c r="AL329" s="327"/>
      <c r="AM329" s="327" t="s">
        <v>1991</v>
      </c>
      <c r="AN329" s="327" t="s">
        <v>1991</v>
      </c>
      <c r="AO329" s="327" t="s">
        <v>1991</v>
      </c>
      <c r="AP329" s="327"/>
      <c r="AQ329" s="327"/>
      <c r="AR329" s="327"/>
      <c r="AS329" s="327" t="s">
        <v>1991</v>
      </c>
      <c r="AT329" s="327"/>
      <c r="AU329" s="327"/>
      <c r="AV329" s="327"/>
      <c r="AW329" s="327"/>
      <c r="AX329" s="327"/>
      <c r="AY329" s="327"/>
      <c r="AZ329" s="327"/>
      <c r="BA329" s="327"/>
      <c r="BB329" s="46">
        <f t="shared" si="126"/>
        <v>12</v>
      </c>
      <c r="BC329" s="46">
        <f t="shared" si="143"/>
        <v>14</v>
      </c>
      <c r="BD329" s="46">
        <f t="shared" si="127"/>
        <v>4</v>
      </c>
      <c r="BE329" s="46">
        <f t="shared" si="128"/>
        <v>4</v>
      </c>
      <c r="BF329" s="296">
        <f t="shared" si="148"/>
        <v>26</v>
      </c>
      <c r="BG329" s="2"/>
      <c r="BH329" s="2"/>
      <c r="BI329" s="2"/>
      <c r="BJ329" s="2"/>
      <c r="BK329" s="279">
        <f t="shared" si="146"/>
        <v>0</v>
      </c>
      <c r="BL329" s="279">
        <f t="shared" si="130"/>
        <v>26</v>
      </c>
      <c r="BM329" s="279"/>
      <c r="BN329" s="279"/>
      <c r="BO329" s="2">
        <f t="shared" si="131"/>
        <v>26</v>
      </c>
      <c r="BP329" s="430"/>
      <c r="BQ329" s="431"/>
      <c r="BR329" s="2"/>
      <c r="BS329" s="25"/>
      <c r="BT329" s="348">
        <f t="shared" si="132"/>
        <v>1</v>
      </c>
      <c r="BU329" s="2"/>
      <c r="BV329" s="282">
        <f t="shared" si="133"/>
        <v>0</v>
      </c>
      <c r="BW329" s="369"/>
      <c r="BX329" s="269">
        <f t="shared" si="134"/>
        <v>0</v>
      </c>
      <c r="BY329" s="349" t="e">
        <f t="shared" si="135"/>
        <v>#N/A</v>
      </c>
      <c r="BZ329" s="349" t="e">
        <f t="shared" si="136"/>
        <v>#N/A</v>
      </c>
      <c r="CA329" s="349" t="e">
        <f t="shared" si="137"/>
        <v>#N/A</v>
      </c>
      <c r="CB329" s="349" t="e">
        <f t="shared" si="138"/>
        <v>#N/A</v>
      </c>
      <c r="CC329" s="349" t="e">
        <f t="shared" si="139"/>
        <v>#N/A</v>
      </c>
      <c r="CD329" s="14" t="e">
        <f t="shared" si="147"/>
        <v>#N/A</v>
      </c>
      <c r="CE329" s="14">
        <f t="shared" si="145"/>
        <v>26</v>
      </c>
      <c r="CF329" s="2">
        <f t="shared" si="142"/>
        <v>1</v>
      </c>
      <c r="CG329" s="270"/>
      <c r="CH329" s="2"/>
      <c r="CL329" s="349" t="e">
        <f t="shared" si="121"/>
        <v>#N/A</v>
      </c>
      <c r="CM329" s="349" t="e">
        <f t="shared" si="122"/>
        <v>#N/A</v>
      </c>
      <c r="CN329" s="349" t="e">
        <f t="shared" si="123"/>
        <v>#N/A</v>
      </c>
      <c r="CO329" s="349" t="e">
        <f t="shared" si="124"/>
        <v>#N/A</v>
      </c>
      <c r="CP329" s="349" t="e">
        <f t="shared" si="125"/>
        <v>#N/A</v>
      </c>
      <c r="CQ329" s="14"/>
      <c r="CY329" s="2"/>
    </row>
    <row r="330" spans="1:103" s="1" customFormat="1" ht="29.4" customHeight="1">
      <c r="A330" s="46">
        <v>17</v>
      </c>
      <c r="B330" s="363">
        <v>9</v>
      </c>
      <c r="C330" s="363">
        <v>360</v>
      </c>
      <c r="D330" s="362"/>
      <c r="E330" s="362"/>
      <c r="F330" s="363"/>
      <c r="G330" s="312" t="s">
        <v>1991</v>
      </c>
      <c r="H330" s="312" t="s">
        <v>1991</v>
      </c>
      <c r="I330" s="312" t="s">
        <v>1991</v>
      </c>
      <c r="J330" s="312"/>
      <c r="K330" s="312" t="s">
        <v>1991</v>
      </c>
      <c r="L330" s="312" t="s">
        <v>1991</v>
      </c>
      <c r="M330" s="312" t="s">
        <v>1991</v>
      </c>
      <c r="N330" s="312" t="s">
        <v>1991</v>
      </c>
      <c r="O330" s="312">
        <v>0</v>
      </c>
      <c r="P330" s="312" t="s">
        <v>1991</v>
      </c>
      <c r="Q330" s="312" t="s">
        <v>1991</v>
      </c>
      <c r="R330" s="312" t="s">
        <v>1991</v>
      </c>
      <c r="S330" s="312" t="s">
        <v>1991</v>
      </c>
      <c r="T330" s="323" t="s">
        <v>1991</v>
      </c>
      <c r="U330" s="312" t="s">
        <v>1991</v>
      </c>
      <c r="V330" s="46" t="s">
        <v>1991</v>
      </c>
      <c r="W330" s="46" t="s">
        <v>1991</v>
      </c>
      <c r="X330" s="46" t="s">
        <v>1991</v>
      </c>
      <c r="Y330" s="46" t="s">
        <v>1991</v>
      </c>
      <c r="Z330" s="46" t="s">
        <v>1991</v>
      </c>
      <c r="AA330" s="46" t="s">
        <v>1991</v>
      </c>
      <c r="AB330" s="46" t="s">
        <v>1991</v>
      </c>
      <c r="AC330" s="46" t="s">
        <v>1991</v>
      </c>
      <c r="AD330" s="46" t="s">
        <v>1991</v>
      </c>
      <c r="AE330" s="46" t="s">
        <v>1991</v>
      </c>
      <c r="AF330" s="46" t="s">
        <v>1991</v>
      </c>
      <c r="AG330" s="46" t="s">
        <v>1991</v>
      </c>
      <c r="AH330" s="46" t="s">
        <v>1991</v>
      </c>
      <c r="AI330" s="46" t="s">
        <v>1991</v>
      </c>
      <c r="AJ330" s="46">
        <v>0</v>
      </c>
      <c r="AK330" s="46" t="s">
        <v>1991</v>
      </c>
      <c r="AL330" s="327"/>
      <c r="AM330" s="327" t="s">
        <v>1991</v>
      </c>
      <c r="AN330" s="327" t="s">
        <v>1991</v>
      </c>
      <c r="AO330" s="327">
        <v>0</v>
      </c>
      <c r="AP330" s="327"/>
      <c r="AQ330" s="327"/>
      <c r="AR330" s="327"/>
      <c r="AS330" s="327">
        <v>0</v>
      </c>
      <c r="AT330" s="327"/>
      <c r="AU330" s="327"/>
      <c r="AV330" s="327"/>
      <c r="AW330" s="327"/>
      <c r="AX330" s="327"/>
      <c r="AY330" s="327"/>
      <c r="AZ330" s="327"/>
      <c r="BA330" s="327"/>
      <c r="BB330" s="46">
        <f t="shared" si="126"/>
        <v>13</v>
      </c>
      <c r="BC330" s="46">
        <f t="shared" si="143"/>
        <v>15</v>
      </c>
      <c r="BD330" s="46">
        <f t="shared" si="127"/>
        <v>2</v>
      </c>
      <c r="BE330" s="46">
        <f t="shared" si="128"/>
        <v>2</v>
      </c>
      <c r="BF330" s="296">
        <f t="shared" si="148"/>
        <v>28</v>
      </c>
      <c r="BG330" s="2"/>
      <c r="BH330" s="2"/>
      <c r="BI330" s="2"/>
      <c r="BJ330" s="2"/>
      <c r="BK330" s="279">
        <f t="shared" si="146"/>
        <v>0</v>
      </c>
      <c r="BL330" s="279">
        <f t="shared" si="130"/>
        <v>28</v>
      </c>
      <c r="BM330" s="279"/>
      <c r="BN330" s="279"/>
      <c r="BO330" s="2">
        <f t="shared" si="131"/>
        <v>28</v>
      </c>
      <c r="BP330" s="430"/>
      <c r="BQ330" s="431"/>
      <c r="BR330" s="2"/>
      <c r="BS330" s="25"/>
      <c r="BT330" s="348">
        <f t="shared" si="132"/>
        <v>1</v>
      </c>
      <c r="BU330" s="2"/>
      <c r="BV330" s="282">
        <f t="shared" si="133"/>
        <v>0</v>
      </c>
      <c r="BW330" s="369"/>
      <c r="BX330" s="269">
        <f t="shared" si="134"/>
        <v>0</v>
      </c>
      <c r="BY330" s="349" t="e">
        <f t="shared" si="135"/>
        <v>#N/A</v>
      </c>
      <c r="BZ330" s="349" t="e">
        <f t="shared" si="136"/>
        <v>#N/A</v>
      </c>
      <c r="CA330" s="349" t="e">
        <f t="shared" si="137"/>
        <v>#N/A</v>
      </c>
      <c r="CB330" s="349" t="e">
        <f t="shared" si="138"/>
        <v>#N/A</v>
      </c>
      <c r="CC330" s="349" t="e">
        <f t="shared" si="139"/>
        <v>#N/A</v>
      </c>
      <c r="CD330" s="14" t="e">
        <f t="shared" si="147"/>
        <v>#N/A</v>
      </c>
      <c r="CE330" s="14">
        <f t="shared" si="145"/>
        <v>28</v>
      </c>
      <c r="CF330" s="2">
        <f t="shared" si="142"/>
        <v>1</v>
      </c>
      <c r="CG330" s="270"/>
      <c r="CH330" s="2"/>
      <c r="CL330" s="349" t="e">
        <f t="shared" si="121"/>
        <v>#N/A</v>
      </c>
      <c r="CM330" s="349" t="e">
        <f t="shared" si="122"/>
        <v>#N/A</v>
      </c>
      <c r="CN330" s="349" t="e">
        <f t="shared" si="123"/>
        <v>#N/A</v>
      </c>
      <c r="CO330" s="349" t="e">
        <f t="shared" si="124"/>
        <v>#N/A</v>
      </c>
      <c r="CP330" s="349" t="e">
        <f t="shared" si="125"/>
        <v>#N/A</v>
      </c>
      <c r="CQ330" s="14"/>
      <c r="CY330" s="2"/>
    </row>
    <row r="331" spans="1:103" s="1" customFormat="1" ht="29.4" customHeight="1">
      <c r="A331" s="46">
        <v>18</v>
      </c>
      <c r="B331" s="363">
        <v>9</v>
      </c>
      <c r="C331" s="363">
        <v>361</v>
      </c>
      <c r="D331" s="362"/>
      <c r="E331" s="362"/>
      <c r="F331" s="363"/>
      <c r="G331" s="312" t="s">
        <v>1991</v>
      </c>
      <c r="H331" s="312" t="s">
        <v>1991</v>
      </c>
      <c r="I331" s="312" t="s">
        <v>1991</v>
      </c>
      <c r="J331" s="312"/>
      <c r="K331" s="312">
        <v>0</v>
      </c>
      <c r="L331" s="312" t="s">
        <v>1991</v>
      </c>
      <c r="M331" s="312" t="s">
        <v>1991</v>
      </c>
      <c r="N331" s="312" t="s">
        <v>1991</v>
      </c>
      <c r="O331" s="312" t="s">
        <v>1991</v>
      </c>
      <c r="P331" s="312" t="s">
        <v>1991</v>
      </c>
      <c r="Q331" s="312" t="s">
        <v>1991</v>
      </c>
      <c r="R331" s="312" t="s">
        <v>1991</v>
      </c>
      <c r="S331" s="312" t="s">
        <v>1991</v>
      </c>
      <c r="T331" s="323" t="s">
        <v>1991</v>
      </c>
      <c r="U331" s="312" t="s">
        <v>1991</v>
      </c>
      <c r="V331" s="46" t="s">
        <v>1991</v>
      </c>
      <c r="W331" s="46" t="s">
        <v>1991</v>
      </c>
      <c r="X331" s="46" t="s">
        <v>1991</v>
      </c>
      <c r="Y331" s="46" t="s">
        <v>1991</v>
      </c>
      <c r="Z331" s="46" t="s">
        <v>1991</v>
      </c>
      <c r="AA331" s="46" t="s">
        <v>1991</v>
      </c>
      <c r="AB331" s="46">
        <v>0</v>
      </c>
      <c r="AC331" s="46" t="s">
        <v>1991</v>
      </c>
      <c r="AD331" s="46" t="s">
        <v>1991</v>
      </c>
      <c r="AE331" s="46" t="s">
        <v>1991</v>
      </c>
      <c r="AF331" s="46" t="s">
        <v>1991</v>
      </c>
      <c r="AG331" s="46" t="s">
        <v>1991</v>
      </c>
      <c r="AH331" s="46" t="s">
        <v>1991</v>
      </c>
      <c r="AI331" s="46" t="s">
        <v>1991</v>
      </c>
      <c r="AJ331" s="46" t="s">
        <v>1991</v>
      </c>
      <c r="AK331" s="46" t="s">
        <v>1991</v>
      </c>
      <c r="AL331" s="327"/>
      <c r="AM331" s="327" t="s">
        <v>1991</v>
      </c>
      <c r="AN331" s="327" t="s">
        <v>1991</v>
      </c>
      <c r="AO331" s="327">
        <v>0</v>
      </c>
      <c r="AP331" s="327"/>
      <c r="AQ331" s="327"/>
      <c r="AR331" s="327"/>
      <c r="AS331" s="327" t="s">
        <v>1991</v>
      </c>
      <c r="AT331" s="327"/>
      <c r="AU331" s="327"/>
      <c r="AV331" s="327"/>
      <c r="AW331" s="327"/>
      <c r="AX331" s="327"/>
      <c r="AY331" s="327"/>
      <c r="AZ331" s="327"/>
      <c r="BA331" s="327"/>
      <c r="BB331" s="46">
        <f t="shared" si="126"/>
        <v>13</v>
      </c>
      <c r="BC331" s="46">
        <f t="shared" si="143"/>
        <v>15</v>
      </c>
      <c r="BD331" s="46">
        <f t="shared" si="127"/>
        <v>3</v>
      </c>
      <c r="BE331" s="46">
        <f t="shared" si="128"/>
        <v>3</v>
      </c>
      <c r="BF331" s="296">
        <f t="shared" si="148"/>
        <v>28</v>
      </c>
      <c r="BG331" s="2"/>
      <c r="BH331" s="2"/>
      <c r="BI331" s="2"/>
      <c r="BJ331" s="2"/>
      <c r="BK331" s="279">
        <f t="shared" si="146"/>
        <v>0</v>
      </c>
      <c r="BL331" s="279">
        <f t="shared" si="130"/>
        <v>28</v>
      </c>
      <c r="BM331" s="279"/>
      <c r="BN331" s="279"/>
      <c r="BO331" s="2">
        <f t="shared" si="131"/>
        <v>28</v>
      </c>
      <c r="BP331" s="430"/>
      <c r="BQ331" s="431"/>
      <c r="BR331" s="2"/>
      <c r="BS331" s="25"/>
      <c r="BT331" s="348">
        <f t="shared" si="132"/>
        <v>1</v>
      </c>
      <c r="BU331" s="2"/>
      <c r="BV331" s="282">
        <f t="shared" si="133"/>
        <v>0</v>
      </c>
      <c r="BW331" s="369"/>
      <c r="BX331" s="269">
        <f t="shared" si="134"/>
        <v>0</v>
      </c>
      <c r="BY331" s="349" t="e">
        <f t="shared" si="135"/>
        <v>#N/A</v>
      </c>
      <c r="BZ331" s="349" t="e">
        <f t="shared" si="136"/>
        <v>#N/A</v>
      </c>
      <c r="CA331" s="349" t="e">
        <f t="shared" si="137"/>
        <v>#N/A</v>
      </c>
      <c r="CB331" s="349" t="e">
        <f t="shared" si="138"/>
        <v>#N/A</v>
      </c>
      <c r="CC331" s="349" t="e">
        <f t="shared" si="139"/>
        <v>#N/A</v>
      </c>
      <c r="CD331" s="14" t="e">
        <f t="shared" si="147"/>
        <v>#N/A</v>
      </c>
      <c r="CE331" s="14">
        <f t="shared" si="145"/>
        <v>28</v>
      </c>
      <c r="CF331" s="2">
        <f t="shared" si="142"/>
        <v>1</v>
      </c>
      <c r="CG331" s="270"/>
      <c r="CH331" s="2"/>
      <c r="CL331" s="349" t="e">
        <f t="shared" si="121"/>
        <v>#N/A</v>
      </c>
      <c r="CM331" s="349" t="e">
        <f t="shared" si="122"/>
        <v>#N/A</v>
      </c>
      <c r="CN331" s="349" t="e">
        <f t="shared" si="123"/>
        <v>#N/A</v>
      </c>
      <c r="CO331" s="349" t="e">
        <f t="shared" si="124"/>
        <v>#N/A</v>
      </c>
      <c r="CP331" s="349" t="e">
        <f t="shared" si="125"/>
        <v>#N/A</v>
      </c>
      <c r="CQ331" s="14"/>
      <c r="CY331" s="2"/>
    </row>
    <row r="332" spans="1:103" s="1" customFormat="1" ht="29.4" customHeight="1">
      <c r="A332" s="46">
        <v>19</v>
      </c>
      <c r="B332" s="363">
        <v>9</v>
      </c>
      <c r="C332" s="363">
        <v>362</v>
      </c>
      <c r="D332" s="362"/>
      <c r="E332" s="362"/>
      <c r="F332" s="363"/>
      <c r="G332" s="312">
        <v>0</v>
      </c>
      <c r="H332" s="312" t="s">
        <v>1991</v>
      </c>
      <c r="I332" s="312" t="s">
        <v>1991</v>
      </c>
      <c r="J332" s="312"/>
      <c r="K332" s="312">
        <v>0</v>
      </c>
      <c r="L332" s="312" t="s">
        <v>1991</v>
      </c>
      <c r="M332" s="312">
        <v>0</v>
      </c>
      <c r="N332" s="312" t="s">
        <v>1991</v>
      </c>
      <c r="O332" s="312" t="s">
        <v>1991</v>
      </c>
      <c r="P332" s="312" t="s">
        <v>1991</v>
      </c>
      <c r="Q332" s="312" t="s">
        <v>1991</v>
      </c>
      <c r="R332" s="312" t="s">
        <v>1991</v>
      </c>
      <c r="S332" s="312" t="s">
        <v>1991</v>
      </c>
      <c r="T332" s="323">
        <v>0</v>
      </c>
      <c r="U332" s="312" t="s">
        <v>1991</v>
      </c>
      <c r="V332" s="46" t="s">
        <v>1991</v>
      </c>
      <c r="W332" s="46" t="s">
        <v>1991</v>
      </c>
      <c r="X332" s="46" t="s">
        <v>1991</v>
      </c>
      <c r="Y332" s="46" t="s">
        <v>1991</v>
      </c>
      <c r="Z332" s="46" t="s">
        <v>1991</v>
      </c>
      <c r="AA332" s="46" t="s">
        <v>1991</v>
      </c>
      <c r="AB332" s="46">
        <v>0</v>
      </c>
      <c r="AC332" s="46" t="s">
        <v>1991</v>
      </c>
      <c r="AD332" s="46" t="s">
        <v>1991</v>
      </c>
      <c r="AE332" s="46" t="s">
        <v>1991</v>
      </c>
      <c r="AF332" s="46" t="s">
        <v>1991</v>
      </c>
      <c r="AG332" s="46" t="s">
        <v>1991</v>
      </c>
      <c r="AH332" s="46" t="s">
        <v>1991</v>
      </c>
      <c r="AI332" s="46" t="s">
        <v>1991</v>
      </c>
      <c r="AJ332" s="46" t="s">
        <v>1991</v>
      </c>
      <c r="AK332" s="46" t="s">
        <v>1991</v>
      </c>
      <c r="AL332" s="327"/>
      <c r="AM332" s="327">
        <v>0</v>
      </c>
      <c r="AN332" s="327">
        <v>0</v>
      </c>
      <c r="AO332" s="327" t="s">
        <v>1991</v>
      </c>
      <c r="AP332" s="327"/>
      <c r="AQ332" s="327"/>
      <c r="AR332" s="327"/>
      <c r="AS332" s="327" t="s">
        <v>1991</v>
      </c>
      <c r="AT332" s="327"/>
      <c r="AU332" s="327"/>
      <c r="AV332" s="327"/>
      <c r="AW332" s="327"/>
      <c r="AX332" s="327"/>
      <c r="AY332" s="327"/>
      <c r="AZ332" s="327"/>
      <c r="BA332" s="327"/>
      <c r="BB332" s="46">
        <f t="shared" si="126"/>
        <v>10</v>
      </c>
      <c r="BC332" s="46">
        <f t="shared" si="143"/>
        <v>15</v>
      </c>
      <c r="BD332" s="46">
        <f t="shared" si="127"/>
        <v>2</v>
      </c>
      <c r="BE332" s="46">
        <f t="shared" si="128"/>
        <v>2</v>
      </c>
      <c r="BF332" s="296">
        <f t="shared" si="148"/>
        <v>25</v>
      </c>
      <c r="BG332" s="2"/>
      <c r="BH332" s="2"/>
      <c r="BI332" s="2"/>
      <c r="BJ332" s="2"/>
      <c r="BK332" s="279">
        <f t="shared" si="146"/>
        <v>0</v>
      </c>
      <c r="BL332" s="279">
        <f t="shared" si="130"/>
        <v>25</v>
      </c>
      <c r="BM332" s="279"/>
      <c r="BN332" s="279"/>
      <c r="BO332" s="2">
        <f t="shared" si="131"/>
        <v>0</v>
      </c>
      <c r="BP332" s="430"/>
      <c r="BQ332" s="431"/>
      <c r="BR332" s="2"/>
      <c r="BS332" s="25"/>
      <c r="BT332" s="348">
        <f t="shared" si="132"/>
        <v>0</v>
      </c>
      <c r="BU332" s="2"/>
      <c r="BV332" s="282">
        <f t="shared" si="133"/>
        <v>0</v>
      </c>
      <c r="BW332" s="369"/>
      <c r="BX332" s="269">
        <f t="shared" si="134"/>
        <v>0</v>
      </c>
      <c r="BY332" s="349" t="e">
        <f t="shared" si="135"/>
        <v>#N/A</v>
      </c>
      <c r="BZ332" s="349" t="e">
        <f t="shared" si="136"/>
        <v>#N/A</v>
      </c>
      <c r="CA332" s="349" t="e">
        <f t="shared" si="137"/>
        <v>#N/A</v>
      </c>
      <c r="CB332" s="349" t="e">
        <f t="shared" si="138"/>
        <v>#N/A</v>
      </c>
      <c r="CC332" s="349" t="e">
        <f t="shared" si="139"/>
        <v>#N/A</v>
      </c>
      <c r="CD332" s="14" t="e">
        <f t="shared" si="147"/>
        <v>#N/A</v>
      </c>
      <c r="CE332" s="14">
        <f t="shared" si="145"/>
        <v>0</v>
      </c>
      <c r="CF332" s="2">
        <f t="shared" si="142"/>
        <v>0</v>
      </c>
      <c r="CG332" s="270"/>
      <c r="CH332" s="2"/>
      <c r="CL332" s="349" t="e">
        <f t="shared" si="121"/>
        <v>#N/A</v>
      </c>
      <c r="CM332" s="349" t="e">
        <f t="shared" si="122"/>
        <v>#N/A</v>
      </c>
      <c r="CN332" s="349" t="e">
        <f t="shared" si="123"/>
        <v>#N/A</v>
      </c>
      <c r="CO332" s="349" t="e">
        <f t="shared" si="124"/>
        <v>#N/A</v>
      </c>
      <c r="CP332" s="349" t="e">
        <f t="shared" si="125"/>
        <v>#N/A</v>
      </c>
      <c r="CQ332" s="14"/>
      <c r="CY332" s="2"/>
    </row>
    <row r="333" spans="1:103" s="1" customFormat="1" ht="29.4" customHeight="1">
      <c r="A333" s="46">
        <v>20</v>
      </c>
      <c r="B333" s="363">
        <v>9</v>
      </c>
      <c r="C333" s="363">
        <v>363</v>
      </c>
      <c r="D333" s="362"/>
      <c r="E333" s="362"/>
      <c r="F333" s="363"/>
      <c r="G333" s="312">
        <v>0</v>
      </c>
      <c r="H333" s="312" t="s">
        <v>1991</v>
      </c>
      <c r="I333" s="312" t="s">
        <v>1991</v>
      </c>
      <c r="J333" s="312"/>
      <c r="K333" s="312" t="s">
        <v>1991</v>
      </c>
      <c r="L333" s="312" t="s">
        <v>1991</v>
      </c>
      <c r="M333" s="312" t="s">
        <v>1991</v>
      </c>
      <c r="N333" s="312" t="s">
        <v>1991</v>
      </c>
      <c r="O333" s="312" t="s">
        <v>1991</v>
      </c>
      <c r="P333" s="312" t="s">
        <v>1991</v>
      </c>
      <c r="Q333" s="312" t="s">
        <v>1991</v>
      </c>
      <c r="R333" s="312" t="s">
        <v>1991</v>
      </c>
      <c r="S333" s="312" t="s">
        <v>1991</v>
      </c>
      <c r="T333" s="323" t="s">
        <v>1991</v>
      </c>
      <c r="U333" s="312" t="s">
        <v>1991</v>
      </c>
      <c r="V333" s="46" t="s">
        <v>1991</v>
      </c>
      <c r="W333" s="46" t="s">
        <v>1991</v>
      </c>
      <c r="X333" s="46" t="s">
        <v>1991</v>
      </c>
      <c r="Y333" s="46" t="s">
        <v>1991</v>
      </c>
      <c r="Z333" s="46" t="s">
        <v>1991</v>
      </c>
      <c r="AA333" s="46" t="s">
        <v>1991</v>
      </c>
      <c r="AB333" s="46" t="s">
        <v>1991</v>
      </c>
      <c r="AC333" s="46">
        <v>0</v>
      </c>
      <c r="AD333" s="46">
        <v>0</v>
      </c>
      <c r="AE333" s="46">
        <v>0</v>
      </c>
      <c r="AF333" s="46" t="s">
        <v>1991</v>
      </c>
      <c r="AG333" s="46" t="s">
        <v>1991</v>
      </c>
      <c r="AH333" s="46" t="s">
        <v>1991</v>
      </c>
      <c r="AI333" s="46" t="s">
        <v>1991</v>
      </c>
      <c r="AJ333" s="46" t="s">
        <v>1991</v>
      </c>
      <c r="AK333" s="46" t="s">
        <v>1991</v>
      </c>
      <c r="AL333" s="327"/>
      <c r="AM333" s="327" t="s">
        <v>1991</v>
      </c>
      <c r="AN333" s="327" t="s">
        <v>1991</v>
      </c>
      <c r="AO333" s="327" t="s">
        <v>1991</v>
      </c>
      <c r="AP333" s="327"/>
      <c r="AQ333" s="327"/>
      <c r="AR333" s="327"/>
      <c r="AS333" s="327" t="s">
        <v>1991</v>
      </c>
      <c r="AT333" s="327"/>
      <c r="AU333" s="327"/>
      <c r="AV333" s="327"/>
      <c r="AW333" s="327"/>
      <c r="AX333" s="327"/>
      <c r="AY333" s="327"/>
      <c r="AZ333" s="327"/>
      <c r="BA333" s="327"/>
      <c r="BB333" s="46">
        <f t="shared" si="126"/>
        <v>13</v>
      </c>
      <c r="BC333" s="46">
        <f t="shared" si="143"/>
        <v>13</v>
      </c>
      <c r="BD333" s="46">
        <f t="shared" si="127"/>
        <v>4</v>
      </c>
      <c r="BE333" s="46">
        <f t="shared" si="128"/>
        <v>4</v>
      </c>
      <c r="BF333" s="296">
        <f t="shared" si="148"/>
        <v>26</v>
      </c>
      <c r="BG333" s="2"/>
      <c r="BH333" s="2"/>
      <c r="BI333" s="2"/>
      <c r="BJ333" s="2"/>
      <c r="BK333" s="279">
        <f t="shared" si="146"/>
        <v>0</v>
      </c>
      <c r="BL333" s="279">
        <f t="shared" si="130"/>
        <v>26</v>
      </c>
      <c r="BM333" s="279"/>
      <c r="BN333" s="279"/>
      <c r="BO333" s="2">
        <f t="shared" si="131"/>
        <v>26</v>
      </c>
      <c r="BP333" s="430"/>
      <c r="BQ333" s="431"/>
      <c r="BR333" s="2"/>
      <c r="BS333" s="25"/>
      <c r="BT333" s="348">
        <f t="shared" si="132"/>
        <v>1</v>
      </c>
      <c r="BU333" s="2"/>
      <c r="BV333" s="282">
        <f t="shared" si="133"/>
        <v>0</v>
      </c>
      <c r="BW333" s="369"/>
      <c r="BX333" s="269">
        <f t="shared" si="134"/>
        <v>0</v>
      </c>
      <c r="BY333" s="349" t="e">
        <f t="shared" si="135"/>
        <v>#N/A</v>
      </c>
      <c r="BZ333" s="349" t="e">
        <f t="shared" si="136"/>
        <v>#N/A</v>
      </c>
      <c r="CA333" s="349" t="e">
        <f t="shared" si="137"/>
        <v>#N/A</v>
      </c>
      <c r="CB333" s="349" t="e">
        <f t="shared" si="138"/>
        <v>#N/A</v>
      </c>
      <c r="CC333" s="349" t="e">
        <f t="shared" si="139"/>
        <v>#N/A</v>
      </c>
      <c r="CD333" s="14" t="e">
        <f t="shared" si="147"/>
        <v>#N/A</v>
      </c>
      <c r="CE333" s="14">
        <f t="shared" si="145"/>
        <v>26</v>
      </c>
      <c r="CF333" s="2">
        <f t="shared" si="142"/>
        <v>1</v>
      </c>
      <c r="CG333" s="270"/>
      <c r="CH333" s="2"/>
      <c r="CL333" s="349" t="e">
        <f t="shared" si="121"/>
        <v>#N/A</v>
      </c>
      <c r="CM333" s="349" t="e">
        <f t="shared" si="122"/>
        <v>#N/A</v>
      </c>
      <c r="CN333" s="349" t="e">
        <f t="shared" si="123"/>
        <v>#N/A</v>
      </c>
      <c r="CO333" s="349" t="e">
        <f t="shared" si="124"/>
        <v>#N/A</v>
      </c>
      <c r="CP333" s="349" t="e">
        <f t="shared" si="125"/>
        <v>#N/A</v>
      </c>
      <c r="CQ333" s="14"/>
      <c r="CY333" s="2"/>
    </row>
    <row r="334" spans="1:103" s="1" customFormat="1" ht="29.4" customHeight="1">
      <c r="A334" s="46">
        <v>21</v>
      </c>
      <c r="B334" s="363">
        <v>9</v>
      </c>
      <c r="C334" s="363">
        <v>364</v>
      </c>
      <c r="D334" s="362"/>
      <c r="E334" s="362"/>
      <c r="F334" s="363"/>
      <c r="G334" s="312">
        <v>0</v>
      </c>
      <c r="H334" s="312" t="s">
        <v>1991</v>
      </c>
      <c r="I334" s="312" t="s">
        <v>1991</v>
      </c>
      <c r="J334" s="312"/>
      <c r="K334" s="312" t="s">
        <v>1991</v>
      </c>
      <c r="L334" s="312" t="s">
        <v>1991</v>
      </c>
      <c r="M334" s="312" t="s">
        <v>1991</v>
      </c>
      <c r="N334" s="312" t="s">
        <v>1991</v>
      </c>
      <c r="O334" s="312" t="s">
        <v>1991</v>
      </c>
      <c r="P334" s="312" t="s">
        <v>1991</v>
      </c>
      <c r="Q334" s="312" t="s">
        <v>1991</v>
      </c>
      <c r="R334" s="312" t="s">
        <v>1991</v>
      </c>
      <c r="S334" s="312" t="s">
        <v>1991</v>
      </c>
      <c r="T334" s="323" t="s">
        <v>1991</v>
      </c>
      <c r="U334" s="312" t="s">
        <v>1991</v>
      </c>
      <c r="V334" s="46" t="s">
        <v>1991</v>
      </c>
      <c r="W334" s="46" t="s">
        <v>1991</v>
      </c>
      <c r="X334" s="46" t="s">
        <v>1991</v>
      </c>
      <c r="Y334" s="46" t="s">
        <v>1991</v>
      </c>
      <c r="Z334" s="46" t="s">
        <v>1991</v>
      </c>
      <c r="AA334" s="46" t="s">
        <v>1991</v>
      </c>
      <c r="AB334" s="46" t="s">
        <v>1991</v>
      </c>
      <c r="AC334" s="46">
        <v>0</v>
      </c>
      <c r="AD334" s="46">
        <v>0</v>
      </c>
      <c r="AE334" s="46">
        <v>0</v>
      </c>
      <c r="AF334" s="46" t="s">
        <v>1991</v>
      </c>
      <c r="AG334" s="46" t="s">
        <v>1991</v>
      </c>
      <c r="AH334" s="46" t="s">
        <v>1991</v>
      </c>
      <c r="AI334" s="46" t="s">
        <v>1991</v>
      </c>
      <c r="AJ334" s="46" t="s">
        <v>1991</v>
      </c>
      <c r="AK334" s="46" t="s">
        <v>1991</v>
      </c>
      <c r="AL334" s="327"/>
      <c r="AM334" s="327">
        <v>0</v>
      </c>
      <c r="AN334" s="327" t="s">
        <v>1991</v>
      </c>
      <c r="AO334" s="327" t="s">
        <v>1991</v>
      </c>
      <c r="AP334" s="327"/>
      <c r="AQ334" s="327"/>
      <c r="AR334" s="327"/>
      <c r="AS334" s="327" t="s">
        <v>1991</v>
      </c>
      <c r="AT334" s="327"/>
      <c r="AU334" s="327"/>
      <c r="AV334" s="327"/>
      <c r="AW334" s="327"/>
      <c r="AX334" s="327"/>
      <c r="AY334" s="327"/>
      <c r="AZ334" s="327"/>
      <c r="BA334" s="327"/>
      <c r="BB334" s="46">
        <f t="shared" si="126"/>
        <v>13</v>
      </c>
      <c r="BC334" s="46">
        <f t="shared" si="143"/>
        <v>13</v>
      </c>
      <c r="BD334" s="46">
        <f t="shared" si="127"/>
        <v>3</v>
      </c>
      <c r="BE334" s="46">
        <f t="shared" si="128"/>
        <v>3</v>
      </c>
      <c r="BF334" s="296">
        <f t="shared" si="148"/>
        <v>26</v>
      </c>
      <c r="BG334" s="2"/>
      <c r="BH334" s="2"/>
      <c r="BI334" s="2"/>
      <c r="BJ334" s="2"/>
      <c r="BK334" s="279">
        <f t="shared" si="146"/>
        <v>0</v>
      </c>
      <c r="BL334" s="279">
        <f t="shared" si="130"/>
        <v>26</v>
      </c>
      <c r="BM334" s="279"/>
      <c r="BN334" s="279"/>
      <c r="BO334" s="2">
        <f t="shared" si="131"/>
        <v>26</v>
      </c>
      <c r="BP334" s="430"/>
      <c r="BQ334" s="431"/>
      <c r="BR334" s="2"/>
      <c r="BS334" s="25"/>
      <c r="BT334" s="348">
        <f t="shared" si="132"/>
        <v>1</v>
      </c>
      <c r="BU334" s="2"/>
      <c r="BV334" s="282">
        <f t="shared" si="133"/>
        <v>0</v>
      </c>
      <c r="BW334" s="369"/>
      <c r="BX334" s="269">
        <f t="shared" si="134"/>
        <v>0</v>
      </c>
      <c r="BY334" s="349" t="e">
        <f t="shared" si="135"/>
        <v>#N/A</v>
      </c>
      <c r="BZ334" s="349" t="e">
        <f t="shared" si="136"/>
        <v>#N/A</v>
      </c>
      <c r="CA334" s="349" t="e">
        <f t="shared" si="137"/>
        <v>#N/A</v>
      </c>
      <c r="CB334" s="349" t="e">
        <f t="shared" si="138"/>
        <v>#N/A</v>
      </c>
      <c r="CC334" s="349" t="e">
        <f t="shared" si="139"/>
        <v>#N/A</v>
      </c>
      <c r="CD334" s="14" t="e">
        <f t="shared" si="147"/>
        <v>#N/A</v>
      </c>
      <c r="CE334" s="14">
        <f t="shared" si="145"/>
        <v>26</v>
      </c>
      <c r="CF334" s="2">
        <f t="shared" si="142"/>
        <v>1</v>
      </c>
      <c r="CG334" s="270"/>
      <c r="CH334" s="2"/>
      <c r="CL334" s="349" t="e">
        <f t="shared" si="121"/>
        <v>#N/A</v>
      </c>
      <c r="CM334" s="349" t="e">
        <f t="shared" si="122"/>
        <v>#N/A</v>
      </c>
      <c r="CN334" s="349" t="e">
        <f t="shared" si="123"/>
        <v>#N/A</v>
      </c>
      <c r="CO334" s="349" t="e">
        <f t="shared" si="124"/>
        <v>#N/A</v>
      </c>
      <c r="CP334" s="349" t="e">
        <f t="shared" si="125"/>
        <v>#N/A</v>
      </c>
      <c r="CQ334" s="14"/>
      <c r="CY334" s="2"/>
    </row>
    <row r="335" spans="1:103" s="1" customFormat="1" ht="29.4" customHeight="1">
      <c r="A335" s="46">
        <v>22</v>
      </c>
      <c r="B335" s="363">
        <v>9</v>
      </c>
      <c r="C335" s="363">
        <v>365</v>
      </c>
      <c r="D335" s="362"/>
      <c r="E335" s="362"/>
      <c r="F335" s="363"/>
      <c r="G335" s="312" t="s">
        <v>1991</v>
      </c>
      <c r="H335" s="312" t="s">
        <v>1991</v>
      </c>
      <c r="I335" s="312" t="s">
        <v>1991</v>
      </c>
      <c r="J335" s="312" t="s">
        <v>1991</v>
      </c>
      <c r="K335" s="312" t="s">
        <v>1991</v>
      </c>
      <c r="L335" s="312" t="s">
        <v>1991</v>
      </c>
      <c r="M335" s="312" t="s">
        <v>1991</v>
      </c>
      <c r="N335" s="312" t="s">
        <v>1991</v>
      </c>
      <c r="O335" s="312" t="s">
        <v>1991</v>
      </c>
      <c r="P335" s="312" t="s">
        <v>1991</v>
      </c>
      <c r="Q335" s="312" t="s">
        <v>1991</v>
      </c>
      <c r="R335" s="312" t="s">
        <v>1991</v>
      </c>
      <c r="S335" s="312" t="s">
        <v>1991</v>
      </c>
      <c r="T335" s="323" t="s">
        <v>1991</v>
      </c>
      <c r="U335" s="312" t="s">
        <v>1991</v>
      </c>
      <c r="V335" s="46" t="s">
        <v>1991</v>
      </c>
      <c r="W335" s="46" t="s">
        <v>1991</v>
      </c>
      <c r="X335" s="46" t="s">
        <v>1991</v>
      </c>
      <c r="Y335" s="46" t="s">
        <v>1991</v>
      </c>
      <c r="Z335" s="46" t="s">
        <v>1991</v>
      </c>
      <c r="AA335" s="46" t="s">
        <v>1991</v>
      </c>
      <c r="AB335" s="46" t="s">
        <v>1991</v>
      </c>
      <c r="AC335" s="46" t="s">
        <v>1991</v>
      </c>
      <c r="AD335" s="46" t="s">
        <v>1991</v>
      </c>
      <c r="AE335" s="46" t="s">
        <v>1991</v>
      </c>
      <c r="AF335" s="46" t="s">
        <v>1991</v>
      </c>
      <c r="AG335" s="46" t="s">
        <v>1991</v>
      </c>
      <c r="AH335" s="46" t="s">
        <v>1991</v>
      </c>
      <c r="AI335" s="46" t="s">
        <v>1991</v>
      </c>
      <c r="AJ335" s="46" t="s">
        <v>1991</v>
      </c>
      <c r="AK335" s="46" t="s">
        <v>1991</v>
      </c>
      <c r="AL335" s="327"/>
      <c r="AM335" s="327" t="s">
        <v>1991</v>
      </c>
      <c r="AN335" s="327" t="s">
        <v>1991</v>
      </c>
      <c r="AO335" s="327" t="s">
        <v>1991</v>
      </c>
      <c r="AP335" s="327"/>
      <c r="AQ335" s="327"/>
      <c r="AR335" s="327"/>
      <c r="AS335" s="327" t="s">
        <v>1991</v>
      </c>
      <c r="AT335" s="327" t="s">
        <v>1991</v>
      </c>
      <c r="AU335" s="327"/>
      <c r="AV335" s="327"/>
      <c r="AW335" s="327"/>
      <c r="AX335" s="327"/>
      <c r="AY335" s="327"/>
      <c r="AZ335" s="327"/>
      <c r="BA335" s="327"/>
      <c r="BB335" s="46">
        <f t="shared" si="126"/>
        <v>15</v>
      </c>
      <c r="BC335" s="46">
        <f t="shared" si="143"/>
        <v>16</v>
      </c>
      <c r="BD335" s="46">
        <f t="shared" si="127"/>
        <v>5</v>
      </c>
      <c r="BE335" s="46">
        <f t="shared" si="128"/>
        <v>5</v>
      </c>
      <c r="BF335" s="296">
        <f t="shared" si="148"/>
        <v>31</v>
      </c>
      <c r="BG335" s="2"/>
      <c r="BH335" s="2"/>
      <c r="BI335" s="2"/>
      <c r="BJ335" s="2"/>
      <c r="BK335" s="279">
        <f t="shared" si="146"/>
        <v>1</v>
      </c>
      <c r="BL335" s="279">
        <f t="shared" si="130"/>
        <v>31</v>
      </c>
      <c r="BM335" s="279"/>
      <c r="BN335" s="279"/>
      <c r="BO335" s="2">
        <f t="shared" si="131"/>
        <v>31</v>
      </c>
      <c r="BP335" s="430"/>
      <c r="BQ335" s="431"/>
      <c r="BR335" s="2"/>
      <c r="BS335" s="25"/>
      <c r="BT335" s="348">
        <f t="shared" si="132"/>
        <v>1</v>
      </c>
      <c r="BU335" s="2"/>
      <c r="BV335" s="282">
        <f t="shared" si="133"/>
        <v>0</v>
      </c>
      <c r="BW335" s="369"/>
      <c r="BX335" s="269">
        <f t="shared" si="134"/>
        <v>0</v>
      </c>
      <c r="BY335" s="349" t="e">
        <f t="shared" si="135"/>
        <v>#N/A</v>
      </c>
      <c r="BZ335" s="349" t="e">
        <f t="shared" si="136"/>
        <v>#N/A</v>
      </c>
      <c r="CA335" s="349" t="e">
        <f t="shared" si="137"/>
        <v>#N/A</v>
      </c>
      <c r="CB335" s="349" t="e">
        <f t="shared" si="138"/>
        <v>#N/A</v>
      </c>
      <c r="CC335" s="349" t="e">
        <f t="shared" si="139"/>
        <v>#N/A</v>
      </c>
      <c r="CD335" s="14" t="e">
        <f t="shared" si="147"/>
        <v>#N/A</v>
      </c>
      <c r="CE335" s="14">
        <f t="shared" si="145"/>
        <v>31</v>
      </c>
      <c r="CF335" s="2">
        <f t="shared" si="142"/>
        <v>1</v>
      </c>
      <c r="CG335" s="270"/>
      <c r="CH335" s="2"/>
      <c r="CL335" s="349" t="e">
        <f t="shared" si="121"/>
        <v>#N/A</v>
      </c>
      <c r="CM335" s="349" t="e">
        <f t="shared" si="122"/>
        <v>#N/A</v>
      </c>
      <c r="CN335" s="349" t="e">
        <f t="shared" si="123"/>
        <v>#N/A</v>
      </c>
      <c r="CO335" s="349" t="e">
        <f t="shared" si="124"/>
        <v>#N/A</v>
      </c>
      <c r="CP335" s="349" t="e">
        <f t="shared" si="125"/>
        <v>#N/A</v>
      </c>
      <c r="CQ335" s="14"/>
      <c r="CY335" s="2"/>
    </row>
    <row r="336" spans="1:103" s="1" customFormat="1" ht="29.4" customHeight="1">
      <c r="A336" s="46">
        <v>23</v>
      </c>
      <c r="B336" s="363">
        <v>9</v>
      </c>
      <c r="C336" s="363">
        <v>366</v>
      </c>
      <c r="D336" s="362"/>
      <c r="E336" s="362"/>
      <c r="F336" s="363"/>
      <c r="G336" s="312">
        <v>0</v>
      </c>
      <c r="H336" s="312" t="s">
        <v>1991</v>
      </c>
      <c r="I336" s="312" t="s">
        <v>1991</v>
      </c>
      <c r="J336" s="312"/>
      <c r="K336" s="312" t="s">
        <v>1991</v>
      </c>
      <c r="L336" s="312" t="s">
        <v>1991</v>
      </c>
      <c r="M336" s="312" t="s">
        <v>1991</v>
      </c>
      <c r="N336" s="312" t="s">
        <v>1991</v>
      </c>
      <c r="O336" s="312" t="s">
        <v>1991</v>
      </c>
      <c r="P336" s="312" t="s">
        <v>1991</v>
      </c>
      <c r="Q336" s="312" t="s">
        <v>1991</v>
      </c>
      <c r="R336" s="312" t="s">
        <v>1991</v>
      </c>
      <c r="S336" s="312" t="s">
        <v>1991</v>
      </c>
      <c r="T336" s="323" t="s">
        <v>1991</v>
      </c>
      <c r="U336" s="312" t="s">
        <v>1991</v>
      </c>
      <c r="V336" s="46" t="s">
        <v>1991</v>
      </c>
      <c r="W336" s="46" t="s">
        <v>1991</v>
      </c>
      <c r="X336" s="46" t="s">
        <v>1991</v>
      </c>
      <c r="Y336" s="46" t="s">
        <v>1991</v>
      </c>
      <c r="Z336" s="46" t="s">
        <v>1991</v>
      </c>
      <c r="AA336" s="46" t="s">
        <v>1991</v>
      </c>
      <c r="AB336" s="46" t="s">
        <v>1991</v>
      </c>
      <c r="AC336" s="46" t="s">
        <v>1991</v>
      </c>
      <c r="AD336" s="46" t="s">
        <v>1991</v>
      </c>
      <c r="AE336" s="46" t="s">
        <v>1991</v>
      </c>
      <c r="AF336" s="46">
        <v>0</v>
      </c>
      <c r="AG336" s="46" t="s">
        <v>1991</v>
      </c>
      <c r="AH336" s="46" t="s">
        <v>1991</v>
      </c>
      <c r="AI336" s="46" t="s">
        <v>1991</v>
      </c>
      <c r="AJ336" s="46" t="s">
        <v>1991</v>
      </c>
      <c r="AK336" s="46" t="s">
        <v>1991</v>
      </c>
      <c r="AL336" s="327"/>
      <c r="AM336" s="327">
        <v>0</v>
      </c>
      <c r="AN336" s="327" t="s">
        <v>1991</v>
      </c>
      <c r="AO336" s="327" t="s">
        <v>1991</v>
      </c>
      <c r="AP336" s="327"/>
      <c r="AQ336" s="327"/>
      <c r="AR336" s="327"/>
      <c r="AS336" s="327" t="s">
        <v>1991</v>
      </c>
      <c r="AT336" s="327"/>
      <c r="AU336" s="327"/>
      <c r="AV336" s="327"/>
      <c r="AW336" s="327"/>
      <c r="AX336" s="327"/>
      <c r="AY336" s="327"/>
      <c r="AZ336" s="327"/>
      <c r="BA336" s="327"/>
      <c r="BB336" s="46">
        <f t="shared" si="126"/>
        <v>13</v>
      </c>
      <c r="BC336" s="46">
        <f t="shared" si="143"/>
        <v>15</v>
      </c>
      <c r="BD336" s="46">
        <f t="shared" si="127"/>
        <v>3</v>
      </c>
      <c r="BE336" s="46">
        <f t="shared" si="128"/>
        <v>3</v>
      </c>
      <c r="BF336" s="296">
        <f t="shared" si="148"/>
        <v>28</v>
      </c>
      <c r="BG336" s="2"/>
      <c r="BH336" s="2"/>
      <c r="BI336" s="2"/>
      <c r="BJ336" s="2"/>
      <c r="BK336" s="279">
        <f t="shared" si="146"/>
        <v>0</v>
      </c>
      <c r="BL336" s="279">
        <f t="shared" si="130"/>
        <v>28</v>
      </c>
      <c r="BM336" s="279"/>
      <c r="BN336" s="279"/>
      <c r="BO336" s="2">
        <f t="shared" si="131"/>
        <v>28</v>
      </c>
      <c r="BP336" s="430"/>
      <c r="BQ336" s="431"/>
      <c r="BR336" s="2"/>
      <c r="BS336" s="25"/>
      <c r="BT336" s="348">
        <f t="shared" si="132"/>
        <v>1</v>
      </c>
      <c r="BU336" s="2"/>
      <c r="BV336" s="282">
        <f t="shared" si="133"/>
        <v>0</v>
      </c>
      <c r="BW336" s="364"/>
      <c r="BX336" s="269">
        <f t="shared" si="134"/>
        <v>0</v>
      </c>
      <c r="BY336" s="349" t="e">
        <f t="shared" si="135"/>
        <v>#N/A</v>
      </c>
      <c r="BZ336" s="349" t="e">
        <f t="shared" si="136"/>
        <v>#N/A</v>
      </c>
      <c r="CA336" s="349" t="e">
        <f t="shared" si="137"/>
        <v>#N/A</v>
      </c>
      <c r="CB336" s="349" t="e">
        <f t="shared" si="138"/>
        <v>#N/A</v>
      </c>
      <c r="CC336" s="349" t="e">
        <f t="shared" si="139"/>
        <v>#N/A</v>
      </c>
      <c r="CD336" s="14" t="e">
        <f t="shared" si="147"/>
        <v>#N/A</v>
      </c>
      <c r="CE336" s="14">
        <f t="shared" si="145"/>
        <v>28</v>
      </c>
      <c r="CF336" s="2">
        <f t="shared" si="142"/>
        <v>1</v>
      </c>
      <c r="CG336" s="270"/>
      <c r="CH336" s="2"/>
      <c r="CL336" s="349" t="e">
        <f t="shared" si="121"/>
        <v>#N/A</v>
      </c>
      <c r="CM336" s="349" t="e">
        <f t="shared" si="122"/>
        <v>#N/A</v>
      </c>
      <c r="CN336" s="349" t="e">
        <f t="shared" si="123"/>
        <v>#N/A</v>
      </c>
      <c r="CO336" s="349" t="e">
        <f t="shared" si="124"/>
        <v>#N/A</v>
      </c>
      <c r="CP336" s="349" t="e">
        <f t="shared" si="125"/>
        <v>#N/A</v>
      </c>
      <c r="CQ336" s="14"/>
      <c r="CY336" s="2"/>
    </row>
    <row r="337" spans="1:103" s="1" customFormat="1" ht="29.4" customHeight="1">
      <c r="A337" s="46">
        <v>24</v>
      </c>
      <c r="B337" s="363">
        <v>9</v>
      </c>
      <c r="C337" s="363">
        <v>367</v>
      </c>
      <c r="D337" s="362"/>
      <c r="E337" s="362"/>
      <c r="F337" s="363"/>
      <c r="G337" s="312" t="s">
        <v>1991</v>
      </c>
      <c r="H337" s="312" t="s">
        <v>1991</v>
      </c>
      <c r="I337" s="312" t="s">
        <v>1991</v>
      </c>
      <c r="J337" s="312"/>
      <c r="K337" s="312" t="s">
        <v>1991</v>
      </c>
      <c r="L337" s="312" t="s">
        <v>1991</v>
      </c>
      <c r="M337" s="312" t="s">
        <v>1991</v>
      </c>
      <c r="N337" s="312" t="s">
        <v>1991</v>
      </c>
      <c r="O337" s="312" t="s">
        <v>1991</v>
      </c>
      <c r="P337" s="312" t="s">
        <v>1991</v>
      </c>
      <c r="Q337" s="312" t="s">
        <v>1991</v>
      </c>
      <c r="R337" s="312" t="s">
        <v>1991</v>
      </c>
      <c r="S337" s="312" t="s">
        <v>1991</v>
      </c>
      <c r="T337" s="323" t="s">
        <v>1991</v>
      </c>
      <c r="U337" s="312" t="s">
        <v>1991</v>
      </c>
      <c r="V337" s="46" t="s">
        <v>1991</v>
      </c>
      <c r="W337" s="46" t="s">
        <v>1991</v>
      </c>
      <c r="X337" s="46" t="s">
        <v>1991</v>
      </c>
      <c r="Y337" s="46" t="s">
        <v>1991</v>
      </c>
      <c r="Z337" s="46" t="s">
        <v>1991</v>
      </c>
      <c r="AA337" s="46">
        <v>0</v>
      </c>
      <c r="AB337" s="46" t="s">
        <v>1991</v>
      </c>
      <c r="AC337" s="46" t="s">
        <v>1991</v>
      </c>
      <c r="AD337" s="46" t="s">
        <v>1991</v>
      </c>
      <c r="AE337" s="46" t="s">
        <v>1991</v>
      </c>
      <c r="AF337" s="46" t="s">
        <v>1991</v>
      </c>
      <c r="AG337" s="46" t="s">
        <v>1991</v>
      </c>
      <c r="AH337" s="46" t="s">
        <v>1991</v>
      </c>
      <c r="AI337" s="46" t="s">
        <v>1991</v>
      </c>
      <c r="AJ337" s="46" t="s">
        <v>1991</v>
      </c>
      <c r="AK337" s="46" t="s">
        <v>1991</v>
      </c>
      <c r="AL337" s="327"/>
      <c r="AM337" s="327" t="s">
        <v>1991</v>
      </c>
      <c r="AN337" s="327" t="s">
        <v>1991</v>
      </c>
      <c r="AO337" s="327">
        <v>0</v>
      </c>
      <c r="AP337" s="327"/>
      <c r="AQ337" s="327"/>
      <c r="AR337" s="327"/>
      <c r="AS337" s="327" t="s">
        <v>1991</v>
      </c>
      <c r="AT337" s="327"/>
      <c r="AU337" s="327"/>
      <c r="AV337" s="327"/>
      <c r="AW337" s="327"/>
      <c r="AX337" s="327"/>
      <c r="AY337" s="327"/>
      <c r="AZ337" s="327"/>
      <c r="BA337" s="327"/>
      <c r="BB337" s="46">
        <f t="shared" si="126"/>
        <v>14</v>
      </c>
      <c r="BC337" s="46">
        <f t="shared" si="143"/>
        <v>15</v>
      </c>
      <c r="BD337" s="46">
        <f t="shared" si="127"/>
        <v>3</v>
      </c>
      <c r="BE337" s="46">
        <f t="shared" si="128"/>
        <v>3</v>
      </c>
      <c r="BF337" s="296">
        <f t="shared" si="148"/>
        <v>29</v>
      </c>
      <c r="BG337" s="2"/>
      <c r="BH337" s="2"/>
      <c r="BI337" s="2"/>
      <c r="BJ337" s="2"/>
      <c r="BK337" s="279">
        <f t="shared" si="146"/>
        <v>0</v>
      </c>
      <c r="BL337" s="279">
        <f t="shared" si="130"/>
        <v>29</v>
      </c>
      <c r="BM337" s="279"/>
      <c r="BN337" s="279"/>
      <c r="BO337" s="2">
        <f t="shared" si="131"/>
        <v>29</v>
      </c>
      <c r="BP337" s="430"/>
      <c r="BQ337" s="431"/>
      <c r="BR337" s="2"/>
      <c r="BS337" s="25"/>
      <c r="BT337" s="348">
        <f t="shared" si="132"/>
        <v>1</v>
      </c>
      <c r="BU337" s="2"/>
      <c r="BV337" s="282">
        <f t="shared" si="133"/>
        <v>0</v>
      </c>
      <c r="BW337" s="369"/>
      <c r="BX337" s="269">
        <f t="shared" si="134"/>
        <v>0</v>
      </c>
      <c r="BY337" s="349" t="e">
        <f t="shared" si="135"/>
        <v>#N/A</v>
      </c>
      <c r="BZ337" s="349" t="e">
        <f t="shared" si="136"/>
        <v>#N/A</v>
      </c>
      <c r="CA337" s="349" t="e">
        <f t="shared" si="137"/>
        <v>#N/A</v>
      </c>
      <c r="CB337" s="349" t="e">
        <f t="shared" si="138"/>
        <v>#N/A</v>
      </c>
      <c r="CC337" s="349" t="e">
        <f t="shared" si="139"/>
        <v>#N/A</v>
      </c>
      <c r="CD337" s="14" t="e">
        <f t="shared" si="147"/>
        <v>#N/A</v>
      </c>
      <c r="CE337" s="14">
        <f t="shared" si="145"/>
        <v>29</v>
      </c>
      <c r="CF337" s="2">
        <f t="shared" si="142"/>
        <v>1</v>
      </c>
      <c r="CG337" s="270"/>
      <c r="CH337" s="2"/>
      <c r="CL337" s="349" t="e">
        <f t="shared" si="121"/>
        <v>#N/A</v>
      </c>
      <c r="CM337" s="349" t="e">
        <f t="shared" si="122"/>
        <v>#N/A</v>
      </c>
      <c r="CN337" s="349" t="e">
        <f t="shared" si="123"/>
        <v>#N/A</v>
      </c>
      <c r="CO337" s="349" t="e">
        <f t="shared" si="124"/>
        <v>#N/A</v>
      </c>
      <c r="CP337" s="349" t="e">
        <f t="shared" si="125"/>
        <v>#N/A</v>
      </c>
      <c r="CQ337" s="14"/>
      <c r="CY337" s="2"/>
    </row>
    <row r="338" spans="1:103" s="1" customFormat="1" ht="29.4" customHeight="1">
      <c r="A338" s="46">
        <v>25</v>
      </c>
      <c r="B338" s="363">
        <v>9</v>
      </c>
      <c r="C338" s="363">
        <v>368</v>
      </c>
      <c r="D338" s="362"/>
      <c r="E338" s="362"/>
      <c r="F338" s="363"/>
      <c r="G338" s="312" t="s">
        <v>1991</v>
      </c>
      <c r="H338" s="312" t="s">
        <v>1991</v>
      </c>
      <c r="I338" s="312" t="s">
        <v>1991</v>
      </c>
      <c r="J338" s="312"/>
      <c r="K338" s="312" t="s">
        <v>1991</v>
      </c>
      <c r="L338" s="312" t="s">
        <v>1991</v>
      </c>
      <c r="M338" s="312" t="s">
        <v>1991</v>
      </c>
      <c r="N338" s="312" t="s">
        <v>1991</v>
      </c>
      <c r="O338" s="312" t="s">
        <v>1991</v>
      </c>
      <c r="P338" s="312" t="s">
        <v>1991</v>
      </c>
      <c r="Q338" s="312" t="s">
        <v>1991</v>
      </c>
      <c r="R338" s="312" t="s">
        <v>1991</v>
      </c>
      <c r="S338" s="312" t="s">
        <v>1991</v>
      </c>
      <c r="T338" s="323" t="s">
        <v>1991</v>
      </c>
      <c r="U338" s="312" t="s">
        <v>1991</v>
      </c>
      <c r="V338" s="46" t="s">
        <v>1991</v>
      </c>
      <c r="W338" s="46" t="s">
        <v>1991</v>
      </c>
      <c r="X338" s="46" t="s">
        <v>1991</v>
      </c>
      <c r="Y338" s="46" t="s">
        <v>1991</v>
      </c>
      <c r="Z338" s="46" t="s">
        <v>1991</v>
      </c>
      <c r="AA338" s="46" t="s">
        <v>1991</v>
      </c>
      <c r="AB338" s="46" t="s">
        <v>1991</v>
      </c>
      <c r="AC338" s="46" t="s">
        <v>1991</v>
      </c>
      <c r="AD338" s="46" t="s">
        <v>1991</v>
      </c>
      <c r="AE338" s="46" t="s">
        <v>1991</v>
      </c>
      <c r="AF338" s="46" t="s">
        <v>1991</v>
      </c>
      <c r="AG338" s="46" t="s">
        <v>1991</v>
      </c>
      <c r="AH338" s="46" t="s">
        <v>1991</v>
      </c>
      <c r="AI338" s="46">
        <v>0</v>
      </c>
      <c r="AJ338" s="46" t="s">
        <v>1991</v>
      </c>
      <c r="AK338" s="46" t="s">
        <v>1991</v>
      </c>
      <c r="AL338" s="327"/>
      <c r="AM338" s="327" t="s">
        <v>1991</v>
      </c>
      <c r="AN338" s="327" t="s">
        <v>1991</v>
      </c>
      <c r="AO338" s="327">
        <v>0</v>
      </c>
      <c r="AP338" s="327"/>
      <c r="AQ338" s="327"/>
      <c r="AR338" s="327"/>
      <c r="AS338" s="327" t="s">
        <v>1991</v>
      </c>
      <c r="AT338" s="327" t="s">
        <v>1991</v>
      </c>
      <c r="AU338" s="327"/>
      <c r="AV338" s="327"/>
      <c r="AW338" s="327"/>
      <c r="AX338" s="327"/>
      <c r="AY338" s="327"/>
      <c r="AZ338" s="327"/>
      <c r="BA338" s="327"/>
      <c r="BB338" s="46">
        <f t="shared" si="126"/>
        <v>14</v>
      </c>
      <c r="BC338" s="46">
        <f t="shared" si="143"/>
        <v>15</v>
      </c>
      <c r="BD338" s="46">
        <f t="shared" si="127"/>
        <v>4</v>
      </c>
      <c r="BE338" s="46">
        <f t="shared" si="128"/>
        <v>4</v>
      </c>
      <c r="BF338" s="296">
        <f t="shared" si="148"/>
        <v>29</v>
      </c>
      <c r="BG338" s="2"/>
      <c r="BH338" s="2"/>
      <c r="BI338" s="2"/>
      <c r="BJ338" s="2"/>
      <c r="BK338" s="279">
        <f t="shared" si="146"/>
        <v>0</v>
      </c>
      <c r="BL338" s="279">
        <f t="shared" si="130"/>
        <v>29</v>
      </c>
      <c r="BM338" s="279"/>
      <c r="BN338" s="279"/>
      <c r="BO338" s="2">
        <f t="shared" si="131"/>
        <v>29</v>
      </c>
      <c r="BP338" s="430"/>
      <c r="BQ338" s="431"/>
      <c r="BR338" s="2"/>
      <c r="BS338" s="25"/>
      <c r="BT338" s="348">
        <f t="shared" si="132"/>
        <v>1</v>
      </c>
      <c r="BU338" s="2"/>
      <c r="BV338" s="282">
        <f t="shared" si="133"/>
        <v>0</v>
      </c>
      <c r="BW338" s="369"/>
      <c r="BX338" s="269">
        <f t="shared" si="134"/>
        <v>0</v>
      </c>
      <c r="BY338" s="349" t="e">
        <f t="shared" si="135"/>
        <v>#N/A</v>
      </c>
      <c r="BZ338" s="349" t="e">
        <f t="shared" si="136"/>
        <v>#N/A</v>
      </c>
      <c r="CA338" s="349" t="e">
        <f t="shared" si="137"/>
        <v>#N/A</v>
      </c>
      <c r="CB338" s="349" t="e">
        <f t="shared" si="138"/>
        <v>#N/A</v>
      </c>
      <c r="CC338" s="349" t="e">
        <f t="shared" si="139"/>
        <v>#N/A</v>
      </c>
      <c r="CD338" s="14" t="e">
        <f t="shared" si="147"/>
        <v>#N/A</v>
      </c>
      <c r="CE338" s="14">
        <f t="shared" si="145"/>
        <v>29</v>
      </c>
      <c r="CF338" s="2">
        <f t="shared" si="142"/>
        <v>1</v>
      </c>
      <c r="CG338" s="270"/>
      <c r="CH338" s="2"/>
      <c r="CL338" s="349" t="e">
        <f t="shared" si="121"/>
        <v>#N/A</v>
      </c>
      <c r="CM338" s="349" t="e">
        <f t="shared" si="122"/>
        <v>#N/A</v>
      </c>
      <c r="CN338" s="349" t="e">
        <f t="shared" si="123"/>
        <v>#N/A</v>
      </c>
      <c r="CO338" s="349" t="e">
        <f t="shared" si="124"/>
        <v>#N/A</v>
      </c>
      <c r="CP338" s="349" t="e">
        <f t="shared" si="125"/>
        <v>#N/A</v>
      </c>
      <c r="CQ338" s="14"/>
      <c r="CY338" s="2"/>
    </row>
    <row r="339" spans="1:103" s="1" customFormat="1" ht="29.4" customHeight="1">
      <c r="A339" s="46">
        <v>26</v>
      </c>
      <c r="B339" s="363">
        <v>9</v>
      </c>
      <c r="C339" s="363">
        <v>369</v>
      </c>
      <c r="D339" s="362"/>
      <c r="E339" s="362"/>
      <c r="F339" s="363"/>
      <c r="G339" s="312" t="s">
        <v>1991</v>
      </c>
      <c r="H339" s="312" t="s">
        <v>1991</v>
      </c>
      <c r="I339" s="312" t="s">
        <v>1991</v>
      </c>
      <c r="J339" s="312"/>
      <c r="K339" s="312" t="s">
        <v>1991</v>
      </c>
      <c r="L339" s="312" t="s">
        <v>1991</v>
      </c>
      <c r="M339" s="312">
        <v>0</v>
      </c>
      <c r="N339" s="312" t="s">
        <v>1991</v>
      </c>
      <c r="O339" s="312" t="s">
        <v>1991</v>
      </c>
      <c r="P339" s="312" t="s">
        <v>1991</v>
      </c>
      <c r="Q339" s="312" t="s">
        <v>1991</v>
      </c>
      <c r="R339" s="312" t="s">
        <v>1991</v>
      </c>
      <c r="S339" s="312" t="s">
        <v>1991</v>
      </c>
      <c r="T339" s="323" t="s">
        <v>1991</v>
      </c>
      <c r="U339" s="312" t="s">
        <v>1991</v>
      </c>
      <c r="V339" s="46" t="s">
        <v>1991</v>
      </c>
      <c r="W339" s="46" t="s">
        <v>1991</v>
      </c>
      <c r="X339" s="46" t="s">
        <v>1991</v>
      </c>
      <c r="Y339" s="46" t="s">
        <v>1991</v>
      </c>
      <c r="Z339" s="46" t="s">
        <v>1991</v>
      </c>
      <c r="AA339" s="46" t="s">
        <v>1991</v>
      </c>
      <c r="AB339" s="46" t="s">
        <v>1991</v>
      </c>
      <c r="AC339" s="46" t="s">
        <v>1991</v>
      </c>
      <c r="AD339" s="46">
        <v>0</v>
      </c>
      <c r="AE339" s="46" t="s">
        <v>1991</v>
      </c>
      <c r="AF339" s="46" t="s">
        <v>1991</v>
      </c>
      <c r="AG339" s="46" t="s">
        <v>1991</v>
      </c>
      <c r="AH339" s="46" t="s">
        <v>1991</v>
      </c>
      <c r="AI339" s="46" t="s">
        <v>1991</v>
      </c>
      <c r="AJ339" s="46" t="s">
        <v>1991</v>
      </c>
      <c r="AK339" s="46" t="s">
        <v>1991</v>
      </c>
      <c r="AL339" s="327"/>
      <c r="AM339" s="327" t="s">
        <v>1991</v>
      </c>
      <c r="AN339" s="327" t="s">
        <v>1991</v>
      </c>
      <c r="AO339" s="327">
        <v>0</v>
      </c>
      <c r="AP339" s="327"/>
      <c r="AQ339" s="327"/>
      <c r="AR339" s="327"/>
      <c r="AS339" s="327">
        <v>0</v>
      </c>
      <c r="AT339" s="327" t="s">
        <v>1991</v>
      </c>
      <c r="AU339" s="327"/>
      <c r="AV339" s="327"/>
      <c r="AW339" s="327"/>
      <c r="AX339" s="327"/>
      <c r="AY339" s="327"/>
      <c r="AZ339" s="327"/>
      <c r="BA339" s="327"/>
      <c r="BB339" s="46">
        <f t="shared" si="126"/>
        <v>13</v>
      </c>
      <c r="BC339" s="46">
        <f t="shared" si="143"/>
        <v>15</v>
      </c>
      <c r="BD339" s="46">
        <f t="shared" si="127"/>
        <v>3</v>
      </c>
      <c r="BE339" s="46">
        <f t="shared" si="128"/>
        <v>3</v>
      </c>
      <c r="BF339" s="296">
        <f t="shared" si="148"/>
        <v>28</v>
      </c>
      <c r="BG339" s="2"/>
      <c r="BH339" s="2"/>
      <c r="BI339" s="2"/>
      <c r="BJ339" s="2"/>
      <c r="BK339" s="279">
        <f t="shared" si="146"/>
        <v>0</v>
      </c>
      <c r="BL339" s="279">
        <f t="shared" si="130"/>
        <v>28</v>
      </c>
      <c r="BM339" s="279"/>
      <c r="BN339" s="279"/>
      <c r="BO339" s="2">
        <f t="shared" si="131"/>
        <v>28</v>
      </c>
      <c r="BP339" s="430"/>
      <c r="BQ339" s="431"/>
      <c r="BR339" s="2"/>
      <c r="BS339" s="25"/>
      <c r="BT339" s="348">
        <f t="shared" si="132"/>
        <v>1</v>
      </c>
      <c r="BU339" s="2"/>
      <c r="BV339" s="282">
        <f t="shared" si="133"/>
        <v>0</v>
      </c>
      <c r="BW339" s="369"/>
      <c r="BX339" s="269">
        <f t="shared" si="134"/>
        <v>0</v>
      </c>
      <c r="BY339" s="349" t="e">
        <f t="shared" si="135"/>
        <v>#N/A</v>
      </c>
      <c r="BZ339" s="349" t="e">
        <f t="shared" si="136"/>
        <v>#N/A</v>
      </c>
      <c r="CA339" s="349" t="e">
        <f t="shared" si="137"/>
        <v>#N/A</v>
      </c>
      <c r="CB339" s="349" t="e">
        <f t="shared" si="138"/>
        <v>#N/A</v>
      </c>
      <c r="CC339" s="349" t="e">
        <f t="shared" si="139"/>
        <v>#N/A</v>
      </c>
      <c r="CD339" s="14" t="e">
        <f t="shared" si="147"/>
        <v>#N/A</v>
      </c>
      <c r="CE339" s="14">
        <f t="shared" si="145"/>
        <v>28</v>
      </c>
      <c r="CF339" s="2">
        <f t="shared" si="142"/>
        <v>1</v>
      </c>
      <c r="CG339" s="270"/>
      <c r="CH339" s="2"/>
      <c r="CL339" s="349" t="e">
        <f t="shared" si="121"/>
        <v>#N/A</v>
      </c>
      <c r="CM339" s="349" t="e">
        <f t="shared" si="122"/>
        <v>#N/A</v>
      </c>
      <c r="CN339" s="349" t="e">
        <f t="shared" si="123"/>
        <v>#N/A</v>
      </c>
      <c r="CO339" s="349" t="e">
        <f t="shared" si="124"/>
        <v>#N/A</v>
      </c>
      <c r="CP339" s="349" t="e">
        <f t="shared" si="125"/>
        <v>#N/A</v>
      </c>
      <c r="CQ339" s="14"/>
      <c r="CY339" s="2"/>
    </row>
    <row r="340" spans="1:103" s="1" customFormat="1" ht="29.4" customHeight="1">
      <c r="A340" s="46">
        <v>27</v>
      </c>
      <c r="B340" s="363">
        <v>9</v>
      </c>
      <c r="C340" s="363">
        <v>370</v>
      </c>
      <c r="D340" s="362"/>
      <c r="E340" s="362"/>
      <c r="F340" s="363"/>
      <c r="G340" s="312" t="s">
        <v>1991</v>
      </c>
      <c r="H340" s="312" t="s">
        <v>1991</v>
      </c>
      <c r="I340" s="312" t="s">
        <v>1991</v>
      </c>
      <c r="J340" s="312"/>
      <c r="K340" s="312" t="s">
        <v>1991</v>
      </c>
      <c r="L340" s="312" t="s">
        <v>1991</v>
      </c>
      <c r="M340" s="312">
        <v>0</v>
      </c>
      <c r="N340" s="312" t="s">
        <v>1991</v>
      </c>
      <c r="O340" s="312" t="s">
        <v>1991</v>
      </c>
      <c r="P340" s="312" t="s">
        <v>1991</v>
      </c>
      <c r="Q340" s="312" t="s">
        <v>1991</v>
      </c>
      <c r="R340" s="312" t="s">
        <v>1991</v>
      </c>
      <c r="S340" s="312" t="s">
        <v>1991</v>
      </c>
      <c r="T340" s="323" t="s">
        <v>1991</v>
      </c>
      <c r="U340" s="312" t="s">
        <v>1991</v>
      </c>
      <c r="V340" s="46" t="s">
        <v>1991</v>
      </c>
      <c r="W340" s="46" t="s">
        <v>1991</v>
      </c>
      <c r="X340" s="46" t="s">
        <v>1991</v>
      </c>
      <c r="Y340" s="46" t="s">
        <v>1991</v>
      </c>
      <c r="Z340" s="46" t="s">
        <v>1991</v>
      </c>
      <c r="AA340" s="46" t="s">
        <v>1991</v>
      </c>
      <c r="AB340" s="46" t="s">
        <v>1991</v>
      </c>
      <c r="AC340" s="46" t="s">
        <v>1991</v>
      </c>
      <c r="AD340" s="46">
        <v>0</v>
      </c>
      <c r="AE340" s="46" t="s">
        <v>1991</v>
      </c>
      <c r="AF340" s="46" t="s">
        <v>1991</v>
      </c>
      <c r="AG340" s="46" t="s">
        <v>1991</v>
      </c>
      <c r="AH340" s="46" t="s">
        <v>1991</v>
      </c>
      <c r="AI340" s="46" t="s">
        <v>1991</v>
      </c>
      <c r="AJ340" s="46" t="s">
        <v>1991</v>
      </c>
      <c r="AK340" s="46" t="s">
        <v>1991</v>
      </c>
      <c r="AL340" s="327"/>
      <c r="AM340" s="327" t="s">
        <v>1991</v>
      </c>
      <c r="AN340" s="327" t="s">
        <v>1991</v>
      </c>
      <c r="AO340" s="327">
        <v>0</v>
      </c>
      <c r="AP340" s="327"/>
      <c r="AQ340" s="327"/>
      <c r="AR340" s="327"/>
      <c r="AS340" s="327">
        <v>0</v>
      </c>
      <c r="AT340" s="327" t="s">
        <v>1991</v>
      </c>
      <c r="AU340" s="327"/>
      <c r="AV340" s="327"/>
      <c r="AW340" s="327"/>
      <c r="AX340" s="327"/>
      <c r="AY340" s="327"/>
      <c r="AZ340" s="327"/>
      <c r="BA340" s="327"/>
      <c r="BB340" s="46">
        <f t="shared" si="126"/>
        <v>13</v>
      </c>
      <c r="BC340" s="46">
        <f t="shared" si="143"/>
        <v>15</v>
      </c>
      <c r="BD340" s="46">
        <f t="shared" si="127"/>
        <v>3</v>
      </c>
      <c r="BE340" s="46">
        <f t="shared" si="128"/>
        <v>3</v>
      </c>
      <c r="BF340" s="296">
        <f t="shared" si="148"/>
        <v>28</v>
      </c>
      <c r="BG340" s="2"/>
      <c r="BH340" s="2"/>
      <c r="BI340" s="2"/>
      <c r="BJ340" s="2"/>
      <c r="BK340" s="279">
        <f t="shared" si="146"/>
        <v>0</v>
      </c>
      <c r="BL340" s="279">
        <f t="shared" si="130"/>
        <v>28</v>
      </c>
      <c r="BM340" s="279"/>
      <c r="BN340" s="279"/>
      <c r="BO340" s="2">
        <f t="shared" si="131"/>
        <v>28</v>
      </c>
      <c r="BP340" s="430"/>
      <c r="BQ340" s="431"/>
      <c r="BR340" s="2"/>
      <c r="BS340" s="25"/>
      <c r="BT340" s="348">
        <f t="shared" si="132"/>
        <v>1</v>
      </c>
      <c r="BU340" s="2"/>
      <c r="BV340" s="282">
        <f t="shared" si="133"/>
        <v>0</v>
      </c>
      <c r="BW340" s="369"/>
      <c r="BX340" s="269">
        <f t="shared" si="134"/>
        <v>0</v>
      </c>
      <c r="BY340" s="349" t="e">
        <f t="shared" si="135"/>
        <v>#N/A</v>
      </c>
      <c r="BZ340" s="349" t="e">
        <f t="shared" si="136"/>
        <v>#N/A</v>
      </c>
      <c r="CA340" s="349" t="e">
        <f t="shared" si="137"/>
        <v>#N/A</v>
      </c>
      <c r="CB340" s="349" t="e">
        <f t="shared" si="138"/>
        <v>#N/A</v>
      </c>
      <c r="CC340" s="349" t="e">
        <f t="shared" si="139"/>
        <v>#N/A</v>
      </c>
      <c r="CD340" s="14" t="e">
        <f t="shared" si="147"/>
        <v>#N/A</v>
      </c>
      <c r="CE340" s="14">
        <f t="shared" si="145"/>
        <v>28</v>
      </c>
      <c r="CF340" s="2">
        <f t="shared" si="142"/>
        <v>1</v>
      </c>
      <c r="CG340" s="270"/>
      <c r="CH340" s="2"/>
      <c r="CL340" s="349" t="e">
        <f t="shared" si="121"/>
        <v>#N/A</v>
      </c>
      <c r="CM340" s="349" t="e">
        <f t="shared" si="122"/>
        <v>#N/A</v>
      </c>
      <c r="CN340" s="349" t="e">
        <f t="shared" si="123"/>
        <v>#N/A</v>
      </c>
      <c r="CO340" s="349" t="e">
        <f t="shared" si="124"/>
        <v>#N/A</v>
      </c>
      <c r="CP340" s="349" t="e">
        <f t="shared" si="125"/>
        <v>#N/A</v>
      </c>
      <c r="CQ340" s="14"/>
      <c r="CY340" s="2"/>
    </row>
    <row r="341" spans="1:103" s="1" customFormat="1" ht="29.4" customHeight="1">
      <c r="A341" s="46">
        <v>28</v>
      </c>
      <c r="B341" s="363">
        <v>9</v>
      </c>
      <c r="C341" s="363">
        <v>371</v>
      </c>
      <c r="D341" s="362"/>
      <c r="E341" s="362"/>
      <c r="F341" s="363"/>
      <c r="G341" s="312">
        <v>0</v>
      </c>
      <c r="H341" s="312" t="s">
        <v>1991</v>
      </c>
      <c r="I341" s="312" t="s">
        <v>1991</v>
      </c>
      <c r="J341" s="312"/>
      <c r="K341" s="312" t="s">
        <v>1991</v>
      </c>
      <c r="L341" s="312" t="s">
        <v>1991</v>
      </c>
      <c r="M341" s="312">
        <v>0</v>
      </c>
      <c r="N341" s="312" t="s">
        <v>1991</v>
      </c>
      <c r="O341" s="312" t="s">
        <v>1991</v>
      </c>
      <c r="P341" s="312" t="s">
        <v>1991</v>
      </c>
      <c r="Q341" s="312" t="s">
        <v>1991</v>
      </c>
      <c r="R341" s="312" t="s">
        <v>1991</v>
      </c>
      <c r="S341" s="312" t="s">
        <v>1991</v>
      </c>
      <c r="T341" s="323" t="s">
        <v>1991</v>
      </c>
      <c r="U341" s="312" t="s">
        <v>1991</v>
      </c>
      <c r="V341" s="46" t="s">
        <v>1991</v>
      </c>
      <c r="W341" s="46" t="s">
        <v>1991</v>
      </c>
      <c r="X341" s="46" t="s">
        <v>1991</v>
      </c>
      <c r="Y341" s="46" t="s">
        <v>1991</v>
      </c>
      <c r="Z341" s="46" t="s">
        <v>1991</v>
      </c>
      <c r="AA341" s="46">
        <v>0</v>
      </c>
      <c r="AB341" s="46">
        <v>0</v>
      </c>
      <c r="AC341" s="46" t="s">
        <v>1991</v>
      </c>
      <c r="AD341" s="46" t="s">
        <v>1991</v>
      </c>
      <c r="AE341" s="46" t="s">
        <v>1991</v>
      </c>
      <c r="AF341" s="46" t="s">
        <v>1991</v>
      </c>
      <c r="AG341" s="46" t="s">
        <v>1991</v>
      </c>
      <c r="AH341" s="46">
        <v>0</v>
      </c>
      <c r="AI341" s="46" t="s">
        <v>1991</v>
      </c>
      <c r="AJ341" s="46" t="s">
        <v>1991</v>
      </c>
      <c r="AK341" s="46" t="s">
        <v>1991</v>
      </c>
      <c r="AL341" s="327"/>
      <c r="AM341" s="327" t="s">
        <v>1991</v>
      </c>
      <c r="AN341" s="327">
        <v>0</v>
      </c>
      <c r="AO341" s="327">
        <v>0</v>
      </c>
      <c r="AP341" s="327"/>
      <c r="AQ341" s="327"/>
      <c r="AR341" s="327"/>
      <c r="AS341" s="327" t="s">
        <v>1991</v>
      </c>
      <c r="AT341" s="327"/>
      <c r="AU341" s="327"/>
      <c r="AV341" s="327"/>
      <c r="AW341" s="327"/>
      <c r="AX341" s="327"/>
      <c r="AY341" s="327"/>
      <c r="AZ341" s="327"/>
      <c r="BA341" s="327"/>
      <c r="BB341" s="46">
        <f t="shared" si="126"/>
        <v>12</v>
      </c>
      <c r="BC341" s="46">
        <f t="shared" si="143"/>
        <v>13</v>
      </c>
      <c r="BD341" s="46">
        <f t="shared" si="127"/>
        <v>2</v>
      </c>
      <c r="BE341" s="46">
        <f t="shared" si="128"/>
        <v>2</v>
      </c>
      <c r="BF341" s="296">
        <f t="shared" si="148"/>
        <v>25</v>
      </c>
      <c r="BG341" s="2"/>
      <c r="BH341" s="2"/>
      <c r="BI341" s="2"/>
      <c r="BJ341" s="2"/>
      <c r="BK341" s="279">
        <f t="shared" si="146"/>
        <v>0</v>
      </c>
      <c r="BL341" s="279">
        <f t="shared" si="130"/>
        <v>25</v>
      </c>
      <c r="BM341" s="279"/>
      <c r="BN341" s="279"/>
      <c r="BO341" s="2">
        <f t="shared" si="131"/>
        <v>0</v>
      </c>
      <c r="BP341" s="430"/>
      <c r="BQ341" s="431"/>
      <c r="BR341" s="2"/>
      <c r="BS341" s="25"/>
      <c r="BT341" s="348">
        <f t="shared" si="132"/>
        <v>0</v>
      </c>
      <c r="BU341" s="2"/>
      <c r="BV341" s="282">
        <f t="shared" si="133"/>
        <v>0</v>
      </c>
      <c r="BW341" s="369"/>
      <c r="BX341" s="269">
        <f t="shared" si="134"/>
        <v>0</v>
      </c>
      <c r="BY341" s="349" t="e">
        <f t="shared" si="135"/>
        <v>#N/A</v>
      </c>
      <c r="BZ341" s="349" t="e">
        <f t="shared" si="136"/>
        <v>#N/A</v>
      </c>
      <c r="CA341" s="349" t="e">
        <f t="shared" si="137"/>
        <v>#N/A</v>
      </c>
      <c r="CB341" s="349" t="e">
        <f t="shared" si="138"/>
        <v>#N/A</v>
      </c>
      <c r="CC341" s="349" t="e">
        <f t="shared" si="139"/>
        <v>#N/A</v>
      </c>
      <c r="CD341" s="14" t="e">
        <f t="shared" si="147"/>
        <v>#N/A</v>
      </c>
      <c r="CE341" s="14">
        <f t="shared" si="145"/>
        <v>0</v>
      </c>
      <c r="CF341" s="2">
        <f t="shared" si="142"/>
        <v>0</v>
      </c>
      <c r="CG341" s="270"/>
      <c r="CH341" s="2"/>
      <c r="CL341" s="349" t="e">
        <f t="shared" si="121"/>
        <v>#N/A</v>
      </c>
      <c r="CM341" s="349" t="e">
        <f t="shared" si="122"/>
        <v>#N/A</v>
      </c>
      <c r="CN341" s="349" t="e">
        <f t="shared" si="123"/>
        <v>#N/A</v>
      </c>
      <c r="CO341" s="349" t="e">
        <f t="shared" si="124"/>
        <v>#N/A</v>
      </c>
      <c r="CP341" s="349" t="e">
        <f t="shared" si="125"/>
        <v>#N/A</v>
      </c>
      <c r="CQ341" s="14"/>
      <c r="CY341" s="2"/>
    </row>
    <row r="342" spans="1:103" s="1" customFormat="1" ht="29.4" customHeight="1">
      <c r="A342" s="46">
        <v>29</v>
      </c>
      <c r="B342" s="363">
        <v>9</v>
      </c>
      <c r="C342" s="363">
        <v>372</v>
      </c>
      <c r="D342" s="362"/>
      <c r="E342" s="362"/>
      <c r="F342" s="363"/>
      <c r="G342" s="312" t="s">
        <v>1991</v>
      </c>
      <c r="H342" s="312" t="s">
        <v>1991</v>
      </c>
      <c r="I342" s="312" t="s">
        <v>1991</v>
      </c>
      <c r="J342" s="312"/>
      <c r="K342" s="312" t="s">
        <v>1991</v>
      </c>
      <c r="L342" s="312" t="s">
        <v>1991</v>
      </c>
      <c r="M342" s="312" t="s">
        <v>1991</v>
      </c>
      <c r="N342" s="312" t="s">
        <v>1991</v>
      </c>
      <c r="O342" s="312">
        <v>0</v>
      </c>
      <c r="P342" s="312" t="s">
        <v>1991</v>
      </c>
      <c r="Q342" s="312" t="s">
        <v>1991</v>
      </c>
      <c r="R342" s="312" t="s">
        <v>1991</v>
      </c>
      <c r="S342" s="312" t="s">
        <v>1991</v>
      </c>
      <c r="T342" s="323" t="s">
        <v>1991</v>
      </c>
      <c r="U342" s="312" t="s">
        <v>1991</v>
      </c>
      <c r="V342" s="46" t="s">
        <v>1991</v>
      </c>
      <c r="W342" s="46" t="s">
        <v>1991</v>
      </c>
      <c r="X342" s="46" t="s">
        <v>1991</v>
      </c>
      <c r="Y342" s="46" t="s">
        <v>1991</v>
      </c>
      <c r="Z342" s="46" t="s">
        <v>1991</v>
      </c>
      <c r="AA342" s="46" t="s">
        <v>1991</v>
      </c>
      <c r="AB342" s="46" t="s">
        <v>1991</v>
      </c>
      <c r="AC342" s="46" t="s">
        <v>1991</v>
      </c>
      <c r="AD342" s="46" t="s">
        <v>1991</v>
      </c>
      <c r="AE342" s="46" t="s">
        <v>1991</v>
      </c>
      <c r="AF342" s="46" t="s">
        <v>1991</v>
      </c>
      <c r="AG342" s="46" t="s">
        <v>1991</v>
      </c>
      <c r="AH342" s="46" t="s">
        <v>1991</v>
      </c>
      <c r="AI342" s="46" t="s">
        <v>1991</v>
      </c>
      <c r="AJ342" s="46">
        <v>0</v>
      </c>
      <c r="AK342" s="46" t="s">
        <v>1991</v>
      </c>
      <c r="AL342" s="327"/>
      <c r="AM342" s="327" t="s">
        <v>1991</v>
      </c>
      <c r="AN342" s="327" t="s">
        <v>1991</v>
      </c>
      <c r="AO342" s="327" t="s">
        <v>1991</v>
      </c>
      <c r="AP342" s="327"/>
      <c r="AQ342" s="327"/>
      <c r="AR342" s="327"/>
      <c r="AS342" s="327" t="s">
        <v>1991</v>
      </c>
      <c r="AT342" s="327"/>
      <c r="AU342" s="327"/>
      <c r="AV342" s="327"/>
      <c r="AW342" s="327"/>
      <c r="AX342" s="327"/>
      <c r="AY342" s="327"/>
      <c r="AZ342" s="327"/>
      <c r="BA342" s="327"/>
      <c r="BB342" s="46">
        <f t="shared" si="126"/>
        <v>13</v>
      </c>
      <c r="BC342" s="46">
        <f t="shared" si="143"/>
        <v>15</v>
      </c>
      <c r="BD342" s="46">
        <f t="shared" si="127"/>
        <v>4</v>
      </c>
      <c r="BE342" s="46">
        <f t="shared" si="128"/>
        <v>4</v>
      </c>
      <c r="BF342" s="296">
        <f t="shared" si="148"/>
        <v>28</v>
      </c>
      <c r="BG342" s="2"/>
      <c r="BH342" s="2"/>
      <c r="BI342" s="2"/>
      <c r="BJ342" s="2"/>
      <c r="BK342" s="279">
        <f t="shared" si="146"/>
        <v>0</v>
      </c>
      <c r="BL342" s="279">
        <f t="shared" si="130"/>
        <v>28</v>
      </c>
      <c r="BM342" s="279"/>
      <c r="BN342" s="279"/>
      <c r="BO342" s="2">
        <f t="shared" si="131"/>
        <v>28</v>
      </c>
      <c r="BP342" s="430"/>
      <c r="BQ342" s="431"/>
      <c r="BR342" s="2"/>
      <c r="BS342" s="25"/>
      <c r="BT342" s="348">
        <f t="shared" si="132"/>
        <v>1</v>
      </c>
      <c r="BU342" s="2"/>
      <c r="BV342" s="282">
        <f t="shared" si="133"/>
        <v>0</v>
      </c>
      <c r="BW342" s="369"/>
      <c r="BX342" s="269">
        <f t="shared" si="134"/>
        <v>0</v>
      </c>
      <c r="BY342" s="349" t="e">
        <f t="shared" si="135"/>
        <v>#N/A</v>
      </c>
      <c r="BZ342" s="349" t="e">
        <f t="shared" si="136"/>
        <v>#N/A</v>
      </c>
      <c r="CA342" s="349" t="e">
        <f t="shared" si="137"/>
        <v>#N/A</v>
      </c>
      <c r="CB342" s="349" t="e">
        <f t="shared" si="138"/>
        <v>#N/A</v>
      </c>
      <c r="CC342" s="349" t="e">
        <f t="shared" si="139"/>
        <v>#N/A</v>
      </c>
      <c r="CD342" s="14" t="e">
        <f t="shared" si="147"/>
        <v>#N/A</v>
      </c>
      <c r="CE342" s="14">
        <f t="shared" si="145"/>
        <v>28</v>
      </c>
      <c r="CF342" s="2">
        <f t="shared" si="142"/>
        <v>1</v>
      </c>
      <c r="CG342" s="270"/>
      <c r="CH342" s="2"/>
      <c r="CL342" s="349" t="e">
        <f t="shared" si="121"/>
        <v>#N/A</v>
      </c>
      <c r="CM342" s="349" t="e">
        <f t="shared" si="122"/>
        <v>#N/A</v>
      </c>
      <c r="CN342" s="349" t="e">
        <f t="shared" si="123"/>
        <v>#N/A</v>
      </c>
      <c r="CO342" s="349" t="e">
        <f t="shared" si="124"/>
        <v>#N/A</v>
      </c>
      <c r="CP342" s="349" t="e">
        <f t="shared" si="125"/>
        <v>#N/A</v>
      </c>
      <c r="CQ342" s="14"/>
      <c r="CY342" s="2"/>
    </row>
    <row r="343" spans="1:103" s="1" customFormat="1" ht="29.4" customHeight="1">
      <c r="A343" s="46">
        <v>30</v>
      </c>
      <c r="B343" s="363">
        <v>9</v>
      </c>
      <c r="C343" s="363">
        <v>373</v>
      </c>
      <c r="D343" s="362"/>
      <c r="E343" s="362"/>
      <c r="F343" s="363"/>
      <c r="G343" s="312" t="s">
        <v>1991</v>
      </c>
      <c r="H343" s="312" t="s">
        <v>1991</v>
      </c>
      <c r="I343" s="312" t="s">
        <v>1991</v>
      </c>
      <c r="J343" s="312"/>
      <c r="K343" s="312" t="s">
        <v>1991</v>
      </c>
      <c r="L343" s="312" t="s">
        <v>1991</v>
      </c>
      <c r="M343" s="312">
        <v>0</v>
      </c>
      <c r="N343" s="312" t="s">
        <v>1991</v>
      </c>
      <c r="O343" s="312" t="s">
        <v>1991</v>
      </c>
      <c r="P343" s="312">
        <v>0</v>
      </c>
      <c r="Q343" s="312" t="s">
        <v>1991</v>
      </c>
      <c r="R343" s="312" t="s">
        <v>1991</v>
      </c>
      <c r="S343" s="312" t="s">
        <v>1991</v>
      </c>
      <c r="T343" s="323" t="s">
        <v>1991</v>
      </c>
      <c r="U343" s="312" t="s">
        <v>1991</v>
      </c>
      <c r="V343" s="46" t="s">
        <v>1991</v>
      </c>
      <c r="W343" s="46" t="s">
        <v>1991</v>
      </c>
      <c r="X343" s="46" t="s">
        <v>1991</v>
      </c>
      <c r="Y343" s="46" t="s">
        <v>1991</v>
      </c>
      <c r="Z343" s="46" t="s">
        <v>1991</v>
      </c>
      <c r="AA343" s="46">
        <v>0</v>
      </c>
      <c r="AB343" s="46" t="s">
        <v>1991</v>
      </c>
      <c r="AC343" s="46" t="s">
        <v>1991</v>
      </c>
      <c r="AD343" s="46" t="s">
        <v>1991</v>
      </c>
      <c r="AE343" s="46" t="s">
        <v>1991</v>
      </c>
      <c r="AF343" s="46" t="s">
        <v>1991</v>
      </c>
      <c r="AG343" s="46" t="s">
        <v>1991</v>
      </c>
      <c r="AH343" s="46">
        <v>0</v>
      </c>
      <c r="AI343" s="46" t="s">
        <v>1991</v>
      </c>
      <c r="AJ343" s="46" t="s">
        <v>1991</v>
      </c>
      <c r="AK343" s="46" t="s">
        <v>1991</v>
      </c>
      <c r="AL343" s="327"/>
      <c r="AM343" s="327" t="s">
        <v>1991</v>
      </c>
      <c r="AN343" s="327" t="s">
        <v>1991</v>
      </c>
      <c r="AO343" s="327" t="s">
        <v>1991</v>
      </c>
      <c r="AP343" s="327"/>
      <c r="AQ343" s="327"/>
      <c r="AR343" s="327"/>
      <c r="AS343" s="327" t="s">
        <v>1991</v>
      </c>
      <c r="AT343" s="327"/>
      <c r="AU343" s="327"/>
      <c r="AV343" s="327"/>
      <c r="AW343" s="327"/>
      <c r="AX343" s="327"/>
      <c r="AY343" s="327"/>
      <c r="AZ343" s="327"/>
      <c r="BA343" s="327"/>
      <c r="BB343" s="46">
        <f t="shared" si="126"/>
        <v>12</v>
      </c>
      <c r="BC343" s="46">
        <f t="shared" si="143"/>
        <v>14</v>
      </c>
      <c r="BD343" s="46">
        <f t="shared" si="127"/>
        <v>4</v>
      </c>
      <c r="BE343" s="46">
        <f t="shared" si="128"/>
        <v>4</v>
      </c>
      <c r="BF343" s="296">
        <f t="shared" si="148"/>
        <v>26</v>
      </c>
      <c r="BG343" s="2"/>
      <c r="BH343" s="2"/>
      <c r="BI343" s="2"/>
      <c r="BJ343" s="2"/>
      <c r="BK343" s="279">
        <f t="shared" si="146"/>
        <v>0</v>
      </c>
      <c r="BL343" s="279">
        <f t="shared" si="130"/>
        <v>26</v>
      </c>
      <c r="BM343" s="279"/>
      <c r="BN343" s="279"/>
      <c r="BO343" s="2">
        <f t="shared" si="131"/>
        <v>26</v>
      </c>
      <c r="BP343" s="430"/>
      <c r="BQ343" s="431"/>
      <c r="BR343" s="2"/>
      <c r="BS343" s="25"/>
      <c r="BT343" s="348">
        <f t="shared" si="132"/>
        <v>1</v>
      </c>
      <c r="BU343" s="2"/>
      <c r="BV343" s="282">
        <f t="shared" si="133"/>
        <v>0</v>
      </c>
      <c r="BW343" s="369"/>
      <c r="BX343" s="269">
        <f t="shared" si="134"/>
        <v>0</v>
      </c>
      <c r="BY343" s="349" t="e">
        <f t="shared" ref="BY343:BY355" si="149">#N/A</f>
        <v>#N/A</v>
      </c>
      <c r="BZ343" s="349" t="e">
        <f t="shared" ref="BZ343:BZ355" si="150">#N/A</f>
        <v>#N/A</v>
      </c>
      <c r="CA343" s="349" t="e">
        <f t="shared" ref="CA343:CA355" si="151">#N/A</f>
        <v>#N/A</v>
      </c>
      <c r="CB343" s="349" t="e">
        <f t="shared" ref="CB343:CB355" si="152">#N/A</f>
        <v>#N/A</v>
      </c>
      <c r="CC343" s="349" t="e">
        <f t="shared" si="139"/>
        <v>#N/A</v>
      </c>
      <c r="CD343" s="14" t="e">
        <f t="shared" si="147"/>
        <v>#N/A</v>
      </c>
      <c r="CE343" s="14">
        <f t="shared" si="145"/>
        <v>26</v>
      </c>
      <c r="CF343" s="2">
        <f t="shared" si="142"/>
        <v>1</v>
      </c>
      <c r="CG343" s="270"/>
      <c r="CH343" s="2"/>
      <c r="CL343" s="349" t="e">
        <f t="shared" ref="CL343:CL352" si="153">#N/A</f>
        <v>#N/A</v>
      </c>
      <c r="CM343" s="349" t="e">
        <f t="shared" ref="CM343:CM352" si="154">#N/A</f>
        <v>#N/A</v>
      </c>
      <c r="CN343" s="349" t="e">
        <f t="shared" ref="CN343:CN352" si="155">#N/A</f>
        <v>#N/A</v>
      </c>
      <c r="CO343" s="349" t="e">
        <f t="shared" ref="CO343:CO352" si="156">#N/A</f>
        <v>#N/A</v>
      </c>
      <c r="CP343" s="349" t="e">
        <f t="shared" si="125"/>
        <v>#N/A</v>
      </c>
      <c r="CQ343" s="14"/>
      <c r="CY343" s="2"/>
    </row>
    <row r="344" spans="1:103" s="1" customFormat="1" ht="29.4" customHeight="1">
      <c r="A344" s="46">
        <v>31</v>
      </c>
      <c r="B344" s="363">
        <v>9</v>
      </c>
      <c r="C344" s="363">
        <v>374</v>
      </c>
      <c r="D344" s="362"/>
      <c r="E344" s="362"/>
      <c r="F344" s="363"/>
      <c r="G344" s="312" t="s">
        <v>1991</v>
      </c>
      <c r="H344" s="312" t="s">
        <v>1991</v>
      </c>
      <c r="I344" s="312" t="s">
        <v>1991</v>
      </c>
      <c r="J344" s="312"/>
      <c r="K344" s="312" t="s">
        <v>1991</v>
      </c>
      <c r="L344" s="312">
        <v>0</v>
      </c>
      <c r="M344" s="312" t="s">
        <v>1991</v>
      </c>
      <c r="N344" s="312" t="s">
        <v>1991</v>
      </c>
      <c r="O344" s="312" t="s">
        <v>1991</v>
      </c>
      <c r="P344" s="312" t="s">
        <v>1991</v>
      </c>
      <c r="Q344" s="312" t="s">
        <v>1991</v>
      </c>
      <c r="R344" s="312" t="s">
        <v>1991</v>
      </c>
      <c r="S344" s="312" t="s">
        <v>1991</v>
      </c>
      <c r="T344" s="323" t="s">
        <v>1991</v>
      </c>
      <c r="U344" s="312" t="s">
        <v>1991</v>
      </c>
      <c r="V344" s="46" t="s">
        <v>1991</v>
      </c>
      <c r="W344" s="46">
        <v>0</v>
      </c>
      <c r="X344" s="46" t="s">
        <v>1991</v>
      </c>
      <c r="Y344" s="46" t="s">
        <v>1991</v>
      </c>
      <c r="Z344" s="46" t="s">
        <v>1991</v>
      </c>
      <c r="AA344" s="46" t="s">
        <v>1991</v>
      </c>
      <c r="AB344" s="46" t="s">
        <v>1991</v>
      </c>
      <c r="AC344" s="46" t="s">
        <v>1991</v>
      </c>
      <c r="AD344" s="46" t="s">
        <v>1991</v>
      </c>
      <c r="AE344" s="46">
        <v>0</v>
      </c>
      <c r="AF344" s="46" t="s">
        <v>1991</v>
      </c>
      <c r="AG344" s="46" t="s">
        <v>1991</v>
      </c>
      <c r="AH344" s="46" t="s">
        <v>1991</v>
      </c>
      <c r="AI344" s="46" t="s">
        <v>1991</v>
      </c>
      <c r="AJ344" s="46" t="s">
        <v>1991</v>
      </c>
      <c r="AK344" s="46" t="s">
        <v>1991</v>
      </c>
      <c r="AL344" s="327"/>
      <c r="AM344" s="327" t="s">
        <v>1991</v>
      </c>
      <c r="AN344" s="327" t="s">
        <v>1991</v>
      </c>
      <c r="AO344" s="327" t="s">
        <v>1991</v>
      </c>
      <c r="AP344" s="327"/>
      <c r="AQ344" s="327"/>
      <c r="AR344" s="327"/>
      <c r="AS344" s="327" t="s">
        <v>1991</v>
      </c>
      <c r="AT344" s="327" t="s">
        <v>1991</v>
      </c>
      <c r="AU344" s="327"/>
      <c r="AV344" s="327"/>
      <c r="AW344" s="327"/>
      <c r="AX344" s="327"/>
      <c r="AY344" s="327"/>
      <c r="AZ344" s="327"/>
      <c r="BA344" s="327"/>
      <c r="BB344" s="46">
        <f t="shared" si="126"/>
        <v>13</v>
      </c>
      <c r="BC344" s="46">
        <f t="shared" si="143"/>
        <v>14</v>
      </c>
      <c r="BD344" s="46">
        <f t="shared" si="127"/>
        <v>5</v>
      </c>
      <c r="BE344" s="46">
        <f t="shared" si="128"/>
        <v>5</v>
      </c>
      <c r="BF344" s="296">
        <f t="shared" si="148"/>
        <v>27</v>
      </c>
      <c r="BG344" s="2"/>
      <c r="BH344" s="2"/>
      <c r="BI344" s="2"/>
      <c r="BJ344" s="2"/>
      <c r="BK344" s="279">
        <f t="shared" si="146"/>
        <v>0</v>
      </c>
      <c r="BL344" s="279">
        <f t="shared" si="130"/>
        <v>27</v>
      </c>
      <c r="BM344" s="279"/>
      <c r="BN344" s="279"/>
      <c r="BO344" s="2">
        <f t="shared" si="131"/>
        <v>27</v>
      </c>
      <c r="BP344" s="430"/>
      <c r="BQ344" s="431"/>
      <c r="BR344" s="2"/>
      <c r="BS344" s="25"/>
      <c r="BT344" s="348">
        <f t="shared" si="132"/>
        <v>1</v>
      </c>
      <c r="BU344" s="2"/>
      <c r="BV344" s="282">
        <f t="shared" si="133"/>
        <v>0</v>
      </c>
      <c r="BW344" s="369"/>
      <c r="BX344" s="269">
        <f t="shared" si="134"/>
        <v>0</v>
      </c>
      <c r="BY344" s="349" t="e">
        <f t="shared" si="149"/>
        <v>#N/A</v>
      </c>
      <c r="BZ344" s="349" t="e">
        <f t="shared" si="150"/>
        <v>#N/A</v>
      </c>
      <c r="CA344" s="349" t="e">
        <f t="shared" si="151"/>
        <v>#N/A</v>
      </c>
      <c r="CB344" s="349" t="e">
        <f t="shared" si="152"/>
        <v>#N/A</v>
      </c>
      <c r="CC344" s="349" t="e">
        <f t="shared" si="139"/>
        <v>#N/A</v>
      </c>
      <c r="CD344" s="14" t="e">
        <f t="shared" si="147"/>
        <v>#N/A</v>
      </c>
      <c r="CE344" s="14">
        <f t="shared" si="145"/>
        <v>27</v>
      </c>
      <c r="CF344" s="2">
        <f t="shared" si="142"/>
        <v>1</v>
      </c>
      <c r="CG344" s="270"/>
      <c r="CH344" s="2"/>
      <c r="CL344" s="349" t="e">
        <f t="shared" si="153"/>
        <v>#N/A</v>
      </c>
      <c r="CM344" s="349" t="e">
        <f t="shared" si="154"/>
        <v>#N/A</v>
      </c>
      <c r="CN344" s="349" t="e">
        <f t="shared" si="155"/>
        <v>#N/A</v>
      </c>
      <c r="CO344" s="349" t="e">
        <f t="shared" si="156"/>
        <v>#N/A</v>
      </c>
      <c r="CP344" s="349" t="e">
        <f t="shared" si="125"/>
        <v>#N/A</v>
      </c>
      <c r="CQ344" s="14"/>
      <c r="CY344" s="2"/>
    </row>
    <row r="345" spans="1:103" s="1" customFormat="1" ht="29.4" customHeight="1">
      <c r="A345" s="46">
        <v>32</v>
      </c>
      <c r="B345" s="363">
        <v>9</v>
      </c>
      <c r="C345" s="363">
        <v>375</v>
      </c>
      <c r="D345" s="362"/>
      <c r="E345" s="362"/>
      <c r="F345" s="363"/>
      <c r="G345" s="312" t="s">
        <v>1991</v>
      </c>
      <c r="H345" s="312" t="s">
        <v>1991</v>
      </c>
      <c r="I345" s="312" t="s">
        <v>1991</v>
      </c>
      <c r="J345" s="312"/>
      <c r="K345" s="312" t="s">
        <v>1991</v>
      </c>
      <c r="L345" s="312" t="s">
        <v>1991</v>
      </c>
      <c r="M345" s="312" t="s">
        <v>1991</v>
      </c>
      <c r="N345" s="312" t="s">
        <v>1991</v>
      </c>
      <c r="O345" s="312" t="s">
        <v>1991</v>
      </c>
      <c r="P345" s="312">
        <v>0</v>
      </c>
      <c r="Q345" s="312" t="s">
        <v>1991</v>
      </c>
      <c r="R345" s="312" t="s">
        <v>1991</v>
      </c>
      <c r="S345" s="312" t="s">
        <v>1991</v>
      </c>
      <c r="T345" s="323" t="s">
        <v>1991</v>
      </c>
      <c r="U345" s="312" t="s">
        <v>1991</v>
      </c>
      <c r="V345" s="46" t="s">
        <v>1991</v>
      </c>
      <c r="W345" s="46" t="s">
        <v>1991</v>
      </c>
      <c r="X345" s="46" t="s">
        <v>1991</v>
      </c>
      <c r="Y345" s="46" t="s">
        <v>1991</v>
      </c>
      <c r="Z345" s="46" t="s">
        <v>1991</v>
      </c>
      <c r="AA345" s="46" t="s">
        <v>1991</v>
      </c>
      <c r="AB345" s="46" t="s">
        <v>1991</v>
      </c>
      <c r="AC345" s="46" t="s">
        <v>1991</v>
      </c>
      <c r="AD345" s="46" t="s">
        <v>1991</v>
      </c>
      <c r="AE345" s="46" t="s">
        <v>1991</v>
      </c>
      <c r="AF345" s="46">
        <v>0</v>
      </c>
      <c r="AG345" s="46" t="s">
        <v>1991</v>
      </c>
      <c r="AH345" s="46" t="s">
        <v>1991</v>
      </c>
      <c r="AI345" s="46" t="s">
        <v>1991</v>
      </c>
      <c r="AJ345" s="46" t="s">
        <v>1991</v>
      </c>
      <c r="AK345" s="46" t="s">
        <v>1991</v>
      </c>
      <c r="AL345" s="327"/>
      <c r="AM345" s="327" t="s">
        <v>1991</v>
      </c>
      <c r="AN345" s="327" t="s">
        <v>1991</v>
      </c>
      <c r="AO345" s="327" t="s">
        <v>1991</v>
      </c>
      <c r="AP345" s="327"/>
      <c r="AQ345" s="327"/>
      <c r="AR345" s="327"/>
      <c r="AS345" s="327">
        <v>0</v>
      </c>
      <c r="AT345" s="327" t="s">
        <v>1991</v>
      </c>
      <c r="AU345" s="327"/>
      <c r="AV345" s="327"/>
      <c r="AW345" s="327"/>
      <c r="AX345" s="327"/>
      <c r="AY345" s="327"/>
      <c r="AZ345" s="327"/>
      <c r="BA345" s="327"/>
      <c r="BB345" s="46">
        <f t="shared" si="126"/>
        <v>13</v>
      </c>
      <c r="BC345" s="46">
        <f t="shared" si="143"/>
        <v>15</v>
      </c>
      <c r="BD345" s="46">
        <f t="shared" si="127"/>
        <v>4</v>
      </c>
      <c r="BE345" s="46">
        <f t="shared" si="128"/>
        <v>4</v>
      </c>
      <c r="BF345" s="296">
        <f t="shared" si="148"/>
        <v>28</v>
      </c>
      <c r="BG345" s="2"/>
      <c r="BH345" s="2"/>
      <c r="BI345" s="2"/>
      <c r="BJ345" s="2"/>
      <c r="BK345" s="279">
        <f t="shared" si="146"/>
        <v>0</v>
      </c>
      <c r="BL345" s="279">
        <f t="shared" si="130"/>
        <v>28</v>
      </c>
      <c r="BM345" s="279"/>
      <c r="BN345" s="279"/>
      <c r="BO345" s="2">
        <f t="shared" si="131"/>
        <v>28</v>
      </c>
      <c r="BP345" s="430"/>
      <c r="BQ345" s="431"/>
      <c r="BR345" s="2"/>
      <c r="BS345" s="25"/>
      <c r="BT345" s="348">
        <f t="shared" si="132"/>
        <v>1</v>
      </c>
      <c r="BU345" s="2"/>
      <c r="BV345" s="282">
        <f t="shared" si="133"/>
        <v>0</v>
      </c>
      <c r="BW345" s="369"/>
      <c r="BX345" s="269">
        <f t="shared" si="134"/>
        <v>0</v>
      </c>
      <c r="BY345" s="349" t="e">
        <f t="shared" si="149"/>
        <v>#N/A</v>
      </c>
      <c r="BZ345" s="349" t="e">
        <f t="shared" si="150"/>
        <v>#N/A</v>
      </c>
      <c r="CA345" s="349" t="e">
        <f t="shared" si="151"/>
        <v>#N/A</v>
      </c>
      <c r="CB345" s="349" t="e">
        <f t="shared" si="152"/>
        <v>#N/A</v>
      </c>
      <c r="CC345" s="349" t="e">
        <f t="shared" si="139"/>
        <v>#N/A</v>
      </c>
      <c r="CD345" s="14" t="e">
        <f t="shared" si="147"/>
        <v>#N/A</v>
      </c>
      <c r="CE345" s="14">
        <f t="shared" si="145"/>
        <v>28</v>
      </c>
      <c r="CF345" s="2">
        <f t="shared" si="142"/>
        <v>1</v>
      </c>
      <c r="CG345" s="270"/>
      <c r="CH345" s="2"/>
      <c r="CL345" s="349" t="e">
        <f t="shared" si="153"/>
        <v>#N/A</v>
      </c>
      <c r="CM345" s="349" t="e">
        <f t="shared" si="154"/>
        <v>#N/A</v>
      </c>
      <c r="CN345" s="349" t="e">
        <f t="shared" si="155"/>
        <v>#N/A</v>
      </c>
      <c r="CO345" s="349" t="e">
        <f t="shared" si="156"/>
        <v>#N/A</v>
      </c>
      <c r="CP345" s="349" t="e">
        <f t="shared" si="125"/>
        <v>#N/A</v>
      </c>
      <c r="CQ345" s="14"/>
      <c r="CY345" s="2"/>
    </row>
    <row r="346" spans="1:103" s="1" customFormat="1" ht="29.4" customHeight="1">
      <c r="A346" s="46">
        <v>33</v>
      </c>
      <c r="B346" s="363">
        <v>9</v>
      </c>
      <c r="C346" s="363">
        <v>376</v>
      </c>
      <c r="D346" s="362"/>
      <c r="E346" s="362"/>
      <c r="F346" s="363"/>
      <c r="G346" s="312">
        <v>0</v>
      </c>
      <c r="H346" s="312" t="s">
        <v>1991</v>
      </c>
      <c r="I346" s="312" t="s">
        <v>1991</v>
      </c>
      <c r="J346" s="312"/>
      <c r="K346" s="312">
        <v>0</v>
      </c>
      <c r="L346" s="312" t="s">
        <v>1991</v>
      </c>
      <c r="M346" s="312" t="s">
        <v>1991</v>
      </c>
      <c r="N346" s="312" t="s">
        <v>1991</v>
      </c>
      <c r="O346" s="312">
        <v>0</v>
      </c>
      <c r="P346" s="312">
        <v>0</v>
      </c>
      <c r="Q346" s="312">
        <v>0</v>
      </c>
      <c r="R346" s="312" t="s">
        <v>1991</v>
      </c>
      <c r="S346" s="312" t="s">
        <v>1991</v>
      </c>
      <c r="T346" s="323" t="s">
        <v>1991</v>
      </c>
      <c r="U346" s="312" t="s">
        <v>1991</v>
      </c>
      <c r="V346" s="46" t="s">
        <v>1991</v>
      </c>
      <c r="W346" s="46" t="s">
        <v>1991</v>
      </c>
      <c r="X346" s="46" t="s">
        <v>1991</v>
      </c>
      <c r="Y346" s="46" t="s">
        <v>1991</v>
      </c>
      <c r="Z346" s="46" t="s">
        <v>1991</v>
      </c>
      <c r="AA346" s="46" t="s">
        <v>1991</v>
      </c>
      <c r="AB346" s="46">
        <v>0</v>
      </c>
      <c r="AC346" s="46" t="s">
        <v>1991</v>
      </c>
      <c r="AD346" s="46" t="s">
        <v>1991</v>
      </c>
      <c r="AE346" s="46" t="s">
        <v>1991</v>
      </c>
      <c r="AF346" s="46" t="s">
        <v>1991</v>
      </c>
      <c r="AG346" s="46" t="s">
        <v>1991</v>
      </c>
      <c r="AH346" s="46" t="s">
        <v>1991</v>
      </c>
      <c r="AI346" s="46" t="s">
        <v>1991</v>
      </c>
      <c r="AJ346" s="46" t="s">
        <v>1991</v>
      </c>
      <c r="AK346" s="46" t="s">
        <v>1991</v>
      </c>
      <c r="AL346" s="327"/>
      <c r="AM346" s="327">
        <v>0</v>
      </c>
      <c r="AN346" s="327" t="s">
        <v>1991</v>
      </c>
      <c r="AO346" s="327">
        <v>0</v>
      </c>
      <c r="AP346" s="327"/>
      <c r="AQ346" s="327"/>
      <c r="AR346" s="327"/>
      <c r="AS346" s="327">
        <v>0</v>
      </c>
      <c r="AT346" s="327"/>
      <c r="AU346" s="327"/>
      <c r="AV346" s="327"/>
      <c r="AW346" s="327"/>
      <c r="AX346" s="327"/>
      <c r="AY346" s="327"/>
      <c r="AZ346" s="327"/>
      <c r="BA346" s="327"/>
      <c r="BB346" s="46">
        <f t="shared" si="126"/>
        <v>9</v>
      </c>
      <c r="BC346" s="46">
        <f t="shared" si="143"/>
        <v>15</v>
      </c>
      <c r="BD346" s="46">
        <f t="shared" si="127"/>
        <v>1</v>
      </c>
      <c r="BE346" s="46">
        <f t="shared" si="128"/>
        <v>1</v>
      </c>
      <c r="BF346" s="296">
        <f t="shared" si="148"/>
        <v>24</v>
      </c>
      <c r="BG346" s="2"/>
      <c r="BH346" s="2"/>
      <c r="BI346" s="2"/>
      <c r="BJ346" s="2"/>
      <c r="BK346" s="279">
        <f t="shared" si="146"/>
        <v>0</v>
      </c>
      <c r="BL346" s="279">
        <f t="shared" si="130"/>
        <v>24</v>
      </c>
      <c r="BM346" s="279"/>
      <c r="BN346" s="279"/>
      <c r="BO346" s="2">
        <f t="shared" si="131"/>
        <v>0</v>
      </c>
      <c r="BP346" s="430"/>
      <c r="BQ346" s="431"/>
      <c r="BR346" s="2"/>
      <c r="BS346" s="25"/>
      <c r="BT346" s="348">
        <f t="shared" si="132"/>
        <v>0</v>
      </c>
      <c r="BU346" s="2"/>
      <c r="BV346" s="282">
        <f t="shared" si="133"/>
        <v>0</v>
      </c>
      <c r="BW346" s="369"/>
      <c r="BX346" s="269">
        <f t="shared" si="134"/>
        <v>0</v>
      </c>
      <c r="BY346" s="349" t="e">
        <f t="shared" si="149"/>
        <v>#N/A</v>
      </c>
      <c r="BZ346" s="349" t="e">
        <f t="shared" si="150"/>
        <v>#N/A</v>
      </c>
      <c r="CA346" s="349" t="e">
        <f t="shared" si="151"/>
        <v>#N/A</v>
      </c>
      <c r="CB346" s="349" t="e">
        <f t="shared" si="152"/>
        <v>#N/A</v>
      </c>
      <c r="CC346" s="349" t="e">
        <f t="shared" si="139"/>
        <v>#N/A</v>
      </c>
      <c r="CD346" s="14" t="e">
        <f t="shared" si="147"/>
        <v>#N/A</v>
      </c>
      <c r="CE346" s="14">
        <f t="shared" si="145"/>
        <v>0</v>
      </c>
      <c r="CF346" s="2">
        <f t="shared" si="142"/>
        <v>0</v>
      </c>
      <c r="CG346" s="270"/>
      <c r="CH346" s="2"/>
      <c r="CL346" s="349" t="e">
        <f t="shared" si="153"/>
        <v>#N/A</v>
      </c>
      <c r="CM346" s="349" t="e">
        <f t="shared" si="154"/>
        <v>#N/A</v>
      </c>
      <c r="CN346" s="349" t="e">
        <f t="shared" si="155"/>
        <v>#N/A</v>
      </c>
      <c r="CO346" s="349" t="e">
        <f t="shared" si="156"/>
        <v>#N/A</v>
      </c>
      <c r="CP346" s="349" t="e">
        <f t="shared" si="125"/>
        <v>#N/A</v>
      </c>
      <c r="CQ346" s="14"/>
      <c r="CY346" s="2"/>
    </row>
    <row r="347" spans="1:103" s="1" customFormat="1" ht="29.4" customHeight="1">
      <c r="A347" s="46">
        <v>34</v>
      </c>
      <c r="B347" s="363">
        <v>9</v>
      </c>
      <c r="C347" s="363">
        <v>377</v>
      </c>
      <c r="D347" s="362"/>
      <c r="E347" s="362"/>
      <c r="F347" s="363"/>
      <c r="G347" s="312" t="s">
        <v>1991</v>
      </c>
      <c r="H347" s="312" t="s">
        <v>1991</v>
      </c>
      <c r="I347" s="312" t="s">
        <v>1991</v>
      </c>
      <c r="J347" s="312"/>
      <c r="K347" s="312">
        <v>0</v>
      </c>
      <c r="L347" s="312" t="s">
        <v>1991</v>
      </c>
      <c r="M347" s="312" t="s">
        <v>1991</v>
      </c>
      <c r="N347" s="312" t="s">
        <v>1991</v>
      </c>
      <c r="O347" s="312" t="s">
        <v>1991</v>
      </c>
      <c r="P347" s="312" t="s">
        <v>1991</v>
      </c>
      <c r="Q347" s="312">
        <v>0</v>
      </c>
      <c r="R347" s="312" t="s">
        <v>1991</v>
      </c>
      <c r="S347" s="312" t="s">
        <v>1991</v>
      </c>
      <c r="T347" s="323" t="s">
        <v>1991</v>
      </c>
      <c r="U347" s="312" t="s">
        <v>1991</v>
      </c>
      <c r="V347" s="46" t="s">
        <v>1991</v>
      </c>
      <c r="W347" s="46">
        <v>0</v>
      </c>
      <c r="X347" s="46" t="s">
        <v>1991</v>
      </c>
      <c r="Y347" s="46" t="s">
        <v>1991</v>
      </c>
      <c r="Z347" s="46" t="s">
        <v>1991</v>
      </c>
      <c r="AA347" s="46" t="s">
        <v>1991</v>
      </c>
      <c r="AB347" s="46" t="s">
        <v>1991</v>
      </c>
      <c r="AC347" s="46" t="s">
        <v>1991</v>
      </c>
      <c r="AD347" s="46" t="s">
        <v>1991</v>
      </c>
      <c r="AE347" s="46" t="s">
        <v>1991</v>
      </c>
      <c r="AF347" s="46" t="s">
        <v>1991</v>
      </c>
      <c r="AG347" s="46" t="s">
        <v>1991</v>
      </c>
      <c r="AH347" s="46" t="s">
        <v>1991</v>
      </c>
      <c r="AI347" s="46" t="s">
        <v>1991</v>
      </c>
      <c r="AJ347" s="46" t="s">
        <v>1991</v>
      </c>
      <c r="AK347" s="46">
        <v>0</v>
      </c>
      <c r="AL347" s="327"/>
      <c r="AM347" s="327" t="s">
        <v>1991</v>
      </c>
      <c r="AN347" s="327" t="s">
        <v>1991</v>
      </c>
      <c r="AO347" s="327">
        <v>0</v>
      </c>
      <c r="AP347" s="327"/>
      <c r="AQ347" s="327"/>
      <c r="AR347" s="327"/>
      <c r="AS347" s="327" t="s">
        <v>1991</v>
      </c>
      <c r="AT347" s="327"/>
      <c r="AU347" s="327"/>
      <c r="AV347" s="327"/>
      <c r="AW347" s="327"/>
      <c r="AX347" s="327"/>
      <c r="AY347" s="327"/>
      <c r="AZ347" s="327"/>
      <c r="BA347" s="327"/>
      <c r="BB347" s="46">
        <f t="shared" si="126"/>
        <v>12</v>
      </c>
      <c r="BC347" s="46">
        <f t="shared" si="143"/>
        <v>14</v>
      </c>
      <c r="BD347" s="46">
        <f t="shared" si="127"/>
        <v>3</v>
      </c>
      <c r="BE347" s="46">
        <f t="shared" si="128"/>
        <v>3</v>
      </c>
      <c r="BF347" s="296">
        <f t="shared" si="148"/>
        <v>26</v>
      </c>
      <c r="BG347" s="2"/>
      <c r="BH347" s="2"/>
      <c r="BI347" s="2"/>
      <c r="BJ347" s="2"/>
      <c r="BK347" s="279">
        <f t="shared" si="146"/>
        <v>0</v>
      </c>
      <c r="BL347" s="279">
        <f t="shared" si="130"/>
        <v>26</v>
      </c>
      <c r="BM347" s="279"/>
      <c r="BN347" s="279"/>
      <c r="BO347" s="2">
        <f t="shared" si="131"/>
        <v>26</v>
      </c>
      <c r="BP347" s="430"/>
      <c r="BQ347" s="431"/>
      <c r="BR347" s="2"/>
      <c r="BS347" s="25"/>
      <c r="BT347" s="348">
        <f t="shared" si="132"/>
        <v>1</v>
      </c>
      <c r="BU347" s="2"/>
      <c r="BV347" s="282">
        <f t="shared" si="133"/>
        <v>0</v>
      </c>
      <c r="BW347" s="369"/>
      <c r="BX347" s="269">
        <f t="shared" si="134"/>
        <v>0</v>
      </c>
      <c r="BY347" s="349" t="e">
        <f t="shared" si="149"/>
        <v>#N/A</v>
      </c>
      <c r="BZ347" s="349" t="e">
        <f t="shared" si="150"/>
        <v>#N/A</v>
      </c>
      <c r="CA347" s="349" t="e">
        <f t="shared" si="151"/>
        <v>#N/A</v>
      </c>
      <c r="CB347" s="349" t="e">
        <f t="shared" si="152"/>
        <v>#N/A</v>
      </c>
      <c r="CC347" s="349" t="e">
        <f t="shared" si="139"/>
        <v>#N/A</v>
      </c>
      <c r="CD347" s="14" t="e">
        <f t="shared" si="147"/>
        <v>#N/A</v>
      </c>
      <c r="CE347" s="14">
        <f t="shared" si="145"/>
        <v>26</v>
      </c>
      <c r="CF347" s="2">
        <f t="shared" si="142"/>
        <v>1</v>
      </c>
      <c r="CG347" s="270"/>
      <c r="CH347" s="2"/>
      <c r="CL347" s="349" t="e">
        <f t="shared" si="153"/>
        <v>#N/A</v>
      </c>
      <c r="CM347" s="349" t="e">
        <f t="shared" si="154"/>
        <v>#N/A</v>
      </c>
      <c r="CN347" s="349" t="e">
        <f t="shared" si="155"/>
        <v>#N/A</v>
      </c>
      <c r="CO347" s="349" t="e">
        <f t="shared" si="156"/>
        <v>#N/A</v>
      </c>
      <c r="CP347" s="349" t="e">
        <f t="shared" si="125"/>
        <v>#N/A</v>
      </c>
      <c r="CQ347" s="14"/>
      <c r="CY347" s="2"/>
    </row>
    <row r="348" spans="1:103" s="1" customFormat="1" ht="29.4" customHeight="1">
      <c r="A348" s="46">
        <v>35</v>
      </c>
      <c r="B348" s="363">
        <v>9</v>
      </c>
      <c r="C348" s="363">
        <v>378</v>
      </c>
      <c r="D348" s="362"/>
      <c r="E348" s="362"/>
      <c r="F348" s="363"/>
      <c r="G348" s="312" t="s">
        <v>1991</v>
      </c>
      <c r="H348" s="312" t="s">
        <v>1991</v>
      </c>
      <c r="I348" s="312" t="s">
        <v>1991</v>
      </c>
      <c r="J348" s="312"/>
      <c r="K348" s="312" t="s">
        <v>1991</v>
      </c>
      <c r="L348" s="312" t="s">
        <v>1991</v>
      </c>
      <c r="M348" s="312" t="s">
        <v>1991</v>
      </c>
      <c r="N348" s="312" t="s">
        <v>1991</v>
      </c>
      <c r="O348" s="312" t="s">
        <v>1991</v>
      </c>
      <c r="P348" s="312" t="s">
        <v>1991</v>
      </c>
      <c r="Q348" s="312" t="s">
        <v>1991</v>
      </c>
      <c r="R348" s="312" t="s">
        <v>1991</v>
      </c>
      <c r="S348" s="312" t="s">
        <v>1991</v>
      </c>
      <c r="T348" s="323" t="s">
        <v>1991</v>
      </c>
      <c r="U348" s="312" t="s">
        <v>1991</v>
      </c>
      <c r="V348" s="46" t="s">
        <v>1991</v>
      </c>
      <c r="W348" s="46" t="s">
        <v>1991</v>
      </c>
      <c r="X348" s="46" t="s">
        <v>1991</v>
      </c>
      <c r="Y348" s="46" t="s">
        <v>1991</v>
      </c>
      <c r="Z348" s="46" t="s">
        <v>1991</v>
      </c>
      <c r="AA348" s="46" t="s">
        <v>1991</v>
      </c>
      <c r="AB348" s="46" t="s">
        <v>1991</v>
      </c>
      <c r="AC348" s="46" t="s">
        <v>1991</v>
      </c>
      <c r="AD348" s="46" t="s">
        <v>1991</v>
      </c>
      <c r="AE348" s="46" t="s">
        <v>1991</v>
      </c>
      <c r="AF348" s="46">
        <v>0</v>
      </c>
      <c r="AG348" s="46" t="s">
        <v>1991</v>
      </c>
      <c r="AH348" s="46" t="s">
        <v>1991</v>
      </c>
      <c r="AI348" s="46" t="s">
        <v>1991</v>
      </c>
      <c r="AJ348" s="46" t="s">
        <v>1991</v>
      </c>
      <c r="AK348" s="46" t="s">
        <v>1991</v>
      </c>
      <c r="AL348" s="327"/>
      <c r="AM348" s="327" t="s">
        <v>1991</v>
      </c>
      <c r="AN348" s="327" t="s">
        <v>1991</v>
      </c>
      <c r="AO348" s="327">
        <v>0</v>
      </c>
      <c r="AP348" s="327"/>
      <c r="AQ348" s="327"/>
      <c r="AR348" s="327"/>
      <c r="AS348" s="327" t="s">
        <v>1991</v>
      </c>
      <c r="AT348" s="327" t="s">
        <v>1991</v>
      </c>
      <c r="AU348" s="327"/>
      <c r="AV348" s="327"/>
      <c r="AW348" s="327"/>
      <c r="AX348" s="327"/>
      <c r="AY348" s="327"/>
      <c r="AZ348" s="327"/>
      <c r="BA348" s="327"/>
      <c r="BB348" s="46">
        <f t="shared" si="126"/>
        <v>14</v>
      </c>
      <c r="BC348" s="46">
        <f t="shared" si="143"/>
        <v>15</v>
      </c>
      <c r="BD348" s="46">
        <f t="shared" si="127"/>
        <v>4</v>
      </c>
      <c r="BE348" s="46">
        <f t="shared" si="128"/>
        <v>4</v>
      </c>
      <c r="BF348" s="296">
        <f t="shared" si="148"/>
        <v>29</v>
      </c>
      <c r="BG348" s="2"/>
      <c r="BH348" s="2"/>
      <c r="BI348" s="2"/>
      <c r="BJ348" s="2"/>
      <c r="BK348" s="279">
        <f t="shared" si="146"/>
        <v>0</v>
      </c>
      <c r="BL348" s="279">
        <f t="shared" si="130"/>
        <v>29</v>
      </c>
      <c r="BM348" s="279"/>
      <c r="BN348" s="279"/>
      <c r="BO348" s="2">
        <f t="shared" si="131"/>
        <v>29</v>
      </c>
      <c r="BP348" s="430"/>
      <c r="BQ348" s="431"/>
      <c r="BR348" s="2"/>
      <c r="BS348" s="25"/>
      <c r="BT348" s="348">
        <f t="shared" si="132"/>
        <v>1</v>
      </c>
      <c r="BU348" s="2"/>
      <c r="BV348" s="282">
        <f t="shared" si="133"/>
        <v>0</v>
      </c>
      <c r="BW348" s="369"/>
      <c r="BX348" s="269">
        <f t="shared" si="134"/>
        <v>0</v>
      </c>
      <c r="BY348" s="349" t="e">
        <f t="shared" si="149"/>
        <v>#N/A</v>
      </c>
      <c r="BZ348" s="349" t="e">
        <f t="shared" si="150"/>
        <v>#N/A</v>
      </c>
      <c r="CA348" s="349" t="e">
        <f t="shared" si="151"/>
        <v>#N/A</v>
      </c>
      <c r="CB348" s="349" t="e">
        <f t="shared" si="152"/>
        <v>#N/A</v>
      </c>
      <c r="CC348" s="349" t="e">
        <f t="shared" si="139"/>
        <v>#N/A</v>
      </c>
      <c r="CD348" s="14" t="e">
        <f t="shared" si="147"/>
        <v>#N/A</v>
      </c>
      <c r="CE348" s="14">
        <f t="shared" si="145"/>
        <v>29</v>
      </c>
      <c r="CF348" s="2">
        <f t="shared" si="142"/>
        <v>1</v>
      </c>
      <c r="CG348" s="270"/>
      <c r="CH348" s="2"/>
      <c r="CL348" s="349" t="e">
        <f t="shared" si="153"/>
        <v>#N/A</v>
      </c>
      <c r="CM348" s="349" t="e">
        <f t="shared" si="154"/>
        <v>#N/A</v>
      </c>
      <c r="CN348" s="349" t="e">
        <f t="shared" si="155"/>
        <v>#N/A</v>
      </c>
      <c r="CO348" s="349" t="e">
        <f t="shared" si="156"/>
        <v>#N/A</v>
      </c>
      <c r="CP348" s="349" t="e">
        <f t="shared" si="125"/>
        <v>#N/A</v>
      </c>
      <c r="CQ348" s="14"/>
      <c r="CY348" s="2"/>
    </row>
    <row r="349" spans="1:103" s="1" customFormat="1" ht="29.4" customHeight="1">
      <c r="A349" s="46">
        <v>36</v>
      </c>
      <c r="B349" s="363">
        <v>9</v>
      </c>
      <c r="C349" s="363">
        <v>379</v>
      </c>
      <c r="D349" s="362"/>
      <c r="E349" s="362"/>
      <c r="F349" s="363"/>
      <c r="G349" s="312" t="s">
        <v>1991</v>
      </c>
      <c r="H349" s="312" t="s">
        <v>1991</v>
      </c>
      <c r="I349" s="312" t="s">
        <v>1991</v>
      </c>
      <c r="J349" s="312"/>
      <c r="K349" s="312" t="s">
        <v>1991</v>
      </c>
      <c r="L349" s="312" t="s">
        <v>1991</v>
      </c>
      <c r="M349" s="312" t="s">
        <v>1991</v>
      </c>
      <c r="N349" s="312" t="s">
        <v>1991</v>
      </c>
      <c r="O349" s="312" t="s">
        <v>1991</v>
      </c>
      <c r="P349" s="312" t="s">
        <v>1991</v>
      </c>
      <c r="Q349" s="312" t="s">
        <v>1991</v>
      </c>
      <c r="R349" s="312" t="s">
        <v>1991</v>
      </c>
      <c r="S349" s="312" t="s">
        <v>1991</v>
      </c>
      <c r="T349" s="323" t="s">
        <v>1991</v>
      </c>
      <c r="U349" s="312" t="s">
        <v>1991</v>
      </c>
      <c r="V349" s="46" t="s">
        <v>1991</v>
      </c>
      <c r="W349" s="46" t="s">
        <v>1991</v>
      </c>
      <c r="X349" s="46" t="s">
        <v>1991</v>
      </c>
      <c r="Y349" s="46" t="s">
        <v>1991</v>
      </c>
      <c r="Z349" s="46" t="s">
        <v>1991</v>
      </c>
      <c r="AA349" s="46" t="s">
        <v>1991</v>
      </c>
      <c r="AB349" s="46">
        <v>0</v>
      </c>
      <c r="AC349" s="46" t="s">
        <v>1991</v>
      </c>
      <c r="AD349" s="46" t="s">
        <v>1991</v>
      </c>
      <c r="AE349" s="46" t="s">
        <v>1991</v>
      </c>
      <c r="AF349" s="46" t="s">
        <v>1991</v>
      </c>
      <c r="AG349" s="46" t="s">
        <v>1991</v>
      </c>
      <c r="AH349" s="46" t="s">
        <v>1991</v>
      </c>
      <c r="AI349" s="46" t="s">
        <v>1991</v>
      </c>
      <c r="AJ349" s="46" t="s">
        <v>1991</v>
      </c>
      <c r="AK349" s="46" t="s">
        <v>1991</v>
      </c>
      <c r="AL349" s="327"/>
      <c r="AM349" s="327">
        <v>0</v>
      </c>
      <c r="AN349" s="327" t="s">
        <v>1991</v>
      </c>
      <c r="AO349" s="327">
        <v>0</v>
      </c>
      <c r="AP349" s="327"/>
      <c r="AQ349" s="327"/>
      <c r="AR349" s="327"/>
      <c r="AS349" s="327" t="s">
        <v>1991</v>
      </c>
      <c r="AT349" s="327"/>
      <c r="AU349" s="327"/>
      <c r="AV349" s="327"/>
      <c r="AW349" s="327"/>
      <c r="AX349" s="327"/>
      <c r="AY349" s="327"/>
      <c r="AZ349" s="327"/>
      <c r="BA349" s="327"/>
      <c r="BB349" s="46">
        <f t="shared" si="126"/>
        <v>14</v>
      </c>
      <c r="BC349" s="46">
        <f t="shared" si="143"/>
        <v>15</v>
      </c>
      <c r="BD349" s="46">
        <f t="shared" si="127"/>
        <v>2</v>
      </c>
      <c r="BE349" s="46">
        <f t="shared" si="128"/>
        <v>2</v>
      </c>
      <c r="BF349" s="296">
        <f t="shared" si="148"/>
        <v>29</v>
      </c>
      <c r="BG349" s="2"/>
      <c r="BH349" s="2"/>
      <c r="BI349" s="2"/>
      <c r="BJ349" s="2"/>
      <c r="BK349" s="279">
        <f t="shared" si="146"/>
        <v>0</v>
      </c>
      <c r="BL349" s="279">
        <f t="shared" si="130"/>
        <v>29</v>
      </c>
      <c r="BM349" s="279"/>
      <c r="BN349" s="279"/>
      <c r="BO349" s="2">
        <f t="shared" si="131"/>
        <v>29</v>
      </c>
      <c r="BP349" s="430"/>
      <c r="BQ349" s="431"/>
      <c r="BR349" s="2"/>
      <c r="BS349" s="25"/>
      <c r="BT349" s="348">
        <f t="shared" si="132"/>
        <v>1</v>
      </c>
      <c r="BU349" s="2"/>
      <c r="BV349" s="282">
        <f t="shared" si="133"/>
        <v>0</v>
      </c>
      <c r="BW349" s="369"/>
      <c r="BX349" s="269">
        <f t="shared" si="134"/>
        <v>0</v>
      </c>
      <c r="BY349" s="349" t="e">
        <f t="shared" si="149"/>
        <v>#N/A</v>
      </c>
      <c r="BZ349" s="349" t="e">
        <f t="shared" si="150"/>
        <v>#N/A</v>
      </c>
      <c r="CA349" s="349" t="e">
        <f t="shared" si="151"/>
        <v>#N/A</v>
      </c>
      <c r="CB349" s="349" t="e">
        <f t="shared" si="152"/>
        <v>#N/A</v>
      </c>
      <c r="CC349" s="349" t="e">
        <f t="shared" si="139"/>
        <v>#N/A</v>
      </c>
      <c r="CD349" s="14" t="e">
        <f t="shared" si="147"/>
        <v>#N/A</v>
      </c>
      <c r="CE349" s="14">
        <f t="shared" si="145"/>
        <v>29</v>
      </c>
      <c r="CF349" s="2">
        <f t="shared" si="142"/>
        <v>1</v>
      </c>
      <c r="CG349" s="270"/>
      <c r="CH349" s="2"/>
      <c r="CL349" s="349" t="e">
        <f t="shared" si="153"/>
        <v>#N/A</v>
      </c>
      <c r="CM349" s="349" t="e">
        <f t="shared" si="154"/>
        <v>#N/A</v>
      </c>
      <c r="CN349" s="349" t="e">
        <f t="shared" si="155"/>
        <v>#N/A</v>
      </c>
      <c r="CO349" s="349" t="e">
        <f t="shared" si="156"/>
        <v>#N/A</v>
      </c>
      <c r="CP349" s="349" t="e">
        <f t="shared" si="125"/>
        <v>#N/A</v>
      </c>
      <c r="CQ349" s="14"/>
      <c r="CY349" s="2"/>
    </row>
    <row r="350" spans="1:103" s="1" customFormat="1" ht="29.4" customHeight="1">
      <c r="A350" s="46">
        <v>37</v>
      </c>
      <c r="B350" s="363">
        <v>9</v>
      </c>
      <c r="C350" s="363">
        <v>380</v>
      </c>
      <c r="D350" s="362"/>
      <c r="E350" s="362"/>
      <c r="F350" s="363"/>
      <c r="G350" s="312" t="s">
        <v>1991</v>
      </c>
      <c r="H350" s="312" t="s">
        <v>1991</v>
      </c>
      <c r="I350" s="312" t="s">
        <v>1991</v>
      </c>
      <c r="J350" s="312"/>
      <c r="K350" s="312">
        <v>0</v>
      </c>
      <c r="L350" s="312" t="s">
        <v>1991</v>
      </c>
      <c r="M350" s="312" t="s">
        <v>1991</v>
      </c>
      <c r="N350" s="312" t="s">
        <v>1991</v>
      </c>
      <c r="O350" s="312" t="s">
        <v>1991</v>
      </c>
      <c r="P350" s="312" t="s">
        <v>1991</v>
      </c>
      <c r="Q350" s="312" t="s">
        <v>1991</v>
      </c>
      <c r="R350" s="312" t="s">
        <v>1991</v>
      </c>
      <c r="S350" s="312" t="s">
        <v>1991</v>
      </c>
      <c r="T350" s="323" t="s">
        <v>1991</v>
      </c>
      <c r="U350" s="312" t="s">
        <v>1991</v>
      </c>
      <c r="V350" s="46" t="s">
        <v>1991</v>
      </c>
      <c r="W350" s="46" t="s">
        <v>1991</v>
      </c>
      <c r="X350" s="46" t="s">
        <v>1991</v>
      </c>
      <c r="Y350" s="46" t="s">
        <v>1991</v>
      </c>
      <c r="Z350" s="46" t="s">
        <v>1991</v>
      </c>
      <c r="AA350" s="46" t="s">
        <v>1991</v>
      </c>
      <c r="AB350" s="46" t="s">
        <v>1991</v>
      </c>
      <c r="AC350" s="46" t="s">
        <v>1991</v>
      </c>
      <c r="AD350" s="46" t="s">
        <v>1991</v>
      </c>
      <c r="AE350" s="46" t="s">
        <v>1991</v>
      </c>
      <c r="AF350" s="46" t="s">
        <v>1991</v>
      </c>
      <c r="AG350" s="46" t="s">
        <v>1991</v>
      </c>
      <c r="AH350" s="46" t="s">
        <v>1991</v>
      </c>
      <c r="AI350" s="46" t="s">
        <v>1991</v>
      </c>
      <c r="AJ350" s="46" t="s">
        <v>1991</v>
      </c>
      <c r="AK350" s="46" t="s">
        <v>1991</v>
      </c>
      <c r="AL350" s="327"/>
      <c r="AM350" s="327" t="s">
        <v>1991</v>
      </c>
      <c r="AN350" s="327" t="s">
        <v>1991</v>
      </c>
      <c r="AO350" s="327" t="s">
        <v>1991</v>
      </c>
      <c r="AP350" s="327"/>
      <c r="AQ350" s="327"/>
      <c r="AR350" s="327"/>
      <c r="AS350" s="327" t="s">
        <v>1991</v>
      </c>
      <c r="AT350" s="327" t="s">
        <v>1991</v>
      </c>
      <c r="AU350" s="327"/>
      <c r="AV350" s="327"/>
      <c r="AW350" s="327"/>
      <c r="AX350" s="327"/>
      <c r="AY350" s="327"/>
      <c r="AZ350" s="327"/>
      <c r="BA350" s="327"/>
      <c r="BB350" s="46">
        <f t="shared" si="126"/>
        <v>13</v>
      </c>
      <c r="BC350" s="46">
        <f t="shared" si="143"/>
        <v>16</v>
      </c>
      <c r="BD350" s="46">
        <f t="shared" si="127"/>
        <v>5</v>
      </c>
      <c r="BE350" s="46">
        <f t="shared" si="128"/>
        <v>5</v>
      </c>
      <c r="BF350" s="296">
        <f t="shared" si="148"/>
        <v>29</v>
      </c>
      <c r="BG350" s="2"/>
      <c r="BH350" s="2"/>
      <c r="BI350" s="2"/>
      <c r="BJ350" s="2"/>
      <c r="BK350" s="279">
        <f t="shared" si="146"/>
        <v>0</v>
      </c>
      <c r="BL350" s="279">
        <f t="shared" si="130"/>
        <v>29</v>
      </c>
      <c r="BM350" s="279"/>
      <c r="BN350" s="279"/>
      <c r="BO350" s="2">
        <f t="shared" si="131"/>
        <v>29</v>
      </c>
      <c r="BP350" s="430"/>
      <c r="BQ350" s="431"/>
      <c r="BR350" s="2"/>
      <c r="BS350" s="25"/>
      <c r="BT350" s="348">
        <f t="shared" si="132"/>
        <v>1</v>
      </c>
      <c r="BU350" s="2"/>
      <c r="BV350" s="282">
        <f t="shared" si="133"/>
        <v>0</v>
      </c>
      <c r="BW350" s="369"/>
      <c r="BX350" s="269">
        <f t="shared" si="134"/>
        <v>0</v>
      </c>
      <c r="BY350" s="349" t="e">
        <f t="shared" si="149"/>
        <v>#N/A</v>
      </c>
      <c r="BZ350" s="349" t="e">
        <f t="shared" si="150"/>
        <v>#N/A</v>
      </c>
      <c r="CA350" s="349" t="e">
        <f t="shared" si="151"/>
        <v>#N/A</v>
      </c>
      <c r="CB350" s="349" t="e">
        <f t="shared" si="152"/>
        <v>#N/A</v>
      </c>
      <c r="CC350" s="349" t="e">
        <f t="shared" si="139"/>
        <v>#N/A</v>
      </c>
      <c r="CD350" s="14" t="e">
        <f t="shared" si="147"/>
        <v>#N/A</v>
      </c>
      <c r="CE350" s="14">
        <f t="shared" si="145"/>
        <v>29</v>
      </c>
      <c r="CF350" s="2">
        <f t="shared" si="142"/>
        <v>1</v>
      </c>
      <c r="CG350" s="270"/>
      <c r="CH350" s="2"/>
      <c r="CL350" s="349" t="e">
        <f t="shared" si="153"/>
        <v>#N/A</v>
      </c>
      <c r="CM350" s="349" t="e">
        <f t="shared" si="154"/>
        <v>#N/A</v>
      </c>
      <c r="CN350" s="349" t="e">
        <f t="shared" si="155"/>
        <v>#N/A</v>
      </c>
      <c r="CO350" s="349" t="e">
        <f t="shared" si="156"/>
        <v>#N/A</v>
      </c>
      <c r="CP350" s="349" t="e">
        <f t="shared" si="125"/>
        <v>#N/A</v>
      </c>
      <c r="CQ350" s="14"/>
      <c r="CY350" s="2"/>
    </row>
    <row r="351" spans="1:103" s="1" customFormat="1" ht="29.4" customHeight="1">
      <c r="A351" s="46">
        <v>38</v>
      </c>
      <c r="B351" s="363">
        <v>9</v>
      </c>
      <c r="C351" s="363">
        <v>381</v>
      </c>
      <c r="D351" s="362"/>
      <c r="E351" s="362"/>
      <c r="F351" s="363"/>
      <c r="G351" s="312" t="s">
        <v>1991</v>
      </c>
      <c r="H351" s="312" t="s">
        <v>1991</v>
      </c>
      <c r="I351" s="312" t="s">
        <v>1991</v>
      </c>
      <c r="J351" s="312"/>
      <c r="K351" s="312" t="s">
        <v>1991</v>
      </c>
      <c r="L351" s="312" t="s">
        <v>1991</v>
      </c>
      <c r="M351" s="312" t="s">
        <v>1991</v>
      </c>
      <c r="N351" s="312" t="s">
        <v>1991</v>
      </c>
      <c r="O351" s="312" t="s">
        <v>1991</v>
      </c>
      <c r="P351" s="312" t="s">
        <v>1991</v>
      </c>
      <c r="Q351" s="312" t="s">
        <v>1991</v>
      </c>
      <c r="R351" s="312" t="s">
        <v>1991</v>
      </c>
      <c r="S351" s="312" t="s">
        <v>1991</v>
      </c>
      <c r="T351" s="323" t="s">
        <v>1991</v>
      </c>
      <c r="U351" s="312" t="s">
        <v>1991</v>
      </c>
      <c r="V351" s="46" t="s">
        <v>1991</v>
      </c>
      <c r="W351" s="46" t="s">
        <v>1991</v>
      </c>
      <c r="X351" s="46" t="s">
        <v>1991</v>
      </c>
      <c r="Y351" s="46" t="s">
        <v>1991</v>
      </c>
      <c r="Z351" s="46" t="s">
        <v>1991</v>
      </c>
      <c r="AA351" s="46" t="s">
        <v>1991</v>
      </c>
      <c r="AB351" s="46" t="s">
        <v>1991</v>
      </c>
      <c r="AC351" s="46" t="s">
        <v>1991</v>
      </c>
      <c r="AD351" s="46" t="s">
        <v>1991</v>
      </c>
      <c r="AE351" s="46" t="s">
        <v>1991</v>
      </c>
      <c r="AF351" s="46" t="s">
        <v>1991</v>
      </c>
      <c r="AG351" s="46" t="s">
        <v>1991</v>
      </c>
      <c r="AH351" s="46" t="s">
        <v>1991</v>
      </c>
      <c r="AI351" s="46" t="s">
        <v>1991</v>
      </c>
      <c r="AJ351" s="46" t="s">
        <v>1991</v>
      </c>
      <c r="AK351" s="46" t="s">
        <v>1991</v>
      </c>
      <c r="AL351" s="327"/>
      <c r="AM351" s="327" t="s">
        <v>1991</v>
      </c>
      <c r="AN351" s="327">
        <v>0</v>
      </c>
      <c r="AO351" s="327" t="s">
        <v>1991</v>
      </c>
      <c r="AP351" s="327"/>
      <c r="AQ351" s="327"/>
      <c r="AR351" s="327"/>
      <c r="AS351" s="327" t="s">
        <v>1991</v>
      </c>
      <c r="AT351" s="327"/>
      <c r="AU351" s="327"/>
      <c r="AV351" s="327"/>
      <c r="AW351" s="327"/>
      <c r="AX351" s="327"/>
      <c r="AY351" s="327"/>
      <c r="AZ351" s="327"/>
      <c r="BA351" s="327"/>
      <c r="BB351" s="46">
        <f t="shared" si="126"/>
        <v>14</v>
      </c>
      <c r="BC351" s="46">
        <f t="shared" si="143"/>
        <v>16</v>
      </c>
      <c r="BD351" s="46">
        <f t="shared" si="127"/>
        <v>3</v>
      </c>
      <c r="BE351" s="46">
        <f t="shared" si="128"/>
        <v>3</v>
      </c>
      <c r="BF351" s="296">
        <f t="shared" si="148"/>
        <v>30</v>
      </c>
      <c r="BG351" s="2"/>
      <c r="BH351" s="2"/>
      <c r="BI351" s="2"/>
      <c r="BJ351" s="2"/>
      <c r="BK351" s="279">
        <f t="shared" si="146"/>
        <v>0</v>
      </c>
      <c r="BL351" s="279">
        <f t="shared" si="130"/>
        <v>30</v>
      </c>
      <c r="BM351" s="279"/>
      <c r="BN351" s="279"/>
      <c r="BO351" s="2">
        <f t="shared" si="131"/>
        <v>30</v>
      </c>
      <c r="BP351" s="430"/>
      <c r="BQ351" s="431"/>
      <c r="BR351" s="2"/>
      <c r="BS351" s="25"/>
      <c r="BT351" s="348">
        <f t="shared" si="132"/>
        <v>1</v>
      </c>
      <c r="BU351" s="2"/>
      <c r="BV351" s="282">
        <f t="shared" si="133"/>
        <v>0</v>
      </c>
      <c r="BW351" s="369"/>
      <c r="BX351" s="269">
        <f t="shared" si="134"/>
        <v>0</v>
      </c>
      <c r="BY351" s="349" t="e">
        <f t="shared" si="149"/>
        <v>#N/A</v>
      </c>
      <c r="BZ351" s="349" t="e">
        <f t="shared" si="150"/>
        <v>#N/A</v>
      </c>
      <c r="CA351" s="349" t="e">
        <f t="shared" si="151"/>
        <v>#N/A</v>
      </c>
      <c r="CB351" s="349" t="e">
        <f t="shared" si="152"/>
        <v>#N/A</v>
      </c>
      <c r="CC351" s="349" t="e">
        <f t="shared" si="139"/>
        <v>#N/A</v>
      </c>
      <c r="CD351" s="14" t="e">
        <f t="shared" si="147"/>
        <v>#N/A</v>
      </c>
      <c r="CE351" s="14">
        <f t="shared" si="145"/>
        <v>30</v>
      </c>
      <c r="CF351" s="2">
        <f t="shared" si="142"/>
        <v>1</v>
      </c>
      <c r="CG351" s="270"/>
      <c r="CH351" s="2"/>
      <c r="CL351" s="349" t="e">
        <f t="shared" si="153"/>
        <v>#N/A</v>
      </c>
      <c r="CM351" s="349" t="e">
        <f t="shared" si="154"/>
        <v>#N/A</v>
      </c>
      <c r="CN351" s="349" t="e">
        <f t="shared" si="155"/>
        <v>#N/A</v>
      </c>
      <c r="CO351" s="349" t="e">
        <f t="shared" si="156"/>
        <v>#N/A</v>
      </c>
      <c r="CP351" s="349" t="e">
        <f t="shared" si="125"/>
        <v>#N/A</v>
      </c>
      <c r="CQ351" s="14"/>
      <c r="CY351" s="2"/>
    </row>
    <row r="352" spans="1:103" s="1" customFormat="1" ht="29.4" customHeight="1">
      <c r="A352" s="46">
        <v>39</v>
      </c>
      <c r="B352" s="363">
        <v>9</v>
      </c>
      <c r="C352" s="363">
        <v>382</v>
      </c>
      <c r="D352" s="362"/>
      <c r="E352" s="362"/>
      <c r="F352" s="363"/>
      <c r="G352" s="312" t="s">
        <v>1991</v>
      </c>
      <c r="H352" s="312" t="s">
        <v>1991</v>
      </c>
      <c r="I352" s="312" t="s">
        <v>1991</v>
      </c>
      <c r="J352" s="312"/>
      <c r="K352" s="312" t="s">
        <v>1991</v>
      </c>
      <c r="L352" s="312" t="s">
        <v>1991</v>
      </c>
      <c r="M352" s="312" t="s">
        <v>1991</v>
      </c>
      <c r="N352" s="312" t="s">
        <v>1991</v>
      </c>
      <c r="O352" s="312" t="s">
        <v>1991</v>
      </c>
      <c r="P352" s="312" t="s">
        <v>1991</v>
      </c>
      <c r="Q352" s="312" t="s">
        <v>1991</v>
      </c>
      <c r="R352" s="312" t="s">
        <v>1991</v>
      </c>
      <c r="S352" s="312" t="s">
        <v>1991</v>
      </c>
      <c r="T352" s="323" t="s">
        <v>1991</v>
      </c>
      <c r="U352" s="312" t="s">
        <v>1991</v>
      </c>
      <c r="V352" s="46" t="s">
        <v>1991</v>
      </c>
      <c r="W352" s="46" t="s">
        <v>1991</v>
      </c>
      <c r="X352" s="46" t="s">
        <v>1991</v>
      </c>
      <c r="Y352" s="46" t="s">
        <v>1991</v>
      </c>
      <c r="Z352" s="46" t="s">
        <v>1991</v>
      </c>
      <c r="AA352" s="46" t="s">
        <v>1991</v>
      </c>
      <c r="AB352" s="46" t="s">
        <v>1991</v>
      </c>
      <c r="AC352" s="46" t="s">
        <v>1991</v>
      </c>
      <c r="AD352" s="46" t="s">
        <v>1991</v>
      </c>
      <c r="AE352" s="46" t="s">
        <v>1991</v>
      </c>
      <c r="AF352" s="46" t="s">
        <v>1991</v>
      </c>
      <c r="AG352" s="46" t="s">
        <v>1991</v>
      </c>
      <c r="AH352" s="46" t="s">
        <v>1991</v>
      </c>
      <c r="AI352" s="46" t="s">
        <v>1991</v>
      </c>
      <c r="AJ352" s="46" t="s">
        <v>1991</v>
      </c>
      <c r="AK352" s="46" t="s">
        <v>1991</v>
      </c>
      <c r="AL352" s="327"/>
      <c r="AM352" s="327" t="s">
        <v>1991</v>
      </c>
      <c r="AN352" s="327">
        <v>0</v>
      </c>
      <c r="AO352" s="327" t="s">
        <v>1991</v>
      </c>
      <c r="AP352" s="327"/>
      <c r="AQ352" s="327"/>
      <c r="AR352" s="327"/>
      <c r="AS352" s="327" t="s">
        <v>1991</v>
      </c>
      <c r="AT352" s="327"/>
      <c r="AU352" s="327"/>
      <c r="AV352" s="327"/>
      <c r="AW352" s="327"/>
      <c r="AX352" s="327"/>
      <c r="AY352" s="327"/>
      <c r="AZ352" s="327"/>
      <c r="BA352" s="327"/>
      <c r="BB352" s="46">
        <f t="shared" si="126"/>
        <v>14</v>
      </c>
      <c r="BC352" s="46">
        <f t="shared" si="143"/>
        <v>16</v>
      </c>
      <c r="BD352" s="46">
        <f t="shared" si="127"/>
        <v>3</v>
      </c>
      <c r="BE352" s="46">
        <f t="shared" si="128"/>
        <v>3</v>
      </c>
      <c r="BF352" s="296">
        <f t="shared" si="148"/>
        <v>30</v>
      </c>
      <c r="BG352" s="2"/>
      <c r="BH352" s="2"/>
      <c r="BI352" s="2"/>
      <c r="BJ352" s="2"/>
      <c r="BK352" s="279">
        <f t="shared" si="146"/>
        <v>0</v>
      </c>
      <c r="BL352" s="279">
        <f t="shared" si="130"/>
        <v>30</v>
      </c>
      <c r="BM352" s="279"/>
      <c r="BN352" s="279"/>
      <c r="BO352" s="2">
        <f t="shared" si="131"/>
        <v>30</v>
      </c>
      <c r="BP352" s="430"/>
      <c r="BQ352" s="431"/>
      <c r="BR352" s="2"/>
      <c r="BS352" s="25"/>
      <c r="BT352" s="348">
        <f t="shared" si="132"/>
        <v>1</v>
      </c>
      <c r="BU352" s="2"/>
      <c r="BV352" s="282">
        <f t="shared" si="133"/>
        <v>0</v>
      </c>
      <c r="BW352" s="378"/>
      <c r="BX352" s="269">
        <f t="shared" si="134"/>
        <v>0</v>
      </c>
      <c r="BY352" s="349" t="e">
        <f t="shared" si="149"/>
        <v>#N/A</v>
      </c>
      <c r="BZ352" s="349" t="e">
        <f t="shared" si="150"/>
        <v>#N/A</v>
      </c>
      <c r="CA352" s="349" t="e">
        <f t="shared" si="151"/>
        <v>#N/A</v>
      </c>
      <c r="CB352" s="349" t="e">
        <f t="shared" si="152"/>
        <v>#N/A</v>
      </c>
      <c r="CC352" s="349" t="e">
        <f t="shared" si="139"/>
        <v>#N/A</v>
      </c>
      <c r="CD352" s="14" t="e">
        <f t="shared" si="147"/>
        <v>#N/A</v>
      </c>
      <c r="CE352" s="14">
        <f t="shared" si="145"/>
        <v>30</v>
      </c>
      <c r="CF352" s="2">
        <f t="shared" si="142"/>
        <v>1</v>
      </c>
      <c r="CG352" s="270"/>
      <c r="CH352" s="2"/>
      <c r="CL352" s="349" t="e">
        <f t="shared" si="153"/>
        <v>#N/A</v>
      </c>
      <c r="CM352" s="349" t="e">
        <f t="shared" si="154"/>
        <v>#N/A</v>
      </c>
      <c r="CN352" s="349" t="e">
        <f t="shared" si="155"/>
        <v>#N/A</v>
      </c>
      <c r="CO352" s="349" t="e">
        <f t="shared" si="156"/>
        <v>#N/A</v>
      </c>
      <c r="CP352" s="349" t="e">
        <f t="shared" si="125"/>
        <v>#N/A</v>
      </c>
      <c r="CQ352" s="14"/>
      <c r="CY352" s="2"/>
    </row>
    <row r="353" spans="1:103" s="1" customFormat="1" ht="29.4" customHeight="1">
      <c r="A353" s="46">
        <v>40</v>
      </c>
      <c r="B353" s="363">
        <v>9</v>
      </c>
      <c r="C353" s="46">
        <v>383</v>
      </c>
      <c r="D353" s="362"/>
      <c r="E353" s="362"/>
      <c r="F353" s="363"/>
      <c r="G353" s="312" t="s">
        <v>1991</v>
      </c>
      <c r="H353" s="312" t="s">
        <v>1991</v>
      </c>
      <c r="I353" s="312" t="s">
        <v>1991</v>
      </c>
      <c r="J353" s="312"/>
      <c r="K353" s="312" t="s">
        <v>1991</v>
      </c>
      <c r="L353" s="312" t="s">
        <v>1991</v>
      </c>
      <c r="M353" s="312" t="s">
        <v>1991</v>
      </c>
      <c r="N353" s="312" t="s">
        <v>1991</v>
      </c>
      <c r="O353" s="312" t="s">
        <v>1991</v>
      </c>
      <c r="P353" s="312" t="s">
        <v>1991</v>
      </c>
      <c r="Q353" s="312" t="s">
        <v>1991</v>
      </c>
      <c r="R353" s="312" t="s">
        <v>1991</v>
      </c>
      <c r="S353" s="312" t="s">
        <v>1991</v>
      </c>
      <c r="T353" s="323" t="s">
        <v>1991</v>
      </c>
      <c r="U353" s="312" t="s">
        <v>1991</v>
      </c>
      <c r="V353" s="46" t="s">
        <v>1991</v>
      </c>
      <c r="W353" s="46" t="s">
        <v>1991</v>
      </c>
      <c r="X353" s="46" t="s">
        <v>1991</v>
      </c>
      <c r="Y353" s="46" t="s">
        <v>1991</v>
      </c>
      <c r="Z353" s="46" t="s">
        <v>1991</v>
      </c>
      <c r="AA353" s="46" t="s">
        <v>1991</v>
      </c>
      <c r="AB353" s="46" t="s">
        <v>1991</v>
      </c>
      <c r="AC353" s="46" t="s">
        <v>1991</v>
      </c>
      <c r="AD353" s="46" t="s">
        <v>1991</v>
      </c>
      <c r="AE353" s="46" t="s">
        <v>1991</v>
      </c>
      <c r="AF353" s="46" t="s">
        <v>1991</v>
      </c>
      <c r="AG353" s="46" t="s">
        <v>1991</v>
      </c>
      <c r="AH353" s="46" t="s">
        <v>1991</v>
      </c>
      <c r="AI353" s="46" t="s">
        <v>1991</v>
      </c>
      <c r="AJ353" s="46" t="s">
        <v>1991</v>
      </c>
      <c r="AK353" s="46" t="s">
        <v>1991</v>
      </c>
      <c r="AL353" s="327"/>
      <c r="AM353" s="327">
        <v>0</v>
      </c>
      <c r="AN353" s="327" t="s">
        <v>1991</v>
      </c>
      <c r="AO353" s="327" t="s">
        <v>1991</v>
      </c>
      <c r="AP353" s="327"/>
      <c r="AQ353" s="327"/>
      <c r="AR353" s="327"/>
      <c r="AS353" s="327" t="s">
        <v>1991</v>
      </c>
      <c r="AT353" s="327"/>
      <c r="AU353" s="327"/>
      <c r="AV353" s="327"/>
      <c r="AW353" s="327"/>
      <c r="AX353" s="327"/>
      <c r="AY353" s="327"/>
      <c r="AZ353" s="327"/>
      <c r="BA353" s="327"/>
      <c r="BB353" s="46">
        <f t="shared" si="126"/>
        <v>14</v>
      </c>
      <c r="BC353" s="46">
        <f t="shared" si="143"/>
        <v>16</v>
      </c>
      <c r="BD353" s="46">
        <f t="shared" si="127"/>
        <v>3</v>
      </c>
      <c r="BE353" s="46">
        <f t="shared" si="128"/>
        <v>3</v>
      </c>
      <c r="BF353" s="296">
        <f t="shared" si="148"/>
        <v>30</v>
      </c>
      <c r="BG353" s="2"/>
      <c r="BH353" s="2"/>
      <c r="BI353" s="2"/>
      <c r="BJ353" s="2"/>
      <c r="BK353" s="279"/>
      <c r="BL353" s="279"/>
      <c r="BM353" s="279"/>
      <c r="BN353" s="279"/>
      <c r="BO353" s="2">
        <f t="shared" si="131"/>
        <v>30</v>
      </c>
      <c r="BP353" s="430"/>
      <c r="BQ353" s="431"/>
      <c r="BR353" s="2"/>
      <c r="BS353" s="25"/>
      <c r="BT353" s="348">
        <f t="shared" si="132"/>
        <v>1</v>
      </c>
      <c r="BU353" s="2"/>
      <c r="BV353" s="282">
        <f t="shared" si="133"/>
        <v>0</v>
      </c>
      <c r="BW353" s="378"/>
      <c r="BX353" s="269">
        <f t="shared" si="134"/>
        <v>0</v>
      </c>
      <c r="BY353" s="349" t="e">
        <f t="shared" si="149"/>
        <v>#N/A</v>
      </c>
      <c r="BZ353" s="349" t="e">
        <f t="shared" si="150"/>
        <v>#N/A</v>
      </c>
      <c r="CA353" s="349" t="e">
        <f t="shared" si="151"/>
        <v>#N/A</v>
      </c>
      <c r="CB353" s="349" t="e">
        <f t="shared" si="152"/>
        <v>#N/A</v>
      </c>
      <c r="CC353" s="349" t="e">
        <f t="shared" si="139"/>
        <v>#N/A</v>
      </c>
      <c r="CD353" s="14" t="e">
        <f t="shared" si="147"/>
        <v>#N/A</v>
      </c>
      <c r="CE353" s="14"/>
      <c r="CF353" s="2"/>
      <c r="CG353" s="270"/>
      <c r="CH353" s="2"/>
      <c r="CL353" s="349"/>
      <c r="CM353" s="349"/>
      <c r="CN353" s="349"/>
      <c r="CO353" s="349"/>
      <c r="CP353" s="349"/>
      <c r="CQ353" s="14"/>
      <c r="CY353" s="2"/>
    </row>
    <row r="354" spans="1:103" s="1" customFormat="1" ht="29.4" customHeight="1">
      <c r="A354" s="46">
        <v>41</v>
      </c>
      <c r="B354" s="363">
        <v>9</v>
      </c>
      <c r="C354" s="46">
        <v>384</v>
      </c>
      <c r="D354" s="362"/>
      <c r="E354" s="362"/>
      <c r="F354" s="363"/>
      <c r="G354" s="312" t="s">
        <v>1991</v>
      </c>
      <c r="H354" s="312" t="s">
        <v>1991</v>
      </c>
      <c r="I354" s="312" t="s">
        <v>1991</v>
      </c>
      <c r="J354" s="312"/>
      <c r="K354" s="312" t="s">
        <v>1991</v>
      </c>
      <c r="L354" s="312" t="s">
        <v>1991</v>
      </c>
      <c r="M354" s="312">
        <v>0</v>
      </c>
      <c r="N354" s="312" t="s">
        <v>1991</v>
      </c>
      <c r="O354" s="312" t="s">
        <v>1991</v>
      </c>
      <c r="P354" s="312" t="s">
        <v>1991</v>
      </c>
      <c r="Q354" s="312" t="s">
        <v>1991</v>
      </c>
      <c r="R354" s="312" t="s">
        <v>1991</v>
      </c>
      <c r="S354" s="312" t="s">
        <v>1991</v>
      </c>
      <c r="T354" s="323" t="s">
        <v>1991</v>
      </c>
      <c r="U354" s="312" t="s">
        <v>1991</v>
      </c>
      <c r="V354" s="46" t="s">
        <v>1991</v>
      </c>
      <c r="W354" s="46" t="s">
        <v>1991</v>
      </c>
      <c r="X354" s="46" t="s">
        <v>1991</v>
      </c>
      <c r="Y354" s="46" t="s">
        <v>1991</v>
      </c>
      <c r="Z354" s="46" t="s">
        <v>1991</v>
      </c>
      <c r="AA354" s="46" t="s">
        <v>1991</v>
      </c>
      <c r="AB354" s="46" t="s">
        <v>1991</v>
      </c>
      <c r="AC354" s="46" t="s">
        <v>1991</v>
      </c>
      <c r="AD354" s="46" t="s">
        <v>1991</v>
      </c>
      <c r="AE354" s="46">
        <v>0</v>
      </c>
      <c r="AF354" s="46" t="s">
        <v>1991</v>
      </c>
      <c r="AG354" s="46" t="s">
        <v>1991</v>
      </c>
      <c r="AH354" s="46" t="s">
        <v>1991</v>
      </c>
      <c r="AI354" s="46" t="s">
        <v>1991</v>
      </c>
      <c r="AJ354" s="46" t="s">
        <v>1991</v>
      </c>
      <c r="AK354" s="46" t="s">
        <v>1991</v>
      </c>
      <c r="AL354" s="327"/>
      <c r="AM354" s="327" t="s">
        <v>1991</v>
      </c>
      <c r="AN354" s="327" t="s">
        <v>1991</v>
      </c>
      <c r="AO354" s="327">
        <v>0</v>
      </c>
      <c r="AP354" s="327"/>
      <c r="AQ354" s="327"/>
      <c r="AR354" s="327"/>
      <c r="AS354" s="327" t="s">
        <v>1991</v>
      </c>
      <c r="AT354" s="327"/>
      <c r="AU354" s="327"/>
      <c r="AV354" s="327"/>
      <c r="AW354" s="327"/>
      <c r="AX354" s="327"/>
      <c r="AY354" s="327"/>
      <c r="AZ354" s="327"/>
      <c r="BA354" s="327"/>
      <c r="BB354" s="46">
        <f t="shared" si="126"/>
        <v>13</v>
      </c>
      <c r="BC354" s="46">
        <f t="shared" si="143"/>
        <v>15</v>
      </c>
      <c r="BD354" s="46">
        <f t="shared" si="127"/>
        <v>3</v>
      </c>
      <c r="BE354" s="46">
        <f t="shared" si="128"/>
        <v>3</v>
      </c>
      <c r="BF354" s="296">
        <f t="shared" si="148"/>
        <v>28</v>
      </c>
      <c r="BG354" s="2"/>
      <c r="BH354" s="2"/>
      <c r="BI354" s="2"/>
      <c r="BJ354" s="2"/>
      <c r="BK354" s="279"/>
      <c r="BL354" s="279"/>
      <c r="BM354" s="279"/>
      <c r="BN354" s="279"/>
      <c r="BO354" s="2">
        <f t="shared" si="131"/>
        <v>28</v>
      </c>
      <c r="BP354" s="430"/>
      <c r="BQ354" s="431"/>
      <c r="BR354" s="2"/>
      <c r="BS354" s="25"/>
      <c r="BT354" s="348">
        <f t="shared" si="132"/>
        <v>1</v>
      </c>
      <c r="BU354" s="2"/>
      <c r="BV354" s="282">
        <f t="shared" si="133"/>
        <v>0</v>
      </c>
      <c r="BW354" s="378"/>
      <c r="BX354" s="269">
        <f t="shared" si="134"/>
        <v>0</v>
      </c>
      <c r="BY354" s="349" t="e">
        <f t="shared" si="149"/>
        <v>#N/A</v>
      </c>
      <c r="BZ354" s="349" t="e">
        <f t="shared" si="150"/>
        <v>#N/A</v>
      </c>
      <c r="CA354" s="349" t="e">
        <f t="shared" si="151"/>
        <v>#N/A</v>
      </c>
      <c r="CB354" s="349" t="e">
        <f t="shared" si="152"/>
        <v>#N/A</v>
      </c>
      <c r="CC354" s="349" t="e">
        <f t="shared" si="139"/>
        <v>#N/A</v>
      </c>
      <c r="CD354" s="14" t="e">
        <f t="shared" si="147"/>
        <v>#N/A</v>
      </c>
      <c r="CE354" s="14"/>
      <c r="CF354" s="2"/>
      <c r="CG354" s="270"/>
      <c r="CH354" s="2"/>
      <c r="CL354" s="349"/>
      <c r="CM354" s="349"/>
      <c r="CN354" s="349"/>
      <c r="CO354" s="349"/>
      <c r="CP354" s="349"/>
      <c r="CQ354" s="14"/>
      <c r="CY354" s="2"/>
    </row>
    <row r="355" spans="1:103" s="1" customFormat="1" ht="29.4" customHeight="1">
      <c r="A355" s="46">
        <v>42</v>
      </c>
      <c r="B355" s="363">
        <v>9</v>
      </c>
      <c r="C355" s="46">
        <v>385</v>
      </c>
      <c r="D355" s="362"/>
      <c r="E355" s="362"/>
      <c r="F355" s="363"/>
      <c r="G355" s="312" t="s">
        <v>1991</v>
      </c>
      <c r="H355" s="312" t="s">
        <v>1991</v>
      </c>
      <c r="I355" s="312" t="s">
        <v>1991</v>
      </c>
      <c r="J355" s="312"/>
      <c r="K355" s="312" t="s">
        <v>1991</v>
      </c>
      <c r="L355" s="312" t="s">
        <v>1991</v>
      </c>
      <c r="M355" s="312" t="s">
        <v>1991</v>
      </c>
      <c r="N355" s="312" t="s">
        <v>1991</v>
      </c>
      <c r="O355" s="312" t="s">
        <v>1991</v>
      </c>
      <c r="P355" s="312" t="s">
        <v>1991</v>
      </c>
      <c r="Q355" s="312" t="s">
        <v>1991</v>
      </c>
      <c r="R355" s="312" t="s">
        <v>1991</v>
      </c>
      <c r="S355" s="312" t="s">
        <v>1991</v>
      </c>
      <c r="T355" s="323" t="s">
        <v>1991</v>
      </c>
      <c r="U355" s="312" t="s">
        <v>1991</v>
      </c>
      <c r="V355" s="46" t="s">
        <v>1991</v>
      </c>
      <c r="W355" s="46" t="s">
        <v>1991</v>
      </c>
      <c r="X355" s="46" t="s">
        <v>1991</v>
      </c>
      <c r="Y355" s="46" t="s">
        <v>1991</v>
      </c>
      <c r="Z355" s="46" t="s">
        <v>1991</v>
      </c>
      <c r="AA355" s="46" t="s">
        <v>1991</v>
      </c>
      <c r="AB355" s="46" t="s">
        <v>1991</v>
      </c>
      <c r="AC355" s="46" t="s">
        <v>1991</v>
      </c>
      <c r="AD355" s="46" t="s">
        <v>1991</v>
      </c>
      <c r="AE355" s="46" t="s">
        <v>1991</v>
      </c>
      <c r="AF355" s="46" t="s">
        <v>1991</v>
      </c>
      <c r="AG355" s="46" t="s">
        <v>1991</v>
      </c>
      <c r="AH355" s="46" t="s">
        <v>1991</v>
      </c>
      <c r="AI355" s="46" t="s">
        <v>1991</v>
      </c>
      <c r="AJ355" s="46" t="s">
        <v>1991</v>
      </c>
      <c r="AK355" s="46" t="s">
        <v>1991</v>
      </c>
      <c r="AL355" s="327"/>
      <c r="AM355" s="327">
        <v>0</v>
      </c>
      <c r="AN355" s="327" t="s">
        <v>1991</v>
      </c>
      <c r="AO355" s="327" t="s">
        <v>1991</v>
      </c>
      <c r="AP355" s="327"/>
      <c r="AQ355" s="327"/>
      <c r="AR355" s="327"/>
      <c r="AS355" s="327" t="s">
        <v>1991</v>
      </c>
      <c r="AT355" s="327"/>
      <c r="AU355" s="327"/>
      <c r="AV355" s="327"/>
      <c r="AW355" s="327"/>
      <c r="AX355" s="327"/>
      <c r="AY355" s="327"/>
      <c r="AZ355" s="327"/>
      <c r="BA355" s="327"/>
      <c r="BB355" s="46">
        <f t="shared" si="126"/>
        <v>14</v>
      </c>
      <c r="BC355" s="46">
        <f t="shared" si="143"/>
        <v>16</v>
      </c>
      <c r="BD355" s="46">
        <f t="shared" si="127"/>
        <v>3</v>
      </c>
      <c r="BE355" s="46">
        <f t="shared" si="128"/>
        <v>3</v>
      </c>
      <c r="BF355" s="296">
        <f t="shared" si="148"/>
        <v>30</v>
      </c>
      <c r="BG355" s="2"/>
      <c r="BH355" s="2"/>
      <c r="BI355" s="2"/>
      <c r="BJ355" s="2"/>
      <c r="BK355" s="279"/>
      <c r="BL355" s="279"/>
      <c r="BM355" s="279"/>
      <c r="BN355" s="279"/>
      <c r="BO355" s="2">
        <f t="shared" si="131"/>
        <v>30</v>
      </c>
      <c r="BP355" s="430"/>
      <c r="BQ355" s="431"/>
      <c r="BR355" s="2"/>
      <c r="BS355" s="25"/>
      <c r="BT355" s="348">
        <f t="shared" si="132"/>
        <v>1</v>
      </c>
      <c r="BU355" s="2"/>
      <c r="BV355" s="282">
        <f t="shared" si="133"/>
        <v>0</v>
      </c>
      <c r="BW355" s="378"/>
      <c r="BX355" s="269">
        <f t="shared" si="134"/>
        <v>0</v>
      </c>
      <c r="BY355" s="349" t="e">
        <f t="shared" si="149"/>
        <v>#N/A</v>
      </c>
      <c r="BZ355" s="349" t="e">
        <f t="shared" si="150"/>
        <v>#N/A</v>
      </c>
      <c r="CA355" s="349" t="e">
        <f t="shared" si="151"/>
        <v>#N/A</v>
      </c>
      <c r="CB355" s="349" t="e">
        <f t="shared" si="152"/>
        <v>#N/A</v>
      </c>
      <c r="CC355" s="349" t="e">
        <f t="shared" si="139"/>
        <v>#N/A</v>
      </c>
      <c r="CD355" s="14" t="e">
        <f t="shared" si="147"/>
        <v>#N/A</v>
      </c>
      <c r="CE355" s="14"/>
      <c r="CF355" s="2"/>
      <c r="CG355" s="270"/>
      <c r="CH355" s="2"/>
      <c r="CL355" s="349"/>
      <c r="CM355" s="349"/>
      <c r="CN355" s="349"/>
      <c r="CO355" s="349"/>
      <c r="CP355" s="349"/>
      <c r="CQ355" s="14"/>
      <c r="CY355" s="2"/>
    </row>
    <row r="356" spans="1:103" s="1" customFormat="1" ht="29.4" customHeight="1">
      <c r="A356" s="46">
        <v>1</v>
      </c>
      <c r="B356" s="363">
        <v>10</v>
      </c>
      <c r="C356" s="363">
        <v>386</v>
      </c>
      <c r="D356" s="362"/>
      <c r="E356" s="362"/>
      <c r="F356" s="363"/>
      <c r="G356" s="312" t="s">
        <v>1991</v>
      </c>
      <c r="H356" s="312" t="s">
        <v>1991</v>
      </c>
      <c r="I356" s="312" t="s">
        <v>1991</v>
      </c>
      <c r="J356" s="312"/>
      <c r="K356" s="312" t="s">
        <v>1991</v>
      </c>
      <c r="L356" s="312" t="s">
        <v>1991</v>
      </c>
      <c r="M356" s="312" t="s">
        <v>1991</v>
      </c>
      <c r="N356" s="312" t="s">
        <v>1991</v>
      </c>
      <c r="O356" s="312" t="s">
        <v>1991</v>
      </c>
      <c r="P356" s="312" t="s">
        <v>1991</v>
      </c>
      <c r="Q356" s="312" t="s">
        <v>1991</v>
      </c>
      <c r="R356" s="312" t="s">
        <v>1991</v>
      </c>
      <c r="S356" s="312" t="s">
        <v>1991</v>
      </c>
      <c r="T356" s="323" t="s">
        <v>1991</v>
      </c>
      <c r="U356" s="312" t="s">
        <v>1991</v>
      </c>
      <c r="V356" s="46" t="s">
        <v>1991</v>
      </c>
      <c r="W356" s="46" t="s">
        <v>1991</v>
      </c>
      <c r="X356" s="46" t="s">
        <v>1991</v>
      </c>
      <c r="Y356" s="46" t="s">
        <v>1991</v>
      </c>
      <c r="Z356" s="46" t="s">
        <v>1991</v>
      </c>
      <c r="AA356" s="46" t="s">
        <v>1991</v>
      </c>
      <c r="AB356" s="46" t="s">
        <v>1991</v>
      </c>
      <c r="AC356" s="46" t="s">
        <v>1991</v>
      </c>
      <c r="AD356" s="46" t="s">
        <v>1991</v>
      </c>
      <c r="AE356" s="46" t="s">
        <v>1991</v>
      </c>
      <c r="AF356" s="46" t="s">
        <v>1991</v>
      </c>
      <c r="AG356" s="46" t="s">
        <v>1991</v>
      </c>
      <c r="AH356" s="46" t="s">
        <v>1991</v>
      </c>
      <c r="AI356" s="46" t="s">
        <v>1991</v>
      </c>
      <c r="AJ356" s="46" t="s">
        <v>1991</v>
      </c>
      <c r="AK356" s="46" t="s">
        <v>1991</v>
      </c>
      <c r="AL356" s="327"/>
      <c r="AM356" s="327" t="s">
        <v>1991</v>
      </c>
      <c r="AN356" s="327" t="s">
        <v>1991</v>
      </c>
      <c r="AO356" s="327" t="s">
        <v>1991</v>
      </c>
      <c r="AP356" s="327"/>
      <c r="AQ356" s="327"/>
      <c r="AR356" s="327"/>
      <c r="AS356" s="327" t="s">
        <v>1991</v>
      </c>
      <c r="AT356" s="327" t="s">
        <v>1991</v>
      </c>
      <c r="AU356" s="327"/>
      <c r="AV356" s="327"/>
      <c r="AW356" s="327"/>
      <c r="AX356" s="327"/>
      <c r="AY356" s="327"/>
      <c r="AZ356" s="327"/>
      <c r="BA356" s="327"/>
      <c r="BB356" s="46">
        <f t="shared" ref="BB356:BB397" si="157">COUNTIF(G356:U356,"X")</f>
        <v>14</v>
      </c>
      <c r="BC356" s="46">
        <f>COUNTIF(V356:AK356,"X")</f>
        <v>16</v>
      </c>
      <c r="BD356" s="46">
        <f t="shared" si="127"/>
        <v>5</v>
      </c>
      <c r="BE356" s="46">
        <f t="shared" ref="BE356:BE397" si="158">COUNTIF(AL356:BA356,"x")</f>
        <v>5</v>
      </c>
      <c r="BF356" s="296">
        <f t="shared" si="148"/>
        <v>30</v>
      </c>
      <c r="BG356" s="2"/>
      <c r="BH356" s="2"/>
      <c r="BI356" s="2"/>
      <c r="BJ356" s="2"/>
      <c r="BK356" s="279">
        <f>IF(BO356&gt;=26,1,0)</f>
        <v>1</v>
      </c>
      <c r="BL356" s="279">
        <f t="shared" ref="BL356:BL389" si="159">(BB356+BC356)</f>
        <v>30</v>
      </c>
      <c r="BM356" s="279"/>
      <c r="BN356" s="279"/>
      <c r="BO356" s="2">
        <f t="shared" ref="BO356:BO397" si="160">IF(BT356&gt;0,BF356,0)</f>
        <v>30</v>
      </c>
      <c r="BP356" s="430"/>
      <c r="BQ356" s="431"/>
      <c r="BR356" s="2"/>
      <c r="BS356" s="25"/>
      <c r="BT356" s="348">
        <f t="shared" si="132"/>
        <v>1</v>
      </c>
      <c r="BU356" s="56"/>
      <c r="BV356" s="282">
        <f t="shared" ref="BV356:BV389" si="161">IF(AND(BU356&gt;0,BU356&lt;=1),50000,IF(AND(BU356&gt;1,BU356&lt;=3),40000,IF(AND(BU356&gt;3,BU356&lt;=5),20000,IF(AND(BU356&gt;5,BU356&lt;=9),0,IF(AND(BU356&gt;9,BU356&lt;=11),-20000,IF(AND(BU356&gt;11,BU356&lt;=13),-40000,IF(BU356&gt;13,-50000,0)))))))</f>
        <v>0</v>
      </c>
      <c r="BW356" s="379"/>
      <c r="BX356" s="269">
        <f t="shared" ref="BX356:BX389" si="162">IF(AND(BW356&gt;0,BW356&lt;=1),1.15,IF(AND(BW356&gt;1,BW356&lt;=3),1.1,IF(AND(BW356&gt;3,BW356&lt;=5),1.05,IF(AND(BW356&gt;5,BW356&lt;=9),1,IF(AND(BW356&gt;9,BW356&lt;=11),-0.05,IF(AND(BW356&gt;11,BW356&lt;=13),-0.1,IF(BW356&gt;13,-0.15,0)))))))</f>
        <v>0</v>
      </c>
      <c r="BY356" s="264"/>
      <c r="BZ356" s="264"/>
      <c r="CA356" s="264"/>
      <c r="CB356" s="264"/>
      <c r="CC356" s="264"/>
      <c r="CD356" s="14">
        <f t="shared" ref="CD356:CD389" si="163">CC356-BB356</f>
        <v>-14</v>
      </c>
      <c r="CE356" s="14">
        <f t="shared" si="145"/>
        <v>30</v>
      </c>
      <c r="CF356" s="2">
        <f t="shared" si="142"/>
        <v>1</v>
      </c>
      <c r="CL356" s="349"/>
      <c r="CM356" s="349"/>
      <c r="CN356" s="349"/>
      <c r="CO356" s="349"/>
      <c r="CP356" s="349"/>
      <c r="CQ356" s="14"/>
    </row>
    <row r="357" spans="1:103" s="1" customFormat="1" ht="29.4" customHeight="1">
      <c r="A357" s="46">
        <v>2</v>
      </c>
      <c r="B357" s="363">
        <v>10</v>
      </c>
      <c r="C357" s="363">
        <v>387</v>
      </c>
      <c r="D357" s="362"/>
      <c r="E357" s="362"/>
      <c r="F357" s="363"/>
      <c r="G357" s="312" t="s">
        <v>1991</v>
      </c>
      <c r="H357" s="312" t="s">
        <v>1991</v>
      </c>
      <c r="I357" s="312" t="s">
        <v>1991</v>
      </c>
      <c r="J357" s="312"/>
      <c r="K357" s="312" t="s">
        <v>1991</v>
      </c>
      <c r="L357" s="312" t="s">
        <v>1991</v>
      </c>
      <c r="M357" s="312" t="s">
        <v>1991</v>
      </c>
      <c r="N357" s="312" t="s">
        <v>1991</v>
      </c>
      <c r="O357" s="312" t="s">
        <v>1991</v>
      </c>
      <c r="P357" s="312" t="s">
        <v>1991</v>
      </c>
      <c r="Q357" s="312" t="s">
        <v>1991</v>
      </c>
      <c r="R357" s="312" t="s">
        <v>1991</v>
      </c>
      <c r="S357" s="312" t="s">
        <v>1991</v>
      </c>
      <c r="T357" s="323" t="s">
        <v>1991</v>
      </c>
      <c r="U357" s="312" t="s">
        <v>1991</v>
      </c>
      <c r="V357" s="46" t="s">
        <v>1991</v>
      </c>
      <c r="W357" s="46" t="s">
        <v>1991</v>
      </c>
      <c r="X357" s="46" t="s">
        <v>1991</v>
      </c>
      <c r="Y357" s="46" t="s">
        <v>1991</v>
      </c>
      <c r="Z357" s="46" t="s">
        <v>1991</v>
      </c>
      <c r="AA357" s="46" t="s">
        <v>1991</v>
      </c>
      <c r="AB357" s="46" t="s">
        <v>1991</v>
      </c>
      <c r="AC357" s="46" t="s">
        <v>1991</v>
      </c>
      <c r="AD357" s="46" t="s">
        <v>1991</v>
      </c>
      <c r="AE357" s="46" t="s">
        <v>1991</v>
      </c>
      <c r="AF357" s="46" t="s">
        <v>1991</v>
      </c>
      <c r="AG357" s="46" t="s">
        <v>1991</v>
      </c>
      <c r="AH357" s="46" t="s">
        <v>1991</v>
      </c>
      <c r="AI357" s="46" t="s">
        <v>1991</v>
      </c>
      <c r="AJ357" s="46" t="s">
        <v>1991</v>
      </c>
      <c r="AK357" s="46" t="s">
        <v>1991</v>
      </c>
      <c r="AL357" s="327"/>
      <c r="AM357" s="327" t="s">
        <v>1991</v>
      </c>
      <c r="AN357" s="327" t="s">
        <v>1991</v>
      </c>
      <c r="AO357" s="327" t="s">
        <v>1991</v>
      </c>
      <c r="AP357" s="327"/>
      <c r="AQ357" s="327"/>
      <c r="AR357" s="327"/>
      <c r="AS357" s="327" t="s">
        <v>1991</v>
      </c>
      <c r="AT357" s="327" t="s">
        <v>1991</v>
      </c>
      <c r="AU357" s="327"/>
      <c r="AV357" s="327"/>
      <c r="AW357" s="327"/>
      <c r="AX357" s="327"/>
      <c r="AY357" s="327"/>
      <c r="AZ357" s="327"/>
      <c r="BA357" s="327"/>
      <c r="BB357" s="46">
        <f t="shared" si="157"/>
        <v>14</v>
      </c>
      <c r="BC357" s="46">
        <f t="shared" ref="BC357:BC397" si="164">COUNTIF(V357:AK357,"X")</f>
        <v>16</v>
      </c>
      <c r="BD357" s="46">
        <f t="shared" si="127"/>
        <v>5</v>
      </c>
      <c r="BE357" s="46">
        <f t="shared" si="158"/>
        <v>5</v>
      </c>
      <c r="BF357" s="296">
        <f t="shared" si="148"/>
        <v>30</v>
      </c>
      <c r="BG357" s="2"/>
      <c r="BH357" s="2"/>
      <c r="BI357" s="2"/>
      <c r="BJ357" s="2"/>
      <c r="BK357" s="279">
        <f>IF(BO357&gt;=26,1,0)</f>
        <v>1</v>
      </c>
      <c r="BL357" s="279">
        <f t="shared" si="159"/>
        <v>30</v>
      </c>
      <c r="BM357" s="279"/>
      <c r="BN357" s="279"/>
      <c r="BO357" s="2">
        <f t="shared" si="160"/>
        <v>30</v>
      </c>
      <c r="BP357" s="430"/>
      <c r="BQ357" s="431"/>
      <c r="BR357" s="2"/>
      <c r="BS357" s="25"/>
      <c r="BT357" s="348">
        <f t="shared" si="132"/>
        <v>1</v>
      </c>
      <c r="BU357" s="56"/>
      <c r="BV357" s="282">
        <f t="shared" si="161"/>
        <v>0</v>
      </c>
      <c r="BW357" s="379"/>
      <c r="BX357" s="269">
        <f t="shared" si="162"/>
        <v>0</v>
      </c>
      <c r="BY357" s="264"/>
      <c r="BZ357" s="264"/>
      <c r="CA357" s="264"/>
      <c r="CB357" s="264"/>
      <c r="CC357" s="264"/>
      <c r="CD357" s="14">
        <f t="shared" si="163"/>
        <v>-14</v>
      </c>
      <c r="CE357" s="14">
        <f t="shared" si="145"/>
        <v>30</v>
      </c>
      <c r="CF357" s="2">
        <f t="shared" si="142"/>
        <v>1</v>
      </c>
      <c r="CL357" s="349"/>
      <c r="CM357" s="349"/>
      <c r="CN357" s="349"/>
      <c r="CO357" s="349"/>
      <c r="CP357" s="349"/>
      <c r="CQ357" s="14"/>
    </row>
    <row r="358" spans="1:103" s="1" customFormat="1" ht="29.4" customHeight="1">
      <c r="A358" s="46">
        <v>3</v>
      </c>
      <c r="B358" s="363">
        <v>10</v>
      </c>
      <c r="C358" s="363">
        <v>388</v>
      </c>
      <c r="D358" s="362"/>
      <c r="E358" s="362"/>
      <c r="F358" s="363"/>
      <c r="G358" s="312" t="s">
        <v>1991</v>
      </c>
      <c r="H358" s="312" t="s">
        <v>1991</v>
      </c>
      <c r="I358" s="312" t="s">
        <v>1991</v>
      </c>
      <c r="J358" s="312" t="s">
        <v>1991</v>
      </c>
      <c r="K358" s="312" t="s">
        <v>1991</v>
      </c>
      <c r="L358" s="312" t="s">
        <v>1991</v>
      </c>
      <c r="M358" s="312" t="s">
        <v>1991</v>
      </c>
      <c r="N358" s="312" t="s">
        <v>1991</v>
      </c>
      <c r="O358" s="312" t="s">
        <v>1991</v>
      </c>
      <c r="P358" s="312" t="s">
        <v>1991</v>
      </c>
      <c r="Q358" s="312" t="s">
        <v>1991</v>
      </c>
      <c r="R358" s="312" t="s">
        <v>1991</v>
      </c>
      <c r="S358" s="312" t="s">
        <v>1991</v>
      </c>
      <c r="T358" s="323" t="s">
        <v>1991</v>
      </c>
      <c r="U358" s="312" t="s">
        <v>1991</v>
      </c>
      <c r="V358" s="46" t="s">
        <v>1991</v>
      </c>
      <c r="W358" s="46" t="s">
        <v>1991</v>
      </c>
      <c r="X358" s="46" t="s">
        <v>1991</v>
      </c>
      <c r="Y358" s="46" t="s">
        <v>1991</v>
      </c>
      <c r="Z358" s="46" t="s">
        <v>1991</v>
      </c>
      <c r="AA358" s="46" t="s">
        <v>1991</v>
      </c>
      <c r="AB358" s="46" t="s">
        <v>1991</v>
      </c>
      <c r="AC358" s="46" t="s">
        <v>1991</v>
      </c>
      <c r="AD358" s="46" t="s">
        <v>1991</v>
      </c>
      <c r="AE358" s="46" t="s">
        <v>1991</v>
      </c>
      <c r="AF358" s="46" t="s">
        <v>1991</v>
      </c>
      <c r="AG358" s="46" t="s">
        <v>1991</v>
      </c>
      <c r="AH358" s="46" t="s">
        <v>1991</v>
      </c>
      <c r="AI358" s="46" t="s">
        <v>1991</v>
      </c>
      <c r="AJ358" s="46" t="s">
        <v>1991</v>
      </c>
      <c r="AK358" s="46" t="s">
        <v>1991</v>
      </c>
      <c r="AL358" s="327"/>
      <c r="AM358" s="327" t="s">
        <v>1991</v>
      </c>
      <c r="AN358" s="327" t="s">
        <v>1991</v>
      </c>
      <c r="AO358" s="327" t="s">
        <v>1991</v>
      </c>
      <c r="AP358" s="327"/>
      <c r="AQ358" s="327"/>
      <c r="AR358" s="327"/>
      <c r="AS358" s="327" t="s">
        <v>1991</v>
      </c>
      <c r="AT358" s="327" t="s">
        <v>1991</v>
      </c>
      <c r="AU358" s="327"/>
      <c r="AV358" s="327"/>
      <c r="AW358" s="327"/>
      <c r="AX358" s="327"/>
      <c r="AY358" s="327"/>
      <c r="AZ358" s="327"/>
      <c r="BA358" s="327"/>
      <c r="BB358" s="46">
        <f t="shared" si="157"/>
        <v>15</v>
      </c>
      <c r="BC358" s="46">
        <f t="shared" si="164"/>
        <v>16</v>
      </c>
      <c r="BD358" s="46">
        <f t="shared" si="127"/>
        <v>5</v>
      </c>
      <c r="BE358" s="46">
        <f t="shared" si="158"/>
        <v>5</v>
      </c>
      <c r="BF358" s="296">
        <f t="shared" si="148"/>
        <v>31</v>
      </c>
      <c r="BG358" s="2"/>
      <c r="BH358" s="2"/>
      <c r="BI358" s="2"/>
      <c r="BJ358" s="2"/>
      <c r="BK358" s="279">
        <f t="shared" ref="BK358:BK389" si="165">IF(BO358&gt;=26,1,0)</f>
        <v>1</v>
      </c>
      <c r="BL358" s="279">
        <f t="shared" si="159"/>
        <v>31</v>
      </c>
      <c r="BM358" s="279"/>
      <c r="BN358" s="279"/>
      <c r="BO358" s="2">
        <f t="shared" si="160"/>
        <v>31</v>
      </c>
      <c r="BP358" s="430"/>
      <c r="BQ358" s="431"/>
      <c r="BR358" s="2"/>
      <c r="BS358" s="25"/>
      <c r="BT358" s="348">
        <f t="shared" si="132"/>
        <v>1</v>
      </c>
      <c r="BU358" s="56"/>
      <c r="BV358" s="282">
        <f t="shared" si="161"/>
        <v>0</v>
      </c>
      <c r="BW358" s="379"/>
      <c r="BX358" s="269">
        <f t="shared" si="162"/>
        <v>0</v>
      </c>
      <c r="BY358" s="264"/>
      <c r="BZ358" s="264"/>
      <c r="CA358" s="264"/>
      <c r="CB358" s="264"/>
      <c r="CC358" s="264"/>
      <c r="CD358" s="14">
        <f t="shared" si="163"/>
        <v>-15</v>
      </c>
      <c r="CE358" s="14">
        <f t="shared" si="145"/>
        <v>31</v>
      </c>
      <c r="CF358" s="2">
        <f t="shared" si="142"/>
        <v>1</v>
      </c>
      <c r="CL358" s="349"/>
      <c r="CM358" s="349"/>
      <c r="CN358" s="349"/>
      <c r="CO358" s="349"/>
      <c r="CP358" s="349"/>
      <c r="CQ358" s="14"/>
    </row>
    <row r="359" spans="1:103" s="1" customFormat="1" ht="29.4" customHeight="1">
      <c r="A359" s="46">
        <v>4</v>
      </c>
      <c r="B359" s="363">
        <v>10</v>
      </c>
      <c r="C359" s="363">
        <v>389</v>
      </c>
      <c r="D359" s="362"/>
      <c r="E359" s="362"/>
      <c r="F359" s="363"/>
      <c r="G359" s="312" t="s">
        <v>1991</v>
      </c>
      <c r="H359" s="312" t="s">
        <v>1991</v>
      </c>
      <c r="I359" s="312" t="s">
        <v>1991</v>
      </c>
      <c r="J359" s="312"/>
      <c r="K359" s="312" t="s">
        <v>1991</v>
      </c>
      <c r="L359" s="312" t="s">
        <v>1991</v>
      </c>
      <c r="M359" s="312">
        <v>0</v>
      </c>
      <c r="N359" s="312" t="s">
        <v>1991</v>
      </c>
      <c r="O359" s="312" t="s">
        <v>1991</v>
      </c>
      <c r="P359" s="312" t="s">
        <v>1991</v>
      </c>
      <c r="Q359" s="312" t="s">
        <v>1991</v>
      </c>
      <c r="R359" s="312" t="s">
        <v>1991</v>
      </c>
      <c r="S359" s="312" t="s">
        <v>1991</v>
      </c>
      <c r="T359" s="323" t="s">
        <v>1991</v>
      </c>
      <c r="U359" s="312" t="s">
        <v>1991</v>
      </c>
      <c r="V359" s="46" t="s">
        <v>1991</v>
      </c>
      <c r="W359" s="46" t="s">
        <v>1991</v>
      </c>
      <c r="X359" s="46" t="s">
        <v>1991</v>
      </c>
      <c r="Y359" s="46" t="s">
        <v>1991</v>
      </c>
      <c r="Z359" s="46" t="s">
        <v>1991</v>
      </c>
      <c r="AA359" s="46" t="s">
        <v>1991</v>
      </c>
      <c r="AB359" s="46" t="s">
        <v>1991</v>
      </c>
      <c r="AC359" s="46" t="s">
        <v>1991</v>
      </c>
      <c r="AD359" s="46" t="s">
        <v>1991</v>
      </c>
      <c r="AE359" s="46" t="s">
        <v>1991</v>
      </c>
      <c r="AF359" s="46" t="s">
        <v>1991</v>
      </c>
      <c r="AG359" s="46" t="s">
        <v>1991</v>
      </c>
      <c r="AH359" s="46" t="s">
        <v>1991</v>
      </c>
      <c r="AI359" s="46" t="s">
        <v>1991</v>
      </c>
      <c r="AJ359" s="46" t="s">
        <v>1991</v>
      </c>
      <c r="AK359" s="46" t="s">
        <v>1991</v>
      </c>
      <c r="AL359" s="327"/>
      <c r="AM359" s="327" t="s">
        <v>1991</v>
      </c>
      <c r="AN359" s="327" t="s">
        <v>1991</v>
      </c>
      <c r="AO359" s="327" t="s">
        <v>1991</v>
      </c>
      <c r="AP359" s="327"/>
      <c r="AQ359" s="327"/>
      <c r="AR359" s="327"/>
      <c r="AS359" s="327" t="s">
        <v>1991</v>
      </c>
      <c r="AT359" s="327" t="s">
        <v>1991</v>
      </c>
      <c r="AU359" s="327"/>
      <c r="AV359" s="327"/>
      <c r="AW359" s="327"/>
      <c r="AX359" s="327"/>
      <c r="AY359" s="327"/>
      <c r="AZ359" s="327"/>
      <c r="BA359" s="327"/>
      <c r="BB359" s="46">
        <f t="shared" si="157"/>
        <v>13</v>
      </c>
      <c r="BC359" s="46">
        <f t="shared" si="164"/>
        <v>16</v>
      </c>
      <c r="BD359" s="46">
        <f t="shared" si="127"/>
        <v>5</v>
      </c>
      <c r="BE359" s="46">
        <f t="shared" si="158"/>
        <v>5</v>
      </c>
      <c r="BF359" s="296">
        <f t="shared" si="148"/>
        <v>29</v>
      </c>
      <c r="BG359" s="2"/>
      <c r="BH359" s="2"/>
      <c r="BI359" s="2"/>
      <c r="BJ359" s="2"/>
      <c r="BK359" s="279">
        <f t="shared" si="165"/>
        <v>1</v>
      </c>
      <c r="BL359" s="279">
        <f t="shared" si="159"/>
        <v>29</v>
      </c>
      <c r="BM359" s="279"/>
      <c r="BN359" s="279"/>
      <c r="BO359" s="2">
        <f t="shared" si="160"/>
        <v>29</v>
      </c>
      <c r="BP359" s="430"/>
      <c r="BQ359" s="431"/>
      <c r="BR359" s="2"/>
      <c r="BS359" s="25"/>
      <c r="BT359" s="348">
        <f t="shared" si="132"/>
        <v>1</v>
      </c>
      <c r="BU359" s="56"/>
      <c r="BV359" s="282">
        <f t="shared" si="161"/>
        <v>0</v>
      </c>
      <c r="BW359" s="379"/>
      <c r="BX359" s="269">
        <f t="shared" si="162"/>
        <v>0</v>
      </c>
      <c r="BY359" s="264"/>
      <c r="BZ359" s="264"/>
      <c r="CA359" s="264"/>
      <c r="CB359" s="264"/>
      <c r="CC359" s="264"/>
      <c r="CD359" s="14">
        <f t="shared" si="163"/>
        <v>-13</v>
      </c>
      <c r="CE359" s="14">
        <f t="shared" si="145"/>
        <v>29</v>
      </c>
      <c r="CF359" s="2">
        <f t="shared" si="142"/>
        <v>1</v>
      </c>
      <c r="CL359" s="349"/>
      <c r="CM359" s="349"/>
      <c r="CN359" s="349"/>
      <c r="CO359" s="349"/>
      <c r="CP359" s="349"/>
      <c r="CQ359" s="14"/>
    </row>
    <row r="360" spans="1:103" s="1" customFormat="1" ht="29.4" customHeight="1">
      <c r="A360" s="46">
        <v>5</v>
      </c>
      <c r="B360" s="363">
        <v>10</v>
      </c>
      <c r="C360" s="363">
        <v>390</v>
      </c>
      <c r="D360" s="362"/>
      <c r="E360" s="362"/>
      <c r="F360" s="363"/>
      <c r="G360" s="312" t="s">
        <v>1991</v>
      </c>
      <c r="H360" s="312" t="s">
        <v>1991</v>
      </c>
      <c r="I360" s="312" t="s">
        <v>1991</v>
      </c>
      <c r="J360" s="312"/>
      <c r="K360" s="312" t="s">
        <v>1991</v>
      </c>
      <c r="L360" s="312" t="s">
        <v>1991</v>
      </c>
      <c r="M360" s="312" t="s">
        <v>1991</v>
      </c>
      <c r="N360" s="312" t="s">
        <v>1991</v>
      </c>
      <c r="O360" s="312" t="s">
        <v>1991</v>
      </c>
      <c r="P360" s="312" t="s">
        <v>1991</v>
      </c>
      <c r="Q360" s="312" t="s">
        <v>1991</v>
      </c>
      <c r="R360" s="312" t="s">
        <v>1991</v>
      </c>
      <c r="S360" s="312" t="s">
        <v>1991</v>
      </c>
      <c r="T360" s="323" t="s">
        <v>1991</v>
      </c>
      <c r="U360" s="312" t="s">
        <v>1991</v>
      </c>
      <c r="V360" s="46" t="s">
        <v>1991</v>
      </c>
      <c r="W360" s="46" t="s">
        <v>1991</v>
      </c>
      <c r="X360" s="46" t="s">
        <v>1991</v>
      </c>
      <c r="Y360" s="46" t="s">
        <v>1991</v>
      </c>
      <c r="Z360" s="46" t="s">
        <v>1991</v>
      </c>
      <c r="AA360" s="46" t="s">
        <v>1991</v>
      </c>
      <c r="AB360" s="46" t="s">
        <v>1991</v>
      </c>
      <c r="AC360" s="46" t="s">
        <v>1991</v>
      </c>
      <c r="AD360" s="46" t="s">
        <v>1991</v>
      </c>
      <c r="AE360" s="46" t="s">
        <v>1991</v>
      </c>
      <c r="AF360" s="46" t="s">
        <v>1991</v>
      </c>
      <c r="AG360" s="46" t="s">
        <v>1991</v>
      </c>
      <c r="AH360" s="46" t="s">
        <v>1991</v>
      </c>
      <c r="AI360" s="46" t="s">
        <v>1991</v>
      </c>
      <c r="AJ360" s="46" t="s">
        <v>1991</v>
      </c>
      <c r="AK360" s="46" t="s">
        <v>1991</v>
      </c>
      <c r="AL360" s="327"/>
      <c r="AM360" s="327" t="s">
        <v>1991</v>
      </c>
      <c r="AN360" s="327" t="s">
        <v>1991</v>
      </c>
      <c r="AO360" s="327" t="s">
        <v>1991</v>
      </c>
      <c r="AP360" s="327"/>
      <c r="AQ360" s="327"/>
      <c r="AR360" s="327"/>
      <c r="AS360" s="327" t="s">
        <v>1991</v>
      </c>
      <c r="AT360" s="327" t="s">
        <v>1991</v>
      </c>
      <c r="AU360" s="327"/>
      <c r="AV360" s="327"/>
      <c r="AW360" s="327"/>
      <c r="AX360" s="327"/>
      <c r="AY360" s="327"/>
      <c r="AZ360" s="327"/>
      <c r="BA360" s="327"/>
      <c r="BB360" s="46">
        <f t="shared" si="157"/>
        <v>14</v>
      </c>
      <c r="BC360" s="46">
        <f t="shared" si="164"/>
        <v>16</v>
      </c>
      <c r="BD360" s="46">
        <f t="shared" si="127"/>
        <v>5</v>
      </c>
      <c r="BE360" s="46">
        <f t="shared" si="158"/>
        <v>5</v>
      </c>
      <c r="BF360" s="296">
        <f t="shared" si="148"/>
        <v>30</v>
      </c>
      <c r="BG360" s="2"/>
      <c r="BH360" s="2"/>
      <c r="BI360" s="2"/>
      <c r="BJ360" s="2"/>
      <c r="BK360" s="279">
        <f t="shared" si="165"/>
        <v>1</v>
      </c>
      <c r="BL360" s="279">
        <f t="shared" si="159"/>
        <v>30</v>
      </c>
      <c r="BM360" s="279"/>
      <c r="BN360" s="279"/>
      <c r="BO360" s="2">
        <f t="shared" si="160"/>
        <v>30</v>
      </c>
      <c r="BP360" s="430"/>
      <c r="BQ360" s="431"/>
      <c r="BR360" s="2"/>
      <c r="BS360" s="25"/>
      <c r="BT360" s="348">
        <f t="shared" si="132"/>
        <v>1</v>
      </c>
      <c r="BU360" s="56"/>
      <c r="BV360" s="282">
        <f t="shared" si="161"/>
        <v>0</v>
      </c>
      <c r="BW360" s="379"/>
      <c r="BX360" s="269">
        <f t="shared" si="162"/>
        <v>0</v>
      </c>
      <c r="BY360" s="264"/>
      <c r="BZ360" s="264"/>
      <c r="CA360" s="264"/>
      <c r="CB360" s="264"/>
      <c r="CC360" s="264"/>
      <c r="CD360" s="14">
        <f t="shared" si="163"/>
        <v>-14</v>
      </c>
      <c r="CE360" s="14">
        <f t="shared" si="145"/>
        <v>30</v>
      </c>
      <c r="CF360" s="2">
        <f t="shared" si="142"/>
        <v>1</v>
      </c>
      <c r="CL360" s="349"/>
      <c r="CM360" s="349"/>
      <c r="CN360" s="349"/>
      <c r="CO360" s="349"/>
      <c r="CP360" s="349"/>
      <c r="CQ360" s="14"/>
    </row>
    <row r="361" spans="1:103" s="1" customFormat="1" ht="29.4" customHeight="1">
      <c r="A361" s="46">
        <v>6</v>
      </c>
      <c r="B361" s="363">
        <v>10</v>
      </c>
      <c r="C361" s="363">
        <v>391</v>
      </c>
      <c r="D361" s="362"/>
      <c r="E361" s="362"/>
      <c r="F361" s="363"/>
      <c r="G361" s="312" t="s">
        <v>1991</v>
      </c>
      <c r="H361" s="312" t="s">
        <v>1991</v>
      </c>
      <c r="I361" s="312" t="s">
        <v>1991</v>
      </c>
      <c r="J361" s="312"/>
      <c r="K361" s="312" t="s">
        <v>1991</v>
      </c>
      <c r="L361" s="312" t="s">
        <v>1991</v>
      </c>
      <c r="M361" s="312" t="s">
        <v>1991</v>
      </c>
      <c r="N361" s="312" t="s">
        <v>1991</v>
      </c>
      <c r="O361" s="312" t="s">
        <v>1991</v>
      </c>
      <c r="P361" s="312">
        <v>0</v>
      </c>
      <c r="Q361" s="312" t="s">
        <v>1991</v>
      </c>
      <c r="R361" s="312" t="s">
        <v>1991</v>
      </c>
      <c r="S361" s="312" t="s">
        <v>1991</v>
      </c>
      <c r="T361" s="323" t="s">
        <v>1991</v>
      </c>
      <c r="U361" s="312" t="s">
        <v>1991</v>
      </c>
      <c r="V361" s="46" t="s">
        <v>1991</v>
      </c>
      <c r="W361" s="46" t="s">
        <v>1991</v>
      </c>
      <c r="X361" s="46" t="s">
        <v>1991</v>
      </c>
      <c r="Y361" s="46" t="s">
        <v>1991</v>
      </c>
      <c r="Z361" s="46" t="s">
        <v>1991</v>
      </c>
      <c r="AA361" s="46" t="s">
        <v>1991</v>
      </c>
      <c r="AB361" s="46" t="s">
        <v>1991</v>
      </c>
      <c r="AC361" s="46" t="s">
        <v>1991</v>
      </c>
      <c r="AD361" s="46" t="s">
        <v>1991</v>
      </c>
      <c r="AE361" s="46" t="s">
        <v>1991</v>
      </c>
      <c r="AF361" s="46" t="s">
        <v>1991</v>
      </c>
      <c r="AG361" s="46" t="s">
        <v>1991</v>
      </c>
      <c r="AH361" s="46" t="s">
        <v>1991</v>
      </c>
      <c r="AI361" s="46" t="s">
        <v>1991</v>
      </c>
      <c r="AJ361" s="46" t="s">
        <v>1991</v>
      </c>
      <c r="AK361" s="46" t="s">
        <v>1991</v>
      </c>
      <c r="AL361" s="327"/>
      <c r="AM361" s="327" t="s">
        <v>1991</v>
      </c>
      <c r="AN361" s="327" t="s">
        <v>1991</v>
      </c>
      <c r="AO361" s="327" t="s">
        <v>1991</v>
      </c>
      <c r="AP361" s="327"/>
      <c r="AQ361" s="327"/>
      <c r="AR361" s="327"/>
      <c r="AS361" s="327" t="s">
        <v>1991</v>
      </c>
      <c r="AT361" s="327" t="s">
        <v>1991</v>
      </c>
      <c r="AU361" s="327"/>
      <c r="AV361" s="327"/>
      <c r="AW361" s="327"/>
      <c r="AX361" s="327"/>
      <c r="AY361" s="327"/>
      <c r="AZ361" s="327"/>
      <c r="BA361" s="327"/>
      <c r="BB361" s="46">
        <f t="shared" si="157"/>
        <v>13</v>
      </c>
      <c r="BC361" s="46">
        <f t="shared" si="164"/>
        <v>16</v>
      </c>
      <c r="BD361" s="46">
        <f t="shared" si="127"/>
        <v>5</v>
      </c>
      <c r="BE361" s="46">
        <f t="shared" si="158"/>
        <v>5</v>
      </c>
      <c r="BF361" s="296">
        <f t="shared" si="148"/>
        <v>29</v>
      </c>
      <c r="BG361" s="2"/>
      <c r="BH361" s="2"/>
      <c r="BI361" s="2"/>
      <c r="BJ361" s="2"/>
      <c r="BK361" s="279">
        <f t="shared" si="165"/>
        <v>1</v>
      </c>
      <c r="BL361" s="279">
        <f t="shared" si="159"/>
        <v>29</v>
      </c>
      <c r="BM361" s="279"/>
      <c r="BN361" s="279"/>
      <c r="BO361" s="2">
        <f t="shared" si="160"/>
        <v>29</v>
      </c>
      <c r="BP361" s="430"/>
      <c r="BQ361" s="431"/>
      <c r="BR361" s="2"/>
      <c r="BS361" s="25"/>
      <c r="BT361" s="348">
        <f t="shared" si="132"/>
        <v>1</v>
      </c>
      <c r="BU361" s="56"/>
      <c r="BV361" s="282">
        <f t="shared" si="161"/>
        <v>0</v>
      </c>
      <c r="BW361" s="379"/>
      <c r="BX361" s="269">
        <f t="shared" si="162"/>
        <v>0</v>
      </c>
      <c r="BY361" s="264"/>
      <c r="BZ361" s="264"/>
      <c r="CA361" s="264"/>
      <c r="CB361" s="264"/>
      <c r="CC361" s="264"/>
      <c r="CD361" s="14">
        <f t="shared" si="163"/>
        <v>-13</v>
      </c>
      <c r="CE361" s="14">
        <f t="shared" si="145"/>
        <v>29</v>
      </c>
      <c r="CF361" s="2">
        <f t="shared" si="142"/>
        <v>1</v>
      </c>
      <c r="CL361" s="349"/>
      <c r="CM361" s="349"/>
      <c r="CN361" s="349"/>
      <c r="CO361" s="349"/>
      <c r="CP361" s="349"/>
      <c r="CQ361" s="14"/>
    </row>
    <row r="362" spans="1:103" s="1" customFormat="1" ht="29.4" customHeight="1">
      <c r="A362" s="46">
        <v>7</v>
      </c>
      <c r="B362" s="363">
        <v>10</v>
      </c>
      <c r="C362" s="363">
        <v>392</v>
      </c>
      <c r="D362" s="362"/>
      <c r="E362" s="362"/>
      <c r="F362" s="363"/>
      <c r="G362" s="312" t="s">
        <v>1991</v>
      </c>
      <c r="H362" s="312" t="s">
        <v>1991</v>
      </c>
      <c r="I362" s="312" t="s">
        <v>1991</v>
      </c>
      <c r="J362" s="312"/>
      <c r="K362" s="312">
        <v>0</v>
      </c>
      <c r="L362" s="312" t="s">
        <v>1991</v>
      </c>
      <c r="M362" s="312" t="s">
        <v>1991</v>
      </c>
      <c r="N362" s="312" t="s">
        <v>1991</v>
      </c>
      <c r="O362" s="312" t="s">
        <v>1991</v>
      </c>
      <c r="P362" s="312" t="s">
        <v>1991</v>
      </c>
      <c r="Q362" s="312" t="s">
        <v>1991</v>
      </c>
      <c r="R362" s="312" t="s">
        <v>1991</v>
      </c>
      <c r="S362" s="312" t="s">
        <v>1991</v>
      </c>
      <c r="T362" s="323" t="s">
        <v>1991</v>
      </c>
      <c r="U362" s="312" t="s">
        <v>1991</v>
      </c>
      <c r="V362" s="46" t="s">
        <v>1991</v>
      </c>
      <c r="W362" s="46" t="s">
        <v>1991</v>
      </c>
      <c r="X362" s="46" t="s">
        <v>1991</v>
      </c>
      <c r="Y362" s="46" t="s">
        <v>1991</v>
      </c>
      <c r="Z362" s="46">
        <v>0</v>
      </c>
      <c r="AA362" s="46" t="s">
        <v>1991</v>
      </c>
      <c r="AB362" s="46" t="s">
        <v>1991</v>
      </c>
      <c r="AC362" s="46" t="s">
        <v>1991</v>
      </c>
      <c r="AD362" s="46" t="s">
        <v>1991</v>
      </c>
      <c r="AE362" s="46">
        <v>0</v>
      </c>
      <c r="AF362" s="46">
        <v>0</v>
      </c>
      <c r="AG362" s="46" t="s">
        <v>1991</v>
      </c>
      <c r="AH362" s="46" t="s">
        <v>1991</v>
      </c>
      <c r="AI362" s="46" t="s">
        <v>1991</v>
      </c>
      <c r="AJ362" s="46" t="s">
        <v>1991</v>
      </c>
      <c r="AK362" s="46" t="s">
        <v>1991</v>
      </c>
      <c r="AL362" s="327"/>
      <c r="AM362" s="327">
        <v>0</v>
      </c>
      <c r="AN362" s="327">
        <v>0</v>
      </c>
      <c r="AO362" s="327" t="s">
        <v>1991</v>
      </c>
      <c r="AP362" s="327"/>
      <c r="AQ362" s="327"/>
      <c r="AR362" s="327"/>
      <c r="AS362" s="327">
        <v>0</v>
      </c>
      <c r="AT362" s="327">
        <v>0</v>
      </c>
      <c r="AU362" s="327"/>
      <c r="AV362" s="327"/>
      <c r="AW362" s="327"/>
      <c r="AX362" s="327"/>
      <c r="AY362" s="327"/>
      <c r="AZ362" s="327"/>
      <c r="BA362" s="327"/>
      <c r="BB362" s="46">
        <f t="shared" si="157"/>
        <v>13</v>
      </c>
      <c r="BC362" s="46">
        <f t="shared" si="164"/>
        <v>13</v>
      </c>
      <c r="BD362" s="46">
        <f t="shared" si="127"/>
        <v>1</v>
      </c>
      <c r="BE362" s="46">
        <f t="shared" si="158"/>
        <v>1</v>
      </c>
      <c r="BF362" s="296">
        <f t="shared" si="148"/>
        <v>26</v>
      </c>
      <c r="BG362" s="2"/>
      <c r="BH362" s="2"/>
      <c r="BI362" s="2"/>
      <c r="BJ362" s="2"/>
      <c r="BK362" s="279">
        <f t="shared" si="165"/>
        <v>1</v>
      </c>
      <c r="BL362" s="279">
        <f t="shared" si="159"/>
        <v>26</v>
      </c>
      <c r="BM362" s="279"/>
      <c r="BN362" s="279"/>
      <c r="BO362" s="2">
        <f t="shared" si="160"/>
        <v>26</v>
      </c>
      <c r="BP362" s="430"/>
      <c r="BQ362" s="431"/>
      <c r="BR362" s="2"/>
      <c r="BS362" s="25"/>
      <c r="BT362" s="348">
        <f t="shared" si="132"/>
        <v>1</v>
      </c>
      <c r="BU362" s="56"/>
      <c r="BV362" s="282">
        <f t="shared" si="161"/>
        <v>0</v>
      </c>
      <c r="BW362" s="379"/>
      <c r="BX362" s="269">
        <f t="shared" si="162"/>
        <v>0</v>
      </c>
      <c r="BY362" s="264"/>
      <c r="BZ362" s="264"/>
      <c r="CA362" s="264"/>
      <c r="CB362" s="264"/>
      <c r="CC362" s="264"/>
      <c r="CD362" s="14">
        <f t="shared" si="163"/>
        <v>-13</v>
      </c>
      <c r="CE362" s="14">
        <f t="shared" si="145"/>
        <v>26</v>
      </c>
      <c r="CF362" s="2">
        <f t="shared" si="142"/>
        <v>1</v>
      </c>
      <c r="CL362" s="349"/>
      <c r="CM362" s="349"/>
      <c r="CN362" s="349"/>
      <c r="CO362" s="349"/>
      <c r="CP362" s="349"/>
      <c r="CQ362" s="14"/>
    </row>
    <row r="363" spans="1:103" s="1" customFormat="1" ht="29.4" customHeight="1">
      <c r="A363" s="46">
        <v>8</v>
      </c>
      <c r="B363" s="363">
        <v>10</v>
      </c>
      <c r="C363" s="363">
        <v>393</v>
      </c>
      <c r="D363" s="362"/>
      <c r="E363" s="362"/>
      <c r="F363" s="363"/>
      <c r="G363" s="312" t="s">
        <v>1991</v>
      </c>
      <c r="H363" s="312" t="s">
        <v>1991</v>
      </c>
      <c r="I363" s="312" t="s">
        <v>1991</v>
      </c>
      <c r="J363" s="312"/>
      <c r="K363" s="312">
        <v>0</v>
      </c>
      <c r="L363" s="312" t="s">
        <v>1991</v>
      </c>
      <c r="M363" s="312" t="s">
        <v>1991</v>
      </c>
      <c r="N363" s="312" t="s">
        <v>1991</v>
      </c>
      <c r="O363" s="312" t="s">
        <v>1991</v>
      </c>
      <c r="P363" s="312" t="s">
        <v>1991</v>
      </c>
      <c r="Q363" s="312" t="s">
        <v>1991</v>
      </c>
      <c r="R363" s="312" t="s">
        <v>1991</v>
      </c>
      <c r="S363" s="312" t="s">
        <v>1991</v>
      </c>
      <c r="T363" s="323" t="s">
        <v>1991</v>
      </c>
      <c r="U363" s="312" t="s">
        <v>1991</v>
      </c>
      <c r="V363" s="46" t="s">
        <v>1991</v>
      </c>
      <c r="W363" s="46" t="s">
        <v>1991</v>
      </c>
      <c r="X363" s="46" t="s">
        <v>1991</v>
      </c>
      <c r="Y363" s="46" t="s">
        <v>1991</v>
      </c>
      <c r="Z363" s="46">
        <v>0</v>
      </c>
      <c r="AA363" s="46" t="s">
        <v>1991</v>
      </c>
      <c r="AB363" s="46" t="s">
        <v>1991</v>
      </c>
      <c r="AC363" s="46" t="s">
        <v>1991</v>
      </c>
      <c r="AD363" s="46" t="s">
        <v>1991</v>
      </c>
      <c r="AE363" s="46">
        <v>0</v>
      </c>
      <c r="AF363" s="46">
        <v>0</v>
      </c>
      <c r="AG363" s="46" t="s">
        <v>1991</v>
      </c>
      <c r="AH363" s="46" t="s">
        <v>1991</v>
      </c>
      <c r="AI363" s="46" t="s">
        <v>1991</v>
      </c>
      <c r="AJ363" s="46" t="s">
        <v>1991</v>
      </c>
      <c r="AK363" s="46" t="s">
        <v>1991</v>
      </c>
      <c r="AL363" s="327"/>
      <c r="AM363" s="327">
        <v>0</v>
      </c>
      <c r="AN363" s="327">
        <v>0</v>
      </c>
      <c r="AO363" s="327" t="s">
        <v>1991</v>
      </c>
      <c r="AP363" s="327"/>
      <c r="AQ363" s="327"/>
      <c r="AR363" s="327"/>
      <c r="AS363" s="327">
        <v>0</v>
      </c>
      <c r="AT363" s="327">
        <v>0</v>
      </c>
      <c r="AU363" s="327"/>
      <c r="AV363" s="327"/>
      <c r="AW363" s="327"/>
      <c r="AX363" s="327"/>
      <c r="AY363" s="327"/>
      <c r="AZ363" s="327"/>
      <c r="BA363" s="327"/>
      <c r="BB363" s="46">
        <f t="shared" si="157"/>
        <v>13</v>
      </c>
      <c r="BC363" s="46">
        <f t="shared" si="164"/>
        <v>13</v>
      </c>
      <c r="BD363" s="46">
        <f t="shared" si="127"/>
        <v>1</v>
      </c>
      <c r="BE363" s="46">
        <f t="shared" si="158"/>
        <v>1</v>
      </c>
      <c r="BF363" s="296">
        <f t="shared" si="148"/>
        <v>26</v>
      </c>
      <c r="BG363" s="2"/>
      <c r="BH363" s="2"/>
      <c r="BI363" s="2"/>
      <c r="BJ363" s="2"/>
      <c r="BK363" s="279">
        <f t="shared" si="165"/>
        <v>1</v>
      </c>
      <c r="BL363" s="279">
        <f t="shared" si="159"/>
        <v>26</v>
      </c>
      <c r="BM363" s="279"/>
      <c r="BN363" s="279"/>
      <c r="BO363" s="2">
        <f t="shared" si="160"/>
        <v>26</v>
      </c>
      <c r="BP363" s="430"/>
      <c r="BQ363" s="431"/>
      <c r="BR363" s="2"/>
      <c r="BS363" s="25"/>
      <c r="BT363" s="348">
        <f t="shared" si="132"/>
        <v>1</v>
      </c>
      <c r="BU363" s="56"/>
      <c r="BV363" s="282">
        <f t="shared" si="161"/>
        <v>0</v>
      </c>
      <c r="BW363" s="379"/>
      <c r="BX363" s="269">
        <f t="shared" si="162"/>
        <v>0</v>
      </c>
      <c r="BY363" s="264"/>
      <c r="BZ363" s="264"/>
      <c r="CA363" s="264"/>
      <c r="CB363" s="264"/>
      <c r="CC363" s="264"/>
      <c r="CD363" s="14">
        <f t="shared" si="163"/>
        <v>-13</v>
      </c>
      <c r="CE363" s="14">
        <f t="shared" si="145"/>
        <v>26</v>
      </c>
      <c r="CF363" s="2">
        <f t="shared" si="142"/>
        <v>1</v>
      </c>
      <c r="CL363" s="349"/>
      <c r="CM363" s="349"/>
      <c r="CN363" s="349"/>
      <c r="CO363" s="349"/>
      <c r="CP363" s="349"/>
      <c r="CQ363" s="14"/>
    </row>
    <row r="364" spans="1:103" s="1" customFormat="1" ht="29.4" customHeight="1">
      <c r="A364" s="46">
        <v>9</v>
      </c>
      <c r="B364" s="363">
        <v>10</v>
      </c>
      <c r="C364" s="363">
        <v>394</v>
      </c>
      <c r="D364" s="362"/>
      <c r="E364" s="362"/>
      <c r="F364" s="363"/>
      <c r="G364" s="312" t="s">
        <v>1991</v>
      </c>
      <c r="H364" s="312" t="s">
        <v>1991</v>
      </c>
      <c r="I364" s="312" t="s">
        <v>1991</v>
      </c>
      <c r="J364" s="312"/>
      <c r="K364" s="312" t="s">
        <v>1991</v>
      </c>
      <c r="L364" s="312" t="s">
        <v>1991</v>
      </c>
      <c r="M364" s="312" t="s">
        <v>1991</v>
      </c>
      <c r="N364" s="312" t="s">
        <v>1991</v>
      </c>
      <c r="O364" s="312" t="s">
        <v>1991</v>
      </c>
      <c r="P364" s="312">
        <v>0</v>
      </c>
      <c r="Q364" s="312" t="s">
        <v>1991</v>
      </c>
      <c r="R364" s="312" t="s">
        <v>1991</v>
      </c>
      <c r="S364" s="312" t="s">
        <v>1991</v>
      </c>
      <c r="T364" s="323" t="s">
        <v>1991</v>
      </c>
      <c r="U364" s="312" t="s">
        <v>1991</v>
      </c>
      <c r="V364" s="46" t="s">
        <v>1991</v>
      </c>
      <c r="W364" s="46" t="s">
        <v>1991</v>
      </c>
      <c r="X364" s="46" t="s">
        <v>1991</v>
      </c>
      <c r="Y364" s="46" t="s">
        <v>1991</v>
      </c>
      <c r="Z364" s="46" t="s">
        <v>1991</v>
      </c>
      <c r="AA364" s="46" t="s">
        <v>1991</v>
      </c>
      <c r="AB364" s="46" t="s">
        <v>1991</v>
      </c>
      <c r="AC364" s="46" t="s">
        <v>1991</v>
      </c>
      <c r="AD364" s="46" t="s">
        <v>1991</v>
      </c>
      <c r="AE364" s="46" t="s">
        <v>1991</v>
      </c>
      <c r="AF364" s="46" t="s">
        <v>1991</v>
      </c>
      <c r="AG364" s="46" t="s">
        <v>1991</v>
      </c>
      <c r="AH364" s="46">
        <v>0</v>
      </c>
      <c r="AI364" s="46">
        <v>0</v>
      </c>
      <c r="AJ364" s="46" t="s">
        <v>1991</v>
      </c>
      <c r="AK364" s="46" t="s">
        <v>1991</v>
      </c>
      <c r="AL364" s="327"/>
      <c r="AM364" s="327" t="s">
        <v>1991</v>
      </c>
      <c r="AN364" s="327" t="s">
        <v>1991</v>
      </c>
      <c r="AO364" s="327" t="s">
        <v>1991</v>
      </c>
      <c r="AP364" s="327"/>
      <c r="AQ364" s="327"/>
      <c r="AR364" s="327"/>
      <c r="AS364" s="327">
        <v>0</v>
      </c>
      <c r="AT364" s="327">
        <v>0</v>
      </c>
      <c r="AU364" s="327"/>
      <c r="AV364" s="327"/>
      <c r="AW364" s="327"/>
      <c r="AX364" s="327"/>
      <c r="AY364" s="327"/>
      <c r="AZ364" s="327"/>
      <c r="BA364" s="327"/>
      <c r="BB364" s="46">
        <f t="shared" si="157"/>
        <v>13</v>
      </c>
      <c r="BC364" s="46">
        <f t="shared" si="164"/>
        <v>14</v>
      </c>
      <c r="BD364" s="46">
        <f t="shared" si="127"/>
        <v>3</v>
      </c>
      <c r="BE364" s="46">
        <f t="shared" si="158"/>
        <v>3</v>
      </c>
      <c r="BF364" s="296">
        <f t="shared" si="148"/>
        <v>27</v>
      </c>
      <c r="BG364" s="2"/>
      <c r="BH364" s="2"/>
      <c r="BI364" s="2"/>
      <c r="BJ364" s="2"/>
      <c r="BK364" s="279">
        <f t="shared" si="165"/>
        <v>1</v>
      </c>
      <c r="BL364" s="279">
        <f t="shared" si="159"/>
        <v>27</v>
      </c>
      <c r="BM364" s="279"/>
      <c r="BN364" s="279"/>
      <c r="BO364" s="2">
        <f t="shared" si="160"/>
        <v>27</v>
      </c>
      <c r="BP364" s="430"/>
      <c r="BQ364" s="431"/>
      <c r="BR364" s="2"/>
      <c r="BS364" s="25"/>
      <c r="BT364" s="348">
        <f t="shared" si="132"/>
        <v>1</v>
      </c>
      <c r="BU364" s="56"/>
      <c r="BV364" s="282">
        <f t="shared" si="161"/>
        <v>0</v>
      </c>
      <c r="BW364" s="379"/>
      <c r="BX364" s="269">
        <f t="shared" si="162"/>
        <v>0</v>
      </c>
      <c r="BY364" s="264"/>
      <c r="BZ364" s="264"/>
      <c r="CA364" s="264"/>
      <c r="CB364" s="264"/>
      <c r="CC364" s="264"/>
      <c r="CD364" s="14">
        <f t="shared" si="163"/>
        <v>-13</v>
      </c>
      <c r="CE364" s="14">
        <f t="shared" si="145"/>
        <v>27</v>
      </c>
      <c r="CF364" s="2">
        <f t="shared" si="142"/>
        <v>1</v>
      </c>
      <c r="CL364" s="349"/>
      <c r="CM364" s="349"/>
      <c r="CN364" s="349"/>
      <c r="CO364" s="349"/>
      <c r="CP364" s="349"/>
      <c r="CQ364" s="14"/>
    </row>
    <row r="365" spans="1:103" s="1" customFormat="1" ht="29.4" customHeight="1">
      <c r="A365" s="46">
        <v>10</v>
      </c>
      <c r="B365" s="363">
        <v>10</v>
      </c>
      <c r="C365" s="363">
        <v>395</v>
      </c>
      <c r="D365" s="362"/>
      <c r="E365" s="362"/>
      <c r="F365" s="363"/>
      <c r="G365" s="312" t="s">
        <v>1991</v>
      </c>
      <c r="H365" s="312" t="s">
        <v>1991</v>
      </c>
      <c r="I365" s="312" t="s">
        <v>1991</v>
      </c>
      <c r="J365" s="312"/>
      <c r="K365" s="312" t="s">
        <v>1991</v>
      </c>
      <c r="L365" s="312" t="s">
        <v>1991</v>
      </c>
      <c r="M365" s="312" t="s">
        <v>1991</v>
      </c>
      <c r="N365" s="312" t="s">
        <v>1991</v>
      </c>
      <c r="O365" s="312" t="s">
        <v>1991</v>
      </c>
      <c r="P365" s="312">
        <v>0</v>
      </c>
      <c r="Q365" s="312" t="s">
        <v>1991</v>
      </c>
      <c r="R365" s="312" t="s">
        <v>1991</v>
      </c>
      <c r="S365" s="312" t="s">
        <v>1991</v>
      </c>
      <c r="T365" s="323" t="s">
        <v>1991</v>
      </c>
      <c r="U365" s="312" t="s">
        <v>1991</v>
      </c>
      <c r="V365" s="46" t="s">
        <v>1991</v>
      </c>
      <c r="W365" s="46" t="s">
        <v>1991</v>
      </c>
      <c r="X365" s="46" t="s">
        <v>1991</v>
      </c>
      <c r="Y365" s="46" t="s">
        <v>1991</v>
      </c>
      <c r="Z365" s="46" t="s">
        <v>1991</v>
      </c>
      <c r="AA365" s="46" t="s">
        <v>1991</v>
      </c>
      <c r="AB365" s="46" t="s">
        <v>1991</v>
      </c>
      <c r="AC365" s="46" t="s">
        <v>1991</v>
      </c>
      <c r="AD365" s="46" t="s">
        <v>1991</v>
      </c>
      <c r="AE365" s="46" t="s">
        <v>1991</v>
      </c>
      <c r="AF365" s="46" t="s">
        <v>1991</v>
      </c>
      <c r="AG365" s="46" t="s">
        <v>1991</v>
      </c>
      <c r="AH365" s="46">
        <v>0</v>
      </c>
      <c r="AI365" s="46">
        <v>0</v>
      </c>
      <c r="AJ365" s="46" t="s">
        <v>1991</v>
      </c>
      <c r="AK365" s="46" t="s">
        <v>1991</v>
      </c>
      <c r="AL365" s="327"/>
      <c r="AM365" s="327" t="s">
        <v>1991</v>
      </c>
      <c r="AN365" s="327" t="s">
        <v>1991</v>
      </c>
      <c r="AO365" s="327" t="s">
        <v>1991</v>
      </c>
      <c r="AP365" s="327"/>
      <c r="AQ365" s="327"/>
      <c r="AR365" s="327"/>
      <c r="AS365" s="327">
        <v>0</v>
      </c>
      <c r="AT365" s="327">
        <v>0</v>
      </c>
      <c r="AU365" s="327"/>
      <c r="AV365" s="327"/>
      <c r="AW365" s="327"/>
      <c r="AX365" s="327"/>
      <c r="AY365" s="327"/>
      <c r="AZ365" s="327"/>
      <c r="BA365" s="327"/>
      <c r="BB365" s="46">
        <f t="shared" si="157"/>
        <v>13</v>
      </c>
      <c r="BC365" s="46">
        <f t="shared" si="164"/>
        <v>14</v>
      </c>
      <c r="BD365" s="46">
        <f t="shared" si="127"/>
        <v>3</v>
      </c>
      <c r="BE365" s="46">
        <f t="shared" si="158"/>
        <v>3</v>
      </c>
      <c r="BF365" s="296">
        <f t="shared" si="148"/>
        <v>27</v>
      </c>
      <c r="BG365" s="2"/>
      <c r="BH365" s="2"/>
      <c r="BI365" s="2"/>
      <c r="BJ365" s="2"/>
      <c r="BK365" s="279">
        <f t="shared" si="165"/>
        <v>1</v>
      </c>
      <c r="BL365" s="279">
        <f t="shared" si="159"/>
        <v>27</v>
      </c>
      <c r="BM365" s="279"/>
      <c r="BN365" s="279"/>
      <c r="BO365" s="2">
        <f t="shared" si="160"/>
        <v>27</v>
      </c>
      <c r="BP365" s="430"/>
      <c r="BQ365" s="431"/>
      <c r="BR365" s="2"/>
      <c r="BS365" s="25"/>
      <c r="BT365" s="348">
        <f t="shared" si="132"/>
        <v>1</v>
      </c>
      <c r="BU365" s="56"/>
      <c r="BV365" s="282">
        <f t="shared" si="161"/>
        <v>0</v>
      </c>
      <c r="BW365" s="379"/>
      <c r="BX365" s="269">
        <f t="shared" si="162"/>
        <v>0</v>
      </c>
      <c r="BY365" s="264"/>
      <c r="BZ365" s="264"/>
      <c r="CA365" s="264"/>
      <c r="CB365" s="264"/>
      <c r="CC365" s="264"/>
      <c r="CD365" s="14">
        <f t="shared" si="163"/>
        <v>-13</v>
      </c>
      <c r="CE365" s="14">
        <f t="shared" si="145"/>
        <v>27</v>
      </c>
      <c r="CF365" s="2">
        <f t="shared" si="142"/>
        <v>1</v>
      </c>
      <c r="CL365" s="349"/>
      <c r="CM365" s="349"/>
      <c r="CN365" s="349"/>
      <c r="CO365" s="349"/>
      <c r="CP365" s="349"/>
      <c r="CQ365" s="14"/>
    </row>
    <row r="366" spans="1:103" s="1" customFormat="1" ht="29.4" customHeight="1">
      <c r="A366" s="46">
        <v>11</v>
      </c>
      <c r="B366" s="363">
        <v>10</v>
      </c>
      <c r="C366" s="363">
        <v>396</v>
      </c>
      <c r="D366" s="362"/>
      <c r="E366" s="362"/>
      <c r="F366" s="363"/>
      <c r="G366" s="312" t="s">
        <v>1991</v>
      </c>
      <c r="H366" s="312" t="s">
        <v>1991</v>
      </c>
      <c r="I366" s="312" t="s">
        <v>1991</v>
      </c>
      <c r="J366" s="312"/>
      <c r="K366" s="312">
        <v>0</v>
      </c>
      <c r="L366" s="312" t="s">
        <v>1991</v>
      </c>
      <c r="M366" s="312" t="s">
        <v>1991</v>
      </c>
      <c r="N366" s="312" t="s">
        <v>1991</v>
      </c>
      <c r="O366" s="312" t="s">
        <v>1991</v>
      </c>
      <c r="P366" s="312" t="s">
        <v>1991</v>
      </c>
      <c r="Q366" s="312" t="s">
        <v>1991</v>
      </c>
      <c r="R366" s="312" t="s">
        <v>1991</v>
      </c>
      <c r="S366" s="312" t="s">
        <v>1991</v>
      </c>
      <c r="T366" s="323" t="s">
        <v>1991</v>
      </c>
      <c r="U366" s="312" t="s">
        <v>1991</v>
      </c>
      <c r="V366" s="46" t="s">
        <v>1991</v>
      </c>
      <c r="W366" s="46" t="s">
        <v>1991</v>
      </c>
      <c r="X366" s="46" t="s">
        <v>1991</v>
      </c>
      <c r="Y366" s="46" t="s">
        <v>1991</v>
      </c>
      <c r="Z366" s="46" t="s">
        <v>1991</v>
      </c>
      <c r="AA366" s="46" t="s">
        <v>1991</v>
      </c>
      <c r="AB366" s="46" t="s">
        <v>1991</v>
      </c>
      <c r="AC366" s="46" t="s">
        <v>1991</v>
      </c>
      <c r="AD366" s="46" t="s">
        <v>1991</v>
      </c>
      <c r="AE366" s="46" t="s">
        <v>1991</v>
      </c>
      <c r="AF366" s="46">
        <v>0</v>
      </c>
      <c r="AG366" s="46" t="s">
        <v>1991</v>
      </c>
      <c r="AH366" s="46" t="s">
        <v>1991</v>
      </c>
      <c r="AI366" s="46" t="s">
        <v>1991</v>
      </c>
      <c r="AJ366" s="46" t="s">
        <v>1991</v>
      </c>
      <c r="AK366" s="46" t="s">
        <v>1991</v>
      </c>
      <c r="AL366" s="327"/>
      <c r="AM366" s="327" t="s">
        <v>1991</v>
      </c>
      <c r="AN366" s="327" t="s">
        <v>1991</v>
      </c>
      <c r="AO366" s="327" t="s">
        <v>1991</v>
      </c>
      <c r="AP366" s="327"/>
      <c r="AQ366" s="327"/>
      <c r="AR366" s="327"/>
      <c r="AS366" s="327" t="s">
        <v>1991</v>
      </c>
      <c r="AT366" s="327" t="s">
        <v>1991</v>
      </c>
      <c r="AU366" s="327"/>
      <c r="AV366" s="327"/>
      <c r="AW366" s="327"/>
      <c r="AX366" s="327"/>
      <c r="AY366" s="327"/>
      <c r="AZ366" s="327"/>
      <c r="BA366" s="327"/>
      <c r="BB366" s="46">
        <f t="shared" si="157"/>
        <v>13</v>
      </c>
      <c r="BC366" s="46">
        <f t="shared" si="164"/>
        <v>15</v>
      </c>
      <c r="BD366" s="46">
        <f t="shared" si="127"/>
        <v>5</v>
      </c>
      <c r="BE366" s="46">
        <f t="shared" si="158"/>
        <v>5</v>
      </c>
      <c r="BF366" s="296">
        <f t="shared" si="148"/>
        <v>28</v>
      </c>
      <c r="BG366" s="2"/>
      <c r="BH366" s="2"/>
      <c r="BI366" s="2"/>
      <c r="BJ366" s="2"/>
      <c r="BK366" s="279">
        <f t="shared" si="165"/>
        <v>1</v>
      </c>
      <c r="BL366" s="279">
        <f t="shared" si="159"/>
        <v>28</v>
      </c>
      <c r="BM366" s="279"/>
      <c r="BN366" s="279"/>
      <c r="BO366" s="2">
        <f t="shared" si="160"/>
        <v>28</v>
      </c>
      <c r="BP366" s="430"/>
      <c r="BQ366" s="431"/>
      <c r="BR366" s="2"/>
      <c r="BS366" s="25"/>
      <c r="BT366" s="348">
        <f t="shared" si="132"/>
        <v>1</v>
      </c>
      <c r="BU366" s="56"/>
      <c r="BV366" s="282">
        <f t="shared" si="161"/>
        <v>0</v>
      </c>
      <c r="BW366" s="379"/>
      <c r="BX366" s="269">
        <f t="shared" si="162"/>
        <v>0</v>
      </c>
      <c r="BY366" s="264"/>
      <c r="BZ366" s="264"/>
      <c r="CA366" s="264"/>
      <c r="CB366" s="264"/>
      <c r="CC366" s="264"/>
      <c r="CD366" s="14">
        <f t="shared" si="163"/>
        <v>-13</v>
      </c>
      <c r="CE366" s="14">
        <f t="shared" si="145"/>
        <v>28</v>
      </c>
      <c r="CF366" s="2">
        <f t="shared" si="142"/>
        <v>1</v>
      </c>
      <c r="CL366" s="349"/>
      <c r="CM366" s="349"/>
      <c r="CN366" s="349"/>
      <c r="CO366" s="349"/>
      <c r="CP366" s="349"/>
      <c r="CQ366" s="14"/>
    </row>
    <row r="367" spans="1:103" s="1" customFormat="1" ht="29.4" customHeight="1">
      <c r="A367" s="46">
        <v>12</v>
      </c>
      <c r="B367" s="363">
        <v>10</v>
      </c>
      <c r="C367" s="363">
        <v>397</v>
      </c>
      <c r="D367" s="362"/>
      <c r="E367" s="362"/>
      <c r="F367" s="363"/>
      <c r="G367" s="312" t="s">
        <v>1991</v>
      </c>
      <c r="H367" s="312" t="s">
        <v>1991</v>
      </c>
      <c r="I367" s="312" t="s">
        <v>1991</v>
      </c>
      <c r="J367" s="312"/>
      <c r="K367" s="312">
        <v>0</v>
      </c>
      <c r="L367" s="312" t="s">
        <v>1991</v>
      </c>
      <c r="M367" s="312" t="s">
        <v>1991</v>
      </c>
      <c r="N367" s="312" t="s">
        <v>1991</v>
      </c>
      <c r="O367" s="312" t="s">
        <v>1991</v>
      </c>
      <c r="P367" s="312" t="s">
        <v>1991</v>
      </c>
      <c r="Q367" s="312" t="s">
        <v>1991</v>
      </c>
      <c r="R367" s="312" t="s">
        <v>1991</v>
      </c>
      <c r="S367" s="312" t="s">
        <v>1991</v>
      </c>
      <c r="T367" s="323" t="s">
        <v>1991</v>
      </c>
      <c r="U367" s="312" t="s">
        <v>1991</v>
      </c>
      <c r="V367" s="46" t="s">
        <v>1991</v>
      </c>
      <c r="W367" s="46" t="s">
        <v>1991</v>
      </c>
      <c r="X367" s="46" t="s">
        <v>1991</v>
      </c>
      <c r="Y367" s="46" t="s">
        <v>1991</v>
      </c>
      <c r="Z367" s="46" t="s">
        <v>1991</v>
      </c>
      <c r="AA367" s="46" t="s">
        <v>1991</v>
      </c>
      <c r="AB367" s="46" t="s">
        <v>1991</v>
      </c>
      <c r="AC367" s="46" t="s">
        <v>1991</v>
      </c>
      <c r="AD367" s="46" t="s">
        <v>1991</v>
      </c>
      <c r="AE367" s="46" t="s">
        <v>1991</v>
      </c>
      <c r="AF367" s="46">
        <v>0</v>
      </c>
      <c r="AG367" s="46" t="s">
        <v>1991</v>
      </c>
      <c r="AH367" s="46" t="s">
        <v>1991</v>
      </c>
      <c r="AI367" s="46" t="s">
        <v>1991</v>
      </c>
      <c r="AJ367" s="46" t="s">
        <v>1991</v>
      </c>
      <c r="AK367" s="46" t="s">
        <v>1991</v>
      </c>
      <c r="AL367" s="327"/>
      <c r="AM367" s="327" t="s">
        <v>1991</v>
      </c>
      <c r="AN367" s="327" t="s">
        <v>1991</v>
      </c>
      <c r="AO367" s="327" t="s">
        <v>1991</v>
      </c>
      <c r="AP367" s="327"/>
      <c r="AQ367" s="327"/>
      <c r="AR367" s="327"/>
      <c r="AS367" s="327" t="s">
        <v>1991</v>
      </c>
      <c r="AT367" s="327" t="s">
        <v>1991</v>
      </c>
      <c r="AU367" s="327"/>
      <c r="AV367" s="327"/>
      <c r="AW367" s="327"/>
      <c r="AX367" s="327"/>
      <c r="AY367" s="327"/>
      <c r="AZ367" s="327"/>
      <c r="BA367" s="327"/>
      <c r="BB367" s="46">
        <f t="shared" si="157"/>
        <v>13</v>
      </c>
      <c r="BC367" s="46">
        <f t="shared" si="164"/>
        <v>15</v>
      </c>
      <c r="BD367" s="46">
        <f t="shared" si="127"/>
        <v>5</v>
      </c>
      <c r="BE367" s="46">
        <f t="shared" si="158"/>
        <v>5</v>
      </c>
      <c r="BF367" s="296">
        <f t="shared" si="148"/>
        <v>28</v>
      </c>
      <c r="BG367" s="2"/>
      <c r="BH367" s="2"/>
      <c r="BI367" s="2"/>
      <c r="BJ367" s="2"/>
      <c r="BK367" s="279">
        <f t="shared" si="165"/>
        <v>1</v>
      </c>
      <c r="BL367" s="279">
        <f t="shared" si="159"/>
        <v>28</v>
      </c>
      <c r="BM367" s="279"/>
      <c r="BN367" s="279"/>
      <c r="BO367" s="2">
        <f t="shared" si="160"/>
        <v>28</v>
      </c>
      <c r="BP367" s="430"/>
      <c r="BQ367" s="431"/>
      <c r="BR367" s="2"/>
      <c r="BS367" s="25"/>
      <c r="BT367" s="348">
        <f t="shared" si="132"/>
        <v>1</v>
      </c>
      <c r="BU367" s="56"/>
      <c r="BV367" s="282">
        <f t="shared" si="161"/>
        <v>0</v>
      </c>
      <c r="BW367" s="379"/>
      <c r="BX367" s="269">
        <f t="shared" si="162"/>
        <v>0</v>
      </c>
      <c r="BY367" s="264"/>
      <c r="BZ367" s="264"/>
      <c r="CA367" s="264"/>
      <c r="CB367" s="264"/>
      <c r="CC367" s="264"/>
      <c r="CD367" s="14">
        <f t="shared" si="163"/>
        <v>-13</v>
      </c>
      <c r="CE367" s="14">
        <f t="shared" si="145"/>
        <v>28</v>
      </c>
      <c r="CF367" s="2">
        <f t="shared" si="142"/>
        <v>1</v>
      </c>
      <c r="CL367" s="349"/>
      <c r="CM367" s="349"/>
      <c r="CN367" s="349"/>
      <c r="CO367" s="349"/>
      <c r="CP367" s="349"/>
      <c r="CQ367" s="14"/>
    </row>
    <row r="368" spans="1:103" s="1" customFormat="1" ht="29.4" customHeight="1">
      <c r="A368" s="46">
        <v>13</v>
      </c>
      <c r="B368" s="363">
        <v>10</v>
      </c>
      <c r="C368" s="363">
        <v>398</v>
      </c>
      <c r="D368" s="362"/>
      <c r="E368" s="362"/>
      <c r="F368" s="363"/>
      <c r="G368" s="312" t="s">
        <v>1991</v>
      </c>
      <c r="H368" s="312" t="s">
        <v>1991</v>
      </c>
      <c r="I368" s="312" t="s">
        <v>1991</v>
      </c>
      <c r="J368" s="312"/>
      <c r="K368" s="312" t="s">
        <v>1991</v>
      </c>
      <c r="L368" s="312" t="s">
        <v>1991</v>
      </c>
      <c r="M368" s="312" t="s">
        <v>1991</v>
      </c>
      <c r="N368" s="312" t="s">
        <v>1991</v>
      </c>
      <c r="O368" s="312" t="s">
        <v>1991</v>
      </c>
      <c r="P368" s="312" t="s">
        <v>1991</v>
      </c>
      <c r="Q368" s="312" t="s">
        <v>1991</v>
      </c>
      <c r="R368" s="312" t="s">
        <v>1991</v>
      </c>
      <c r="S368" s="312" t="s">
        <v>1991</v>
      </c>
      <c r="T368" s="323" t="s">
        <v>1991</v>
      </c>
      <c r="U368" s="312" t="s">
        <v>1991</v>
      </c>
      <c r="V368" s="46" t="s">
        <v>1991</v>
      </c>
      <c r="W368" s="46" t="s">
        <v>1991</v>
      </c>
      <c r="X368" s="46" t="s">
        <v>1991</v>
      </c>
      <c r="Y368" s="46" t="s">
        <v>1991</v>
      </c>
      <c r="Z368" s="46" t="s">
        <v>1991</v>
      </c>
      <c r="AA368" s="46" t="s">
        <v>1991</v>
      </c>
      <c r="AB368" s="46" t="s">
        <v>1991</v>
      </c>
      <c r="AC368" s="46" t="s">
        <v>1991</v>
      </c>
      <c r="AD368" s="46" t="s">
        <v>1991</v>
      </c>
      <c r="AE368" s="46" t="s">
        <v>1991</v>
      </c>
      <c r="AF368" s="46" t="s">
        <v>1991</v>
      </c>
      <c r="AG368" s="46" t="s">
        <v>1991</v>
      </c>
      <c r="AH368" s="46" t="s">
        <v>1991</v>
      </c>
      <c r="AI368" s="46" t="s">
        <v>1991</v>
      </c>
      <c r="AJ368" s="46" t="s">
        <v>1991</v>
      </c>
      <c r="AK368" s="46" t="s">
        <v>1991</v>
      </c>
      <c r="AL368" s="327"/>
      <c r="AM368" s="327" t="s">
        <v>1991</v>
      </c>
      <c r="AN368" s="327" t="s">
        <v>1991</v>
      </c>
      <c r="AO368" s="327" t="s">
        <v>1991</v>
      </c>
      <c r="AP368" s="327"/>
      <c r="AQ368" s="327"/>
      <c r="AR368" s="327"/>
      <c r="AS368" s="327" t="s">
        <v>1991</v>
      </c>
      <c r="AT368" s="327" t="s">
        <v>1991</v>
      </c>
      <c r="AU368" s="327"/>
      <c r="AV368" s="327"/>
      <c r="AW368" s="327"/>
      <c r="AX368" s="327"/>
      <c r="AY368" s="327"/>
      <c r="AZ368" s="327"/>
      <c r="BA368" s="327"/>
      <c r="BB368" s="46">
        <f t="shared" si="157"/>
        <v>14</v>
      </c>
      <c r="BC368" s="46">
        <f t="shared" si="164"/>
        <v>16</v>
      </c>
      <c r="BD368" s="46">
        <f t="shared" si="127"/>
        <v>5</v>
      </c>
      <c r="BE368" s="46">
        <f t="shared" si="158"/>
        <v>5</v>
      </c>
      <c r="BF368" s="296">
        <f t="shared" si="148"/>
        <v>30</v>
      </c>
      <c r="BG368" s="2"/>
      <c r="BH368" s="2"/>
      <c r="BI368" s="2"/>
      <c r="BJ368" s="2"/>
      <c r="BK368" s="279">
        <f t="shared" si="165"/>
        <v>1</v>
      </c>
      <c r="BL368" s="279">
        <f t="shared" si="159"/>
        <v>30</v>
      </c>
      <c r="BM368" s="279"/>
      <c r="BN368" s="279"/>
      <c r="BO368" s="2">
        <f t="shared" si="160"/>
        <v>30</v>
      </c>
      <c r="BP368" s="430"/>
      <c r="BQ368" s="431"/>
      <c r="BR368" s="2"/>
      <c r="BS368" s="25"/>
      <c r="BT368" s="348">
        <f t="shared" si="132"/>
        <v>1</v>
      </c>
      <c r="BU368" s="56"/>
      <c r="BV368" s="282">
        <f t="shared" si="161"/>
        <v>0</v>
      </c>
      <c r="BW368" s="379"/>
      <c r="BX368" s="269">
        <f t="shared" si="162"/>
        <v>0</v>
      </c>
      <c r="BY368" s="264"/>
      <c r="BZ368" s="264"/>
      <c r="CA368" s="264"/>
      <c r="CB368" s="264"/>
      <c r="CC368" s="264"/>
      <c r="CD368" s="14">
        <f t="shared" si="163"/>
        <v>-14</v>
      </c>
      <c r="CE368" s="14">
        <f t="shared" si="145"/>
        <v>30</v>
      </c>
      <c r="CF368" s="2">
        <f t="shared" si="142"/>
        <v>1</v>
      </c>
      <c r="CL368" s="349"/>
      <c r="CM368" s="349"/>
      <c r="CN368" s="349"/>
      <c r="CO368" s="349"/>
      <c r="CP368" s="349"/>
      <c r="CQ368" s="14"/>
    </row>
    <row r="369" spans="1:95" s="1" customFormat="1" ht="29.4" customHeight="1">
      <c r="A369" s="46">
        <v>14</v>
      </c>
      <c r="B369" s="363">
        <v>10</v>
      </c>
      <c r="C369" s="363">
        <v>399</v>
      </c>
      <c r="D369" s="362"/>
      <c r="E369" s="362"/>
      <c r="F369" s="363"/>
      <c r="G369" s="312" t="s">
        <v>1991</v>
      </c>
      <c r="H369" s="312" t="s">
        <v>1991</v>
      </c>
      <c r="I369" s="312" t="s">
        <v>1991</v>
      </c>
      <c r="J369" s="312"/>
      <c r="K369" s="312" t="s">
        <v>1991</v>
      </c>
      <c r="L369" s="312" t="s">
        <v>1991</v>
      </c>
      <c r="M369" s="312" t="s">
        <v>1991</v>
      </c>
      <c r="N369" s="312" t="s">
        <v>1991</v>
      </c>
      <c r="O369" s="312" t="s">
        <v>1991</v>
      </c>
      <c r="P369" s="312" t="s">
        <v>1991</v>
      </c>
      <c r="Q369" s="312" t="s">
        <v>1991</v>
      </c>
      <c r="R369" s="312" t="s">
        <v>1991</v>
      </c>
      <c r="S369" s="312" t="s">
        <v>1991</v>
      </c>
      <c r="T369" s="323" t="s">
        <v>1991</v>
      </c>
      <c r="U369" s="312" t="s">
        <v>1991</v>
      </c>
      <c r="V369" s="46" t="s">
        <v>1991</v>
      </c>
      <c r="W369" s="46" t="s">
        <v>1991</v>
      </c>
      <c r="X369" s="46" t="s">
        <v>1991</v>
      </c>
      <c r="Y369" s="46" t="s">
        <v>1991</v>
      </c>
      <c r="Z369" s="46" t="s">
        <v>1991</v>
      </c>
      <c r="AA369" s="46" t="s">
        <v>1991</v>
      </c>
      <c r="AB369" s="46" t="s">
        <v>1991</v>
      </c>
      <c r="AC369" s="46" t="s">
        <v>1991</v>
      </c>
      <c r="AD369" s="46" t="s">
        <v>1991</v>
      </c>
      <c r="AE369" s="46" t="s">
        <v>1991</v>
      </c>
      <c r="AF369" s="46" t="s">
        <v>1991</v>
      </c>
      <c r="AG369" s="46" t="s">
        <v>1991</v>
      </c>
      <c r="AH369" s="46" t="s">
        <v>1991</v>
      </c>
      <c r="AI369" s="46" t="s">
        <v>1991</v>
      </c>
      <c r="AJ369" s="46" t="s">
        <v>1991</v>
      </c>
      <c r="AK369" s="46" t="s">
        <v>1991</v>
      </c>
      <c r="AL369" s="327"/>
      <c r="AM369" s="327" t="s">
        <v>1991</v>
      </c>
      <c r="AN369" s="327" t="s">
        <v>1991</v>
      </c>
      <c r="AO369" s="327" t="s">
        <v>1991</v>
      </c>
      <c r="AP369" s="327"/>
      <c r="AQ369" s="327"/>
      <c r="AR369" s="327"/>
      <c r="AS369" s="327" t="s">
        <v>1991</v>
      </c>
      <c r="AT369" s="327" t="s">
        <v>1991</v>
      </c>
      <c r="AU369" s="327"/>
      <c r="AV369" s="327"/>
      <c r="AW369" s="327"/>
      <c r="AX369" s="327"/>
      <c r="AY369" s="327"/>
      <c r="AZ369" s="327"/>
      <c r="BA369" s="327"/>
      <c r="BB369" s="46">
        <f t="shared" si="157"/>
        <v>14</v>
      </c>
      <c r="BC369" s="46">
        <f t="shared" si="164"/>
        <v>16</v>
      </c>
      <c r="BD369" s="46">
        <f t="shared" si="127"/>
        <v>5</v>
      </c>
      <c r="BE369" s="46">
        <f t="shared" si="158"/>
        <v>5</v>
      </c>
      <c r="BF369" s="296">
        <f t="shared" si="148"/>
        <v>30</v>
      </c>
      <c r="BG369" s="2"/>
      <c r="BH369" s="2"/>
      <c r="BI369" s="2"/>
      <c r="BJ369" s="2"/>
      <c r="BK369" s="279">
        <f t="shared" si="165"/>
        <v>1</v>
      </c>
      <c r="BL369" s="279">
        <f t="shared" si="159"/>
        <v>30</v>
      </c>
      <c r="BM369" s="279"/>
      <c r="BN369" s="279"/>
      <c r="BO369" s="2">
        <f t="shared" si="160"/>
        <v>30</v>
      </c>
      <c r="BP369" s="430"/>
      <c r="BQ369" s="431"/>
      <c r="BR369" s="2"/>
      <c r="BS369" s="25"/>
      <c r="BT369" s="348">
        <f t="shared" si="132"/>
        <v>1</v>
      </c>
      <c r="BU369" s="56"/>
      <c r="BV369" s="282">
        <f t="shared" si="161"/>
        <v>0</v>
      </c>
      <c r="BW369" s="379"/>
      <c r="BX369" s="269">
        <f t="shared" si="162"/>
        <v>0</v>
      </c>
      <c r="BY369" s="264"/>
      <c r="BZ369" s="264"/>
      <c r="CA369" s="264"/>
      <c r="CB369" s="264"/>
      <c r="CC369" s="264"/>
      <c r="CD369" s="14">
        <f t="shared" si="163"/>
        <v>-14</v>
      </c>
      <c r="CE369" s="14">
        <f t="shared" si="145"/>
        <v>30</v>
      </c>
      <c r="CF369" s="2">
        <f t="shared" si="142"/>
        <v>1</v>
      </c>
      <c r="CL369" s="349"/>
      <c r="CM369" s="349"/>
      <c r="CN369" s="349"/>
      <c r="CO369" s="349"/>
      <c r="CP369" s="349"/>
      <c r="CQ369" s="14"/>
    </row>
    <row r="370" spans="1:95" s="1" customFormat="1" ht="29.4" customHeight="1">
      <c r="A370" s="46">
        <v>15</v>
      </c>
      <c r="B370" s="363">
        <v>10</v>
      </c>
      <c r="C370" s="363">
        <v>400</v>
      </c>
      <c r="D370" s="362"/>
      <c r="E370" s="362"/>
      <c r="F370" s="363"/>
      <c r="G370" s="312" t="s">
        <v>1991</v>
      </c>
      <c r="H370" s="312" t="s">
        <v>1991</v>
      </c>
      <c r="I370" s="312" t="s">
        <v>1991</v>
      </c>
      <c r="J370" s="312"/>
      <c r="K370" s="312" t="s">
        <v>1991</v>
      </c>
      <c r="L370" s="312" t="s">
        <v>1991</v>
      </c>
      <c r="M370" s="312" t="s">
        <v>1991</v>
      </c>
      <c r="N370" s="312" t="s">
        <v>1991</v>
      </c>
      <c r="O370" s="312" t="s">
        <v>1991</v>
      </c>
      <c r="P370" s="312" t="s">
        <v>1991</v>
      </c>
      <c r="Q370" s="312" t="s">
        <v>1991</v>
      </c>
      <c r="R370" s="312" t="s">
        <v>1991</v>
      </c>
      <c r="S370" s="312" t="s">
        <v>1991</v>
      </c>
      <c r="T370" s="323" t="s">
        <v>1991</v>
      </c>
      <c r="U370" s="312" t="s">
        <v>1991</v>
      </c>
      <c r="V370" s="46" t="s">
        <v>1991</v>
      </c>
      <c r="W370" s="46" t="s">
        <v>1991</v>
      </c>
      <c r="X370" s="46" t="s">
        <v>1991</v>
      </c>
      <c r="Y370" s="46" t="s">
        <v>1991</v>
      </c>
      <c r="Z370" s="46" t="s">
        <v>1991</v>
      </c>
      <c r="AA370" s="46" t="s">
        <v>1991</v>
      </c>
      <c r="AB370" s="46" t="s">
        <v>1991</v>
      </c>
      <c r="AC370" s="46" t="s">
        <v>1991</v>
      </c>
      <c r="AD370" s="46" t="s">
        <v>1991</v>
      </c>
      <c r="AE370" s="46" t="s">
        <v>1991</v>
      </c>
      <c r="AF370" s="46" t="s">
        <v>1991</v>
      </c>
      <c r="AG370" s="46" t="s">
        <v>1991</v>
      </c>
      <c r="AH370" s="46" t="s">
        <v>1991</v>
      </c>
      <c r="AI370" s="46" t="s">
        <v>1991</v>
      </c>
      <c r="AJ370" s="46" t="s">
        <v>1991</v>
      </c>
      <c r="AK370" s="46" t="s">
        <v>1991</v>
      </c>
      <c r="AL370" s="327"/>
      <c r="AM370" s="327" t="s">
        <v>1991</v>
      </c>
      <c r="AN370" s="327" t="s">
        <v>1991</v>
      </c>
      <c r="AO370" s="327" t="s">
        <v>1991</v>
      </c>
      <c r="AP370" s="327"/>
      <c r="AQ370" s="327"/>
      <c r="AR370" s="327"/>
      <c r="AS370" s="327" t="s">
        <v>1991</v>
      </c>
      <c r="AT370" s="327" t="s">
        <v>1991</v>
      </c>
      <c r="AU370" s="327"/>
      <c r="AV370" s="327"/>
      <c r="AW370" s="327"/>
      <c r="AX370" s="327"/>
      <c r="AY370" s="327"/>
      <c r="AZ370" s="327"/>
      <c r="BA370" s="327"/>
      <c r="BB370" s="46">
        <f t="shared" si="157"/>
        <v>14</v>
      </c>
      <c r="BC370" s="46">
        <f t="shared" si="164"/>
        <v>16</v>
      </c>
      <c r="BD370" s="46">
        <f t="shared" si="127"/>
        <v>5</v>
      </c>
      <c r="BE370" s="46">
        <f t="shared" si="158"/>
        <v>5</v>
      </c>
      <c r="BF370" s="296">
        <f t="shared" si="148"/>
        <v>30</v>
      </c>
      <c r="BG370" s="2"/>
      <c r="BH370" s="2"/>
      <c r="BI370" s="2"/>
      <c r="BJ370" s="2"/>
      <c r="BK370" s="279">
        <f t="shared" si="165"/>
        <v>1</v>
      </c>
      <c r="BL370" s="279">
        <f t="shared" si="159"/>
        <v>30</v>
      </c>
      <c r="BM370" s="279"/>
      <c r="BN370" s="279"/>
      <c r="BO370" s="2">
        <f t="shared" si="160"/>
        <v>30</v>
      </c>
      <c r="BP370" s="430"/>
      <c r="BQ370" s="431"/>
      <c r="BR370" s="2"/>
      <c r="BS370" s="25"/>
      <c r="BT370" s="348">
        <f t="shared" si="132"/>
        <v>1</v>
      </c>
      <c r="BU370" s="56"/>
      <c r="BV370" s="282">
        <f t="shared" si="161"/>
        <v>0</v>
      </c>
      <c r="BW370" s="379"/>
      <c r="BX370" s="269">
        <f t="shared" si="162"/>
        <v>0</v>
      </c>
      <c r="BY370" s="264"/>
      <c r="BZ370" s="264"/>
      <c r="CA370" s="264"/>
      <c r="CB370" s="264"/>
      <c r="CC370" s="264"/>
      <c r="CD370" s="14">
        <f t="shared" si="163"/>
        <v>-14</v>
      </c>
      <c r="CE370" s="14">
        <f t="shared" si="145"/>
        <v>30</v>
      </c>
      <c r="CF370" s="2">
        <f t="shared" si="142"/>
        <v>1</v>
      </c>
      <c r="CL370" s="349"/>
      <c r="CM370" s="349"/>
      <c r="CN370" s="349"/>
      <c r="CO370" s="349"/>
      <c r="CP370" s="349"/>
      <c r="CQ370" s="14"/>
    </row>
    <row r="371" spans="1:95" s="1" customFormat="1" ht="29.4" customHeight="1">
      <c r="A371" s="46">
        <v>16</v>
      </c>
      <c r="B371" s="363">
        <v>10</v>
      </c>
      <c r="C371" s="363">
        <v>401</v>
      </c>
      <c r="D371" s="362"/>
      <c r="E371" s="362"/>
      <c r="F371" s="363"/>
      <c r="G371" s="312" t="s">
        <v>1991</v>
      </c>
      <c r="H371" s="312" t="s">
        <v>1991</v>
      </c>
      <c r="I371" s="312" t="s">
        <v>1991</v>
      </c>
      <c r="J371" s="312"/>
      <c r="K371" s="312" t="s">
        <v>1991</v>
      </c>
      <c r="L371" s="312" t="s">
        <v>1991</v>
      </c>
      <c r="M371" s="312">
        <v>0</v>
      </c>
      <c r="N371" s="312" t="s">
        <v>1991</v>
      </c>
      <c r="O371" s="312" t="s">
        <v>1991</v>
      </c>
      <c r="P371" s="312" t="s">
        <v>1991</v>
      </c>
      <c r="Q371" s="312" t="s">
        <v>1991</v>
      </c>
      <c r="R371" s="312">
        <v>0</v>
      </c>
      <c r="S371" s="312" t="s">
        <v>1991</v>
      </c>
      <c r="T371" s="323" t="s">
        <v>1991</v>
      </c>
      <c r="U371" s="312" t="s">
        <v>1991</v>
      </c>
      <c r="V371" s="46" t="s">
        <v>1991</v>
      </c>
      <c r="W371" s="46" t="s">
        <v>1991</v>
      </c>
      <c r="X371" s="46" t="s">
        <v>1991</v>
      </c>
      <c r="Y371" s="46" t="s">
        <v>1991</v>
      </c>
      <c r="Z371" s="46">
        <v>0</v>
      </c>
      <c r="AA371" s="46" t="s">
        <v>1991</v>
      </c>
      <c r="AB371" s="46" t="s">
        <v>1991</v>
      </c>
      <c r="AC371" s="46" t="s">
        <v>1991</v>
      </c>
      <c r="AD371" s="46">
        <v>0</v>
      </c>
      <c r="AE371" s="46" t="s">
        <v>1991</v>
      </c>
      <c r="AF371" s="46" t="s">
        <v>1991</v>
      </c>
      <c r="AG371" s="46">
        <v>0</v>
      </c>
      <c r="AH371" s="46" t="s">
        <v>1991</v>
      </c>
      <c r="AI371" s="46" t="s">
        <v>1991</v>
      </c>
      <c r="AJ371" s="46" t="s">
        <v>1991</v>
      </c>
      <c r="AK371" s="46" t="s">
        <v>1991</v>
      </c>
      <c r="AL371" s="327"/>
      <c r="AM371" s="327">
        <v>0</v>
      </c>
      <c r="AN371" s="327" t="s">
        <v>1991</v>
      </c>
      <c r="AO371" s="327" t="s">
        <v>1991</v>
      </c>
      <c r="AP371" s="327"/>
      <c r="AQ371" s="327"/>
      <c r="AR371" s="327"/>
      <c r="AS371" s="327" t="s">
        <v>1991</v>
      </c>
      <c r="AT371" s="327">
        <v>0</v>
      </c>
      <c r="AU371" s="327"/>
      <c r="AV371" s="327"/>
      <c r="AW371" s="327"/>
      <c r="AX371" s="327"/>
      <c r="AY371" s="327"/>
      <c r="AZ371" s="327"/>
      <c r="BA371" s="327"/>
      <c r="BB371" s="46">
        <f t="shared" si="157"/>
        <v>12</v>
      </c>
      <c r="BC371" s="46">
        <f t="shared" si="164"/>
        <v>13</v>
      </c>
      <c r="BD371" s="46">
        <f t="shared" si="127"/>
        <v>3</v>
      </c>
      <c r="BE371" s="46">
        <f t="shared" si="158"/>
        <v>3</v>
      </c>
      <c r="BF371" s="296">
        <f t="shared" si="148"/>
        <v>25</v>
      </c>
      <c r="BG371" s="2"/>
      <c r="BH371" s="2"/>
      <c r="BI371" s="2"/>
      <c r="BJ371" s="2"/>
      <c r="BK371" s="279">
        <f t="shared" si="165"/>
        <v>0</v>
      </c>
      <c r="BL371" s="279">
        <f t="shared" si="159"/>
        <v>25</v>
      </c>
      <c r="BM371" s="279"/>
      <c r="BN371" s="279"/>
      <c r="BO371" s="2">
        <f t="shared" si="160"/>
        <v>0</v>
      </c>
      <c r="BP371" s="430"/>
      <c r="BQ371" s="431"/>
      <c r="BR371" s="2"/>
      <c r="BS371" s="25"/>
      <c r="BT371" s="348">
        <f t="shared" si="132"/>
        <v>0</v>
      </c>
      <c r="BU371" s="56"/>
      <c r="BV371" s="282">
        <f t="shared" si="161"/>
        <v>0</v>
      </c>
      <c r="BW371" s="379"/>
      <c r="BX371" s="269">
        <f t="shared" si="162"/>
        <v>0</v>
      </c>
      <c r="BY371" s="264"/>
      <c r="BZ371" s="264"/>
      <c r="CA371" s="264"/>
      <c r="CB371" s="264"/>
      <c r="CC371" s="264"/>
      <c r="CD371" s="14">
        <f t="shared" si="163"/>
        <v>-12</v>
      </c>
      <c r="CE371" s="14">
        <f t="shared" si="145"/>
        <v>0</v>
      </c>
      <c r="CF371" s="2">
        <f t="shared" si="142"/>
        <v>0</v>
      </c>
      <c r="CL371" s="349"/>
      <c r="CM371" s="349"/>
      <c r="CN371" s="349"/>
      <c r="CO371" s="349"/>
      <c r="CP371" s="349"/>
      <c r="CQ371" s="14"/>
    </row>
    <row r="372" spans="1:95" s="1" customFormat="1" ht="29.4" customHeight="1">
      <c r="A372" s="46">
        <v>17</v>
      </c>
      <c r="B372" s="363">
        <v>10</v>
      </c>
      <c r="C372" s="363">
        <v>402</v>
      </c>
      <c r="D372" s="362"/>
      <c r="E372" s="362"/>
      <c r="F372" s="363"/>
      <c r="G372" s="312" t="s">
        <v>1991</v>
      </c>
      <c r="H372" s="312" t="s">
        <v>1991</v>
      </c>
      <c r="I372" s="312" t="s">
        <v>1991</v>
      </c>
      <c r="J372" s="312"/>
      <c r="K372" s="312" t="s">
        <v>1991</v>
      </c>
      <c r="L372" s="312" t="s">
        <v>1991</v>
      </c>
      <c r="M372" s="312" t="s">
        <v>1991</v>
      </c>
      <c r="N372" s="312" t="s">
        <v>1991</v>
      </c>
      <c r="O372" s="312" t="s">
        <v>1991</v>
      </c>
      <c r="P372" s="312">
        <v>0</v>
      </c>
      <c r="Q372" s="312" t="s">
        <v>1991</v>
      </c>
      <c r="R372" s="312" t="s">
        <v>1991</v>
      </c>
      <c r="S372" s="312" t="s">
        <v>1991</v>
      </c>
      <c r="T372" s="323" t="s">
        <v>1991</v>
      </c>
      <c r="U372" s="312" t="s">
        <v>1991</v>
      </c>
      <c r="V372" s="46" t="s">
        <v>1991</v>
      </c>
      <c r="W372" s="46" t="s">
        <v>1991</v>
      </c>
      <c r="X372" s="46" t="s">
        <v>1991</v>
      </c>
      <c r="Y372" s="46" t="s">
        <v>1991</v>
      </c>
      <c r="Z372" s="46" t="s">
        <v>1991</v>
      </c>
      <c r="AA372" s="46" t="s">
        <v>1991</v>
      </c>
      <c r="AB372" s="46" t="s">
        <v>1991</v>
      </c>
      <c r="AC372" s="46" t="s">
        <v>1991</v>
      </c>
      <c r="AD372" s="46" t="s">
        <v>1991</v>
      </c>
      <c r="AE372" s="46" t="s">
        <v>1991</v>
      </c>
      <c r="AF372" s="46" t="s">
        <v>1991</v>
      </c>
      <c r="AG372" s="46" t="s">
        <v>1991</v>
      </c>
      <c r="AH372" s="46" t="s">
        <v>1991</v>
      </c>
      <c r="AI372" s="46" t="s">
        <v>1991</v>
      </c>
      <c r="AJ372" s="46" t="s">
        <v>1991</v>
      </c>
      <c r="AK372" s="46" t="s">
        <v>1991</v>
      </c>
      <c r="AL372" s="327"/>
      <c r="AM372" s="327" t="s">
        <v>1991</v>
      </c>
      <c r="AN372" s="327" t="s">
        <v>1991</v>
      </c>
      <c r="AO372" s="327" t="s">
        <v>1991</v>
      </c>
      <c r="AP372" s="327"/>
      <c r="AQ372" s="327"/>
      <c r="AR372" s="327"/>
      <c r="AS372" s="327" t="s">
        <v>1991</v>
      </c>
      <c r="AT372" s="327" t="s">
        <v>1991</v>
      </c>
      <c r="AU372" s="327"/>
      <c r="AV372" s="327"/>
      <c r="AW372" s="327"/>
      <c r="AX372" s="327"/>
      <c r="AY372" s="327"/>
      <c r="AZ372" s="327"/>
      <c r="BA372" s="327"/>
      <c r="BB372" s="46">
        <f t="shared" si="157"/>
        <v>13</v>
      </c>
      <c r="BC372" s="46">
        <f t="shared" si="164"/>
        <v>16</v>
      </c>
      <c r="BD372" s="46">
        <f t="shared" si="127"/>
        <v>5</v>
      </c>
      <c r="BE372" s="46">
        <f t="shared" si="158"/>
        <v>5</v>
      </c>
      <c r="BF372" s="296">
        <f t="shared" si="148"/>
        <v>29</v>
      </c>
      <c r="BG372" s="2"/>
      <c r="BH372" s="2"/>
      <c r="BI372" s="2"/>
      <c r="BJ372" s="2"/>
      <c r="BK372" s="279">
        <f t="shared" si="165"/>
        <v>1</v>
      </c>
      <c r="BL372" s="279">
        <f t="shared" si="159"/>
        <v>29</v>
      </c>
      <c r="BM372" s="279"/>
      <c r="BN372" s="279"/>
      <c r="BO372" s="2">
        <f t="shared" si="160"/>
        <v>29</v>
      </c>
      <c r="BP372" s="430"/>
      <c r="BQ372" s="431"/>
      <c r="BR372" s="2"/>
      <c r="BS372" s="25"/>
      <c r="BT372" s="348">
        <f t="shared" si="132"/>
        <v>1</v>
      </c>
      <c r="BU372" s="56"/>
      <c r="BV372" s="282">
        <f t="shared" si="161"/>
        <v>0</v>
      </c>
      <c r="BW372" s="379"/>
      <c r="BX372" s="269">
        <f t="shared" si="162"/>
        <v>0</v>
      </c>
      <c r="BY372" s="264"/>
      <c r="BZ372" s="264"/>
      <c r="CA372" s="264"/>
      <c r="CB372" s="264"/>
      <c r="CC372" s="264"/>
      <c r="CD372" s="14">
        <f t="shared" si="163"/>
        <v>-13</v>
      </c>
      <c r="CE372" s="14">
        <f t="shared" si="145"/>
        <v>29</v>
      </c>
      <c r="CF372" s="2">
        <f t="shared" si="142"/>
        <v>1</v>
      </c>
      <c r="CL372" s="349"/>
      <c r="CM372" s="349"/>
      <c r="CN372" s="349"/>
      <c r="CO372" s="349"/>
      <c r="CP372" s="349"/>
      <c r="CQ372" s="14"/>
    </row>
    <row r="373" spans="1:95" s="1" customFormat="1" ht="29.4" customHeight="1">
      <c r="A373" s="46">
        <v>18</v>
      </c>
      <c r="B373" s="363">
        <v>10</v>
      </c>
      <c r="C373" s="363">
        <v>403</v>
      </c>
      <c r="D373" s="362"/>
      <c r="E373" s="362"/>
      <c r="F373" s="363"/>
      <c r="G373" s="312" t="s">
        <v>1991</v>
      </c>
      <c r="H373" s="312" t="s">
        <v>1991</v>
      </c>
      <c r="I373" s="312" t="s">
        <v>1991</v>
      </c>
      <c r="J373" s="312"/>
      <c r="K373" s="312" t="s">
        <v>1991</v>
      </c>
      <c r="L373" s="312" t="s">
        <v>1991</v>
      </c>
      <c r="M373" s="312" t="s">
        <v>1991</v>
      </c>
      <c r="N373" s="312" t="s">
        <v>1991</v>
      </c>
      <c r="O373" s="312" t="s">
        <v>1991</v>
      </c>
      <c r="P373" s="312" t="s">
        <v>1991</v>
      </c>
      <c r="Q373" s="312" t="s">
        <v>1991</v>
      </c>
      <c r="R373" s="312" t="s">
        <v>1991</v>
      </c>
      <c r="S373" s="312" t="s">
        <v>1991</v>
      </c>
      <c r="T373" s="323" t="s">
        <v>1991</v>
      </c>
      <c r="U373" s="312" t="s">
        <v>1991</v>
      </c>
      <c r="V373" s="46" t="s">
        <v>1991</v>
      </c>
      <c r="W373" s="46" t="s">
        <v>1991</v>
      </c>
      <c r="X373" s="46" t="s">
        <v>1991</v>
      </c>
      <c r="Y373" s="46" t="s">
        <v>1991</v>
      </c>
      <c r="Z373" s="46" t="s">
        <v>1991</v>
      </c>
      <c r="AA373" s="46" t="s">
        <v>1991</v>
      </c>
      <c r="AB373" s="46" t="s">
        <v>1991</v>
      </c>
      <c r="AC373" s="46" t="s">
        <v>1991</v>
      </c>
      <c r="AD373" s="46" t="s">
        <v>1991</v>
      </c>
      <c r="AE373" s="46">
        <v>0</v>
      </c>
      <c r="AF373" s="46" t="s">
        <v>1991</v>
      </c>
      <c r="AG373" s="46" t="s">
        <v>1991</v>
      </c>
      <c r="AH373" s="46" t="s">
        <v>1991</v>
      </c>
      <c r="AI373" s="46" t="s">
        <v>1991</v>
      </c>
      <c r="AJ373" s="46" t="s">
        <v>1991</v>
      </c>
      <c r="AK373" s="46" t="s">
        <v>1991</v>
      </c>
      <c r="AL373" s="327"/>
      <c r="AM373" s="327" t="s">
        <v>1991</v>
      </c>
      <c r="AN373" s="327" t="s">
        <v>1991</v>
      </c>
      <c r="AO373" s="327" t="s">
        <v>1991</v>
      </c>
      <c r="AP373" s="327"/>
      <c r="AQ373" s="327"/>
      <c r="AR373" s="327"/>
      <c r="AS373" s="327" t="s">
        <v>1991</v>
      </c>
      <c r="AT373" s="327" t="s">
        <v>1991</v>
      </c>
      <c r="AU373" s="327"/>
      <c r="AV373" s="327"/>
      <c r="AW373" s="327"/>
      <c r="AX373" s="327"/>
      <c r="AY373" s="327"/>
      <c r="AZ373" s="327"/>
      <c r="BA373" s="327"/>
      <c r="BB373" s="46">
        <f t="shared" si="157"/>
        <v>14</v>
      </c>
      <c r="BC373" s="46">
        <f t="shared" si="164"/>
        <v>15</v>
      </c>
      <c r="BD373" s="46">
        <f t="shared" si="127"/>
        <v>5</v>
      </c>
      <c r="BE373" s="46">
        <f t="shared" si="158"/>
        <v>5</v>
      </c>
      <c r="BF373" s="296">
        <f t="shared" si="148"/>
        <v>29</v>
      </c>
      <c r="BG373" s="2"/>
      <c r="BH373" s="2"/>
      <c r="BI373" s="2"/>
      <c r="BJ373" s="2"/>
      <c r="BK373" s="279">
        <f t="shared" si="165"/>
        <v>1</v>
      </c>
      <c r="BL373" s="279">
        <f t="shared" si="159"/>
        <v>29</v>
      </c>
      <c r="BM373" s="279"/>
      <c r="BN373" s="279"/>
      <c r="BO373" s="2">
        <f t="shared" si="160"/>
        <v>29</v>
      </c>
      <c r="BP373" s="430"/>
      <c r="BQ373" s="431"/>
      <c r="BR373" s="2"/>
      <c r="BS373" s="25"/>
      <c r="BT373" s="348">
        <f t="shared" si="132"/>
        <v>1</v>
      </c>
      <c r="BU373" s="56"/>
      <c r="BV373" s="282">
        <f t="shared" si="161"/>
        <v>0</v>
      </c>
      <c r="BW373" s="379"/>
      <c r="BX373" s="269">
        <f t="shared" si="162"/>
        <v>0</v>
      </c>
      <c r="BY373" s="264"/>
      <c r="BZ373" s="264"/>
      <c r="CA373" s="264"/>
      <c r="CB373" s="264"/>
      <c r="CC373" s="264"/>
      <c r="CD373" s="14">
        <f t="shared" si="163"/>
        <v>-14</v>
      </c>
      <c r="CE373" s="14">
        <f t="shared" si="145"/>
        <v>29</v>
      </c>
      <c r="CF373" s="2">
        <f t="shared" si="142"/>
        <v>1</v>
      </c>
      <c r="CL373" s="349"/>
      <c r="CM373" s="349"/>
      <c r="CN373" s="349"/>
      <c r="CO373" s="349"/>
      <c r="CP373" s="349"/>
      <c r="CQ373" s="14"/>
    </row>
    <row r="374" spans="1:95" s="1" customFormat="1" ht="29.4" customHeight="1">
      <c r="A374" s="46">
        <v>19</v>
      </c>
      <c r="B374" s="363">
        <v>10</v>
      </c>
      <c r="C374" s="363">
        <v>404</v>
      </c>
      <c r="D374" s="362"/>
      <c r="E374" s="362"/>
      <c r="F374" s="363"/>
      <c r="G374" s="312" t="s">
        <v>1991</v>
      </c>
      <c r="H374" s="312" t="s">
        <v>1991</v>
      </c>
      <c r="I374" s="312" t="s">
        <v>1991</v>
      </c>
      <c r="J374" s="312"/>
      <c r="K374" s="312" t="s">
        <v>1991</v>
      </c>
      <c r="L374" s="312" t="s">
        <v>1991</v>
      </c>
      <c r="M374" s="312" t="s">
        <v>1991</v>
      </c>
      <c r="N374" s="312" t="s">
        <v>1991</v>
      </c>
      <c r="O374" s="312" t="s">
        <v>1991</v>
      </c>
      <c r="P374" s="312" t="s">
        <v>1991</v>
      </c>
      <c r="Q374" s="312" t="s">
        <v>1991</v>
      </c>
      <c r="R374" s="312" t="s">
        <v>1991</v>
      </c>
      <c r="S374" s="312" t="s">
        <v>1991</v>
      </c>
      <c r="T374" s="323" t="s">
        <v>1991</v>
      </c>
      <c r="U374" s="312" t="s">
        <v>1991</v>
      </c>
      <c r="V374" s="46" t="s">
        <v>1991</v>
      </c>
      <c r="W374" s="46" t="s">
        <v>1991</v>
      </c>
      <c r="X374" s="46" t="s">
        <v>1991</v>
      </c>
      <c r="Y374" s="46" t="s">
        <v>1991</v>
      </c>
      <c r="Z374" s="46" t="s">
        <v>1991</v>
      </c>
      <c r="AA374" s="46" t="s">
        <v>1991</v>
      </c>
      <c r="AB374" s="46" t="s">
        <v>1991</v>
      </c>
      <c r="AC374" s="46" t="s">
        <v>1991</v>
      </c>
      <c r="AD374" s="46" t="s">
        <v>1991</v>
      </c>
      <c r="AE374" s="46" t="s">
        <v>1991</v>
      </c>
      <c r="AF374" s="46" t="s">
        <v>1991</v>
      </c>
      <c r="AG374" s="46" t="s">
        <v>1991</v>
      </c>
      <c r="AH374" s="46" t="s">
        <v>1991</v>
      </c>
      <c r="AI374" s="46" t="s">
        <v>1991</v>
      </c>
      <c r="AJ374" s="46" t="s">
        <v>1991</v>
      </c>
      <c r="AK374" s="46" t="s">
        <v>1991</v>
      </c>
      <c r="AL374" s="327"/>
      <c r="AM374" s="327" t="s">
        <v>1991</v>
      </c>
      <c r="AN374" s="327" t="s">
        <v>1991</v>
      </c>
      <c r="AO374" s="327" t="s">
        <v>1991</v>
      </c>
      <c r="AP374" s="327"/>
      <c r="AQ374" s="327"/>
      <c r="AR374" s="327"/>
      <c r="AS374" s="327">
        <v>0</v>
      </c>
      <c r="AT374" s="327" t="s">
        <v>1991</v>
      </c>
      <c r="AU374" s="327"/>
      <c r="AV374" s="327"/>
      <c r="AW374" s="327"/>
      <c r="AX374" s="327"/>
      <c r="AY374" s="327"/>
      <c r="AZ374" s="327"/>
      <c r="BA374" s="327"/>
      <c r="BB374" s="46">
        <f t="shared" si="157"/>
        <v>14</v>
      </c>
      <c r="BC374" s="46">
        <f t="shared" si="164"/>
        <v>16</v>
      </c>
      <c r="BD374" s="46">
        <f t="shared" si="127"/>
        <v>4</v>
      </c>
      <c r="BE374" s="46">
        <f t="shared" si="158"/>
        <v>4</v>
      </c>
      <c r="BF374" s="296">
        <f t="shared" si="148"/>
        <v>30</v>
      </c>
      <c r="BG374" s="2"/>
      <c r="BH374" s="2"/>
      <c r="BI374" s="2"/>
      <c r="BJ374" s="2"/>
      <c r="BK374" s="279">
        <f t="shared" si="165"/>
        <v>1</v>
      </c>
      <c r="BL374" s="279">
        <f t="shared" si="159"/>
        <v>30</v>
      </c>
      <c r="BM374" s="279"/>
      <c r="BN374" s="279"/>
      <c r="BO374" s="2">
        <f t="shared" si="160"/>
        <v>30</v>
      </c>
      <c r="BP374" s="430"/>
      <c r="BQ374" s="431"/>
      <c r="BR374" s="2"/>
      <c r="BS374" s="25"/>
      <c r="BT374" s="348">
        <f t="shared" si="132"/>
        <v>1</v>
      </c>
      <c r="BU374" s="56"/>
      <c r="BV374" s="282">
        <f t="shared" si="161"/>
        <v>0</v>
      </c>
      <c r="BW374" s="379"/>
      <c r="BX374" s="269">
        <f t="shared" si="162"/>
        <v>0</v>
      </c>
      <c r="BY374" s="264"/>
      <c r="BZ374" s="264"/>
      <c r="CA374" s="264"/>
      <c r="CB374" s="264"/>
      <c r="CC374" s="264"/>
      <c r="CD374" s="14">
        <f t="shared" si="163"/>
        <v>-14</v>
      </c>
      <c r="CE374" s="14">
        <f t="shared" si="145"/>
        <v>30</v>
      </c>
      <c r="CF374" s="2">
        <f t="shared" si="142"/>
        <v>1</v>
      </c>
      <c r="CL374" s="349"/>
      <c r="CM374" s="349"/>
      <c r="CN374" s="349"/>
      <c r="CO374" s="349"/>
      <c r="CP374" s="349"/>
      <c r="CQ374" s="14"/>
    </row>
    <row r="375" spans="1:95" s="1" customFormat="1" ht="29.4" customHeight="1">
      <c r="A375" s="46">
        <v>20</v>
      </c>
      <c r="B375" s="363">
        <v>10</v>
      </c>
      <c r="C375" s="363">
        <v>405</v>
      </c>
      <c r="D375" s="362"/>
      <c r="E375" s="362"/>
      <c r="F375" s="363"/>
      <c r="G375" s="312" t="s">
        <v>1991</v>
      </c>
      <c r="H375" s="312" t="s">
        <v>1991</v>
      </c>
      <c r="I375" s="312">
        <v>0</v>
      </c>
      <c r="J375" s="312"/>
      <c r="K375" s="312" t="s">
        <v>1991</v>
      </c>
      <c r="L375" s="312" t="s">
        <v>1991</v>
      </c>
      <c r="M375" s="312" t="s">
        <v>1991</v>
      </c>
      <c r="N375" s="312" t="s">
        <v>1991</v>
      </c>
      <c r="O375" s="312" t="s">
        <v>1991</v>
      </c>
      <c r="P375" s="312">
        <v>0</v>
      </c>
      <c r="Q375" s="312" t="s">
        <v>1991</v>
      </c>
      <c r="R375" s="312" t="s">
        <v>1991</v>
      </c>
      <c r="S375" s="312" t="s">
        <v>1991</v>
      </c>
      <c r="T375" s="323" t="s">
        <v>1991</v>
      </c>
      <c r="U375" s="312" t="s">
        <v>1991</v>
      </c>
      <c r="V375" s="46" t="s">
        <v>1991</v>
      </c>
      <c r="W375" s="46" t="s">
        <v>1991</v>
      </c>
      <c r="X375" s="46" t="s">
        <v>1991</v>
      </c>
      <c r="Y375" s="46" t="s">
        <v>1991</v>
      </c>
      <c r="Z375" s="46" t="s">
        <v>1991</v>
      </c>
      <c r="AA375" s="46" t="s">
        <v>1991</v>
      </c>
      <c r="AB375" s="46" t="s">
        <v>1991</v>
      </c>
      <c r="AC375" s="46" t="s">
        <v>1991</v>
      </c>
      <c r="AD375" s="46" t="s">
        <v>1991</v>
      </c>
      <c r="AE375" s="46" t="s">
        <v>1991</v>
      </c>
      <c r="AF375" s="46" t="s">
        <v>1991</v>
      </c>
      <c r="AG375" s="46" t="s">
        <v>1991</v>
      </c>
      <c r="AH375" s="46" t="s">
        <v>1991</v>
      </c>
      <c r="AI375" s="46" t="s">
        <v>1991</v>
      </c>
      <c r="AJ375" s="46" t="s">
        <v>1991</v>
      </c>
      <c r="AK375" s="46" t="s">
        <v>1991</v>
      </c>
      <c r="AL375" s="327"/>
      <c r="AM375" s="327" t="s">
        <v>1991</v>
      </c>
      <c r="AN375" s="327" t="s">
        <v>1991</v>
      </c>
      <c r="AO375" s="327">
        <v>0</v>
      </c>
      <c r="AP375" s="327"/>
      <c r="AQ375" s="327"/>
      <c r="AR375" s="327"/>
      <c r="AS375" s="327">
        <v>0</v>
      </c>
      <c r="AT375" s="327">
        <v>0</v>
      </c>
      <c r="AU375" s="327"/>
      <c r="AV375" s="327"/>
      <c r="AW375" s="327"/>
      <c r="AX375" s="327"/>
      <c r="AY375" s="327"/>
      <c r="AZ375" s="327"/>
      <c r="BA375" s="327"/>
      <c r="BB375" s="46">
        <f t="shared" si="157"/>
        <v>12</v>
      </c>
      <c r="BC375" s="46">
        <f t="shared" si="164"/>
        <v>16</v>
      </c>
      <c r="BD375" s="46">
        <f t="shared" si="127"/>
        <v>2</v>
      </c>
      <c r="BE375" s="46">
        <f t="shared" si="158"/>
        <v>2</v>
      </c>
      <c r="BF375" s="296">
        <f t="shared" si="148"/>
        <v>28</v>
      </c>
      <c r="BG375" s="2"/>
      <c r="BH375" s="2"/>
      <c r="BI375" s="2"/>
      <c r="BJ375" s="2"/>
      <c r="BK375" s="279">
        <f t="shared" si="165"/>
        <v>1</v>
      </c>
      <c r="BL375" s="279">
        <f t="shared" si="159"/>
        <v>28</v>
      </c>
      <c r="BM375" s="279"/>
      <c r="BN375" s="279"/>
      <c r="BO375" s="2">
        <f t="shared" si="160"/>
        <v>28</v>
      </c>
      <c r="BP375" s="430"/>
      <c r="BQ375" s="431"/>
      <c r="BR375" s="2"/>
      <c r="BS375" s="25"/>
      <c r="BT375" s="348">
        <f t="shared" si="132"/>
        <v>1</v>
      </c>
      <c r="BU375" s="56"/>
      <c r="BV375" s="282">
        <f t="shared" si="161"/>
        <v>0</v>
      </c>
      <c r="BW375" s="379"/>
      <c r="BX375" s="269">
        <f t="shared" si="162"/>
        <v>0</v>
      </c>
      <c r="BY375" s="264"/>
      <c r="BZ375" s="264"/>
      <c r="CA375" s="264"/>
      <c r="CB375" s="264"/>
      <c r="CC375" s="264"/>
      <c r="CD375" s="14">
        <f t="shared" si="163"/>
        <v>-12</v>
      </c>
      <c r="CE375" s="14">
        <f t="shared" si="145"/>
        <v>28</v>
      </c>
      <c r="CF375" s="2">
        <f t="shared" si="142"/>
        <v>1</v>
      </c>
      <c r="CL375" s="349"/>
      <c r="CM375" s="349"/>
      <c r="CN375" s="349"/>
      <c r="CO375" s="349"/>
      <c r="CP375" s="349"/>
      <c r="CQ375" s="14"/>
    </row>
    <row r="376" spans="1:95" s="1" customFormat="1" ht="29.4" customHeight="1">
      <c r="A376" s="46">
        <v>21</v>
      </c>
      <c r="B376" s="363">
        <v>10</v>
      </c>
      <c r="C376" s="363">
        <v>406</v>
      </c>
      <c r="D376" s="362"/>
      <c r="E376" s="362"/>
      <c r="F376" s="363"/>
      <c r="G376" s="312" t="s">
        <v>1991</v>
      </c>
      <c r="H376" s="312" t="s">
        <v>1991</v>
      </c>
      <c r="I376" s="312" t="s">
        <v>1991</v>
      </c>
      <c r="J376" s="312" t="s">
        <v>1991</v>
      </c>
      <c r="K376" s="312" t="s">
        <v>1991</v>
      </c>
      <c r="L376" s="312" t="s">
        <v>1991</v>
      </c>
      <c r="M376" s="312" t="s">
        <v>1991</v>
      </c>
      <c r="N376" s="312" t="s">
        <v>1991</v>
      </c>
      <c r="O376" s="312" t="s">
        <v>1991</v>
      </c>
      <c r="P376" s="312" t="s">
        <v>1991</v>
      </c>
      <c r="Q376" s="312" t="s">
        <v>1991</v>
      </c>
      <c r="R376" s="312" t="s">
        <v>1991</v>
      </c>
      <c r="S376" s="312" t="s">
        <v>1991</v>
      </c>
      <c r="T376" s="323" t="s">
        <v>1991</v>
      </c>
      <c r="U376" s="312" t="s">
        <v>1991</v>
      </c>
      <c r="V376" s="46" t="s">
        <v>1991</v>
      </c>
      <c r="W376" s="46" t="s">
        <v>1991</v>
      </c>
      <c r="X376" s="46" t="s">
        <v>1991</v>
      </c>
      <c r="Y376" s="46" t="s">
        <v>1991</v>
      </c>
      <c r="Z376" s="46" t="s">
        <v>1991</v>
      </c>
      <c r="AA376" s="46" t="s">
        <v>1991</v>
      </c>
      <c r="AB376" s="46" t="s">
        <v>1991</v>
      </c>
      <c r="AC376" s="46" t="s">
        <v>1991</v>
      </c>
      <c r="AD376" s="46" t="s">
        <v>1991</v>
      </c>
      <c r="AE376" s="46" t="s">
        <v>1991</v>
      </c>
      <c r="AF376" s="46" t="s">
        <v>1991</v>
      </c>
      <c r="AG376" s="46" t="s">
        <v>1991</v>
      </c>
      <c r="AH376" s="46" t="s">
        <v>1991</v>
      </c>
      <c r="AI376" s="46" t="s">
        <v>1991</v>
      </c>
      <c r="AJ376" s="46" t="s">
        <v>1991</v>
      </c>
      <c r="AK376" s="46" t="s">
        <v>1991</v>
      </c>
      <c r="AL376" s="327"/>
      <c r="AM376" s="327" t="s">
        <v>1991</v>
      </c>
      <c r="AN376" s="327" t="s">
        <v>1991</v>
      </c>
      <c r="AO376" s="327" t="s">
        <v>1991</v>
      </c>
      <c r="AP376" s="327"/>
      <c r="AQ376" s="327"/>
      <c r="AR376" s="327"/>
      <c r="AS376" s="327" t="s">
        <v>1991</v>
      </c>
      <c r="AT376" s="327" t="s">
        <v>1991</v>
      </c>
      <c r="AU376" s="327"/>
      <c r="AV376" s="327"/>
      <c r="AW376" s="327"/>
      <c r="AX376" s="327"/>
      <c r="AY376" s="327"/>
      <c r="AZ376" s="327"/>
      <c r="BA376" s="327"/>
      <c r="BB376" s="46">
        <f t="shared" si="157"/>
        <v>15</v>
      </c>
      <c r="BC376" s="46">
        <f t="shared" si="164"/>
        <v>16</v>
      </c>
      <c r="BD376" s="46">
        <f t="shared" si="127"/>
        <v>5</v>
      </c>
      <c r="BE376" s="46">
        <f t="shared" si="158"/>
        <v>5</v>
      </c>
      <c r="BF376" s="296">
        <f t="shared" si="148"/>
        <v>31</v>
      </c>
      <c r="BG376" s="2"/>
      <c r="BH376" s="2"/>
      <c r="BI376" s="2"/>
      <c r="BJ376" s="2"/>
      <c r="BK376" s="279">
        <f t="shared" si="165"/>
        <v>1</v>
      </c>
      <c r="BL376" s="279">
        <f t="shared" si="159"/>
        <v>31</v>
      </c>
      <c r="BM376" s="279"/>
      <c r="BN376" s="279"/>
      <c r="BO376" s="2">
        <f t="shared" si="160"/>
        <v>31</v>
      </c>
      <c r="BP376" s="430"/>
      <c r="BQ376" s="431"/>
      <c r="BR376" s="2"/>
      <c r="BS376" s="25"/>
      <c r="BT376" s="348">
        <f t="shared" si="132"/>
        <v>1</v>
      </c>
      <c r="BU376" s="56"/>
      <c r="BV376" s="282">
        <f t="shared" si="161"/>
        <v>0</v>
      </c>
      <c r="BW376" s="379"/>
      <c r="BX376" s="269">
        <f t="shared" si="162"/>
        <v>0</v>
      </c>
      <c r="BY376" s="264"/>
      <c r="BZ376" s="264"/>
      <c r="CA376" s="264"/>
      <c r="CB376" s="264"/>
      <c r="CC376" s="264"/>
      <c r="CD376" s="14">
        <f t="shared" si="163"/>
        <v>-15</v>
      </c>
      <c r="CE376" s="14">
        <f t="shared" si="145"/>
        <v>31</v>
      </c>
      <c r="CF376" s="2">
        <f t="shared" si="142"/>
        <v>1</v>
      </c>
      <c r="CL376" s="349"/>
      <c r="CM376" s="349"/>
      <c r="CN376" s="349"/>
      <c r="CO376" s="349"/>
      <c r="CP376" s="349"/>
      <c r="CQ376" s="14"/>
    </row>
    <row r="377" spans="1:95" s="1" customFormat="1" ht="29.4" customHeight="1">
      <c r="A377" s="46">
        <v>22</v>
      </c>
      <c r="B377" s="363">
        <v>10</v>
      </c>
      <c r="C377" s="363">
        <v>407</v>
      </c>
      <c r="D377" s="362"/>
      <c r="E377" s="362"/>
      <c r="F377" s="363"/>
      <c r="G377" s="312" t="s">
        <v>1991</v>
      </c>
      <c r="H377" s="312" t="s">
        <v>1991</v>
      </c>
      <c r="I377" s="312" t="s">
        <v>1991</v>
      </c>
      <c r="J377" s="312"/>
      <c r="K377" s="312">
        <v>0</v>
      </c>
      <c r="L377" s="312" t="s">
        <v>1991</v>
      </c>
      <c r="M377" s="312" t="s">
        <v>1991</v>
      </c>
      <c r="N377" s="312" t="s">
        <v>1991</v>
      </c>
      <c r="O377" s="312" t="s">
        <v>1991</v>
      </c>
      <c r="P377" s="312" t="s">
        <v>1991</v>
      </c>
      <c r="Q377" s="312" t="s">
        <v>1991</v>
      </c>
      <c r="R377" s="312" t="s">
        <v>1991</v>
      </c>
      <c r="S377" s="312" t="s">
        <v>1991</v>
      </c>
      <c r="T377" s="323" t="s">
        <v>1991</v>
      </c>
      <c r="U377" s="312" t="s">
        <v>1991</v>
      </c>
      <c r="V377" s="46" t="s">
        <v>1991</v>
      </c>
      <c r="W377" s="46" t="s">
        <v>1991</v>
      </c>
      <c r="X377" s="46" t="s">
        <v>1991</v>
      </c>
      <c r="Y377" s="46" t="s">
        <v>1991</v>
      </c>
      <c r="Z377" s="46" t="s">
        <v>1991</v>
      </c>
      <c r="AA377" s="46" t="s">
        <v>1991</v>
      </c>
      <c r="AB377" s="46" t="s">
        <v>1991</v>
      </c>
      <c r="AC377" s="46" t="s">
        <v>1991</v>
      </c>
      <c r="AD377" s="46" t="s">
        <v>1991</v>
      </c>
      <c r="AE377" s="46" t="s">
        <v>1991</v>
      </c>
      <c r="AF377" s="46" t="s">
        <v>1991</v>
      </c>
      <c r="AG377" s="46" t="s">
        <v>1991</v>
      </c>
      <c r="AH377" s="46" t="s">
        <v>1991</v>
      </c>
      <c r="AI377" s="46" t="s">
        <v>1991</v>
      </c>
      <c r="AJ377" s="46" t="s">
        <v>1991</v>
      </c>
      <c r="AK377" s="46" t="s">
        <v>1991</v>
      </c>
      <c r="AL377" s="327"/>
      <c r="AM377" s="327" t="s">
        <v>1991</v>
      </c>
      <c r="AN377" s="327" t="s">
        <v>1991</v>
      </c>
      <c r="AO377" s="327" t="s">
        <v>1991</v>
      </c>
      <c r="AP377" s="327"/>
      <c r="AQ377" s="327"/>
      <c r="AR377" s="327"/>
      <c r="AS377" s="327" t="s">
        <v>1991</v>
      </c>
      <c r="AT377" s="327">
        <v>0</v>
      </c>
      <c r="AU377" s="327"/>
      <c r="AV377" s="327"/>
      <c r="AW377" s="327"/>
      <c r="AX377" s="327"/>
      <c r="AY377" s="327"/>
      <c r="AZ377" s="327"/>
      <c r="BA377" s="327"/>
      <c r="BB377" s="46">
        <f t="shared" si="157"/>
        <v>13</v>
      </c>
      <c r="BC377" s="46">
        <f t="shared" si="164"/>
        <v>16</v>
      </c>
      <c r="BD377" s="46">
        <f t="shared" si="127"/>
        <v>4</v>
      </c>
      <c r="BE377" s="46">
        <f t="shared" si="158"/>
        <v>4</v>
      </c>
      <c r="BF377" s="296">
        <f t="shared" si="148"/>
        <v>29</v>
      </c>
      <c r="BG377" s="2"/>
      <c r="BH377" s="2"/>
      <c r="BI377" s="2"/>
      <c r="BJ377" s="2"/>
      <c r="BK377" s="279">
        <f t="shared" si="165"/>
        <v>1</v>
      </c>
      <c r="BL377" s="279">
        <f t="shared" si="159"/>
        <v>29</v>
      </c>
      <c r="BM377" s="279"/>
      <c r="BN377" s="279"/>
      <c r="BO377" s="2">
        <f t="shared" si="160"/>
        <v>29</v>
      </c>
      <c r="BP377" s="430"/>
      <c r="BQ377" s="431"/>
      <c r="BR377" s="2"/>
      <c r="BS377" s="25"/>
      <c r="BT377" s="348">
        <f t="shared" si="132"/>
        <v>1</v>
      </c>
      <c r="BU377" s="56"/>
      <c r="BV377" s="282">
        <f t="shared" si="161"/>
        <v>0</v>
      </c>
      <c r="BW377" s="379"/>
      <c r="BX377" s="269">
        <f t="shared" si="162"/>
        <v>0</v>
      </c>
      <c r="BY377" s="264"/>
      <c r="BZ377" s="264"/>
      <c r="CA377" s="264"/>
      <c r="CB377" s="264"/>
      <c r="CC377" s="264"/>
      <c r="CD377" s="14">
        <f t="shared" si="163"/>
        <v>-13</v>
      </c>
      <c r="CE377" s="14">
        <f t="shared" si="145"/>
        <v>29</v>
      </c>
      <c r="CF377" s="2">
        <f t="shared" si="142"/>
        <v>1</v>
      </c>
      <c r="CL377" s="349"/>
      <c r="CM377" s="349"/>
      <c r="CN377" s="349"/>
      <c r="CO377" s="349"/>
      <c r="CP377" s="349"/>
      <c r="CQ377" s="14"/>
    </row>
    <row r="378" spans="1:95" s="1" customFormat="1" ht="29.4" customHeight="1">
      <c r="A378" s="46">
        <v>23</v>
      </c>
      <c r="B378" s="363">
        <v>10</v>
      </c>
      <c r="C378" s="363">
        <v>408</v>
      </c>
      <c r="D378" s="362"/>
      <c r="E378" s="362"/>
      <c r="F378" s="363"/>
      <c r="G378" s="312" t="s">
        <v>1991</v>
      </c>
      <c r="H378" s="312" t="s">
        <v>1991</v>
      </c>
      <c r="I378" s="312" t="s">
        <v>1991</v>
      </c>
      <c r="J378" s="312"/>
      <c r="K378" s="312">
        <v>0</v>
      </c>
      <c r="L378" s="312" t="s">
        <v>1991</v>
      </c>
      <c r="M378" s="312" t="s">
        <v>1991</v>
      </c>
      <c r="N378" s="312" t="s">
        <v>1991</v>
      </c>
      <c r="O378" s="312" t="s">
        <v>1991</v>
      </c>
      <c r="P378" s="312" t="s">
        <v>1991</v>
      </c>
      <c r="Q378" s="312" t="s">
        <v>1991</v>
      </c>
      <c r="R378" s="312" t="s">
        <v>1991</v>
      </c>
      <c r="S378" s="312" t="s">
        <v>1991</v>
      </c>
      <c r="T378" s="323" t="s">
        <v>1991</v>
      </c>
      <c r="U378" s="312" t="s">
        <v>1991</v>
      </c>
      <c r="V378" s="46" t="s">
        <v>1991</v>
      </c>
      <c r="W378" s="46" t="s">
        <v>1991</v>
      </c>
      <c r="X378" s="46" t="s">
        <v>1991</v>
      </c>
      <c r="Y378" s="46" t="s">
        <v>1991</v>
      </c>
      <c r="Z378" s="46" t="s">
        <v>1991</v>
      </c>
      <c r="AA378" s="46" t="s">
        <v>1991</v>
      </c>
      <c r="AB378" s="46" t="s">
        <v>1991</v>
      </c>
      <c r="AC378" s="46" t="s">
        <v>1991</v>
      </c>
      <c r="AD378" s="46" t="s">
        <v>1991</v>
      </c>
      <c r="AE378" s="46" t="s">
        <v>1991</v>
      </c>
      <c r="AF378" s="46" t="s">
        <v>1991</v>
      </c>
      <c r="AG378" s="46" t="s">
        <v>1991</v>
      </c>
      <c r="AH378" s="46" t="s">
        <v>1991</v>
      </c>
      <c r="AI378" s="46" t="s">
        <v>1991</v>
      </c>
      <c r="AJ378" s="46" t="s">
        <v>1991</v>
      </c>
      <c r="AK378" s="46" t="s">
        <v>1991</v>
      </c>
      <c r="AL378" s="327"/>
      <c r="AM378" s="327" t="s">
        <v>1991</v>
      </c>
      <c r="AN378" s="327" t="s">
        <v>1991</v>
      </c>
      <c r="AO378" s="327" t="s">
        <v>1991</v>
      </c>
      <c r="AP378" s="327"/>
      <c r="AQ378" s="327"/>
      <c r="AR378" s="327"/>
      <c r="AS378" s="327">
        <v>0</v>
      </c>
      <c r="AT378" s="327">
        <v>0</v>
      </c>
      <c r="AU378" s="327"/>
      <c r="AV378" s="327"/>
      <c r="AW378" s="327"/>
      <c r="AX378" s="327"/>
      <c r="AY378" s="327"/>
      <c r="AZ378" s="327"/>
      <c r="BA378" s="327"/>
      <c r="BB378" s="46">
        <f t="shared" si="157"/>
        <v>13</v>
      </c>
      <c r="BC378" s="46">
        <f t="shared" si="164"/>
        <v>16</v>
      </c>
      <c r="BD378" s="46">
        <f t="shared" ref="BD378:BD397" si="166">COUNTIF(AL378:BA378,"X")</f>
        <v>3</v>
      </c>
      <c r="BE378" s="46">
        <f t="shared" si="158"/>
        <v>3</v>
      </c>
      <c r="BF378" s="296">
        <f t="shared" si="148"/>
        <v>29</v>
      </c>
      <c r="BG378" s="2"/>
      <c r="BH378" s="2"/>
      <c r="BI378" s="2"/>
      <c r="BJ378" s="2"/>
      <c r="BK378" s="279">
        <f t="shared" si="165"/>
        <v>1</v>
      </c>
      <c r="BL378" s="279">
        <f t="shared" si="159"/>
        <v>29</v>
      </c>
      <c r="BM378" s="279"/>
      <c r="BN378" s="279"/>
      <c r="BO378" s="2">
        <f t="shared" si="160"/>
        <v>29</v>
      </c>
      <c r="BP378" s="430"/>
      <c r="BQ378" s="431"/>
      <c r="BR378" s="2"/>
      <c r="BS378" s="25"/>
      <c r="BT378" s="348">
        <f t="shared" ref="BT378:BT397" si="167">IF(BF378&gt;=26,1,0)</f>
        <v>1</v>
      </c>
      <c r="BU378" s="56"/>
      <c r="BV378" s="282">
        <f t="shared" si="161"/>
        <v>0</v>
      </c>
      <c r="BW378" s="379"/>
      <c r="BX378" s="269">
        <f t="shared" si="162"/>
        <v>0</v>
      </c>
      <c r="BY378" s="264"/>
      <c r="BZ378" s="264"/>
      <c r="CA378" s="264"/>
      <c r="CB378" s="264"/>
      <c r="CC378" s="264"/>
      <c r="CD378" s="14">
        <f t="shared" si="163"/>
        <v>-13</v>
      </c>
      <c r="CE378" s="14">
        <f t="shared" si="145"/>
        <v>29</v>
      </c>
      <c r="CF378" s="2">
        <f t="shared" si="142"/>
        <v>1</v>
      </c>
      <c r="CL378" s="349"/>
      <c r="CM378" s="349"/>
      <c r="CN378" s="349"/>
      <c r="CO378" s="349"/>
      <c r="CP378" s="349"/>
      <c r="CQ378" s="14"/>
    </row>
    <row r="379" spans="1:95" s="1" customFormat="1" ht="29.4" customHeight="1">
      <c r="A379" s="46">
        <v>24</v>
      </c>
      <c r="B379" s="363">
        <v>10</v>
      </c>
      <c r="C379" s="363">
        <v>409</v>
      </c>
      <c r="D379" s="362"/>
      <c r="E379" s="362"/>
      <c r="F379" s="363"/>
      <c r="G379" s="312" t="s">
        <v>1991</v>
      </c>
      <c r="H379" s="312" t="s">
        <v>1991</v>
      </c>
      <c r="I379" s="312" t="s">
        <v>1991</v>
      </c>
      <c r="J379" s="312"/>
      <c r="K379" s="312" t="s">
        <v>1991</v>
      </c>
      <c r="L379" s="312" t="s">
        <v>1991</v>
      </c>
      <c r="M379" s="312" t="s">
        <v>1991</v>
      </c>
      <c r="N379" s="312" t="s">
        <v>1991</v>
      </c>
      <c r="O379" s="312" t="s">
        <v>1991</v>
      </c>
      <c r="P379" s="312" t="s">
        <v>1991</v>
      </c>
      <c r="Q379" s="312" t="s">
        <v>1991</v>
      </c>
      <c r="R379" s="312" t="s">
        <v>1991</v>
      </c>
      <c r="S379" s="312" t="s">
        <v>1991</v>
      </c>
      <c r="T379" s="323" t="s">
        <v>1991</v>
      </c>
      <c r="U379" s="312" t="s">
        <v>1991</v>
      </c>
      <c r="V379" s="46" t="s">
        <v>1991</v>
      </c>
      <c r="W379" s="46" t="s">
        <v>1991</v>
      </c>
      <c r="X379" s="46" t="s">
        <v>1991</v>
      </c>
      <c r="Y379" s="46">
        <v>0</v>
      </c>
      <c r="Z379" s="46" t="s">
        <v>1991</v>
      </c>
      <c r="AA379" s="46" t="s">
        <v>1991</v>
      </c>
      <c r="AB379" s="46" t="s">
        <v>1991</v>
      </c>
      <c r="AC379" s="46" t="s">
        <v>1991</v>
      </c>
      <c r="AD379" s="46" t="s">
        <v>1991</v>
      </c>
      <c r="AE379" s="46" t="s">
        <v>1991</v>
      </c>
      <c r="AF379" s="46">
        <v>0</v>
      </c>
      <c r="AG379" s="46" t="s">
        <v>1991</v>
      </c>
      <c r="AH379" s="46" t="s">
        <v>1991</v>
      </c>
      <c r="AI379" s="46" t="s">
        <v>1991</v>
      </c>
      <c r="AJ379" s="46" t="s">
        <v>1991</v>
      </c>
      <c r="AK379" s="46" t="s">
        <v>1991</v>
      </c>
      <c r="AL379" s="327"/>
      <c r="AM379" s="327" t="s">
        <v>1991</v>
      </c>
      <c r="AN379" s="327">
        <v>0</v>
      </c>
      <c r="AO379" s="327">
        <v>0</v>
      </c>
      <c r="AP379" s="327"/>
      <c r="AQ379" s="327"/>
      <c r="AR379" s="327"/>
      <c r="AS379" s="327">
        <v>0</v>
      </c>
      <c r="AT379" s="327">
        <v>0</v>
      </c>
      <c r="AU379" s="327"/>
      <c r="AV379" s="327"/>
      <c r="AW379" s="327"/>
      <c r="AX379" s="327"/>
      <c r="AY379" s="327"/>
      <c r="AZ379" s="327"/>
      <c r="BA379" s="327"/>
      <c r="BB379" s="46">
        <f t="shared" si="157"/>
        <v>14</v>
      </c>
      <c r="BC379" s="46">
        <f t="shared" si="164"/>
        <v>14</v>
      </c>
      <c r="BD379" s="46">
        <f t="shared" si="166"/>
        <v>1</v>
      </c>
      <c r="BE379" s="46">
        <f t="shared" si="158"/>
        <v>1</v>
      </c>
      <c r="BF379" s="296">
        <f t="shared" si="148"/>
        <v>28</v>
      </c>
      <c r="BG379" s="2"/>
      <c r="BH379" s="2"/>
      <c r="BI379" s="2"/>
      <c r="BJ379" s="2"/>
      <c r="BK379" s="279">
        <f t="shared" si="165"/>
        <v>1</v>
      </c>
      <c r="BL379" s="279">
        <f t="shared" si="159"/>
        <v>28</v>
      </c>
      <c r="BM379" s="279"/>
      <c r="BN379" s="279"/>
      <c r="BO379" s="2">
        <f t="shared" si="160"/>
        <v>28</v>
      </c>
      <c r="BP379" s="430"/>
      <c r="BQ379" s="431"/>
      <c r="BR379" s="2"/>
      <c r="BS379" s="25"/>
      <c r="BT379" s="348">
        <f t="shared" si="167"/>
        <v>1</v>
      </c>
      <c r="BU379" s="56"/>
      <c r="BV379" s="282">
        <f t="shared" si="161"/>
        <v>0</v>
      </c>
      <c r="BW379" s="379"/>
      <c r="BX379" s="269">
        <f t="shared" si="162"/>
        <v>0</v>
      </c>
      <c r="BY379" s="264"/>
      <c r="BZ379" s="264"/>
      <c r="CA379" s="264"/>
      <c r="CB379" s="264"/>
      <c r="CC379" s="264"/>
      <c r="CD379" s="14">
        <f t="shared" si="163"/>
        <v>-14</v>
      </c>
      <c r="CE379" s="14">
        <f t="shared" si="145"/>
        <v>28</v>
      </c>
      <c r="CF379" s="2">
        <f t="shared" si="142"/>
        <v>1</v>
      </c>
      <c r="CL379" s="349"/>
      <c r="CM379" s="349"/>
      <c r="CN379" s="349"/>
      <c r="CO379" s="349"/>
      <c r="CP379" s="349"/>
      <c r="CQ379" s="14"/>
    </row>
    <row r="380" spans="1:95" s="1" customFormat="1" ht="29.4" customHeight="1">
      <c r="A380" s="46">
        <v>25</v>
      </c>
      <c r="B380" s="363">
        <v>10</v>
      </c>
      <c r="C380" s="363">
        <v>410</v>
      </c>
      <c r="D380" s="362"/>
      <c r="E380" s="362"/>
      <c r="F380" s="363"/>
      <c r="G380" s="312" t="s">
        <v>1991</v>
      </c>
      <c r="H380" s="312" t="s">
        <v>1991</v>
      </c>
      <c r="I380" s="312" t="s">
        <v>1991</v>
      </c>
      <c r="J380" s="312"/>
      <c r="K380" s="312" t="s">
        <v>1991</v>
      </c>
      <c r="L380" s="312" t="s">
        <v>1991</v>
      </c>
      <c r="M380" s="312" t="s">
        <v>1991</v>
      </c>
      <c r="N380" s="312" t="s">
        <v>1991</v>
      </c>
      <c r="O380" s="312" t="s">
        <v>1991</v>
      </c>
      <c r="P380" s="312" t="s">
        <v>1991</v>
      </c>
      <c r="Q380" s="312" t="s">
        <v>1991</v>
      </c>
      <c r="R380" s="312" t="s">
        <v>1991</v>
      </c>
      <c r="S380" s="312" t="s">
        <v>1991</v>
      </c>
      <c r="T380" s="323" t="s">
        <v>1991</v>
      </c>
      <c r="U380" s="312" t="s">
        <v>1991</v>
      </c>
      <c r="V380" s="46" t="s">
        <v>1991</v>
      </c>
      <c r="W380" s="46" t="s">
        <v>1991</v>
      </c>
      <c r="X380" s="46" t="s">
        <v>1991</v>
      </c>
      <c r="Y380" s="46">
        <v>0</v>
      </c>
      <c r="Z380" s="46" t="s">
        <v>1991</v>
      </c>
      <c r="AA380" s="46" t="s">
        <v>1991</v>
      </c>
      <c r="AB380" s="46" t="s">
        <v>1991</v>
      </c>
      <c r="AC380" s="46" t="s">
        <v>1991</v>
      </c>
      <c r="AD380" s="46" t="s">
        <v>1991</v>
      </c>
      <c r="AE380" s="46" t="s">
        <v>1991</v>
      </c>
      <c r="AF380" s="46">
        <v>0</v>
      </c>
      <c r="AG380" s="46" t="s">
        <v>1991</v>
      </c>
      <c r="AH380" s="46" t="s">
        <v>1991</v>
      </c>
      <c r="AI380" s="46" t="s">
        <v>1991</v>
      </c>
      <c r="AJ380" s="46" t="s">
        <v>1991</v>
      </c>
      <c r="AK380" s="46" t="s">
        <v>1991</v>
      </c>
      <c r="AL380" s="327"/>
      <c r="AM380" s="327" t="s">
        <v>1991</v>
      </c>
      <c r="AN380" s="327">
        <v>0</v>
      </c>
      <c r="AO380" s="327">
        <v>0</v>
      </c>
      <c r="AP380" s="327"/>
      <c r="AQ380" s="327"/>
      <c r="AR380" s="327"/>
      <c r="AS380" s="327">
        <v>0</v>
      </c>
      <c r="AT380" s="327">
        <v>0</v>
      </c>
      <c r="AU380" s="327"/>
      <c r="AV380" s="327"/>
      <c r="AW380" s="327"/>
      <c r="AX380" s="327"/>
      <c r="AY380" s="327"/>
      <c r="AZ380" s="327"/>
      <c r="BA380" s="327"/>
      <c r="BB380" s="46">
        <f t="shared" si="157"/>
        <v>14</v>
      </c>
      <c r="BC380" s="46">
        <f t="shared" si="164"/>
        <v>14</v>
      </c>
      <c r="BD380" s="46">
        <f t="shared" si="166"/>
        <v>1</v>
      </c>
      <c r="BE380" s="46">
        <f t="shared" si="158"/>
        <v>1</v>
      </c>
      <c r="BF380" s="296">
        <f t="shared" si="148"/>
        <v>28</v>
      </c>
      <c r="BG380" s="2"/>
      <c r="BH380" s="2"/>
      <c r="BI380" s="2"/>
      <c r="BJ380" s="2"/>
      <c r="BK380" s="279">
        <f t="shared" si="165"/>
        <v>1</v>
      </c>
      <c r="BL380" s="279">
        <f t="shared" si="159"/>
        <v>28</v>
      </c>
      <c r="BM380" s="279"/>
      <c r="BN380" s="279"/>
      <c r="BO380" s="2">
        <f t="shared" si="160"/>
        <v>28</v>
      </c>
      <c r="BP380" s="430"/>
      <c r="BQ380" s="431"/>
      <c r="BR380" s="2"/>
      <c r="BS380" s="25"/>
      <c r="BT380" s="348">
        <f t="shared" si="167"/>
        <v>1</v>
      </c>
      <c r="BU380" s="56"/>
      <c r="BV380" s="282">
        <f t="shared" si="161"/>
        <v>0</v>
      </c>
      <c r="BW380" s="379"/>
      <c r="BX380" s="269">
        <f t="shared" si="162"/>
        <v>0</v>
      </c>
      <c r="BY380" s="264"/>
      <c r="BZ380" s="264"/>
      <c r="CA380" s="264"/>
      <c r="CB380" s="264"/>
      <c r="CC380" s="264"/>
      <c r="CD380" s="14">
        <f t="shared" si="163"/>
        <v>-14</v>
      </c>
      <c r="CE380" s="14">
        <f t="shared" si="145"/>
        <v>28</v>
      </c>
      <c r="CF380" s="2">
        <f t="shared" ref="CF380:CF389" si="168">IF(BF380&gt;=26,1,0)</f>
        <v>1</v>
      </c>
      <c r="CL380" s="349"/>
      <c r="CM380" s="349"/>
      <c r="CN380" s="349"/>
      <c r="CO380" s="349"/>
      <c r="CP380" s="349"/>
      <c r="CQ380" s="14"/>
    </row>
    <row r="381" spans="1:95" s="1" customFormat="1" ht="29.4" customHeight="1">
      <c r="A381" s="46">
        <v>26</v>
      </c>
      <c r="B381" s="363">
        <v>10</v>
      </c>
      <c r="C381" s="363">
        <v>411</v>
      </c>
      <c r="D381" s="362"/>
      <c r="E381" s="362"/>
      <c r="F381" s="363"/>
      <c r="G381" s="312" t="s">
        <v>1991</v>
      </c>
      <c r="H381" s="312" t="s">
        <v>1991</v>
      </c>
      <c r="I381" s="312" t="s">
        <v>1991</v>
      </c>
      <c r="J381" s="312"/>
      <c r="K381" s="312" t="s">
        <v>1991</v>
      </c>
      <c r="L381" s="312" t="s">
        <v>1991</v>
      </c>
      <c r="M381" s="312" t="s">
        <v>1991</v>
      </c>
      <c r="N381" s="312" t="s">
        <v>1991</v>
      </c>
      <c r="O381" s="312" t="s">
        <v>1991</v>
      </c>
      <c r="P381" s="312" t="s">
        <v>1991</v>
      </c>
      <c r="Q381" s="312" t="s">
        <v>1991</v>
      </c>
      <c r="R381" s="312" t="s">
        <v>1991</v>
      </c>
      <c r="S381" s="312" t="s">
        <v>1991</v>
      </c>
      <c r="T381" s="323" t="s">
        <v>1991</v>
      </c>
      <c r="U381" s="312" t="s">
        <v>1991</v>
      </c>
      <c r="V381" s="46" t="s">
        <v>1991</v>
      </c>
      <c r="W381" s="46" t="s">
        <v>1991</v>
      </c>
      <c r="X381" s="46" t="s">
        <v>1991</v>
      </c>
      <c r="Y381" s="46" t="s">
        <v>1991</v>
      </c>
      <c r="Z381" s="46" t="s">
        <v>1991</v>
      </c>
      <c r="AA381" s="46" t="s">
        <v>1991</v>
      </c>
      <c r="AB381" s="46" t="s">
        <v>1991</v>
      </c>
      <c r="AC381" s="46" t="s">
        <v>1991</v>
      </c>
      <c r="AD381" s="46" t="s">
        <v>1991</v>
      </c>
      <c r="AE381" s="46" t="s">
        <v>1991</v>
      </c>
      <c r="AF381" s="46">
        <v>0</v>
      </c>
      <c r="AG381" s="46" t="s">
        <v>1991</v>
      </c>
      <c r="AH381" s="46" t="s">
        <v>1991</v>
      </c>
      <c r="AI381" s="46" t="s">
        <v>1991</v>
      </c>
      <c r="AJ381" s="46" t="s">
        <v>1991</v>
      </c>
      <c r="AK381" s="46" t="s">
        <v>1991</v>
      </c>
      <c r="AL381" s="327"/>
      <c r="AM381" s="327" t="s">
        <v>1991</v>
      </c>
      <c r="AN381" s="327" t="s">
        <v>1991</v>
      </c>
      <c r="AO381" s="327" t="s">
        <v>1991</v>
      </c>
      <c r="AP381" s="327"/>
      <c r="AQ381" s="327"/>
      <c r="AR381" s="327"/>
      <c r="AS381" s="327" t="s">
        <v>1991</v>
      </c>
      <c r="AT381" s="327" t="s">
        <v>1991</v>
      </c>
      <c r="AU381" s="327"/>
      <c r="AV381" s="327"/>
      <c r="AW381" s="327"/>
      <c r="AX381" s="327"/>
      <c r="AY381" s="327"/>
      <c r="AZ381" s="327"/>
      <c r="BA381" s="327"/>
      <c r="BB381" s="46">
        <f t="shared" si="157"/>
        <v>14</v>
      </c>
      <c r="BC381" s="46">
        <f t="shared" si="164"/>
        <v>15</v>
      </c>
      <c r="BD381" s="46">
        <f t="shared" si="166"/>
        <v>5</v>
      </c>
      <c r="BE381" s="46">
        <f t="shared" si="158"/>
        <v>5</v>
      </c>
      <c r="BF381" s="296">
        <f t="shared" si="148"/>
        <v>29</v>
      </c>
      <c r="BG381" s="2"/>
      <c r="BH381" s="2"/>
      <c r="BI381" s="2"/>
      <c r="BJ381" s="2"/>
      <c r="BK381" s="279">
        <f t="shared" si="165"/>
        <v>1</v>
      </c>
      <c r="BL381" s="279">
        <f t="shared" si="159"/>
        <v>29</v>
      </c>
      <c r="BM381" s="279"/>
      <c r="BN381" s="279"/>
      <c r="BO381" s="2">
        <f t="shared" si="160"/>
        <v>29</v>
      </c>
      <c r="BP381" s="430"/>
      <c r="BQ381" s="431"/>
      <c r="BR381" s="2"/>
      <c r="BS381" s="25"/>
      <c r="BT381" s="348">
        <f t="shared" si="167"/>
        <v>1</v>
      </c>
      <c r="BU381" s="56"/>
      <c r="BV381" s="282">
        <f t="shared" si="161"/>
        <v>0</v>
      </c>
      <c r="BW381" s="379"/>
      <c r="BX381" s="269">
        <f t="shared" si="162"/>
        <v>0</v>
      </c>
      <c r="BY381" s="264"/>
      <c r="BZ381" s="264"/>
      <c r="CA381" s="264"/>
      <c r="CB381" s="264"/>
      <c r="CC381" s="264"/>
      <c r="CD381" s="14">
        <f t="shared" si="163"/>
        <v>-14</v>
      </c>
      <c r="CE381" s="14">
        <f t="shared" si="145"/>
        <v>29</v>
      </c>
      <c r="CF381" s="2">
        <f t="shared" si="168"/>
        <v>1</v>
      </c>
      <c r="CL381" s="349"/>
      <c r="CM381" s="349"/>
      <c r="CN381" s="349"/>
      <c r="CO381" s="349"/>
      <c r="CP381" s="349"/>
      <c r="CQ381" s="14"/>
    </row>
    <row r="382" spans="1:95" s="1" customFormat="1" ht="29.4" customHeight="1">
      <c r="A382" s="46">
        <v>27</v>
      </c>
      <c r="B382" s="363">
        <v>10</v>
      </c>
      <c r="C382" s="363">
        <v>412</v>
      </c>
      <c r="D382" s="362"/>
      <c r="E382" s="362"/>
      <c r="F382" s="363"/>
      <c r="G382" s="312" t="s">
        <v>1991</v>
      </c>
      <c r="H382" s="312" t="s">
        <v>1991</v>
      </c>
      <c r="I382" s="312" t="s">
        <v>1991</v>
      </c>
      <c r="J382" s="312"/>
      <c r="K382" s="312" t="s">
        <v>1991</v>
      </c>
      <c r="L382" s="312" t="s">
        <v>1991</v>
      </c>
      <c r="M382" s="312" t="s">
        <v>1991</v>
      </c>
      <c r="N382" s="312" t="s">
        <v>1991</v>
      </c>
      <c r="O382" s="312" t="s">
        <v>1991</v>
      </c>
      <c r="P382" s="312" t="s">
        <v>1991</v>
      </c>
      <c r="Q382" s="312" t="s">
        <v>1991</v>
      </c>
      <c r="R382" s="312" t="s">
        <v>1991</v>
      </c>
      <c r="S382" s="312" t="s">
        <v>1991</v>
      </c>
      <c r="T382" s="323" t="s">
        <v>1991</v>
      </c>
      <c r="U382" s="312" t="s">
        <v>1991</v>
      </c>
      <c r="V382" s="46" t="s">
        <v>1991</v>
      </c>
      <c r="W382" s="46" t="s">
        <v>1991</v>
      </c>
      <c r="X382" s="46" t="s">
        <v>1991</v>
      </c>
      <c r="Y382" s="46" t="s">
        <v>1991</v>
      </c>
      <c r="Z382" s="46" t="s">
        <v>1991</v>
      </c>
      <c r="AA382" s="46" t="s">
        <v>1991</v>
      </c>
      <c r="AB382" s="46" t="s">
        <v>1991</v>
      </c>
      <c r="AC382" s="46" t="s">
        <v>1991</v>
      </c>
      <c r="AD382" s="46" t="s">
        <v>1991</v>
      </c>
      <c r="AE382" s="46" t="s">
        <v>1991</v>
      </c>
      <c r="AF382" s="46">
        <v>0</v>
      </c>
      <c r="AG382" s="46" t="s">
        <v>1991</v>
      </c>
      <c r="AH382" s="46" t="s">
        <v>1991</v>
      </c>
      <c r="AI382" s="46" t="s">
        <v>1991</v>
      </c>
      <c r="AJ382" s="46" t="s">
        <v>1991</v>
      </c>
      <c r="AK382" s="46" t="s">
        <v>1991</v>
      </c>
      <c r="AL382" s="327"/>
      <c r="AM382" s="327" t="s">
        <v>1991</v>
      </c>
      <c r="AN382" s="327" t="s">
        <v>1991</v>
      </c>
      <c r="AO382" s="327" t="s">
        <v>1991</v>
      </c>
      <c r="AP382" s="327"/>
      <c r="AQ382" s="327"/>
      <c r="AR382" s="327"/>
      <c r="AS382" s="327" t="s">
        <v>1991</v>
      </c>
      <c r="AT382" s="327" t="s">
        <v>1991</v>
      </c>
      <c r="AU382" s="327"/>
      <c r="AV382" s="327"/>
      <c r="AW382" s="327"/>
      <c r="AX382" s="327"/>
      <c r="AY382" s="327"/>
      <c r="AZ382" s="327"/>
      <c r="BA382" s="327"/>
      <c r="BB382" s="46">
        <f t="shared" si="157"/>
        <v>14</v>
      </c>
      <c r="BC382" s="46">
        <f t="shared" si="164"/>
        <v>15</v>
      </c>
      <c r="BD382" s="46">
        <f t="shared" si="166"/>
        <v>5</v>
      </c>
      <c r="BE382" s="46">
        <f t="shared" si="158"/>
        <v>5</v>
      </c>
      <c r="BF382" s="296">
        <f t="shared" si="148"/>
        <v>29</v>
      </c>
      <c r="BG382" s="2"/>
      <c r="BH382" s="2"/>
      <c r="BI382" s="2"/>
      <c r="BJ382" s="2"/>
      <c r="BK382" s="279">
        <f t="shared" si="165"/>
        <v>1</v>
      </c>
      <c r="BL382" s="279">
        <f t="shared" si="159"/>
        <v>29</v>
      </c>
      <c r="BM382" s="279"/>
      <c r="BN382" s="279"/>
      <c r="BO382" s="2">
        <f t="shared" si="160"/>
        <v>29</v>
      </c>
      <c r="BP382" s="430"/>
      <c r="BQ382" s="431"/>
      <c r="BR382" s="2"/>
      <c r="BS382" s="25"/>
      <c r="BT382" s="348">
        <f t="shared" si="167"/>
        <v>1</v>
      </c>
      <c r="BU382" s="56"/>
      <c r="BV382" s="282">
        <f t="shared" si="161"/>
        <v>0</v>
      </c>
      <c r="BW382" s="379"/>
      <c r="BX382" s="269">
        <f t="shared" si="162"/>
        <v>0</v>
      </c>
      <c r="BY382" s="264"/>
      <c r="BZ382" s="264"/>
      <c r="CA382" s="264"/>
      <c r="CB382" s="264"/>
      <c r="CC382" s="264"/>
      <c r="CD382" s="14">
        <f t="shared" si="163"/>
        <v>-14</v>
      </c>
      <c r="CE382" s="14">
        <f t="shared" si="145"/>
        <v>29</v>
      </c>
      <c r="CF382" s="2">
        <f t="shared" si="168"/>
        <v>1</v>
      </c>
      <c r="CL382" s="349"/>
      <c r="CM382" s="349"/>
      <c r="CN382" s="349"/>
      <c r="CO382" s="349"/>
      <c r="CP382" s="349"/>
      <c r="CQ382" s="14"/>
    </row>
    <row r="383" spans="1:95" s="1" customFormat="1" ht="29.4" customHeight="1">
      <c r="A383" s="46">
        <v>28</v>
      </c>
      <c r="B383" s="363">
        <v>10</v>
      </c>
      <c r="C383" s="363">
        <v>413</v>
      </c>
      <c r="D383" s="362"/>
      <c r="E383" s="362"/>
      <c r="F383" s="363"/>
      <c r="G383" s="312" t="s">
        <v>1991</v>
      </c>
      <c r="H383" s="312" t="s">
        <v>1991</v>
      </c>
      <c r="I383" s="312" t="s">
        <v>1991</v>
      </c>
      <c r="J383" s="312" t="s">
        <v>1991</v>
      </c>
      <c r="K383" s="312" t="s">
        <v>1991</v>
      </c>
      <c r="L383" s="312" t="s">
        <v>1991</v>
      </c>
      <c r="M383" s="312" t="s">
        <v>1991</v>
      </c>
      <c r="N383" s="312" t="s">
        <v>1991</v>
      </c>
      <c r="O383" s="312" t="s">
        <v>1991</v>
      </c>
      <c r="P383" s="312" t="s">
        <v>1991</v>
      </c>
      <c r="Q383" s="312" t="s">
        <v>1991</v>
      </c>
      <c r="R383" s="312" t="s">
        <v>1991</v>
      </c>
      <c r="S383" s="312" t="s">
        <v>1991</v>
      </c>
      <c r="T383" s="323" t="s">
        <v>1991</v>
      </c>
      <c r="U383" s="312" t="s">
        <v>1991</v>
      </c>
      <c r="V383" s="46" t="s">
        <v>1991</v>
      </c>
      <c r="W383" s="46" t="s">
        <v>1991</v>
      </c>
      <c r="X383" s="46" t="s">
        <v>1991</v>
      </c>
      <c r="Y383" s="46" t="s">
        <v>1991</v>
      </c>
      <c r="Z383" s="46" t="s">
        <v>1991</v>
      </c>
      <c r="AA383" s="46" t="s">
        <v>1991</v>
      </c>
      <c r="AB383" s="46" t="s">
        <v>1991</v>
      </c>
      <c r="AC383" s="46" t="s">
        <v>1991</v>
      </c>
      <c r="AD383" s="46" t="s">
        <v>1991</v>
      </c>
      <c r="AE383" s="46" t="s">
        <v>1991</v>
      </c>
      <c r="AF383" s="46" t="s">
        <v>1991</v>
      </c>
      <c r="AG383" s="46" t="s">
        <v>1991</v>
      </c>
      <c r="AH383" s="46" t="s">
        <v>1991</v>
      </c>
      <c r="AI383" s="46" t="s">
        <v>1991</v>
      </c>
      <c r="AJ383" s="46" t="s">
        <v>1991</v>
      </c>
      <c r="AK383" s="46" t="s">
        <v>1991</v>
      </c>
      <c r="AL383" s="327"/>
      <c r="AM383" s="327" t="s">
        <v>1991</v>
      </c>
      <c r="AN383" s="327" t="s">
        <v>1991</v>
      </c>
      <c r="AO383" s="327" t="s">
        <v>1991</v>
      </c>
      <c r="AP383" s="327"/>
      <c r="AQ383" s="327"/>
      <c r="AR383" s="327"/>
      <c r="AS383" s="327" t="s">
        <v>1991</v>
      </c>
      <c r="AT383" s="327" t="s">
        <v>1991</v>
      </c>
      <c r="AU383" s="327"/>
      <c r="AV383" s="327"/>
      <c r="AW383" s="327"/>
      <c r="AX383" s="327"/>
      <c r="AY383" s="327"/>
      <c r="AZ383" s="327"/>
      <c r="BA383" s="327"/>
      <c r="BB383" s="46">
        <f t="shared" si="157"/>
        <v>15</v>
      </c>
      <c r="BC383" s="46">
        <f t="shared" si="164"/>
        <v>16</v>
      </c>
      <c r="BD383" s="46">
        <f t="shared" si="166"/>
        <v>5</v>
      </c>
      <c r="BE383" s="46">
        <f t="shared" si="158"/>
        <v>5</v>
      </c>
      <c r="BF383" s="296">
        <f t="shared" si="148"/>
        <v>31</v>
      </c>
      <c r="BG383" s="2"/>
      <c r="BH383" s="2"/>
      <c r="BI383" s="2"/>
      <c r="BJ383" s="2"/>
      <c r="BK383" s="279">
        <f t="shared" si="165"/>
        <v>1</v>
      </c>
      <c r="BL383" s="279">
        <f t="shared" si="159"/>
        <v>31</v>
      </c>
      <c r="BM383" s="279"/>
      <c r="BN383" s="279"/>
      <c r="BO383" s="2">
        <f t="shared" si="160"/>
        <v>31</v>
      </c>
      <c r="BP383" s="430"/>
      <c r="BQ383" s="431"/>
      <c r="BR383" s="2"/>
      <c r="BS383" s="25"/>
      <c r="BT383" s="348">
        <f t="shared" si="167"/>
        <v>1</v>
      </c>
      <c r="BU383" s="56"/>
      <c r="BV383" s="282">
        <f t="shared" si="161"/>
        <v>0</v>
      </c>
      <c r="BW383" s="379"/>
      <c r="BX383" s="269">
        <f t="shared" si="162"/>
        <v>0</v>
      </c>
      <c r="BY383" s="264"/>
      <c r="BZ383" s="264"/>
      <c r="CA383" s="264"/>
      <c r="CB383" s="264"/>
      <c r="CC383" s="264"/>
      <c r="CD383" s="14">
        <f t="shared" si="163"/>
        <v>-15</v>
      </c>
      <c r="CE383" s="14">
        <f t="shared" si="145"/>
        <v>31</v>
      </c>
      <c r="CF383" s="2">
        <f t="shared" si="168"/>
        <v>1</v>
      </c>
      <c r="CL383" s="349"/>
      <c r="CM383" s="349"/>
      <c r="CN383" s="349"/>
      <c r="CO383" s="349"/>
      <c r="CP383" s="349"/>
      <c r="CQ383" s="14"/>
    </row>
    <row r="384" spans="1:95" s="1" customFormat="1" ht="29.4" customHeight="1">
      <c r="A384" s="46">
        <v>29</v>
      </c>
      <c r="B384" s="363">
        <v>10</v>
      </c>
      <c r="C384" s="363">
        <v>414</v>
      </c>
      <c r="D384" s="362"/>
      <c r="E384" s="362"/>
      <c r="F384" s="363"/>
      <c r="G384" s="312" t="s">
        <v>1991</v>
      </c>
      <c r="H384" s="312" t="s">
        <v>1991</v>
      </c>
      <c r="I384" s="312" t="s">
        <v>1991</v>
      </c>
      <c r="J384" s="312" t="s">
        <v>1991</v>
      </c>
      <c r="K384" s="312" t="s">
        <v>1991</v>
      </c>
      <c r="L384" s="312" t="s">
        <v>1991</v>
      </c>
      <c r="M384" s="312" t="s">
        <v>1991</v>
      </c>
      <c r="N384" s="312" t="s">
        <v>1991</v>
      </c>
      <c r="O384" s="312" t="s">
        <v>1991</v>
      </c>
      <c r="P384" s="312" t="s">
        <v>1991</v>
      </c>
      <c r="Q384" s="312" t="s">
        <v>1991</v>
      </c>
      <c r="R384" s="312" t="s">
        <v>1991</v>
      </c>
      <c r="S384" s="312" t="s">
        <v>1991</v>
      </c>
      <c r="T384" s="323" t="s">
        <v>1991</v>
      </c>
      <c r="U384" s="312" t="s">
        <v>1991</v>
      </c>
      <c r="V384" s="46" t="s">
        <v>1991</v>
      </c>
      <c r="W384" s="46" t="s">
        <v>1991</v>
      </c>
      <c r="X384" s="46" t="s">
        <v>1991</v>
      </c>
      <c r="Y384" s="46" t="s">
        <v>1991</v>
      </c>
      <c r="Z384" s="46" t="s">
        <v>1991</v>
      </c>
      <c r="AA384" s="46" t="s">
        <v>1991</v>
      </c>
      <c r="AB384" s="46" t="s">
        <v>1991</v>
      </c>
      <c r="AC384" s="46" t="s">
        <v>1991</v>
      </c>
      <c r="AD384" s="46" t="s">
        <v>1991</v>
      </c>
      <c r="AE384" s="46" t="s">
        <v>1991</v>
      </c>
      <c r="AF384" s="46" t="s">
        <v>1991</v>
      </c>
      <c r="AG384" s="46" t="s">
        <v>1991</v>
      </c>
      <c r="AH384" s="46" t="s">
        <v>1991</v>
      </c>
      <c r="AI384" s="46" t="s">
        <v>1991</v>
      </c>
      <c r="AJ384" s="46" t="s">
        <v>1991</v>
      </c>
      <c r="AK384" s="46" t="s">
        <v>1991</v>
      </c>
      <c r="AL384" s="327"/>
      <c r="AM384" s="327" t="s">
        <v>1991</v>
      </c>
      <c r="AN384" s="327" t="s">
        <v>1991</v>
      </c>
      <c r="AO384" s="327" t="s">
        <v>1991</v>
      </c>
      <c r="AP384" s="327"/>
      <c r="AQ384" s="327"/>
      <c r="AR384" s="327"/>
      <c r="AS384" s="327" t="s">
        <v>1991</v>
      </c>
      <c r="AT384" s="327" t="s">
        <v>1991</v>
      </c>
      <c r="AU384" s="327"/>
      <c r="AV384" s="327"/>
      <c r="AW384" s="327"/>
      <c r="AX384" s="327"/>
      <c r="AY384" s="327"/>
      <c r="AZ384" s="327"/>
      <c r="BA384" s="327"/>
      <c r="BB384" s="46">
        <f t="shared" si="157"/>
        <v>15</v>
      </c>
      <c r="BC384" s="46">
        <f t="shared" si="164"/>
        <v>16</v>
      </c>
      <c r="BD384" s="46">
        <f t="shared" si="166"/>
        <v>5</v>
      </c>
      <c r="BE384" s="46">
        <f t="shared" si="158"/>
        <v>5</v>
      </c>
      <c r="BF384" s="296">
        <f t="shared" si="148"/>
        <v>31</v>
      </c>
      <c r="BG384" s="2"/>
      <c r="BH384" s="2"/>
      <c r="BI384" s="2"/>
      <c r="BJ384" s="2"/>
      <c r="BK384" s="279">
        <f t="shared" si="165"/>
        <v>1</v>
      </c>
      <c r="BL384" s="279">
        <f t="shared" si="159"/>
        <v>31</v>
      </c>
      <c r="BM384" s="279"/>
      <c r="BN384" s="279"/>
      <c r="BO384" s="2">
        <f t="shared" si="160"/>
        <v>31</v>
      </c>
      <c r="BP384" s="430"/>
      <c r="BQ384" s="431"/>
      <c r="BR384" s="2"/>
      <c r="BS384" s="25"/>
      <c r="BT384" s="348">
        <f t="shared" si="167"/>
        <v>1</v>
      </c>
      <c r="BU384" s="56"/>
      <c r="BV384" s="282">
        <f t="shared" si="161"/>
        <v>0</v>
      </c>
      <c r="BW384" s="379"/>
      <c r="BX384" s="269">
        <f t="shared" si="162"/>
        <v>0</v>
      </c>
      <c r="BY384" s="264"/>
      <c r="BZ384" s="264"/>
      <c r="CA384" s="264"/>
      <c r="CB384" s="264"/>
      <c r="CC384" s="264"/>
      <c r="CD384" s="14">
        <f t="shared" si="163"/>
        <v>-15</v>
      </c>
      <c r="CE384" s="14">
        <f t="shared" si="145"/>
        <v>31</v>
      </c>
      <c r="CF384" s="2">
        <f t="shared" si="168"/>
        <v>1</v>
      </c>
      <c r="CL384" s="349"/>
      <c r="CM384" s="349"/>
      <c r="CN384" s="349"/>
      <c r="CO384" s="349"/>
      <c r="CP384" s="349"/>
      <c r="CQ384" s="14"/>
    </row>
    <row r="385" spans="1:95" s="1" customFormat="1" ht="29.4" customHeight="1">
      <c r="A385" s="46">
        <v>30</v>
      </c>
      <c r="B385" s="363">
        <v>10</v>
      </c>
      <c r="C385" s="363">
        <v>415</v>
      </c>
      <c r="D385" s="362"/>
      <c r="E385" s="362"/>
      <c r="F385" s="363"/>
      <c r="G385" s="312" t="s">
        <v>1991</v>
      </c>
      <c r="H385" s="312" t="s">
        <v>1991</v>
      </c>
      <c r="I385" s="312" t="s">
        <v>1991</v>
      </c>
      <c r="J385" s="312" t="s">
        <v>1991</v>
      </c>
      <c r="K385" s="312" t="s">
        <v>1991</v>
      </c>
      <c r="L385" s="312" t="s">
        <v>1991</v>
      </c>
      <c r="M385" s="312" t="s">
        <v>1991</v>
      </c>
      <c r="N385" s="312" t="s">
        <v>1991</v>
      </c>
      <c r="O385" s="312" t="s">
        <v>1991</v>
      </c>
      <c r="P385" s="312" t="s">
        <v>1991</v>
      </c>
      <c r="Q385" s="312" t="s">
        <v>1991</v>
      </c>
      <c r="R385" s="312" t="s">
        <v>1991</v>
      </c>
      <c r="S385" s="312" t="s">
        <v>1991</v>
      </c>
      <c r="T385" s="323" t="s">
        <v>1991</v>
      </c>
      <c r="U385" s="312" t="s">
        <v>1991</v>
      </c>
      <c r="V385" s="46" t="s">
        <v>1991</v>
      </c>
      <c r="W385" s="46" t="s">
        <v>1991</v>
      </c>
      <c r="X385" s="46" t="s">
        <v>1991</v>
      </c>
      <c r="Y385" s="46" t="s">
        <v>1991</v>
      </c>
      <c r="Z385" s="46" t="s">
        <v>1991</v>
      </c>
      <c r="AA385" s="46" t="s">
        <v>1991</v>
      </c>
      <c r="AB385" s="46" t="s">
        <v>1991</v>
      </c>
      <c r="AC385" s="46" t="s">
        <v>1991</v>
      </c>
      <c r="AD385" s="46" t="s">
        <v>1991</v>
      </c>
      <c r="AE385" s="46" t="s">
        <v>1991</v>
      </c>
      <c r="AF385" s="46" t="s">
        <v>1991</v>
      </c>
      <c r="AG385" s="46" t="s">
        <v>1991</v>
      </c>
      <c r="AH385" s="46" t="s">
        <v>1991</v>
      </c>
      <c r="AI385" s="46" t="s">
        <v>1991</v>
      </c>
      <c r="AJ385" s="46" t="s">
        <v>1991</v>
      </c>
      <c r="AK385" s="46" t="s">
        <v>1991</v>
      </c>
      <c r="AL385" s="327"/>
      <c r="AM385" s="327" t="s">
        <v>1991</v>
      </c>
      <c r="AN385" s="327" t="s">
        <v>1991</v>
      </c>
      <c r="AO385" s="327" t="s">
        <v>1991</v>
      </c>
      <c r="AP385" s="327"/>
      <c r="AQ385" s="327"/>
      <c r="AR385" s="327"/>
      <c r="AS385" s="327" t="s">
        <v>1991</v>
      </c>
      <c r="AT385" s="327" t="s">
        <v>1991</v>
      </c>
      <c r="AU385" s="327"/>
      <c r="AV385" s="327"/>
      <c r="AW385" s="327"/>
      <c r="AX385" s="327"/>
      <c r="AY385" s="327"/>
      <c r="AZ385" s="327"/>
      <c r="BA385" s="327"/>
      <c r="BB385" s="46">
        <f t="shared" si="157"/>
        <v>15</v>
      </c>
      <c r="BC385" s="46">
        <f t="shared" si="164"/>
        <v>16</v>
      </c>
      <c r="BD385" s="46">
        <f t="shared" si="166"/>
        <v>5</v>
      </c>
      <c r="BE385" s="46">
        <f t="shared" si="158"/>
        <v>5</v>
      </c>
      <c r="BF385" s="296">
        <f t="shared" si="148"/>
        <v>31</v>
      </c>
      <c r="BG385" s="2"/>
      <c r="BH385" s="2"/>
      <c r="BI385" s="2"/>
      <c r="BJ385" s="2"/>
      <c r="BK385" s="279">
        <f t="shared" si="165"/>
        <v>1</v>
      </c>
      <c r="BL385" s="279">
        <f t="shared" si="159"/>
        <v>31</v>
      </c>
      <c r="BM385" s="279"/>
      <c r="BN385" s="279"/>
      <c r="BO385" s="2">
        <f t="shared" si="160"/>
        <v>31</v>
      </c>
      <c r="BP385" s="430"/>
      <c r="BQ385" s="431"/>
      <c r="BR385" s="2"/>
      <c r="BS385" s="25"/>
      <c r="BT385" s="348">
        <f t="shared" si="167"/>
        <v>1</v>
      </c>
      <c r="BU385" s="56"/>
      <c r="BV385" s="282">
        <f t="shared" si="161"/>
        <v>0</v>
      </c>
      <c r="BW385" s="379"/>
      <c r="BX385" s="269">
        <f t="shared" si="162"/>
        <v>0</v>
      </c>
      <c r="BY385" s="264"/>
      <c r="BZ385" s="264"/>
      <c r="CA385" s="264"/>
      <c r="CB385" s="264"/>
      <c r="CC385" s="264"/>
      <c r="CD385" s="14">
        <f t="shared" si="163"/>
        <v>-15</v>
      </c>
      <c r="CE385" s="14">
        <f t="shared" si="145"/>
        <v>31</v>
      </c>
      <c r="CF385" s="2">
        <f t="shared" si="168"/>
        <v>1</v>
      </c>
      <c r="CL385" s="349"/>
      <c r="CM385" s="349"/>
      <c r="CN385" s="349"/>
      <c r="CO385" s="349"/>
      <c r="CP385" s="349"/>
      <c r="CQ385" s="14"/>
    </row>
    <row r="386" spans="1:95" s="1" customFormat="1" ht="29.4" customHeight="1">
      <c r="A386" s="46">
        <v>31</v>
      </c>
      <c r="B386" s="363">
        <v>10</v>
      </c>
      <c r="C386" s="363">
        <v>416</v>
      </c>
      <c r="D386" s="362"/>
      <c r="E386" s="362"/>
      <c r="F386" s="363"/>
      <c r="G386" s="312" t="s">
        <v>1991</v>
      </c>
      <c r="H386" s="312" t="s">
        <v>1991</v>
      </c>
      <c r="I386" s="312" t="s">
        <v>1991</v>
      </c>
      <c r="J386" s="312"/>
      <c r="K386" s="312" t="s">
        <v>1991</v>
      </c>
      <c r="L386" s="312" t="s">
        <v>1991</v>
      </c>
      <c r="M386" s="312" t="s">
        <v>1991</v>
      </c>
      <c r="N386" s="312" t="s">
        <v>1991</v>
      </c>
      <c r="O386" s="312" t="s">
        <v>1991</v>
      </c>
      <c r="P386" s="312" t="s">
        <v>1991</v>
      </c>
      <c r="Q386" s="312" t="s">
        <v>1991</v>
      </c>
      <c r="R386" s="312" t="s">
        <v>1991</v>
      </c>
      <c r="S386" s="312" t="s">
        <v>1991</v>
      </c>
      <c r="T386" s="323" t="s">
        <v>1991</v>
      </c>
      <c r="U386" s="312" t="s">
        <v>1991</v>
      </c>
      <c r="V386" s="46" t="s">
        <v>1991</v>
      </c>
      <c r="W386" s="46" t="s">
        <v>1991</v>
      </c>
      <c r="X386" s="46" t="s">
        <v>1991</v>
      </c>
      <c r="Y386" s="46">
        <v>0</v>
      </c>
      <c r="Z386" s="46" t="s">
        <v>1991</v>
      </c>
      <c r="AA386" s="46" t="s">
        <v>1991</v>
      </c>
      <c r="AB386" s="46" t="s">
        <v>1991</v>
      </c>
      <c r="AC386" s="46" t="s">
        <v>1991</v>
      </c>
      <c r="AD386" s="46" t="s">
        <v>1991</v>
      </c>
      <c r="AE386" s="46" t="s">
        <v>1991</v>
      </c>
      <c r="AF386" s="46">
        <v>0</v>
      </c>
      <c r="AG386" s="46" t="s">
        <v>1991</v>
      </c>
      <c r="AH386" s="46">
        <v>0</v>
      </c>
      <c r="AI386" s="46" t="s">
        <v>1991</v>
      </c>
      <c r="AJ386" s="46" t="s">
        <v>1991</v>
      </c>
      <c r="AK386" s="46" t="s">
        <v>1991</v>
      </c>
      <c r="AL386" s="327"/>
      <c r="AM386" s="327" t="s">
        <v>1991</v>
      </c>
      <c r="AN386" s="327">
        <v>0</v>
      </c>
      <c r="AO386" s="327">
        <v>0</v>
      </c>
      <c r="AP386" s="327"/>
      <c r="AQ386" s="327"/>
      <c r="AR386" s="327"/>
      <c r="AS386" s="327">
        <v>0</v>
      </c>
      <c r="AT386" s="327">
        <v>0</v>
      </c>
      <c r="AU386" s="327"/>
      <c r="AV386" s="327"/>
      <c r="AW386" s="327"/>
      <c r="AX386" s="327"/>
      <c r="AY386" s="327"/>
      <c r="AZ386" s="327"/>
      <c r="BA386" s="327"/>
      <c r="BB386" s="46">
        <f t="shared" si="157"/>
        <v>14</v>
      </c>
      <c r="BC386" s="46">
        <f t="shared" si="164"/>
        <v>13</v>
      </c>
      <c r="BD386" s="46">
        <f t="shared" si="166"/>
        <v>1</v>
      </c>
      <c r="BE386" s="46">
        <f t="shared" si="158"/>
        <v>1</v>
      </c>
      <c r="BF386" s="296">
        <f t="shared" si="148"/>
        <v>27</v>
      </c>
      <c r="BG386" s="2"/>
      <c r="BH386" s="2"/>
      <c r="BI386" s="2"/>
      <c r="BJ386" s="2"/>
      <c r="BK386" s="279">
        <f t="shared" si="165"/>
        <v>1</v>
      </c>
      <c r="BL386" s="279">
        <f t="shared" si="159"/>
        <v>27</v>
      </c>
      <c r="BM386" s="279"/>
      <c r="BN386" s="279"/>
      <c r="BO386" s="2">
        <f t="shared" si="160"/>
        <v>27</v>
      </c>
      <c r="BP386" s="430"/>
      <c r="BQ386" s="431"/>
      <c r="BR386" s="2"/>
      <c r="BS386" s="25"/>
      <c r="BT386" s="348">
        <f t="shared" si="167"/>
        <v>1</v>
      </c>
      <c r="BU386" s="56"/>
      <c r="BV386" s="282">
        <f t="shared" si="161"/>
        <v>0</v>
      </c>
      <c r="BW386" s="379"/>
      <c r="BX386" s="269">
        <f t="shared" si="162"/>
        <v>0</v>
      </c>
      <c r="BY386" s="264"/>
      <c r="BZ386" s="264"/>
      <c r="CA386" s="264"/>
      <c r="CB386" s="264"/>
      <c r="CC386" s="264"/>
      <c r="CD386" s="14">
        <f t="shared" si="163"/>
        <v>-14</v>
      </c>
      <c r="CE386" s="14">
        <f t="shared" si="145"/>
        <v>27</v>
      </c>
      <c r="CF386" s="2">
        <f t="shared" si="168"/>
        <v>1</v>
      </c>
      <c r="CL386" s="349"/>
      <c r="CM386" s="349"/>
      <c r="CN386" s="349"/>
      <c r="CO386" s="349"/>
      <c r="CP386" s="349"/>
      <c r="CQ386" s="14"/>
    </row>
    <row r="387" spans="1:95" s="1" customFormat="1" ht="29.4" customHeight="1">
      <c r="A387" s="46">
        <v>32</v>
      </c>
      <c r="B387" s="363">
        <v>10</v>
      </c>
      <c r="C387" s="363">
        <v>417</v>
      </c>
      <c r="D387" s="362"/>
      <c r="E387" s="362"/>
      <c r="F387" s="363"/>
      <c r="G387" s="312" t="s">
        <v>1991</v>
      </c>
      <c r="H387" s="312" t="s">
        <v>1991</v>
      </c>
      <c r="I387" s="312" t="s">
        <v>1991</v>
      </c>
      <c r="J387" s="312"/>
      <c r="K387" s="312">
        <v>0</v>
      </c>
      <c r="L387" s="312" t="s">
        <v>1991</v>
      </c>
      <c r="M387" s="312" t="s">
        <v>1991</v>
      </c>
      <c r="N387" s="312" t="s">
        <v>1991</v>
      </c>
      <c r="O387" s="312" t="s">
        <v>1991</v>
      </c>
      <c r="P387" s="312" t="s">
        <v>1991</v>
      </c>
      <c r="Q387" s="312" t="s">
        <v>1991</v>
      </c>
      <c r="R387" s="312" t="s">
        <v>1991</v>
      </c>
      <c r="S387" s="312" t="s">
        <v>1991</v>
      </c>
      <c r="T387" s="323" t="s">
        <v>1991</v>
      </c>
      <c r="U387" s="312" t="s">
        <v>1991</v>
      </c>
      <c r="V387" s="46" t="s">
        <v>1991</v>
      </c>
      <c r="W387" s="46" t="s">
        <v>1991</v>
      </c>
      <c r="X387" s="46" t="s">
        <v>1991</v>
      </c>
      <c r="Y387" s="46" t="s">
        <v>1991</v>
      </c>
      <c r="Z387" s="46" t="s">
        <v>1991</v>
      </c>
      <c r="AA387" s="46" t="s">
        <v>1991</v>
      </c>
      <c r="AB387" s="46" t="s">
        <v>1991</v>
      </c>
      <c r="AC387" s="46" t="s">
        <v>1991</v>
      </c>
      <c r="AD387" s="46" t="s">
        <v>1991</v>
      </c>
      <c r="AE387" s="46" t="s">
        <v>1991</v>
      </c>
      <c r="AF387" s="46" t="s">
        <v>1991</v>
      </c>
      <c r="AG387" s="46" t="s">
        <v>1991</v>
      </c>
      <c r="AH387" s="46" t="s">
        <v>1991</v>
      </c>
      <c r="AI387" s="46" t="s">
        <v>1991</v>
      </c>
      <c r="AJ387" s="46" t="s">
        <v>1991</v>
      </c>
      <c r="AK387" s="46" t="s">
        <v>1991</v>
      </c>
      <c r="AL387" s="327"/>
      <c r="AM387" s="327" t="s">
        <v>1991</v>
      </c>
      <c r="AN387" s="327" t="s">
        <v>1991</v>
      </c>
      <c r="AO387" s="327" t="s">
        <v>1991</v>
      </c>
      <c r="AP387" s="327"/>
      <c r="AQ387" s="327"/>
      <c r="AR387" s="327"/>
      <c r="AS387" s="327" t="s">
        <v>1991</v>
      </c>
      <c r="AT387" s="327" t="s">
        <v>1991</v>
      </c>
      <c r="AU387" s="327"/>
      <c r="AV387" s="327"/>
      <c r="AW387" s="327"/>
      <c r="AX387" s="327"/>
      <c r="AY387" s="327"/>
      <c r="AZ387" s="327"/>
      <c r="BA387" s="327"/>
      <c r="BB387" s="46">
        <f t="shared" si="157"/>
        <v>13</v>
      </c>
      <c r="BC387" s="46">
        <f t="shared" si="164"/>
        <v>16</v>
      </c>
      <c r="BD387" s="46">
        <f t="shared" si="166"/>
        <v>5</v>
      </c>
      <c r="BE387" s="46">
        <f t="shared" si="158"/>
        <v>5</v>
      </c>
      <c r="BF387" s="296">
        <f t="shared" si="148"/>
        <v>29</v>
      </c>
      <c r="BG387" s="2"/>
      <c r="BH387" s="2"/>
      <c r="BI387" s="2"/>
      <c r="BJ387" s="2"/>
      <c r="BK387" s="279">
        <f t="shared" si="165"/>
        <v>1</v>
      </c>
      <c r="BL387" s="279">
        <f t="shared" si="159"/>
        <v>29</v>
      </c>
      <c r="BM387" s="279"/>
      <c r="BN387" s="279"/>
      <c r="BO387" s="2">
        <f t="shared" si="160"/>
        <v>29</v>
      </c>
      <c r="BP387" s="430"/>
      <c r="BQ387" s="431"/>
      <c r="BR387" s="2"/>
      <c r="BS387" s="25"/>
      <c r="BT387" s="348">
        <f t="shared" si="167"/>
        <v>1</v>
      </c>
      <c r="BU387" s="56"/>
      <c r="BV387" s="282">
        <f t="shared" si="161"/>
        <v>0</v>
      </c>
      <c r="BW387" s="379"/>
      <c r="BX387" s="269">
        <f t="shared" si="162"/>
        <v>0</v>
      </c>
      <c r="BY387" s="264"/>
      <c r="BZ387" s="264"/>
      <c r="CA387" s="264"/>
      <c r="CB387" s="264"/>
      <c r="CC387" s="264"/>
      <c r="CD387" s="14">
        <f t="shared" si="163"/>
        <v>-13</v>
      </c>
      <c r="CE387" s="14">
        <f>IF(CF387&gt;0,BF387,0)</f>
        <v>29</v>
      </c>
      <c r="CF387" s="2">
        <f t="shared" si="168"/>
        <v>1</v>
      </c>
      <c r="CL387" s="349"/>
      <c r="CM387" s="349"/>
      <c r="CN387" s="349"/>
      <c r="CO387" s="349"/>
      <c r="CP387" s="349"/>
      <c r="CQ387" s="14"/>
    </row>
    <row r="388" spans="1:95" s="1" customFormat="1" ht="29.4" customHeight="1">
      <c r="A388" s="46">
        <v>33</v>
      </c>
      <c r="B388" s="363">
        <v>10</v>
      </c>
      <c r="C388" s="363">
        <v>418</v>
      </c>
      <c r="D388" s="362"/>
      <c r="E388" s="362"/>
      <c r="F388" s="363"/>
      <c r="G388" s="312" t="s">
        <v>1991</v>
      </c>
      <c r="H388" s="312" t="s">
        <v>1991</v>
      </c>
      <c r="I388" s="312" t="s">
        <v>1991</v>
      </c>
      <c r="J388" s="312" t="s">
        <v>1991</v>
      </c>
      <c r="K388" s="312" t="s">
        <v>1991</v>
      </c>
      <c r="L388" s="312" t="s">
        <v>1991</v>
      </c>
      <c r="M388" s="312" t="s">
        <v>1991</v>
      </c>
      <c r="N388" s="312" t="s">
        <v>1991</v>
      </c>
      <c r="O388" s="312" t="s">
        <v>1991</v>
      </c>
      <c r="P388" s="312" t="s">
        <v>1991</v>
      </c>
      <c r="Q388" s="312" t="s">
        <v>1991</v>
      </c>
      <c r="R388" s="312" t="s">
        <v>1991</v>
      </c>
      <c r="S388" s="312" t="s">
        <v>1991</v>
      </c>
      <c r="T388" s="323" t="s">
        <v>1991</v>
      </c>
      <c r="U388" s="312" t="s">
        <v>1991</v>
      </c>
      <c r="V388" s="46" t="s">
        <v>1991</v>
      </c>
      <c r="W388" s="46" t="s">
        <v>1991</v>
      </c>
      <c r="X388" s="46" t="s">
        <v>1991</v>
      </c>
      <c r="Y388" s="46" t="s">
        <v>1991</v>
      </c>
      <c r="Z388" s="46" t="s">
        <v>1991</v>
      </c>
      <c r="AA388" s="46" t="s">
        <v>1991</v>
      </c>
      <c r="AB388" s="46" t="s">
        <v>1991</v>
      </c>
      <c r="AC388" s="46" t="s">
        <v>1991</v>
      </c>
      <c r="AD388" s="46" t="s">
        <v>1991</v>
      </c>
      <c r="AE388" s="46" t="s">
        <v>1991</v>
      </c>
      <c r="AF388" s="46" t="s">
        <v>1991</v>
      </c>
      <c r="AG388" s="46" t="s">
        <v>1991</v>
      </c>
      <c r="AH388" s="46" t="s">
        <v>1991</v>
      </c>
      <c r="AI388" s="46" t="s">
        <v>1991</v>
      </c>
      <c r="AJ388" s="46" t="s">
        <v>1991</v>
      </c>
      <c r="AK388" s="46" t="s">
        <v>1991</v>
      </c>
      <c r="AL388" s="327"/>
      <c r="AM388" s="327" t="s">
        <v>1991</v>
      </c>
      <c r="AN388" s="327" t="s">
        <v>1991</v>
      </c>
      <c r="AO388" s="327" t="s">
        <v>1991</v>
      </c>
      <c r="AP388" s="327"/>
      <c r="AQ388" s="327"/>
      <c r="AR388" s="327"/>
      <c r="AS388" s="327" t="s">
        <v>1991</v>
      </c>
      <c r="AT388" s="327" t="s">
        <v>1991</v>
      </c>
      <c r="AU388" s="327"/>
      <c r="AV388" s="327"/>
      <c r="AW388" s="327"/>
      <c r="AX388" s="327"/>
      <c r="AY388" s="327"/>
      <c r="AZ388" s="327"/>
      <c r="BA388" s="327"/>
      <c r="BB388" s="46">
        <f t="shared" si="157"/>
        <v>15</v>
      </c>
      <c r="BC388" s="46">
        <f t="shared" si="164"/>
        <v>16</v>
      </c>
      <c r="BD388" s="46">
        <f t="shared" si="166"/>
        <v>5</v>
      </c>
      <c r="BE388" s="46">
        <f t="shared" si="158"/>
        <v>5</v>
      </c>
      <c r="BF388" s="296">
        <f t="shared" si="148"/>
        <v>31</v>
      </c>
      <c r="BG388" s="2"/>
      <c r="BH388" s="2"/>
      <c r="BI388" s="2"/>
      <c r="BJ388" s="2"/>
      <c r="BK388" s="279">
        <f t="shared" si="165"/>
        <v>1</v>
      </c>
      <c r="BL388" s="279">
        <f t="shared" si="159"/>
        <v>31</v>
      </c>
      <c r="BM388" s="279"/>
      <c r="BN388" s="279"/>
      <c r="BO388" s="2">
        <f t="shared" si="160"/>
        <v>31</v>
      </c>
      <c r="BP388" s="430"/>
      <c r="BQ388" s="431"/>
      <c r="BR388" s="2"/>
      <c r="BS388" s="25"/>
      <c r="BT388" s="348">
        <f t="shared" si="167"/>
        <v>1</v>
      </c>
      <c r="BU388" s="56"/>
      <c r="BV388" s="282">
        <f t="shared" si="161"/>
        <v>0</v>
      </c>
      <c r="BW388" s="379"/>
      <c r="BX388" s="269">
        <f t="shared" si="162"/>
        <v>0</v>
      </c>
      <c r="BY388" s="264"/>
      <c r="BZ388" s="264"/>
      <c r="CA388" s="264"/>
      <c r="CB388" s="264"/>
      <c r="CC388" s="264"/>
      <c r="CD388" s="14">
        <f t="shared" si="163"/>
        <v>-15</v>
      </c>
      <c r="CE388" s="14">
        <f>IF(CF388&gt;0,BF388,0)</f>
        <v>31</v>
      </c>
      <c r="CF388" s="2">
        <f t="shared" si="168"/>
        <v>1</v>
      </c>
      <c r="CL388" s="349"/>
      <c r="CM388" s="349"/>
      <c r="CN388" s="349"/>
      <c r="CO388" s="349"/>
      <c r="CP388" s="349"/>
      <c r="CQ388" s="14"/>
    </row>
    <row r="389" spans="1:95" s="1" customFormat="1" ht="29.4" customHeight="1">
      <c r="A389" s="46">
        <v>34</v>
      </c>
      <c r="B389" s="363">
        <v>10</v>
      </c>
      <c r="C389" s="363">
        <v>419</v>
      </c>
      <c r="D389" s="362"/>
      <c r="E389" s="362"/>
      <c r="F389" s="363"/>
      <c r="G389" s="312" t="s">
        <v>1991</v>
      </c>
      <c r="H389" s="312" t="s">
        <v>1991</v>
      </c>
      <c r="I389" s="312" t="s">
        <v>1991</v>
      </c>
      <c r="J389" s="312" t="s">
        <v>1991</v>
      </c>
      <c r="K389" s="312" t="s">
        <v>1991</v>
      </c>
      <c r="L389" s="312" t="s">
        <v>1991</v>
      </c>
      <c r="M389" s="312" t="s">
        <v>1991</v>
      </c>
      <c r="N389" s="312" t="s">
        <v>1991</v>
      </c>
      <c r="O389" s="312" t="s">
        <v>1991</v>
      </c>
      <c r="P389" s="312" t="s">
        <v>1991</v>
      </c>
      <c r="Q389" s="312" t="s">
        <v>1991</v>
      </c>
      <c r="R389" s="312" t="s">
        <v>1991</v>
      </c>
      <c r="S389" s="312" t="s">
        <v>1991</v>
      </c>
      <c r="T389" s="323" t="s">
        <v>1991</v>
      </c>
      <c r="U389" s="312" t="s">
        <v>1991</v>
      </c>
      <c r="V389" s="46" t="s">
        <v>1991</v>
      </c>
      <c r="W389" s="46" t="s">
        <v>1991</v>
      </c>
      <c r="X389" s="46" t="s">
        <v>1991</v>
      </c>
      <c r="Y389" s="46" t="s">
        <v>1991</v>
      </c>
      <c r="Z389" s="46" t="s">
        <v>1991</v>
      </c>
      <c r="AA389" s="46" t="s">
        <v>1991</v>
      </c>
      <c r="AB389" s="46" t="s">
        <v>1991</v>
      </c>
      <c r="AC389" s="46" t="s">
        <v>1991</v>
      </c>
      <c r="AD389" s="46" t="s">
        <v>1991</v>
      </c>
      <c r="AE389" s="46" t="s">
        <v>1991</v>
      </c>
      <c r="AF389" s="46" t="s">
        <v>1991</v>
      </c>
      <c r="AG389" s="46" t="s">
        <v>1991</v>
      </c>
      <c r="AH389" s="46" t="s">
        <v>1991</v>
      </c>
      <c r="AI389" s="46" t="s">
        <v>1991</v>
      </c>
      <c r="AJ389" s="46" t="s">
        <v>1991</v>
      </c>
      <c r="AK389" s="46" t="s">
        <v>1991</v>
      </c>
      <c r="AL389" s="327"/>
      <c r="AM389" s="327" t="s">
        <v>1991</v>
      </c>
      <c r="AN389" s="327" t="s">
        <v>1991</v>
      </c>
      <c r="AO389" s="327" t="s">
        <v>1991</v>
      </c>
      <c r="AP389" s="327"/>
      <c r="AQ389" s="327"/>
      <c r="AR389" s="327"/>
      <c r="AS389" s="327" t="s">
        <v>1991</v>
      </c>
      <c r="AT389" s="327" t="s">
        <v>1991</v>
      </c>
      <c r="AU389" s="327"/>
      <c r="AV389" s="327"/>
      <c r="AW389" s="327"/>
      <c r="AX389" s="327"/>
      <c r="AY389" s="327"/>
      <c r="AZ389" s="327"/>
      <c r="BA389" s="327"/>
      <c r="BB389" s="46">
        <f t="shared" si="157"/>
        <v>15</v>
      </c>
      <c r="BC389" s="46">
        <f t="shared" si="164"/>
        <v>16</v>
      </c>
      <c r="BD389" s="46">
        <f t="shared" si="166"/>
        <v>5</v>
      </c>
      <c r="BE389" s="46">
        <f t="shared" si="158"/>
        <v>5</v>
      </c>
      <c r="BF389" s="296">
        <f>BB389+BC389</f>
        <v>31</v>
      </c>
      <c r="BG389" s="2"/>
      <c r="BH389" s="2"/>
      <c r="BI389" s="2"/>
      <c r="BJ389" s="2"/>
      <c r="BK389" s="279">
        <f t="shared" si="165"/>
        <v>1</v>
      </c>
      <c r="BL389" s="279">
        <f t="shared" si="159"/>
        <v>31</v>
      </c>
      <c r="BM389" s="279"/>
      <c r="BN389" s="279"/>
      <c r="BO389" s="2">
        <f t="shared" si="160"/>
        <v>31</v>
      </c>
      <c r="BP389" s="430"/>
      <c r="BQ389" s="431"/>
      <c r="BR389" s="2"/>
      <c r="BS389" s="25"/>
      <c r="BT389" s="348">
        <f t="shared" si="167"/>
        <v>1</v>
      </c>
      <c r="BU389" s="56"/>
      <c r="BV389" s="282">
        <f t="shared" si="161"/>
        <v>0</v>
      </c>
      <c r="BW389" s="379"/>
      <c r="BX389" s="269">
        <f t="shared" si="162"/>
        <v>0</v>
      </c>
      <c r="BY389" s="264"/>
      <c r="BZ389" s="264"/>
      <c r="CA389" s="264"/>
      <c r="CB389" s="264"/>
      <c r="CC389" s="264"/>
      <c r="CD389" s="14">
        <f t="shared" si="163"/>
        <v>-15</v>
      </c>
      <c r="CE389" s="14">
        <f>IF(CF389&gt;0,BF389,0)</f>
        <v>31</v>
      </c>
      <c r="CF389" s="2">
        <f t="shared" si="168"/>
        <v>1</v>
      </c>
      <c r="CL389" s="349"/>
      <c r="CM389" s="349"/>
      <c r="CN389" s="349"/>
      <c r="CO389" s="349"/>
      <c r="CP389" s="349"/>
      <c r="CQ389" s="14"/>
    </row>
    <row r="390" spans="1:95" s="1" customFormat="1" ht="29.4" customHeight="1">
      <c r="A390" s="46">
        <v>35</v>
      </c>
      <c r="B390" s="363">
        <v>10</v>
      </c>
      <c r="C390" s="46">
        <v>420</v>
      </c>
      <c r="D390" s="362"/>
      <c r="E390" s="362"/>
      <c r="F390" s="363"/>
      <c r="G390" s="312" t="s">
        <v>1991</v>
      </c>
      <c r="H390" s="312" t="s">
        <v>1991</v>
      </c>
      <c r="I390" s="312" t="s">
        <v>1991</v>
      </c>
      <c r="J390" s="312"/>
      <c r="K390" s="312" t="s">
        <v>1991</v>
      </c>
      <c r="L390" s="312" t="s">
        <v>1991</v>
      </c>
      <c r="M390" s="312" t="s">
        <v>1991</v>
      </c>
      <c r="N390" s="312" t="s">
        <v>1991</v>
      </c>
      <c r="O390" s="312" t="s">
        <v>1991</v>
      </c>
      <c r="P390" s="312" t="s">
        <v>1991</v>
      </c>
      <c r="Q390" s="312" t="s">
        <v>1991</v>
      </c>
      <c r="R390" s="312" t="s">
        <v>1991</v>
      </c>
      <c r="S390" s="312" t="s">
        <v>1991</v>
      </c>
      <c r="T390" s="323" t="s">
        <v>1991</v>
      </c>
      <c r="U390" s="312" t="s">
        <v>1991</v>
      </c>
      <c r="V390" s="46" t="s">
        <v>1991</v>
      </c>
      <c r="W390" s="46" t="s">
        <v>1991</v>
      </c>
      <c r="X390" s="46" t="s">
        <v>1991</v>
      </c>
      <c r="Y390" s="46" t="s">
        <v>1991</v>
      </c>
      <c r="Z390" s="46" t="s">
        <v>1991</v>
      </c>
      <c r="AA390" s="46" t="s">
        <v>1991</v>
      </c>
      <c r="AB390" s="46" t="s">
        <v>1991</v>
      </c>
      <c r="AC390" s="46" t="s">
        <v>1991</v>
      </c>
      <c r="AD390" s="46" t="s">
        <v>1991</v>
      </c>
      <c r="AE390" s="46" t="s">
        <v>1991</v>
      </c>
      <c r="AF390" s="46" t="s">
        <v>1991</v>
      </c>
      <c r="AG390" s="46" t="s">
        <v>1991</v>
      </c>
      <c r="AH390" s="46" t="s">
        <v>1991</v>
      </c>
      <c r="AI390" s="46" t="s">
        <v>1991</v>
      </c>
      <c r="AJ390" s="46" t="s">
        <v>1991</v>
      </c>
      <c r="AK390" s="46" t="s">
        <v>1991</v>
      </c>
      <c r="AL390" s="327"/>
      <c r="AM390" s="327" t="s">
        <v>1991</v>
      </c>
      <c r="AN390" s="327" t="s">
        <v>1991</v>
      </c>
      <c r="AO390" s="327" t="s">
        <v>1991</v>
      </c>
      <c r="AP390" s="327"/>
      <c r="AQ390" s="327"/>
      <c r="AR390" s="327"/>
      <c r="AS390" s="327">
        <v>0</v>
      </c>
      <c r="AT390" s="327">
        <v>0</v>
      </c>
      <c r="AU390" s="327"/>
      <c r="AV390" s="327"/>
      <c r="AW390" s="327"/>
      <c r="AX390" s="327"/>
      <c r="AY390" s="327"/>
      <c r="AZ390" s="327"/>
      <c r="BA390" s="327"/>
      <c r="BB390" s="46">
        <f t="shared" si="157"/>
        <v>14</v>
      </c>
      <c r="BC390" s="46">
        <f t="shared" si="164"/>
        <v>16</v>
      </c>
      <c r="BD390" s="46">
        <f t="shared" si="166"/>
        <v>3</v>
      </c>
      <c r="BE390" s="46">
        <f t="shared" si="158"/>
        <v>3</v>
      </c>
      <c r="BF390" s="296">
        <f t="shared" ref="BF390:BF397" si="169">BB390+BC390</f>
        <v>30</v>
      </c>
      <c r="BG390" s="2"/>
      <c r="BH390" s="2"/>
      <c r="BI390" s="2"/>
      <c r="BJ390" s="2"/>
      <c r="BK390" s="279"/>
      <c r="BL390" s="279"/>
      <c r="BM390" s="279"/>
      <c r="BN390" s="279"/>
      <c r="BO390" s="2">
        <f t="shared" si="160"/>
        <v>30</v>
      </c>
      <c r="BP390" s="430"/>
      <c r="BQ390" s="431"/>
      <c r="BR390" s="2"/>
      <c r="BS390" s="25"/>
      <c r="BT390" s="348">
        <f t="shared" si="167"/>
        <v>1</v>
      </c>
      <c r="BU390" s="56"/>
      <c r="BV390" s="282">
        <f t="shared" ref="BV390:BV397" si="170">IF(AND(BU390&gt;0,BU390&lt;=1),50000,IF(AND(BU390&gt;1,BU390&lt;=3),40000,IF(AND(BU390&gt;3,BU390&lt;=5),20000,IF(AND(BU390&gt;5,BU390&lt;=9),0,IF(AND(BU390&gt;9,BU390&lt;=11),-20000,IF(AND(BU390&gt;11,BU390&lt;=13),-40000,IF(BU390&gt;13,-50000,0)))))))</f>
        <v>0</v>
      </c>
      <c r="BW390" s="379"/>
      <c r="BX390" s="269">
        <f t="shared" ref="BX390:BX397" si="171">IF(AND(BW390&gt;0,BW390&lt;=1),1.15,IF(AND(BW390&gt;1,BW390&lt;=3),1.1,IF(AND(BW390&gt;3,BW390&lt;=5),1.05,IF(AND(BW390&gt;5,BW390&lt;=9),1,IF(AND(BW390&gt;9,BW390&lt;=11),-0.05,IF(AND(BW390&gt;11,BW390&lt;=13),-0.1,IF(BW390&gt;13,-0.15,0)))))))</f>
        <v>0</v>
      </c>
      <c r="BY390" s="264"/>
      <c r="BZ390" s="264"/>
      <c r="CA390" s="264"/>
      <c r="CB390" s="264"/>
      <c r="CC390" s="264"/>
      <c r="CD390" s="14">
        <f t="shared" ref="CD390:CD397" si="172">CC390-BB390</f>
        <v>-14</v>
      </c>
      <c r="CE390" s="14">
        <f t="shared" ref="CE390:CE397" si="173">IF(CF390&gt;0,BF390,0)</f>
        <v>30</v>
      </c>
      <c r="CF390" s="2">
        <f t="shared" ref="CF390:CF397" si="174">IF(BF390&gt;=26,1,0)</f>
        <v>1</v>
      </c>
      <c r="CL390" s="349"/>
      <c r="CM390" s="349"/>
      <c r="CN390" s="349"/>
      <c r="CO390" s="349"/>
      <c r="CP390" s="349"/>
      <c r="CQ390" s="14"/>
    </row>
    <row r="391" spans="1:95" s="1" customFormat="1" ht="29.4" customHeight="1">
      <c r="A391" s="46">
        <v>36</v>
      </c>
      <c r="B391" s="363">
        <v>10</v>
      </c>
      <c r="C391" s="46">
        <v>421</v>
      </c>
      <c r="D391" s="362"/>
      <c r="E391" s="362"/>
      <c r="F391" s="363"/>
      <c r="G391" s="312" t="s">
        <v>1991</v>
      </c>
      <c r="H391" s="312" t="s">
        <v>1991</v>
      </c>
      <c r="I391" s="312" t="s">
        <v>1991</v>
      </c>
      <c r="J391" s="312"/>
      <c r="K391" s="312" t="s">
        <v>1991</v>
      </c>
      <c r="L391" s="312" t="s">
        <v>1991</v>
      </c>
      <c r="M391" s="312" t="s">
        <v>1991</v>
      </c>
      <c r="N391" s="312" t="s">
        <v>1991</v>
      </c>
      <c r="O391" s="312" t="s">
        <v>1991</v>
      </c>
      <c r="P391" s="312" t="s">
        <v>1991</v>
      </c>
      <c r="Q391" s="312" t="s">
        <v>1991</v>
      </c>
      <c r="R391" s="312" t="s">
        <v>1991</v>
      </c>
      <c r="S391" s="312" t="s">
        <v>1991</v>
      </c>
      <c r="T391" s="323" t="s">
        <v>1991</v>
      </c>
      <c r="U391" s="312" t="s">
        <v>1991</v>
      </c>
      <c r="V391" s="46" t="s">
        <v>1991</v>
      </c>
      <c r="W391" s="46" t="s">
        <v>1991</v>
      </c>
      <c r="X391" s="46" t="s">
        <v>1991</v>
      </c>
      <c r="Y391" s="46" t="s">
        <v>1991</v>
      </c>
      <c r="Z391" s="46" t="s">
        <v>1991</v>
      </c>
      <c r="AA391" s="46">
        <v>0</v>
      </c>
      <c r="AB391" s="46" t="s">
        <v>1991</v>
      </c>
      <c r="AC391" s="46" t="s">
        <v>1991</v>
      </c>
      <c r="AD391" s="46" t="s">
        <v>1991</v>
      </c>
      <c r="AE391" s="46" t="s">
        <v>1991</v>
      </c>
      <c r="AF391" s="46" t="s">
        <v>1991</v>
      </c>
      <c r="AG391" s="46" t="s">
        <v>1991</v>
      </c>
      <c r="AH391" s="46" t="s">
        <v>1991</v>
      </c>
      <c r="AI391" s="46" t="s">
        <v>1991</v>
      </c>
      <c r="AJ391" s="46" t="s">
        <v>1991</v>
      </c>
      <c r="AK391" s="46">
        <v>0</v>
      </c>
      <c r="AL391" s="327"/>
      <c r="AM391" s="327" t="s">
        <v>1991</v>
      </c>
      <c r="AN391" s="327" t="s">
        <v>1991</v>
      </c>
      <c r="AO391" s="327" t="s">
        <v>1991</v>
      </c>
      <c r="AP391" s="327"/>
      <c r="AQ391" s="327"/>
      <c r="AR391" s="327"/>
      <c r="AS391" s="327">
        <v>0</v>
      </c>
      <c r="AT391" s="327">
        <v>0</v>
      </c>
      <c r="AU391" s="327"/>
      <c r="AV391" s="327"/>
      <c r="AW391" s="327"/>
      <c r="AX391" s="327"/>
      <c r="AY391" s="327"/>
      <c r="AZ391" s="327"/>
      <c r="BA391" s="327"/>
      <c r="BB391" s="46">
        <f t="shared" si="157"/>
        <v>14</v>
      </c>
      <c r="BC391" s="46">
        <f t="shared" si="164"/>
        <v>14</v>
      </c>
      <c r="BD391" s="46">
        <f t="shared" si="166"/>
        <v>3</v>
      </c>
      <c r="BE391" s="46">
        <f t="shared" si="158"/>
        <v>3</v>
      </c>
      <c r="BF391" s="296">
        <f t="shared" si="169"/>
        <v>28</v>
      </c>
      <c r="BG391" s="2"/>
      <c r="BH391" s="2"/>
      <c r="BI391" s="2"/>
      <c r="BJ391" s="2"/>
      <c r="BK391" s="279"/>
      <c r="BL391" s="279"/>
      <c r="BM391" s="279"/>
      <c r="BN391" s="279"/>
      <c r="BO391" s="2">
        <f t="shared" si="160"/>
        <v>28</v>
      </c>
      <c r="BP391" s="430"/>
      <c r="BQ391" s="431"/>
      <c r="BR391" s="2"/>
      <c r="BS391" s="25"/>
      <c r="BT391" s="348">
        <f t="shared" si="167"/>
        <v>1</v>
      </c>
      <c r="BU391" s="56"/>
      <c r="BV391" s="282">
        <f t="shared" si="170"/>
        <v>0</v>
      </c>
      <c r="BW391" s="379"/>
      <c r="BX391" s="269">
        <f t="shared" si="171"/>
        <v>0</v>
      </c>
      <c r="BY391" s="264"/>
      <c r="BZ391" s="264"/>
      <c r="CA391" s="264"/>
      <c r="CB391" s="264"/>
      <c r="CC391" s="264"/>
      <c r="CD391" s="14">
        <f t="shared" si="172"/>
        <v>-14</v>
      </c>
      <c r="CE391" s="14">
        <f t="shared" si="173"/>
        <v>28</v>
      </c>
      <c r="CF391" s="2">
        <f t="shared" si="174"/>
        <v>1</v>
      </c>
      <c r="CL391" s="349"/>
      <c r="CM391" s="349"/>
      <c r="CN391" s="349"/>
      <c r="CO391" s="349"/>
      <c r="CP391" s="349"/>
      <c r="CQ391" s="14"/>
    </row>
    <row r="392" spans="1:95" s="1" customFormat="1" ht="29.4" customHeight="1">
      <c r="A392" s="46">
        <v>37</v>
      </c>
      <c r="B392" s="363">
        <v>10</v>
      </c>
      <c r="C392" s="46">
        <v>422</v>
      </c>
      <c r="D392" s="362"/>
      <c r="E392" s="362"/>
      <c r="F392" s="363"/>
      <c r="G392" s="312" t="s">
        <v>1991</v>
      </c>
      <c r="H392" s="312" t="s">
        <v>1991</v>
      </c>
      <c r="I392" s="312" t="s">
        <v>1991</v>
      </c>
      <c r="J392" s="312" t="s">
        <v>1991</v>
      </c>
      <c r="K392" s="312" t="s">
        <v>1991</v>
      </c>
      <c r="L392" s="312" t="s">
        <v>1991</v>
      </c>
      <c r="M392" s="312" t="s">
        <v>1991</v>
      </c>
      <c r="N392" s="312" t="s">
        <v>1991</v>
      </c>
      <c r="O392" s="312" t="s">
        <v>1991</v>
      </c>
      <c r="P392" s="312" t="s">
        <v>1991</v>
      </c>
      <c r="Q392" s="312" t="s">
        <v>1991</v>
      </c>
      <c r="R392" s="312" t="s">
        <v>1991</v>
      </c>
      <c r="S392" s="312" t="s">
        <v>1991</v>
      </c>
      <c r="T392" s="323" t="s">
        <v>1991</v>
      </c>
      <c r="U392" s="312" t="s">
        <v>1991</v>
      </c>
      <c r="V392" s="46" t="s">
        <v>1991</v>
      </c>
      <c r="W392" s="46" t="s">
        <v>1991</v>
      </c>
      <c r="X392" s="46" t="s">
        <v>1991</v>
      </c>
      <c r="Y392" s="46" t="s">
        <v>1991</v>
      </c>
      <c r="Z392" s="46" t="s">
        <v>1991</v>
      </c>
      <c r="AA392" s="46" t="s">
        <v>1991</v>
      </c>
      <c r="AB392" s="46" t="s">
        <v>1991</v>
      </c>
      <c r="AC392" s="46" t="s">
        <v>1991</v>
      </c>
      <c r="AD392" s="46" t="s">
        <v>1991</v>
      </c>
      <c r="AE392" s="46" t="s">
        <v>1991</v>
      </c>
      <c r="AF392" s="46">
        <v>0</v>
      </c>
      <c r="AG392" s="46" t="s">
        <v>1991</v>
      </c>
      <c r="AH392" s="46">
        <v>0</v>
      </c>
      <c r="AI392" s="46" t="s">
        <v>1991</v>
      </c>
      <c r="AJ392" s="46">
        <v>0</v>
      </c>
      <c r="AK392" s="46" t="s">
        <v>1991</v>
      </c>
      <c r="AL392" s="327"/>
      <c r="AM392" s="327" t="s">
        <v>1991</v>
      </c>
      <c r="AN392" s="327" t="s">
        <v>1991</v>
      </c>
      <c r="AO392" s="327">
        <v>0</v>
      </c>
      <c r="AP392" s="327"/>
      <c r="AQ392" s="327"/>
      <c r="AR392" s="327"/>
      <c r="AS392" s="327">
        <v>0</v>
      </c>
      <c r="AT392" s="327">
        <v>0</v>
      </c>
      <c r="AU392" s="327"/>
      <c r="AV392" s="327"/>
      <c r="AW392" s="327"/>
      <c r="AX392" s="327"/>
      <c r="AY392" s="327"/>
      <c r="AZ392" s="327"/>
      <c r="BA392" s="327"/>
      <c r="BB392" s="46">
        <f t="shared" si="157"/>
        <v>15</v>
      </c>
      <c r="BC392" s="46">
        <f t="shared" si="164"/>
        <v>13</v>
      </c>
      <c r="BD392" s="46">
        <f t="shared" si="166"/>
        <v>2</v>
      </c>
      <c r="BE392" s="46">
        <f t="shared" si="158"/>
        <v>2</v>
      </c>
      <c r="BF392" s="296">
        <f t="shared" si="169"/>
        <v>28</v>
      </c>
      <c r="BG392" s="2"/>
      <c r="BH392" s="2"/>
      <c r="BI392" s="2"/>
      <c r="BJ392" s="2"/>
      <c r="BK392" s="279"/>
      <c r="BL392" s="279"/>
      <c r="BM392" s="279"/>
      <c r="BN392" s="279"/>
      <c r="BO392" s="2">
        <f t="shared" si="160"/>
        <v>28</v>
      </c>
      <c r="BP392" s="430"/>
      <c r="BQ392" s="431"/>
      <c r="BR392" s="2"/>
      <c r="BS392" s="25"/>
      <c r="BT392" s="348">
        <f t="shared" si="167"/>
        <v>1</v>
      </c>
      <c r="BU392" s="56"/>
      <c r="BV392" s="282">
        <f t="shared" si="170"/>
        <v>0</v>
      </c>
      <c r="BW392" s="379"/>
      <c r="BX392" s="269">
        <f t="shared" si="171"/>
        <v>0</v>
      </c>
      <c r="BY392" s="264"/>
      <c r="BZ392" s="264"/>
      <c r="CA392" s="264"/>
      <c r="CB392" s="264"/>
      <c r="CC392" s="264"/>
      <c r="CD392" s="14">
        <f t="shared" si="172"/>
        <v>-15</v>
      </c>
      <c r="CE392" s="14">
        <f t="shared" si="173"/>
        <v>28</v>
      </c>
      <c r="CF392" s="2">
        <f t="shared" si="174"/>
        <v>1</v>
      </c>
      <c r="CL392" s="349"/>
      <c r="CM392" s="349"/>
      <c r="CN392" s="349"/>
      <c r="CO392" s="349"/>
      <c r="CP392" s="349"/>
      <c r="CQ392" s="14"/>
    </row>
    <row r="393" spans="1:95" s="1" customFormat="1" ht="29.4" customHeight="1">
      <c r="A393" s="46">
        <v>38</v>
      </c>
      <c r="B393" s="363">
        <v>10</v>
      </c>
      <c r="C393" s="46">
        <v>423</v>
      </c>
      <c r="D393" s="362"/>
      <c r="E393" s="362"/>
      <c r="F393" s="363"/>
      <c r="G393" s="312" t="s">
        <v>1991</v>
      </c>
      <c r="H393" s="312" t="s">
        <v>1991</v>
      </c>
      <c r="I393" s="312" t="s">
        <v>1991</v>
      </c>
      <c r="J393" s="312" t="s">
        <v>1991</v>
      </c>
      <c r="K393" s="312" t="s">
        <v>1991</v>
      </c>
      <c r="L393" s="312" t="s">
        <v>1991</v>
      </c>
      <c r="M393" s="312" t="s">
        <v>1991</v>
      </c>
      <c r="N393" s="312" t="s">
        <v>1991</v>
      </c>
      <c r="O393" s="312" t="s">
        <v>1991</v>
      </c>
      <c r="P393" s="312" t="s">
        <v>1991</v>
      </c>
      <c r="Q393" s="312" t="s">
        <v>1991</v>
      </c>
      <c r="R393" s="312" t="s">
        <v>1991</v>
      </c>
      <c r="S393" s="312" t="s">
        <v>1991</v>
      </c>
      <c r="T393" s="323" t="s">
        <v>1991</v>
      </c>
      <c r="U393" s="312" t="s">
        <v>1991</v>
      </c>
      <c r="V393" s="46" t="s">
        <v>1991</v>
      </c>
      <c r="W393" s="46" t="s">
        <v>1991</v>
      </c>
      <c r="X393" s="46" t="s">
        <v>1991</v>
      </c>
      <c r="Y393" s="46" t="s">
        <v>1991</v>
      </c>
      <c r="Z393" s="46" t="s">
        <v>1991</v>
      </c>
      <c r="AA393" s="46" t="s">
        <v>1991</v>
      </c>
      <c r="AB393" s="46" t="s">
        <v>1991</v>
      </c>
      <c r="AC393" s="46" t="s">
        <v>1991</v>
      </c>
      <c r="AD393" s="46" t="s">
        <v>1991</v>
      </c>
      <c r="AE393" s="46" t="s">
        <v>1991</v>
      </c>
      <c r="AF393" s="46">
        <v>0</v>
      </c>
      <c r="AG393" s="46" t="s">
        <v>1991</v>
      </c>
      <c r="AH393" s="46">
        <v>0</v>
      </c>
      <c r="AI393" s="46">
        <v>0</v>
      </c>
      <c r="AJ393" s="46" t="s">
        <v>1991</v>
      </c>
      <c r="AK393" s="46" t="s">
        <v>1991</v>
      </c>
      <c r="AL393" s="327"/>
      <c r="AM393" s="327" t="s">
        <v>1991</v>
      </c>
      <c r="AN393" s="327" t="s">
        <v>1991</v>
      </c>
      <c r="AO393" s="327">
        <v>0</v>
      </c>
      <c r="AP393" s="327"/>
      <c r="AQ393" s="327"/>
      <c r="AR393" s="327"/>
      <c r="AS393" s="327">
        <v>0</v>
      </c>
      <c r="AT393" s="327">
        <v>0</v>
      </c>
      <c r="AU393" s="327"/>
      <c r="AV393" s="327"/>
      <c r="AW393" s="327"/>
      <c r="AX393" s="327"/>
      <c r="AY393" s="327"/>
      <c r="AZ393" s="327"/>
      <c r="BA393" s="327"/>
      <c r="BB393" s="46">
        <f t="shared" si="157"/>
        <v>15</v>
      </c>
      <c r="BC393" s="46">
        <f t="shared" si="164"/>
        <v>13</v>
      </c>
      <c r="BD393" s="46">
        <f t="shared" si="166"/>
        <v>2</v>
      </c>
      <c r="BE393" s="46">
        <f t="shared" si="158"/>
        <v>2</v>
      </c>
      <c r="BF393" s="296">
        <f t="shared" si="169"/>
        <v>28</v>
      </c>
      <c r="BG393" s="2"/>
      <c r="BH393" s="2"/>
      <c r="BI393" s="2"/>
      <c r="BJ393" s="2"/>
      <c r="BK393" s="279"/>
      <c r="BL393" s="279"/>
      <c r="BM393" s="279"/>
      <c r="BN393" s="279"/>
      <c r="BO393" s="2">
        <f t="shared" si="160"/>
        <v>28</v>
      </c>
      <c r="BP393" s="430"/>
      <c r="BQ393" s="431"/>
      <c r="BR393" s="2"/>
      <c r="BS393" s="25"/>
      <c r="BT393" s="348">
        <f t="shared" si="167"/>
        <v>1</v>
      </c>
      <c r="BU393" s="56"/>
      <c r="BV393" s="282">
        <f t="shared" si="170"/>
        <v>0</v>
      </c>
      <c r="BW393" s="379"/>
      <c r="BX393" s="269">
        <f t="shared" si="171"/>
        <v>0</v>
      </c>
      <c r="BY393" s="264"/>
      <c r="BZ393" s="264"/>
      <c r="CA393" s="264"/>
      <c r="CB393" s="264"/>
      <c r="CC393" s="264"/>
      <c r="CD393" s="14">
        <f t="shared" si="172"/>
        <v>-15</v>
      </c>
      <c r="CE393" s="14">
        <f t="shared" si="173"/>
        <v>28</v>
      </c>
      <c r="CF393" s="2">
        <f t="shared" si="174"/>
        <v>1</v>
      </c>
      <c r="CL393" s="349"/>
      <c r="CM393" s="349"/>
      <c r="CN393" s="349"/>
      <c r="CO393" s="349"/>
      <c r="CP393" s="349"/>
      <c r="CQ393" s="14"/>
    </row>
    <row r="394" spans="1:95" s="1" customFormat="1" ht="29.4" customHeight="1">
      <c r="A394" s="46">
        <v>39</v>
      </c>
      <c r="B394" s="363">
        <v>10</v>
      </c>
      <c r="C394" s="46">
        <v>424</v>
      </c>
      <c r="D394" s="362"/>
      <c r="E394" s="362"/>
      <c r="F394" s="363"/>
      <c r="G394" s="312" t="s">
        <v>1991</v>
      </c>
      <c r="H394" s="312" t="s">
        <v>1991</v>
      </c>
      <c r="I394" s="312">
        <v>0</v>
      </c>
      <c r="J394" s="312"/>
      <c r="K394" s="312" t="s">
        <v>1991</v>
      </c>
      <c r="L394" s="312" t="s">
        <v>1991</v>
      </c>
      <c r="M394" s="312" t="s">
        <v>1991</v>
      </c>
      <c r="N394" s="312" t="s">
        <v>1991</v>
      </c>
      <c r="O394" s="312" t="s">
        <v>1991</v>
      </c>
      <c r="P394" s="312">
        <v>0</v>
      </c>
      <c r="Q394" s="312" t="s">
        <v>1991</v>
      </c>
      <c r="R394" s="312" t="s">
        <v>1991</v>
      </c>
      <c r="S394" s="312" t="s">
        <v>1991</v>
      </c>
      <c r="T394" s="323" t="s">
        <v>1991</v>
      </c>
      <c r="U394" s="312" t="s">
        <v>1991</v>
      </c>
      <c r="V394" s="46" t="s">
        <v>1991</v>
      </c>
      <c r="W394" s="46" t="s">
        <v>1991</v>
      </c>
      <c r="X394" s="46" t="s">
        <v>1991</v>
      </c>
      <c r="Y394" s="46" t="s">
        <v>1991</v>
      </c>
      <c r="Z394" s="46" t="s">
        <v>1991</v>
      </c>
      <c r="AA394" s="46" t="s">
        <v>1991</v>
      </c>
      <c r="AB394" s="46" t="s">
        <v>1991</v>
      </c>
      <c r="AC394" s="46" t="s">
        <v>1991</v>
      </c>
      <c r="AD394" s="46" t="s">
        <v>1991</v>
      </c>
      <c r="AE394" s="46" t="s">
        <v>1991</v>
      </c>
      <c r="AF394" s="46" t="s">
        <v>1991</v>
      </c>
      <c r="AG394" s="46" t="s">
        <v>1991</v>
      </c>
      <c r="AH394" s="46" t="s">
        <v>1991</v>
      </c>
      <c r="AI394" s="46" t="s">
        <v>1991</v>
      </c>
      <c r="AJ394" s="46" t="s">
        <v>1991</v>
      </c>
      <c r="AK394" s="46" t="s">
        <v>1991</v>
      </c>
      <c r="AL394" s="327"/>
      <c r="AM394" s="327">
        <v>0</v>
      </c>
      <c r="AN394" s="327" t="s">
        <v>1991</v>
      </c>
      <c r="AO394" s="327" t="s">
        <v>1991</v>
      </c>
      <c r="AP394" s="327"/>
      <c r="AQ394" s="327"/>
      <c r="AR394" s="327"/>
      <c r="AS394" s="327">
        <v>0</v>
      </c>
      <c r="AT394" s="327">
        <v>0</v>
      </c>
      <c r="AU394" s="327"/>
      <c r="AV394" s="327"/>
      <c r="AW394" s="327"/>
      <c r="AX394" s="327"/>
      <c r="AY394" s="327"/>
      <c r="AZ394" s="327"/>
      <c r="BA394" s="327"/>
      <c r="BB394" s="46">
        <f t="shared" si="157"/>
        <v>12</v>
      </c>
      <c r="BC394" s="46">
        <f t="shared" si="164"/>
        <v>16</v>
      </c>
      <c r="BD394" s="46">
        <f t="shared" si="166"/>
        <v>2</v>
      </c>
      <c r="BE394" s="46">
        <f t="shared" si="158"/>
        <v>2</v>
      </c>
      <c r="BF394" s="296">
        <f t="shared" si="169"/>
        <v>28</v>
      </c>
      <c r="BG394" s="2"/>
      <c r="BH394" s="2"/>
      <c r="BI394" s="2"/>
      <c r="BJ394" s="2"/>
      <c r="BK394" s="279"/>
      <c r="BL394" s="279"/>
      <c r="BM394" s="279"/>
      <c r="BN394" s="279"/>
      <c r="BO394" s="2">
        <f t="shared" si="160"/>
        <v>28</v>
      </c>
      <c r="BP394" s="430"/>
      <c r="BQ394" s="431"/>
      <c r="BR394" s="2"/>
      <c r="BS394" s="25"/>
      <c r="BT394" s="348">
        <f t="shared" si="167"/>
        <v>1</v>
      </c>
      <c r="BU394" s="56"/>
      <c r="BV394" s="282">
        <f t="shared" si="170"/>
        <v>0</v>
      </c>
      <c r="BW394" s="379"/>
      <c r="BX394" s="269">
        <f t="shared" si="171"/>
        <v>0</v>
      </c>
      <c r="BY394" s="264"/>
      <c r="BZ394" s="264"/>
      <c r="CA394" s="264"/>
      <c r="CB394" s="264"/>
      <c r="CC394" s="264"/>
      <c r="CD394" s="14">
        <f t="shared" si="172"/>
        <v>-12</v>
      </c>
      <c r="CE394" s="14">
        <f t="shared" si="173"/>
        <v>28</v>
      </c>
      <c r="CF394" s="2">
        <f t="shared" si="174"/>
        <v>1</v>
      </c>
      <c r="CL394" s="349"/>
      <c r="CM394" s="349"/>
      <c r="CN394" s="349"/>
      <c r="CO394" s="349"/>
      <c r="CP394" s="349"/>
      <c r="CQ394" s="14"/>
    </row>
    <row r="395" spans="1:95" s="1" customFormat="1" ht="29.4" customHeight="1">
      <c r="A395" s="46">
        <v>40</v>
      </c>
      <c r="B395" s="363">
        <v>10</v>
      </c>
      <c r="C395" s="46">
        <v>425</v>
      </c>
      <c r="D395" s="362"/>
      <c r="E395" s="362"/>
      <c r="F395" s="363"/>
      <c r="G395" s="312" t="s">
        <v>1991</v>
      </c>
      <c r="H395" s="312" t="s">
        <v>1991</v>
      </c>
      <c r="I395" s="312" t="s">
        <v>1991</v>
      </c>
      <c r="J395" s="312" t="s">
        <v>1991</v>
      </c>
      <c r="K395" s="312" t="s">
        <v>1991</v>
      </c>
      <c r="L395" s="312" t="s">
        <v>1991</v>
      </c>
      <c r="M395" s="312" t="s">
        <v>1991</v>
      </c>
      <c r="N395" s="312" t="s">
        <v>1991</v>
      </c>
      <c r="O395" s="312" t="s">
        <v>1991</v>
      </c>
      <c r="P395" s="312">
        <v>0</v>
      </c>
      <c r="Q395" s="312" t="s">
        <v>1991</v>
      </c>
      <c r="R395" s="312" t="s">
        <v>1991</v>
      </c>
      <c r="S395" s="312" t="s">
        <v>1991</v>
      </c>
      <c r="T395" s="323" t="s">
        <v>1991</v>
      </c>
      <c r="U395" s="312" t="s">
        <v>1991</v>
      </c>
      <c r="V395" s="46" t="s">
        <v>1991</v>
      </c>
      <c r="W395" s="46" t="s">
        <v>1991</v>
      </c>
      <c r="X395" s="46" t="s">
        <v>1991</v>
      </c>
      <c r="Y395" s="46" t="s">
        <v>1991</v>
      </c>
      <c r="Z395" s="46" t="s">
        <v>1991</v>
      </c>
      <c r="AA395" s="46" t="s">
        <v>1991</v>
      </c>
      <c r="AB395" s="46" t="s">
        <v>1991</v>
      </c>
      <c r="AC395" s="46" t="s">
        <v>1991</v>
      </c>
      <c r="AD395" s="46" t="s">
        <v>1991</v>
      </c>
      <c r="AE395" s="46" t="s">
        <v>1991</v>
      </c>
      <c r="AF395" s="46" t="s">
        <v>1991</v>
      </c>
      <c r="AG395" s="46" t="s">
        <v>1991</v>
      </c>
      <c r="AH395" s="46">
        <v>0</v>
      </c>
      <c r="AI395" s="46">
        <v>0</v>
      </c>
      <c r="AJ395" s="46" t="s">
        <v>1991</v>
      </c>
      <c r="AK395" s="46" t="s">
        <v>1991</v>
      </c>
      <c r="AL395" s="327"/>
      <c r="AM395" s="327" t="s">
        <v>1991</v>
      </c>
      <c r="AN395" s="327" t="s">
        <v>1991</v>
      </c>
      <c r="AO395" s="327" t="s">
        <v>1991</v>
      </c>
      <c r="AP395" s="327"/>
      <c r="AQ395" s="327"/>
      <c r="AR395" s="327"/>
      <c r="AS395" s="327">
        <v>0</v>
      </c>
      <c r="AT395" s="327">
        <v>0</v>
      </c>
      <c r="AU395" s="327"/>
      <c r="AV395" s="327"/>
      <c r="AW395" s="327"/>
      <c r="AX395" s="327"/>
      <c r="AY395" s="327"/>
      <c r="AZ395" s="327"/>
      <c r="BA395" s="327"/>
      <c r="BB395" s="46">
        <f t="shared" si="157"/>
        <v>14</v>
      </c>
      <c r="BC395" s="46">
        <f t="shared" si="164"/>
        <v>14</v>
      </c>
      <c r="BD395" s="46">
        <f t="shared" si="166"/>
        <v>3</v>
      </c>
      <c r="BE395" s="46">
        <f t="shared" si="158"/>
        <v>3</v>
      </c>
      <c r="BF395" s="296">
        <f t="shared" si="169"/>
        <v>28</v>
      </c>
      <c r="BG395" s="2"/>
      <c r="BH395" s="2"/>
      <c r="BI395" s="2"/>
      <c r="BJ395" s="2"/>
      <c r="BK395" s="279"/>
      <c r="BL395" s="279"/>
      <c r="BM395" s="279"/>
      <c r="BN395" s="279"/>
      <c r="BO395" s="2">
        <f t="shared" si="160"/>
        <v>28</v>
      </c>
      <c r="BP395" s="430"/>
      <c r="BQ395" s="431"/>
      <c r="BR395" s="2"/>
      <c r="BS395" s="25"/>
      <c r="BT395" s="348">
        <f t="shared" si="167"/>
        <v>1</v>
      </c>
      <c r="BU395" s="56"/>
      <c r="BV395" s="282">
        <f t="shared" si="170"/>
        <v>0</v>
      </c>
      <c r="BW395" s="379"/>
      <c r="BX395" s="269">
        <f t="shared" si="171"/>
        <v>0</v>
      </c>
      <c r="BY395" s="264"/>
      <c r="BZ395" s="264"/>
      <c r="CA395" s="264"/>
      <c r="CB395" s="264"/>
      <c r="CC395" s="264"/>
      <c r="CD395" s="14">
        <f t="shared" si="172"/>
        <v>-14</v>
      </c>
      <c r="CE395" s="14">
        <f t="shared" si="173"/>
        <v>28</v>
      </c>
      <c r="CF395" s="2">
        <f t="shared" si="174"/>
        <v>1</v>
      </c>
      <c r="CL395" s="349"/>
      <c r="CM395" s="349"/>
      <c r="CN395" s="349"/>
      <c r="CO395" s="349"/>
      <c r="CP395" s="349"/>
      <c r="CQ395" s="14"/>
    </row>
    <row r="396" spans="1:95" s="1" customFormat="1" ht="29.4" customHeight="1">
      <c r="A396" s="46">
        <v>41</v>
      </c>
      <c r="B396" s="363">
        <v>10</v>
      </c>
      <c r="C396" s="46">
        <v>426</v>
      </c>
      <c r="D396" s="362"/>
      <c r="E396" s="362"/>
      <c r="F396" s="363"/>
      <c r="G396" s="312" t="s">
        <v>1991</v>
      </c>
      <c r="H396" s="312" t="s">
        <v>1991</v>
      </c>
      <c r="I396" s="312" t="s">
        <v>1991</v>
      </c>
      <c r="J396" s="312"/>
      <c r="K396" s="312" t="s">
        <v>1991</v>
      </c>
      <c r="L396" s="312" t="s">
        <v>1991</v>
      </c>
      <c r="M396" s="312" t="s">
        <v>1991</v>
      </c>
      <c r="N396" s="312" t="s">
        <v>1991</v>
      </c>
      <c r="O396" s="312" t="s">
        <v>1991</v>
      </c>
      <c r="P396" s="312" t="s">
        <v>1991</v>
      </c>
      <c r="Q396" s="312" t="s">
        <v>1991</v>
      </c>
      <c r="R396" s="312" t="s">
        <v>1991</v>
      </c>
      <c r="S396" s="312" t="s">
        <v>1991</v>
      </c>
      <c r="T396" s="323" t="s">
        <v>1991</v>
      </c>
      <c r="U396" s="312" t="s">
        <v>1991</v>
      </c>
      <c r="V396" s="46" t="s">
        <v>1991</v>
      </c>
      <c r="W396" s="46" t="s">
        <v>1991</v>
      </c>
      <c r="X396" s="46" t="s">
        <v>1991</v>
      </c>
      <c r="Y396" s="46" t="s">
        <v>1991</v>
      </c>
      <c r="Z396" s="46" t="s">
        <v>1991</v>
      </c>
      <c r="AA396" s="46" t="s">
        <v>1991</v>
      </c>
      <c r="AB396" s="46" t="s">
        <v>1991</v>
      </c>
      <c r="AC396" s="46" t="s">
        <v>1991</v>
      </c>
      <c r="AD396" s="46" t="s">
        <v>1991</v>
      </c>
      <c r="AE396" s="46" t="s">
        <v>1991</v>
      </c>
      <c r="AF396" s="46" t="s">
        <v>1991</v>
      </c>
      <c r="AG396" s="46" t="s">
        <v>1991</v>
      </c>
      <c r="AH396" s="46" t="s">
        <v>1991</v>
      </c>
      <c r="AI396" s="46" t="s">
        <v>1991</v>
      </c>
      <c r="AJ396" s="46" t="s">
        <v>1991</v>
      </c>
      <c r="AK396" s="46" t="s">
        <v>1991</v>
      </c>
      <c r="AL396" s="327"/>
      <c r="AM396" s="327" t="s">
        <v>1991</v>
      </c>
      <c r="AN396" s="327" t="s">
        <v>1991</v>
      </c>
      <c r="AO396" s="327" t="s">
        <v>1991</v>
      </c>
      <c r="AP396" s="327"/>
      <c r="AQ396" s="327"/>
      <c r="AR396" s="327"/>
      <c r="AS396" s="327" t="s">
        <v>1991</v>
      </c>
      <c r="AT396" s="327" t="s">
        <v>1991</v>
      </c>
      <c r="AU396" s="327"/>
      <c r="AV396" s="327"/>
      <c r="AW396" s="327"/>
      <c r="AX396" s="327"/>
      <c r="AY396" s="327"/>
      <c r="AZ396" s="327"/>
      <c r="BA396" s="327"/>
      <c r="BB396" s="46">
        <f t="shared" si="157"/>
        <v>14</v>
      </c>
      <c r="BC396" s="46">
        <f t="shared" si="164"/>
        <v>16</v>
      </c>
      <c r="BD396" s="46">
        <f t="shared" si="166"/>
        <v>5</v>
      </c>
      <c r="BE396" s="46">
        <f t="shared" si="158"/>
        <v>5</v>
      </c>
      <c r="BF396" s="296">
        <f t="shared" si="169"/>
        <v>30</v>
      </c>
      <c r="BG396" s="2"/>
      <c r="BH396" s="2"/>
      <c r="BI396" s="2"/>
      <c r="BJ396" s="2"/>
      <c r="BK396" s="279"/>
      <c r="BL396" s="279"/>
      <c r="BM396" s="279"/>
      <c r="BN396" s="279"/>
      <c r="BO396" s="2">
        <f t="shared" si="160"/>
        <v>30</v>
      </c>
      <c r="BP396" s="430"/>
      <c r="BQ396" s="431"/>
      <c r="BR396" s="2"/>
      <c r="BS396" s="25"/>
      <c r="BT396" s="348">
        <f t="shared" si="167"/>
        <v>1</v>
      </c>
      <c r="BU396" s="56"/>
      <c r="BV396" s="282">
        <f t="shared" si="170"/>
        <v>0</v>
      </c>
      <c r="BW396" s="379"/>
      <c r="BX396" s="269">
        <f t="shared" si="171"/>
        <v>0</v>
      </c>
      <c r="BY396" s="264"/>
      <c r="BZ396" s="264"/>
      <c r="CA396" s="264"/>
      <c r="CB396" s="264"/>
      <c r="CC396" s="264"/>
      <c r="CD396" s="14">
        <f t="shared" si="172"/>
        <v>-14</v>
      </c>
      <c r="CE396" s="14">
        <f t="shared" si="173"/>
        <v>30</v>
      </c>
      <c r="CF396" s="2">
        <f t="shared" si="174"/>
        <v>1</v>
      </c>
      <c r="CL396" s="349"/>
      <c r="CM396" s="349"/>
      <c r="CN396" s="349"/>
      <c r="CO396" s="349"/>
      <c r="CP396" s="349"/>
      <c r="CQ396" s="14"/>
    </row>
    <row r="397" spans="1:95" s="1" customFormat="1" ht="29.4" customHeight="1">
      <c r="A397" s="46">
        <v>42</v>
      </c>
      <c r="B397" s="363">
        <v>10</v>
      </c>
      <c r="C397" s="46">
        <v>427</v>
      </c>
      <c r="D397" s="362"/>
      <c r="E397" s="362"/>
      <c r="F397" s="363"/>
      <c r="G397" s="312" t="s">
        <v>1991</v>
      </c>
      <c r="H397" s="312" t="s">
        <v>1991</v>
      </c>
      <c r="I397" s="312" t="s">
        <v>1991</v>
      </c>
      <c r="J397" s="312"/>
      <c r="K397" s="312" t="s">
        <v>1991</v>
      </c>
      <c r="L397" s="312" t="s">
        <v>1991</v>
      </c>
      <c r="M397" s="312" t="s">
        <v>1991</v>
      </c>
      <c r="N397" s="312" t="s">
        <v>1991</v>
      </c>
      <c r="O397" s="312" t="s">
        <v>1991</v>
      </c>
      <c r="P397" s="312" t="s">
        <v>1991</v>
      </c>
      <c r="Q397" s="312" t="s">
        <v>1991</v>
      </c>
      <c r="R397" s="312" t="s">
        <v>1991</v>
      </c>
      <c r="S397" s="312" t="s">
        <v>1991</v>
      </c>
      <c r="T397" s="323" t="s">
        <v>1991</v>
      </c>
      <c r="U397" s="312" t="s">
        <v>1991</v>
      </c>
      <c r="V397" s="46" t="s">
        <v>1991</v>
      </c>
      <c r="W397" s="46" t="s">
        <v>1991</v>
      </c>
      <c r="X397" s="46" t="s">
        <v>1991</v>
      </c>
      <c r="Y397" s="46" t="s">
        <v>1991</v>
      </c>
      <c r="Z397" s="46" t="s">
        <v>1991</v>
      </c>
      <c r="AA397" s="46" t="s">
        <v>1991</v>
      </c>
      <c r="AB397" s="46" t="s">
        <v>1991</v>
      </c>
      <c r="AC397" s="46" t="s">
        <v>1991</v>
      </c>
      <c r="AD397" s="46" t="s">
        <v>1991</v>
      </c>
      <c r="AE397" s="46">
        <v>0</v>
      </c>
      <c r="AF397" s="46" t="s">
        <v>1991</v>
      </c>
      <c r="AG397" s="46" t="s">
        <v>1991</v>
      </c>
      <c r="AH397" s="46" t="s">
        <v>1991</v>
      </c>
      <c r="AI397" s="46" t="s">
        <v>1991</v>
      </c>
      <c r="AJ397" s="46" t="s">
        <v>1991</v>
      </c>
      <c r="AK397" s="46" t="s">
        <v>1991</v>
      </c>
      <c r="AL397" s="327"/>
      <c r="AM397" s="327" t="s">
        <v>1991</v>
      </c>
      <c r="AN397" s="327" t="s">
        <v>1991</v>
      </c>
      <c r="AO397" s="327" t="s">
        <v>1991</v>
      </c>
      <c r="AP397" s="327"/>
      <c r="AQ397" s="327"/>
      <c r="AR397" s="327"/>
      <c r="AS397" s="327" t="s">
        <v>1991</v>
      </c>
      <c r="AT397" s="327" t="s">
        <v>1991</v>
      </c>
      <c r="AU397" s="327"/>
      <c r="AV397" s="327"/>
      <c r="AW397" s="327"/>
      <c r="AX397" s="327"/>
      <c r="AY397" s="327"/>
      <c r="AZ397" s="327"/>
      <c r="BA397" s="327"/>
      <c r="BB397" s="46">
        <f t="shared" si="157"/>
        <v>14</v>
      </c>
      <c r="BC397" s="46">
        <f t="shared" si="164"/>
        <v>15</v>
      </c>
      <c r="BD397" s="46">
        <f t="shared" si="166"/>
        <v>5</v>
      </c>
      <c r="BE397" s="46">
        <f t="shared" si="158"/>
        <v>5</v>
      </c>
      <c r="BF397" s="296">
        <f t="shared" si="169"/>
        <v>29</v>
      </c>
      <c r="BG397" s="2"/>
      <c r="BH397" s="2"/>
      <c r="BI397" s="2"/>
      <c r="BJ397" s="2"/>
      <c r="BK397" s="279"/>
      <c r="BL397" s="279"/>
      <c r="BM397" s="279"/>
      <c r="BN397" s="279"/>
      <c r="BO397" s="2">
        <f t="shared" si="160"/>
        <v>29</v>
      </c>
      <c r="BP397" s="430"/>
      <c r="BQ397" s="431"/>
      <c r="BR397" s="2"/>
      <c r="BS397" s="25"/>
      <c r="BT397" s="348">
        <f t="shared" si="167"/>
        <v>1</v>
      </c>
      <c r="BU397" s="56"/>
      <c r="BV397" s="282">
        <f t="shared" si="170"/>
        <v>0</v>
      </c>
      <c r="BW397" s="379"/>
      <c r="BX397" s="269">
        <f t="shared" si="171"/>
        <v>0</v>
      </c>
      <c r="BY397" s="264"/>
      <c r="BZ397" s="264"/>
      <c r="CA397" s="264"/>
      <c r="CB397" s="264"/>
      <c r="CC397" s="264"/>
      <c r="CD397" s="14">
        <f t="shared" si="172"/>
        <v>-14</v>
      </c>
      <c r="CE397" s="14">
        <f t="shared" si="173"/>
        <v>29</v>
      </c>
      <c r="CF397" s="2">
        <f t="shared" si="174"/>
        <v>1</v>
      </c>
      <c r="CL397" s="349"/>
      <c r="CM397" s="349"/>
      <c r="CN397" s="349"/>
      <c r="CO397" s="349"/>
      <c r="CP397" s="349"/>
      <c r="CQ397" s="14"/>
    </row>
    <row r="398" spans="1:95" s="1" customFormat="1" ht="29.4" customHeight="1">
      <c r="A398" s="374"/>
      <c r="B398" s="374"/>
      <c r="C398" s="46"/>
      <c r="D398" s="362"/>
      <c r="E398" s="362"/>
      <c r="F398" s="363"/>
      <c r="G398" s="312"/>
      <c r="H398" s="312"/>
      <c r="I398" s="312"/>
      <c r="J398" s="312"/>
      <c r="K398" s="312"/>
      <c r="L398" s="312"/>
      <c r="M398" s="312"/>
      <c r="N398" s="312"/>
      <c r="O398" s="312"/>
      <c r="P398" s="312"/>
      <c r="Q398" s="312"/>
      <c r="R398" s="312"/>
      <c r="S398" s="312"/>
      <c r="T398" s="323"/>
      <c r="U398" s="360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  <c r="AF398" s="46"/>
      <c r="AG398" s="46"/>
      <c r="AH398" s="46"/>
      <c r="AI398" s="46"/>
      <c r="AJ398" s="46"/>
      <c r="AK398" s="46"/>
      <c r="AL398" s="327"/>
      <c r="AM398" s="327"/>
      <c r="AN398" s="327"/>
      <c r="AO398" s="327"/>
      <c r="AP398" s="327"/>
      <c r="AQ398" s="327"/>
      <c r="AR398" s="327"/>
      <c r="AS398" s="327"/>
      <c r="AT398" s="246"/>
      <c r="AU398" s="246"/>
      <c r="AV398" s="246"/>
      <c r="AW398" s="246"/>
      <c r="AX398" s="246"/>
      <c r="AY398" s="327"/>
      <c r="AZ398" s="327"/>
      <c r="BA398" s="327"/>
      <c r="BB398" s="46"/>
      <c r="BC398" s="46"/>
      <c r="BD398" s="46"/>
      <c r="BE398" s="46"/>
      <c r="BF398" s="296"/>
      <c r="BG398" s="2"/>
      <c r="BH398" s="2"/>
      <c r="BI398" s="2"/>
      <c r="BJ398" s="2"/>
      <c r="BK398" s="279"/>
      <c r="BL398" s="279"/>
      <c r="BM398" s="279"/>
      <c r="BN398" s="279"/>
      <c r="BO398" s="2"/>
      <c r="BP398" s="2"/>
      <c r="BQ398" s="2"/>
      <c r="BR398" s="2"/>
      <c r="BS398" s="25"/>
      <c r="BT398" s="348"/>
      <c r="BU398" s="56"/>
      <c r="BV398" s="282"/>
      <c r="BW398" s="379"/>
      <c r="BX398" s="269"/>
      <c r="BY398" s="264"/>
      <c r="BZ398" s="264"/>
      <c r="CA398" s="264"/>
      <c r="CB398" s="264"/>
      <c r="CC398" s="264"/>
      <c r="CD398" s="14"/>
      <c r="CE398" s="14"/>
      <c r="CF398" s="2"/>
      <c r="CL398" s="349"/>
      <c r="CM398" s="349"/>
      <c r="CN398" s="349"/>
      <c r="CO398" s="349"/>
      <c r="CP398" s="349"/>
      <c r="CQ398" s="14"/>
    </row>
    <row r="399" spans="1:95" s="304" customFormat="1" ht="29.4" customHeight="1">
      <c r="A399" s="1002" t="s">
        <v>1696</v>
      </c>
      <c r="B399" s="1003"/>
      <c r="C399" s="1004"/>
      <c r="D399" s="377"/>
      <c r="E399" s="377"/>
      <c r="F399" s="376"/>
      <c r="G399" s="316">
        <f>COUNTIF(G314:G397,"x")</f>
        <v>74</v>
      </c>
      <c r="H399" s="316">
        <f t="shared" ref="H399:BA399" si="175">COUNTIF(H314:H397,"x")</f>
        <v>84</v>
      </c>
      <c r="I399" s="316">
        <f t="shared" si="175"/>
        <v>82</v>
      </c>
      <c r="J399" s="316">
        <f t="shared" si="175"/>
        <v>13</v>
      </c>
      <c r="K399" s="316">
        <f t="shared" si="175"/>
        <v>69</v>
      </c>
      <c r="L399" s="316">
        <f t="shared" si="175"/>
        <v>83</v>
      </c>
      <c r="M399" s="316">
        <f t="shared" si="175"/>
        <v>76</v>
      </c>
      <c r="N399" s="316">
        <f t="shared" si="175"/>
        <v>84</v>
      </c>
      <c r="O399" s="316">
        <f t="shared" si="175"/>
        <v>81</v>
      </c>
      <c r="P399" s="316">
        <f t="shared" si="175"/>
        <v>72</v>
      </c>
      <c r="Q399" s="316">
        <f t="shared" si="175"/>
        <v>79</v>
      </c>
      <c r="R399" s="316">
        <f t="shared" si="175"/>
        <v>83</v>
      </c>
      <c r="S399" s="316">
        <f t="shared" si="175"/>
        <v>84</v>
      </c>
      <c r="T399" s="316">
        <f t="shared" si="175"/>
        <v>83</v>
      </c>
      <c r="U399" s="316">
        <f t="shared" si="175"/>
        <v>84</v>
      </c>
      <c r="V399" s="316">
        <f t="shared" si="175"/>
        <v>84</v>
      </c>
      <c r="W399" s="316">
        <f t="shared" si="175"/>
        <v>82</v>
      </c>
      <c r="X399" s="316">
        <f t="shared" si="175"/>
        <v>82</v>
      </c>
      <c r="Y399" s="316">
        <f t="shared" si="175"/>
        <v>81</v>
      </c>
      <c r="Z399" s="316">
        <f t="shared" si="175"/>
        <v>80</v>
      </c>
      <c r="AA399" s="316">
        <f t="shared" si="175"/>
        <v>77</v>
      </c>
      <c r="AB399" s="316">
        <f t="shared" si="175"/>
        <v>79</v>
      </c>
      <c r="AC399" s="316">
        <f t="shared" si="175"/>
        <v>82</v>
      </c>
      <c r="AD399" s="316">
        <f t="shared" si="175"/>
        <v>78</v>
      </c>
      <c r="AE399" s="316">
        <f t="shared" si="175"/>
        <v>75</v>
      </c>
      <c r="AF399" s="316">
        <f t="shared" si="175"/>
        <v>69</v>
      </c>
      <c r="AG399" s="316">
        <f t="shared" si="175"/>
        <v>82</v>
      </c>
      <c r="AH399" s="316">
        <f t="shared" si="175"/>
        <v>76</v>
      </c>
      <c r="AI399" s="316">
        <f t="shared" si="175"/>
        <v>75</v>
      </c>
      <c r="AJ399" s="316">
        <f t="shared" si="175"/>
        <v>81</v>
      </c>
      <c r="AK399" s="316">
        <f t="shared" si="175"/>
        <v>80</v>
      </c>
      <c r="AL399" s="316">
        <f t="shared" si="175"/>
        <v>0</v>
      </c>
      <c r="AM399" s="316">
        <f t="shared" si="175"/>
        <v>68</v>
      </c>
      <c r="AN399" s="316">
        <f t="shared" si="175"/>
        <v>71</v>
      </c>
      <c r="AO399" s="316">
        <f t="shared" si="175"/>
        <v>62</v>
      </c>
      <c r="AP399" s="316">
        <f t="shared" si="175"/>
        <v>0</v>
      </c>
      <c r="AQ399" s="316">
        <f t="shared" si="175"/>
        <v>0</v>
      </c>
      <c r="AR399" s="316">
        <f t="shared" si="175"/>
        <v>0</v>
      </c>
      <c r="AS399" s="316">
        <f t="shared" si="175"/>
        <v>59</v>
      </c>
      <c r="AT399" s="316">
        <f t="shared" si="175"/>
        <v>41</v>
      </c>
      <c r="AU399" s="316">
        <f t="shared" si="175"/>
        <v>0</v>
      </c>
      <c r="AV399" s="316">
        <f t="shared" si="175"/>
        <v>0</v>
      </c>
      <c r="AW399" s="316">
        <f t="shared" si="175"/>
        <v>0</v>
      </c>
      <c r="AX399" s="316">
        <f t="shared" si="175"/>
        <v>0</v>
      </c>
      <c r="AY399" s="316">
        <f t="shared" si="175"/>
        <v>0</v>
      </c>
      <c r="AZ399" s="316">
        <f t="shared" si="175"/>
        <v>0</v>
      </c>
      <c r="BA399" s="316">
        <f t="shared" si="175"/>
        <v>0</v>
      </c>
      <c r="BB399" s="325">
        <f>SUM(BB314:BB397)</f>
        <v>1131</v>
      </c>
      <c r="BC399" s="325">
        <f t="shared" ref="BC399:CF399" si="176">SUM(BC314:BC397)</f>
        <v>1263</v>
      </c>
      <c r="BD399" s="325">
        <f t="shared" si="176"/>
        <v>301</v>
      </c>
      <c r="BE399" s="325">
        <f t="shared" si="176"/>
        <v>301</v>
      </c>
      <c r="BF399" s="325">
        <f t="shared" si="176"/>
        <v>2394</v>
      </c>
      <c r="BG399" s="325">
        <f t="shared" si="176"/>
        <v>0</v>
      </c>
      <c r="BH399" s="325">
        <f t="shared" si="176"/>
        <v>0</v>
      </c>
      <c r="BI399" s="325">
        <f t="shared" si="176"/>
        <v>0</v>
      </c>
      <c r="BJ399" s="325">
        <f t="shared" si="176"/>
        <v>0</v>
      </c>
      <c r="BK399" s="325">
        <f t="shared" si="176"/>
        <v>35</v>
      </c>
      <c r="BL399" s="325">
        <f t="shared" si="176"/>
        <v>2077</v>
      </c>
      <c r="BM399" s="325">
        <f t="shared" si="176"/>
        <v>0</v>
      </c>
      <c r="BN399" s="325">
        <f t="shared" si="176"/>
        <v>0</v>
      </c>
      <c r="BO399" s="325">
        <f t="shared" si="176"/>
        <v>2295</v>
      </c>
      <c r="BP399" s="325">
        <f t="shared" si="176"/>
        <v>0</v>
      </c>
      <c r="BQ399" s="325">
        <f t="shared" si="176"/>
        <v>0</v>
      </c>
      <c r="BR399" s="325">
        <f t="shared" si="176"/>
        <v>0</v>
      </c>
      <c r="BS399" s="325">
        <f t="shared" si="176"/>
        <v>0</v>
      </c>
      <c r="BT399" s="325">
        <f t="shared" si="176"/>
        <v>80</v>
      </c>
      <c r="BU399" s="325">
        <f t="shared" si="176"/>
        <v>0</v>
      </c>
      <c r="BV399" s="325">
        <f t="shared" si="176"/>
        <v>0</v>
      </c>
      <c r="BW399" s="325">
        <f t="shared" si="176"/>
        <v>0</v>
      </c>
      <c r="BX399" s="325">
        <f t="shared" si="176"/>
        <v>0</v>
      </c>
      <c r="BY399" s="325" t="e">
        <f t="shared" si="176"/>
        <v>#N/A</v>
      </c>
      <c r="BZ399" s="325" t="e">
        <f t="shared" si="176"/>
        <v>#N/A</v>
      </c>
      <c r="CA399" s="325" t="e">
        <f t="shared" si="176"/>
        <v>#N/A</v>
      </c>
      <c r="CB399" s="325" t="e">
        <f t="shared" si="176"/>
        <v>#N/A</v>
      </c>
      <c r="CC399" s="325" t="e">
        <f t="shared" si="176"/>
        <v>#N/A</v>
      </c>
      <c r="CD399" s="325" t="e">
        <f t="shared" si="176"/>
        <v>#N/A</v>
      </c>
      <c r="CE399" s="325">
        <f t="shared" si="176"/>
        <v>2207</v>
      </c>
      <c r="CF399" s="325">
        <f t="shared" si="176"/>
        <v>77</v>
      </c>
      <c r="CL399" s="358"/>
      <c r="CM399" s="358"/>
      <c r="CN399" s="358"/>
      <c r="CO399" s="358"/>
      <c r="CP399" s="358"/>
      <c r="CQ399" s="359"/>
    </row>
    <row r="400" spans="1:95" s="95" customFormat="1" ht="29.4" customHeight="1">
      <c r="A400" s="46">
        <v>1</v>
      </c>
      <c r="B400" s="46">
        <v>8</v>
      </c>
      <c r="C400" s="46">
        <v>293</v>
      </c>
      <c r="D400" s="380"/>
      <c r="E400" s="380"/>
      <c r="F400" s="381"/>
      <c r="G400" s="312">
        <v>0</v>
      </c>
      <c r="H400" s="312" t="s">
        <v>1991</v>
      </c>
      <c r="I400" s="312" t="s">
        <v>1991</v>
      </c>
      <c r="J400" s="312"/>
      <c r="K400" s="312">
        <v>0</v>
      </c>
      <c r="L400" s="312" t="s">
        <v>1991</v>
      </c>
      <c r="M400" s="312" t="s">
        <v>1991</v>
      </c>
      <c r="N400" s="312" t="s">
        <v>1991</v>
      </c>
      <c r="O400" s="312" t="s">
        <v>1991</v>
      </c>
      <c r="P400" s="312" t="s">
        <v>1991</v>
      </c>
      <c r="Q400" s="312" t="s">
        <v>1991</v>
      </c>
      <c r="R400" s="312" t="s">
        <v>1991</v>
      </c>
      <c r="S400" s="312" t="s">
        <v>1991</v>
      </c>
      <c r="T400" s="323" t="s">
        <v>1991</v>
      </c>
      <c r="U400" s="312" t="s">
        <v>1991</v>
      </c>
      <c r="V400" s="46" t="s">
        <v>1991</v>
      </c>
      <c r="W400" s="324" t="s">
        <v>1991</v>
      </c>
      <c r="X400" s="324" t="s">
        <v>1991</v>
      </c>
      <c r="Y400" s="324" t="s">
        <v>1991</v>
      </c>
      <c r="Z400" s="46" t="s">
        <v>1991</v>
      </c>
      <c r="AA400" s="324" t="s">
        <v>1991</v>
      </c>
      <c r="AB400" s="46" t="s">
        <v>1991</v>
      </c>
      <c r="AC400" s="46" t="s">
        <v>1991</v>
      </c>
      <c r="AD400" s="46" t="s">
        <v>1991</v>
      </c>
      <c r="AE400" s="324">
        <v>0</v>
      </c>
      <c r="AF400" s="324" t="s">
        <v>1991</v>
      </c>
      <c r="AG400" s="324" t="s">
        <v>1991</v>
      </c>
      <c r="AH400" s="324" t="s">
        <v>1991</v>
      </c>
      <c r="AI400" s="324" t="s">
        <v>1991</v>
      </c>
      <c r="AJ400" s="324" t="s">
        <v>1991</v>
      </c>
      <c r="AK400" s="324" t="s">
        <v>1991</v>
      </c>
      <c r="AL400" s="327"/>
      <c r="AM400" s="327"/>
      <c r="AN400" s="327"/>
      <c r="AO400" s="327"/>
      <c r="AP400" s="327"/>
      <c r="AQ400" s="327"/>
      <c r="AR400" s="327"/>
      <c r="AS400" s="327"/>
      <c r="AT400" s="327"/>
      <c r="AU400" s="327"/>
      <c r="AV400" s="327"/>
      <c r="AW400" s="327"/>
      <c r="AX400" s="327"/>
      <c r="AY400" s="361"/>
      <c r="AZ400" s="361"/>
      <c r="BA400" s="361"/>
      <c r="BB400" s="46">
        <f t="shared" ref="BB400:BB451" si="177">COUNTIF(G400:U400,"X")</f>
        <v>12</v>
      </c>
      <c r="BC400" s="46">
        <f t="shared" ref="BC400:BC451" si="178">COUNTIF(V400:AK400,"X")</f>
        <v>15</v>
      </c>
      <c r="BD400" s="46">
        <f t="shared" ref="BD400:BD463" si="179">COUNTIF(AL400:BA400,"X")</f>
        <v>0</v>
      </c>
      <c r="BE400" s="46">
        <f t="shared" ref="BE400:BE451" si="180">COUNTIF(AL400:BA400,"x")</f>
        <v>0</v>
      </c>
      <c r="BF400" s="296">
        <f t="shared" ref="BF400:BF451" si="181">BB400+BC400</f>
        <v>27</v>
      </c>
      <c r="BG400" s="256"/>
      <c r="BH400" s="256"/>
      <c r="BI400" s="256"/>
      <c r="BJ400" s="256"/>
      <c r="BK400" s="383"/>
      <c r="BL400" s="383"/>
      <c r="BM400" s="383"/>
      <c r="BN400" s="383"/>
      <c r="BO400" s="2">
        <f>IF(BT400&gt;0,BF400,0)</f>
        <v>27</v>
      </c>
      <c r="BP400" s="430"/>
      <c r="BQ400" s="431"/>
      <c r="BR400" s="2"/>
      <c r="BS400" s="25"/>
      <c r="BT400" s="348">
        <f t="shared" ref="BT400:BT463" si="182">IF(BF400&gt;=26,1,0)</f>
        <v>1</v>
      </c>
      <c r="BU400" s="56"/>
      <c r="BV400" s="282">
        <f>IF(AND(BU400&gt;0,BU400&lt;=1),50000,IF(AND(BU400&gt;1,BU400&lt;=3),40000,IF(AND(BU400&gt;3,BU400&lt;=5),20000,IF(AND(BU400&gt;5,BU400&lt;=9),0,IF(AND(BU400&gt;9,BU400&lt;=11),-20000,IF(AND(BU400&gt;11,BU400&lt;=13),-40000,IF(BU400&gt;13,-50000,0)))))))</f>
        <v>0</v>
      </c>
      <c r="BW400" s="379">
        <v>0</v>
      </c>
      <c r="BX400" s="269">
        <f>IF(AND(BW400&gt;0,BW400&lt;=1),1.15,IF(AND(BW400&gt;1,BW400&lt;=3),1.1,IF(AND(BW400&gt;3,BW400&lt;=5),1.05,IF(AND(BW400&gt;5,BW400&lt;=9),1,IF(AND(BW400&gt;9,BW400&lt;=11),-0.05,IF(AND(BW400&gt;11,BW400&lt;=13),-0.1,IF(BW400&gt;13,-0.15,0)))))))</f>
        <v>0</v>
      </c>
      <c r="BY400" s="264"/>
      <c r="BZ400" s="264"/>
      <c r="CA400" s="264"/>
      <c r="CB400" s="264"/>
      <c r="CC400" s="264"/>
      <c r="CD400" s="14">
        <f>CC400-BB400</f>
        <v>-12</v>
      </c>
      <c r="CE400" s="14">
        <f>IF(CF400&gt;0,BF400,0)</f>
        <v>27</v>
      </c>
      <c r="CF400" s="2">
        <f>IF(BF400&gt;=26,1,0)</f>
        <v>1</v>
      </c>
      <c r="CL400" s="387"/>
      <c r="CM400" s="387"/>
      <c r="CN400" s="387"/>
      <c r="CO400" s="387"/>
      <c r="CP400" s="387"/>
      <c r="CQ400" s="100"/>
    </row>
    <row r="401" spans="1:95" s="95" customFormat="1" ht="29.4" customHeight="1">
      <c r="A401" s="46">
        <v>2</v>
      </c>
      <c r="B401" s="46">
        <v>8</v>
      </c>
      <c r="C401" s="46">
        <v>294</v>
      </c>
      <c r="D401" s="380"/>
      <c r="E401" s="380"/>
      <c r="F401" s="381"/>
      <c r="G401" s="312" t="s">
        <v>1991</v>
      </c>
      <c r="H401" s="312" t="s">
        <v>1991</v>
      </c>
      <c r="I401" s="312">
        <v>0</v>
      </c>
      <c r="J401" s="312"/>
      <c r="K401" s="312">
        <v>0</v>
      </c>
      <c r="L401" s="312" t="s">
        <v>1991</v>
      </c>
      <c r="M401" s="312" t="s">
        <v>1991</v>
      </c>
      <c r="N401" s="312" t="s">
        <v>1991</v>
      </c>
      <c r="O401" s="312" t="s">
        <v>1991</v>
      </c>
      <c r="P401" s="312" t="s">
        <v>1991</v>
      </c>
      <c r="Q401" s="312" t="s">
        <v>1991</v>
      </c>
      <c r="R401" s="312" t="s">
        <v>1991</v>
      </c>
      <c r="S401" s="312" t="s">
        <v>1991</v>
      </c>
      <c r="T401" s="323" t="s">
        <v>1991</v>
      </c>
      <c r="U401" s="312" t="s">
        <v>1991</v>
      </c>
      <c r="V401" s="46" t="s">
        <v>1991</v>
      </c>
      <c r="W401" s="324" t="s">
        <v>1991</v>
      </c>
      <c r="X401" s="324" t="s">
        <v>1991</v>
      </c>
      <c r="Y401" s="324" t="s">
        <v>1991</v>
      </c>
      <c r="Z401" s="46" t="s">
        <v>1991</v>
      </c>
      <c r="AA401" s="324" t="s">
        <v>1991</v>
      </c>
      <c r="AB401" s="46" t="s">
        <v>1991</v>
      </c>
      <c r="AC401" s="46" t="s">
        <v>1991</v>
      </c>
      <c r="AD401" s="46" t="s">
        <v>1991</v>
      </c>
      <c r="AE401" s="324" t="s">
        <v>1991</v>
      </c>
      <c r="AF401" s="324" t="s">
        <v>1991</v>
      </c>
      <c r="AG401" s="324" t="s">
        <v>1991</v>
      </c>
      <c r="AH401" s="324" t="s">
        <v>1991</v>
      </c>
      <c r="AI401" s="324" t="s">
        <v>1991</v>
      </c>
      <c r="AJ401" s="324" t="s">
        <v>1991</v>
      </c>
      <c r="AK401" s="324" t="s">
        <v>1991</v>
      </c>
      <c r="AL401" s="327"/>
      <c r="AM401" s="327"/>
      <c r="AN401" s="327"/>
      <c r="AO401" s="327"/>
      <c r="AP401" s="327"/>
      <c r="AQ401" s="327"/>
      <c r="AR401" s="327"/>
      <c r="AS401" s="327"/>
      <c r="AT401" s="327"/>
      <c r="AU401" s="327"/>
      <c r="AV401" s="327"/>
      <c r="AW401" s="327"/>
      <c r="AX401" s="327"/>
      <c r="AY401" s="361"/>
      <c r="AZ401" s="361"/>
      <c r="BA401" s="361"/>
      <c r="BB401" s="46">
        <f t="shared" si="177"/>
        <v>12</v>
      </c>
      <c r="BC401" s="46">
        <f t="shared" si="178"/>
        <v>16</v>
      </c>
      <c r="BD401" s="46">
        <f t="shared" si="179"/>
        <v>0</v>
      </c>
      <c r="BE401" s="46">
        <f t="shared" si="180"/>
        <v>0</v>
      </c>
      <c r="BF401" s="296">
        <f t="shared" si="181"/>
        <v>28</v>
      </c>
      <c r="BG401" s="256"/>
      <c r="BH401" s="256"/>
      <c r="BI401" s="256"/>
      <c r="BJ401" s="256"/>
      <c r="BK401" s="383"/>
      <c r="BL401" s="383"/>
      <c r="BM401" s="383"/>
      <c r="BN401" s="383"/>
      <c r="BO401" s="2">
        <f t="shared" ref="BO401:BO464" si="183">IF(BT401&gt;0,BF401,0)</f>
        <v>28</v>
      </c>
      <c r="BP401" s="430"/>
      <c r="BQ401" s="431"/>
      <c r="BR401" s="2"/>
      <c r="BS401" s="25"/>
      <c r="BT401" s="348">
        <f t="shared" si="182"/>
        <v>1</v>
      </c>
      <c r="BU401" s="56"/>
      <c r="BV401" s="282">
        <f t="shared" ref="BV401:BV464" si="184">IF(AND(BU401&gt;0,BU401&lt;=1),50000,IF(AND(BU401&gt;1,BU401&lt;=3),40000,IF(AND(BU401&gt;3,BU401&lt;=5),20000,IF(AND(BU401&gt;5,BU401&lt;=9),0,IF(AND(BU401&gt;9,BU401&lt;=11),-20000,IF(AND(BU401&gt;11,BU401&lt;=13),-40000,IF(BU401&gt;13,-50000,0)))))))</f>
        <v>0</v>
      </c>
      <c r="BW401" s="379">
        <v>0</v>
      </c>
      <c r="BX401" s="269">
        <f t="shared" ref="BX401:BX464" si="185">IF(AND(BW401&gt;0,BW401&lt;=1),1.15,IF(AND(BW401&gt;1,BW401&lt;=3),1.1,IF(AND(BW401&gt;3,BW401&lt;=5),1.05,IF(AND(BW401&gt;5,BW401&lt;=9),1,IF(AND(BW401&gt;9,BW401&lt;=11),-0.05,IF(AND(BW401&gt;11,BW401&lt;=13),-0.1,IF(BW401&gt;13,-0.15,0)))))))</f>
        <v>0</v>
      </c>
      <c r="BY401" s="264"/>
      <c r="BZ401" s="264"/>
      <c r="CA401" s="264"/>
      <c r="CB401" s="264"/>
      <c r="CC401" s="264"/>
      <c r="CD401" s="14">
        <f t="shared" ref="CD401:CD464" si="186">CC401-BB401</f>
        <v>-12</v>
      </c>
      <c r="CE401" s="14">
        <f t="shared" ref="CE401:CE464" si="187">IF(CF401&gt;0,BF401,0)</f>
        <v>28</v>
      </c>
      <c r="CF401" s="2">
        <f t="shared" ref="CF401:CF464" si="188">IF(BF401&gt;=26,1,0)</f>
        <v>1</v>
      </c>
      <c r="CL401" s="387"/>
      <c r="CM401" s="387"/>
      <c r="CN401" s="387"/>
      <c r="CO401" s="387"/>
      <c r="CP401" s="387"/>
      <c r="CQ401" s="100"/>
    </row>
    <row r="402" spans="1:95" s="95" customFormat="1" ht="29.4" customHeight="1">
      <c r="A402" s="46">
        <v>3</v>
      </c>
      <c r="B402" s="46">
        <v>8</v>
      </c>
      <c r="C402" s="46">
        <v>295</v>
      </c>
      <c r="D402" s="380"/>
      <c r="E402" s="380"/>
      <c r="F402" s="381"/>
      <c r="G402" s="312" t="s">
        <v>1991</v>
      </c>
      <c r="H402" s="312" t="s">
        <v>1991</v>
      </c>
      <c r="I402" s="312">
        <v>0</v>
      </c>
      <c r="J402" s="312"/>
      <c r="K402" s="312">
        <v>0</v>
      </c>
      <c r="L402" s="312" t="s">
        <v>1991</v>
      </c>
      <c r="M402" s="312" t="s">
        <v>1991</v>
      </c>
      <c r="N402" s="312" t="s">
        <v>1991</v>
      </c>
      <c r="O402" s="312" t="s">
        <v>1991</v>
      </c>
      <c r="P402" s="312" t="s">
        <v>1991</v>
      </c>
      <c r="Q402" s="312" t="s">
        <v>1991</v>
      </c>
      <c r="R402" s="312" t="s">
        <v>1991</v>
      </c>
      <c r="S402" s="312" t="s">
        <v>1991</v>
      </c>
      <c r="T402" s="323" t="s">
        <v>1991</v>
      </c>
      <c r="U402" s="312" t="s">
        <v>1991</v>
      </c>
      <c r="V402" s="46" t="s">
        <v>1991</v>
      </c>
      <c r="W402" s="324" t="s">
        <v>1991</v>
      </c>
      <c r="X402" s="324" t="s">
        <v>1991</v>
      </c>
      <c r="Y402" s="324" t="s">
        <v>1991</v>
      </c>
      <c r="Z402" s="46" t="s">
        <v>1991</v>
      </c>
      <c r="AA402" s="324" t="s">
        <v>1991</v>
      </c>
      <c r="AB402" s="46" t="s">
        <v>1991</v>
      </c>
      <c r="AC402" s="46" t="s">
        <v>1991</v>
      </c>
      <c r="AD402" s="46">
        <v>0</v>
      </c>
      <c r="AE402" s="324" t="s">
        <v>1991</v>
      </c>
      <c r="AF402" s="324" t="s">
        <v>1991</v>
      </c>
      <c r="AG402" s="324" t="s">
        <v>1991</v>
      </c>
      <c r="AH402" s="324" t="s">
        <v>1991</v>
      </c>
      <c r="AI402" s="324" t="s">
        <v>1991</v>
      </c>
      <c r="AJ402" s="324" t="s">
        <v>1991</v>
      </c>
      <c r="AK402" s="324" t="s">
        <v>1991</v>
      </c>
      <c r="AL402" s="327"/>
      <c r="AM402" s="327"/>
      <c r="AN402" s="327"/>
      <c r="AO402" s="327"/>
      <c r="AP402" s="327"/>
      <c r="AQ402" s="327"/>
      <c r="AR402" s="327"/>
      <c r="AS402" s="327"/>
      <c r="AT402" s="327"/>
      <c r="AU402" s="327"/>
      <c r="AV402" s="327"/>
      <c r="AW402" s="327"/>
      <c r="AX402" s="327"/>
      <c r="AY402" s="361"/>
      <c r="AZ402" s="361"/>
      <c r="BA402" s="361"/>
      <c r="BB402" s="46">
        <f t="shared" si="177"/>
        <v>12</v>
      </c>
      <c r="BC402" s="46">
        <f t="shared" si="178"/>
        <v>15</v>
      </c>
      <c r="BD402" s="46">
        <f t="shared" si="179"/>
        <v>0</v>
      </c>
      <c r="BE402" s="46">
        <f t="shared" si="180"/>
        <v>0</v>
      </c>
      <c r="BF402" s="296">
        <f t="shared" si="181"/>
        <v>27</v>
      </c>
      <c r="BG402" s="256"/>
      <c r="BH402" s="256"/>
      <c r="BI402" s="256"/>
      <c r="BJ402" s="256"/>
      <c r="BK402" s="383"/>
      <c r="BL402" s="383"/>
      <c r="BM402" s="383"/>
      <c r="BN402" s="383"/>
      <c r="BO402" s="2">
        <f t="shared" si="183"/>
        <v>27</v>
      </c>
      <c r="BP402" s="430"/>
      <c r="BQ402" s="431"/>
      <c r="BR402" s="2"/>
      <c r="BS402" s="25"/>
      <c r="BT402" s="348">
        <f t="shared" si="182"/>
        <v>1</v>
      </c>
      <c r="BU402" s="56"/>
      <c r="BV402" s="282">
        <f t="shared" si="184"/>
        <v>0</v>
      </c>
      <c r="BW402" s="379">
        <v>0</v>
      </c>
      <c r="BX402" s="269">
        <f t="shared" si="185"/>
        <v>0</v>
      </c>
      <c r="BY402" s="264"/>
      <c r="BZ402" s="264"/>
      <c r="CA402" s="264"/>
      <c r="CB402" s="264"/>
      <c r="CC402" s="264"/>
      <c r="CD402" s="14">
        <f t="shared" si="186"/>
        <v>-12</v>
      </c>
      <c r="CE402" s="14">
        <f t="shared" si="187"/>
        <v>27</v>
      </c>
      <c r="CF402" s="2">
        <f t="shared" si="188"/>
        <v>1</v>
      </c>
      <c r="CL402" s="387"/>
      <c r="CM402" s="387"/>
      <c r="CN402" s="387"/>
      <c r="CO402" s="387"/>
      <c r="CP402" s="387"/>
      <c r="CQ402" s="100"/>
    </row>
    <row r="403" spans="1:95" s="95" customFormat="1" ht="29.4" customHeight="1">
      <c r="A403" s="46">
        <v>4</v>
      </c>
      <c r="B403" s="46">
        <v>8</v>
      </c>
      <c r="C403" s="46">
        <v>296</v>
      </c>
      <c r="D403" s="380"/>
      <c r="E403" s="380"/>
      <c r="F403" s="381"/>
      <c r="G403" s="312">
        <v>0</v>
      </c>
      <c r="H403" s="312" t="s">
        <v>1991</v>
      </c>
      <c r="I403" s="312" t="s">
        <v>1991</v>
      </c>
      <c r="J403" s="312"/>
      <c r="K403" s="312">
        <v>0</v>
      </c>
      <c r="L403" s="312" t="s">
        <v>1991</v>
      </c>
      <c r="M403" s="312" t="s">
        <v>1991</v>
      </c>
      <c r="N403" s="312" t="s">
        <v>1991</v>
      </c>
      <c r="O403" s="312" t="s">
        <v>1991</v>
      </c>
      <c r="P403" s="312" t="s">
        <v>1991</v>
      </c>
      <c r="Q403" s="312" t="s">
        <v>1991</v>
      </c>
      <c r="R403" s="312" t="s">
        <v>1991</v>
      </c>
      <c r="S403" s="312" t="s">
        <v>1991</v>
      </c>
      <c r="T403" s="323" t="s">
        <v>1991</v>
      </c>
      <c r="U403" s="312" t="s">
        <v>1991</v>
      </c>
      <c r="V403" s="46" t="s">
        <v>1991</v>
      </c>
      <c r="W403" s="324" t="s">
        <v>1991</v>
      </c>
      <c r="X403" s="324" t="s">
        <v>1991</v>
      </c>
      <c r="Y403" s="324" t="s">
        <v>1991</v>
      </c>
      <c r="Z403" s="46" t="s">
        <v>1991</v>
      </c>
      <c r="AA403" s="324" t="s">
        <v>1991</v>
      </c>
      <c r="AB403" s="46" t="s">
        <v>1991</v>
      </c>
      <c r="AC403" s="46" t="s">
        <v>1991</v>
      </c>
      <c r="AD403" s="46" t="s">
        <v>1991</v>
      </c>
      <c r="AE403" s="324">
        <v>0</v>
      </c>
      <c r="AF403" s="324" t="s">
        <v>1991</v>
      </c>
      <c r="AG403" s="324" t="s">
        <v>1991</v>
      </c>
      <c r="AH403" s="324" t="s">
        <v>1991</v>
      </c>
      <c r="AI403" s="324" t="s">
        <v>1991</v>
      </c>
      <c r="AJ403" s="324" t="s">
        <v>1991</v>
      </c>
      <c r="AK403" s="324" t="s">
        <v>1991</v>
      </c>
      <c r="AL403" s="327"/>
      <c r="AM403" s="327"/>
      <c r="AN403" s="327"/>
      <c r="AO403" s="327"/>
      <c r="AP403" s="327"/>
      <c r="AQ403" s="327"/>
      <c r="AR403" s="327"/>
      <c r="AS403" s="327"/>
      <c r="AT403" s="327"/>
      <c r="AU403" s="327"/>
      <c r="AV403" s="327"/>
      <c r="AW403" s="327"/>
      <c r="AX403" s="327"/>
      <c r="AY403" s="361"/>
      <c r="AZ403" s="361"/>
      <c r="BA403" s="361"/>
      <c r="BB403" s="46">
        <f t="shared" si="177"/>
        <v>12</v>
      </c>
      <c r="BC403" s="46">
        <f t="shared" si="178"/>
        <v>15</v>
      </c>
      <c r="BD403" s="46">
        <f t="shared" si="179"/>
        <v>0</v>
      </c>
      <c r="BE403" s="46">
        <f t="shared" si="180"/>
        <v>0</v>
      </c>
      <c r="BF403" s="296">
        <f t="shared" si="181"/>
        <v>27</v>
      </c>
      <c r="BG403" s="256"/>
      <c r="BH403" s="256"/>
      <c r="BI403" s="256"/>
      <c r="BJ403" s="256"/>
      <c r="BK403" s="383"/>
      <c r="BL403" s="383"/>
      <c r="BM403" s="383"/>
      <c r="BN403" s="383"/>
      <c r="BO403" s="2">
        <f t="shared" si="183"/>
        <v>27</v>
      </c>
      <c r="BP403" s="430"/>
      <c r="BQ403" s="431"/>
      <c r="BR403" s="2"/>
      <c r="BS403" s="25"/>
      <c r="BT403" s="348">
        <f t="shared" si="182"/>
        <v>1</v>
      </c>
      <c r="BU403" s="56"/>
      <c r="BV403" s="282">
        <f t="shared" si="184"/>
        <v>0</v>
      </c>
      <c r="BW403" s="379">
        <v>0</v>
      </c>
      <c r="BX403" s="269">
        <f t="shared" si="185"/>
        <v>0</v>
      </c>
      <c r="BY403" s="264"/>
      <c r="BZ403" s="264"/>
      <c r="CA403" s="264"/>
      <c r="CB403" s="264"/>
      <c r="CC403" s="264"/>
      <c r="CD403" s="14">
        <f t="shared" si="186"/>
        <v>-12</v>
      </c>
      <c r="CE403" s="14">
        <f t="shared" si="187"/>
        <v>27</v>
      </c>
      <c r="CF403" s="2">
        <f t="shared" si="188"/>
        <v>1</v>
      </c>
      <c r="CL403" s="387"/>
      <c r="CM403" s="387"/>
      <c r="CN403" s="387"/>
      <c r="CO403" s="387"/>
      <c r="CP403" s="387"/>
      <c r="CQ403" s="100"/>
    </row>
    <row r="404" spans="1:95" s="95" customFormat="1" ht="29.4" customHeight="1">
      <c r="A404" s="46">
        <v>5</v>
      </c>
      <c r="B404" s="46">
        <v>8</v>
      </c>
      <c r="C404" s="46">
        <v>297</v>
      </c>
      <c r="D404" s="380"/>
      <c r="E404" s="380"/>
      <c r="F404" s="381"/>
      <c r="G404" s="312" t="s">
        <v>1991</v>
      </c>
      <c r="H404" s="312" t="s">
        <v>1991</v>
      </c>
      <c r="I404" s="312" t="s">
        <v>1991</v>
      </c>
      <c r="J404" s="312"/>
      <c r="K404" s="312">
        <v>0</v>
      </c>
      <c r="L404" s="312" t="s">
        <v>1991</v>
      </c>
      <c r="M404" s="312" t="s">
        <v>1991</v>
      </c>
      <c r="N404" s="312" t="s">
        <v>1991</v>
      </c>
      <c r="O404" s="312" t="s">
        <v>1991</v>
      </c>
      <c r="P404" s="312" t="s">
        <v>1991</v>
      </c>
      <c r="Q404" s="312" t="s">
        <v>1991</v>
      </c>
      <c r="R404" s="312" t="s">
        <v>1991</v>
      </c>
      <c r="S404" s="312" t="s">
        <v>1991</v>
      </c>
      <c r="T404" s="323" t="s">
        <v>1991</v>
      </c>
      <c r="U404" s="312" t="s">
        <v>1991</v>
      </c>
      <c r="V404" s="46" t="s">
        <v>1991</v>
      </c>
      <c r="W404" s="324" t="s">
        <v>1991</v>
      </c>
      <c r="X404" s="324">
        <v>0</v>
      </c>
      <c r="Y404" s="324" t="s">
        <v>1991</v>
      </c>
      <c r="Z404" s="46" t="s">
        <v>1991</v>
      </c>
      <c r="AA404" s="324" t="s">
        <v>1991</v>
      </c>
      <c r="AB404" s="46" t="s">
        <v>1991</v>
      </c>
      <c r="AC404" s="46" t="s">
        <v>1991</v>
      </c>
      <c r="AD404" s="46" t="s">
        <v>1991</v>
      </c>
      <c r="AE404" s="324" t="s">
        <v>1991</v>
      </c>
      <c r="AF404" s="324" t="s">
        <v>1991</v>
      </c>
      <c r="AG404" s="324" t="s">
        <v>1991</v>
      </c>
      <c r="AH404" s="324" t="s">
        <v>1991</v>
      </c>
      <c r="AI404" s="324" t="s">
        <v>1991</v>
      </c>
      <c r="AJ404" s="324" t="s">
        <v>1991</v>
      </c>
      <c r="AK404" s="324" t="s">
        <v>1991</v>
      </c>
      <c r="AL404" s="327" t="s">
        <v>1991</v>
      </c>
      <c r="AM404" s="327"/>
      <c r="AN404" s="327"/>
      <c r="AO404" s="327"/>
      <c r="AP404" s="327"/>
      <c r="AQ404" s="327"/>
      <c r="AR404" s="327"/>
      <c r="AS404" s="327"/>
      <c r="AT404" s="327"/>
      <c r="AU404" s="327"/>
      <c r="AV404" s="327"/>
      <c r="AW404" s="327"/>
      <c r="AX404" s="327"/>
      <c r="AY404" s="361"/>
      <c r="AZ404" s="361"/>
      <c r="BA404" s="361"/>
      <c r="BB404" s="46">
        <f t="shared" si="177"/>
        <v>13</v>
      </c>
      <c r="BC404" s="46">
        <f t="shared" si="178"/>
        <v>15</v>
      </c>
      <c r="BD404" s="46">
        <f t="shared" si="179"/>
        <v>1</v>
      </c>
      <c r="BE404" s="46">
        <f t="shared" si="180"/>
        <v>1</v>
      </c>
      <c r="BF404" s="296">
        <f t="shared" si="181"/>
        <v>28</v>
      </c>
      <c r="BG404" s="256"/>
      <c r="BH404" s="256"/>
      <c r="BI404" s="256"/>
      <c r="BJ404" s="256"/>
      <c r="BK404" s="383"/>
      <c r="BL404" s="383"/>
      <c r="BM404" s="383"/>
      <c r="BN404" s="383"/>
      <c r="BO404" s="2">
        <f t="shared" si="183"/>
        <v>28</v>
      </c>
      <c r="BP404" s="430"/>
      <c r="BQ404" s="431"/>
      <c r="BR404" s="2"/>
      <c r="BS404" s="25"/>
      <c r="BT404" s="348">
        <f t="shared" si="182"/>
        <v>1</v>
      </c>
      <c r="BU404" s="56"/>
      <c r="BV404" s="282">
        <f t="shared" si="184"/>
        <v>0</v>
      </c>
      <c r="BW404" s="379">
        <v>0</v>
      </c>
      <c r="BX404" s="269">
        <f t="shared" si="185"/>
        <v>0</v>
      </c>
      <c r="BY404" s="264"/>
      <c r="BZ404" s="264"/>
      <c r="CA404" s="264"/>
      <c r="CB404" s="264"/>
      <c r="CC404" s="264"/>
      <c r="CD404" s="14">
        <f t="shared" si="186"/>
        <v>-13</v>
      </c>
      <c r="CE404" s="14">
        <f t="shared" si="187"/>
        <v>28</v>
      </c>
      <c r="CF404" s="2">
        <f t="shared" si="188"/>
        <v>1</v>
      </c>
      <c r="CL404" s="387"/>
      <c r="CM404" s="387"/>
      <c r="CN404" s="387"/>
      <c r="CO404" s="387"/>
      <c r="CP404" s="387"/>
      <c r="CQ404" s="100"/>
    </row>
    <row r="405" spans="1:95" s="95" customFormat="1" ht="29.4" customHeight="1">
      <c r="A405" s="46">
        <v>6</v>
      </c>
      <c r="B405" s="46">
        <v>8</v>
      </c>
      <c r="C405" s="46">
        <v>298</v>
      </c>
      <c r="D405" s="380"/>
      <c r="E405" s="380"/>
      <c r="F405" s="381"/>
      <c r="G405" s="312" t="s">
        <v>1991</v>
      </c>
      <c r="H405" s="312" t="s">
        <v>1991</v>
      </c>
      <c r="I405" s="312" t="s">
        <v>1991</v>
      </c>
      <c r="J405" s="312"/>
      <c r="K405" s="312">
        <v>0</v>
      </c>
      <c r="L405" s="312" t="s">
        <v>1991</v>
      </c>
      <c r="M405" s="312" t="s">
        <v>1991</v>
      </c>
      <c r="N405" s="312" t="s">
        <v>1991</v>
      </c>
      <c r="O405" s="312" t="s">
        <v>1991</v>
      </c>
      <c r="P405" s="312" t="s">
        <v>1991</v>
      </c>
      <c r="Q405" s="312" t="s">
        <v>1991</v>
      </c>
      <c r="R405" s="312" t="s">
        <v>1991</v>
      </c>
      <c r="S405" s="312" t="s">
        <v>1991</v>
      </c>
      <c r="T405" s="323" t="s">
        <v>1991</v>
      </c>
      <c r="U405" s="312" t="s">
        <v>1991</v>
      </c>
      <c r="V405" s="46" t="s">
        <v>1991</v>
      </c>
      <c r="W405" s="324" t="s">
        <v>1991</v>
      </c>
      <c r="X405" s="324" t="s">
        <v>1991</v>
      </c>
      <c r="Y405" s="324" t="s">
        <v>1991</v>
      </c>
      <c r="Z405" s="46" t="s">
        <v>1991</v>
      </c>
      <c r="AA405" s="324" t="s">
        <v>1991</v>
      </c>
      <c r="AB405" s="46">
        <v>0</v>
      </c>
      <c r="AC405" s="46" t="s">
        <v>1991</v>
      </c>
      <c r="AD405" s="46" t="s">
        <v>1991</v>
      </c>
      <c r="AE405" s="324">
        <v>0</v>
      </c>
      <c r="AF405" s="324" t="s">
        <v>1991</v>
      </c>
      <c r="AG405" s="324" t="s">
        <v>1991</v>
      </c>
      <c r="AH405" s="324" t="s">
        <v>1991</v>
      </c>
      <c r="AI405" s="324" t="s">
        <v>1991</v>
      </c>
      <c r="AJ405" s="324">
        <v>0</v>
      </c>
      <c r="AK405" s="324" t="s">
        <v>1991</v>
      </c>
      <c r="AL405" s="327"/>
      <c r="AM405" s="327"/>
      <c r="AN405" s="327"/>
      <c r="AO405" s="327"/>
      <c r="AP405" s="327"/>
      <c r="AQ405" s="327"/>
      <c r="AR405" s="327"/>
      <c r="AS405" s="327"/>
      <c r="AT405" s="327"/>
      <c r="AU405" s="327"/>
      <c r="AV405" s="327"/>
      <c r="AW405" s="327"/>
      <c r="AX405" s="327"/>
      <c r="AY405" s="361"/>
      <c r="AZ405" s="361"/>
      <c r="BA405" s="361"/>
      <c r="BB405" s="46">
        <f t="shared" si="177"/>
        <v>13</v>
      </c>
      <c r="BC405" s="46">
        <f t="shared" si="178"/>
        <v>13</v>
      </c>
      <c r="BD405" s="46">
        <f t="shared" si="179"/>
        <v>0</v>
      </c>
      <c r="BE405" s="46">
        <f t="shared" si="180"/>
        <v>0</v>
      </c>
      <c r="BF405" s="296">
        <f t="shared" si="181"/>
        <v>26</v>
      </c>
      <c r="BG405" s="256"/>
      <c r="BH405" s="256"/>
      <c r="BI405" s="256"/>
      <c r="BJ405" s="256"/>
      <c r="BK405" s="383"/>
      <c r="BL405" s="383"/>
      <c r="BM405" s="383"/>
      <c r="BN405" s="383"/>
      <c r="BO405" s="2">
        <f t="shared" si="183"/>
        <v>26</v>
      </c>
      <c r="BP405" s="430"/>
      <c r="BQ405" s="431"/>
      <c r="BR405" s="2"/>
      <c r="BS405" s="25"/>
      <c r="BT405" s="348">
        <f t="shared" si="182"/>
        <v>1</v>
      </c>
      <c r="BU405" s="56"/>
      <c r="BV405" s="282">
        <f t="shared" si="184"/>
        <v>0</v>
      </c>
      <c r="BW405" s="379">
        <v>0</v>
      </c>
      <c r="BX405" s="269">
        <f t="shared" si="185"/>
        <v>0</v>
      </c>
      <c r="BY405" s="264"/>
      <c r="BZ405" s="264"/>
      <c r="CA405" s="264"/>
      <c r="CB405" s="264"/>
      <c r="CC405" s="264"/>
      <c r="CD405" s="14">
        <f t="shared" si="186"/>
        <v>-13</v>
      </c>
      <c r="CE405" s="14">
        <f t="shared" si="187"/>
        <v>26</v>
      </c>
      <c r="CF405" s="2">
        <f t="shared" si="188"/>
        <v>1</v>
      </c>
      <c r="CL405" s="387"/>
      <c r="CM405" s="387"/>
      <c r="CN405" s="387"/>
      <c r="CO405" s="387"/>
      <c r="CP405" s="387"/>
      <c r="CQ405" s="100"/>
    </row>
    <row r="406" spans="1:95" s="95" customFormat="1" ht="29.4" customHeight="1">
      <c r="A406" s="46">
        <v>7</v>
      </c>
      <c r="B406" s="46">
        <v>8</v>
      </c>
      <c r="C406" s="46">
        <v>299</v>
      </c>
      <c r="D406" s="380"/>
      <c r="E406" s="380"/>
      <c r="F406" s="381"/>
      <c r="G406" s="312" t="s">
        <v>1991</v>
      </c>
      <c r="H406" s="312" t="s">
        <v>1991</v>
      </c>
      <c r="I406" s="312" t="s">
        <v>1991</v>
      </c>
      <c r="J406" s="312"/>
      <c r="K406" s="312" t="s">
        <v>1991</v>
      </c>
      <c r="L406" s="312" t="s">
        <v>1991</v>
      </c>
      <c r="M406" s="312" t="s">
        <v>1991</v>
      </c>
      <c r="N406" s="312">
        <v>0</v>
      </c>
      <c r="O406" s="312" t="s">
        <v>1991</v>
      </c>
      <c r="P406" s="312" t="s">
        <v>1991</v>
      </c>
      <c r="Q406" s="312" t="s">
        <v>1991</v>
      </c>
      <c r="R406" s="312" t="s">
        <v>1991</v>
      </c>
      <c r="S406" s="312" t="s">
        <v>1991</v>
      </c>
      <c r="T406" s="323" t="s">
        <v>1991</v>
      </c>
      <c r="U406" s="312" t="s">
        <v>1991</v>
      </c>
      <c r="V406" s="46" t="s">
        <v>1991</v>
      </c>
      <c r="W406" s="324" t="s">
        <v>1991</v>
      </c>
      <c r="X406" s="324" t="s">
        <v>1991</v>
      </c>
      <c r="Y406" s="324" t="s">
        <v>1991</v>
      </c>
      <c r="Z406" s="46" t="s">
        <v>1991</v>
      </c>
      <c r="AA406" s="324" t="s">
        <v>1991</v>
      </c>
      <c r="AB406" s="46" t="s">
        <v>1991</v>
      </c>
      <c r="AC406" s="46" t="s">
        <v>1991</v>
      </c>
      <c r="AD406" s="46" t="s">
        <v>1991</v>
      </c>
      <c r="AE406" s="324">
        <v>0</v>
      </c>
      <c r="AF406" s="324" t="s">
        <v>1991</v>
      </c>
      <c r="AG406" s="324" t="s">
        <v>1991</v>
      </c>
      <c r="AH406" s="324" t="s">
        <v>1991</v>
      </c>
      <c r="AI406" s="324" t="s">
        <v>1991</v>
      </c>
      <c r="AJ406" s="324" t="s">
        <v>1991</v>
      </c>
      <c r="AK406" s="324" t="s">
        <v>1991</v>
      </c>
      <c r="AL406" s="327"/>
      <c r="AM406" s="327"/>
      <c r="AN406" s="327"/>
      <c r="AO406" s="327"/>
      <c r="AP406" s="327"/>
      <c r="AQ406" s="327"/>
      <c r="AR406" s="327"/>
      <c r="AS406" s="327"/>
      <c r="AT406" s="327"/>
      <c r="AU406" s="327"/>
      <c r="AV406" s="327"/>
      <c r="AW406" s="327"/>
      <c r="AX406" s="327"/>
      <c r="AY406" s="361"/>
      <c r="AZ406" s="361"/>
      <c r="BA406" s="361"/>
      <c r="BB406" s="46">
        <f t="shared" si="177"/>
        <v>13</v>
      </c>
      <c r="BC406" s="46">
        <f t="shared" si="178"/>
        <v>15</v>
      </c>
      <c r="BD406" s="46">
        <f t="shared" si="179"/>
        <v>0</v>
      </c>
      <c r="BE406" s="46">
        <f t="shared" si="180"/>
        <v>0</v>
      </c>
      <c r="BF406" s="296">
        <f t="shared" si="181"/>
        <v>28</v>
      </c>
      <c r="BG406" s="256"/>
      <c r="BH406" s="256"/>
      <c r="BI406" s="256"/>
      <c r="BJ406" s="256"/>
      <c r="BK406" s="383"/>
      <c r="BL406" s="383"/>
      <c r="BM406" s="383"/>
      <c r="BN406" s="383"/>
      <c r="BO406" s="2">
        <f t="shared" si="183"/>
        <v>28</v>
      </c>
      <c r="BP406" s="430"/>
      <c r="BQ406" s="431"/>
      <c r="BR406" s="2"/>
      <c r="BS406" s="25"/>
      <c r="BT406" s="348">
        <f t="shared" si="182"/>
        <v>1</v>
      </c>
      <c r="BU406" s="56"/>
      <c r="BV406" s="282">
        <f t="shared" si="184"/>
        <v>0</v>
      </c>
      <c r="BW406" s="379">
        <v>0</v>
      </c>
      <c r="BX406" s="269">
        <f t="shared" si="185"/>
        <v>0</v>
      </c>
      <c r="BY406" s="264"/>
      <c r="BZ406" s="264"/>
      <c r="CA406" s="264"/>
      <c r="CB406" s="264"/>
      <c r="CC406" s="264"/>
      <c r="CD406" s="14">
        <f t="shared" si="186"/>
        <v>-13</v>
      </c>
      <c r="CE406" s="14">
        <f t="shared" si="187"/>
        <v>28</v>
      </c>
      <c r="CF406" s="2">
        <f t="shared" si="188"/>
        <v>1</v>
      </c>
      <c r="CL406" s="387"/>
      <c r="CM406" s="387"/>
      <c r="CN406" s="387"/>
      <c r="CO406" s="387"/>
      <c r="CP406" s="387"/>
      <c r="CQ406" s="100"/>
    </row>
    <row r="407" spans="1:95" s="95" customFormat="1" ht="29.4" customHeight="1">
      <c r="A407" s="46">
        <v>8</v>
      </c>
      <c r="B407" s="46">
        <v>8</v>
      </c>
      <c r="C407" s="46">
        <v>300</v>
      </c>
      <c r="D407" s="380"/>
      <c r="E407" s="380"/>
      <c r="F407" s="381"/>
      <c r="G407" s="312" t="s">
        <v>1991</v>
      </c>
      <c r="H407" s="312" t="s">
        <v>1991</v>
      </c>
      <c r="I407" s="312" t="s">
        <v>1991</v>
      </c>
      <c r="J407" s="312"/>
      <c r="K407" s="312" t="s">
        <v>1991</v>
      </c>
      <c r="L407" s="312" t="s">
        <v>1991</v>
      </c>
      <c r="M407" s="312" t="s">
        <v>1991</v>
      </c>
      <c r="N407" s="312" t="s">
        <v>1991</v>
      </c>
      <c r="O407" s="312" t="s">
        <v>1991</v>
      </c>
      <c r="P407" s="312" t="s">
        <v>1991</v>
      </c>
      <c r="Q407" s="312" t="s">
        <v>1991</v>
      </c>
      <c r="R407" s="312" t="s">
        <v>1991</v>
      </c>
      <c r="S407" s="312" t="s">
        <v>1991</v>
      </c>
      <c r="T407" s="323" t="s">
        <v>1991</v>
      </c>
      <c r="U407" s="312" t="s">
        <v>1991</v>
      </c>
      <c r="V407" s="46">
        <v>0</v>
      </c>
      <c r="W407" s="324" t="s">
        <v>1991</v>
      </c>
      <c r="X407" s="324" t="s">
        <v>1991</v>
      </c>
      <c r="Y407" s="324" t="s">
        <v>1991</v>
      </c>
      <c r="Z407" s="46" t="s">
        <v>1991</v>
      </c>
      <c r="AA407" s="324" t="s">
        <v>1991</v>
      </c>
      <c r="AB407" s="46" t="s">
        <v>1991</v>
      </c>
      <c r="AC407" s="46" t="s">
        <v>1991</v>
      </c>
      <c r="AD407" s="46" t="s">
        <v>1991</v>
      </c>
      <c r="AE407" s="324" t="s">
        <v>1991</v>
      </c>
      <c r="AF407" s="324" t="s">
        <v>1991</v>
      </c>
      <c r="AG407" s="324" t="s">
        <v>1991</v>
      </c>
      <c r="AH407" s="324" t="s">
        <v>1991</v>
      </c>
      <c r="AI407" s="324" t="s">
        <v>1991</v>
      </c>
      <c r="AJ407" s="324" t="s">
        <v>1991</v>
      </c>
      <c r="AK407" s="324" t="s">
        <v>1991</v>
      </c>
      <c r="AL407" s="327"/>
      <c r="AM407" s="327"/>
      <c r="AN407" s="327"/>
      <c r="AO407" s="327"/>
      <c r="AP407" s="327"/>
      <c r="AQ407" s="327"/>
      <c r="AR407" s="327"/>
      <c r="AS407" s="327"/>
      <c r="AT407" s="327"/>
      <c r="AU407" s="327"/>
      <c r="AV407" s="327"/>
      <c r="AW407" s="327"/>
      <c r="AX407" s="327"/>
      <c r="AY407" s="361"/>
      <c r="AZ407" s="361"/>
      <c r="BA407" s="361"/>
      <c r="BB407" s="46">
        <f t="shared" si="177"/>
        <v>14</v>
      </c>
      <c r="BC407" s="46">
        <f t="shared" si="178"/>
        <v>15</v>
      </c>
      <c r="BD407" s="46">
        <f t="shared" si="179"/>
        <v>0</v>
      </c>
      <c r="BE407" s="46">
        <f t="shared" si="180"/>
        <v>0</v>
      </c>
      <c r="BF407" s="296">
        <f t="shared" si="181"/>
        <v>29</v>
      </c>
      <c r="BG407" s="256"/>
      <c r="BH407" s="256"/>
      <c r="BI407" s="256"/>
      <c r="BJ407" s="256"/>
      <c r="BK407" s="383"/>
      <c r="BL407" s="383"/>
      <c r="BM407" s="383"/>
      <c r="BN407" s="383"/>
      <c r="BO407" s="2">
        <f t="shared" si="183"/>
        <v>29</v>
      </c>
      <c r="BP407" s="430"/>
      <c r="BQ407" s="431"/>
      <c r="BR407" s="2"/>
      <c r="BS407" s="25"/>
      <c r="BT407" s="348">
        <f t="shared" si="182"/>
        <v>1</v>
      </c>
      <c r="BU407" s="56"/>
      <c r="BV407" s="282">
        <f t="shared" si="184"/>
        <v>0</v>
      </c>
      <c r="BW407" s="379">
        <v>0</v>
      </c>
      <c r="BX407" s="269">
        <f t="shared" si="185"/>
        <v>0</v>
      </c>
      <c r="BY407" s="264"/>
      <c r="BZ407" s="264"/>
      <c r="CA407" s="264"/>
      <c r="CB407" s="264"/>
      <c r="CC407" s="264"/>
      <c r="CD407" s="14">
        <f t="shared" si="186"/>
        <v>-14</v>
      </c>
      <c r="CE407" s="14">
        <f t="shared" si="187"/>
        <v>29</v>
      </c>
      <c r="CF407" s="2">
        <f t="shared" si="188"/>
        <v>1</v>
      </c>
      <c r="CL407" s="387"/>
      <c r="CM407" s="387"/>
      <c r="CN407" s="387"/>
      <c r="CO407" s="387"/>
      <c r="CP407" s="387"/>
      <c r="CQ407" s="100"/>
    </row>
    <row r="408" spans="1:95" s="95" customFormat="1" ht="29.4" customHeight="1">
      <c r="A408" s="46">
        <v>9</v>
      </c>
      <c r="B408" s="46">
        <v>8</v>
      </c>
      <c r="C408" s="46">
        <v>301</v>
      </c>
      <c r="D408" s="380"/>
      <c r="E408" s="380"/>
      <c r="F408" s="381"/>
      <c r="G408" s="312">
        <v>0</v>
      </c>
      <c r="H408" s="312" t="s">
        <v>1991</v>
      </c>
      <c r="I408" s="312" t="s">
        <v>1991</v>
      </c>
      <c r="J408" s="312"/>
      <c r="K408" s="312" t="s">
        <v>1991</v>
      </c>
      <c r="L408" s="312" t="s">
        <v>1991</v>
      </c>
      <c r="M408" s="312" t="s">
        <v>1991</v>
      </c>
      <c r="N408" s="312" t="s">
        <v>1991</v>
      </c>
      <c r="O408" s="312" t="s">
        <v>1991</v>
      </c>
      <c r="P408" s="312" t="s">
        <v>1991</v>
      </c>
      <c r="Q408" s="312" t="s">
        <v>1991</v>
      </c>
      <c r="R408" s="312" t="s">
        <v>1991</v>
      </c>
      <c r="S408" s="312" t="s">
        <v>1991</v>
      </c>
      <c r="T408" s="323" t="s">
        <v>1991</v>
      </c>
      <c r="U408" s="312" t="s">
        <v>1991</v>
      </c>
      <c r="V408" s="46" t="s">
        <v>1991</v>
      </c>
      <c r="W408" s="324" t="s">
        <v>1991</v>
      </c>
      <c r="X408" s="324" t="s">
        <v>1991</v>
      </c>
      <c r="Y408" s="324" t="s">
        <v>1991</v>
      </c>
      <c r="Z408" s="46" t="s">
        <v>1991</v>
      </c>
      <c r="AA408" s="324" t="s">
        <v>1991</v>
      </c>
      <c r="AB408" s="46" t="s">
        <v>1991</v>
      </c>
      <c r="AC408" s="46" t="s">
        <v>1991</v>
      </c>
      <c r="AD408" s="46" t="s">
        <v>1991</v>
      </c>
      <c r="AE408" s="324" t="s">
        <v>1991</v>
      </c>
      <c r="AF408" s="324" t="s">
        <v>1991</v>
      </c>
      <c r="AG408" s="324" t="s">
        <v>1991</v>
      </c>
      <c r="AH408" s="324" t="s">
        <v>1991</v>
      </c>
      <c r="AI408" s="324" t="s">
        <v>1991</v>
      </c>
      <c r="AJ408" s="324" t="s">
        <v>1991</v>
      </c>
      <c r="AK408" s="324" t="s">
        <v>1991</v>
      </c>
      <c r="AL408" s="327"/>
      <c r="AM408" s="327"/>
      <c r="AN408" s="327"/>
      <c r="AO408" s="327"/>
      <c r="AP408" s="327"/>
      <c r="AQ408" s="327"/>
      <c r="AR408" s="327"/>
      <c r="AS408" s="327"/>
      <c r="AT408" s="327"/>
      <c r="AU408" s="327"/>
      <c r="AV408" s="327"/>
      <c r="AW408" s="327"/>
      <c r="AX408" s="327"/>
      <c r="AY408" s="361"/>
      <c r="AZ408" s="361"/>
      <c r="BA408" s="361"/>
      <c r="BB408" s="46">
        <f t="shared" si="177"/>
        <v>13</v>
      </c>
      <c r="BC408" s="46">
        <f t="shared" si="178"/>
        <v>16</v>
      </c>
      <c r="BD408" s="46">
        <f t="shared" si="179"/>
        <v>0</v>
      </c>
      <c r="BE408" s="46">
        <f t="shared" si="180"/>
        <v>0</v>
      </c>
      <c r="BF408" s="296">
        <f t="shared" si="181"/>
        <v>29</v>
      </c>
      <c r="BG408" s="256"/>
      <c r="BH408" s="256"/>
      <c r="BI408" s="256"/>
      <c r="BJ408" s="256"/>
      <c r="BK408" s="383"/>
      <c r="BL408" s="383"/>
      <c r="BM408" s="383"/>
      <c r="BN408" s="383"/>
      <c r="BO408" s="2">
        <f t="shared" si="183"/>
        <v>29</v>
      </c>
      <c r="BP408" s="430"/>
      <c r="BQ408" s="431"/>
      <c r="BR408" s="2"/>
      <c r="BS408" s="25"/>
      <c r="BT408" s="348">
        <f t="shared" si="182"/>
        <v>1</v>
      </c>
      <c r="BU408" s="56"/>
      <c r="BV408" s="282">
        <f t="shared" si="184"/>
        <v>0</v>
      </c>
      <c r="BW408" s="379">
        <v>0</v>
      </c>
      <c r="BX408" s="269">
        <f t="shared" si="185"/>
        <v>0</v>
      </c>
      <c r="BY408" s="264"/>
      <c r="BZ408" s="264"/>
      <c r="CA408" s="264"/>
      <c r="CB408" s="264"/>
      <c r="CC408" s="264"/>
      <c r="CD408" s="14">
        <f t="shared" si="186"/>
        <v>-13</v>
      </c>
      <c r="CE408" s="14">
        <f t="shared" si="187"/>
        <v>29</v>
      </c>
      <c r="CF408" s="2">
        <f t="shared" si="188"/>
        <v>1</v>
      </c>
      <c r="CL408" s="387"/>
      <c r="CM408" s="387"/>
      <c r="CN408" s="387"/>
      <c r="CO408" s="387"/>
      <c r="CP408" s="387"/>
      <c r="CQ408" s="100"/>
    </row>
    <row r="409" spans="1:95" s="95" customFormat="1" ht="29.4" customHeight="1">
      <c r="A409" s="46">
        <v>10</v>
      </c>
      <c r="B409" s="46">
        <v>8</v>
      </c>
      <c r="C409" s="46">
        <v>302</v>
      </c>
      <c r="D409" s="380"/>
      <c r="E409" s="380"/>
      <c r="F409" s="381"/>
      <c r="G409" s="312" t="s">
        <v>1991</v>
      </c>
      <c r="H409" s="312" t="s">
        <v>1991</v>
      </c>
      <c r="I409" s="312" t="s">
        <v>1991</v>
      </c>
      <c r="J409" s="312"/>
      <c r="K409" s="312">
        <v>0</v>
      </c>
      <c r="L409" s="312" t="s">
        <v>1991</v>
      </c>
      <c r="M409" s="312" t="s">
        <v>1991</v>
      </c>
      <c r="N409" s="312" t="s">
        <v>1991</v>
      </c>
      <c r="O409" s="312" t="s">
        <v>1991</v>
      </c>
      <c r="P409" s="312" t="s">
        <v>1991</v>
      </c>
      <c r="Q409" s="312" t="s">
        <v>1991</v>
      </c>
      <c r="R409" s="312" t="s">
        <v>1991</v>
      </c>
      <c r="S409" s="312" t="s">
        <v>1991</v>
      </c>
      <c r="T409" s="323" t="s">
        <v>1991</v>
      </c>
      <c r="U409" s="312" t="s">
        <v>1991</v>
      </c>
      <c r="V409" s="46" t="s">
        <v>1991</v>
      </c>
      <c r="W409" s="324">
        <v>0</v>
      </c>
      <c r="X409" s="324" t="s">
        <v>1991</v>
      </c>
      <c r="Y409" s="324" t="s">
        <v>1991</v>
      </c>
      <c r="Z409" s="46" t="s">
        <v>1991</v>
      </c>
      <c r="AA409" s="324" t="s">
        <v>1991</v>
      </c>
      <c r="AB409" s="46" t="s">
        <v>1991</v>
      </c>
      <c r="AC409" s="46" t="s">
        <v>1991</v>
      </c>
      <c r="AD409" s="46" t="s">
        <v>1991</v>
      </c>
      <c r="AE409" s="324" t="s">
        <v>1991</v>
      </c>
      <c r="AF409" s="324" t="s">
        <v>1991</v>
      </c>
      <c r="AG409" s="324" t="s">
        <v>1991</v>
      </c>
      <c r="AH409" s="324" t="s">
        <v>1991</v>
      </c>
      <c r="AI409" s="324" t="s">
        <v>1991</v>
      </c>
      <c r="AJ409" s="324" t="s">
        <v>1991</v>
      </c>
      <c r="AK409" s="324">
        <v>0</v>
      </c>
      <c r="AL409" s="327"/>
      <c r="AM409" s="327"/>
      <c r="AN409" s="327"/>
      <c r="AO409" s="327"/>
      <c r="AP409" s="327"/>
      <c r="AQ409" s="327"/>
      <c r="AR409" s="327"/>
      <c r="AS409" s="327"/>
      <c r="AT409" s="327"/>
      <c r="AU409" s="327"/>
      <c r="AV409" s="327"/>
      <c r="AW409" s="327"/>
      <c r="AX409" s="327"/>
      <c r="AY409" s="361"/>
      <c r="AZ409" s="361"/>
      <c r="BA409" s="361"/>
      <c r="BB409" s="46">
        <f t="shared" si="177"/>
        <v>13</v>
      </c>
      <c r="BC409" s="46">
        <f t="shared" si="178"/>
        <v>14</v>
      </c>
      <c r="BD409" s="46">
        <f t="shared" si="179"/>
        <v>0</v>
      </c>
      <c r="BE409" s="46">
        <f t="shared" si="180"/>
        <v>0</v>
      </c>
      <c r="BF409" s="296">
        <f t="shared" si="181"/>
        <v>27</v>
      </c>
      <c r="BG409" s="256"/>
      <c r="BH409" s="256"/>
      <c r="BI409" s="256"/>
      <c r="BJ409" s="256"/>
      <c r="BK409" s="383"/>
      <c r="BL409" s="383"/>
      <c r="BM409" s="383"/>
      <c r="BN409" s="383"/>
      <c r="BO409" s="2">
        <f t="shared" si="183"/>
        <v>27</v>
      </c>
      <c r="BP409" s="430"/>
      <c r="BQ409" s="431"/>
      <c r="BR409" s="2"/>
      <c r="BS409" s="25"/>
      <c r="BT409" s="348">
        <f t="shared" si="182"/>
        <v>1</v>
      </c>
      <c r="BU409" s="56"/>
      <c r="BV409" s="282">
        <f t="shared" si="184"/>
        <v>0</v>
      </c>
      <c r="BW409" s="379">
        <v>0</v>
      </c>
      <c r="BX409" s="269">
        <f t="shared" si="185"/>
        <v>0</v>
      </c>
      <c r="BY409" s="264"/>
      <c r="BZ409" s="264"/>
      <c r="CA409" s="264"/>
      <c r="CB409" s="264"/>
      <c r="CC409" s="264"/>
      <c r="CD409" s="14">
        <f t="shared" si="186"/>
        <v>-13</v>
      </c>
      <c r="CE409" s="14">
        <f t="shared" si="187"/>
        <v>27</v>
      </c>
      <c r="CF409" s="2">
        <f t="shared" si="188"/>
        <v>1</v>
      </c>
      <c r="CL409" s="387"/>
      <c r="CM409" s="387"/>
      <c r="CN409" s="387"/>
      <c r="CO409" s="387"/>
      <c r="CP409" s="387"/>
      <c r="CQ409" s="100"/>
    </row>
    <row r="410" spans="1:95" s="95" customFormat="1" ht="29.4" customHeight="1">
      <c r="A410" s="46">
        <v>11</v>
      </c>
      <c r="B410" s="46">
        <v>8</v>
      </c>
      <c r="C410" s="46">
        <v>303</v>
      </c>
      <c r="D410" s="380"/>
      <c r="E410" s="380"/>
      <c r="F410" s="381"/>
      <c r="G410" s="312" t="s">
        <v>1991</v>
      </c>
      <c r="H410" s="312" t="s">
        <v>1991</v>
      </c>
      <c r="I410" s="312" t="s">
        <v>1991</v>
      </c>
      <c r="J410" s="312"/>
      <c r="K410" s="312">
        <v>0</v>
      </c>
      <c r="L410" s="312" t="s">
        <v>1991</v>
      </c>
      <c r="M410" s="312" t="s">
        <v>1991</v>
      </c>
      <c r="N410" s="312" t="s">
        <v>1991</v>
      </c>
      <c r="O410" s="312" t="s">
        <v>1991</v>
      </c>
      <c r="P410" s="312" t="s">
        <v>1991</v>
      </c>
      <c r="Q410" s="312" t="s">
        <v>1991</v>
      </c>
      <c r="R410" s="312" t="s">
        <v>1991</v>
      </c>
      <c r="S410" s="312" t="s">
        <v>1991</v>
      </c>
      <c r="T410" s="323" t="s">
        <v>1991</v>
      </c>
      <c r="U410" s="312" t="s">
        <v>1991</v>
      </c>
      <c r="V410" s="46" t="s">
        <v>1991</v>
      </c>
      <c r="W410" s="324" t="s">
        <v>1991</v>
      </c>
      <c r="X410" s="324" t="s">
        <v>1991</v>
      </c>
      <c r="Y410" s="324" t="s">
        <v>1991</v>
      </c>
      <c r="Z410" s="46" t="s">
        <v>1991</v>
      </c>
      <c r="AA410" s="324" t="s">
        <v>1991</v>
      </c>
      <c r="AB410" s="46" t="s">
        <v>1991</v>
      </c>
      <c r="AC410" s="46" t="s">
        <v>1991</v>
      </c>
      <c r="AD410" s="46">
        <v>0</v>
      </c>
      <c r="AE410" s="324" t="s">
        <v>1991</v>
      </c>
      <c r="AF410" s="324" t="s">
        <v>1991</v>
      </c>
      <c r="AG410" s="324" t="s">
        <v>1991</v>
      </c>
      <c r="AH410" s="324" t="s">
        <v>1991</v>
      </c>
      <c r="AI410" s="324" t="s">
        <v>1991</v>
      </c>
      <c r="AJ410" s="324" t="s">
        <v>1991</v>
      </c>
      <c r="AK410" s="324" t="s">
        <v>1991</v>
      </c>
      <c r="AL410" s="327"/>
      <c r="AM410" s="327"/>
      <c r="AN410" s="327"/>
      <c r="AO410" s="327"/>
      <c r="AP410" s="327"/>
      <c r="AQ410" s="327"/>
      <c r="AR410" s="327"/>
      <c r="AS410" s="327"/>
      <c r="AT410" s="327"/>
      <c r="AU410" s="327"/>
      <c r="AV410" s="327"/>
      <c r="AW410" s="327"/>
      <c r="AX410" s="327"/>
      <c r="AY410" s="361"/>
      <c r="AZ410" s="361"/>
      <c r="BA410" s="361"/>
      <c r="BB410" s="46">
        <f t="shared" si="177"/>
        <v>13</v>
      </c>
      <c r="BC410" s="46">
        <f t="shared" si="178"/>
        <v>15</v>
      </c>
      <c r="BD410" s="46">
        <f t="shared" si="179"/>
        <v>0</v>
      </c>
      <c r="BE410" s="46">
        <f t="shared" si="180"/>
        <v>0</v>
      </c>
      <c r="BF410" s="296">
        <f t="shared" si="181"/>
        <v>28</v>
      </c>
      <c r="BG410" s="256"/>
      <c r="BH410" s="256"/>
      <c r="BI410" s="256"/>
      <c r="BJ410" s="256"/>
      <c r="BK410" s="383"/>
      <c r="BL410" s="383"/>
      <c r="BM410" s="383"/>
      <c r="BN410" s="383"/>
      <c r="BO410" s="2">
        <f t="shared" si="183"/>
        <v>28</v>
      </c>
      <c r="BP410" s="430"/>
      <c r="BQ410" s="431"/>
      <c r="BR410" s="2"/>
      <c r="BS410" s="25"/>
      <c r="BT410" s="348">
        <f t="shared" si="182"/>
        <v>1</v>
      </c>
      <c r="BU410" s="56"/>
      <c r="BV410" s="282">
        <f t="shared" si="184"/>
        <v>0</v>
      </c>
      <c r="BW410" s="379">
        <v>0</v>
      </c>
      <c r="BX410" s="269">
        <f t="shared" si="185"/>
        <v>0</v>
      </c>
      <c r="BY410" s="264"/>
      <c r="BZ410" s="264"/>
      <c r="CA410" s="264"/>
      <c r="CB410" s="264"/>
      <c r="CC410" s="264"/>
      <c r="CD410" s="14">
        <f t="shared" si="186"/>
        <v>-13</v>
      </c>
      <c r="CE410" s="14">
        <f t="shared" si="187"/>
        <v>28</v>
      </c>
      <c r="CF410" s="2">
        <f t="shared" si="188"/>
        <v>1</v>
      </c>
      <c r="CL410" s="387"/>
      <c r="CM410" s="387"/>
      <c r="CN410" s="387"/>
      <c r="CO410" s="387"/>
      <c r="CP410" s="387"/>
      <c r="CQ410" s="100"/>
    </row>
    <row r="411" spans="1:95" s="95" customFormat="1" ht="29.4" customHeight="1">
      <c r="A411" s="46">
        <v>12</v>
      </c>
      <c r="B411" s="46">
        <v>8</v>
      </c>
      <c r="C411" s="46">
        <v>304</v>
      </c>
      <c r="D411" s="380"/>
      <c r="E411" s="380"/>
      <c r="F411" s="381"/>
      <c r="G411" s="312" t="s">
        <v>1991</v>
      </c>
      <c r="H411" s="312" t="s">
        <v>1991</v>
      </c>
      <c r="I411" s="312" t="s">
        <v>1991</v>
      </c>
      <c r="J411" s="312"/>
      <c r="K411" s="312" t="s">
        <v>1991</v>
      </c>
      <c r="L411" s="312" t="s">
        <v>1991</v>
      </c>
      <c r="M411" s="312" t="s">
        <v>1991</v>
      </c>
      <c r="N411" s="312" t="s">
        <v>1991</v>
      </c>
      <c r="O411" s="312" t="s">
        <v>1991</v>
      </c>
      <c r="P411" s="312" t="s">
        <v>1991</v>
      </c>
      <c r="Q411" s="312" t="s">
        <v>1991</v>
      </c>
      <c r="R411" s="312" t="s">
        <v>1991</v>
      </c>
      <c r="S411" s="312" t="s">
        <v>1991</v>
      </c>
      <c r="T411" s="323">
        <v>0</v>
      </c>
      <c r="U411" s="312" t="s">
        <v>1991</v>
      </c>
      <c r="V411" s="46" t="s">
        <v>1991</v>
      </c>
      <c r="W411" s="324" t="s">
        <v>1991</v>
      </c>
      <c r="X411" s="324" t="s">
        <v>1991</v>
      </c>
      <c r="Y411" s="324" t="s">
        <v>1991</v>
      </c>
      <c r="Z411" s="46" t="s">
        <v>1991</v>
      </c>
      <c r="AA411" s="324" t="s">
        <v>1991</v>
      </c>
      <c r="AB411" s="46" t="s">
        <v>1991</v>
      </c>
      <c r="AC411" s="46">
        <v>0</v>
      </c>
      <c r="AD411" s="46" t="s">
        <v>1991</v>
      </c>
      <c r="AE411" s="324" t="s">
        <v>1991</v>
      </c>
      <c r="AF411" s="324" t="s">
        <v>1991</v>
      </c>
      <c r="AG411" s="324" t="s">
        <v>1991</v>
      </c>
      <c r="AH411" s="324" t="s">
        <v>1991</v>
      </c>
      <c r="AI411" s="324" t="s">
        <v>1991</v>
      </c>
      <c r="AJ411" s="324" t="s">
        <v>1991</v>
      </c>
      <c r="AK411" s="324" t="s">
        <v>1991</v>
      </c>
      <c r="AL411" s="327" t="s">
        <v>1991</v>
      </c>
      <c r="AM411" s="327"/>
      <c r="AN411" s="327"/>
      <c r="AO411" s="327"/>
      <c r="AP411" s="327"/>
      <c r="AQ411" s="327"/>
      <c r="AR411" s="327"/>
      <c r="AS411" s="327"/>
      <c r="AT411" s="327"/>
      <c r="AU411" s="327"/>
      <c r="AV411" s="327"/>
      <c r="AW411" s="327"/>
      <c r="AX411" s="327"/>
      <c r="AY411" s="361"/>
      <c r="AZ411" s="361"/>
      <c r="BA411" s="361"/>
      <c r="BB411" s="46">
        <f t="shared" si="177"/>
        <v>13</v>
      </c>
      <c r="BC411" s="46">
        <f t="shared" si="178"/>
        <v>15</v>
      </c>
      <c r="BD411" s="46">
        <f t="shared" si="179"/>
        <v>1</v>
      </c>
      <c r="BE411" s="46">
        <f t="shared" si="180"/>
        <v>1</v>
      </c>
      <c r="BF411" s="296">
        <f t="shared" si="181"/>
        <v>28</v>
      </c>
      <c r="BG411" s="256"/>
      <c r="BH411" s="256"/>
      <c r="BI411" s="256"/>
      <c r="BJ411" s="256"/>
      <c r="BK411" s="383"/>
      <c r="BL411" s="383"/>
      <c r="BM411" s="383"/>
      <c r="BN411" s="383"/>
      <c r="BO411" s="2">
        <f t="shared" si="183"/>
        <v>28</v>
      </c>
      <c r="BP411" s="430"/>
      <c r="BQ411" s="431"/>
      <c r="BR411" s="2"/>
      <c r="BS411" s="25"/>
      <c r="BT411" s="348">
        <f t="shared" si="182"/>
        <v>1</v>
      </c>
      <c r="BU411" s="56"/>
      <c r="BV411" s="282">
        <f t="shared" si="184"/>
        <v>0</v>
      </c>
      <c r="BW411" s="379">
        <v>0</v>
      </c>
      <c r="BX411" s="269">
        <f t="shared" si="185"/>
        <v>0</v>
      </c>
      <c r="BY411" s="264"/>
      <c r="BZ411" s="264"/>
      <c r="CA411" s="264"/>
      <c r="CB411" s="264"/>
      <c r="CC411" s="264"/>
      <c r="CD411" s="14">
        <f t="shared" si="186"/>
        <v>-13</v>
      </c>
      <c r="CE411" s="14">
        <f t="shared" si="187"/>
        <v>28</v>
      </c>
      <c r="CF411" s="2">
        <f t="shared" si="188"/>
        <v>1</v>
      </c>
      <c r="CL411" s="387"/>
      <c r="CM411" s="387"/>
      <c r="CN411" s="387"/>
      <c r="CO411" s="387"/>
      <c r="CP411" s="387"/>
      <c r="CQ411" s="100"/>
    </row>
    <row r="412" spans="1:95" s="95" customFormat="1" ht="29.4" customHeight="1">
      <c r="A412" s="46">
        <v>13</v>
      </c>
      <c r="B412" s="46">
        <v>8</v>
      </c>
      <c r="C412" s="46">
        <v>305</v>
      </c>
      <c r="D412" s="380"/>
      <c r="E412" s="380"/>
      <c r="F412" s="381"/>
      <c r="G412" s="312" t="s">
        <v>1991</v>
      </c>
      <c r="H412" s="312" t="s">
        <v>1991</v>
      </c>
      <c r="I412" s="312" t="s">
        <v>1991</v>
      </c>
      <c r="J412" s="312"/>
      <c r="K412" s="312">
        <v>0</v>
      </c>
      <c r="L412" s="312" t="s">
        <v>1991</v>
      </c>
      <c r="M412" s="312" t="s">
        <v>1991</v>
      </c>
      <c r="N412" s="312" t="s">
        <v>1991</v>
      </c>
      <c r="O412" s="312" t="s">
        <v>1991</v>
      </c>
      <c r="P412" s="312" t="s">
        <v>1991</v>
      </c>
      <c r="Q412" s="312" t="s">
        <v>1991</v>
      </c>
      <c r="R412" s="312" t="s">
        <v>1991</v>
      </c>
      <c r="S412" s="312">
        <v>0</v>
      </c>
      <c r="T412" s="323" t="s">
        <v>1991</v>
      </c>
      <c r="U412" s="312" t="s">
        <v>1991</v>
      </c>
      <c r="V412" s="46" t="s">
        <v>1991</v>
      </c>
      <c r="W412" s="324" t="s">
        <v>1991</v>
      </c>
      <c r="X412" s="324" t="s">
        <v>1991</v>
      </c>
      <c r="Y412" s="324" t="s">
        <v>1991</v>
      </c>
      <c r="Z412" s="46" t="s">
        <v>1991</v>
      </c>
      <c r="AA412" s="324" t="s">
        <v>1991</v>
      </c>
      <c r="AB412" s="46">
        <v>0</v>
      </c>
      <c r="AC412" s="46" t="s">
        <v>1991</v>
      </c>
      <c r="AD412" s="46" t="s">
        <v>1991</v>
      </c>
      <c r="AE412" s="324">
        <v>0</v>
      </c>
      <c r="AF412" s="324" t="s">
        <v>1991</v>
      </c>
      <c r="AG412" s="324" t="s">
        <v>1991</v>
      </c>
      <c r="AH412" s="324" t="s">
        <v>1991</v>
      </c>
      <c r="AI412" s="324" t="s">
        <v>1991</v>
      </c>
      <c r="AJ412" s="324" t="s">
        <v>1991</v>
      </c>
      <c r="AK412" s="324" t="s">
        <v>1991</v>
      </c>
      <c r="AL412" s="327"/>
      <c r="AM412" s="327"/>
      <c r="AN412" s="327"/>
      <c r="AO412" s="327"/>
      <c r="AP412" s="327"/>
      <c r="AQ412" s="327"/>
      <c r="AR412" s="327"/>
      <c r="AS412" s="327"/>
      <c r="AT412" s="327"/>
      <c r="AU412" s="327"/>
      <c r="AV412" s="327"/>
      <c r="AW412" s="327"/>
      <c r="AX412" s="327"/>
      <c r="AY412" s="361"/>
      <c r="AZ412" s="361"/>
      <c r="BA412" s="361"/>
      <c r="BB412" s="46">
        <f t="shared" si="177"/>
        <v>12</v>
      </c>
      <c r="BC412" s="46">
        <f t="shared" si="178"/>
        <v>14</v>
      </c>
      <c r="BD412" s="46">
        <f t="shared" si="179"/>
        <v>0</v>
      </c>
      <c r="BE412" s="46">
        <f t="shared" si="180"/>
        <v>0</v>
      </c>
      <c r="BF412" s="296">
        <f t="shared" si="181"/>
        <v>26</v>
      </c>
      <c r="BG412" s="256"/>
      <c r="BH412" s="256"/>
      <c r="BI412" s="256"/>
      <c r="BJ412" s="256"/>
      <c r="BK412" s="383"/>
      <c r="BL412" s="383"/>
      <c r="BM412" s="383"/>
      <c r="BN412" s="383"/>
      <c r="BO412" s="2">
        <f t="shared" si="183"/>
        <v>26</v>
      </c>
      <c r="BP412" s="430"/>
      <c r="BQ412" s="431"/>
      <c r="BR412" s="2"/>
      <c r="BS412" s="25"/>
      <c r="BT412" s="348">
        <f t="shared" si="182"/>
        <v>1</v>
      </c>
      <c r="BU412" s="56"/>
      <c r="BV412" s="282">
        <f t="shared" si="184"/>
        <v>0</v>
      </c>
      <c r="BW412" s="379">
        <v>0</v>
      </c>
      <c r="BX412" s="269">
        <f t="shared" si="185"/>
        <v>0</v>
      </c>
      <c r="BY412" s="264"/>
      <c r="BZ412" s="264"/>
      <c r="CA412" s="264"/>
      <c r="CB412" s="264"/>
      <c r="CC412" s="264"/>
      <c r="CD412" s="14">
        <f t="shared" si="186"/>
        <v>-12</v>
      </c>
      <c r="CE412" s="14">
        <f t="shared" si="187"/>
        <v>26</v>
      </c>
      <c r="CF412" s="2">
        <f t="shared" si="188"/>
        <v>1</v>
      </c>
      <c r="CL412" s="387"/>
      <c r="CM412" s="387"/>
      <c r="CN412" s="387"/>
      <c r="CO412" s="387"/>
      <c r="CP412" s="387"/>
      <c r="CQ412" s="100"/>
    </row>
    <row r="413" spans="1:95" s="95" customFormat="1" ht="29.4" customHeight="1">
      <c r="A413" s="46">
        <v>14</v>
      </c>
      <c r="B413" s="46">
        <v>8</v>
      </c>
      <c r="C413" s="46">
        <v>306</v>
      </c>
      <c r="D413" s="380"/>
      <c r="E413" s="380"/>
      <c r="F413" s="381"/>
      <c r="G413" s="312">
        <v>0</v>
      </c>
      <c r="H413" s="312" t="s">
        <v>1991</v>
      </c>
      <c r="I413" s="312">
        <v>0</v>
      </c>
      <c r="J413" s="312"/>
      <c r="K413" s="312" t="s">
        <v>1991</v>
      </c>
      <c r="L413" s="312" t="s">
        <v>1991</v>
      </c>
      <c r="M413" s="312" t="s">
        <v>1991</v>
      </c>
      <c r="N413" s="312" t="s">
        <v>1991</v>
      </c>
      <c r="O413" s="312" t="s">
        <v>1991</v>
      </c>
      <c r="P413" s="312" t="s">
        <v>1991</v>
      </c>
      <c r="Q413" s="312" t="s">
        <v>1991</v>
      </c>
      <c r="R413" s="312" t="s">
        <v>1991</v>
      </c>
      <c r="S413" s="312" t="s">
        <v>1991</v>
      </c>
      <c r="T413" s="323" t="s">
        <v>1991</v>
      </c>
      <c r="U413" s="312">
        <v>0</v>
      </c>
      <c r="V413" s="46" t="s">
        <v>1991</v>
      </c>
      <c r="W413" s="324" t="s">
        <v>1991</v>
      </c>
      <c r="X413" s="324" t="s">
        <v>1991</v>
      </c>
      <c r="Y413" s="324" t="s">
        <v>1991</v>
      </c>
      <c r="Z413" s="46" t="s">
        <v>1991</v>
      </c>
      <c r="AA413" s="324" t="s">
        <v>1991</v>
      </c>
      <c r="AB413" s="46" t="s">
        <v>1991</v>
      </c>
      <c r="AC413" s="46" t="s">
        <v>1991</v>
      </c>
      <c r="AD413" s="46" t="s">
        <v>1991</v>
      </c>
      <c r="AE413" s="324" t="s">
        <v>1991</v>
      </c>
      <c r="AF413" s="324" t="s">
        <v>1991</v>
      </c>
      <c r="AG413" s="324" t="s">
        <v>1991</v>
      </c>
      <c r="AH413" s="324" t="s">
        <v>1991</v>
      </c>
      <c r="AI413" s="324" t="s">
        <v>1991</v>
      </c>
      <c r="AJ413" s="324" t="s">
        <v>1991</v>
      </c>
      <c r="AK413" s="324" t="s">
        <v>1991</v>
      </c>
      <c r="AL413" s="327"/>
      <c r="AM413" s="327"/>
      <c r="AN413" s="327"/>
      <c r="AO413" s="327"/>
      <c r="AP413" s="327"/>
      <c r="AQ413" s="327"/>
      <c r="AR413" s="327"/>
      <c r="AS413" s="327"/>
      <c r="AT413" s="327"/>
      <c r="AU413" s="327"/>
      <c r="AV413" s="327"/>
      <c r="AW413" s="327"/>
      <c r="AX413" s="327"/>
      <c r="AY413" s="361"/>
      <c r="AZ413" s="361"/>
      <c r="BA413" s="361"/>
      <c r="BB413" s="46">
        <f t="shared" si="177"/>
        <v>11</v>
      </c>
      <c r="BC413" s="46">
        <f t="shared" si="178"/>
        <v>16</v>
      </c>
      <c r="BD413" s="46">
        <f t="shared" si="179"/>
        <v>0</v>
      </c>
      <c r="BE413" s="46">
        <f t="shared" si="180"/>
        <v>0</v>
      </c>
      <c r="BF413" s="296">
        <f t="shared" si="181"/>
        <v>27</v>
      </c>
      <c r="BG413" s="256"/>
      <c r="BH413" s="256"/>
      <c r="BI413" s="256"/>
      <c r="BJ413" s="256"/>
      <c r="BK413" s="383"/>
      <c r="BL413" s="383"/>
      <c r="BM413" s="383"/>
      <c r="BN413" s="383"/>
      <c r="BO413" s="2">
        <f t="shared" si="183"/>
        <v>27</v>
      </c>
      <c r="BP413" s="430"/>
      <c r="BQ413" s="431"/>
      <c r="BR413" s="2"/>
      <c r="BS413" s="25"/>
      <c r="BT413" s="348">
        <f t="shared" si="182"/>
        <v>1</v>
      </c>
      <c r="BU413" s="56"/>
      <c r="BV413" s="282">
        <f t="shared" si="184"/>
        <v>0</v>
      </c>
      <c r="BW413" s="379">
        <v>0</v>
      </c>
      <c r="BX413" s="269">
        <f t="shared" si="185"/>
        <v>0</v>
      </c>
      <c r="BY413" s="264"/>
      <c r="BZ413" s="264"/>
      <c r="CA413" s="264"/>
      <c r="CB413" s="264"/>
      <c r="CC413" s="264"/>
      <c r="CD413" s="14">
        <f t="shared" si="186"/>
        <v>-11</v>
      </c>
      <c r="CE413" s="14">
        <f t="shared" si="187"/>
        <v>27</v>
      </c>
      <c r="CF413" s="2">
        <f t="shared" si="188"/>
        <v>1</v>
      </c>
      <c r="CL413" s="387"/>
      <c r="CM413" s="387"/>
      <c r="CN413" s="387"/>
      <c r="CO413" s="387"/>
      <c r="CP413" s="387"/>
      <c r="CQ413" s="100"/>
    </row>
    <row r="414" spans="1:95" s="95" customFormat="1" ht="29.4" customHeight="1">
      <c r="A414" s="46">
        <v>15</v>
      </c>
      <c r="B414" s="46">
        <v>8</v>
      </c>
      <c r="C414" s="46">
        <v>307</v>
      </c>
      <c r="D414" s="380"/>
      <c r="E414" s="380"/>
      <c r="F414" s="381"/>
      <c r="G414" s="312">
        <v>0</v>
      </c>
      <c r="H414" s="312" t="s">
        <v>1991</v>
      </c>
      <c r="I414" s="312" t="s">
        <v>1991</v>
      </c>
      <c r="J414" s="312"/>
      <c r="K414" s="312" t="s">
        <v>1991</v>
      </c>
      <c r="L414" s="312" t="s">
        <v>1991</v>
      </c>
      <c r="M414" s="312" t="s">
        <v>1991</v>
      </c>
      <c r="N414" s="312" t="s">
        <v>1991</v>
      </c>
      <c r="O414" s="312" t="s">
        <v>1991</v>
      </c>
      <c r="P414" s="312" t="s">
        <v>1991</v>
      </c>
      <c r="Q414" s="312" t="s">
        <v>1991</v>
      </c>
      <c r="R414" s="312" t="s">
        <v>1991</v>
      </c>
      <c r="S414" s="312" t="s">
        <v>1991</v>
      </c>
      <c r="T414" s="323" t="s">
        <v>1991</v>
      </c>
      <c r="U414" s="312">
        <v>0</v>
      </c>
      <c r="V414" s="46" t="s">
        <v>1991</v>
      </c>
      <c r="W414" s="324" t="s">
        <v>1991</v>
      </c>
      <c r="X414" s="324" t="s">
        <v>1991</v>
      </c>
      <c r="Y414" s="324" t="s">
        <v>1991</v>
      </c>
      <c r="Z414" s="46" t="s">
        <v>1991</v>
      </c>
      <c r="AA414" s="324" t="s">
        <v>1991</v>
      </c>
      <c r="AB414" s="46" t="s">
        <v>1991</v>
      </c>
      <c r="AC414" s="46" t="s">
        <v>1991</v>
      </c>
      <c r="AD414" s="46" t="s">
        <v>1991</v>
      </c>
      <c r="AE414" s="324" t="s">
        <v>1991</v>
      </c>
      <c r="AF414" s="324" t="s">
        <v>1991</v>
      </c>
      <c r="AG414" s="324">
        <v>0</v>
      </c>
      <c r="AH414" s="324" t="s">
        <v>1991</v>
      </c>
      <c r="AI414" s="324" t="s">
        <v>1991</v>
      </c>
      <c r="AJ414" s="324" t="s">
        <v>1991</v>
      </c>
      <c r="AK414" s="324" t="s">
        <v>1991</v>
      </c>
      <c r="AL414" s="327"/>
      <c r="AM414" s="327"/>
      <c r="AN414" s="327"/>
      <c r="AO414" s="327"/>
      <c r="AP414" s="327"/>
      <c r="AQ414" s="327"/>
      <c r="AR414" s="327"/>
      <c r="AS414" s="327"/>
      <c r="AT414" s="327"/>
      <c r="AU414" s="327"/>
      <c r="AV414" s="327"/>
      <c r="AW414" s="327"/>
      <c r="AX414" s="327"/>
      <c r="AY414" s="361"/>
      <c r="AZ414" s="361"/>
      <c r="BA414" s="361"/>
      <c r="BB414" s="46">
        <f t="shared" si="177"/>
        <v>12</v>
      </c>
      <c r="BC414" s="46">
        <f t="shared" si="178"/>
        <v>15</v>
      </c>
      <c r="BD414" s="46">
        <f t="shared" si="179"/>
        <v>0</v>
      </c>
      <c r="BE414" s="46">
        <f t="shared" si="180"/>
        <v>0</v>
      </c>
      <c r="BF414" s="296">
        <f t="shared" si="181"/>
        <v>27</v>
      </c>
      <c r="BG414" s="256"/>
      <c r="BH414" s="256"/>
      <c r="BI414" s="256"/>
      <c r="BJ414" s="256"/>
      <c r="BK414" s="383"/>
      <c r="BL414" s="383"/>
      <c r="BM414" s="383"/>
      <c r="BN414" s="383"/>
      <c r="BO414" s="2">
        <f t="shared" si="183"/>
        <v>27</v>
      </c>
      <c r="BP414" s="430"/>
      <c r="BQ414" s="431"/>
      <c r="BR414" s="2"/>
      <c r="BS414" s="25"/>
      <c r="BT414" s="348">
        <f t="shared" si="182"/>
        <v>1</v>
      </c>
      <c r="BU414" s="56"/>
      <c r="BV414" s="282">
        <f t="shared" si="184"/>
        <v>0</v>
      </c>
      <c r="BW414" s="379">
        <v>0</v>
      </c>
      <c r="BX414" s="269">
        <f t="shared" si="185"/>
        <v>0</v>
      </c>
      <c r="BY414" s="264"/>
      <c r="BZ414" s="264"/>
      <c r="CA414" s="264"/>
      <c r="CB414" s="264"/>
      <c r="CC414" s="264"/>
      <c r="CD414" s="14">
        <f t="shared" si="186"/>
        <v>-12</v>
      </c>
      <c r="CE414" s="14">
        <f t="shared" si="187"/>
        <v>27</v>
      </c>
      <c r="CF414" s="2">
        <f t="shared" si="188"/>
        <v>1</v>
      </c>
      <c r="CL414" s="387"/>
      <c r="CM414" s="387"/>
      <c r="CN414" s="387"/>
      <c r="CO414" s="387"/>
      <c r="CP414" s="387"/>
      <c r="CQ414" s="100"/>
    </row>
    <row r="415" spans="1:95" s="95" customFormat="1" ht="29.4" customHeight="1">
      <c r="A415" s="46">
        <v>16</v>
      </c>
      <c r="B415" s="46">
        <v>8</v>
      </c>
      <c r="C415" s="46">
        <v>308</v>
      </c>
      <c r="D415" s="380"/>
      <c r="E415" s="380"/>
      <c r="F415" s="381"/>
      <c r="G415" s="312" t="s">
        <v>1991</v>
      </c>
      <c r="H415" s="312" t="s">
        <v>1991</v>
      </c>
      <c r="I415" s="312" t="s">
        <v>1991</v>
      </c>
      <c r="J415" s="312"/>
      <c r="K415" s="312" t="s">
        <v>1991</v>
      </c>
      <c r="L415" s="312" t="s">
        <v>1991</v>
      </c>
      <c r="M415" s="312" t="s">
        <v>1991</v>
      </c>
      <c r="N415" s="312" t="s">
        <v>1991</v>
      </c>
      <c r="O415" s="312" t="s">
        <v>1991</v>
      </c>
      <c r="P415" s="312" t="s">
        <v>1991</v>
      </c>
      <c r="Q415" s="312" t="s">
        <v>1991</v>
      </c>
      <c r="R415" s="312" t="s">
        <v>1991</v>
      </c>
      <c r="S415" s="312" t="s">
        <v>1991</v>
      </c>
      <c r="T415" s="323" t="s">
        <v>1991</v>
      </c>
      <c r="U415" s="312">
        <v>0</v>
      </c>
      <c r="V415" s="46" t="s">
        <v>1991</v>
      </c>
      <c r="W415" s="324" t="s">
        <v>1991</v>
      </c>
      <c r="X415" s="324" t="s">
        <v>1991</v>
      </c>
      <c r="Y415" s="324" t="s">
        <v>1991</v>
      </c>
      <c r="Z415" s="46" t="s">
        <v>1991</v>
      </c>
      <c r="AA415" s="324">
        <v>0</v>
      </c>
      <c r="AB415" s="46" t="s">
        <v>1991</v>
      </c>
      <c r="AC415" s="46" t="s">
        <v>1991</v>
      </c>
      <c r="AD415" s="46" t="s">
        <v>1991</v>
      </c>
      <c r="AE415" s="324" t="s">
        <v>1991</v>
      </c>
      <c r="AF415" s="324" t="s">
        <v>1991</v>
      </c>
      <c r="AG415" s="324" t="s">
        <v>1991</v>
      </c>
      <c r="AH415" s="324" t="s">
        <v>1991</v>
      </c>
      <c r="AI415" s="324" t="s">
        <v>1991</v>
      </c>
      <c r="AJ415" s="324" t="s">
        <v>1991</v>
      </c>
      <c r="AK415" s="324" t="s">
        <v>1991</v>
      </c>
      <c r="AL415" s="327"/>
      <c r="AM415" s="327"/>
      <c r="AN415" s="327"/>
      <c r="AO415" s="327"/>
      <c r="AP415" s="327"/>
      <c r="AQ415" s="327"/>
      <c r="AR415" s="327"/>
      <c r="AS415" s="327"/>
      <c r="AT415" s="327"/>
      <c r="AU415" s="327"/>
      <c r="AV415" s="327"/>
      <c r="AW415" s="327"/>
      <c r="AX415" s="327"/>
      <c r="AY415" s="361"/>
      <c r="AZ415" s="361"/>
      <c r="BA415" s="361"/>
      <c r="BB415" s="46">
        <f t="shared" si="177"/>
        <v>13</v>
      </c>
      <c r="BC415" s="46">
        <f t="shared" si="178"/>
        <v>15</v>
      </c>
      <c r="BD415" s="46">
        <f t="shared" si="179"/>
        <v>0</v>
      </c>
      <c r="BE415" s="46">
        <f t="shared" si="180"/>
        <v>0</v>
      </c>
      <c r="BF415" s="296">
        <f t="shared" si="181"/>
        <v>28</v>
      </c>
      <c r="BG415" s="256"/>
      <c r="BH415" s="256"/>
      <c r="BI415" s="256"/>
      <c r="BJ415" s="256"/>
      <c r="BK415" s="383"/>
      <c r="BL415" s="383"/>
      <c r="BM415" s="383"/>
      <c r="BN415" s="383"/>
      <c r="BO415" s="2">
        <f t="shared" si="183"/>
        <v>28</v>
      </c>
      <c r="BP415" s="430"/>
      <c r="BQ415" s="431"/>
      <c r="BR415" s="2"/>
      <c r="BS415" s="25"/>
      <c r="BT415" s="348">
        <f t="shared" si="182"/>
        <v>1</v>
      </c>
      <c r="BU415" s="56"/>
      <c r="BV415" s="282">
        <f t="shared" si="184"/>
        <v>0</v>
      </c>
      <c r="BW415" s="379">
        <v>20000</v>
      </c>
      <c r="BX415" s="269">
        <f t="shared" si="185"/>
        <v>-0.15</v>
      </c>
      <c r="BY415" s="264"/>
      <c r="BZ415" s="264"/>
      <c r="CA415" s="264"/>
      <c r="CB415" s="264"/>
      <c r="CC415" s="264"/>
      <c r="CD415" s="14">
        <f t="shared" si="186"/>
        <v>-13</v>
      </c>
      <c r="CE415" s="14">
        <f t="shared" si="187"/>
        <v>28</v>
      </c>
      <c r="CF415" s="2">
        <f t="shared" si="188"/>
        <v>1</v>
      </c>
      <c r="CL415" s="387"/>
      <c r="CM415" s="387"/>
      <c r="CN415" s="387"/>
      <c r="CO415" s="387"/>
      <c r="CP415" s="387"/>
      <c r="CQ415" s="100"/>
    </row>
    <row r="416" spans="1:95" s="95" customFormat="1" ht="29.4" customHeight="1">
      <c r="A416" s="46">
        <v>17</v>
      </c>
      <c r="B416" s="46">
        <v>8</v>
      </c>
      <c r="C416" s="46">
        <v>309</v>
      </c>
      <c r="D416" s="380"/>
      <c r="E416" s="380"/>
      <c r="F416" s="381"/>
      <c r="G416" s="312" t="s">
        <v>1991</v>
      </c>
      <c r="H416" s="312" t="s">
        <v>1991</v>
      </c>
      <c r="I416" s="312" t="s">
        <v>1991</v>
      </c>
      <c r="J416" s="312" t="s">
        <v>1991</v>
      </c>
      <c r="K416" s="312" t="s">
        <v>1991</v>
      </c>
      <c r="L416" s="312" t="s">
        <v>1991</v>
      </c>
      <c r="M416" s="312">
        <v>0</v>
      </c>
      <c r="N416" s="312" t="s">
        <v>1991</v>
      </c>
      <c r="O416" s="312">
        <v>0</v>
      </c>
      <c r="P416" s="312" t="s">
        <v>1991</v>
      </c>
      <c r="Q416" s="312" t="s">
        <v>1991</v>
      </c>
      <c r="R416" s="312" t="s">
        <v>1991</v>
      </c>
      <c r="S416" s="312" t="s">
        <v>1991</v>
      </c>
      <c r="T416" s="323" t="s">
        <v>1991</v>
      </c>
      <c r="U416" s="312" t="s">
        <v>1991</v>
      </c>
      <c r="V416" s="46" t="s">
        <v>1991</v>
      </c>
      <c r="W416" s="324" t="s">
        <v>1991</v>
      </c>
      <c r="X416" s="324">
        <v>0</v>
      </c>
      <c r="Y416" s="324" t="s">
        <v>1991</v>
      </c>
      <c r="Z416" s="46" t="s">
        <v>1991</v>
      </c>
      <c r="AA416" s="324" t="s">
        <v>1991</v>
      </c>
      <c r="AB416" s="46" t="s">
        <v>1991</v>
      </c>
      <c r="AC416" s="46" t="s">
        <v>1991</v>
      </c>
      <c r="AD416" s="46" t="s">
        <v>1991</v>
      </c>
      <c r="AE416" s="324">
        <v>0</v>
      </c>
      <c r="AF416" s="324" t="s">
        <v>1991</v>
      </c>
      <c r="AG416" s="324" t="s">
        <v>1991</v>
      </c>
      <c r="AH416" s="324" t="s">
        <v>1991</v>
      </c>
      <c r="AI416" s="324" t="s">
        <v>1991</v>
      </c>
      <c r="AJ416" s="324" t="s">
        <v>1991</v>
      </c>
      <c r="AK416" s="324" t="s">
        <v>1991</v>
      </c>
      <c r="AL416" s="327"/>
      <c r="AM416" s="327"/>
      <c r="AN416" s="327"/>
      <c r="AO416" s="327"/>
      <c r="AP416" s="327"/>
      <c r="AQ416" s="327"/>
      <c r="AR416" s="327"/>
      <c r="AS416" s="327"/>
      <c r="AT416" s="327"/>
      <c r="AU416" s="327"/>
      <c r="AV416" s="327"/>
      <c r="AW416" s="327"/>
      <c r="AX416" s="327"/>
      <c r="AY416" s="361"/>
      <c r="AZ416" s="361"/>
      <c r="BA416" s="361"/>
      <c r="BB416" s="46">
        <f t="shared" si="177"/>
        <v>13</v>
      </c>
      <c r="BC416" s="46">
        <f t="shared" si="178"/>
        <v>14</v>
      </c>
      <c r="BD416" s="46">
        <f t="shared" si="179"/>
        <v>0</v>
      </c>
      <c r="BE416" s="46">
        <f t="shared" si="180"/>
        <v>0</v>
      </c>
      <c r="BF416" s="296">
        <f t="shared" si="181"/>
        <v>27</v>
      </c>
      <c r="BG416" s="256"/>
      <c r="BH416" s="256"/>
      <c r="BI416" s="256"/>
      <c r="BJ416" s="256"/>
      <c r="BK416" s="383"/>
      <c r="BL416" s="383"/>
      <c r="BM416" s="383"/>
      <c r="BN416" s="383"/>
      <c r="BO416" s="2">
        <f t="shared" si="183"/>
        <v>27</v>
      </c>
      <c r="BP416" s="430"/>
      <c r="BQ416" s="431"/>
      <c r="BR416" s="2"/>
      <c r="BS416" s="25"/>
      <c r="BT416" s="348">
        <f t="shared" si="182"/>
        <v>1</v>
      </c>
      <c r="BU416" s="56"/>
      <c r="BV416" s="282">
        <f t="shared" si="184"/>
        <v>0</v>
      </c>
      <c r="BW416" s="379">
        <v>20000</v>
      </c>
      <c r="BX416" s="269">
        <f t="shared" si="185"/>
        <v>-0.15</v>
      </c>
      <c r="BY416" s="264"/>
      <c r="BZ416" s="264"/>
      <c r="CA416" s="264"/>
      <c r="CB416" s="264"/>
      <c r="CC416" s="264"/>
      <c r="CD416" s="14">
        <f t="shared" si="186"/>
        <v>-13</v>
      </c>
      <c r="CE416" s="14">
        <f t="shared" si="187"/>
        <v>27</v>
      </c>
      <c r="CF416" s="2">
        <f t="shared" si="188"/>
        <v>1</v>
      </c>
      <c r="CL416" s="387"/>
      <c r="CM416" s="387"/>
      <c r="CN416" s="387"/>
      <c r="CO416" s="387"/>
      <c r="CP416" s="387"/>
      <c r="CQ416" s="100"/>
    </row>
    <row r="417" spans="1:95" s="95" customFormat="1" ht="29.4" customHeight="1">
      <c r="A417" s="46">
        <v>18</v>
      </c>
      <c r="B417" s="46">
        <v>8</v>
      </c>
      <c r="C417" s="46">
        <v>310</v>
      </c>
      <c r="D417" s="380"/>
      <c r="E417" s="380"/>
      <c r="F417" s="381"/>
      <c r="G417" s="312" t="s">
        <v>1991</v>
      </c>
      <c r="H417" s="312" t="s">
        <v>1991</v>
      </c>
      <c r="I417" s="312" t="s">
        <v>1991</v>
      </c>
      <c r="J417" s="312"/>
      <c r="K417" s="312" t="s">
        <v>1991</v>
      </c>
      <c r="L417" s="312" t="s">
        <v>1991</v>
      </c>
      <c r="M417" s="312" t="s">
        <v>1991</v>
      </c>
      <c r="N417" s="312" t="s">
        <v>1991</v>
      </c>
      <c r="O417" s="312" t="s">
        <v>1991</v>
      </c>
      <c r="P417" s="312" t="s">
        <v>1991</v>
      </c>
      <c r="Q417" s="312" t="s">
        <v>1991</v>
      </c>
      <c r="R417" s="312" t="s">
        <v>1991</v>
      </c>
      <c r="S417" s="312" t="s">
        <v>1991</v>
      </c>
      <c r="T417" s="323" t="s">
        <v>1991</v>
      </c>
      <c r="U417" s="312" t="s">
        <v>1991</v>
      </c>
      <c r="V417" s="46" t="s">
        <v>1991</v>
      </c>
      <c r="W417" s="324" t="s">
        <v>1991</v>
      </c>
      <c r="X417" s="324" t="s">
        <v>1991</v>
      </c>
      <c r="Y417" s="324" t="s">
        <v>1991</v>
      </c>
      <c r="Z417" s="46" t="s">
        <v>1991</v>
      </c>
      <c r="AA417" s="324">
        <v>0</v>
      </c>
      <c r="AB417" s="46" t="s">
        <v>1991</v>
      </c>
      <c r="AC417" s="46" t="s">
        <v>1991</v>
      </c>
      <c r="AD417" s="46" t="s">
        <v>1991</v>
      </c>
      <c r="AE417" s="324" t="s">
        <v>1991</v>
      </c>
      <c r="AF417" s="324" t="s">
        <v>1991</v>
      </c>
      <c r="AG417" s="324" t="s">
        <v>1991</v>
      </c>
      <c r="AH417" s="324" t="s">
        <v>1991</v>
      </c>
      <c r="AI417" s="324" t="s">
        <v>1991</v>
      </c>
      <c r="AJ417" s="324" t="s">
        <v>1991</v>
      </c>
      <c r="AK417" s="324" t="s">
        <v>1991</v>
      </c>
      <c r="AL417" s="327"/>
      <c r="AM417" s="327"/>
      <c r="AN417" s="327"/>
      <c r="AO417" s="327"/>
      <c r="AP417" s="327"/>
      <c r="AQ417" s="327"/>
      <c r="AR417" s="327"/>
      <c r="AS417" s="327"/>
      <c r="AT417" s="327"/>
      <c r="AU417" s="327"/>
      <c r="AV417" s="327"/>
      <c r="AW417" s="327"/>
      <c r="AX417" s="327"/>
      <c r="AY417" s="361"/>
      <c r="AZ417" s="361"/>
      <c r="BA417" s="361"/>
      <c r="BB417" s="46">
        <f t="shared" si="177"/>
        <v>14</v>
      </c>
      <c r="BC417" s="46">
        <f t="shared" si="178"/>
        <v>15</v>
      </c>
      <c r="BD417" s="46">
        <f t="shared" si="179"/>
        <v>0</v>
      </c>
      <c r="BE417" s="46">
        <f t="shared" si="180"/>
        <v>0</v>
      </c>
      <c r="BF417" s="296">
        <f t="shared" si="181"/>
        <v>29</v>
      </c>
      <c r="BG417" s="256"/>
      <c r="BH417" s="256"/>
      <c r="BI417" s="256"/>
      <c r="BJ417" s="256"/>
      <c r="BK417" s="383"/>
      <c r="BL417" s="383"/>
      <c r="BM417" s="383"/>
      <c r="BN417" s="383"/>
      <c r="BO417" s="2">
        <f t="shared" si="183"/>
        <v>29</v>
      </c>
      <c r="BP417" s="430"/>
      <c r="BQ417" s="431"/>
      <c r="BR417" s="2"/>
      <c r="BS417" s="25"/>
      <c r="BT417" s="348">
        <f t="shared" si="182"/>
        <v>1</v>
      </c>
      <c r="BU417" s="56"/>
      <c r="BV417" s="282">
        <f t="shared" si="184"/>
        <v>0</v>
      </c>
      <c r="BW417" s="379">
        <v>0</v>
      </c>
      <c r="BX417" s="269">
        <f t="shared" si="185"/>
        <v>0</v>
      </c>
      <c r="BY417" s="264"/>
      <c r="BZ417" s="264"/>
      <c r="CA417" s="264"/>
      <c r="CB417" s="264"/>
      <c r="CC417" s="264"/>
      <c r="CD417" s="14">
        <f t="shared" si="186"/>
        <v>-14</v>
      </c>
      <c r="CE417" s="14">
        <f t="shared" si="187"/>
        <v>29</v>
      </c>
      <c r="CF417" s="2">
        <f t="shared" si="188"/>
        <v>1</v>
      </c>
      <c r="CL417" s="387"/>
      <c r="CM417" s="387"/>
      <c r="CN417" s="387"/>
      <c r="CO417" s="387"/>
      <c r="CP417" s="387"/>
      <c r="CQ417" s="100"/>
    </row>
    <row r="418" spans="1:95" s="95" customFormat="1" ht="29.4" customHeight="1">
      <c r="A418" s="46">
        <v>19</v>
      </c>
      <c r="B418" s="46">
        <v>8</v>
      </c>
      <c r="C418" s="46">
        <v>311</v>
      </c>
      <c r="D418" s="380"/>
      <c r="E418" s="380"/>
      <c r="F418" s="381"/>
      <c r="G418" s="312">
        <v>0</v>
      </c>
      <c r="H418" s="312">
        <v>0</v>
      </c>
      <c r="I418" s="312" t="s">
        <v>1991</v>
      </c>
      <c r="J418" s="312"/>
      <c r="K418" s="312" t="s">
        <v>1991</v>
      </c>
      <c r="L418" s="312" t="s">
        <v>1991</v>
      </c>
      <c r="M418" s="312" t="s">
        <v>1991</v>
      </c>
      <c r="N418" s="312" t="s">
        <v>1991</v>
      </c>
      <c r="O418" s="312" t="s">
        <v>1991</v>
      </c>
      <c r="P418" s="312" t="s">
        <v>1991</v>
      </c>
      <c r="Q418" s="312" t="s">
        <v>1991</v>
      </c>
      <c r="R418" s="312" t="s">
        <v>1991</v>
      </c>
      <c r="S418" s="312" t="s">
        <v>1991</v>
      </c>
      <c r="T418" s="323" t="s">
        <v>1991</v>
      </c>
      <c r="U418" s="312">
        <v>0</v>
      </c>
      <c r="V418" s="46" t="s">
        <v>1991</v>
      </c>
      <c r="W418" s="324" t="s">
        <v>1991</v>
      </c>
      <c r="X418" s="324" t="s">
        <v>1991</v>
      </c>
      <c r="Y418" s="324" t="s">
        <v>1991</v>
      </c>
      <c r="Z418" s="46" t="s">
        <v>1991</v>
      </c>
      <c r="AA418" s="324" t="s">
        <v>1991</v>
      </c>
      <c r="AB418" s="46" t="s">
        <v>1991</v>
      </c>
      <c r="AC418" s="46" t="s">
        <v>1991</v>
      </c>
      <c r="AD418" s="46" t="s">
        <v>1991</v>
      </c>
      <c r="AE418" s="324" t="s">
        <v>1991</v>
      </c>
      <c r="AF418" s="324" t="s">
        <v>1991</v>
      </c>
      <c r="AG418" s="324" t="s">
        <v>1991</v>
      </c>
      <c r="AH418" s="324" t="s">
        <v>1991</v>
      </c>
      <c r="AI418" s="324" t="s">
        <v>1991</v>
      </c>
      <c r="AJ418" s="324">
        <v>0</v>
      </c>
      <c r="AK418" s="324" t="s">
        <v>1991</v>
      </c>
      <c r="AL418" s="327"/>
      <c r="AM418" s="327"/>
      <c r="AN418" s="327"/>
      <c r="AO418" s="327"/>
      <c r="AP418" s="327"/>
      <c r="AQ418" s="327"/>
      <c r="AR418" s="327"/>
      <c r="AS418" s="327"/>
      <c r="AT418" s="327"/>
      <c r="AU418" s="327"/>
      <c r="AV418" s="327"/>
      <c r="AW418" s="327"/>
      <c r="AX418" s="327"/>
      <c r="AY418" s="361"/>
      <c r="AZ418" s="361"/>
      <c r="BA418" s="361"/>
      <c r="BB418" s="46">
        <f t="shared" si="177"/>
        <v>11</v>
      </c>
      <c r="BC418" s="46">
        <f t="shared" si="178"/>
        <v>15</v>
      </c>
      <c r="BD418" s="46">
        <f t="shared" si="179"/>
        <v>0</v>
      </c>
      <c r="BE418" s="46">
        <f t="shared" si="180"/>
        <v>0</v>
      </c>
      <c r="BF418" s="296">
        <f t="shared" si="181"/>
        <v>26</v>
      </c>
      <c r="BG418" s="256"/>
      <c r="BH418" s="256"/>
      <c r="BI418" s="256"/>
      <c r="BJ418" s="256"/>
      <c r="BK418" s="383"/>
      <c r="BL418" s="383"/>
      <c r="BM418" s="383"/>
      <c r="BN418" s="383"/>
      <c r="BO418" s="2">
        <f t="shared" si="183"/>
        <v>26</v>
      </c>
      <c r="BP418" s="430"/>
      <c r="BQ418" s="431"/>
      <c r="BR418" s="2"/>
      <c r="BS418" s="25"/>
      <c r="BT418" s="348">
        <f t="shared" si="182"/>
        <v>1</v>
      </c>
      <c r="BU418" s="56"/>
      <c r="BV418" s="282">
        <f t="shared" si="184"/>
        <v>0</v>
      </c>
      <c r="BW418" s="379">
        <v>0</v>
      </c>
      <c r="BX418" s="269">
        <f t="shared" si="185"/>
        <v>0</v>
      </c>
      <c r="BY418" s="264"/>
      <c r="BZ418" s="264"/>
      <c r="CA418" s="264"/>
      <c r="CB418" s="264"/>
      <c r="CC418" s="264"/>
      <c r="CD418" s="14">
        <f t="shared" si="186"/>
        <v>-11</v>
      </c>
      <c r="CE418" s="14">
        <f t="shared" si="187"/>
        <v>26</v>
      </c>
      <c r="CF418" s="2">
        <f t="shared" si="188"/>
        <v>1</v>
      </c>
      <c r="CL418" s="387"/>
      <c r="CM418" s="387"/>
      <c r="CN418" s="387"/>
      <c r="CO418" s="387"/>
      <c r="CP418" s="387"/>
      <c r="CQ418" s="100"/>
    </row>
    <row r="419" spans="1:95" s="95" customFormat="1" ht="29.4" customHeight="1">
      <c r="A419" s="46">
        <v>20</v>
      </c>
      <c r="B419" s="46">
        <v>8</v>
      </c>
      <c r="C419" s="46">
        <v>312</v>
      </c>
      <c r="D419" s="380"/>
      <c r="E419" s="380"/>
      <c r="F419" s="381"/>
      <c r="G419" s="312">
        <v>0</v>
      </c>
      <c r="H419" s="312" t="s">
        <v>1991</v>
      </c>
      <c r="I419" s="312" t="s">
        <v>1991</v>
      </c>
      <c r="J419" s="312"/>
      <c r="K419" s="312" t="s">
        <v>1991</v>
      </c>
      <c r="L419" s="312" t="s">
        <v>1991</v>
      </c>
      <c r="M419" s="312" t="s">
        <v>1991</v>
      </c>
      <c r="N419" s="312">
        <v>0</v>
      </c>
      <c r="O419" s="312" t="s">
        <v>1991</v>
      </c>
      <c r="P419" s="312" t="s">
        <v>1991</v>
      </c>
      <c r="Q419" s="312" t="s">
        <v>1991</v>
      </c>
      <c r="R419" s="312" t="s">
        <v>1991</v>
      </c>
      <c r="S419" s="312" t="s">
        <v>1991</v>
      </c>
      <c r="T419" s="323" t="s">
        <v>1991</v>
      </c>
      <c r="U419" s="312">
        <v>0</v>
      </c>
      <c r="V419" s="46" t="s">
        <v>1991</v>
      </c>
      <c r="W419" s="324" t="s">
        <v>1991</v>
      </c>
      <c r="X419" s="324" t="s">
        <v>1991</v>
      </c>
      <c r="Y419" s="324" t="s">
        <v>1991</v>
      </c>
      <c r="Z419" s="46" t="s">
        <v>1991</v>
      </c>
      <c r="AA419" s="324" t="s">
        <v>1991</v>
      </c>
      <c r="AB419" s="46" t="s">
        <v>1991</v>
      </c>
      <c r="AC419" s="46" t="s">
        <v>1991</v>
      </c>
      <c r="AD419" s="46">
        <v>0</v>
      </c>
      <c r="AE419" s="324" t="s">
        <v>1991</v>
      </c>
      <c r="AF419" s="324" t="s">
        <v>1991</v>
      </c>
      <c r="AG419" s="324" t="s">
        <v>1991</v>
      </c>
      <c r="AH419" s="324" t="s">
        <v>1991</v>
      </c>
      <c r="AI419" s="324" t="s">
        <v>1991</v>
      </c>
      <c r="AJ419" s="324" t="s">
        <v>1991</v>
      </c>
      <c r="AK419" s="324" t="s">
        <v>1991</v>
      </c>
      <c r="AL419" s="327"/>
      <c r="AM419" s="327"/>
      <c r="AN419" s="327"/>
      <c r="AO419" s="327"/>
      <c r="AP419" s="327"/>
      <c r="AQ419" s="327" t="s">
        <v>1991</v>
      </c>
      <c r="AR419" s="327"/>
      <c r="AS419" s="327"/>
      <c r="AT419" s="327"/>
      <c r="AU419" s="327"/>
      <c r="AV419" s="327"/>
      <c r="AW419" s="327"/>
      <c r="AX419" s="327"/>
      <c r="AY419" s="361"/>
      <c r="AZ419" s="361"/>
      <c r="BA419" s="361"/>
      <c r="BB419" s="46">
        <f t="shared" si="177"/>
        <v>11</v>
      </c>
      <c r="BC419" s="46">
        <f t="shared" si="178"/>
        <v>15</v>
      </c>
      <c r="BD419" s="46">
        <f t="shared" si="179"/>
        <v>1</v>
      </c>
      <c r="BE419" s="46">
        <f t="shared" si="180"/>
        <v>1</v>
      </c>
      <c r="BF419" s="296">
        <f t="shared" si="181"/>
        <v>26</v>
      </c>
      <c r="BG419" s="256"/>
      <c r="BH419" s="256"/>
      <c r="BI419" s="256"/>
      <c r="BJ419" s="256"/>
      <c r="BK419" s="383"/>
      <c r="BL419" s="383"/>
      <c r="BM419" s="383"/>
      <c r="BN419" s="383"/>
      <c r="BO419" s="2">
        <f t="shared" si="183"/>
        <v>26</v>
      </c>
      <c r="BP419" s="430"/>
      <c r="BQ419" s="431"/>
      <c r="BR419" s="2"/>
      <c r="BS419" s="25"/>
      <c r="BT419" s="348">
        <f t="shared" si="182"/>
        <v>1</v>
      </c>
      <c r="BU419" s="56"/>
      <c r="BV419" s="282">
        <f t="shared" si="184"/>
        <v>0</v>
      </c>
      <c r="BW419" s="379">
        <v>0</v>
      </c>
      <c r="BX419" s="269">
        <f t="shared" si="185"/>
        <v>0</v>
      </c>
      <c r="BY419" s="264"/>
      <c r="BZ419" s="264"/>
      <c r="CA419" s="264"/>
      <c r="CB419" s="264"/>
      <c r="CC419" s="264"/>
      <c r="CD419" s="14">
        <f t="shared" si="186"/>
        <v>-11</v>
      </c>
      <c r="CE419" s="14">
        <f t="shared" si="187"/>
        <v>26</v>
      </c>
      <c r="CF419" s="2">
        <f t="shared" si="188"/>
        <v>1</v>
      </c>
      <c r="CL419" s="387"/>
      <c r="CM419" s="387"/>
      <c r="CN419" s="387"/>
      <c r="CO419" s="387"/>
      <c r="CP419" s="387"/>
      <c r="CQ419" s="100"/>
    </row>
    <row r="420" spans="1:95" s="95" customFormat="1" ht="29.4" customHeight="1">
      <c r="A420" s="46">
        <v>21</v>
      </c>
      <c r="B420" s="46">
        <v>8</v>
      </c>
      <c r="C420" s="46">
        <v>313</v>
      </c>
      <c r="D420" s="380"/>
      <c r="E420" s="380"/>
      <c r="F420" s="381"/>
      <c r="G420" s="312">
        <v>0</v>
      </c>
      <c r="H420" s="312" t="s">
        <v>1991</v>
      </c>
      <c r="I420" s="312" t="s">
        <v>1991</v>
      </c>
      <c r="J420" s="312"/>
      <c r="K420" s="312" t="s">
        <v>1991</v>
      </c>
      <c r="L420" s="312" t="s">
        <v>1991</v>
      </c>
      <c r="M420" s="312" t="s">
        <v>1991</v>
      </c>
      <c r="N420" s="312">
        <v>0</v>
      </c>
      <c r="O420" s="312" t="s">
        <v>1991</v>
      </c>
      <c r="P420" s="312" t="s">
        <v>1991</v>
      </c>
      <c r="Q420" s="312" t="s">
        <v>1991</v>
      </c>
      <c r="R420" s="312" t="s">
        <v>1991</v>
      </c>
      <c r="S420" s="312" t="s">
        <v>1991</v>
      </c>
      <c r="T420" s="323" t="s">
        <v>1991</v>
      </c>
      <c r="U420" s="312">
        <v>0</v>
      </c>
      <c r="V420" s="46" t="s">
        <v>1991</v>
      </c>
      <c r="W420" s="324" t="s">
        <v>1991</v>
      </c>
      <c r="X420" s="324" t="s">
        <v>1991</v>
      </c>
      <c r="Y420" s="324" t="s">
        <v>1991</v>
      </c>
      <c r="Z420" s="46" t="s">
        <v>1991</v>
      </c>
      <c r="AA420" s="324" t="s">
        <v>1991</v>
      </c>
      <c r="AB420" s="46" t="s">
        <v>1991</v>
      </c>
      <c r="AC420" s="46" t="s">
        <v>1991</v>
      </c>
      <c r="AD420" s="46">
        <v>0</v>
      </c>
      <c r="AE420" s="324" t="s">
        <v>1991</v>
      </c>
      <c r="AF420" s="324" t="s">
        <v>1991</v>
      </c>
      <c r="AG420" s="324" t="s">
        <v>1991</v>
      </c>
      <c r="AH420" s="324" t="s">
        <v>1991</v>
      </c>
      <c r="AI420" s="324" t="s">
        <v>1991</v>
      </c>
      <c r="AJ420" s="324" t="s">
        <v>1991</v>
      </c>
      <c r="AK420" s="324" t="s">
        <v>1991</v>
      </c>
      <c r="AL420" s="327"/>
      <c r="AM420" s="327"/>
      <c r="AN420" s="327"/>
      <c r="AO420" s="327"/>
      <c r="AP420" s="327"/>
      <c r="AQ420" s="327" t="s">
        <v>1991</v>
      </c>
      <c r="AR420" s="327"/>
      <c r="AS420" s="327"/>
      <c r="AT420" s="327"/>
      <c r="AU420" s="327"/>
      <c r="AV420" s="327"/>
      <c r="AW420" s="327"/>
      <c r="AX420" s="327"/>
      <c r="AY420" s="361"/>
      <c r="AZ420" s="361"/>
      <c r="BA420" s="361"/>
      <c r="BB420" s="46">
        <f t="shared" si="177"/>
        <v>11</v>
      </c>
      <c r="BC420" s="46">
        <f t="shared" si="178"/>
        <v>15</v>
      </c>
      <c r="BD420" s="46">
        <f t="shared" si="179"/>
        <v>1</v>
      </c>
      <c r="BE420" s="46">
        <f t="shared" si="180"/>
        <v>1</v>
      </c>
      <c r="BF420" s="296">
        <f t="shared" si="181"/>
        <v>26</v>
      </c>
      <c r="BG420" s="256"/>
      <c r="BH420" s="256"/>
      <c r="BI420" s="256"/>
      <c r="BJ420" s="256"/>
      <c r="BK420" s="383"/>
      <c r="BL420" s="383"/>
      <c r="BM420" s="383"/>
      <c r="BN420" s="383"/>
      <c r="BO420" s="2">
        <f t="shared" si="183"/>
        <v>26</v>
      </c>
      <c r="BP420" s="430"/>
      <c r="BQ420" s="431"/>
      <c r="BR420" s="2"/>
      <c r="BS420" s="25"/>
      <c r="BT420" s="348">
        <f t="shared" si="182"/>
        <v>1</v>
      </c>
      <c r="BU420" s="56"/>
      <c r="BV420" s="282">
        <f t="shared" si="184"/>
        <v>0</v>
      </c>
      <c r="BW420" s="379">
        <v>0</v>
      </c>
      <c r="BX420" s="269">
        <f t="shared" si="185"/>
        <v>0</v>
      </c>
      <c r="BY420" s="264"/>
      <c r="BZ420" s="264"/>
      <c r="CA420" s="264"/>
      <c r="CB420" s="264"/>
      <c r="CC420" s="264"/>
      <c r="CD420" s="14">
        <f t="shared" si="186"/>
        <v>-11</v>
      </c>
      <c r="CE420" s="14">
        <f t="shared" si="187"/>
        <v>26</v>
      </c>
      <c r="CF420" s="2">
        <f t="shared" si="188"/>
        <v>1</v>
      </c>
      <c r="CL420" s="387"/>
      <c r="CM420" s="387"/>
      <c r="CN420" s="387"/>
      <c r="CO420" s="387"/>
      <c r="CP420" s="387"/>
      <c r="CQ420" s="100"/>
    </row>
    <row r="421" spans="1:95" s="95" customFormat="1" ht="29.4" customHeight="1">
      <c r="A421" s="46">
        <v>22</v>
      </c>
      <c r="B421" s="46">
        <v>8</v>
      </c>
      <c r="C421" s="46">
        <v>314</v>
      </c>
      <c r="D421" s="380"/>
      <c r="E421" s="380"/>
      <c r="F421" s="381"/>
      <c r="G421" s="312" t="s">
        <v>1991</v>
      </c>
      <c r="H421" s="312" t="s">
        <v>1991</v>
      </c>
      <c r="I421" s="312" t="s">
        <v>1991</v>
      </c>
      <c r="J421" s="312"/>
      <c r="K421" s="312" t="s">
        <v>1991</v>
      </c>
      <c r="L421" s="312" t="s">
        <v>1991</v>
      </c>
      <c r="M421" s="312" t="s">
        <v>1991</v>
      </c>
      <c r="N421" s="312" t="s">
        <v>1991</v>
      </c>
      <c r="O421" s="312" t="s">
        <v>1991</v>
      </c>
      <c r="P421" s="312" t="s">
        <v>1991</v>
      </c>
      <c r="Q421" s="312" t="s">
        <v>1991</v>
      </c>
      <c r="R421" s="312" t="s">
        <v>1991</v>
      </c>
      <c r="S421" s="312" t="s">
        <v>1991</v>
      </c>
      <c r="T421" s="323" t="s">
        <v>1991</v>
      </c>
      <c r="U421" s="312" t="s">
        <v>1991</v>
      </c>
      <c r="V421" s="46" t="s">
        <v>1991</v>
      </c>
      <c r="W421" s="324" t="s">
        <v>1991</v>
      </c>
      <c r="X421" s="324" t="s">
        <v>1991</v>
      </c>
      <c r="Y421" s="324" t="s">
        <v>1991</v>
      </c>
      <c r="Z421" s="46" t="s">
        <v>1991</v>
      </c>
      <c r="AA421" s="324" t="s">
        <v>1991</v>
      </c>
      <c r="AB421" s="46" t="s">
        <v>1991</v>
      </c>
      <c r="AC421" s="46">
        <v>0</v>
      </c>
      <c r="AD421" s="46" t="s">
        <v>1991</v>
      </c>
      <c r="AE421" s="324" t="s">
        <v>1991</v>
      </c>
      <c r="AF421" s="324" t="s">
        <v>1991</v>
      </c>
      <c r="AG421" s="324" t="s">
        <v>1991</v>
      </c>
      <c r="AH421" s="324" t="s">
        <v>1991</v>
      </c>
      <c r="AI421" s="324" t="s">
        <v>1991</v>
      </c>
      <c r="AJ421" s="324" t="s">
        <v>1991</v>
      </c>
      <c r="AK421" s="324" t="s">
        <v>1991</v>
      </c>
      <c r="AL421" s="327"/>
      <c r="AM421" s="327"/>
      <c r="AN421" s="327"/>
      <c r="AO421" s="327"/>
      <c r="AP421" s="327"/>
      <c r="AQ421" s="327"/>
      <c r="AR421" s="327"/>
      <c r="AS421" s="327"/>
      <c r="AT421" s="327"/>
      <c r="AU421" s="327"/>
      <c r="AV421" s="327"/>
      <c r="AW421" s="327"/>
      <c r="AX421" s="327"/>
      <c r="AY421" s="361"/>
      <c r="AZ421" s="361"/>
      <c r="BA421" s="361"/>
      <c r="BB421" s="46">
        <f t="shared" si="177"/>
        <v>14</v>
      </c>
      <c r="BC421" s="46">
        <f t="shared" si="178"/>
        <v>15</v>
      </c>
      <c r="BD421" s="46">
        <f t="shared" si="179"/>
        <v>0</v>
      </c>
      <c r="BE421" s="46">
        <f t="shared" si="180"/>
        <v>0</v>
      </c>
      <c r="BF421" s="296">
        <f t="shared" si="181"/>
        <v>29</v>
      </c>
      <c r="BG421" s="256"/>
      <c r="BH421" s="256"/>
      <c r="BI421" s="256"/>
      <c r="BJ421" s="256"/>
      <c r="BK421" s="383"/>
      <c r="BL421" s="383"/>
      <c r="BM421" s="383"/>
      <c r="BN421" s="383"/>
      <c r="BO421" s="2">
        <f t="shared" si="183"/>
        <v>29</v>
      </c>
      <c r="BP421" s="430"/>
      <c r="BQ421" s="431"/>
      <c r="BR421" s="2"/>
      <c r="BS421" s="25"/>
      <c r="BT421" s="348">
        <f t="shared" si="182"/>
        <v>1</v>
      </c>
      <c r="BU421" s="56"/>
      <c r="BV421" s="282">
        <f t="shared" si="184"/>
        <v>0</v>
      </c>
      <c r="BW421" s="379">
        <v>0</v>
      </c>
      <c r="BX421" s="269">
        <f t="shared" si="185"/>
        <v>0</v>
      </c>
      <c r="BY421" s="264"/>
      <c r="BZ421" s="264"/>
      <c r="CA421" s="264"/>
      <c r="CB421" s="264"/>
      <c r="CC421" s="264"/>
      <c r="CD421" s="14">
        <f t="shared" si="186"/>
        <v>-14</v>
      </c>
      <c r="CE421" s="14">
        <f t="shared" si="187"/>
        <v>29</v>
      </c>
      <c r="CF421" s="2">
        <f t="shared" si="188"/>
        <v>1</v>
      </c>
      <c r="CL421" s="387"/>
      <c r="CM421" s="387"/>
      <c r="CN421" s="387"/>
      <c r="CO421" s="387"/>
      <c r="CP421" s="387"/>
      <c r="CQ421" s="100"/>
    </row>
    <row r="422" spans="1:95" s="95" customFormat="1" ht="29.4" customHeight="1">
      <c r="A422" s="46">
        <v>23</v>
      </c>
      <c r="B422" s="46">
        <v>8</v>
      </c>
      <c r="C422" s="46">
        <v>315</v>
      </c>
      <c r="D422" s="380"/>
      <c r="E422" s="380"/>
      <c r="F422" s="381"/>
      <c r="G422" s="312" t="s">
        <v>1991</v>
      </c>
      <c r="H422" s="312" t="s">
        <v>1991</v>
      </c>
      <c r="I422" s="312" t="s">
        <v>1991</v>
      </c>
      <c r="J422" s="312"/>
      <c r="K422" s="312" t="s">
        <v>1991</v>
      </c>
      <c r="L422" s="312" t="s">
        <v>1991</v>
      </c>
      <c r="M422" s="312" t="s">
        <v>1991</v>
      </c>
      <c r="N422" s="312" t="s">
        <v>1991</v>
      </c>
      <c r="O422" s="312" t="s">
        <v>1991</v>
      </c>
      <c r="P422" s="312" t="s">
        <v>1991</v>
      </c>
      <c r="Q422" s="312" t="s">
        <v>1991</v>
      </c>
      <c r="R422" s="312" t="s">
        <v>1991</v>
      </c>
      <c r="S422" s="312" t="s">
        <v>1991</v>
      </c>
      <c r="T422" s="323" t="s">
        <v>1991</v>
      </c>
      <c r="U422" s="312" t="s">
        <v>1991</v>
      </c>
      <c r="V422" s="46" t="s">
        <v>1991</v>
      </c>
      <c r="W422" s="324" t="s">
        <v>1991</v>
      </c>
      <c r="X422" s="324" t="s">
        <v>1991</v>
      </c>
      <c r="Y422" s="324" t="s">
        <v>1991</v>
      </c>
      <c r="Z422" s="46" t="s">
        <v>1991</v>
      </c>
      <c r="AA422" s="324" t="s">
        <v>1991</v>
      </c>
      <c r="AB422" s="46" t="s">
        <v>1991</v>
      </c>
      <c r="AC422" s="46" t="s">
        <v>1991</v>
      </c>
      <c r="AD422" s="46" t="s">
        <v>1991</v>
      </c>
      <c r="AE422" s="324" t="s">
        <v>1991</v>
      </c>
      <c r="AF422" s="324" t="s">
        <v>1991</v>
      </c>
      <c r="AG422" s="324" t="s">
        <v>1991</v>
      </c>
      <c r="AH422" s="324" t="s">
        <v>1991</v>
      </c>
      <c r="AI422" s="324" t="s">
        <v>1991</v>
      </c>
      <c r="AJ422" s="324" t="s">
        <v>1991</v>
      </c>
      <c r="AK422" s="324" t="s">
        <v>1991</v>
      </c>
      <c r="AL422" s="327"/>
      <c r="AM422" s="327"/>
      <c r="AN422" s="327"/>
      <c r="AO422" s="327"/>
      <c r="AP422" s="327"/>
      <c r="AQ422" s="327"/>
      <c r="AR422" s="327"/>
      <c r="AS422" s="327"/>
      <c r="AT422" s="327"/>
      <c r="AU422" s="327"/>
      <c r="AV422" s="327"/>
      <c r="AW422" s="327"/>
      <c r="AX422" s="327"/>
      <c r="AY422" s="361"/>
      <c r="AZ422" s="361"/>
      <c r="BA422" s="361"/>
      <c r="BB422" s="46">
        <f t="shared" si="177"/>
        <v>14</v>
      </c>
      <c r="BC422" s="46">
        <f t="shared" si="178"/>
        <v>16</v>
      </c>
      <c r="BD422" s="46">
        <f t="shared" si="179"/>
        <v>0</v>
      </c>
      <c r="BE422" s="46">
        <f t="shared" si="180"/>
        <v>0</v>
      </c>
      <c r="BF422" s="296">
        <f t="shared" si="181"/>
        <v>30</v>
      </c>
      <c r="BG422" s="256"/>
      <c r="BH422" s="256"/>
      <c r="BI422" s="256"/>
      <c r="BJ422" s="256"/>
      <c r="BK422" s="383"/>
      <c r="BL422" s="383"/>
      <c r="BM422" s="383"/>
      <c r="BN422" s="383"/>
      <c r="BO422" s="2">
        <f t="shared" si="183"/>
        <v>30</v>
      </c>
      <c r="BP422" s="430"/>
      <c r="BQ422" s="431"/>
      <c r="BR422" s="2"/>
      <c r="BS422" s="25"/>
      <c r="BT422" s="348">
        <f t="shared" si="182"/>
        <v>1</v>
      </c>
      <c r="BU422" s="56"/>
      <c r="BV422" s="282">
        <f t="shared" si="184"/>
        <v>0</v>
      </c>
      <c r="BW422" s="379">
        <v>0</v>
      </c>
      <c r="BX422" s="269">
        <f t="shared" si="185"/>
        <v>0</v>
      </c>
      <c r="BY422" s="264"/>
      <c r="BZ422" s="264"/>
      <c r="CA422" s="264"/>
      <c r="CB422" s="264"/>
      <c r="CC422" s="264"/>
      <c r="CD422" s="14">
        <f t="shared" si="186"/>
        <v>-14</v>
      </c>
      <c r="CE422" s="14">
        <f t="shared" si="187"/>
        <v>30</v>
      </c>
      <c r="CF422" s="2">
        <f t="shared" si="188"/>
        <v>1</v>
      </c>
      <c r="CL422" s="387"/>
      <c r="CM422" s="387"/>
      <c r="CN422" s="387"/>
      <c r="CO422" s="387"/>
      <c r="CP422" s="387"/>
      <c r="CQ422" s="100"/>
    </row>
    <row r="423" spans="1:95" s="95" customFormat="1" ht="29.4" customHeight="1">
      <c r="A423" s="46">
        <v>24</v>
      </c>
      <c r="B423" s="46">
        <v>8</v>
      </c>
      <c r="C423" s="46">
        <v>316</v>
      </c>
      <c r="D423" s="380"/>
      <c r="E423" s="380"/>
      <c r="F423" s="381"/>
      <c r="G423" s="312" t="s">
        <v>1991</v>
      </c>
      <c r="H423" s="312" t="s">
        <v>1991</v>
      </c>
      <c r="I423" s="312" t="s">
        <v>1991</v>
      </c>
      <c r="J423" s="312"/>
      <c r="K423" s="312" t="s">
        <v>1991</v>
      </c>
      <c r="L423" s="312" t="s">
        <v>1991</v>
      </c>
      <c r="M423" s="312" t="s">
        <v>1991</v>
      </c>
      <c r="N423" s="312" t="s">
        <v>1991</v>
      </c>
      <c r="O423" s="312" t="s">
        <v>1991</v>
      </c>
      <c r="P423" s="312" t="s">
        <v>1991</v>
      </c>
      <c r="Q423" s="312" t="s">
        <v>1991</v>
      </c>
      <c r="R423" s="312" t="s">
        <v>1991</v>
      </c>
      <c r="S423" s="312" t="s">
        <v>1991</v>
      </c>
      <c r="T423" s="323" t="s">
        <v>1991</v>
      </c>
      <c r="U423" s="312" t="s">
        <v>1991</v>
      </c>
      <c r="V423" s="46" t="s">
        <v>1991</v>
      </c>
      <c r="W423" s="324" t="s">
        <v>1991</v>
      </c>
      <c r="X423" s="324" t="s">
        <v>1991</v>
      </c>
      <c r="Y423" s="324" t="s">
        <v>1991</v>
      </c>
      <c r="Z423" s="46" t="s">
        <v>1991</v>
      </c>
      <c r="AA423" s="324" t="s">
        <v>1991</v>
      </c>
      <c r="AB423" s="46" t="s">
        <v>1991</v>
      </c>
      <c r="AC423" s="46" t="s">
        <v>1991</v>
      </c>
      <c r="AD423" s="46" t="s">
        <v>1991</v>
      </c>
      <c r="AE423" s="324" t="s">
        <v>1991</v>
      </c>
      <c r="AF423" s="324" t="s">
        <v>1991</v>
      </c>
      <c r="AG423" s="324" t="s">
        <v>1991</v>
      </c>
      <c r="AH423" s="324" t="s">
        <v>1991</v>
      </c>
      <c r="AI423" s="324" t="s">
        <v>1991</v>
      </c>
      <c r="AJ423" s="324" t="s">
        <v>1991</v>
      </c>
      <c r="AK423" s="324" t="s">
        <v>1991</v>
      </c>
      <c r="AL423" s="327"/>
      <c r="AM423" s="327"/>
      <c r="AN423" s="327"/>
      <c r="AO423" s="327"/>
      <c r="AP423" s="327"/>
      <c r="AQ423" s="327"/>
      <c r="AR423" s="327"/>
      <c r="AS423" s="327"/>
      <c r="AT423" s="327"/>
      <c r="AU423" s="327"/>
      <c r="AV423" s="327"/>
      <c r="AW423" s="327"/>
      <c r="AX423" s="327"/>
      <c r="AY423" s="361"/>
      <c r="AZ423" s="361"/>
      <c r="BA423" s="361"/>
      <c r="BB423" s="46">
        <f t="shared" si="177"/>
        <v>14</v>
      </c>
      <c r="BC423" s="46">
        <f t="shared" si="178"/>
        <v>16</v>
      </c>
      <c r="BD423" s="46">
        <f t="shared" si="179"/>
        <v>0</v>
      </c>
      <c r="BE423" s="46">
        <f t="shared" si="180"/>
        <v>0</v>
      </c>
      <c r="BF423" s="296">
        <f t="shared" si="181"/>
        <v>30</v>
      </c>
      <c r="BG423" s="256"/>
      <c r="BH423" s="256"/>
      <c r="BI423" s="256"/>
      <c r="BJ423" s="256"/>
      <c r="BK423" s="383"/>
      <c r="BL423" s="383"/>
      <c r="BM423" s="383"/>
      <c r="BN423" s="383"/>
      <c r="BO423" s="2">
        <f t="shared" si="183"/>
        <v>30</v>
      </c>
      <c r="BP423" s="430"/>
      <c r="BQ423" s="431"/>
      <c r="BR423" s="2"/>
      <c r="BS423" s="25"/>
      <c r="BT423" s="348">
        <f t="shared" si="182"/>
        <v>1</v>
      </c>
      <c r="BU423" s="56"/>
      <c r="BV423" s="282">
        <f t="shared" si="184"/>
        <v>0</v>
      </c>
      <c r="BW423" s="379">
        <v>0</v>
      </c>
      <c r="BX423" s="269">
        <f t="shared" si="185"/>
        <v>0</v>
      </c>
      <c r="BY423" s="264"/>
      <c r="BZ423" s="264"/>
      <c r="CA423" s="264"/>
      <c r="CB423" s="264"/>
      <c r="CC423" s="264"/>
      <c r="CD423" s="14">
        <f t="shared" si="186"/>
        <v>-14</v>
      </c>
      <c r="CE423" s="14">
        <f t="shared" si="187"/>
        <v>30</v>
      </c>
      <c r="CF423" s="2">
        <f t="shared" si="188"/>
        <v>1</v>
      </c>
      <c r="CL423" s="387"/>
      <c r="CM423" s="387"/>
      <c r="CN423" s="387"/>
      <c r="CO423" s="387"/>
      <c r="CP423" s="387"/>
      <c r="CQ423" s="100"/>
    </row>
    <row r="424" spans="1:95" s="95" customFormat="1" ht="29.4" customHeight="1">
      <c r="A424" s="46">
        <v>25</v>
      </c>
      <c r="B424" s="46">
        <v>8</v>
      </c>
      <c r="C424" s="46">
        <v>317</v>
      </c>
      <c r="D424" s="380"/>
      <c r="E424" s="380"/>
      <c r="F424" s="381"/>
      <c r="G424" s="312" t="s">
        <v>1991</v>
      </c>
      <c r="H424" s="312" t="s">
        <v>1991</v>
      </c>
      <c r="I424" s="312" t="s">
        <v>1991</v>
      </c>
      <c r="J424" s="312"/>
      <c r="K424" s="312">
        <v>0</v>
      </c>
      <c r="L424" s="312" t="s">
        <v>1991</v>
      </c>
      <c r="M424" s="312" t="s">
        <v>1991</v>
      </c>
      <c r="N424" s="312" t="s">
        <v>1991</v>
      </c>
      <c r="O424" s="312" t="s">
        <v>1991</v>
      </c>
      <c r="P424" s="312" t="s">
        <v>1991</v>
      </c>
      <c r="Q424" s="312" t="s">
        <v>1991</v>
      </c>
      <c r="R424" s="312" t="s">
        <v>1991</v>
      </c>
      <c r="S424" s="312" t="s">
        <v>1991</v>
      </c>
      <c r="T424" s="323" t="s">
        <v>1991</v>
      </c>
      <c r="U424" s="312" t="s">
        <v>1991</v>
      </c>
      <c r="V424" s="46" t="s">
        <v>1991</v>
      </c>
      <c r="W424" s="324" t="s">
        <v>1991</v>
      </c>
      <c r="X424" s="324" t="s">
        <v>1991</v>
      </c>
      <c r="Y424" s="324" t="s">
        <v>1991</v>
      </c>
      <c r="Z424" s="46" t="s">
        <v>1991</v>
      </c>
      <c r="AA424" s="324">
        <v>0</v>
      </c>
      <c r="AB424" s="46" t="s">
        <v>1991</v>
      </c>
      <c r="AC424" s="46" t="s">
        <v>1991</v>
      </c>
      <c r="AD424" s="46" t="s">
        <v>1991</v>
      </c>
      <c r="AE424" s="324" t="s">
        <v>1991</v>
      </c>
      <c r="AF424" s="324" t="s">
        <v>1991</v>
      </c>
      <c r="AG424" s="324" t="s">
        <v>1991</v>
      </c>
      <c r="AH424" s="324" t="s">
        <v>1991</v>
      </c>
      <c r="AI424" s="324" t="s">
        <v>1991</v>
      </c>
      <c r="AJ424" s="324" t="s">
        <v>1991</v>
      </c>
      <c r="AK424" s="324" t="s">
        <v>1991</v>
      </c>
      <c r="AL424" s="327"/>
      <c r="AM424" s="327"/>
      <c r="AN424" s="327"/>
      <c r="AO424" s="327"/>
      <c r="AP424" s="327"/>
      <c r="AQ424" s="327"/>
      <c r="AR424" s="327"/>
      <c r="AS424" s="327"/>
      <c r="AT424" s="327"/>
      <c r="AU424" s="327"/>
      <c r="AV424" s="327"/>
      <c r="AW424" s="327"/>
      <c r="AX424" s="327"/>
      <c r="AY424" s="361"/>
      <c r="AZ424" s="361"/>
      <c r="BA424" s="361"/>
      <c r="BB424" s="46">
        <f t="shared" si="177"/>
        <v>13</v>
      </c>
      <c r="BC424" s="46">
        <f t="shared" si="178"/>
        <v>15</v>
      </c>
      <c r="BD424" s="46">
        <f t="shared" si="179"/>
        <v>0</v>
      </c>
      <c r="BE424" s="46">
        <f t="shared" si="180"/>
        <v>0</v>
      </c>
      <c r="BF424" s="296">
        <f t="shared" si="181"/>
        <v>28</v>
      </c>
      <c r="BG424" s="256"/>
      <c r="BH424" s="256"/>
      <c r="BI424" s="256"/>
      <c r="BJ424" s="256"/>
      <c r="BK424" s="383"/>
      <c r="BL424" s="383"/>
      <c r="BM424" s="383"/>
      <c r="BN424" s="383"/>
      <c r="BO424" s="2">
        <f t="shared" si="183"/>
        <v>28</v>
      </c>
      <c r="BP424" s="430"/>
      <c r="BQ424" s="431"/>
      <c r="BR424" s="2"/>
      <c r="BS424" s="25"/>
      <c r="BT424" s="348">
        <f t="shared" si="182"/>
        <v>1</v>
      </c>
      <c r="BU424" s="56"/>
      <c r="BV424" s="282">
        <f t="shared" si="184"/>
        <v>0</v>
      </c>
      <c r="BW424" s="379">
        <v>0</v>
      </c>
      <c r="BX424" s="269">
        <f t="shared" si="185"/>
        <v>0</v>
      </c>
      <c r="BY424" s="264"/>
      <c r="BZ424" s="264"/>
      <c r="CA424" s="264"/>
      <c r="CB424" s="264"/>
      <c r="CC424" s="264"/>
      <c r="CD424" s="14">
        <f t="shared" si="186"/>
        <v>-13</v>
      </c>
      <c r="CE424" s="14">
        <f t="shared" si="187"/>
        <v>28</v>
      </c>
      <c r="CF424" s="2">
        <f t="shared" si="188"/>
        <v>1</v>
      </c>
      <c r="CL424" s="387"/>
      <c r="CM424" s="387"/>
      <c r="CN424" s="387"/>
      <c r="CO424" s="387"/>
      <c r="CP424" s="387"/>
      <c r="CQ424" s="100"/>
    </row>
    <row r="425" spans="1:95" s="95" customFormat="1" ht="29.4" customHeight="1">
      <c r="A425" s="46">
        <v>26</v>
      </c>
      <c r="B425" s="46">
        <v>8</v>
      </c>
      <c r="C425" s="46">
        <v>318</v>
      </c>
      <c r="D425" s="380"/>
      <c r="E425" s="380"/>
      <c r="F425" s="381"/>
      <c r="G425" s="312" t="s">
        <v>1991</v>
      </c>
      <c r="H425" s="312" t="s">
        <v>1991</v>
      </c>
      <c r="I425" s="312" t="s">
        <v>1991</v>
      </c>
      <c r="J425" s="312"/>
      <c r="K425" s="312">
        <v>0</v>
      </c>
      <c r="L425" s="312" t="s">
        <v>1991</v>
      </c>
      <c r="M425" s="312" t="s">
        <v>1991</v>
      </c>
      <c r="N425" s="312" t="s">
        <v>1991</v>
      </c>
      <c r="O425" s="312" t="s">
        <v>1991</v>
      </c>
      <c r="P425" s="312" t="s">
        <v>1991</v>
      </c>
      <c r="Q425" s="312" t="s">
        <v>1991</v>
      </c>
      <c r="R425" s="312" t="s">
        <v>1991</v>
      </c>
      <c r="S425" s="312" t="s">
        <v>1991</v>
      </c>
      <c r="T425" s="323" t="s">
        <v>1991</v>
      </c>
      <c r="U425" s="312" t="s">
        <v>1991</v>
      </c>
      <c r="V425" s="46" t="s">
        <v>1991</v>
      </c>
      <c r="W425" s="324" t="s">
        <v>1991</v>
      </c>
      <c r="X425" s="324" t="s">
        <v>1991</v>
      </c>
      <c r="Y425" s="324" t="s">
        <v>1991</v>
      </c>
      <c r="Z425" s="46" t="s">
        <v>1991</v>
      </c>
      <c r="AA425" s="324" t="s">
        <v>1991</v>
      </c>
      <c r="AB425" s="46" t="s">
        <v>1991</v>
      </c>
      <c r="AC425" s="46" t="s">
        <v>1991</v>
      </c>
      <c r="AD425" s="46">
        <v>0</v>
      </c>
      <c r="AE425" s="324" t="s">
        <v>1991</v>
      </c>
      <c r="AF425" s="324" t="s">
        <v>1991</v>
      </c>
      <c r="AG425" s="324" t="s">
        <v>1991</v>
      </c>
      <c r="AH425" s="324" t="s">
        <v>1991</v>
      </c>
      <c r="AI425" s="324" t="s">
        <v>1991</v>
      </c>
      <c r="AJ425" s="324" t="s">
        <v>1991</v>
      </c>
      <c r="AK425" s="324" t="s">
        <v>1991</v>
      </c>
      <c r="AL425" s="327"/>
      <c r="AM425" s="327"/>
      <c r="AN425" s="327"/>
      <c r="AO425" s="327"/>
      <c r="AP425" s="327"/>
      <c r="AQ425" s="327"/>
      <c r="AR425" s="327"/>
      <c r="AS425" s="327"/>
      <c r="AT425" s="327"/>
      <c r="AU425" s="327"/>
      <c r="AV425" s="327"/>
      <c r="AW425" s="327"/>
      <c r="AX425" s="327"/>
      <c r="AY425" s="361"/>
      <c r="AZ425" s="361"/>
      <c r="BA425" s="361"/>
      <c r="BB425" s="46">
        <f t="shared" si="177"/>
        <v>13</v>
      </c>
      <c r="BC425" s="46">
        <f t="shared" si="178"/>
        <v>15</v>
      </c>
      <c r="BD425" s="46">
        <f t="shared" si="179"/>
        <v>0</v>
      </c>
      <c r="BE425" s="46">
        <f t="shared" si="180"/>
        <v>0</v>
      </c>
      <c r="BF425" s="296">
        <f t="shared" si="181"/>
        <v>28</v>
      </c>
      <c r="BG425" s="256"/>
      <c r="BH425" s="256"/>
      <c r="BI425" s="256"/>
      <c r="BJ425" s="256"/>
      <c r="BK425" s="383"/>
      <c r="BL425" s="383"/>
      <c r="BM425" s="383"/>
      <c r="BN425" s="383"/>
      <c r="BO425" s="2">
        <f t="shared" si="183"/>
        <v>28</v>
      </c>
      <c r="BP425" s="430"/>
      <c r="BQ425" s="431"/>
      <c r="BR425" s="2"/>
      <c r="BS425" s="25"/>
      <c r="BT425" s="348">
        <f t="shared" si="182"/>
        <v>1</v>
      </c>
      <c r="BU425" s="56"/>
      <c r="BV425" s="282">
        <f t="shared" si="184"/>
        <v>0</v>
      </c>
      <c r="BW425" s="379">
        <v>0</v>
      </c>
      <c r="BX425" s="269">
        <f t="shared" si="185"/>
        <v>0</v>
      </c>
      <c r="BY425" s="264"/>
      <c r="BZ425" s="264"/>
      <c r="CA425" s="264"/>
      <c r="CB425" s="264"/>
      <c r="CC425" s="264"/>
      <c r="CD425" s="14">
        <f t="shared" si="186"/>
        <v>-13</v>
      </c>
      <c r="CE425" s="14">
        <f t="shared" si="187"/>
        <v>28</v>
      </c>
      <c r="CF425" s="2">
        <f t="shared" si="188"/>
        <v>1</v>
      </c>
      <c r="CL425" s="387"/>
      <c r="CM425" s="387"/>
      <c r="CN425" s="387"/>
      <c r="CO425" s="387"/>
      <c r="CP425" s="387"/>
      <c r="CQ425" s="100"/>
    </row>
    <row r="426" spans="1:95" s="95" customFormat="1" ht="29.4" customHeight="1">
      <c r="A426" s="46">
        <v>27</v>
      </c>
      <c r="B426" s="46">
        <v>8</v>
      </c>
      <c r="C426" s="46">
        <v>319</v>
      </c>
      <c r="D426" s="380"/>
      <c r="E426" s="380"/>
      <c r="F426" s="381"/>
      <c r="G426" s="312" t="s">
        <v>1991</v>
      </c>
      <c r="H426" s="312" t="s">
        <v>1991</v>
      </c>
      <c r="I426" s="312" t="s">
        <v>1991</v>
      </c>
      <c r="J426" s="312"/>
      <c r="K426" s="312" t="s">
        <v>1991</v>
      </c>
      <c r="L426" s="312" t="s">
        <v>1991</v>
      </c>
      <c r="M426" s="312" t="s">
        <v>1991</v>
      </c>
      <c r="N426" s="312" t="s">
        <v>1991</v>
      </c>
      <c r="O426" s="312" t="s">
        <v>1991</v>
      </c>
      <c r="P426" s="312" t="s">
        <v>1991</v>
      </c>
      <c r="Q426" s="312" t="s">
        <v>1991</v>
      </c>
      <c r="R426" s="312" t="s">
        <v>1991</v>
      </c>
      <c r="S426" s="312" t="s">
        <v>1991</v>
      </c>
      <c r="T426" s="323" t="s">
        <v>1991</v>
      </c>
      <c r="U426" s="312" t="s">
        <v>1991</v>
      </c>
      <c r="V426" s="46" t="s">
        <v>1991</v>
      </c>
      <c r="W426" s="324" t="s">
        <v>1991</v>
      </c>
      <c r="X426" s="324" t="s">
        <v>1991</v>
      </c>
      <c r="Y426" s="324" t="s">
        <v>1991</v>
      </c>
      <c r="Z426" s="46" t="s">
        <v>1991</v>
      </c>
      <c r="AA426" s="324" t="s">
        <v>1991</v>
      </c>
      <c r="AB426" s="46" t="s">
        <v>1991</v>
      </c>
      <c r="AC426" s="46" t="s">
        <v>1991</v>
      </c>
      <c r="AD426" s="46" t="s">
        <v>1991</v>
      </c>
      <c r="AE426" s="324" t="s">
        <v>1991</v>
      </c>
      <c r="AF426" s="324" t="s">
        <v>1991</v>
      </c>
      <c r="AG426" s="324" t="s">
        <v>1991</v>
      </c>
      <c r="AH426" s="324" t="s">
        <v>1991</v>
      </c>
      <c r="AI426" s="324" t="s">
        <v>1991</v>
      </c>
      <c r="AJ426" s="324" t="s">
        <v>1991</v>
      </c>
      <c r="AK426" s="324" t="s">
        <v>1991</v>
      </c>
      <c r="AL426" s="327"/>
      <c r="AM426" s="327"/>
      <c r="AN426" s="327"/>
      <c r="AO426" s="327"/>
      <c r="AP426" s="327"/>
      <c r="AQ426" s="327" t="s">
        <v>1991</v>
      </c>
      <c r="AR426" s="327" t="s">
        <v>1991</v>
      </c>
      <c r="AS426" s="327"/>
      <c r="AT426" s="327"/>
      <c r="AU426" s="327" t="s">
        <v>2069</v>
      </c>
      <c r="AV426" s="327"/>
      <c r="AW426" s="327"/>
      <c r="AX426" s="327"/>
      <c r="AY426" s="361"/>
      <c r="AZ426" s="361"/>
      <c r="BA426" s="361"/>
      <c r="BB426" s="46">
        <f t="shared" si="177"/>
        <v>14</v>
      </c>
      <c r="BC426" s="46">
        <f t="shared" si="178"/>
        <v>16</v>
      </c>
      <c r="BD426" s="46">
        <f t="shared" si="179"/>
        <v>3</v>
      </c>
      <c r="BE426" s="46">
        <f t="shared" si="180"/>
        <v>3</v>
      </c>
      <c r="BF426" s="296">
        <f t="shared" si="181"/>
        <v>30</v>
      </c>
      <c r="BG426" s="256"/>
      <c r="BH426" s="256"/>
      <c r="BI426" s="256"/>
      <c r="BJ426" s="256"/>
      <c r="BK426" s="383"/>
      <c r="BL426" s="383"/>
      <c r="BM426" s="383"/>
      <c r="BN426" s="383"/>
      <c r="BO426" s="2">
        <f t="shared" si="183"/>
        <v>30</v>
      </c>
      <c r="BP426" s="430"/>
      <c r="BQ426" s="431"/>
      <c r="BR426" s="2"/>
      <c r="BS426" s="25"/>
      <c r="BT426" s="348">
        <f t="shared" si="182"/>
        <v>1</v>
      </c>
      <c r="BU426" s="56"/>
      <c r="BV426" s="282">
        <f t="shared" si="184"/>
        <v>0</v>
      </c>
      <c r="BW426" s="379">
        <v>-20000</v>
      </c>
      <c r="BX426" s="269">
        <f t="shared" si="185"/>
        <v>0</v>
      </c>
      <c r="BY426" s="264"/>
      <c r="BZ426" s="264"/>
      <c r="CA426" s="264"/>
      <c r="CB426" s="264"/>
      <c r="CC426" s="264"/>
      <c r="CD426" s="14">
        <f t="shared" si="186"/>
        <v>-14</v>
      </c>
      <c r="CE426" s="14">
        <f t="shared" si="187"/>
        <v>30</v>
      </c>
      <c r="CF426" s="2">
        <f t="shared" si="188"/>
        <v>1</v>
      </c>
      <c r="CL426" s="387"/>
      <c r="CM426" s="387"/>
      <c r="CN426" s="387"/>
      <c r="CO426" s="387"/>
      <c r="CP426" s="387"/>
      <c r="CQ426" s="100"/>
    </row>
    <row r="427" spans="1:95" s="95" customFormat="1" ht="29.4" customHeight="1">
      <c r="A427" s="46">
        <v>28</v>
      </c>
      <c r="B427" s="46">
        <v>8</v>
      </c>
      <c r="C427" s="46">
        <v>320</v>
      </c>
      <c r="D427" s="380"/>
      <c r="E427" s="380"/>
      <c r="F427" s="381"/>
      <c r="G427" s="312" t="s">
        <v>1991</v>
      </c>
      <c r="H427" s="312" t="s">
        <v>1991</v>
      </c>
      <c r="I427" s="312" t="s">
        <v>1991</v>
      </c>
      <c r="J427" s="312"/>
      <c r="K427" s="312" t="s">
        <v>1991</v>
      </c>
      <c r="L427" s="312" t="s">
        <v>1991</v>
      </c>
      <c r="M427" s="312" t="s">
        <v>1991</v>
      </c>
      <c r="N427" s="312" t="s">
        <v>1991</v>
      </c>
      <c r="O427" s="312" t="s">
        <v>1991</v>
      </c>
      <c r="P427" s="312" t="s">
        <v>1991</v>
      </c>
      <c r="Q427" s="312" t="s">
        <v>1991</v>
      </c>
      <c r="R427" s="312" t="s">
        <v>1991</v>
      </c>
      <c r="S427" s="312" t="s">
        <v>1991</v>
      </c>
      <c r="T427" s="323" t="s">
        <v>1991</v>
      </c>
      <c r="U427" s="312" t="s">
        <v>1991</v>
      </c>
      <c r="V427" s="46" t="s">
        <v>1991</v>
      </c>
      <c r="W427" s="324" t="s">
        <v>1991</v>
      </c>
      <c r="X427" s="324" t="s">
        <v>1991</v>
      </c>
      <c r="Y427" s="324" t="s">
        <v>1991</v>
      </c>
      <c r="Z427" s="46" t="s">
        <v>1991</v>
      </c>
      <c r="AA427" s="324">
        <v>0</v>
      </c>
      <c r="AB427" s="46" t="s">
        <v>1991</v>
      </c>
      <c r="AC427" s="46" t="s">
        <v>1991</v>
      </c>
      <c r="AD427" s="46" t="s">
        <v>1991</v>
      </c>
      <c r="AE427" s="324" t="s">
        <v>1991</v>
      </c>
      <c r="AF427" s="324" t="s">
        <v>1991</v>
      </c>
      <c r="AG427" s="324" t="s">
        <v>1991</v>
      </c>
      <c r="AH427" s="324" t="s">
        <v>1991</v>
      </c>
      <c r="AI427" s="324" t="s">
        <v>1991</v>
      </c>
      <c r="AJ427" s="324" t="s">
        <v>1991</v>
      </c>
      <c r="AK427" s="324">
        <v>0</v>
      </c>
      <c r="AL427" s="327"/>
      <c r="AM427" s="327"/>
      <c r="AN427" s="327"/>
      <c r="AO427" s="327"/>
      <c r="AP427" s="327"/>
      <c r="AQ427" s="327"/>
      <c r="AR427" s="327"/>
      <c r="AS427" s="327"/>
      <c r="AT427" s="327"/>
      <c r="AU427" s="327"/>
      <c r="AV427" s="327"/>
      <c r="AW427" s="327"/>
      <c r="AX427" s="327"/>
      <c r="AY427" s="361"/>
      <c r="AZ427" s="361"/>
      <c r="BA427" s="361"/>
      <c r="BB427" s="46">
        <f t="shared" si="177"/>
        <v>14</v>
      </c>
      <c r="BC427" s="46">
        <f t="shared" si="178"/>
        <v>14</v>
      </c>
      <c r="BD427" s="46">
        <f t="shared" si="179"/>
        <v>0</v>
      </c>
      <c r="BE427" s="46">
        <f t="shared" si="180"/>
        <v>0</v>
      </c>
      <c r="BF427" s="296">
        <f t="shared" si="181"/>
        <v>28</v>
      </c>
      <c r="BG427" s="256"/>
      <c r="BH427" s="256"/>
      <c r="BI427" s="256"/>
      <c r="BJ427" s="256"/>
      <c r="BK427" s="383"/>
      <c r="BL427" s="383"/>
      <c r="BM427" s="383"/>
      <c r="BN427" s="383"/>
      <c r="BO427" s="2">
        <f t="shared" si="183"/>
        <v>28</v>
      </c>
      <c r="BP427" s="430"/>
      <c r="BQ427" s="431"/>
      <c r="BR427" s="2"/>
      <c r="BS427" s="25"/>
      <c r="BT427" s="348">
        <f t="shared" si="182"/>
        <v>1</v>
      </c>
      <c r="BU427" s="56"/>
      <c r="BV427" s="282">
        <f t="shared" si="184"/>
        <v>0</v>
      </c>
      <c r="BW427" s="379">
        <v>20000</v>
      </c>
      <c r="BX427" s="269">
        <f t="shared" si="185"/>
        <v>-0.15</v>
      </c>
      <c r="BY427" s="264"/>
      <c r="BZ427" s="264"/>
      <c r="CA427" s="264"/>
      <c r="CB427" s="264"/>
      <c r="CC427" s="264"/>
      <c r="CD427" s="14">
        <f t="shared" si="186"/>
        <v>-14</v>
      </c>
      <c r="CE427" s="14">
        <f t="shared" si="187"/>
        <v>28</v>
      </c>
      <c r="CF427" s="2">
        <f t="shared" si="188"/>
        <v>1</v>
      </c>
      <c r="CL427" s="387"/>
      <c r="CM427" s="387"/>
      <c r="CN427" s="387"/>
      <c r="CO427" s="387"/>
      <c r="CP427" s="387"/>
      <c r="CQ427" s="100"/>
    </row>
    <row r="428" spans="1:95" s="95" customFormat="1" ht="29.4" customHeight="1">
      <c r="A428" s="46">
        <v>29</v>
      </c>
      <c r="B428" s="46">
        <v>8</v>
      </c>
      <c r="C428" s="46">
        <v>321</v>
      </c>
      <c r="D428" s="380"/>
      <c r="E428" s="380"/>
      <c r="F428" s="381"/>
      <c r="G428" s="312" t="s">
        <v>1991</v>
      </c>
      <c r="H428" s="312" t="s">
        <v>1991</v>
      </c>
      <c r="I428" s="312" t="s">
        <v>1991</v>
      </c>
      <c r="J428" s="312"/>
      <c r="K428" s="312" t="s">
        <v>1991</v>
      </c>
      <c r="L428" s="312" t="s">
        <v>1991</v>
      </c>
      <c r="M428" s="312" t="s">
        <v>1991</v>
      </c>
      <c r="N428" s="312" t="s">
        <v>1991</v>
      </c>
      <c r="O428" s="312" t="s">
        <v>1991</v>
      </c>
      <c r="P428" s="312" t="s">
        <v>1991</v>
      </c>
      <c r="Q428" s="312" t="s">
        <v>1991</v>
      </c>
      <c r="R428" s="312" t="s">
        <v>1991</v>
      </c>
      <c r="S428" s="312" t="s">
        <v>1991</v>
      </c>
      <c r="T428" s="323" t="s">
        <v>1991</v>
      </c>
      <c r="U428" s="312" t="s">
        <v>1991</v>
      </c>
      <c r="V428" s="46" t="s">
        <v>1991</v>
      </c>
      <c r="W428" s="324" t="s">
        <v>1991</v>
      </c>
      <c r="X428" s="324" t="s">
        <v>1991</v>
      </c>
      <c r="Y428" s="324" t="s">
        <v>1991</v>
      </c>
      <c r="Z428" s="46" t="s">
        <v>1991</v>
      </c>
      <c r="AA428" s="324">
        <v>0</v>
      </c>
      <c r="AB428" s="46" t="s">
        <v>1991</v>
      </c>
      <c r="AC428" s="46" t="s">
        <v>1991</v>
      </c>
      <c r="AD428" s="46" t="s">
        <v>1991</v>
      </c>
      <c r="AE428" s="324" t="s">
        <v>1991</v>
      </c>
      <c r="AF428" s="324" t="s">
        <v>1991</v>
      </c>
      <c r="AG428" s="324" t="s">
        <v>1991</v>
      </c>
      <c r="AH428" s="324" t="s">
        <v>1991</v>
      </c>
      <c r="AI428" s="324" t="s">
        <v>1991</v>
      </c>
      <c r="AJ428" s="324" t="s">
        <v>1991</v>
      </c>
      <c r="AK428" s="324">
        <v>0</v>
      </c>
      <c r="AL428" s="327"/>
      <c r="AM428" s="327"/>
      <c r="AN428" s="327"/>
      <c r="AO428" s="327"/>
      <c r="AP428" s="327"/>
      <c r="AQ428" s="327"/>
      <c r="AR428" s="327"/>
      <c r="AS428" s="327"/>
      <c r="AT428" s="327"/>
      <c r="AU428" s="327"/>
      <c r="AV428" s="327"/>
      <c r="AW428" s="327"/>
      <c r="AX428" s="327"/>
      <c r="AY428" s="361"/>
      <c r="AZ428" s="361"/>
      <c r="BA428" s="361"/>
      <c r="BB428" s="46">
        <f t="shared" si="177"/>
        <v>14</v>
      </c>
      <c r="BC428" s="46">
        <f t="shared" si="178"/>
        <v>14</v>
      </c>
      <c r="BD428" s="46">
        <f t="shared" si="179"/>
        <v>0</v>
      </c>
      <c r="BE428" s="46">
        <f t="shared" si="180"/>
        <v>0</v>
      </c>
      <c r="BF428" s="296">
        <f t="shared" si="181"/>
        <v>28</v>
      </c>
      <c r="BG428" s="256"/>
      <c r="BH428" s="256"/>
      <c r="BI428" s="256"/>
      <c r="BJ428" s="256"/>
      <c r="BK428" s="383"/>
      <c r="BL428" s="383"/>
      <c r="BM428" s="383"/>
      <c r="BN428" s="383"/>
      <c r="BO428" s="2">
        <f t="shared" si="183"/>
        <v>28</v>
      </c>
      <c r="BP428" s="430"/>
      <c r="BQ428" s="431"/>
      <c r="BR428" s="2"/>
      <c r="BS428" s="25"/>
      <c r="BT428" s="348">
        <f t="shared" si="182"/>
        <v>1</v>
      </c>
      <c r="BU428" s="56"/>
      <c r="BV428" s="282">
        <f t="shared" si="184"/>
        <v>0</v>
      </c>
      <c r="BW428" s="379">
        <v>0</v>
      </c>
      <c r="BX428" s="269">
        <f t="shared" si="185"/>
        <v>0</v>
      </c>
      <c r="BY428" s="264"/>
      <c r="BZ428" s="264"/>
      <c r="CA428" s="264"/>
      <c r="CB428" s="264"/>
      <c r="CC428" s="264"/>
      <c r="CD428" s="14">
        <f t="shared" si="186"/>
        <v>-14</v>
      </c>
      <c r="CE428" s="14">
        <f t="shared" si="187"/>
        <v>28</v>
      </c>
      <c r="CF428" s="2">
        <f t="shared" si="188"/>
        <v>1</v>
      </c>
      <c r="CL428" s="387"/>
      <c r="CM428" s="387"/>
      <c r="CN428" s="387"/>
      <c r="CO428" s="387"/>
      <c r="CP428" s="387"/>
      <c r="CQ428" s="100"/>
    </row>
    <row r="429" spans="1:95" s="95" customFormat="1" ht="29.4" customHeight="1">
      <c r="A429" s="46">
        <v>30</v>
      </c>
      <c r="B429" s="46">
        <v>8</v>
      </c>
      <c r="C429" s="46">
        <v>322</v>
      </c>
      <c r="D429" s="380"/>
      <c r="E429" s="380"/>
      <c r="F429" s="381"/>
      <c r="G429" s="312">
        <v>0</v>
      </c>
      <c r="H429" s="312" t="s">
        <v>1991</v>
      </c>
      <c r="I429" s="312">
        <v>0</v>
      </c>
      <c r="J429" s="312"/>
      <c r="K429" s="312" t="s">
        <v>1991</v>
      </c>
      <c r="L429" s="312" t="s">
        <v>1991</v>
      </c>
      <c r="M429" s="312" t="s">
        <v>1991</v>
      </c>
      <c r="N429" s="312" t="s">
        <v>1991</v>
      </c>
      <c r="O429" s="312" t="s">
        <v>1991</v>
      </c>
      <c r="P429" s="312" t="s">
        <v>1991</v>
      </c>
      <c r="Q429" s="312" t="s">
        <v>1991</v>
      </c>
      <c r="R429" s="312" t="s">
        <v>1991</v>
      </c>
      <c r="S429" s="312" t="s">
        <v>1991</v>
      </c>
      <c r="T429" s="323" t="s">
        <v>1991</v>
      </c>
      <c r="U429" s="312" t="s">
        <v>1991</v>
      </c>
      <c r="V429" s="46" t="s">
        <v>1991</v>
      </c>
      <c r="W429" s="324">
        <v>0</v>
      </c>
      <c r="X429" s="324">
        <v>0</v>
      </c>
      <c r="Y429" s="324" t="s">
        <v>1991</v>
      </c>
      <c r="Z429" s="46" t="s">
        <v>1991</v>
      </c>
      <c r="AA429" s="324" t="s">
        <v>1991</v>
      </c>
      <c r="AB429" s="46" t="s">
        <v>1991</v>
      </c>
      <c r="AC429" s="46" t="s">
        <v>1991</v>
      </c>
      <c r="AD429" s="46" t="s">
        <v>1991</v>
      </c>
      <c r="AE429" s="324" t="s">
        <v>1991</v>
      </c>
      <c r="AF429" s="324" t="s">
        <v>1991</v>
      </c>
      <c r="AG429" s="324" t="s">
        <v>1991</v>
      </c>
      <c r="AH429" s="324" t="s">
        <v>1991</v>
      </c>
      <c r="AI429" s="324" t="s">
        <v>1991</v>
      </c>
      <c r="AJ429" s="324" t="s">
        <v>1991</v>
      </c>
      <c r="AK429" s="324" t="s">
        <v>1991</v>
      </c>
      <c r="AL429" s="327"/>
      <c r="AM429" s="327"/>
      <c r="AN429" s="327"/>
      <c r="AO429" s="327"/>
      <c r="AP429" s="327"/>
      <c r="AQ429" s="327"/>
      <c r="AR429" s="327"/>
      <c r="AS429" s="327"/>
      <c r="AT429" s="327"/>
      <c r="AU429" s="327"/>
      <c r="AV429" s="327"/>
      <c r="AW429" s="327"/>
      <c r="AX429" s="327"/>
      <c r="AY429" s="361"/>
      <c r="AZ429" s="361"/>
      <c r="BA429" s="361"/>
      <c r="BB429" s="46">
        <f t="shared" si="177"/>
        <v>12</v>
      </c>
      <c r="BC429" s="46">
        <f t="shared" si="178"/>
        <v>14</v>
      </c>
      <c r="BD429" s="46">
        <f t="shared" si="179"/>
        <v>0</v>
      </c>
      <c r="BE429" s="46">
        <f t="shared" si="180"/>
        <v>0</v>
      </c>
      <c r="BF429" s="296">
        <f t="shared" si="181"/>
        <v>26</v>
      </c>
      <c r="BG429" s="256"/>
      <c r="BH429" s="256"/>
      <c r="BI429" s="256"/>
      <c r="BJ429" s="256"/>
      <c r="BK429" s="383"/>
      <c r="BL429" s="383"/>
      <c r="BM429" s="383"/>
      <c r="BN429" s="383"/>
      <c r="BO429" s="2">
        <f t="shared" si="183"/>
        <v>26</v>
      </c>
      <c r="BP429" s="430"/>
      <c r="BQ429" s="431"/>
      <c r="BR429" s="2"/>
      <c r="BS429" s="25"/>
      <c r="BT429" s="348">
        <f t="shared" si="182"/>
        <v>1</v>
      </c>
      <c r="BU429" s="56"/>
      <c r="BV429" s="282">
        <f t="shared" si="184"/>
        <v>0</v>
      </c>
      <c r="BW429" s="379">
        <v>0</v>
      </c>
      <c r="BX429" s="269">
        <f t="shared" si="185"/>
        <v>0</v>
      </c>
      <c r="BY429" s="264"/>
      <c r="BZ429" s="264"/>
      <c r="CA429" s="264"/>
      <c r="CB429" s="264"/>
      <c r="CC429" s="264"/>
      <c r="CD429" s="14">
        <f t="shared" si="186"/>
        <v>-12</v>
      </c>
      <c r="CE429" s="14">
        <f t="shared" si="187"/>
        <v>26</v>
      </c>
      <c r="CF429" s="2">
        <f t="shared" si="188"/>
        <v>1</v>
      </c>
      <c r="CL429" s="387"/>
      <c r="CM429" s="387"/>
      <c r="CN429" s="387"/>
      <c r="CO429" s="387"/>
      <c r="CP429" s="387"/>
      <c r="CQ429" s="100"/>
    </row>
    <row r="430" spans="1:95" s="95" customFormat="1" ht="29.4" customHeight="1">
      <c r="A430" s="46">
        <v>31</v>
      </c>
      <c r="B430" s="46">
        <v>8</v>
      </c>
      <c r="C430" s="46">
        <v>323</v>
      </c>
      <c r="D430" s="380"/>
      <c r="E430" s="380"/>
      <c r="F430" s="381"/>
      <c r="G430" s="312">
        <v>0</v>
      </c>
      <c r="H430" s="312" t="s">
        <v>1991</v>
      </c>
      <c r="I430" s="312" t="s">
        <v>1991</v>
      </c>
      <c r="J430" s="312"/>
      <c r="K430" s="312" t="s">
        <v>1991</v>
      </c>
      <c r="L430" s="312" t="s">
        <v>1991</v>
      </c>
      <c r="M430" s="312" t="s">
        <v>1991</v>
      </c>
      <c r="N430" s="312" t="s">
        <v>1991</v>
      </c>
      <c r="O430" s="312" t="s">
        <v>1991</v>
      </c>
      <c r="P430" s="312" t="s">
        <v>1991</v>
      </c>
      <c r="Q430" s="312" t="s">
        <v>1991</v>
      </c>
      <c r="R430" s="312" t="s">
        <v>1991</v>
      </c>
      <c r="S430" s="312" t="s">
        <v>1991</v>
      </c>
      <c r="T430" s="323" t="s">
        <v>1991</v>
      </c>
      <c r="U430" s="312" t="s">
        <v>1991</v>
      </c>
      <c r="V430" s="46" t="s">
        <v>1991</v>
      </c>
      <c r="W430" s="324">
        <v>0</v>
      </c>
      <c r="X430" s="324">
        <v>0</v>
      </c>
      <c r="Y430" s="324" t="s">
        <v>1991</v>
      </c>
      <c r="Z430" s="46" t="s">
        <v>1991</v>
      </c>
      <c r="AA430" s="324" t="s">
        <v>1991</v>
      </c>
      <c r="AB430" s="46" t="s">
        <v>1991</v>
      </c>
      <c r="AC430" s="46" t="s">
        <v>1991</v>
      </c>
      <c r="AD430" s="46" t="s">
        <v>1991</v>
      </c>
      <c r="AE430" s="324" t="s">
        <v>1991</v>
      </c>
      <c r="AF430" s="324" t="s">
        <v>1991</v>
      </c>
      <c r="AG430" s="324" t="s">
        <v>1991</v>
      </c>
      <c r="AH430" s="324" t="s">
        <v>1991</v>
      </c>
      <c r="AI430" s="324" t="s">
        <v>1991</v>
      </c>
      <c r="AJ430" s="324" t="s">
        <v>1991</v>
      </c>
      <c r="AK430" s="324" t="s">
        <v>1991</v>
      </c>
      <c r="AL430" s="327"/>
      <c r="AM430" s="327"/>
      <c r="AN430" s="327"/>
      <c r="AO430" s="327"/>
      <c r="AP430" s="327"/>
      <c r="AQ430" s="327"/>
      <c r="AR430" s="327"/>
      <c r="AS430" s="327"/>
      <c r="AT430" s="327"/>
      <c r="AU430" s="327"/>
      <c r="AV430" s="327"/>
      <c r="AW430" s="327"/>
      <c r="AX430" s="327"/>
      <c r="AY430" s="361"/>
      <c r="AZ430" s="361"/>
      <c r="BA430" s="361"/>
      <c r="BB430" s="46">
        <f t="shared" si="177"/>
        <v>13</v>
      </c>
      <c r="BC430" s="46">
        <f t="shared" si="178"/>
        <v>14</v>
      </c>
      <c r="BD430" s="46">
        <f t="shared" si="179"/>
        <v>0</v>
      </c>
      <c r="BE430" s="46">
        <f t="shared" si="180"/>
        <v>0</v>
      </c>
      <c r="BF430" s="296">
        <f t="shared" si="181"/>
        <v>27</v>
      </c>
      <c r="BG430" s="256"/>
      <c r="BH430" s="256"/>
      <c r="BI430" s="256"/>
      <c r="BJ430" s="256"/>
      <c r="BK430" s="383"/>
      <c r="BL430" s="383"/>
      <c r="BM430" s="383"/>
      <c r="BN430" s="383"/>
      <c r="BO430" s="2">
        <f t="shared" si="183"/>
        <v>27</v>
      </c>
      <c r="BP430" s="430"/>
      <c r="BQ430" s="431"/>
      <c r="BR430" s="2"/>
      <c r="BS430" s="25"/>
      <c r="BT430" s="348">
        <f t="shared" si="182"/>
        <v>1</v>
      </c>
      <c r="BU430" s="56"/>
      <c r="BV430" s="282">
        <f t="shared" si="184"/>
        <v>0</v>
      </c>
      <c r="BW430" s="379">
        <v>20000</v>
      </c>
      <c r="BX430" s="269">
        <f t="shared" si="185"/>
        <v>-0.15</v>
      </c>
      <c r="BY430" s="264"/>
      <c r="BZ430" s="264"/>
      <c r="CA430" s="264"/>
      <c r="CB430" s="264"/>
      <c r="CC430" s="264"/>
      <c r="CD430" s="14">
        <f t="shared" si="186"/>
        <v>-13</v>
      </c>
      <c r="CE430" s="14">
        <f t="shared" si="187"/>
        <v>27</v>
      </c>
      <c r="CF430" s="2">
        <f t="shared" si="188"/>
        <v>1</v>
      </c>
      <c r="CL430" s="387"/>
      <c r="CM430" s="387"/>
      <c r="CN430" s="387"/>
      <c r="CO430" s="387"/>
      <c r="CP430" s="387"/>
      <c r="CQ430" s="100"/>
    </row>
    <row r="431" spans="1:95" s="95" customFormat="1" ht="29.4" customHeight="1">
      <c r="A431" s="46">
        <v>32</v>
      </c>
      <c r="B431" s="46">
        <v>8</v>
      </c>
      <c r="C431" s="46">
        <v>324</v>
      </c>
      <c r="D431" s="380"/>
      <c r="E431" s="380"/>
      <c r="F431" s="381"/>
      <c r="G431" s="312" t="s">
        <v>1991</v>
      </c>
      <c r="H431" s="312" t="s">
        <v>1991</v>
      </c>
      <c r="I431" s="312" t="s">
        <v>1991</v>
      </c>
      <c r="J431" s="312"/>
      <c r="K431" s="312" t="s">
        <v>1991</v>
      </c>
      <c r="L431" s="312" t="s">
        <v>1991</v>
      </c>
      <c r="M431" s="312" t="s">
        <v>1991</v>
      </c>
      <c r="N431" s="312" t="s">
        <v>1991</v>
      </c>
      <c r="O431" s="312" t="s">
        <v>1991</v>
      </c>
      <c r="P431" s="312" t="s">
        <v>1991</v>
      </c>
      <c r="Q431" s="312">
        <v>0</v>
      </c>
      <c r="R431" s="312" t="s">
        <v>1991</v>
      </c>
      <c r="S431" s="312" t="s">
        <v>1991</v>
      </c>
      <c r="T431" s="323" t="s">
        <v>1991</v>
      </c>
      <c r="U431" s="312" t="s">
        <v>1991</v>
      </c>
      <c r="V431" s="46" t="s">
        <v>1991</v>
      </c>
      <c r="W431" s="324" t="s">
        <v>1991</v>
      </c>
      <c r="X431" s="324" t="s">
        <v>1991</v>
      </c>
      <c r="Y431" s="324" t="s">
        <v>1991</v>
      </c>
      <c r="Z431" s="46" t="s">
        <v>1991</v>
      </c>
      <c r="AA431" s="324" t="s">
        <v>1991</v>
      </c>
      <c r="AB431" s="46" t="s">
        <v>1991</v>
      </c>
      <c r="AC431" s="46" t="s">
        <v>1991</v>
      </c>
      <c r="AD431" s="46" t="s">
        <v>1991</v>
      </c>
      <c r="AE431" s="324" t="s">
        <v>1991</v>
      </c>
      <c r="AF431" s="324" t="s">
        <v>1991</v>
      </c>
      <c r="AG431" s="324" t="s">
        <v>1991</v>
      </c>
      <c r="AH431" s="324" t="s">
        <v>1991</v>
      </c>
      <c r="AI431" s="324" t="s">
        <v>1991</v>
      </c>
      <c r="AJ431" s="324" t="s">
        <v>1991</v>
      </c>
      <c r="AK431" s="324" t="s">
        <v>1991</v>
      </c>
      <c r="AL431" s="327"/>
      <c r="AM431" s="327"/>
      <c r="AN431" s="327"/>
      <c r="AO431" s="327"/>
      <c r="AP431" s="327"/>
      <c r="AQ431" s="327" t="s">
        <v>1991</v>
      </c>
      <c r="AR431" s="327"/>
      <c r="AS431" s="327"/>
      <c r="AT431" s="327"/>
      <c r="AU431" s="327"/>
      <c r="AV431" s="327"/>
      <c r="AW431" s="327"/>
      <c r="AX431" s="327"/>
      <c r="AY431" s="361"/>
      <c r="AZ431" s="361"/>
      <c r="BA431" s="361"/>
      <c r="BB431" s="46">
        <f t="shared" si="177"/>
        <v>13</v>
      </c>
      <c r="BC431" s="46">
        <f t="shared" si="178"/>
        <v>16</v>
      </c>
      <c r="BD431" s="46">
        <f t="shared" si="179"/>
        <v>1</v>
      </c>
      <c r="BE431" s="46">
        <f t="shared" si="180"/>
        <v>1</v>
      </c>
      <c r="BF431" s="296">
        <f t="shared" si="181"/>
        <v>29</v>
      </c>
      <c r="BG431" s="256"/>
      <c r="BH431" s="256"/>
      <c r="BI431" s="256"/>
      <c r="BJ431" s="256"/>
      <c r="BK431" s="383"/>
      <c r="BL431" s="383"/>
      <c r="BM431" s="383"/>
      <c r="BN431" s="383"/>
      <c r="BO431" s="2">
        <f t="shared" si="183"/>
        <v>29</v>
      </c>
      <c r="BP431" s="430"/>
      <c r="BQ431" s="431"/>
      <c r="BR431" s="2"/>
      <c r="BS431" s="25"/>
      <c r="BT431" s="348">
        <f t="shared" si="182"/>
        <v>1</v>
      </c>
      <c r="BU431" s="56"/>
      <c r="BV431" s="282">
        <f t="shared" si="184"/>
        <v>0</v>
      </c>
      <c r="BW431" s="379">
        <v>0</v>
      </c>
      <c r="BX431" s="269">
        <f t="shared" si="185"/>
        <v>0</v>
      </c>
      <c r="BY431" s="264"/>
      <c r="BZ431" s="264"/>
      <c r="CA431" s="264"/>
      <c r="CB431" s="264"/>
      <c r="CC431" s="264"/>
      <c r="CD431" s="14">
        <f t="shared" si="186"/>
        <v>-13</v>
      </c>
      <c r="CE431" s="14">
        <f t="shared" si="187"/>
        <v>29</v>
      </c>
      <c r="CF431" s="2">
        <f t="shared" si="188"/>
        <v>1</v>
      </c>
      <c r="CL431" s="387"/>
      <c r="CM431" s="387"/>
      <c r="CN431" s="387"/>
      <c r="CO431" s="387"/>
      <c r="CP431" s="387"/>
      <c r="CQ431" s="100"/>
    </row>
    <row r="432" spans="1:95" s="95" customFormat="1" ht="29.4" customHeight="1">
      <c r="A432" s="46">
        <v>33</v>
      </c>
      <c r="B432" s="46">
        <v>8</v>
      </c>
      <c r="C432" s="46">
        <v>325</v>
      </c>
      <c r="D432" s="380"/>
      <c r="E432" s="380"/>
      <c r="F432" s="381"/>
      <c r="G432" s="312" t="s">
        <v>1991</v>
      </c>
      <c r="H432" s="312" t="s">
        <v>1991</v>
      </c>
      <c r="I432" s="312" t="s">
        <v>1991</v>
      </c>
      <c r="J432" s="312"/>
      <c r="K432" s="312" t="s">
        <v>1991</v>
      </c>
      <c r="L432" s="312" t="s">
        <v>1991</v>
      </c>
      <c r="M432" s="312" t="s">
        <v>1991</v>
      </c>
      <c r="N432" s="312" t="s">
        <v>1991</v>
      </c>
      <c r="O432" s="312" t="s">
        <v>1991</v>
      </c>
      <c r="P432" s="312" t="s">
        <v>1991</v>
      </c>
      <c r="Q432" s="312" t="s">
        <v>1991</v>
      </c>
      <c r="R432" s="312" t="s">
        <v>1991</v>
      </c>
      <c r="S432" s="312" t="s">
        <v>1991</v>
      </c>
      <c r="T432" s="323" t="s">
        <v>1991</v>
      </c>
      <c r="U432" s="312" t="s">
        <v>1991</v>
      </c>
      <c r="V432" s="46" t="s">
        <v>1991</v>
      </c>
      <c r="W432" s="324" t="s">
        <v>1991</v>
      </c>
      <c r="X432" s="324" t="s">
        <v>1991</v>
      </c>
      <c r="Y432" s="324" t="s">
        <v>1991</v>
      </c>
      <c r="Z432" s="46" t="s">
        <v>1991</v>
      </c>
      <c r="AA432" s="324" t="s">
        <v>1991</v>
      </c>
      <c r="AB432" s="46" t="s">
        <v>1991</v>
      </c>
      <c r="AC432" s="46" t="s">
        <v>1991</v>
      </c>
      <c r="AD432" s="46" t="s">
        <v>1991</v>
      </c>
      <c r="AE432" s="324" t="s">
        <v>1991</v>
      </c>
      <c r="AF432" s="324" t="s">
        <v>1991</v>
      </c>
      <c r="AG432" s="324" t="s">
        <v>1991</v>
      </c>
      <c r="AH432" s="324" t="s">
        <v>1991</v>
      </c>
      <c r="AI432" s="324" t="s">
        <v>1991</v>
      </c>
      <c r="AJ432" s="324" t="s">
        <v>1991</v>
      </c>
      <c r="AK432" s="324" t="s">
        <v>1991</v>
      </c>
      <c r="AL432" s="327" t="s">
        <v>1991</v>
      </c>
      <c r="AM432" s="327"/>
      <c r="AN432" s="327"/>
      <c r="AO432" s="327"/>
      <c r="AP432" s="327"/>
      <c r="AQ432" s="327"/>
      <c r="AR432" s="327"/>
      <c r="AS432" s="327"/>
      <c r="AT432" s="327"/>
      <c r="AU432" s="327"/>
      <c r="AV432" s="327"/>
      <c r="AW432" s="327"/>
      <c r="AX432" s="327"/>
      <c r="AY432" s="361"/>
      <c r="AZ432" s="361"/>
      <c r="BA432" s="361"/>
      <c r="BB432" s="46">
        <f t="shared" si="177"/>
        <v>14</v>
      </c>
      <c r="BC432" s="46">
        <f t="shared" si="178"/>
        <v>16</v>
      </c>
      <c r="BD432" s="46">
        <f t="shared" si="179"/>
        <v>1</v>
      </c>
      <c r="BE432" s="46">
        <f t="shared" si="180"/>
        <v>1</v>
      </c>
      <c r="BF432" s="296">
        <f t="shared" si="181"/>
        <v>30</v>
      </c>
      <c r="BG432" s="256"/>
      <c r="BH432" s="256"/>
      <c r="BI432" s="256"/>
      <c r="BJ432" s="256"/>
      <c r="BK432" s="383"/>
      <c r="BL432" s="383"/>
      <c r="BM432" s="383"/>
      <c r="BN432" s="383"/>
      <c r="BO432" s="2">
        <f t="shared" si="183"/>
        <v>30</v>
      </c>
      <c r="BP432" s="430"/>
      <c r="BQ432" s="431"/>
      <c r="BR432" s="2"/>
      <c r="BS432" s="25"/>
      <c r="BT432" s="348">
        <f t="shared" si="182"/>
        <v>1</v>
      </c>
      <c r="BU432" s="56"/>
      <c r="BV432" s="282">
        <f t="shared" si="184"/>
        <v>0</v>
      </c>
      <c r="BW432" s="379">
        <v>0</v>
      </c>
      <c r="BX432" s="269">
        <f t="shared" si="185"/>
        <v>0</v>
      </c>
      <c r="BY432" s="264"/>
      <c r="BZ432" s="264"/>
      <c r="CA432" s="264"/>
      <c r="CB432" s="264"/>
      <c r="CC432" s="264"/>
      <c r="CD432" s="14">
        <f t="shared" si="186"/>
        <v>-14</v>
      </c>
      <c r="CE432" s="14">
        <f t="shared" si="187"/>
        <v>30</v>
      </c>
      <c r="CF432" s="2">
        <f t="shared" si="188"/>
        <v>1</v>
      </c>
      <c r="CL432" s="387"/>
      <c r="CM432" s="387"/>
      <c r="CN432" s="387"/>
      <c r="CO432" s="387"/>
      <c r="CP432" s="387"/>
      <c r="CQ432" s="100"/>
    </row>
    <row r="433" spans="1:95" s="95" customFormat="1" ht="29.4" customHeight="1">
      <c r="A433" s="46">
        <v>34</v>
      </c>
      <c r="B433" s="46">
        <v>8</v>
      </c>
      <c r="C433" s="46">
        <v>326</v>
      </c>
      <c r="D433" s="380"/>
      <c r="E433" s="380"/>
      <c r="F433" s="381"/>
      <c r="G433" s="312" t="s">
        <v>1991</v>
      </c>
      <c r="H433" s="312" t="s">
        <v>1991</v>
      </c>
      <c r="I433" s="312" t="s">
        <v>1991</v>
      </c>
      <c r="J433" s="312"/>
      <c r="K433" s="312" t="s">
        <v>1991</v>
      </c>
      <c r="L433" s="312" t="s">
        <v>1991</v>
      </c>
      <c r="M433" s="312" t="s">
        <v>1991</v>
      </c>
      <c r="N433" s="312" t="s">
        <v>1991</v>
      </c>
      <c r="O433" s="312" t="s">
        <v>1991</v>
      </c>
      <c r="P433" s="312" t="s">
        <v>1991</v>
      </c>
      <c r="Q433" s="312" t="s">
        <v>1991</v>
      </c>
      <c r="R433" s="312" t="s">
        <v>1991</v>
      </c>
      <c r="S433" s="312" t="s">
        <v>1991</v>
      </c>
      <c r="T433" s="323" t="s">
        <v>1991</v>
      </c>
      <c r="U433" s="312" t="s">
        <v>1991</v>
      </c>
      <c r="V433" s="46" t="s">
        <v>1991</v>
      </c>
      <c r="W433" s="324" t="s">
        <v>1991</v>
      </c>
      <c r="X433" s="324" t="s">
        <v>1991</v>
      </c>
      <c r="Y433" s="324" t="s">
        <v>1991</v>
      </c>
      <c r="Z433" s="46" t="s">
        <v>1991</v>
      </c>
      <c r="AA433" s="324" t="s">
        <v>1991</v>
      </c>
      <c r="AB433" s="46" t="s">
        <v>1991</v>
      </c>
      <c r="AC433" s="46" t="s">
        <v>1991</v>
      </c>
      <c r="AD433" s="46" t="s">
        <v>1991</v>
      </c>
      <c r="AE433" s="324" t="s">
        <v>1991</v>
      </c>
      <c r="AF433" s="324" t="s">
        <v>1991</v>
      </c>
      <c r="AG433" s="324" t="s">
        <v>1991</v>
      </c>
      <c r="AH433" s="324" t="s">
        <v>1991</v>
      </c>
      <c r="AI433" s="324" t="s">
        <v>1991</v>
      </c>
      <c r="AJ433" s="324" t="s">
        <v>1991</v>
      </c>
      <c r="AK433" s="324" t="s">
        <v>1991</v>
      </c>
      <c r="AL433" s="327" t="s">
        <v>1991</v>
      </c>
      <c r="AM433" s="327"/>
      <c r="AN433" s="327"/>
      <c r="AO433" s="327"/>
      <c r="AP433" s="327"/>
      <c r="AQ433" s="327" t="s">
        <v>1991</v>
      </c>
      <c r="AR433" s="327" t="s">
        <v>1991</v>
      </c>
      <c r="AS433" s="327"/>
      <c r="AT433" s="327"/>
      <c r="AU433" s="327"/>
      <c r="AV433" s="327"/>
      <c r="AW433" s="327"/>
      <c r="AX433" s="327"/>
      <c r="AY433" s="361"/>
      <c r="AZ433" s="361"/>
      <c r="BA433" s="361"/>
      <c r="BB433" s="46">
        <f t="shared" si="177"/>
        <v>14</v>
      </c>
      <c r="BC433" s="46">
        <f t="shared" si="178"/>
        <v>16</v>
      </c>
      <c r="BD433" s="46">
        <f t="shared" si="179"/>
        <v>3</v>
      </c>
      <c r="BE433" s="46">
        <f t="shared" si="180"/>
        <v>3</v>
      </c>
      <c r="BF433" s="296">
        <f t="shared" si="181"/>
        <v>30</v>
      </c>
      <c r="BG433" s="256"/>
      <c r="BH433" s="256"/>
      <c r="BI433" s="256"/>
      <c r="BJ433" s="256"/>
      <c r="BK433" s="383"/>
      <c r="BL433" s="383"/>
      <c r="BM433" s="383"/>
      <c r="BN433" s="383"/>
      <c r="BO433" s="2">
        <f t="shared" si="183"/>
        <v>30</v>
      </c>
      <c r="BP433" s="430"/>
      <c r="BQ433" s="431"/>
      <c r="BR433" s="2"/>
      <c r="BS433" s="25"/>
      <c r="BT433" s="348">
        <f t="shared" si="182"/>
        <v>1</v>
      </c>
      <c r="BU433" s="56"/>
      <c r="BV433" s="282">
        <f t="shared" si="184"/>
        <v>0</v>
      </c>
      <c r="BW433" s="379">
        <v>0</v>
      </c>
      <c r="BX433" s="269">
        <f t="shared" si="185"/>
        <v>0</v>
      </c>
      <c r="BY433" s="264"/>
      <c r="BZ433" s="264"/>
      <c r="CA433" s="264"/>
      <c r="CB433" s="264"/>
      <c r="CC433" s="264"/>
      <c r="CD433" s="14">
        <f t="shared" si="186"/>
        <v>-14</v>
      </c>
      <c r="CE433" s="14">
        <f t="shared" si="187"/>
        <v>30</v>
      </c>
      <c r="CF433" s="2">
        <f t="shared" si="188"/>
        <v>1</v>
      </c>
      <c r="CL433" s="387"/>
      <c r="CM433" s="387"/>
      <c r="CN433" s="387"/>
      <c r="CO433" s="387"/>
      <c r="CP433" s="387"/>
      <c r="CQ433" s="100"/>
    </row>
    <row r="434" spans="1:95" s="95" customFormat="1" ht="29.4" customHeight="1">
      <c r="A434" s="46">
        <v>35</v>
      </c>
      <c r="B434" s="46">
        <v>8</v>
      </c>
      <c r="C434" s="46">
        <v>327</v>
      </c>
      <c r="D434" s="380"/>
      <c r="E434" s="380"/>
      <c r="F434" s="381"/>
      <c r="G434" s="312">
        <v>0</v>
      </c>
      <c r="H434" s="312" t="s">
        <v>1991</v>
      </c>
      <c r="I434" s="312" t="s">
        <v>1991</v>
      </c>
      <c r="J434" s="312" t="s">
        <v>1991</v>
      </c>
      <c r="K434" s="312" t="s">
        <v>1991</v>
      </c>
      <c r="L434" s="312" t="s">
        <v>1991</v>
      </c>
      <c r="M434" s="312" t="s">
        <v>1991</v>
      </c>
      <c r="N434" s="312" t="s">
        <v>1991</v>
      </c>
      <c r="O434" s="312" t="s">
        <v>1991</v>
      </c>
      <c r="P434" s="312">
        <v>0</v>
      </c>
      <c r="Q434" s="312" t="s">
        <v>1991</v>
      </c>
      <c r="R434" s="312" t="s">
        <v>1991</v>
      </c>
      <c r="S434" s="312" t="s">
        <v>1991</v>
      </c>
      <c r="T434" s="323" t="s">
        <v>1991</v>
      </c>
      <c r="U434" s="312" t="s">
        <v>1991</v>
      </c>
      <c r="V434" s="46" t="s">
        <v>1991</v>
      </c>
      <c r="W434" s="324" t="s">
        <v>1991</v>
      </c>
      <c r="X434" s="324" t="s">
        <v>1991</v>
      </c>
      <c r="Y434" s="324">
        <v>0</v>
      </c>
      <c r="Z434" s="46" t="s">
        <v>1991</v>
      </c>
      <c r="AA434" s="324" t="s">
        <v>1991</v>
      </c>
      <c r="AB434" s="46" t="s">
        <v>1991</v>
      </c>
      <c r="AC434" s="46" t="s">
        <v>1991</v>
      </c>
      <c r="AD434" s="46" t="s">
        <v>1991</v>
      </c>
      <c r="AE434" s="324" t="s">
        <v>1991</v>
      </c>
      <c r="AF434" s="324" t="s">
        <v>1991</v>
      </c>
      <c r="AG434" s="324">
        <v>0</v>
      </c>
      <c r="AH434" s="324" t="s">
        <v>1991</v>
      </c>
      <c r="AI434" s="324" t="s">
        <v>1991</v>
      </c>
      <c r="AJ434" s="324" t="s">
        <v>1991</v>
      </c>
      <c r="AK434" s="324" t="s">
        <v>1991</v>
      </c>
      <c r="AL434" s="327"/>
      <c r="AM434" s="327"/>
      <c r="AN434" s="327"/>
      <c r="AO434" s="327"/>
      <c r="AP434" s="327"/>
      <c r="AQ434" s="327"/>
      <c r="AR434" s="327"/>
      <c r="AS434" s="327"/>
      <c r="AT434" s="327"/>
      <c r="AU434" s="327"/>
      <c r="AV434" s="327"/>
      <c r="AW434" s="327"/>
      <c r="AX434" s="327"/>
      <c r="AY434" s="361"/>
      <c r="AZ434" s="361"/>
      <c r="BA434" s="361"/>
      <c r="BB434" s="46">
        <f t="shared" si="177"/>
        <v>13</v>
      </c>
      <c r="BC434" s="46">
        <f t="shared" si="178"/>
        <v>14</v>
      </c>
      <c r="BD434" s="46">
        <f t="shared" si="179"/>
        <v>0</v>
      </c>
      <c r="BE434" s="46">
        <f t="shared" si="180"/>
        <v>0</v>
      </c>
      <c r="BF434" s="296">
        <f t="shared" si="181"/>
        <v>27</v>
      </c>
      <c r="BG434" s="256"/>
      <c r="BH434" s="256"/>
      <c r="BI434" s="256"/>
      <c r="BJ434" s="256"/>
      <c r="BK434" s="383"/>
      <c r="BL434" s="383"/>
      <c r="BM434" s="383"/>
      <c r="BN434" s="383"/>
      <c r="BO434" s="2">
        <f t="shared" si="183"/>
        <v>27</v>
      </c>
      <c r="BP434" s="430"/>
      <c r="BQ434" s="431"/>
      <c r="BR434" s="2"/>
      <c r="BS434" s="25"/>
      <c r="BT434" s="348">
        <f t="shared" si="182"/>
        <v>1</v>
      </c>
      <c r="BU434" s="56"/>
      <c r="BV434" s="282">
        <f t="shared" si="184"/>
        <v>0</v>
      </c>
      <c r="BW434" s="379">
        <v>0</v>
      </c>
      <c r="BX434" s="269">
        <f t="shared" si="185"/>
        <v>0</v>
      </c>
      <c r="BY434" s="264"/>
      <c r="BZ434" s="264"/>
      <c r="CA434" s="264"/>
      <c r="CB434" s="264"/>
      <c r="CC434" s="264"/>
      <c r="CD434" s="14">
        <f t="shared" si="186"/>
        <v>-13</v>
      </c>
      <c r="CE434" s="14">
        <f t="shared" si="187"/>
        <v>27</v>
      </c>
      <c r="CF434" s="2">
        <f t="shared" si="188"/>
        <v>1</v>
      </c>
      <c r="CL434" s="387"/>
      <c r="CM434" s="387"/>
      <c r="CN434" s="387"/>
      <c r="CO434" s="387"/>
      <c r="CP434" s="387"/>
      <c r="CQ434" s="100"/>
    </row>
    <row r="435" spans="1:95" s="95" customFormat="1" ht="29.4" customHeight="1">
      <c r="A435" s="46">
        <v>36</v>
      </c>
      <c r="B435" s="46">
        <v>8</v>
      </c>
      <c r="C435" s="46">
        <v>328</v>
      </c>
      <c r="D435" s="380"/>
      <c r="E435" s="380"/>
      <c r="F435" s="381"/>
      <c r="G435" s="312">
        <v>0</v>
      </c>
      <c r="H435" s="312" t="s">
        <v>1991</v>
      </c>
      <c r="I435" s="312" t="s">
        <v>1991</v>
      </c>
      <c r="J435" s="312" t="s">
        <v>1991</v>
      </c>
      <c r="K435" s="312" t="s">
        <v>1991</v>
      </c>
      <c r="L435" s="312" t="s">
        <v>1991</v>
      </c>
      <c r="M435" s="312" t="s">
        <v>1991</v>
      </c>
      <c r="N435" s="312" t="s">
        <v>1991</v>
      </c>
      <c r="O435" s="312" t="s">
        <v>1991</v>
      </c>
      <c r="P435" s="312" t="s">
        <v>1991</v>
      </c>
      <c r="Q435" s="312" t="s">
        <v>1991</v>
      </c>
      <c r="R435" s="312" t="s">
        <v>1991</v>
      </c>
      <c r="S435" s="312" t="s">
        <v>1991</v>
      </c>
      <c r="T435" s="323" t="s">
        <v>1991</v>
      </c>
      <c r="U435" s="312" t="s">
        <v>1991</v>
      </c>
      <c r="V435" s="46" t="s">
        <v>1991</v>
      </c>
      <c r="W435" s="324" t="s">
        <v>1991</v>
      </c>
      <c r="X435" s="324" t="s">
        <v>1991</v>
      </c>
      <c r="Y435" s="324" t="s">
        <v>1991</v>
      </c>
      <c r="Z435" s="46" t="s">
        <v>1991</v>
      </c>
      <c r="AA435" s="324" t="s">
        <v>1991</v>
      </c>
      <c r="AB435" s="46">
        <v>0</v>
      </c>
      <c r="AC435" s="46" t="s">
        <v>1991</v>
      </c>
      <c r="AD435" s="46" t="s">
        <v>1991</v>
      </c>
      <c r="AE435" s="324" t="s">
        <v>1991</v>
      </c>
      <c r="AF435" s="324" t="s">
        <v>1991</v>
      </c>
      <c r="AG435" s="324">
        <v>0</v>
      </c>
      <c r="AH435" s="324" t="s">
        <v>1991</v>
      </c>
      <c r="AI435" s="324" t="s">
        <v>1991</v>
      </c>
      <c r="AJ435" s="324" t="s">
        <v>1991</v>
      </c>
      <c r="AK435" s="324" t="s">
        <v>1991</v>
      </c>
      <c r="AL435" s="327"/>
      <c r="AM435" s="327"/>
      <c r="AN435" s="327"/>
      <c r="AO435" s="327"/>
      <c r="AP435" s="327"/>
      <c r="AQ435" s="327"/>
      <c r="AR435" s="327"/>
      <c r="AS435" s="327"/>
      <c r="AT435" s="327"/>
      <c r="AU435" s="327"/>
      <c r="AV435" s="327"/>
      <c r="AW435" s="327"/>
      <c r="AX435" s="327"/>
      <c r="AY435" s="361"/>
      <c r="AZ435" s="361"/>
      <c r="BA435" s="361"/>
      <c r="BB435" s="46">
        <f t="shared" si="177"/>
        <v>14</v>
      </c>
      <c r="BC435" s="46">
        <f t="shared" si="178"/>
        <v>14</v>
      </c>
      <c r="BD435" s="46">
        <f t="shared" si="179"/>
        <v>0</v>
      </c>
      <c r="BE435" s="46">
        <f t="shared" si="180"/>
        <v>0</v>
      </c>
      <c r="BF435" s="296">
        <f t="shared" si="181"/>
        <v>28</v>
      </c>
      <c r="BG435" s="256"/>
      <c r="BH435" s="256"/>
      <c r="BI435" s="256"/>
      <c r="BJ435" s="256"/>
      <c r="BK435" s="383"/>
      <c r="BL435" s="383"/>
      <c r="BM435" s="383"/>
      <c r="BN435" s="383"/>
      <c r="BO435" s="2">
        <f t="shared" si="183"/>
        <v>28</v>
      </c>
      <c r="BP435" s="430"/>
      <c r="BQ435" s="431"/>
      <c r="BR435" s="2"/>
      <c r="BS435" s="25"/>
      <c r="BT435" s="348">
        <f t="shared" si="182"/>
        <v>1</v>
      </c>
      <c r="BU435" s="56"/>
      <c r="BV435" s="282">
        <f t="shared" si="184"/>
        <v>0</v>
      </c>
      <c r="BW435" s="379">
        <v>-20000</v>
      </c>
      <c r="BX435" s="269">
        <f t="shared" si="185"/>
        <v>0</v>
      </c>
      <c r="BY435" s="264"/>
      <c r="BZ435" s="264"/>
      <c r="CA435" s="264"/>
      <c r="CB435" s="264"/>
      <c r="CC435" s="264"/>
      <c r="CD435" s="14">
        <f t="shared" si="186"/>
        <v>-14</v>
      </c>
      <c r="CE435" s="14">
        <f t="shared" si="187"/>
        <v>28</v>
      </c>
      <c r="CF435" s="2">
        <f t="shared" si="188"/>
        <v>1</v>
      </c>
      <c r="CL435" s="387"/>
      <c r="CM435" s="387"/>
      <c r="CN435" s="387"/>
      <c r="CO435" s="387"/>
      <c r="CP435" s="387"/>
      <c r="CQ435" s="100"/>
    </row>
    <row r="436" spans="1:95" s="95" customFormat="1" ht="29.4" customHeight="1">
      <c r="A436" s="46">
        <v>37</v>
      </c>
      <c r="B436" s="46">
        <v>8</v>
      </c>
      <c r="C436" s="46">
        <v>329</v>
      </c>
      <c r="D436" s="380"/>
      <c r="E436" s="380"/>
      <c r="F436" s="381"/>
      <c r="G436" s="312">
        <v>0</v>
      </c>
      <c r="H436" s="312" t="s">
        <v>1991</v>
      </c>
      <c r="I436" s="312" t="s">
        <v>1991</v>
      </c>
      <c r="J436" s="312"/>
      <c r="K436" s="312" t="s">
        <v>1991</v>
      </c>
      <c r="L436" s="312" t="s">
        <v>1991</v>
      </c>
      <c r="M436" s="312" t="s">
        <v>1991</v>
      </c>
      <c r="N436" s="312" t="s">
        <v>1991</v>
      </c>
      <c r="O436" s="312" t="s">
        <v>1991</v>
      </c>
      <c r="P436" s="312" t="s">
        <v>1991</v>
      </c>
      <c r="Q436" s="312" t="s">
        <v>1991</v>
      </c>
      <c r="R436" s="312" t="s">
        <v>1991</v>
      </c>
      <c r="S436" s="312" t="s">
        <v>1991</v>
      </c>
      <c r="T436" s="323" t="s">
        <v>1991</v>
      </c>
      <c r="U436" s="312" t="s">
        <v>1991</v>
      </c>
      <c r="V436" s="46" t="s">
        <v>1991</v>
      </c>
      <c r="W436" s="324">
        <v>0</v>
      </c>
      <c r="X436" s="324" t="s">
        <v>1991</v>
      </c>
      <c r="Y436" s="324" t="s">
        <v>1991</v>
      </c>
      <c r="Z436" s="46">
        <v>0</v>
      </c>
      <c r="AA436" s="324" t="s">
        <v>1991</v>
      </c>
      <c r="AB436" s="46" t="s">
        <v>1991</v>
      </c>
      <c r="AC436" s="46" t="s">
        <v>1991</v>
      </c>
      <c r="AD436" s="46">
        <v>0</v>
      </c>
      <c r="AE436" s="324" t="s">
        <v>1991</v>
      </c>
      <c r="AF436" s="324" t="s">
        <v>1991</v>
      </c>
      <c r="AG436" s="324" t="s">
        <v>1991</v>
      </c>
      <c r="AH436" s="324" t="s">
        <v>1991</v>
      </c>
      <c r="AI436" s="324" t="s">
        <v>1991</v>
      </c>
      <c r="AJ436" s="324" t="s">
        <v>1991</v>
      </c>
      <c r="AK436" s="324" t="s">
        <v>1991</v>
      </c>
      <c r="AL436" s="327"/>
      <c r="AM436" s="327"/>
      <c r="AN436" s="327"/>
      <c r="AO436" s="327"/>
      <c r="AP436" s="327"/>
      <c r="AQ436" s="327"/>
      <c r="AR436" s="327"/>
      <c r="AS436" s="327"/>
      <c r="AT436" s="327"/>
      <c r="AU436" s="327"/>
      <c r="AV436" s="327"/>
      <c r="AW436" s="327"/>
      <c r="AX436" s="327"/>
      <c r="AY436" s="361"/>
      <c r="AZ436" s="361"/>
      <c r="BA436" s="361"/>
      <c r="BB436" s="46">
        <f t="shared" si="177"/>
        <v>13</v>
      </c>
      <c r="BC436" s="46">
        <f t="shared" si="178"/>
        <v>13</v>
      </c>
      <c r="BD436" s="46">
        <f t="shared" si="179"/>
        <v>0</v>
      </c>
      <c r="BE436" s="46">
        <f t="shared" si="180"/>
        <v>0</v>
      </c>
      <c r="BF436" s="296">
        <f t="shared" si="181"/>
        <v>26</v>
      </c>
      <c r="BG436" s="256"/>
      <c r="BH436" s="256"/>
      <c r="BI436" s="256"/>
      <c r="BJ436" s="256"/>
      <c r="BK436" s="383"/>
      <c r="BL436" s="383"/>
      <c r="BM436" s="383"/>
      <c r="BN436" s="383"/>
      <c r="BO436" s="2">
        <f t="shared" si="183"/>
        <v>26</v>
      </c>
      <c r="BP436" s="430"/>
      <c r="BQ436" s="431"/>
      <c r="BR436" s="2"/>
      <c r="BS436" s="25"/>
      <c r="BT436" s="348">
        <f t="shared" si="182"/>
        <v>1</v>
      </c>
      <c r="BU436" s="56"/>
      <c r="BV436" s="282">
        <f t="shared" si="184"/>
        <v>0</v>
      </c>
      <c r="BW436" s="379">
        <v>0</v>
      </c>
      <c r="BX436" s="269">
        <f t="shared" si="185"/>
        <v>0</v>
      </c>
      <c r="BY436" s="264"/>
      <c r="BZ436" s="264"/>
      <c r="CA436" s="264"/>
      <c r="CB436" s="264"/>
      <c r="CC436" s="264"/>
      <c r="CD436" s="14">
        <f t="shared" si="186"/>
        <v>-13</v>
      </c>
      <c r="CE436" s="14">
        <f t="shared" si="187"/>
        <v>26</v>
      </c>
      <c r="CF436" s="2">
        <f t="shared" si="188"/>
        <v>1</v>
      </c>
      <c r="CL436" s="387"/>
      <c r="CM436" s="387"/>
      <c r="CN436" s="387"/>
      <c r="CO436" s="387"/>
      <c r="CP436" s="387"/>
      <c r="CQ436" s="100"/>
    </row>
    <row r="437" spans="1:95" s="95" customFormat="1" ht="29.4" customHeight="1">
      <c r="A437" s="46">
        <v>38</v>
      </c>
      <c r="B437" s="46">
        <v>8</v>
      </c>
      <c r="C437" s="46">
        <v>330</v>
      </c>
      <c r="D437" s="380"/>
      <c r="E437" s="380"/>
      <c r="F437" s="381"/>
      <c r="G437" s="312">
        <v>0</v>
      </c>
      <c r="H437" s="312" t="s">
        <v>1991</v>
      </c>
      <c r="I437" s="312" t="s">
        <v>1991</v>
      </c>
      <c r="J437" s="312"/>
      <c r="K437" s="312">
        <v>0</v>
      </c>
      <c r="L437" s="312" t="s">
        <v>1991</v>
      </c>
      <c r="M437" s="312">
        <v>0</v>
      </c>
      <c r="N437" s="312" t="s">
        <v>1991</v>
      </c>
      <c r="O437" s="312" t="s">
        <v>1991</v>
      </c>
      <c r="P437" s="312" t="s">
        <v>1991</v>
      </c>
      <c r="Q437" s="312" t="s">
        <v>1991</v>
      </c>
      <c r="R437" s="312" t="s">
        <v>1991</v>
      </c>
      <c r="S437" s="312" t="s">
        <v>1991</v>
      </c>
      <c r="T437" s="323" t="s">
        <v>1991</v>
      </c>
      <c r="U437" s="312" t="s">
        <v>1991</v>
      </c>
      <c r="V437" s="46" t="s">
        <v>1991</v>
      </c>
      <c r="W437" s="324" t="s">
        <v>1991</v>
      </c>
      <c r="X437" s="324">
        <v>0</v>
      </c>
      <c r="Y437" s="324" t="s">
        <v>1991</v>
      </c>
      <c r="Z437" s="46" t="s">
        <v>1991</v>
      </c>
      <c r="AA437" s="324" t="s">
        <v>1991</v>
      </c>
      <c r="AB437" s="46" t="s">
        <v>1991</v>
      </c>
      <c r="AC437" s="46" t="s">
        <v>1991</v>
      </c>
      <c r="AD437" s="46" t="s">
        <v>1991</v>
      </c>
      <c r="AE437" s="324" t="s">
        <v>1991</v>
      </c>
      <c r="AF437" s="324" t="s">
        <v>1991</v>
      </c>
      <c r="AG437" s="324" t="s">
        <v>1991</v>
      </c>
      <c r="AH437" s="324" t="s">
        <v>1991</v>
      </c>
      <c r="AI437" s="324" t="s">
        <v>1991</v>
      </c>
      <c r="AJ437" s="324" t="s">
        <v>1991</v>
      </c>
      <c r="AK437" s="324" t="s">
        <v>1991</v>
      </c>
      <c r="AL437" s="327"/>
      <c r="AM437" s="327"/>
      <c r="AN437" s="327"/>
      <c r="AO437" s="327"/>
      <c r="AP437" s="327"/>
      <c r="AQ437" s="327"/>
      <c r="AR437" s="327"/>
      <c r="AS437" s="327"/>
      <c r="AT437" s="327"/>
      <c r="AU437" s="327"/>
      <c r="AV437" s="327"/>
      <c r="AW437" s="327"/>
      <c r="AX437" s="327"/>
      <c r="AY437" s="361"/>
      <c r="AZ437" s="361"/>
      <c r="BA437" s="361"/>
      <c r="BB437" s="46">
        <f t="shared" si="177"/>
        <v>11</v>
      </c>
      <c r="BC437" s="46">
        <f t="shared" si="178"/>
        <v>15</v>
      </c>
      <c r="BD437" s="46">
        <f t="shared" si="179"/>
        <v>0</v>
      </c>
      <c r="BE437" s="46">
        <f t="shared" si="180"/>
        <v>0</v>
      </c>
      <c r="BF437" s="296">
        <f t="shared" si="181"/>
        <v>26</v>
      </c>
      <c r="BG437" s="256"/>
      <c r="BH437" s="256"/>
      <c r="BI437" s="256"/>
      <c r="BJ437" s="256"/>
      <c r="BK437" s="383"/>
      <c r="BL437" s="383"/>
      <c r="BM437" s="383"/>
      <c r="BN437" s="383"/>
      <c r="BO437" s="2">
        <f t="shared" si="183"/>
        <v>26</v>
      </c>
      <c r="BP437" s="430"/>
      <c r="BQ437" s="431"/>
      <c r="BR437" s="2"/>
      <c r="BS437" s="25"/>
      <c r="BT437" s="348">
        <f t="shared" si="182"/>
        <v>1</v>
      </c>
      <c r="BU437" s="56"/>
      <c r="BV437" s="282">
        <f t="shared" si="184"/>
        <v>0</v>
      </c>
      <c r="BW437" s="379">
        <v>-20000</v>
      </c>
      <c r="BX437" s="269">
        <f t="shared" si="185"/>
        <v>0</v>
      </c>
      <c r="BY437" s="264"/>
      <c r="BZ437" s="264"/>
      <c r="CA437" s="264"/>
      <c r="CB437" s="264"/>
      <c r="CC437" s="264"/>
      <c r="CD437" s="14">
        <f t="shared" si="186"/>
        <v>-11</v>
      </c>
      <c r="CE437" s="14">
        <f t="shared" si="187"/>
        <v>26</v>
      </c>
      <c r="CF437" s="2">
        <f t="shared" si="188"/>
        <v>1</v>
      </c>
      <c r="CL437" s="387"/>
      <c r="CM437" s="387"/>
      <c r="CN437" s="387"/>
      <c r="CO437" s="387"/>
      <c r="CP437" s="387"/>
      <c r="CQ437" s="100"/>
    </row>
    <row r="438" spans="1:95" s="95" customFormat="1" ht="29.4" customHeight="1">
      <c r="A438" s="46">
        <v>39</v>
      </c>
      <c r="B438" s="46">
        <v>8</v>
      </c>
      <c r="C438" s="46">
        <v>331</v>
      </c>
      <c r="D438" s="380"/>
      <c r="E438" s="380"/>
      <c r="F438" s="381"/>
      <c r="G438" s="312">
        <v>0</v>
      </c>
      <c r="H438" s="312" t="s">
        <v>1991</v>
      </c>
      <c r="I438" s="312" t="s">
        <v>1991</v>
      </c>
      <c r="J438" s="312"/>
      <c r="K438" s="312">
        <v>0</v>
      </c>
      <c r="L438" s="312" t="s">
        <v>1991</v>
      </c>
      <c r="M438" s="312">
        <v>0</v>
      </c>
      <c r="N438" s="312" t="s">
        <v>1991</v>
      </c>
      <c r="O438" s="312" t="s">
        <v>1991</v>
      </c>
      <c r="P438" s="312" t="s">
        <v>1991</v>
      </c>
      <c r="Q438" s="312" t="s">
        <v>1991</v>
      </c>
      <c r="R438" s="312" t="s">
        <v>1991</v>
      </c>
      <c r="S438" s="312" t="s">
        <v>1991</v>
      </c>
      <c r="T438" s="323" t="s">
        <v>1991</v>
      </c>
      <c r="U438" s="312" t="s">
        <v>1991</v>
      </c>
      <c r="V438" s="46" t="s">
        <v>1991</v>
      </c>
      <c r="W438" s="324" t="s">
        <v>1991</v>
      </c>
      <c r="X438" s="324">
        <v>0</v>
      </c>
      <c r="Y438" s="324" t="s">
        <v>1991</v>
      </c>
      <c r="Z438" s="46" t="s">
        <v>1991</v>
      </c>
      <c r="AA438" s="324" t="s">
        <v>1991</v>
      </c>
      <c r="AB438" s="46" t="s">
        <v>1991</v>
      </c>
      <c r="AC438" s="46" t="s">
        <v>1991</v>
      </c>
      <c r="AD438" s="46" t="s">
        <v>1991</v>
      </c>
      <c r="AE438" s="324" t="s">
        <v>1991</v>
      </c>
      <c r="AF438" s="324" t="s">
        <v>1991</v>
      </c>
      <c r="AG438" s="324" t="s">
        <v>1991</v>
      </c>
      <c r="AH438" s="324" t="s">
        <v>1991</v>
      </c>
      <c r="AI438" s="324" t="s">
        <v>1991</v>
      </c>
      <c r="AJ438" s="324" t="s">
        <v>1991</v>
      </c>
      <c r="AK438" s="324" t="s">
        <v>1991</v>
      </c>
      <c r="AL438" s="327"/>
      <c r="AM438" s="327"/>
      <c r="AN438" s="327"/>
      <c r="AO438" s="327"/>
      <c r="AP438" s="327"/>
      <c r="AQ438" s="327"/>
      <c r="AR438" s="327"/>
      <c r="AS438" s="327"/>
      <c r="AT438" s="327"/>
      <c r="AU438" s="327"/>
      <c r="AV438" s="327"/>
      <c r="AW438" s="327"/>
      <c r="AX438" s="327"/>
      <c r="AY438" s="361"/>
      <c r="AZ438" s="361"/>
      <c r="BA438" s="361"/>
      <c r="BB438" s="46">
        <f t="shared" si="177"/>
        <v>11</v>
      </c>
      <c r="BC438" s="46">
        <f t="shared" si="178"/>
        <v>15</v>
      </c>
      <c r="BD438" s="46">
        <f t="shared" si="179"/>
        <v>0</v>
      </c>
      <c r="BE438" s="46">
        <f t="shared" si="180"/>
        <v>0</v>
      </c>
      <c r="BF438" s="296">
        <f t="shared" si="181"/>
        <v>26</v>
      </c>
      <c r="BG438" s="256"/>
      <c r="BH438" s="256"/>
      <c r="BI438" s="256"/>
      <c r="BJ438" s="256"/>
      <c r="BK438" s="383"/>
      <c r="BL438" s="383"/>
      <c r="BM438" s="383"/>
      <c r="BN438" s="383"/>
      <c r="BO438" s="2">
        <f t="shared" si="183"/>
        <v>26</v>
      </c>
      <c r="BP438" s="430"/>
      <c r="BQ438" s="431"/>
      <c r="BR438" s="2"/>
      <c r="BS438" s="25"/>
      <c r="BT438" s="348">
        <f t="shared" si="182"/>
        <v>1</v>
      </c>
      <c r="BU438" s="56"/>
      <c r="BV438" s="282">
        <f t="shared" si="184"/>
        <v>0</v>
      </c>
      <c r="BW438" s="379">
        <v>-20000</v>
      </c>
      <c r="BX438" s="269">
        <f t="shared" si="185"/>
        <v>0</v>
      </c>
      <c r="BY438" s="264"/>
      <c r="BZ438" s="264"/>
      <c r="CA438" s="264"/>
      <c r="CB438" s="264"/>
      <c r="CC438" s="264"/>
      <c r="CD438" s="14">
        <f t="shared" si="186"/>
        <v>-11</v>
      </c>
      <c r="CE438" s="14">
        <f t="shared" si="187"/>
        <v>26</v>
      </c>
      <c r="CF438" s="2">
        <f t="shared" si="188"/>
        <v>1</v>
      </c>
      <c r="CL438" s="387"/>
      <c r="CM438" s="387"/>
      <c r="CN438" s="387"/>
      <c r="CO438" s="387"/>
      <c r="CP438" s="387"/>
      <c r="CQ438" s="100"/>
    </row>
    <row r="439" spans="1:95" s="95" customFormat="1" ht="29.4" customHeight="1">
      <c r="A439" s="46">
        <v>40</v>
      </c>
      <c r="B439" s="46">
        <v>8</v>
      </c>
      <c r="C439" s="46">
        <v>332</v>
      </c>
      <c r="D439" s="380"/>
      <c r="E439" s="380"/>
      <c r="F439" s="381"/>
      <c r="G439" s="312" t="s">
        <v>1991</v>
      </c>
      <c r="H439" s="312" t="s">
        <v>1991</v>
      </c>
      <c r="I439" s="312" t="s">
        <v>1991</v>
      </c>
      <c r="J439" s="312"/>
      <c r="K439" s="312">
        <v>0</v>
      </c>
      <c r="L439" s="312" t="s">
        <v>1991</v>
      </c>
      <c r="M439" s="312" t="s">
        <v>1991</v>
      </c>
      <c r="N439" s="312" t="s">
        <v>1991</v>
      </c>
      <c r="O439" s="312" t="s">
        <v>1991</v>
      </c>
      <c r="P439" s="312">
        <v>0</v>
      </c>
      <c r="Q439" s="312" t="s">
        <v>1991</v>
      </c>
      <c r="R439" s="312" t="s">
        <v>1991</v>
      </c>
      <c r="S439" s="312" t="s">
        <v>1991</v>
      </c>
      <c r="T439" s="323" t="s">
        <v>1991</v>
      </c>
      <c r="U439" s="312" t="s">
        <v>1991</v>
      </c>
      <c r="V439" s="46" t="s">
        <v>1991</v>
      </c>
      <c r="W439" s="324" t="s">
        <v>1991</v>
      </c>
      <c r="X439" s="324">
        <v>0</v>
      </c>
      <c r="Y439" s="324" t="s">
        <v>1991</v>
      </c>
      <c r="Z439" s="46" t="s">
        <v>1991</v>
      </c>
      <c r="AA439" s="324" t="s">
        <v>1991</v>
      </c>
      <c r="AB439" s="46" t="s">
        <v>1991</v>
      </c>
      <c r="AC439" s="46" t="s">
        <v>1991</v>
      </c>
      <c r="AD439" s="46">
        <v>0</v>
      </c>
      <c r="AE439" s="324" t="s">
        <v>1991</v>
      </c>
      <c r="AF439" s="324" t="s">
        <v>1991</v>
      </c>
      <c r="AG439" s="324" t="s">
        <v>1991</v>
      </c>
      <c r="AH439" s="324" t="s">
        <v>1991</v>
      </c>
      <c r="AI439" s="324" t="s">
        <v>1991</v>
      </c>
      <c r="AJ439" s="324" t="s">
        <v>1991</v>
      </c>
      <c r="AK439" s="324" t="s">
        <v>1991</v>
      </c>
      <c r="AL439" s="327"/>
      <c r="AM439" s="327"/>
      <c r="AN439" s="327"/>
      <c r="AO439" s="327"/>
      <c r="AP439" s="327"/>
      <c r="AQ439" s="327"/>
      <c r="AR439" s="327"/>
      <c r="AS439" s="327"/>
      <c r="AT439" s="327"/>
      <c r="AU439" s="327"/>
      <c r="AV439" s="327"/>
      <c r="AW439" s="327"/>
      <c r="AX439" s="327"/>
      <c r="AY439" s="361"/>
      <c r="AZ439" s="361"/>
      <c r="BA439" s="361"/>
      <c r="BB439" s="46">
        <f t="shared" si="177"/>
        <v>12</v>
      </c>
      <c r="BC439" s="46">
        <f t="shared" si="178"/>
        <v>14</v>
      </c>
      <c r="BD439" s="46">
        <f t="shared" si="179"/>
        <v>0</v>
      </c>
      <c r="BE439" s="46">
        <f t="shared" si="180"/>
        <v>0</v>
      </c>
      <c r="BF439" s="296">
        <f t="shared" si="181"/>
        <v>26</v>
      </c>
      <c r="BG439" s="256"/>
      <c r="BH439" s="256"/>
      <c r="BI439" s="256"/>
      <c r="BJ439" s="256"/>
      <c r="BK439" s="383"/>
      <c r="BL439" s="383"/>
      <c r="BM439" s="383"/>
      <c r="BN439" s="383"/>
      <c r="BO439" s="2">
        <f t="shared" si="183"/>
        <v>26</v>
      </c>
      <c r="BP439" s="430"/>
      <c r="BQ439" s="431"/>
      <c r="BR439" s="2"/>
      <c r="BS439" s="25"/>
      <c r="BT439" s="348">
        <f t="shared" si="182"/>
        <v>1</v>
      </c>
      <c r="BU439" s="56"/>
      <c r="BV439" s="282">
        <f t="shared" si="184"/>
        <v>0</v>
      </c>
      <c r="BW439" s="379">
        <v>-20000</v>
      </c>
      <c r="BX439" s="269">
        <f t="shared" si="185"/>
        <v>0</v>
      </c>
      <c r="BY439" s="264"/>
      <c r="BZ439" s="264"/>
      <c r="CA439" s="264"/>
      <c r="CB439" s="264"/>
      <c r="CC439" s="264"/>
      <c r="CD439" s="14">
        <f t="shared" si="186"/>
        <v>-12</v>
      </c>
      <c r="CE439" s="14">
        <f t="shared" si="187"/>
        <v>26</v>
      </c>
      <c r="CF439" s="2">
        <f t="shared" si="188"/>
        <v>1</v>
      </c>
      <c r="CL439" s="387"/>
      <c r="CM439" s="387"/>
      <c r="CN439" s="387"/>
      <c r="CO439" s="387"/>
      <c r="CP439" s="387"/>
      <c r="CQ439" s="100"/>
    </row>
    <row r="440" spans="1:95" s="95" customFormat="1" ht="29.4" customHeight="1">
      <c r="A440" s="46">
        <v>41</v>
      </c>
      <c r="B440" s="46">
        <v>8</v>
      </c>
      <c r="C440" s="46">
        <v>333</v>
      </c>
      <c r="D440" s="380"/>
      <c r="E440" s="380"/>
      <c r="F440" s="381"/>
      <c r="G440" s="312">
        <v>0</v>
      </c>
      <c r="H440" s="312" t="s">
        <v>1991</v>
      </c>
      <c r="I440" s="312" t="s">
        <v>1991</v>
      </c>
      <c r="J440" s="312"/>
      <c r="K440" s="312" t="s">
        <v>1991</v>
      </c>
      <c r="L440" s="312" t="s">
        <v>1991</v>
      </c>
      <c r="M440" s="312" t="s">
        <v>1991</v>
      </c>
      <c r="N440" s="312" t="s">
        <v>1991</v>
      </c>
      <c r="O440" s="312" t="s">
        <v>1991</v>
      </c>
      <c r="P440" s="312" t="s">
        <v>1991</v>
      </c>
      <c r="Q440" s="312" t="s">
        <v>1991</v>
      </c>
      <c r="R440" s="312" t="s">
        <v>1991</v>
      </c>
      <c r="S440" s="312" t="s">
        <v>1991</v>
      </c>
      <c r="T440" s="323" t="s">
        <v>1991</v>
      </c>
      <c r="U440" s="312" t="s">
        <v>1991</v>
      </c>
      <c r="V440" s="46" t="s">
        <v>1991</v>
      </c>
      <c r="W440" s="324" t="s">
        <v>1991</v>
      </c>
      <c r="X440" s="324" t="s">
        <v>1991</v>
      </c>
      <c r="Y440" s="324" t="s">
        <v>1991</v>
      </c>
      <c r="Z440" s="46" t="s">
        <v>1991</v>
      </c>
      <c r="AA440" s="324" t="s">
        <v>1991</v>
      </c>
      <c r="AB440" s="46" t="s">
        <v>1991</v>
      </c>
      <c r="AC440" s="46" t="s">
        <v>1991</v>
      </c>
      <c r="AD440" s="46" t="s">
        <v>1991</v>
      </c>
      <c r="AE440" s="324" t="s">
        <v>1991</v>
      </c>
      <c r="AF440" s="324" t="s">
        <v>1991</v>
      </c>
      <c r="AG440" s="324" t="s">
        <v>1991</v>
      </c>
      <c r="AH440" s="324" t="s">
        <v>1991</v>
      </c>
      <c r="AI440" s="324" t="s">
        <v>1991</v>
      </c>
      <c r="AJ440" s="324" t="s">
        <v>1991</v>
      </c>
      <c r="AK440" s="324" t="s">
        <v>1991</v>
      </c>
      <c r="AL440" s="327"/>
      <c r="AM440" s="327"/>
      <c r="AN440" s="327"/>
      <c r="AO440" s="327"/>
      <c r="AP440" s="327"/>
      <c r="AQ440" s="327"/>
      <c r="AR440" s="327"/>
      <c r="AS440" s="327"/>
      <c r="AT440" s="327"/>
      <c r="AU440" s="327"/>
      <c r="AV440" s="327"/>
      <c r="AW440" s="327"/>
      <c r="AX440" s="327"/>
      <c r="AY440" s="361"/>
      <c r="AZ440" s="361"/>
      <c r="BA440" s="361"/>
      <c r="BB440" s="46">
        <f t="shared" si="177"/>
        <v>13</v>
      </c>
      <c r="BC440" s="46">
        <f t="shared" si="178"/>
        <v>16</v>
      </c>
      <c r="BD440" s="46">
        <f t="shared" si="179"/>
        <v>0</v>
      </c>
      <c r="BE440" s="46">
        <f t="shared" si="180"/>
        <v>0</v>
      </c>
      <c r="BF440" s="296">
        <f t="shared" si="181"/>
        <v>29</v>
      </c>
      <c r="BG440" s="256"/>
      <c r="BH440" s="256"/>
      <c r="BI440" s="256"/>
      <c r="BJ440" s="256"/>
      <c r="BK440" s="383"/>
      <c r="BL440" s="383"/>
      <c r="BM440" s="383"/>
      <c r="BN440" s="383"/>
      <c r="BO440" s="2">
        <f t="shared" si="183"/>
        <v>29</v>
      </c>
      <c r="BP440" s="430"/>
      <c r="BQ440" s="431"/>
      <c r="BR440" s="2"/>
      <c r="BS440" s="25"/>
      <c r="BT440" s="348">
        <f t="shared" si="182"/>
        <v>1</v>
      </c>
      <c r="BU440" s="56"/>
      <c r="BV440" s="282">
        <f t="shared" si="184"/>
        <v>0</v>
      </c>
      <c r="BW440" s="379">
        <v>0</v>
      </c>
      <c r="BX440" s="269">
        <f t="shared" si="185"/>
        <v>0</v>
      </c>
      <c r="BY440" s="264"/>
      <c r="BZ440" s="264"/>
      <c r="CA440" s="264"/>
      <c r="CB440" s="264"/>
      <c r="CC440" s="264"/>
      <c r="CD440" s="14">
        <f t="shared" si="186"/>
        <v>-13</v>
      </c>
      <c r="CE440" s="14">
        <f t="shared" si="187"/>
        <v>29</v>
      </c>
      <c r="CF440" s="2">
        <f t="shared" si="188"/>
        <v>1</v>
      </c>
      <c r="CL440" s="387"/>
      <c r="CM440" s="387"/>
      <c r="CN440" s="387"/>
      <c r="CO440" s="387"/>
      <c r="CP440" s="387"/>
      <c r="CQ440" s="100"/>
    </row>
    <row r="441" spans="1:95" s="95" customFormat="1" ht="29.4" customHeight="1">
      <c r="A441" s="46">
        <v>42</v>
      </c>
      <c r="B441" s="46">
        <v>8</v>
      </c>
      <c r="C441" s="46">
        <v>334</v>
      </c>
      <c r="D441" s="380"/>
      <c r="E441" s="380"/>
      <c r="F441" s="381"/>
      <c r="G441" s="312">
        <v>0</v>
      </c>
      <c r="H441" s="312" t="s">
        <v>1991</v>
      </c>
      <c r="I441" s="312" t="s">
        <v>1991</v>
      </c>
      <c r="J441" s="312"/>
      <c r="K441" s="312" t="s">
        <v>1991</v>
      </c>
      <c r="L441" s="312" t="s">
        <v>1991</v>
      </c>
      <c r="M441" s="312" t="s">
        <v>1991</v>
      </c>
      <c r="N441" s="312" t="s">
        <v>1991</v>
      </c>
      <c r="O441" s="312" t="s">
        <v>1991</v>
      </c>
      <c r="P441" s="312" t="s">
        <v>1991</v>
      </c>
      <c r="Q441" s="312" t="s">
        <v>1991</v>
      </c>
      <c r="R441" s="312" t="s">
        <v>1991</v>
      </c>
      <c r="S441" s="312" t="s">
        <v>1991</v>
      </c>
      <c r="T441" s="323" t="s">
        <v>1991</v>
      </c>
      <c r="U441" s="312" t="s">
        <v>1991</v>
      </c>
      <c r="V441" s="46" t="s">
        <v>1991</v>
      </c>
      <c r="W441" s="324" t="s">
        <v>1991</v>
      </c>
      <c r="X441" s="324" t="s">
        <v>1991</v>
      </c>
      <c r="Y441" s="324" t="s">
        <v>1991</v>
      </c>
      <c r="Z441" s="46" t="s">
        <v>1991</v>
      </c>
      <c r="AA441" s="324" t="s">
        <v>1991</v>
      </c>
      <c r="AB441" s="46" t="s">
        <v>1991</v>
      </c>
      <c r="AC441" s="46" t="s">
        <v>1991</v>
      </c>
      <c r="AD441" s="46" t="s">
        <v>1991</v>
      </c>
      <c r="AE441" s="324" t="s">
        <v>1991</v>
      </c>
      <c r="AF441" s="324" t="s">
        <v>1991</v>
      </c>
      <c r="AG441" s="324" t="s">
        <v>1991</v>
      </c>
      <c r="AH441" s="324" t="s">
        <v>1991</v>
      </c>
      <c r="AI441" s="324" t="s">
        <v>1991</v>
      </c>
      <c r="AJ441" s="324" t="s">
        <v>1991</v>
      </c>
      <c r="AK441" s="324" t="s">
        <v>1991</v>
      </c>
      <c r="AL441" s="327"/>
      <c r="AM441" s="327"/>
      <c r="AN441" s="327"/>
      <c r="AO441" s="327"/>
      <c r="AP441" s="327"/>
      <c r="AQ441" s="327"/>
      <c r="AR441" s="327"/>
      <c r="AS441" s="327"/>
      <c r="AT441" s="327"/>
      <c r="AU441" s="327"/>
      <c r="AV441" s="327"/>
      <c r="AW441" s="327"/>
      <c r="AX441" s="327"/>
      <c r="AY441" s="361"/>
      <c r="AZ441" s="361"/>
      <c r="BA441" s="361"/>
      <c r="BB441" s="46">
        <f t="shared" si="177"/>
        <v>13</v>
      </c>
      <c r="BC441" s="46">
        <f t="shared" si="178"/>
        <v>16</v>
      </c>
      <c r="BD441" s="46">
        <f t="shared" si="179"/>
        <v>0</v>
      </c>
      <c r="BE441" s="46">
        <f t="shared" si="180"/>
        <v>0</v>
      </c>
      <c r="BF441" s="296">
        <f t="shared" si="181"/>
        <v>29</v>
      </c>
      <c r="BG441" s="256"/>
      <c r="BH441" s="256"/>
      <c r="BI441" s="256"/>
      <c r="BJ441" s="256"/>
      <c r="BK441" s="383"/>
      <c r="BL441" s="383"/>
      <c r="BM441" s="383"/>
      <c r="BN441" s="383"/>
      <c r="BO441" s="2">
        <f t="shared" si="183"/>
        <v>29</v>
      </c>
      <c r="BP441" s="430"/>
      <c r="BQ441" s="431"/>
      <c r="BR441" s="2"/>
      <c r="BS441" s="25"/>
      <c r="BT441" s="348">
        <f t="shared" si="182"/>
        <v>1</v>
      </c>
      <c r="BU441" s="56"/>
      <c r="BV441" s="282">
        <f t="shared" si="184"/>
        <v>0</v>
      </c>
      <c r="BW441" s="379">
        <v>0</v>
      </c>
      <c r="BX441" s="269">
        <f t="shared" si="185"/>
        <v>0</v>
      </c>
      <c r="BY441" s="264"/>
      <c r="BZ441" s="264"/>
      <c r="CA441" s="264"/>
      <c r="CB441" s="264"/>
      <c r="CC441" s="264"/>
      <c r="CD441" s="14">
        <f t="shared" si="186"/>
        <v>-13</v>
      </c>
      <c r="CE441" s="14">
        <f t="shared" si="187"/>
        <v>29</v>
      </c>
      <c r="CF441" s="2">
        <f t="shared" si="188"/>
        <v>1</v>
      </c>
      <c r="CL441" s="387"/>
      <c r="CM441" s="387"/>
      <c r="CN441" s="387"/>
      <c r="CO441" s="387"/>
      <c r="CP441" s="387"/>
      <c r="CQ441" s="100"/>
    </row>
    <row r="442" spans="1:95" s="95" customFormat="1" ht="29.4" customHeight="1">
      <c r="A442" s="46">
        <v>43</v>
      </c>
      <c r="B442" s="46">
        <v>8</v>
      </c>
      <c r="C442" s="46">
        <v>335</v>
      </c>
      <c r="D442" s="380"/>
      <c r="E442" s="380"/>
      <c r="F442" s="381"/>
      <c r="G442" s="312" t="s">
        <v>1991</v>
      </c>
      <c r="H442" s="312" t="s">
        <v>1991</v>
      </c>
      <c r="I442" s="312" t="s">
        <v>1991</v>
      </c>
      <c r="J442" s="312"/>
      <c r="K442" s="312">
        <v>0</v>
      </c>
      <c r="L442" s="312" t="s">
        <v>1991</v>
      </c>
      <c r="M442" s="312" t="s">
        <v>1991</v>
      </c>
      <c r="N442" s="312" t="s">
        <v>1991</v>
      </c>
      <c r="O442" s="312" t="s">
        <v>1991</v>
      </c>
      <c r="P442" s="312" t="s">
        <v>1991</v>
      </c>
      <c r="Q442" s="312" t="s">
        <v>1991</v>
      </c>
      <c r="R442" s="312" t="s">
        <v>1991</v>
      </c>
      <c r="S442" s="312" t="s">
        <v>1991</v>
      </c>
      <c r="T442" s="323" t="s">
        <v>1991</v>
      </c>
      <c r="U442" s="312" t="s">
        <v>1991</v>
      </c>
      <c r="V442" s="46" t="s">
        <v>1991</v>
      </c>
      <c r="W442" s="324" t="s">
        <v>1991</v>
      </c>
      <c r="X442" s="324" t="s">
        <v>1991</v>
      </c>
      <c r="Y442" s="324" t="s">
        <v>1991</v>
      </c>
      <c r="Z442" s="46" t="s">
        <v>1991</v>
      </c>
      <c r="AA442" s="324" t="s">
        <v>1991</v>
      </c>
      <c r="AB442" s="46" t="s">
        <v>1991</v>
      </c>
      <c r="AC442" s="46" t="s">
        <v>1991</v>
      </c>
      <c r="AD442" s="46" t="s">
        <v>1991</v>
      </c>
      <c r="AE442" s="324" t="s">
        <v>1991</v>
      </c>
      <c r="AF442" s="324" t="s">
        <v>1991</v>
      </c>
      <c r="AG442" s="324" t="s">
        <v>1991</v>
      </c>
      <c r="AH442" s="324" t="s">
        <v>1991</v>
      </c>
      <c r="AI442" s="324" t="s">
        <v>1991</v>
      </c>
      <c r="AJ442" s="324" t="s">
        <v>1991</v>
      </c>
      <c r="AK442" s="324" t="s">
        <v>1991</v>
      </c>
      <c r="AL442" s="327"/>
      <c r="AM442" s="327"/>
      <c r="AN442" s="327"/>
      <c r="AO442" s="327"/>
      <c r="AP442" s="327"/>
      <c r="AQ442" s="327"/>
      <c r="AR442" s="327"/>
      <c r="AS442" s="327"/>
      <c r="AT442" s="327"/>
      <c r="AU442" s="327"/>
      <c r="AV442" s="327"/>
      <c r="AW442" s="327"/>
      <c r="AX442" s="327"/>
      <c r="AY442" s="361"/>
      <c r="AZ442" s="361"/>
      <c r="BA442" s="361"/>
      <c r="BB442" s="46">
        <f t="shared" si="177"/>
        <v>13</v>
      </c>
      <c r="BC442" s="46">
        <f t="shared" si="178"/>
        <v>16</v>
      </c>
      <c r="BD442" s="46">
        <f t="shared" si="179"/>
        <v>0</v>
      </c>
      <c r="BE442" s="46">
        <f t="shared" si="180"/>
        <v>0</v>
      </c>
      <c r="BF442" s="296">
        <f t="shared" si="181"/>
        <v>29</v>
      </c>
      <c r="BG442" s="256"/>
      <c r="BH442" s="256"/>
      <c r="BI442" s="256"/>
      <c r="BJ442" s="256"/>
      <c r="BK442" s="383"/>
      <c r="BL442" s="383"/>
      <c r="BM442" s="383"/>
      <c r="BN442" s="383"/>
      <c r="BO442" s="2">
        <f t="shared" si="183"/>
        <v>29</v>
      </c>
      <c r="BP442" s="430"/>
      <c r="BQ442" s="431"/>
      <c r="BR442" s="2"/>
      <c r="BS442" s="25"/>
      <c r="BT442" s="348">
        <f t="shared" si="182"/>
        <v>1</v>
      </c>
      <c r="BU442" s="56"/>
      <c r="BV442" s="282">
        <f t="shared" si="184"/>
        <v>0</v>
      </c>
      <c r="BW442" s="379">
        <v>0</v>
      </c>
      <c r="BX442" s="269">
        <f t="shared" si="185"/>
        <v>0</v>
      </c>
      <c r="BY442" s="264"/>
      <c r="BZ442" s="264"/>
      <c r="CA442" s="264"/>
      <c r="CB442" s="264"/>
      <c r="CC442" s="264"/>
      <c r="CD442" s="14">
        <f t="shared" si="186"/>
        <v>-13</v>
      </c>
      <c r="CE442" s="14">
        <f t="shared" si="187"/>
        <v>29</v>
      </c>
      <c r="CF442" s="2">
        <f t="shared" si="188"/>
        <v>1</v>
      </c>
      <c r="CL442" s="387"/>
      <c r="CM442" s="387"/>
      <c r="CN442" s="387"/>
      <c r="CO442" s="387"/>
      <c r="CP442" s="387"/>
      <c r="CQ442" s="100"/>
    </row>
    <row r="443" spans="1:95" s="95" customFormat="1" ht="29.4" customHeight="1">
      <c r="A443" s="46">
        <v>44</v>
      </c>
      <c r="B443" s="46">
        <v>8</v>
      </c>
      <c r="C443" s="46">
        <v>336</v>
      </c>
      <c r="D443" s="380"/>
      <c r="E443" s="380"/>
      <c r="F443" s="381"/>
      <c r="G443" s="312" t="s">
        <v>1991</v>
      </c>
      <c r="H443" s="312" t="s">
        <v>1991</v>
      </c>
      <c r="I443" s="312" t="s">
        <v>1991</v>
      </c>
      <c r="J443" s="312"/>
      <c r="K443" s="312">
        <v>0</v>
      </c>
      <c r="L443" s="312" t="s">
        <v>1991</v>
      </c>
      <c r="M443" s="312" t="s">
        <v>1991</v>
      </c>
      <c r="N443" s="312" t="s">
        <v>1991</v>
      </c>
      <c r="O443" s="312" t="s">
        <v>1991</v>
      </c>
      <c r="P443" s="312" t="s">
        <v>1991</v>
      </c>
      <c r="Q443" s="312" t="s">
        <v>1991</v>
      </c>
      <c r="R443" s="312" t="s">
        <v>1991</v>
      </c>
      <c r="S443" s="312" t="s">
        <v>1991</v>
      </c>
      <c r="T443" s="323" t="s">
        <v>1991</v>
      </c>
      <c r="U443" s="312" t="s">
        <v>1991</v>
      </c>
      <c r="V443" s="46" t="s">
        <v>1991</v>
      </c>
      <c r="W443" s="324" t="s">
        <v>1991</v>
      </c>
      <c r="X443" s="324" t="s">
        <v>1991</v>
      </c>
      <c r="Y443" s="324" t="s">
        <v>1991</v>
      </c>
      <c r="Z443" s="46" t="s">
        <v>1991</v>
      </c>
      <c r="AA443" s="324" t="s">
        <v>1991</v>
      </c>
      <c r="AB443" s="46" t="s">
        <v>1991</v>
      </c>
      <c r="AC443" s="46" t="s">
        <v>1991</v>
      </c>
      <c r="AD443" s="46" t="s">
        <v>1991</v>
      </c>
      <c r="AE443" s="324" t="s">
        <v>1991</v>
      </c>
      <c r="AF443" s="324" t="s">
        <v>1991</v>
      </c>
      <c r="AG443" s="324" t="s">
        <v>1991</v>
      </c>
      <c r="AH443" s="324" t="s">
        <v>1991</v>
      </c>
      <c r="AI443" s="324" t="s">
        <v>1991</v>
      </c>
      <c r="AJ443" s="324" t="s">
        <v>1991</v>
      </c>
      <c r="AK443" s="324" t="s">
        <v>1991</v>
      </c>
      <c r="AL443" s="327"/>
      <c r="AM443" s="327"/>
      <c r="AN443" s="327"/>
      <c r="AO443" s="327"/>
      <c r="AP443" s="327"/>
      <c r="AQ443" s="327"/>
      <c r="AR443" s="327"/>
      <c r="AS443" s="327"/>
      <c r="AT443" s="327"/>
      <c r="AU443" s="327"/>
      <c r="AV443" s="327"/>
      <c r="AW443" s="327"/>
      <c r="AX443" s="327"/>
      <c r="AY443" s="361"/>
      <c r="AZ443" s="361"/>
      <c r="BA443" s="361"/>
      <c r="BB443" s="46">
        <f t="shared" si="177"/>
        <v>13</v>
      </c>
      <c r="BC443" s="46">
        <f t="shared" si="178"/>
        <v>16</v>
      </c>
      <c r="BD443" s="46">
        <f t="shared" si="179"/>
        <v>0</v>
      </c>
      <c r="BE443" s="46">
        <f t="shared" si="180"/>
        <v>0</v>
      </c>
      <c r="BF443" s="296">
        <f t="shared" si="181"/>
        <v>29</v>
      </c>
      <c r="BG443" s="256"/>
      <c r="BH443" s="256"/>
      <c r="BI443" s="256"/>
      <c r="BJ443" s="256"/>
      <c r="BK443" s="383"/>
      <c r="BL443" s="383"/>
      <c r="BM443" s="383"/>
      <c r="BN443" s="383"/>
      <c r="BO443" s="2">
        <f t="shared" si="183"/>
        <v>29</v>
      </c>
      <c r="BP443" s="430"/>
      <c r="BQ443" s="431"/>
      <c r="BR443" s="2"/>
      <c r="BS443" s="25"/>
      <c r="BT443" s="348">
        <f t="shared" si="182"/>
        <v>1</v>
      </c>
      <c r="BU443" s="56"/>
      <c r="BV443" s="282">
        <f t="shared" si="184"/>
        <v>0</v>
      </c>
      <c r="BW443" s="379">
        <v>0</v>
      </c>
      <c r="BX443" s="269">
        <f t="shared" si="185"/>
        <v>0</v>
      </c>
      <c r="BY443" s="264"/>
      <c r="BZ443" s="264"/>
      <c r="CA443" s="264"/>
      <c r="CB443" s="264"/>
      <c r="CC443" s="264"/>
      <c r="CD443" s="14">
        <f t="shared" si="186"/>
        <v>-13</v>
      </c>
      <c r="CE443" s="14">
        <f t="shared" si="187"/>
        <v>29</v>
      </c>
      <c r="CF443" s="2">
        <f t="shared" si="188"/>
        <v>1</v>
      </c>
      <c r="CL443" s="387"/>
      <c r="CM443" s="387"/>
      <c r="CN443" s="387"/>
      <c r="CO443" s="387"/>
      <c r="CP443" s="387"/>
      <c r="CQ443" s="100"/>
    </row>
    <row r="444" spans="1:95" s="95" customFormat="1" ht="29.4" customHeight="1">
      <c r="A444" s="46">
        <v>45</v>
      </c>
      <c r="B444" s="46">
        <v>8</v>
      </c>
      <c r="C444" s="46">
        <v>337</v>
      </c>
      <c r="D444" s="380"/>
      <c r="E444" s="380"/>
      <c r="F444" s="381"/>
      <c r="G444" s="312">
        <v>0</v>
      </c>
      <c r="H444" s="312" t="s">
        <v>1991</v>
      </c>
      <c r="I444" s="312" t="s">
        <v>1991</v>
      </c>
      <c r="J444" s="312"/>
      <c r="K444" s="312">
        <v>0</v>
      </c>
      <c r="L444" s="312" t="s">
        <v>1991</v>
      </c>
      <c r="M444" s="312" t="s">
        <v>1991</v>
      </c>
      <c r="N444" s="312" t="s">
        <v>1991</v>
      </c>
      <c r="O444" s="312" t="s">
        <v>1991</v>
      </c>
      <c r="P444" s="312" t="s">
        <v>1991</v>
      </c>
      <c r="Q444" s="312" t="s">
        <v>1991</v>
      </c>
      <c r="R444" s="312" t="s">
        <v>1991</v>
      </c>
      <c r="S444" s="312" t="s">
        <v>1991</v>
      </c>
      <c r="T444" s="323" t="s">
        <v>1991</v>
      </c>
      <c r="U444" s="312" t="s">
        <v>1991</v>
      </c>
      <c r="V444" s="46" t="s">
        <v>1991</v>
      </c>
      <c r="W444" s="324" t="s">
        <v>1991</v>
      </c>
      <c r="X444" s="324" t="s">
        <v>1991</v>
      </c>
      <c r="Y444" s="324" t="s">
        <v>1991</v>
      </c>
      <c r="Z444" s="46" t="s">
        <v>1991</v>
      </c>
      <c r="AA444" s="324" t="s">
        <v>1991</v>
      </c>
      <c r="AB444" s="46" t="s">
        <v>1991</v>
      </c>
      <c r="AC444" s="46" t="s">
        <v>1991</v>
      </c>
      <c r="AD444" s="46" t="s">
        <v>1991</v>
      </c>
      <c r="AE444" s="324" t="s">
        <v>1991</v>
      </c>
      <c r="AF444" s="324" t="s">
        <v>1991</v>
      </c>
      <c r="AG444" s="324" t="s">
        <v>1991</v>
      </c>
      <c r="AH444" s="324" t="s">
        <v>1991</v>
      </c>
      <c r="AI444" s="324" t="s">
        <v>1991</v>
      </c>
      <c r="AJ444" s="324" t="s">
        <v>1991</v>
      </c>
      <c r="AK444" s="324" t="s">
        <v>1991</v>
      </c>
      <c r="AL444" s="327"/>
      <c r="AM444" s="327"/>
      <c r="AN444" s="327"/>
      <c r="AO444" s="327"/>
      <c r="AP444" s="327"/>
      <c r="AQ444" s="327"/>
      <c r="AR444" s="327"/>
      <c r="AS444" s="327"/>
      <c r="AT444" s="327"/>
      <c r="AU444" s="327"/>
      <c r="AV444" s="327"/>
      <c r="AW444" s="327"/>
      <c r="AX444" s="327"/>
      <c r="AY444" s="361"/>
      <c r="AZ444" s="361"/>
      <c r="BA444" s="361"/>
      <c r="BB444" s="46">
        <f t="shared" si="177"/>
        <v>12</v>
      </c>
      <c r="BC444" s="46">
        <f t="shared" si="178"/>
        <v>16</v>
      </c>
      <c r="BD444" s="46">
        <f t="shared" si="179"/>
        <v>0</v>
      </c>
      <c r="BE444" s="46">
        <f t="shared" si="180"/>
        <v>0</v>
      </c>
      <c r="BF444" s="296">
        <f t="shared" si="181"/>
        <v>28</v>
      </c>
      <c r="BG444" s="256"/>
      <c r="BH444" s="256"/>
      <c r="BI444" s="256"/>
      <c r="BJ444" s="256"/>
      <c r="BK444" s="383"/>
      <c r="BL444" s="383"/>
      <c r="BM444" s="383"/>
      <c r="BN444" s="383"/>
      <c r="BO444" s="2">
        <f t="shared" si="183"/>
        <v>28</v>
      </c>
      <c r="BP444" s="430"/>
      <c r="BQ444" s="431"/>
      <c r="BR444" s="2"/>
      <c r="BS444" s="25"/>
      <c r="BT444" s="348">
        <f t="shared" si="182"/>
        <v>1</v>
      </c>
      <c r="BU444" s="56"/>
      <c r="BV444" s="282">
        <f t="shared" si="184"/>
        <v>0</v>
      </c>
      <c r="BW444" s="379">
        <v>0</v>
      </c>
      <c r="BX444" s="269">
        <f t="shared" si="185"/>
        <v>0</v>
      </c>
      <c r="BY444" s="264"/>
      <c r="BZ444" s="264"/>
      <c r="CA444" s="264"/>
      <c r="CB444" s="264"/>
      <c r="CC444" s="264"/>
      <c r="CD444" s="14">
        <f t="shared" si="186"/>
        <v>-12</v>
      </c>
      <c r="CE444" s="14">
        <f t="shared" si="187"/>
        <v>28</v>
      </c>
      <c r="CF444" s="2">
        <f t="shared" si="188"/>
        <v>1</v>
      </c>
      <c r="CL444" s="387"/>
      <c r="CM444" s="387"/>
      <c r="CN444" s="387"/>
      <c r="CO444" s="387"/>
      <c r="CP444" s="387"/>
      <c r="CQ444" s="100"/>
    </row>
    <row r="445" spans="1:95" s="95" customFormat="1" ht="29.4" customHeight="1">
      <c r="A445" s="46">
        <v>46</v>
      </c>
      <c r="B445" s="46">
        <v>8</v>
      </c>
      <c r="C445" s="46">
        <v>338</v>
      </c>
      <c r="D445" s="380"/>
      <c r="E445" s="380"/>
      <c r="F445" s="381"/>
      <c r="G445" s="312">
        <v>0</v>
      </c>
      <c r="H445" s="312" t="s">
        <v>1991</v>
      </c>
      <c r="I445" s="312" t="s">
        <v>1991</v>
      </c>
      <c r="J445" s="312"/>
      <c r="K445" s="312">
        <v>0</v>
      </c>
      <c r="L445" s="312" t="s">
        <v>1991</v>
      </c>
      <c r="M445" s="312" t="s">
        <v>1991</v>
      </c>
      <c r="N445" s="312" t="s">
        <v>1991</v>
      </c>
      <c r="O445" s="312" t="s">
        <v>1991</v>
      </c>
      <c r="P445" s="312" t="s">
        <v>1991</v>
      </c>
      <c r="Q445" s="312" t="s">
        <v>1991</v>
      </c>
      <c r="R445" s="312" t="s">
        <v>1991</v>
      </c>
      <c r="S445" s="312" t="s">
        <v>1991</v>
      </c>
      <c r="T445" s="323" t="s">
        <v>1991</v>
      </c>
      <c r="U445" s="312" t="s">
        <v>1991</v>
      </c>
      <c r="V445" s="46" t="s">
        <v>1991</v>
      </c>
      <c r="W445" s="324" t="s">
        <v>1991</v>
      </c>
      <c r="X445" s="324">
        <v>0</v>
      </c>
      <c r="Y445" s="324" t="s">
        <v>1991</v>
      </c>
      <c r="Z445" s="46" t="s">
        <v>1991</v>
      </c>
      <c r="AA445" s="324" t="s">
        <v>1991</v>
      </c>
      <c r="AB445" s="46" t="s">
        <v>1991</v>
      </c>
      <c r="AC445" s="46" t="s">
        <v>1991</v>
      </c>
      <c r="AD445" s="46" t="s">
        <v>1991</v>
      </c>
      <c r="AE445" s="324" t="s">
        <v>1991</v>
      </c>
      <c r="AF445" s="324" t="s">
        <v>1991</v>
      </c>
      <c r="AG445" s="324" t="s">
        <v>1991</v>
      </c>
      <c r="AH445" s="324" t="s">
        <v>1991</v>
      </c>
      <c r="AI445" s="324">
        <v>0</v>
      </c>
      <c r="AJ445" s="324" t="s">
        <v>1991</v>
      </c>
      <c r="AK445" s="324" t="s">
        <v>1991</v>
      </c>
      <c r="AL445" s="327"/>
      <c r="AM445" s="327"/>
      <c r="AN445" s="327"/>
      <c r="AO445" s="327"/>
      <c r="AP445" s="327"/>
      <c r="AQ445" s="327"/>
      <c r="AR445" s="327"/>
      <c r="AS445" s="327"/>
      <c r="AT445" s="327"/>
      <c r="AU445" s="327"/>
      <c r="AV445" s="327"/>
      <c r="AW445" s="327"/>
      <c r="AX445" s="327"/>
      <c r="AY445" s="361"/>
      <c r="AZ445" s="361"/>
      <c r="BA445" s="361"/>
      <c r="BB445" s="46">
        <f t="shared" si="177"/>
        <v>12</v>
      </c>
      <c r="BC445" s="46">
        <f t="shared" si="178"/>
        <v>14</v>
      </c>
      <c r="BD445" s="46">
        <f t="shared" si="179"/>
        <v>0</v>
      </c>
      <c r="BE445" s="46">
        <f t="shared" si="180"/>
        <v>0</v>
      </c>
      <c r="BF445" s="296">
        <f t="shared" si="181"/>
        <v>26</v>
      </c>
      <c r="BG445" s="256"/>
      <c r="BH445" s="256"/>
      <c r="BI445" s="256"/>
      <c r="BJ445" s="256"/>
      <c r="BK445" s="383"/>
      <c r="BL445" s="383"/>
      <c r="BM445" s="383"/>
      <c r="BN445" s="383"/>
      <c r="BO445" s="2">
        <f t="shared" si="183"/>
        <v>26</v>
      </c>
      <c r="BP445" s="430"/>
      <c r="BQ445" s="431"/>
      <c r="BR445" s="2"/>
      <c r="BS445" s="25"/>
      <c r="BT445" s="348">
        <f t="shared" si="182"/>
        <v>1</v>
      </c>
      <c r="BU445" s="56"/>
      <c r="BV445" s="282">
        <f t="shared" si="184"/>
        <v>0</v>
      </c>
      <c r="BW445" s="379">
        <v>0</v>
      </c>
      <c r="BX445" s="269">
        <f t="shared" si="185"/>
        <v>0</v>
      </c>
      <c r="BY445" s="264"/>
      <c r="BZ445" s="264"/>
      <c r="CA445" s="264"/>
      <c r="CB445" s="264"/>
      <c r="CC445" s="264"/>
      <c r="CD445" s="14">
        <f t="shared" si="186"/>
        <v>-12</v>
      </c>
      <c r="CE445" s="14">
        <f t="shared" si="187"/>
        <v>26</v>
      </c>
      <c r="CF445" s="2">
        <f t="shared" si="188"/>
        <v>1</v>
      </c>
      <c r="CL445" s="387"/>
      <c r="CM445" s="387"/>
      <c r="CN445" s="387"/>
      <c r="CO445" s="387"/>
      <c r="CP445" s="387"/>
      <c r="CQ445" s="100"/>
    </row>
    <row r="446" spans="1:95" s="95" customFormat="1" ht="29.4" customHeight="1">
      <c r="A446" s="46">
        <v>47</v>
      </c>
      <c r="B446" s="46">
        <v>8</v>
      </c>
      <c r="C446" s="46">
        <v>339</v>
      </c>
      <c r="D446" s="380"/>
      <c r="E446" s="380"/>
      <c r="F446" s="381"/>
      <c r="G446" s="312">
        <v>0</v>
      </c>
      <c r="H446" s="312" t="s">
        <v>1991</v>
      </c>
      <c r="I446" s="312">
        <v>0</v>
      </c>
      <c r="J446" s="312"/>
      <c r="K446" s="312">
        <v>0</v>
      </c>
      <c r="L446" s="312" t="s">
        <v>1991</v>
      </c>
      <c r="M446" s="312" t="s">
        <v>1991</v>
      </c>
      <c r="N446" s="312" t="s">
        <v>1991</v>
      </c>
      <c r="O446" s="312" t="s">
        <v>1991</v>
      </c>
      <c r="P446" s="312" t="s">
        <v>1991</v>
      </c>
      <c r="Q446" s="312" t="s">
        <v>1991</v>
      </c>
      <c r="R446" s="312" t="s">
        <v>1991</v>
      </c>
      <c r="S446" s="312" t="s">
        <v>1991</v>
      </c>
      <c r="T446" s="323" t="s">
        <v>1991</v>
      </c>
      <c r="U446" s="312" t="s">
        <v>1991</v>
      </c>
      <c r="V446" s="46" t="s">
        <v>1991</v>
      </c>
      <c r="W446" s="324" t="s">
        <v>1991</v>
      </c>
      <c r="X446" s="324" t="s">
        <v>1991</v>
      </c>
      <c r="Y446" s="324" t="s">
        <v>1991</v>
      </c>
      <c r="Z446" s="46" t="s">
        <v>1991</v>
      </c>
      <c r="AA446" s="324" t="s">
        <v>1991</v>
      </c>
      <c r="AB446" s="46" t="s">
        <v>1991</v>
      </c>
      <c r="AC446" s="46" t="s">
        <v>1991</v>
      </c>
      <c r="AD446" s="46" t="s">
        <v>1991</v>
      </c>
      <c r="AE446" s="324" t="s">
        <v>1991</v>
      </c>
      <c r="AF446" s="324" t="s">
        <v>1991</v>
      </c>
      <c r="AG446" s="324" t="s">
        <v>1991</v>
      </c>
      <c r="AH446" s="324" t="s">
        <v>1991</v>
      </c>
      <c r="AI446" s="324" t="s">
        <v>1991</v>
      </c>
      <c r="AJ446" s="324" t="s">
        <v>1991</v>
      </c>
      <c r="AK446" s="324" t="s">
        <v>1991</v>
      </c>
      <c r="AL446" s="327"/>
      <c r="AM446" s="327"/>
      <c r="AN446" s="327"/>
      <c r="AO446" s="327"/>
      <c r="AP446" s="327"/>
      <c r="AQ446" s="327"/>
      <c r="AR446" s="327"/>
      <c r="AS446" s="327"/>
      <c r="AT446" s="327"/>
      <c r="AU446" s="327"/>
      <c r="AV446" s="327"/>
      <c r="AW446" s="327"/>
      <c r="AX446" s="327"/>
      <c r="AY446" s="361"/>
      <c r="AZ446" s="361"/>
      <c r="BA446" s="361"/>
      <c r="BB446" s="46">
        <f t="shared" si="177"/>
        <v>11</v>
      </c>
      <c r="BC446" s="46">
        <f t="shared" si="178"/>
        <v>16</v>
      </c>
      <c r="BD446" s="46">
        <f t="shared" si="179"/>
        <v>0</v>
      </c>
      <c r="BE446" s="46">
        <f t="shared" si="180"/>
        <v>0</v>
      </c>
      <c r="BF446" s="296">
        <f t="shared" si="181"/>
        <v>27</v>
      </c>
      <c r="BG446" s="256"/>
      <c r="BH446" s="256"/>
      <c r="BI446" s="256"/>
      <c r="BJ446" s="256"/>
      <c r="BK446" s="383"/>
      <c r="BL446" s="383"/>
      <c r="BM446" s="383"/>
      <c r="BN446" s="383"/>
      <c r="BO446" s="2">
        <f t="shared" si="183"/>
        <v>27</v>
      </c>
      <c r="BP446" s="430"/>
      <c r="BQ446" s="431"/>
      <c r="BR446" s="2"/>
      <c r="BS446" s="25"/>
      <c r="BT446" s="348">
        <f t="shared" si="182"/>
        <v>1</v>
      </c>
      <c r="BU446" s="56"/>
      <c r="BV446" s="282">
        <f t="shared" si="184"/>
        <v>0</v>
      </c>
      <c r="BW446" s="379">
        <v>-20000</v>
      </c>
      <c r="BX446" s="269">
        <f t="shared" si="185"/>
        <v>0</v>
      </c>
      <c r="BY446" s="264"/>
      <c r="BZ446" s="264"/>
      <c r="CA446" s="264"/>
      <c r="CB446" s="264"/>
      <c r="CC446" s="264"/>
      <c r="CD446" s="14">
        <f t="shared" si="186"/>
        <v>-11</v>
      </c>
      <c r="CE446" s="14">
        <f t="shared" si="187"/>
        <v>27</v>
      </c>
      <c r="CF446" s="2">
        <f t="shared" si="188"/>
        <v>1</v>
      </c>
      <c r="CL446" s="387"/>
      <c r="CM446" s="387"/>
      <c r="CN446" s="387"/>
      <c r="CO446" s="387"/>
      <c r="CP446" s="387"/>
      <c r="CQ446" s="100"/>
    </row>
    <row r="447" spans="1:95" s="95" customFormat="1" ht="29.4" customHeight="1">
      <c r="A447" s="46">
        <v>48</v>
      </c>
      <c r="B447" s="46">
        <v>8</v>
      </c>
      <c r="C447" s="46">
        <v>340</v>
      </c>
      <c r="D447" s="380"/>
      <c r="E447" s="380"/>
      <c r="F447" s="381"/>
      <c r="G447" s="312" t="s">
        <v>1991</v>
      </c>
      <c r="H447" s="312">
        <v>0</v>
      </c>
      <c r="I447" s="312" t="s">
        <v>1991</v>
      </c>
      <c r="J447" s="312"/>
      <c r="K447" s="312" t="s">
        <v>1991</v>
      </c>
      <c r="L447" s="312" t="s">
        <v>1991</v>
      </c>
      <c r="M447" s="312" t="s">
        <v>1991</v>
      </c>
      <c r="N447" s="312" t="s">
        <v>1991</v>
      </c>
      <c r="O447" s="312" t="s">
        <v>1991</v>
      </c>
      <c r="P447" s="312" t="s">
        <v>1991</v>
      </c>
      <c r="Q447" s="312" t="s">
        <v>1991</v>
      </c>
      <c r="R447" s="312" t="s">
        <v>1991</v>
      </c>
      <c r="S447" s="312" t="s">
        <v>1991</v>
      </c>
      <c r="T447" s="323" t="s">
        <v>1991</v>
      </c>
      <c r="U447" s="312" t="s">
        <v>1991</v>
      </c>
      <c r="V447" s="46" t="s">
        <v>1991</v>
      </c>
      <c r="W447" s="324" t="s">
        <v>1991</v>
      </c>
      <c r="X447" s="324" t="s">
        <v>1991</v>
      </c>
      <c r="Y447" s="324" t="s">
        <v>1991</v>
      </c>
      <c r="Z447" s="46" t="s">
        <v>1991</v>
      </c>
      <c r="AA447" s="324">
        <v>0</v>
      </c>
      <c r="AB447" s="46" t="s">
        <v>1991</v>
      </c>
      <c r="AC447" s="46" t="s">
        <v>1991</v>
      </c>
      <c r="AD447" s="46" t="s">
        <v>1991</v>
      </c>
      <c r="AE447" s="324" t="s">
        <v>1991</v>
      </c>
      <c r="AF447" s="324" t="s">
        <v>1991</v>
      </c>
      <c r="AG447" s="324" t="s">
        <v>1991</v>
      </c>
      <c r="AH447" s="324" t="s">
        <v>1991</v>
      </c>
      <c r="AI447" s="324" t="s">
        <v>1991</v>
      </c>
      <c r="AJ447" s="324" t="s">
        <v>1991</v>
      </c>
      <c r="AK447" s="324" t="s">
        <v>1991</v>
      </c>
      <c r="AL447" s="327"/>
      <c r="AM447" s="327"/>
      <c r="AN447" s="327"/>
      <c r="AO447" s="327"/>
      <c r="AP447" s="327"/>
      <c r="AQ447" s="327"/>
      <c r="AR447" s="327"/>
      <c r="AS447" s="327"/>
      <c r="AT447" s="327"/>
      <c r="AU447" s="327"/>
      <c r="AV447" s="327"/>
      <c r="AW447" s="327"/>
      <c r="AX447" s="327"/>
      <c r="AY447" s="361"/>
      <c r="AZ447" s="361"/>
      <c r="BA447" s="361"/>
      <c r="BB447" s="46">
        <f t="shared" si="177"/>
        <v>13</v>
      </c>
      <c r="BC447" s="46">
        <f t="shared" si="178"/>
        <v>15</v>
      </c>
      <c r="BD447" s="46">
        <f t="shared" si="179"/>
        <v>0</v>
      </c>
      <c r="BE447" s="46">
        <f t="shared" si="180"/>
        <v>0</v>
      </c>
      <c r="BF447" s="296">
        <f t="shared" si="181"/>
        <v>28</v>
      </c>
      <c r="BG447" s="256"/>
      <c r="BH447" s="256"/>
      <c r="BI447" s="256"/>
      <c r="BJ447" s="256"/>
      <c r="BK447" s="383"/>
      <c r="BL447" s="383"/>
      <c r="BM447" s="383"/>
      <c r="BN447" s="383"/>
      <c r="BO447" s="2">
        <f t="shared" si="183"/>
        <v>28</v>
      </c>
      <c r="BP447" s="430"/>
      <c r="BQ447" s="431"/>
      <c r="BR447" s="2"/>
      <c r="BS447" s="25"/>
      <c r="BT447" s="348">
        <f t="shared" si="182"/>
        <v>1</v>
      </c>
      <c r="BU447" s="56"/>
      <c r="BV447" s="282">
        <f t="shared" si="184"/>
        <v>0</v>
      </c>
      <c r="BW447" s="379">
        <v>-20000</v>
      </c>
      <c r="BX447" s="269">
        <f t="shared" si="185"/>
        <v>0</v>
      </c>
      <c r="BY447" s="264"/>
      <c r="BZ447" s="264"/>
      <c r="CA447" s="264"/>
      <c r="CB447" s="264"/>
      <c r="CC447" s="264"/>
      <c r="CD447" s="14">
        <f t="shared" si="186"/>
        <v>-13</v>
      </c>
      <c r="CE447" s="14">
        <f t="shared" si="187"/>
        <v>28</v>
      </c>
      <c r="CF447" s="2">
        <f t="shared" si="188"/>
        <v>1</v>
      </c>
      <c r="CL447" s="387"/>
      <c r="CM447" s="387"/>
      <c r="CN447" s="387"/>
      <c r="CO447" s="387"/>
      <c r="CP447" s="387"/>
      <c r="CQ447" s="100"/>
    </row>
    <row r="448" spans="1:95" s="95" customFormat="1" ht="29.4" customHeight="1">
      <c r="A448" s="46">
        <v>49</v>
      </c>
      <c r="B448" s="46">
        <v>8</v>
      </c>
      <c r="C448" s="46">
        <v>341</v>
      </c>
      <c r="D448" s="380"/>
      <c r="E448" s="380"/>
      <c r="F448" s="381"/>
      <c r="G448" s="312" t="s">
        <v>1991</v>
      </c>
      <c r="H448" s="312" t="s">
        <v>1991</v>
      </c>
      <c r="I448" s="312" t="s">
        <v>1991</v>
      </c>
      <c r="J448" s="312"/>
      <c r="K448" s="312">
        <v>0</v>
      </c>
      <c r="L448" s="312" t="s">
        <v>1991</v>
      </c>
      <c r="M448" s="312">
        <v>0</v>
      </c>
      <c r="N448" s="312" t="s">
        <v>1991</v>
      </c>
      <c r="O448" s="312" t="s">
        <v>1991</v>
      </c>
      <c r="P448" s="312" t="s">
        <v>1991</v>
      </c>
      <c r="Q448" s="312" t="s">
        <v>1991</v>
      </c>
      <c r="R448" s="312" t="s">
        <v>1991</v>
      </c>
      <c r="S448" s="312" t="s">
        <v>1991</v>
      </c>
      <c r="T448" s="323" t="s">
        <v>1991</v>
      </c>
      <c r="U448" s="312" t="s">
        <v>1991</v>
      </c>
      <c r="V448" s="46" t="s">
        <v>1991</v>
      </c>
      <c r="W448" s="324" t="s">
        <v>1991</v>
      </c>
      <c r="X448" s="324" t="s">
        <v>1991</v>
      </c>
      <c r="Y448" s="324" t="s">
        <v>1991</v>
      </c>
      <c r="Z448" s="46" t="s">
        <v>1991</v>
      </c>
      <c r="AA448" s="324" t="s">
        <v>1991</v>
      </c>
      <c r="AB448" s="46" t="s">
        <v>1991</v>
      </c>
      <c r="AC448" s="46" t="s">
        <v>1991</v>
      </c>
      <c r="AD448" s="46" t="s">
        <v>1991</v>
      </c>
      <c r="AE448" s="324" t="s">
        <v>1991</v>
      </c>
      <c r="AF448" s="324" t="s">
        <v>1991</v>
      </c>
      <c r="AG448" s="324" t="s">
        <v>1991</v>
      </c>
      <c r="AH448" s="324" t="s">
        <v>1991</v>
      </c>
      <c r="AI448" s="324" t="s">
        <v>1991</v>
      </c>
      <c r="AJ448" s="324" t="s">
        <v>1991</v>
      </c>
      <c r="AK448" s="324">
        <v>0</v>
      </c>
      <c r="AL448" s="327"/>
      <c r="AM448" s="327"/>
      <c r="AN448" s="327"/>
      <c r="AO448" s="327"/>
      <c r="AP448" s="327"/>
      <c r="AQ448" s="327"/>
      <c r="AR448" s="327"/>
      <c r="AS448" s="327"/>
      <c r="AT448" s="327"/>
      <c r="AU448" s="327"/>
      <c r="AV448" s="327"/>
      <c r="AW448" s="327"/>
      <c r="AX448" s="327"/>
      <c r="AY448" s="361"/>
      <c r="AZ448" s="361"/>
      <c r="BA448" s="361"/>
      <c r="BB448" s="46">
        <f t="shared" si="177"/>
        <v>12</v>
      </c>
      <c r="BC448" s="46">
        <f t="shared" si="178"/>
        <v>15</v>
      </c>
      <c r="BD448" s="46">
        <f t="shared" si="179"/>
        <v>0</v>
      </c>
      <c r="BE448" s="46">
        <f t="shared" si="180"/>
        <v>0</v>
      </c>
      <c r="BF448" s="296">
        <f t="shared" si="181"/>
        <v>27</v>
      </c>
      <c r="BG448" s="256"/>
      <c r="BH448" s="256"/>
      <c r="BI448" s="256"/>
      <c r="BJ448" s="256"/>
      <c r="BK448" s="383"/>
      <c r="BL448" s="383"/>
      <c r="BM448" s="383"/>
      <c r="BN448" s="383"/>
      <c r="BO448" s="2">
        <f t="shared" si="183"/>
        <v>27</v>
      </c>
      <c r="BP448" s="430"/>
      <c r="BQ448" s="431"/>
      <c r="BR448" s="2"/>
      <c r="BS448" s="25"/>
      <c r="BT448" s="348">
        <f t="shared" si="182"/>
        <v>1</v>
      </c>
      <c r="BU448" s="56"/>
      <c r="BV448" s="282">
        <f t="shared" si="184"/>
        <v>0</v>
      </c>
      <c r="BW448" s="379">
        <v>-20000</v>
      </c>
      <c r="BX448" s="269">
        <f t="shared" si="185"/>
        <v>0</v>
      </c>
      <c r="BY448" s="264"/>
      <c r="BZ448" s="264"/>
      <c r="CA448" s="264"/>
      <c r="CB448" s="264"/>
      <c r="CC448" s="264"/>
      <c r="CD448" s="14">
        <f t="shared" si="186"/>
        <v>-12</v>
      </c>
      <c r="CE448" s="14">
        <f t="shared" si="187"/>
        <v>27</v>
      </c>
      <c r="CF448" s="2">
        <f t="shared" si="188"/>
        <v>1</v>
      </c>
      <c r="CL448" s="387"/>
      <c r="CM448" s="387"/>
      <c r="CN448" s="387"/>
      <c r="CO448" s="387"/>
      <c r="CP448" s="387"/>
      <c r="CQ448" s="100"/>
    </row>
    <row r="449" spans="1:95" s="95" customFormat="1" ht="29.4" customHeight="1">
      <c r="A449" s="46">
        <v>50</v>
      </c>
      <c r="B449" s="46">
        <v>8</v>
      </c>
      <c r="C449" s="46">
        <v>342</v>
      </c>
      <c r="D449" s="380"/>
      <c r="E449" s="380"/>
      <c r="F449" s="381"/>
      <c r="G449" s="312" t="s">
        <v>1991</v>
      </c>
      <c r="H449" s="312" t="s">
        <v>1991</v>
      </c>
      <c r="I449" s="312" t="s">
        <v>1991</v>
      </c>
      <c r="J449" s="312"/>
      <c r="K449" s="312" t="s">
        <v>1991</v>
      </c>
      <c r="L449" s="312" t="s">
        <v>1991</v>
      </c>
      <c r="M449" s="312" t="s">
        <v>1991</v>
      </c>
      <c r="N449" s="312" t="s">
        <v>1991</v>
      </c>
      <c r="O449" s="312" t="s">
        <v>1991</v>
      </c>
      <c r="P449" s="312" t="s">
        <v>1991</v>
      </c>
      <c r="Q449" s="312" t="s">
        <v>1991</v>
      </c>
      <c r="R449" s="312" t="s">
        <v>1991</v>
      </c>
      <c r="S449" s="312" t="s">
        <v>1991</v>
      </c>
      <c r="T449" s="323" t="s">
        <v>1991</v>
      </c>
      <c r="U449" s="312" t="s">
        <v>1991</v>
      </c>
      <c r="V449" s="46" t="s">
        <v>1991</v>
      </c>
      <c r="W449" s="324" t="s">
        <v>1991</v>
      </c>
      <c r="X449" s="324" t="s">
        <v>1991</v>
      </c>
      <c r="Y449" s="324" t="s">
        <v>1991</v>
      </c>
      <c r="Z449" s="46" t="s">
        <v>1991</v>
      </c>
      <c r="AA449" s="324">
        <v>0</v>
      </c>
      <c r="AB449" s="46" t="s">
        <v>1991</v>
      </c>
      <c r="AC449" s="46" t="s">
        <v>1991</v>
      </c>
      <c r="AD449" s="46" t="s">
        <v>1991</v>
      </c>
      <c r="AE449" s="324" t="s">
        <v>1991</v>
      </c>
      <c r="AF449" s="324" t="s">
        <v>1991</v>
      </c>
      <c r="AG449" s="324" t="s">
        <v>1991</v>
      </c>
      <c r="AH449" s="324" t="s">
        <v>1991</v>
      </c>
      <c r="AI449" s="324" t="s">
        <v>1991</v>
      </c>
      <c r="AJ449" s="324" t="s">
        <v>1991</v>
      </c>
      <c r="AK449" s="324" t="s">
        <v>1991</v>
      </c>
      <c r="AL449" s="327"/>
      <c r="AM449" s="327"/>
      <c r="AN449" s="327"/>
      <c r="AO449" s="327"/>
      <c r="AP449" s="327"/>
      <c r="AQ449" s="327"/>
      <c r="AR449" s="327" t="s">
        <v>1991</v>
      </c>
      <c r="AS449" s="327"/>
      <c r="AT449" s="327"/>
      <c r="AU449" s="327"/>
      <c r="AV449" s="327"/>
      <c r="AW449" s="327"/>
      <c r="AX449" s="327"/>
      <c r="AY449" s="361"/>
      <c r="AZ449" s="361"/>
      <c r="BA449" s="361"/>
      <c r="BB449" s="46">
        <f t="shared" si="177"/>
        <v>14</v>
      </c>
      <c r="BC449" s="46">
        <f t="shared" si="178"/>
        <v>15</v>
      </c>
      <c r="BD449" s="46">
        <f t="shared" si="179"/>
        <v>1</v>
      </c>
      <c r="BE449" s="46">
        <f t="shared" si="180"/>
        <v>1</v>
      </c>
      <c r="BF449" s="296">
        <f t="shared" si="181"/>
        <v>29</v>
      </c>
      <c r="BG449" s="256"/>
      <c r="BH449" s="256"/>
      <c r="BI449" s="256"/>
      <c r="BJ449" s="256"/>
      <c r="BK449" s="383"/>
      <c r="BL449" s="383"/>
      <c r="BM449" s="383"/>
      <c r="BN449" s="383"/>
      <c r="BO449" s="2">
        <f t="shared" si="183"/>
        <v>29</v>
      </c>
      <c r="BP449" s="430"/>
      <c r="BQ449" s="431"/>
      <c r="BR449" s="2"/>
      <c r="BS449" s="25"/>
      <c r="BT449" s="348">
        <f t="shared" si="182"/>
        <v>1</v>
      </c>
      <c r="BU449" s="56"/>
      <c r="BV449" s="282">
        <f t="shared" si="184"/>
        <v>0</v>
      </c>
      <c r="BW449" s="379">
        <v>0</v>
      </c>
      <c r="BX449" s="269">
        <f t="shared" si="185"/>
        <v>0</v>
      </c>
      <c r="BY449" s="264"/>
      <c r="BZ449" s="264"/>
      <c r="CA449" s="264"/>
      <c r="CB449" s="264"/>
      <c r="CC449" s="264"/>
      <c r="CD449" s="14">
        <f t="shared" si="186"/>
        <v>-14</v>
      </c>
      <c r="CE449" s="14">
        <f t="shared" si="187"/>
        <v>29</v>
      </c>
      <c r="CF449" s="2">
        <f t="shared" si="188"/>
        <v>1</v>
      </c>
      <c r="CL449" s="387"/>
      <c r="CM449" s="387"/>
      <c r="CN449" s="387"/>
      <c r="CO449" s="387"/>
      <c r="CP449" s="387"/>
      <c r="CQ449" s="100"/>
    </row>
    <row r="450" spans="1:95" s="95" customFormat="1" ht="29.4" customHeight="1">
      <c r="A450" s="46">
        <v>51</v>
      </c>
      <c r="B450" s="46">
        <v>8</v>
      </c>
      <c r="C450" s="46">
        <v>343</v>
      </c>
      <c r="D450" s="380"/>
      <c r="E450" s="380"/>
      <c r="F450" s="381"/>
      <c r="G450" s="312" t="s">
        <v>1991</v>
      </c>
      <c r="H450" s="312" t="s">
        <v>1991</v>
      </c>
      <c r="I450" s="312" t="s">
        <v>1991</v>
      </c>
      <c r="J450" s="312"/>
      <c r="K450" s="312" t="s">
        <v>1991</v>
      </c>
      <c r="L450" s="312" t="s">
        <v>1991</v>
      </c>
      <c r="M450" s="312" t="s">
        <v>1991</v>
      </c>
      <c r="N450" s="312" t="s">
        <v>1991</v>
      </c>
      <c r="O450" s="312">
        <v>0</v>
      </c>
      <c r="P450" s="312">
        <v>0</v>
      </c>
      <c r="Q450" s="312">
        <v>0</v>
      </c>
      <c r="R450" s="312">
        <v>0</v>
      </c>
      <c r="S450" s="312">
        <v>0</v>
      </c>
      <c r="T450" s="323">
        <v>0</v>
      </c>
      <c r="U450" s="312" t="s">
        <v>1991</v>
      </c>
      <c r="V450" s="46">
        <v>0</v>
      </c>
      <c r="W450" s="324" t="s">
        <v>1991</v>
      </c>
      <c r="X450" s="324" t="s">
        <v>1991</v>
      </c>
      <c r="Y450" s="324" t="s">
        <v>1991</v>
      </c>
      <c r="Z450" s="46" t="s">
        <v>1991</v>
      </c>
      <c r="AA450" s="324" t="s">
        <v>1991</v>
      </c>
      <c r="AB450" s="46" t="s">
        <v>1991</v>
      </c>
      <c r="AC450" s="46" t="s">
        <v>1991</v>
      </c>
      <c r="AD450" s="46" t="s">
        <v>1991</v>
      </c>
      <c r="AE450" s="324" t="s">
        <v>1991</v>
      </c>
      <c r="AF450" s="324" t="s">
        <v>1991</v>
      </c>
      <c r="AG450" s="324" t="s">
        <v>1991</v>
      </c>
      <c r="AH450" s="324" t="s">
        <v>1991</v>
      </c>
      <c r="AI450" s="324" t="s">
        <v>1991</v>
      </c>
      <c r="AJ450" s="324" t="s">
        <v>1991</v>
      </c>
      <c r="AK450" s="324" t="s">
        <v>1991</v>
      </c>
      <c r="AL450" s="327"/>
      <c r="AM450" s="327"/>
      <c r="AN450" s="327"/>
      <c r="AO450" s="327"/>
      <c r="AP450" s="327"/>
      <c r="AQ450" s="327" t="s">
        <v>1991</v>
      </c>
      <c r="AR450" s="327"/>
      <c r="AS450" s="327"/>
      <c r="AT450" s="327"/>
      <c r="AU450" s="327" t="s">
        <v>2069</v>
      </c>
      <c r="AV450" s="327"/>
      <c r="AW450" s="327"/>
      <c r="AX450" s="327"/>
      <c r="AY450" s="361"/>
      <c r="AZ450" s="361"/>
      <c r="BA450" s="361"/>
      <c r="BB450" s="46">
        <f t="shared" si="177"/>
        <v>8</v>
      </c>
      <c r="BC450" s="46">
        <f t="shared" si="178"/>
        <v>15</v>
      </c>
      <c r="BD450" s="46">
        <f t="shared" si="179"/>
        <v>2</v>
      </c>
      <c r="BE450" s="46">
        <f t="shared" si="180"/>
        <v>2</v>
      </c>
      <c r="BF450" s="296">
        <f t="shared" si="181"/>
        <v>23</v>
      </c>
      <c r="BG450" s="256"/>
      <c r="BH450" s="256"/>
      <c r="BI450" s="256"/>
      <c r="BJ450" s="256"/>
      <c r="BK450" s="383"/>
      <c r="BL450" s="383"/>
      <c r="BM450" s="383"/>
      <c r="BN450" s="383"/>
      <c r="BO450" s="2">
        <f t="shared" si="183"/>
        <v>0</v>
      </c>
      <c r="BP450" s="430"/>
      <c r="BQ450" s="431"/>
      <c r="BR450" s="2"/>
      <c r="BS450" s="25"/>
      <c r="BT450" s="348">
        <f t="shared" si="182"/>
        <v>0</v>
      </c>
      <c r="BU450" s="56"/>
      <c r="BV450" s="282">
        <f t="shared" si="184"/>
        <v>0</v>
      </c>
      <c r="BW450" s="379">
        <v>0</v>
      </c>
      <c r="BX450" s="269">
        <f t="shared" si="185"/>
        <v>0</v>
      </c>
      <c r="BY450" s="264"/>
      <c r="BZ450" s="264"/>
      <c r="CA450" s="264"/>
      <c r="CB450" s="264"/>
      <c r="CC450" s="264"/>
      <c r="CD450" s="14">
        <f t="shared" si="186"/>
        <v>-8</v>
      </c>
      <c r="CE450" s="14">
        <f t="shared" si="187"/>
        <v>0</v>
      </c>
      <c r="CF450" s="2">
        <f t="shared" si="188"/>
        <v>0</v>
      </c>
      <c r="CL450" s="387"/>
      <c r="CM450" s="387"/>
      <c r="CN450" s="387"/>
      <c r="CO450" s="387"/>
      <c r="CP450" s="387"/>
      <c r="CQ450" s="100"/>
    </row>
    <row r="451" spans="1:95" s="95" customFormat="1" ht="29.4" customHeight="1">
      <c r="A451" s="46">
        <v>52</v>
      </c>
      <c r="B451" s="46">
        <v>11</v>
      </c>
      <c r="C451" s="46">
        <v>428</v>
      </c>
      <c r="D451" s="380"/>
      <c r="E451" s="380"/>
      <c r="F451" s="381"/>
      <c r="G451" s="312" t="s">
        <v>1991</v>
      </c>
      <c r="H451" s="312">
        <v>0</v>
      </c>
      <c r="I451" s="312" t="s">
        <v>1991</v>
      </c>
      <c r="J451" s="312"/>
      <c r="K451" s="312" t="s">
        <v>1991</v>
      </c>
      <c r="L451" s="312" t="s">
        <v>1991</v>
      </c>
      <c r="M451" s="312" t="s">
        <v>1991</v>
      </c>
      <c r="N451" s="312">
        <v>0</v>
      </c>
      <c r="O451" s="312" t="s">
        <v>1991</v>
      </c>
      <c r="P451" s="312" t="s">
        <v>1991</v>
      </c>
      <c r="Q451" s="312" t="s">
        <v>1991</v>
      </c>
      <c r="R451" s="312">
        <v>0</v>
      </c>
      <c r="S451" s="312" t="s">
        <v>1991</v>
      </c>
      <c r="T451" s="323" t="s">
        <v>1991</v>
      </c>
      <c r="U451" s="312" t="s">
        <v>1991</v>
      </c>
      <c r="V451" s="46" t="s">
        <v>1991</v>
      </c>
      <c r="W451" s="324" t="s">
        <v>1991</v>
      </c>
      <c r="X451" s="324" t="s">
        <v>1991</v>
      </c>
      <c r="Y451" s="324" t="s">
        <v>1991</v>
      </c>
      <c r="Z451" s="46" t="s">
        <v>1991</v>
      </c>
      <c r="AA451" s="324" t="s">
        <v>1991</v>
      </c>
      <c r="AB451" s="46">
        <v>0</v>
      </c>
      <c r="AC451" s="46" t="s">
        <v>1991</v>
      </c>
      <c r="AD451" s="46" t="s">
        <v>1991</v>
      </c>
      <c r="AE451" s="324" t="s">
        <v>1991</v>
      </c>
      <c r="AF451" s="324" t="s">
        <v>1991</v>
      </c>
      <c r="AG451" s="324" t="s">
        <v>1991</v>
      </c>
      <c r="AH451" s="324" t="s">
        <v>1991</v>
      </c>
      <c r="AI451" s="324" t="s">
        <v>1991</v>
      </c>
      <c r="AJ451" s="324" t="s">
        <v>1991</v>
      </c>
      <c r="AK451" s="324" t="s">
        <v>1991</v>
      </c>
      <c r="AL451" s="327">
        <v>0</v>
      </c>
      <c r="AM451" s="327"/>
      <c r="AN451" s="327"/>
      <c r="AO451" s="327"/>
      <c r="AP451" s="327"/>
      <c r="AQ451" s="327">
        <v>0</v>
      </c>
      <c r="AR451" s="327">
        <v>0</v>
      </c>
      <c r="AS451" s="327"/>
      <c r="AT451" s="327"/>
      <c r="AU451" s="327">
        <v>0</v>
      </c>
      <c r="AV451" s="327"/>
      <c r="AW451" s="327"/>
      <c r="AX451" s="327"/>
      <c r="AY451" s="361"/>
      <c r="AZ451" s="361"/>
      <c r="BA451" s="361"/>
      <c r="BB451" s="46">
        <f t="shared" si="177"/>
        <v>11</v>
      </c>
      <c r="BC451" s="46">
        <f t="shared" si="178"/>
        <v>15</v>
      </c>
      <c r="BD451" s="46">
        <f t="shared" si="179"/>
        <v>0</v>
      </c>
      <c r="BE451" s="46">
        <f t="shared" si="180"/>
        <v>0</v>
      </c>
      <c r="BF451" s="296">
        <f t="shared" si="181"/>
        <v>26</v>
      </c>
      <c r="BG451" s="256"/>
      <c r="BH451" s="256"/>
      <c r="BI451" s="256"/>
      <c r="BJ451" s="256"/>
      <c r="BK451" s="383"/>
      <c r="BL451" s="383"/>
      <c r="BM451" s="383"/>
      <c r="BN451" s="383"/>
      <c r="BO451" s="2">
        <f t="shared" si="183"/>
        <v>26</v>
      </c>
      <c r="BP451" s="430"/>
      <c r="BQ451" s="431"/>
      <c r="BR451" s="2"/>
      <c r="BS451" s="25"/>
      <c r="BT451" s="348">
        <f t="shared" si="182"/>
        <v>1</v>
      </c>
      <c r="BU451" s="56"/>
      <c r="BV451" s="282">
        <f t="shared" si="184"/>
        <v>0</v>
      </c>
      <c r="BW451" s="379">
        <v>-20000</v>
      </c>
      <c r="BX451" s="269">
        <f t="shared" si="185"/>
        <v>0</v>
      </c>
      <c r="BY451" s="264"/>
      <c r="BZ451" s="264"/>
      <c r="CA451" s="264"/>
      <c r="CB451" s="264"/>
      <c r="CC451" s="264"/>
      <c r="CD451" s="14">
        <f t="shared" si="186"/>
        <v>-11</v>
      </c>
      <c r="CE451" s="14">
        <f t="shared" si="187"/>
        <v>26</v>
      </c>
      <c r="CF451" s="2">
        <f t="shared" si="188"/>
        <v>1</v>
      </c>
      <c r="CL451" s="387"/>
      <c r="CM451" s="387"/>
      <c r="CN451" s="387"/>
      <c r="CO451" s="387"/>
      <c r="CP451" s="387"/>
      <c r="CQ451" s="100"/>
    </row>
    <row r="452" spans="1:95" s="95" customFormat="1" ht="29.4" customHeight="1">
      <c r="A452" s="46">
        <v>53</v>
      </c>
      <c r="B452" s="46">
        <v>11</v>
      </c>
      <c r="C452" s="46">
        <v>429</v>
      </c>
      <c r="D452" s="380"/>
      <c r="E452" s="380"/>
      <c r="F452" s="381"/>
      <c r="G452" s="312" t="s">
        <v>1991</v>
      </c>
      <c r="H452" s="312" t="s">
        <v>1991</v>
      </c>
      <c r="I452" s="312" t="s">
        <v>1991</v>
      </c>
      <c r="J452" s="312"/>
      <c r="K452" s="312" t="s">
        <v>1991</v>
      </c>
      <c r="L452" s="312" t="s">
        <v>1991</v>
      </c>
      <c r="M452" s="312" t="s">
        <v>1991</v>
      </c>
      <c r="N452" s="312" t="s">
        <v>1991</v>
      </c>
      <c r="O452" s="312" t="s">
        <v>1991</v>
      </c>
      <c r="P452" s="312" t="s">
        <v>1991</v>
      </c>
      <c r="Q452" s="312" t="s">
        <v>1991</v>
      </c>
      <c r="R452" s="312" t="s">
        <v>1991</v>
      </c>
      <c r="S452" s="312" t="s">
        <v>1991</v>
      </c>
      <c r="T452" s="323" t="s">
        <v>1991</v>
      </c>
      <c r="U452" s="312" t="s">
        <v>1991</v>
      </c>
      <c r="V452" s="46" t="s">
        <v>1991</v>
      </c>
      <c r="W452" s="324" t="s">
        <v>1991</v>
      </c>
      <c r="X452" s="324" t="s">
        <v>1991</v>
      </c>
      <c r="Y452" s="324" t="s">
        <v>1991</v>
      </c>
      <c r="Z452" s="46" t="s">
        <v>1991</v>
      </c>
      <c r="AA452" s="324" t="s">
        <v>1991</v>
      </c>
      <c r="AB452" s="46" t="s">
        <v>1991</v>
      </c>
      <c r="AC452" s="46" t="s">
        <v>1991</v>
      </c>
      <c r="AD452" s="46" t="s">
        <v>1991</v>
      </c>
      <c r="AE452" s="324" t="s">
        <v>1991</v>
      </c>
      <c r="AF452" s="324" t="s">
        <v>1991</v>
      </c>
      <c r="AG452" s="324" t="s">
        <v>1991</v>
      </c>
      <c r="AH452" s="324" t="s">
        <v>1991</v>
      </c>
      <c r="AI452" s="324" t="s">
        <v>1991</v>
      </c>
      <c r="AJ452" s="324" t="s">
        <v>1991</v>
      </c>
      <c r="AK452" s="324" t="s">
        <v>1991</v>
      </c>
      <c r="AL452" s="327" t="s">
        <v>1991</v>
      </c>
      <c r="AM452" s="327"/>
      <c r="AN452" s="327"/>
      <c r="AO452" s="327"/>
      <c r="AP452" s="327"/>
      <c r="AQ452" s="327" t="s">
        <v>1991</v>
      </c>
      <c r="AR452" s="327" t="s">
        <v>1991</v>
      </c>
      <c r="AS452" s="327"/>
      <c r="AT452" s="327"/>
      <c r="AU452" s="327" t="s">
        <v>2069</v>
      </c>
      <c r="AV452" s="327"/>
      <c r="AW452" s="327"/>
      <c r="AX452" s="327"/>
      <c r="AY452" s="361"/>
      <c r="AZ452" s="361"/>
      <c r="BA452" s="361"/>
      <c r="BB452" s="46">
        <f t="shared" ref="BB452:BB494" si="189">COUNTIF(G452:U452,"X")</f>
        <v>14</v>
      </c>
      <c r="BC452" s="46">
        <f t="shared" ref="BC452:BC495" si="190">COUNTIF(V452:AK452,"X")</f>
        <v>16</v>
      </c>
      <c r="BD452" s="46">
        <f t="shared" si="179"/>
        <v>4</v>
      </c>
      <c r="BE452" s="46">
        <f t="shared" ref="BE452:BE495" si="191">COUNTIF(AL452:BA452,"x")</f>
        <v>4</v>
      </c>
      <c r="BF452" s="296">
        <f t="shared" ref="BF452:BF483" si="192">BB452+BC452</f>
        <v>30</v>
      </c>
      <c r="BG452" s="256"/>
      <c r="BH452" s="256"/>
      <c r="BI452" s="256"/>
      <c r="BJ452" s="256"/>
      <c r="BK452" s="383"/>
      <c r="BL452" s="383"/>
      <c r="BM452" s="383"/>
      <c r="BN452" s="383"/>
      <c r="BO452" s="2">
        <f t="shared" si="183"/>
        <v>30</v>
      </c>
      <c r="BP452" s="430"/>
      <c r="BQ452" s="431"/>
      <c r="BR452" s="2"/>
      <c r="BS452" s="25"/>
      <c r="BT452" s="348">
        <f t="shared" si="182"/>
        <v>1</v>
      </c>
      <c r="BU452" s="56"/>
      <c r="BV452" s="282">
        <f t="shared" si="184"/>
        <v>0</v>
      </c>
      <c r="BW452" s="379">
        <v>20000</v>
      </c>
      <c r="BX452" s="269">
        <f t="shared" si="185"/>
        <v>-0.15</v>
      </c>
      <c r="BY452" s="264"/>
      <c r="BZ452" s="264"/>
      <c r="CA452" s="264"/>
      <c r="CB452" s="264"/>
      <c r="CC452" s="264"/>
      <c r="CD452" s="14">
        <f t="shared" si="186"/>
        <v>-14</v>
      </c>
      <c r="CE452" s="14">
        <f t="shared" si="187"/>
        <v>30</v>
      </c>
      <c r="CF452" s="2">
        <f t="shared" si="188"/>
        <v>1</v>
      </c>
      <c r="CL452" s="387"/>
      <c r="CM452" s="387"/>
      <c r="CN452" s="387"/>
      <c r="CO452" s="387"/>
      <c r="CP452" s="387"/>
      <c r="CQ452" s="100"/>
    </row>
    <row r="453" spans="1:95" s="95" customFormat="1" ht="29.4" customHeight="1">
      <c r="A453" s="46">
        <v>54</v>
      </c>
      <c r="B453" s="46">
        <v>11</v>
      </c>
      <c r="C453" s="46">
        <v>430</v>
      </c>
      <c r="D453" s="380"/>
      <c r="E453" s="380"/>
      <c r="F453" s="381"/>
      <c r="G453" s="312" t="s">
        <v>1991</v>
      </c>
      <c r="H453" s="312" t="s">
        <v>1991</v>
      </c>
      <c r="I453" s="312" t="s">
        <v>1991</v>
      </c>
      <c r="J453" s="312"/>
      <c r="K453" s="312" t="s">
        <v>1991</v>
      </c>
      <c r="L453" s="312" t="s">
        <v>1991</v>
      </c>
      <c r="M453" s="312" t="s">
        <v>1991</v>
      </c>
      <c r="N453" s="312" t="s">
        <v>1991</v>
      </c>
      <c r="O453" s="312" t="s">
        <v>1991</v>
      </c>
      <c r="P453" s="312" t="s">
        <v>1991</v>
      </c>
      <c r="Q453" s="312" t="s">
        <v>1991</v>
      </c>
      <c r="R453" s="312" t="s">
        <v>1991</v>
      </c>
      <c r="S453" s="312" t="s">
        <v>1991</v>
      </c>
      <c r="T453" s="323" t="s">
        <v>1991</v>
      </c>
      <c r="U453" s="312" t="s">
        <v>1991</v>
      </c>
      <c r="V453" s="46" t="s">
        <v>1991</v>
      </c>
      <c r="W453" s="324" t="s">
        <v>1991</v>
      </c>
      <c r="X453" s="324" t="s">
        <v>1991</v>
      </c>
      <c r="Y453" s="324" t="s">
        <v>1991</v>
      </c>
      <c r="Z453" s="46" t="s">
        <v>1991</v>
      </c>
      <c r="AA453" s="324" t="s">
        <v>1991</v>
      </c>
      <c r="AB453" s="46" t="s">
        <v>1991</v>
      </c>
      <c r="AC453" s="46" t="s">
        <v>1991</v>
      </c>
      <c r="AD453" s="46" t="s">
        <v>1991</v>
      </c>
      <c r="AE453" s="324" t="s">
        <v>1991</v>
      </c>
      <c r="AF453" s="324" t="s">
        <v>1991</v>
      </c>
      <c r="AG453" s="324" t="s">
        <v>1991</v>
      </c>
      <c r="AH453" s="324" t="s">
        <v>1991</v>
      </c>
      <c r="AI453" s="324" t="s">
        <v>1991</v>
      </c>
      <c r="AJ453" s="324" t="s">
        <v>1991</v>
      </c>
      <c r="AK453" s="324" t="s">
        <v>1991</v>
      </c>
      <c r="AL453" s="327" t="s">
        <v>1991</v>
      </c>
      <c r="AM453" s="327"/>
      <c r="AN453" s="327"/>
      <c r="AO453" s="327"/>
      <c r="AP453" s="327"/>
      <c r="AQ453" s="327" t="s">
        <v>1991</v>
      </c>
      <c r="AR453" s="327">
        <v>0</v>
      </c>
      <c r="AS453" s="327"/>
      <c r="AT453" s="327"/>
      <c r="AU453" s="327" t="s">
        <v>2069</v>
      </c>
      <c r="AV453" s="327"/>
      <c r="AW453" s="327"/>
      <c r="AX453" s="327"/>
      <c r="AY453" s="361"/>
      <c r="AZ453" s="361"/>
      <c r="BA453" s="361"/>
      <c r="BB453" s="46">
        <f t="shared" si="189"/>
        <v>14</v>
      </c>
      <c r="BC453" s="46">
        <f t="shared" si="190"/>
        <v>16</v>
      </c>
      <c r="BD453" s="46">
        <f t="shared" si="179"/>
        <v>3</v>
      </c>
      <c r="BE453" s="46">
        <f t="shared" si="191"/>
        <v>3</v>
      </c>
      <c r="BF453" s="296">
        <f t="shared" si="192"/>
        <v>30</v>
      </c>
      <c r="BG453" s="256"/>
      <c r="BH453" s="256"/>
      <c r="BI453" s="256"/>
      <c r="BJ453" s="256"/>
      <c r="BK453" s="383"/>
      <c r="BL453" s="383"/>
      <c r="BM453" s="383"/>
      <c r="BN453" s="383"/>
      <c r="BO453" s="2">
        <f t="shared" si="183"/>
        <v>30</v>
      </c>
      <c r="BP453" s="430"/>
      <c r="BQ453" s="431"/>
      <c r="BR453" s="2"/>
      <c r="BS453" s="25"/>
      <c r="BT453" s="348">
        <f t="shared" si="182"/>
        <v>1</v>
      </c>
      <c r="BU453" s="56"/>
      <c r="BV453" s="282">
        <f t="shared" si="184"/>
        <v>0</v>
      </c>
      <c r="BW453" s="379">
        <v>0</v>
      </c>
      <c r="BX453" s="269">
        <f t="shared" si="185"/>
        <v>0</v>
      </c>
      <c r="BY453" s="264"/>
      <c r="BZ453" s="264"/>
      <c r="CA453" s="264"/>
      <c r="CB453" s="264"/>
      <c r="CC453" s="264"/>
      <c r="CD453" s="14">
        <f t="shared" si="186"/>
        <v>-14</v>
      </c>
      <c r="CE453" s="14">
        <f t="shared" si="187"/>
        <v>30</v>
      </c>
      <c r="CF453" s="2">
        <f t="shared" si="188"/>
        <v>1</v>
      </c>
      <c r="CL453" s="387"/>
      <c r="CM453" s="387"/>
      <c r="CN453" s="387"/>
      <c r="CO453" s="387"/>
      <c r="CP453" s="387"/>
      <c r="CQ453" s="100"/>
    </row>
    <row r="454" spans="1:95" s="95" customFormat="1" ht="29.4" customHeight="1">
      <c r="A454" s="46">
        <v>55</v>
      </c>
      <c r="B454" s="46">
        <v>11</v>
      </c>
      <c r="C454" s="46">
        <v>431</v>
      </c>
      <c r="D454" s="380"/>
      <c r="E454" s="380"/>
      <c r="F454" s="381"/>
      <c r="G454" s="312" t="s">
        <v>1991</v>
      </c>
      <c r="H454" s="312" t="s">
        <v>1991</v>
      </c>
      <c r="I454" s="312" t="s">
        <v>1991</v>
      </c>
      <c r="J454" s="312"/>
      <c r="K454" s="312" t="s">
        <v>1991</v>
      </c>
      <c r="L454" s="312" t="s">
        <v>1991</v>
      </c>
      <c r="M454" s="312" t="s">
        <v>1991</v>
      </c>
      <c r="N454" s="312" t="s">
        <v>1991</v>
      </c>
      <c r="O454" s="312" t="s">
        <v>1991</v>
      </c>
      <c r="P454" s="312" t="s">
        <v>1991</v>
      </c>
      <c r="Q454" s="312" t="s">
        <v>1991</v>
      </c>
      <c r="R454" s="312" t="s">
        <v>1991</v>
      </c>
      <c r="S454" s="312" t="s">
        <v>1991</v>
      </c>
      <c r="T454" s="323" t="s">
        <v>1991</v>
      </c>
      <c r="U454" s="312" t="s">
        <v>1991</v>
      </c>
      <c r="V454" s="46" t="s">
        <v>1991</v>
      </c>
      <c r="W454" s="324" t="s">
        <v>1991</v>
      </c>
      <c r="X454" s="324" t="s">
        <v>1991</v>
      </c>
      <c r="Y454" s="324" t="s">
        <v>1991</v>
      </c>
      <c r="Z454" s="46" t="s">
        <v>1991</v>
      </c>
      <c r="AA454" s="324" t="s">
        <v>1991</v>
      </c>
      <c r="AB454" s="46" t="s">
        <v>1991</v>
      </c>
      <c r="AC454" s="46" t="s">
        <v>1991</v>
      </c>
      <c r="AD454" s="46" t="s">
        <v>1991</v>
      </c>
      <c r="AE454" s="324">
        <v>0</v>
      </c>
      <c r="AF454" s="324" t="s">
        <v>1991</v>
      </c>
      <c r="AG454" s="324" t="s">
        <v>1991</v>
      </c>
      <c r="AH454" s="324" t="s">
        <v>1991</v>
      </c>
      <c r="AI454" s="324" t="s">
        <v>1991</v>
      </c>
      <c r="AJ454" s="324" t="s">
        <v>1991</v>
      </c>
      <c r="AK454" s="324" t="s">
        <v>1991</v>
      </c>
      <c r="AL454" s="327" t="s">
        <v>1991</v>
      </c>
      <c r="AM454" s="327"/>
      <c r="AN454" s="327"/>
      <c r="AO454" s="327"/>
      <c r="AP454" s="327"/>
      <c r="AQ454" s="327" t="s">
        <v>1991</v>
      </c>
      <c r="AR454" s="327" t="s">
        <v>1991</v>
      </c>
      <c r="AS454" s="327"/>
      <c r="AT454" s="327"/>
      <c r="AU454" s="327" t="s">
        <v>2069</v>
      </c>
      <c r="AV454" s="327"/>
      <c r="AW454" s="327"/>
      <c r="AX454" s="327"/>
      <c r="AY454" s="361"/>
      <c r="AZ454" s="361"/>
      <c r="BA454" s="361"/>
      <c r="BB454" s="46">
        <f t="shared" si="189"/>
        <v>14</v>
      </c>
      <c r="BC454" s="46">
        <f t="shared" si="190"/>
        <v>15</v>
      </c>
      <c r="BD454" s="46">
        <f t="shared" si="179"/>
        <v>4</v>
      </c>
      <c r="BE454" s="46">
        <f t="shared" si="191"/>
        <v>4</v>
      </c>
      <c r="BF454" s="296">
        <f t="shared" si="192"/>
        <v>29</v>
      </c>
      <c r="BG454" s="256"/>
      <c r="BH454" s="256"/>
      <c r="BI454" s="256"/>
      <c r="BJ454" s="256"/>
      <c r="BK454" s="383"/>
      <c r="BL454" s="383"/>
      <c r="BM454" s="383"/>
      <c r="BN454" s="383"/>
      <c r="BO454" s="2">
        <f t="shared" si="183"/>
        <v>29</v>
      </c>
      <c r="BP454" s="430"/>
      <c r="BQ454" s="431"/>
      <c r="BR454" s="2"/>
      <c r="BS454" s="25"/>
      <c r="BT454" s="348">
        <f t="shared" si="182"/>
        <v>1</v>
      </c>
      <c r="BU454" s="56"/>
      <c r="BV454" s="282">
        <f t="shared" si="184"/>
        <v>0</v>
      </c>
      <c r="BW454" s="379">
        <v>0</v>
      </c>
      <c r="BX454" s="269">
        <f t="shared" si="185"/>
        <v>0</v>
      </c>
      <c r="BY454" s="264"/>
      <c r="BZ454" s="264"/>
      <c r="CA454" s="264"/>
      <c r="CB454" s="264"/>
      <c r="CC454" s="264"/>
      <c r="CD454" s="14">
        <f t="shared" si="186"/>
        <v>-14</v>
      </c>
      <c r="CE454" s="14">
        <f t="shared" si="187"/>
        <v>29</v>
      </c>
      <c r="CF454" s="2">
        <f t="shared" si="188"/>
        <v>1</v>
      </c>
      <c r="CL454" s="387"/>
      <c r="CM454" s="387"/>
      <c r="CN454" s="387"/>
      <c r="CO454" s="387"/>
      <c r="CP454" s="387"/>
      <c r="CQ454" s="100"/>
    </row>
    <row r="455" spans="1:95" s="95" customFormat="1" ht="29.4" customHeight="1">
      <c r="A455" s="46">
        <v>56</v>
      </c>
      <c r="B455" s="46">
        <v>11</v>
      </c>
      <c r="C455" s="46">
        <v>432</v>
      </c>
      <c r="D455" s="380"/>
      <c r="E455" s="380"/>
      <c r="F455" s="381"/>
      <c r="G455" s="312" t="s">
        <v>1991</v>
      </c>
      <c r="H455" s="312" t="s">
        <v>1991</v>
      </c>
      <c r="I455" s="312" t="s">
        <v>1991</v>
      </c>
      <c r="J455" s="312"/>
      <c r="K455" s="312" t="s">
        <v>1991</v>
      </c>
      <c r="L455" s="312" t="s">
        <v>1991</v>
      </c>
      <c r="M455" s="312" t="s">
        <v>1991</v>
      </c>
      <c r="N455" s="312" t="s">
        <v>1991</v>
      </c>
      <c r="O455" s="312" t="s">
        <v>1991</v>
      </c>
      <c r="P455" s="312" t="s">
        <v>1991</v>
      </c>
      <c r="Q455" s="312" t="s">
        <v>1991</v>
      </c>
      <c r="R455" s="312" t="s">
        <v>1991</v>
      </c>
      <c r="S455" s="312" t="s">
        <v>1991</v>
      </c>
      <c r="T455" s="323" t="s">
        <v>1991</v>
      </c>
      <c r="U455" s="312" t="s">
        <v>1991</v>
      </c>
      <c r="V455" s="46" t="s">
        <v>1991</v>
      </c>
      <c r="W455" s="324" t="s">
        <v>1991</v>
      </c>
      <c r="X455" s="324" t="s">
        <v>1991</v>
      </c>
      <c r="Y455" s="324" t="s">
        <v>1991</v>
      </c>
      <c r="Z455" s="46" t="s">
        <v>1991</v>
      </c>
      <c r="AA455" s="324" t="s">
        <v>1991</v>
      </c>
      <c r="AB455" s="46" t="s">
        <v>1991</v>
      </c>
      <c r="AC455" s="46">
        <v>0</v>
      </c>
      <c r="AD455" s="46" t="s">
        <v>1991</v>
      </c>
      <c r="AE455" s="324" t="s">
        <v>1991</v>
      </c>
      <c r="AF455" s="324" t="s">
        <v>1991</v>
      </c>
      <c r="AG455" s="324" t="s">
        <v>1991</v>
      </c>
      <c r="AH455" s="324" t="s">
        <v>1991</v>
      </c>
      <c r="AI455" s="324" t="s">
        <v>1991</v>
      </c>
      <c r="AJ455" s="324" t="s">
        <v>1991</v>
      </c>
      <c r="AK455" s="324" t="s">
        <v>1991</v>
      </c>
      <c r="AL455" s="327">
        <v>0</v>
      </c>
      <c r="AM455" s="327"/>
      <c r="AN455" s="327"/>
      <c r="AO455" s="327"/>
      <c r="AP455" s="327"/>
      <c r="AQ455" s="327">
        <v>0</v>
      </c>
      <c r="AR455" s="327" t="s">
        <v>1991</v>
      </c>
      <c r="AS455" s="327"/>
      <c r="AT455" s="327"/>
      <c r="AU455" s="327">
        <v>0</v>
      </c>
      <c r="AV455" s="327"/>
      <c r="AW455" s="327"/>
      <c r="AX455" s="327"/>
      <c r="AY455" s="361"/>
      <c r="AZ455" s="361"/>
      <c r="BA455" s="361"/>
      <c r="BB455" s="46">
        <f t="shared" si="189"/>
        <v>14</v>
      </c>
      <c r="BC455" s="46">
        <f t="shared" si="190"/>
        <v>15</v>
      </c>
      <c r="BD455" s="46">
        <f t="shared" si="179"/>
        <v>1</v>
      </c>
      <c r="BE455" s="46">
        <f t="shared" si="191"/>
        <v>1</v>
      </c>
      <c r="BF455" s="296">
        <f t="shared" si="192"/>
        <v>29</v>
      </c>
      <c r="BG455" s="256"/>
      <c r="BH455" s="256"/>
      <c r="BI455" s="256"/>
      <c r="BJ455" s="256"/>
      <c r="BK455" s="383"/>
      <c r="BL455" s="383"/>
      <c r="BM455" s="383"/>
      <c r="BN455" s="383"/>
      <c r="BO455" s="2">
        <f t="shared" si="183"/>
        <v>29</v>
      </c>
      <c r="BP455" s="430"/>
      <c r="BQ455" s="431"/>
      <c r="BR455" s="2"/>
      <c r="BS455" s="25"/>
      <c r="BT455" s="348">
        <f t="shared" si="182"/>
        <v>1</v>
      </c>
      <c r="BU455" s="56"/>
      <c r="BV455" s="282">
        <f t="shared" si="184"/>
        <v>0</v>
      </c>
      <c r="BW455" s="379">
        <v>20000</v>
      </c>
      <c r="BX455" s="269">
        <f t="shared" si="185"/>
        <v>-0.15</v>
      </c>
      <c r="BY455" s="264"/>
      <c r="BZ455" s="264"/>
      <c r="CA455" s="264"/>
      <c r="CB455" s="264"/>
      <c r="CC455" s="264"/>
      <c r="CD455" s="14">
        <f t="shared" si="186"/>
        <v>-14</v>
      </c>
      <c r="CE455" s="14">
        <f t="shared" si="187"/>
        <v>29</v>
      </c>
      <c r="CF455" s="2">
        <f t="shared" si="188"/>
        <v>1</v>
      </c>
      <c r="CL455" s="387"/>
      <c r="CM455" s="387"/>
      <c r="CN455" s="387"/>
      <c r="CO455" s="387"/>
      <c r="CP455" s="387"/>
      <c r="CQ455" s="100"/>
    </row>
    <row r="456" spans="1:95" s="95" customFormat="1" ht="29.4" customHeight="1">
      <c r="A456" s="46">
        <v>57</v>
      </c>
      <c r="B456" s="46">
        <v>11</v>
      </c>
      <c r="C456" s="46">
        <v>433</v>
      </c>
      <c r="D456" s="380"/>
      <c r="E456" s="380"/>
      <c r="F456" s="381"/>
      <c r="G456" s="312" t="s">
        <v>1991</v>
      </c>
      <c r="H456" s="312" t="s">
        <v>1991</v>
      </c>
      <c r="I456" s="312" t="s">
        <v>1991</v>
      </c>
      <c r="J456" s="312"/>
      <c r="K456" s="312" t="s">
        <v>1991</v>
      </c>
      <c r="L456" s="312" t="s">
        <v>1991</v>
      </c>
      <c r="M456" s="312" t="s">
        <v>1991</v>
      </c>
      <c r="N456" s="312" t="s">
        <v>1991</v>
      </c>
      <c r="O456" s="312" t="s">
        <v>1991</v>
      </c>
      <c r="P456" s="312" t="s">
        <v>1991</v>
      </c>
      <c r="Q456" s="312" t="s">
        <v>1991</v>
      </c>
      <c r="R456" s="312" t="s">
        <v>1991</v>
      </c>
      <c r="S456" s="312" t="s">
        <v>1991</v>
      </c>
      <c r="T456" s="323" t="s">
        <v>1991</v>
      </c>
      <c r="U456" s="312" t="s">
        <v>1991</v>
      </c>
      <c r="V456" s="46" t="s">
        <v>1991</v>
      </c>
      <c r="W456" s="324" t="s">
        <v>1991</v>
      </c>
      <c r="X456" s="324" t="s">
        <v>1991</v>
      </c>
      <c r="Y456" s="324" t="s">
        <v>1991</v>
      </c>
      <c r="Z456" s="46" t="s">
        <v>1991</v>
      </c>
      <c r="AA456" s="324" t="s">
        <v>1991</v>
      </c>
      <c r="AB456" s="46" t="s">
        <v>1991</v>
      </c>
      <c r="AC456" s="46">
        <v>0</v>
      </c>
      <c r="AD456" s="46" t="s">
        <v>1991</v>
      </c>
      <c r="AE456" s="324" t="s">
        <v>1991</v>
      </c>
      <c r="AF456" s="324" t="s">
        <v>1991</v>
      </c>
      <c r="AG456" s="324" t="s">
        <v>1991</v>
      </c>
      <c r="AH456" s="324" t="s">
        <v>1991</v>
      </c>
      <c r="AI456" s="324" t="s">
        <v>1991</v>
      </c>
      <c r="AJ456" s="324" t="s">
        <v>1991</v>
      </c>
      <c r="AK456" s="324" t="s">
        <v>1991</v>
      </c>
      <c r="AL456" s="327">
        <v>0</v>
      </c>
      <c r="AM456" s="327"/>
      <c r="AN456" s="327"/>
      <c r="AO456" s="327"/>
      <c r="AP456" s="327"/>
      <c r="AQ456" s="327">
        <v>0</v>
      </c>
      <c r="AR456" s="327">
        <v>0</v>
      </c>
      <c r="AS456" s="327"/>
      <c r="AT456" s="327"/>
      <c r="AU456" s="327">
        <v>0</v>
      </c>
      <c r="AV456" s="327"/>
      <c r="AW456" s="327"/>
      <c r="AX456" s="327"/>
      <c r="AY456" s="361"/>
      <c r="AZ456" s="361"/>
      <c r="BA456" s="361"/>
      <c r="BB456" s="46">
        <f t="shared" si="189"/>
        <v>14</v>
      </c>
      <c r="BC456" s="46">
        <f t="shared" si="190"/>
        <v>15</v>
      </c>
      <c r="BD456" s="46">
        <f t="shared" si="179"/>
        <v>0</v>
      </c>
      <c r="BE456" s="46">
        <f t="shared" si="191"/>
        <v>0</v>
      </c>
      <c r="BF456" s="296">
        <f t="shared" si="192"/>
        <v>29</v>
      </c>
      <c r="BG456" s="256"/>
      <c r="BH456" s="256"/>
      <c r="BI456" s="256"/>
      <c r="BJ456" s="256"/>
      <c r="BK456" s="383"/>
      <c r="BL456" s="383"/>
      <c r="BM456" s="383"/>
      <c r="BN456" s="383"/>
      <c r="BO456" s="2">
        <f t="shared" si="183"/>
        <v>29</v>
      </c>
      <c r="BP456" s="430"/>
      <c r="BQ456" s="431"/>
      <c r="BR456" s="2"/>
      <c r="BS456" s="25"/>
      <c r="BT456" s="348">
        <f t="shared" si="182"/>
        <v>1</v>
      </c>
      <c r="BU456" s="56"/>
      <c r="BV456" s="282">
        <f t="shared" si="184"/>
        <v>0</v>
      </c>
      <c r="BW456" s="379">
        <v>0</v>
      </c>
      <c r="BX456" s="269">
        <f t="shared" si="185"/>
        <v>0</v>
      </c>
      <c r="BY456" s="264"/>
      <c r="BZ456" s="264"/>
      <c r="CA456" s="264"/>
      <c r="CB456" s="264"/>
      <c r="CC456" s="264"/>
      <c r="CD456" s="14">
        <f t="shared" si="186"/>
        <v>-14</v>
      </c>
      <c r="CE456" s="14">
        <f t="shared" si="187"/>
        <v>29</v>
      </c>
      <c r="CF456" s="2">
        <f t="shared" si="188"/>
        <v>1</v>
      </c>
      <c r="CL456" s="387"/>
      <c r="CM456" s="387"/>
      <c r="CN456" s="387"/>
      <c r="CO456" s="387"/>
      <c r="CP456" s="387"/>
      <c r="CQ456" s="100"/>
    </row>
    <row r="457" spans="1:95" s="95" customFormat="1" ht="29.4" customHeight="1">
      <c r="A457" s="46">
        <v>58</v>
      </c>
      <c r="B457" s="46">
        <v>11</v>
      </c>
      <c r="C457" s="46">
        <v>434</v>
      </c>
      <c r="D457" s="380"/>
      <c r="E457" s="380"/>
      <c r="F457" s="381"/>
      <c r="G457" s="312">
        <v>0</v>
      </c>
      <c r="H457" s="312" t="s">
        <v>1991</v>
      </c>
      <c r="I457" s="312" t="s">
        <v>1991</v>
      </c>
      <c r="J457" s="312"/>
      <c r="K457" s="312">
        <v>0</v>
      </c>
      <c r="L457" s="312" t="s">
        <v>1991</v>
      </c>
      <c r="M457" s="312" t="s">
        <v>1991</v>
      </c>
      <c r="N457" s="312" t="s">
        <v>1991</v>
      </c>
      <c r="O457" s="312" t="s">
        <v>1991</v>
      </c>
      <c r="P457" s="312" t="s">
        <v>1991</v>
      </c>
      <c r="Q457" s="312" t="s">
        <v>1991</v>
      </c>
      <c r="R457" s="312" t="s">
        <v>1991</v>
      </c>
      <c r="S457" s="312" t="s">
        <v>1991</v>
      </c>
      <c r="T457" s="323" t="s">
        <v>1991</v>
      </c>
      <c r="U457" s="312" t="s">
        <v>1991</v>
      </c>
      <c r="V457" s="46" t="s">
        <v>1991</v>
      </c>
      <c r="W457" s="324" t="s">
        <v>1991</v>
      </c>
      <c r="X457" s="324" t="s">
        <v>1991</v>
      </c>
      <c r="Y457" s="324" t="s">
        <v>1991</v>
      </c>
      <c r="Z457" s="46" t="s">
        <v>1991</v>
      </c>
      <c r="AA457" s="324" t="s">
        <v>1991</v>
      </c>
      <c r="AB457" s="46" t="s">
        <v>1991</v>
      </c>
      <c r="AC457" s="46" t="s">
        <v>1991</v>
      </c>
      <c r="AD457" s="46" t="s">
        <v>1991</v>
      </c>
      <c r="AE457" s="324">
        <v>0</v>
      </c>
      <c r="AF457" s="324" t="s">
        <v>1991</v>
      </c>
      <c r="AG457" s="324" t="s">
        <v>1991</v>
      </c>
      <c r="AH457" s="324" t="s">
        <v>1991</v>
      </c>
      <c r="AI457" s="324" t="s">
        <v>1991</v>
      </c>
      <c r="AJ457" s="324" t="s">
        <v>1991</v>
      </c>
      <c r="AK457" s="324" t="s">
        <v>1991</v>
      </c>
      <c r="AL457" s="327" t="s">
        <v>1991</v>
      </c>
      <c r="AM457" s="327"/>
      <c r="AN457" s="327"/>
      <c r="AO457" s="327"/>
      <c r="AP457" s="327"/>
      <c r="AQ457" s="327" t="s">
        <v>1991</v>
      </c>
      <c r="AR457" s="327" t="s">
        <v>1991</v>
      </c>
      <c r="AS457" s="327"/>
      <c r="AT457" s="327"/>
      <c r="AU457" s="327">
        <v>0</v>
      </c>
      <c r="AV457" s="327"/>
      <c r="AW457" s="327"/>
      <c r="AX457" s="327"/>
      <c r="AY457" s="361"/>
      <c r="AZ457" s="361"/>
      <c r="BA457" s="361"/>
      <c r="BB457" s="46">
        <f t="shared" si="189"/>
        <v>12</v>
      </c>
      <c r="BC457" s="46">
        <f t="shared" si="190"/>
        <v>15</v>
      </c>
      <c r="BD457" s="46">
        <f t="shared" si="179"/>
        <v>3</v>
      </c>
      <c r="BE457" s="46">
        <f t="shared" si="191"/>
        <v>3</v>
      </c>
      <c r="BF457" s="296">
        <f t="shared" si="192"/>
        <v>27</v>
      </c>
      <c r="BG457" s="256"/>
      <c r="BH457" s="256"/>
      <c r="BI457" s="256"/>
      <c r="BJ457" s="256"/>
      <c r="BK457" s="383"/>
      <c r="BL457" s="383"/>
      <c r="BM457" s="383"/>
      <c r="BN457" s="383"/>
      <c r="BO457" s="2">
        <f t="shared" si="183"/>
        <v>27</v>
      </c>
      <c r="BP457" s="430"/>
      <c r="BQ457" s="431"/>
      <c r="BR457" s="2"/>
      <c r="BS457" s="25"/>
      <c r="BT457" s="348">
        <f t="shared" si="182"/>
        <v>1</v>
      </c>
      <c r="BU457" s="56"/>
      <c r="BV457" s="282">
        <f t="shared" si="184"/>
        <v>0</v>
      </c>
      <c r="BW457" s="379">
        <v>0</v>
      </c>
      <c r="BX457" s="269">
        <f t="shared" si="185"/>
        <v>0</v>
      </c>
      <c r="BY457" s="264"/>
      <c r="BZ457" s="264"/>
      <c r="CA457" s="264"/>
      <c r="CB457" s="264"/>
      <c r="CC457" s="264"/>
      <c r="CD457" s="14">
        <f t="shared" si="186"/>
        <v>-12</v>
      </c>
      <c r="CE457" s="14">
        <f t="shared" si="187"/>
        <v>27</v>
      </c>
      <c r="CF457" s="2">
        <f t="shared" si="188"/>
        <v>1</v>
      </c>
      <c r="CL457" s="387"/>
      <c r="CM457" s="387"/>
      <c r="CN457" s="387"/>
      <c r="CO457" s="387"/>
      <c r="CP457" s="387"/>
      <c r="CQ457" s="100"/>
    </row>
    <row r="458" spans="1:95" s="95" customFormat="1" ht="29.4" customHeight="1">
      <c r="A458" s="46">
        <v>59</v>
      </c>
      <c r="B458" s="46">
        <v>11</v>
      </c>
      <c r="C458" s="46">
        <v>435</v>
      </c>
      <c r="D458" s="380"/>
      <c r="E458" s="380"/>
      <c r="F458" s="381"/>
      <c r="G458" s="312">
        <v>0</v>
      </c>
      <c r="H458" s="312" t="s">
        <v>1991</v>
      </c>
      <c r="I458" s="312" t="s">
        <v>1991</v>
      </c>
      <c r="J458" s="312"/>
      <c r="K458" s="312" t="s">
        <v>1991</v>
      </c>
      <c r="L458" s="312" t="s">
        <v>1991</v>
      </c>
      <c r="M458" s="312" t="s">
        <v>1991</v>
      </c>
      <c r="N458" s="312" t="s">
        <v>1991</v>
      </c>
      <c r="O458" s="312" t="s">
        <v>1991</v>
      </c>
      <c r="P458" s="312" t="s">
        <v>1991</v>
      </c>
      <c r="Q458" s="312">
        <v>0</v>
      </c>
      <c r="R458" s="312" t="s">
        <v>1991</v>
      </c>
      <c r="S458" s="312" t="s">
        <v>1991</v>
      </c>
      <c r="T458" s="323" t="s">
        <v>1991</v>
      </c>
      <c r="U458" s="312" t="s">
        <v>1991</v>
      </c>
      <c r="V458" s="46" t="s">
        <v>1991</v>
      </c>
      <c r="W458" s="324" t="s">
        <v>1991</v>
      </c>
      <c r="X458" s="324" t="s">
        <v>1991</v>
      </c>
      <c r="Y458" s="324" t="s">
        <v>1991</v>
      </c>
      <c r="Z458" s="46" t="s">
        <v>1991</v>
      </c>
      <c r="AA458" s="324" t="s">
        <v>1991</v>
      </c>
      <c r="AB458" s="46" t="s">
        <v>1991</v>
      </c>
      <c r="AC458" s="46" t="s">
        <v>1991</v>
      </c>
      <c r="AD458" s="46" t="s">
        <v>1991</v>
      </c>
      <c r="AE458" s="324" t="s">
        <v>1991</v>
      </c>
      <c r="AF458" s="324" t="s">
        <v>1991</v>
      </c>
      <c r="AG458" s="324" t="s">
        <v>1991</v>
      </c>
      <c r="AH458" s="324" t="s">
        <v>1991</v>
      </c>
      <c r="AI458" s="324" t="s">
        <v>1991</v>
      </c>
      <c r="AJ458" s="324" t="s">
        <v>1991</v>
      </c>
      <c r="AK458" s="324" t="s">
        <v>1991</v>
      </c>
      <c r="AL458" s="327" t="s">
        <v>1991</v>
      </c>
      <c r="AM458" s="327"/>
      <c r="AN458" s="327"/>
      <c r="AO458" s="327"/>
      <c r="AP458" s="327"/>
      <c r="AQ458" s="327" t="s">
        <v>1991</v>
      </c>
      <c r="AR458" s="327" t="s">
        <v>1991</v>
      </c>
      <c r="AS458" s="327"/>
      <c r="AT458" s="327"/>
      <c r="AU458" s="327">
        <v>0</v>
      </c>
      <c r="AV458" s="327"/>
      <c r="AW458" s="327"/>
      <c r="AX458" s="327"/>
      <c r="AY458" s="361"/>
      <c r="AZ458" s="361"/>
      <c r="BA458" s="361"/>
      <c r="BB458" s="46">
        <f t="shared" si="189"/>
        <v>12</v>
      </c>
      <c r="BC458" s="46">
        <f t="shared" si="190"/>
        <v>16</v>
      </c>
      <c r="BD458" s="46">
        <f t="shared" si="179"/>
        <v>3</v>
      </c>
      <c r="BE458" s="46">
        <f t="shared" si="191"/>
        <v>3</v>
      </c>
      <c r="BF458" s="296">
        <f t="shared" si="192"/>
        <v>28</v>
      </c>
      <c r="BG458" s="256"/>
      <c r="BH458" s="256"/>
      <c r="BI458" s="256"/>
      <c r="BJ458" s="256"/>
      <c r="BK458" s="383"/>
      <c r="BL458" s="383"/>
      <c r="BM458" s="383"/>
      <c r="BN458" s="383"/>
      <c r="BO458" s="2">
        <f t="shared" si="183"/>
        <v>28</v>
      </c>
      <c r="BP458" s="430"/>
      <c r="BQ458" s="431"/>
      <c r="BR458" s="2"/>
      <c r="BS458" s="25"/>
      <c r="BT458" s="348">
        <f t="shared" si="182"/>
        <v>1</v>
      </c>
      <c r="BU458" s="56"/>
      <c r="BV458" s="282">
        <f t="shared" si="184"/>
        <v>0</v>
      </c>
      <c r="BW458" s="379">
        <v>0</v>
      </c>
      <c r="BX458" s="269">
        <f t="shared" si="185"/>
        <v>0</v>
      </c>
      <c r="BY458" s="264"/>
      <c r="BZ458" s="264"/>
      <c r="CA458" s="264"/>
      <c r="CB458" s="264"/>
      <c r="CC458" s="264"/>
      <c r="CD458" s="14">
        <f t="shared" si="186"/>
        <v>-12</v>
      </c>
      <c r="CE458" s="14">
        <f t="shared" si="187"/>
        <v>28</v>
      </c>
      <c r="CF458" s="2">
        <f t="shared" si="188"/>
        <v>1</v>
      </c>
      <c r="CL458" s="387"/>
      <c r="CM458" s="387"/>
      <c r="CN458" s="387"/>
      <c r="CO458" s="387"/>
      <c r="CP458" s="387"/>
      <c r="CQ458" s="100"/>
    </row>
    <row r="459" spans="1:95" s="95" customFormat="1" ht="29.4" customHeight="1">
      <c r="A459" s="46">
        <v>60</v>
      </c>
      <c r="B459" s="46">
        <v>11</v>
      </c>
      <c r="C459" s="46">
        <v>436</v>
      </c>
      <c r="D459" s="380"/>
      <c r="E459" s="380"/>
      <c r="F459" s="381"/>
      <c r="G459" s="312">
        <v>0</v>
      </c>
      <c r="H459" s="312" t="s">
        <v>1991</v>
      </c>
      <c r="I459" s="312" t="s">
        <v>1991</v>
      </c>
      <c r="J459" s="312"/>
      <c r="K459" s="312">
        <v>0</v>
      </c>
      <c r="L459" s="312" t="s">
        <v>1991</v>
      </c>
      <c r="M459" s="312" t="s">
        <v>1991</v>
      </c>
      <c r="N459" s="312" t="s">
        <v>1991</v>
      </c>
      <c r="O459" s="312" t="s">
        <v>1991</v>
      </c>
      <c r="P459" s="312" t="s">
        <v>1991</v>
      </c>
      <c r="Q459" s="312" t="s">
        <v>1991</v>
      </c>
      <c r="R459" s="312" t="s">
        <v>1991</v>
      </c>
      <c r="S459" s="312" t="s">
        <v>1991</v>
      </c>
      <c r="T459" s="323" t="s">
        <v>1991</v>
      </c>
      <c r="U459" s="312" t="s">
        <v>1991</v>
      </c>
      <c r="V459" s="46" t="s">
        <v>1991</v>
      </c>
      <c r="W459" s="324" t="s">
        <v>1991</v>
      </c>
      <c r="X459" s="324" t="s">
        <v>1991</v>
      </c>
      <c r="Y459" s="324" t="s">
        <v>1991</v>
      </c>
      <c r="Z459" s="46" t="s">
        <v>1991</v>
      </c>
      <c r="AA459" s="324" t="s">
        <v>1991</v>
      </c>
      <c r="AB459" s="46" t="s">
        <v>1991</v>
      </c>
      <c r="AC459" s="46" t="s">
        <v>1991</v>
      </c>
      <c r="AD459" s="46" t="s">
        <v>1991</v>
      </c>
      <c r="AE459" s="324" t="s">
        <v>1991</v>
      </c>
      <c r="AF459" s="324" t="s">
        <v>1991</v>
      </c>
      <c r="AG459" s="324" t="s">
        <v>1991</v>
      </c>
      <c r="AH459" s="324" t="s">
        <v>1991</v>
      </c>
      <c r="AI459" s="324" t="s">
        <v>1991</v>
      </c>
      <c r="AJ459" s="324" t="s">
        <v>1991</v>
      </c>
      <c r="AK459" s="324" t="s">
        <v>1991</v>
      </c>
      <c r="AL459" s="327" t="s">
        <v>1991</v>
      </c>
      <c r="AM459" s="327"/>
      <c r="AN459" s="327"/>
      <c r="AO459" s="327"/>
      <c r="AP459" s="327"/>
      <c r="AQ459" s="327">
        <v>0</v>
      </c>
      <c r="AR459" s="327">
        <v>0</v>
      </c>
      <c r="AS459" s="327"/>
      <c r="AT459" s="327"/>
      <c r="AU459" s="327">
        <v>0</v>
      </c>
      <c r="AV459" s="327"/>
      <c r="AW459" s="327"/>
      <c r="AX459" s="327"/>
      <c r="AY459" s="361"/>
      <c r="AZ459" s="361"/>
      <c r="BA459" s="361"/>
      <c r="BB459" s="46">
        <f t="shared" si="189"/>
        <v>12</v>
      </c>
      <c r="BC459" s="46">
        <f t="shared" si="190"/>
        <v>16</v>
      </c>
      <c r="BD459" s="46">
        <f t="shared" si="179"/>
        <v>1</v>
      </c>
      <c r="BE459" s="46">
        <f t="shared" si="191"/>
        <v>1</v>
      </c>
      <c r="BF459" s="296">
        <f t="shared" si="192"/>
        <v>28</v>
      </c>
      <c r="BG459" s="256"/>
      <c r="BH459" s="256"/>
      <c r="BI459" s="256"/>
      <c r="BJ459" s="256"/>
      <c r="BK459" s="383"/>
      <c r="BL459" s="383"/>
      <c r="BM459" s="383"/>
      <c r="BN459" s="383"/>
      <c r="BO459" s="2">
        <f t="shared" si="183"/>
        <v>28</v>
      </c>
      <c r="BP459" s="430"/>
      <c r="BQ459" s="431"/>
      <c r="BR459" s="2"/>
      <c r="BS459" s="25"/>
      <c r="BT459" s="348">
        <f t="shared" si="182"/>
        <v>1</v>
      </c>
      <c r="BU459" s="56"/>
      <c r="BV459" s="282">
        <f t="shared" si="184"/>
        <v>0</v>
      </c>
      <c r="BW459" s="379">
        <v>0</v>
      </c>
      <c r="BX459" s="269">
        <f t="shared" si="185"/>
        <v>0</v>
      </c>
      <c r="BY459" s="264"/>
      <c r="BZ459" s="264"/>
      <c r="CA459" s="264"/>
      <c r="CB459" s="264"/>
      <c r="CC459" s="264"/>
      <c r="CD459" s="14">
        <f t="shared" si="186"/>
        <v>-12</v>
      </c>
      <c r="CE459" s="14">
        <f t="shared" si="187"/>
        <v>28</v>
      </c>
      <c r="CF459" s="2">
        <f t="shared" si="188"/>
        <v>1</v>
      </c>
      <c r="CL459" s="387"/>
      <c r="CM459" s="387"/>
      <c r="CN459" s="387"/>
      <c r="CO459" s="387"/>
      <c r="CP459" s="387"/>
      <c r="CQ459" s="100"/>
    </row>
    <row r="460" spans="1:95" s="95" customFormat="1" ht="29.4" customHeight="1">
      <c r="A460" s="46">
        <v>61</v>
      </c>
      <c r="B460" s="46">
        <v>11</v>
      </c>
      <c r="C460" s="46">
        <v>437</v>
      </c>
      <c r="D460" s="380"/>
      <c r="E460" s="380"/>
      <c r="F460" s="381"/>
      <c r="G460" s="312">
        <v>0</v>
      </c>
      <c r="H460" s="312" t="s">
        <v>1991</v>
      </c>
      <c r="I460" s="312" t="s">
        <v>1991</v>
      </c>
      <c r="J460" s="312"/>
      <c r="K460" s="312" t="s">
        <v>1991</v>
      </c>
      <c r="L460" s="312" t="s">
        <v>1991</v>
      </c>
      <c r="M460" s="312" t="s">
        <v>1991</v>
      </c>
      <c r="N460" s="312" t="s">
        <v>1991</v>
      </c>
      <c r="O460" s="312" t="s">
        <v>1991</v>
      </c>
      <c r="P460" s="312" t="s">
        <v>1991</v>
      </c>
      <c r="Q460" s="312" t="s">
        <v>1991</v>
      </c>
      <c r="R460" s="312" t="s">
        <v>1991</v>
      </c>
      <c r="S460" s="312" t="s">
        <v>1991</v>
      </c>
      <c r="T460" s="323" t="s">
        <v>1991</v>
      </c>
      <c r="U460" s="312" t="s">
        <v>1991</v>
      </c>
      <c r="V460" s="46" t="s">
        <v>1991</v>
      </c>
      <c r="W460" s="324" t="s">
        <v>1991</v>
      </c>
      <c r="X460" s="324" t="s">
        <v>1991</v>
      </c>
      <c r="Y460" s="324" t="s">
        <v>1991</v>
      </c>
      <c r="Z460" s="46" t="s">
        <v>1991</v>
      </c>
      <c r="AA460" s="324" t="s">
        <v>1991</v>
      </c>
      <c r="AB460" s="46" t="s">
        <v>1991</v>
      </c>
      <c r="AC460" s="46" t="s">
        <v>1991</v>
      </c>
      <c r="AD460" s="46" t="s">
        <v>1991</v>
      </c>
      <c r="AE460" s="324" t="s">
        <v>1991</v>
      </c>
      <c r="AF460" s="324" t="s">
        <v>1991</v>
      </c>
      <c r="AG460" s="324" t="s">
        <v>1991</v>
      </c>
      <c r="AH460" s="324" t="s">
        <v>1991</v>
      </c>
      <c r="AI460" s="324" t="s">
        <v>1991</v>
      </c>
      <c r="AJ460" s="324" t="s">
        <v>1991</v>
      </c>
      <c r="AK460" s="324" t="s">
        <v>1991</v>
      </c>
      <c r="AL460" s="327" t="s">
        <v>1991</v>
      </c>
      <c r="AM460" s="327"/>
      <c r="AN460" s="327"/>
      <c r="AO460" s="327"/>
      <c r="AP460" s="327"/>
      <c r="AQ460" s="327">
        <v>0</v>
      </c>
      <c r="AR460" s="327">
        <v>0</v>
      </c>
      <c r="AS460" s="327"/>
      <c r="AT460" s="327"/>
      <c r="AU460" s="327">
        <v>0</v>
      </c>
      <c r="AV460" s="327"/>
      <c r="AW460" s="327"/>
      <c r="AX460" s="327"/>
      <c r="AY460" s="361"/>
      <c r="AZ460" s="361"/>
      <c r="BA460" s="361"/>
      <c r="BB460" s="46">
        <f t="shared" si="189"/>
        <v>13</v>
      </c>
      <c r="BC460" s="46">
        <f t="shared" si="190"/>
        <v>16</v>
      </c>
      <c r="BD460" s="46">
        <f t="shared" si="179"/>
        <v>1</v>
      </c>
      <c r="BE460" s="46">
        <f t="shared" si="191"/>
        <v>1</v>
      </c>
      <c r="BF460" s="296">
        <f t="shared" si="192"/>
        <v>29</v>
      </c>
      <c r="BG460" s="256"/>
      <c r="BH460" s="256"/>
      <c r="BI460" s="256"/>
      <c r="BJ460" s="256"/>
      <c r="BK460" s="383"/>
      <c r="BL460" s="383"/>
      <c r="BM460" s="383"/>
      <c r="BN460" s="383"/>
      <c r="BO460" s="2">
        <f t="shared" si="183"/>
        <v>29</v>
      </c>
      <c r="BP460" s="430"/>
      <c r="BQ460" s="431"/>
      <c r="BR460" s="2"/>
      <c r="BS460" s="25"/>
      <c r="BT460" s="348">
        <f t="shared" si="182"/>
        <v>1</v>
      </c>
      <c r="BU460" s="56"/>
      <c r="BV460" s="282">
        <f t="shared" si="184"/>
        <v>0</v>
      </c>
      <c r="BW460" s="379">
        <v>-20000</v>
      </c>
      <c r="BX460" s="269">
        <f t="shared" si="185"/>
        <v>0</v>
      </c>
      <c r="BY460" s="264"/>
      <c r="BZ460" s="264"/>
      <c r="CA460" s="264"/>
      <c r="CB460" s="264"/>
      <c r="CC460" s="264"/>
      <c r="CD460" s="14">
        <f t="shared" si="186"/>
        <v>-13</v>
      </c>
      <c r="CE460" s="14">
        <f t="shared" si="187"/>
        <v>29</v>
      </c>
      <c r="CF460" s="2">
        <f t="shared" si="188"/>
        <v>1</v>
      </c>
      <c r="CL460" s="387"/>
      <c r="CM460" s="387"/>
      <c r="CN460" s="387"/>
      <c r="CO460" s="387"/>
      <c r="CP460" s="387"/>
      <c r="CQ460" s="100"/>
    </row>
    <row r="461" spans="1:95" s="95" customFormat="1" ht="29.4" customHeight="1">
      <c r="A461" s="46">
        <v>62</v>
      </c>
      <c r="B461" s="46">
        <v>11</v>
      </c>
      <c r="C461" s="46">
        <v>438</v>
      </c>
      <c r="D461" s="380"/>
      <c r="E461" s="380"/>
      <c r="F461" s="381"/>
      <c r="G461" s="312">
        <v>0</v>
      </c>
      <c r="H461" s="312" t="s">
        <v>1991</v>
      </c>
      <c r="I461" s="312" t="s">
        <v>1991</v>
      </c>
      <c r="J461" s="312"/>
      <c r="K461" s="312" t="s">
        <v>1991</v>
      </c>
      <c r="L461" s="312" t="s">
        <v>1991</v>
      </c>
      <c r="M461" s="312" t="s">
        <v>1991</v>
      </c>
      <c r="N461" s="312" t="s">
        <v>1991</v>
      </c>
      <c r="O461" s="312" t="s">
        <v>1991</v>
      </c>
      <c r="P461" s="312" t="s">
        <v>1991</v>
      </c>
      <c r="Q461" s="312" t="s">
        <v>1991</v>
      </c>
      <c r="R461" s="312" t="s">
        <v>1991</v>
      </c>
      <c r="S461" s="312" t="s">
        <v>1991</v>
      </c>
      <c r="T461" s="323" t="s">
        <v>1991</v>
      </c>
      <c r="U461" s="312" t="s">
        <v>1991</v>
      </c>
      <c r="V461" s="46" t="s">
        <v>1991</v>
      </c>
      <c r="W461" s="324" t="s">
        <v>1991</v>
      </c>
      <c r="X461" s="324" t="s">
        <v>1991</v>
      </c>
      <c r="Y461" s="324" t="s">
        <v>1991</v>
      </c>
      <c r="Z461" s="46" t="s">
        <v>1991</v>
      </c>
      <c r="AA461" s="324" t="s">
        <v>1991</v>
      </c>
      <c r="AB461" s="46" t="s">
        <v>1991</v>
      </c>
      <c r="AC461" s="46" t="s">
        <v>1991</v>
      </c>
      <c r="AD461" s="46" t="s">
        <v>1991</v>
      </c>
      <c r="AE461" s="324">
        <v>0</v>
      </c>
      <c r="AF461" s="324" t="s">
        <v>1991</v>
      </c>
      <c r="AG461" s="324" t="s">
        <v>1991</v>
      </c>
      <c r="AH461" s="324" t="s">
        <v>1991</v>
      </c>
      <c r="AI461" s="324" t="s">
        <v>1991</v>
      </c>
      <c r="AJ461" s="324" t="s">
        <v>1991</v>
      </c>
      <c r="AK461" s="324" t="s">
        <v>1991</v>
      </c>
      <c r="AL461" s="327" t="s">
        <v>1991</v>
      </c>
      <c r="AM461" s="327"/>
      <c r="AN461" s="327"/>
      <c r="AO461" s="327"/>
      <c r="AP461" s="327"/>
      <c r="AQ461" s="327" t="s">
        <v>1991</v>
      </c>
      <c r="AR461" s="327" t="s">
        <v>1991</v>
      </c>
      <c r="AS461" s="327"/>
      <c r="AT461" s="327"/>
      <c r="AU461" s="327">
        <v>0</v>
      </c>
      <c r="AV461" s="327"/>
      <c r="AW461" s="327"/>
      <c r="AX461" s="327"/>
      <c r="AY461" s="361"/>
      <c r="AZ461" s="361"/>
      <c r="BA461" s="361"/>
      <c r="BB461" s="46">
        <f t="shared" si="189"/>
        <v>13</v>
      </c>
      <c r="BC461" s="46">
        <f t="shared" si="190"/>
        <v>15</v>
      </c>
      <c r="BD461" s="46">
        <f t="shared" si="179"/>
        <v>3</v>
      </c>
      <c r="BE461" s="46">
        <f t="shared" si="191"/>
        <v>3</v>
      </c>
      <c r="BF461" s="296">
        <f t="shared" si="192"/>
        <v>28</v>
      </c>
      <c r="BG461" s="256"/>
      <c r="BH461" s="256"/>
      <c r="BI461" s="256"/>
      <c r="BJ461" s="256"/>
      <c r="BK461" s="383"/>
      <c r="BL461" s="383"/>
      <c r="BM461" s="383"/>
      <c r="BN461" s="383"/>
      <c r="BO461" s="2">
        <f t="shared" si="183"/>
        <v>28</v>
      </c>
      <c r="BP461" s="430"/>
      <c r="BQ461" s="431"/>
      <c r="BR461" s="2"/>
      <c r="BS461" s="25"/>
      <c r="BT461" s="348">
        <f t="shared" si="182"/>
        <v>1</v>
      </c>
      <c r="BU461" s="56"/>
      <c r="BV461" s="282">
        <f t="shared" si="184"/>
        <v>0</v>
      </c>
      <c r="BW461" s="379">
        <v>20000</v>
      </c>
      <c r="BX461" s="269">
        <f t="shared" si="185"/>
        <v>-0.15</v>
      </c>
      <c r="BY461" s="264"/>
      <c r="BZ461" s="264"/>
      <c r="CA461" s="264"/>
      <c r="CB461" s="264"/>
      <c r="CC461" s="264"/>
      <c r="CD461" s="14">
        <f t="shared" si="186"/>
        <v>-13</v>
      </c>
      <c r="CE461" s="14">
        <f t="shared" si="187"/>
        <v>28</v>
      </c>
      <c r="CF461" s="2">
        <f t="shared" si="188"/>
        <v>1</v>
      </c>
      <c r="CL461" s="387"/>
      <c r="CM461" s="387"/>
      <c r="CN461" s="387"/>
      <c r="CO461" s="387"/>
      <c r="CP461" s="387"/>
      <c r="CQ461" s="100"/>
    </row>
    <row r="462" spans="1:95" s="95" customFormat="1" ht="29.4" customHeight="1">
      <c r="A462" s="46">
        <v>63</v>
      </c>
      <c r="B462" s="46">
        <v>11</v>
      </c>
      <c r="C462" s="46">
        <v>439</v>
      </c>
      <c r="D462" s="380"/>
      <c r="E462" s="380"/>
      <c r="F462" s="381"/>
      <c r="G462" s="312">
        <v>0</v>
      </c>
      <c r="H462" s="312" t="s">
        <v>1991</v>
      </c>
      <c r="I462" s="312" t="s">
        <v>1991</v>
      </c>
      <c r="J462" s="312"/>
      <c r="K462" s="312" t="s">
        <v>1991</v>
      </c>
      <c r="L462" s="312" t="s">
        <v>1991</v>
      </c>
      <c r="M462" s="312" t="s">
        <v>1991</v>
      </c>
      <c r="N462" s="312" t="s">
        <v>1991</v>
      </c>
      <c r="O462" s="312" t="s">
        <v>1991</v>
      </c>
      <c r="P462" s="312" t="s">
        <v>1991</v>
      </c>
      <c r="Q462" s="312" t="s">
        <v>1991</v>
      </c>
      <c r="R462" s="312" t="s">
        <v>1991</v>
      </c>
      <c r="S462" s="312" t="s">
        <v>1991</v>
      </c>
      <c r="T462" s="323" t="s">
        <v>1991</v>
      </c>
      <c r="U462" s="312" t="s">
        <v>1991</v>
      </c>
      <c r="V462" s="46" t="s">
        <v>1991</v>
      </c>
      <c r="W462" s="324" t="s">
        <v>1991</v>
      </c>
      <c r="X462" s="324" t="s">
        <v>1991</v>
      </c>
      <c r="Y462" s="324" t="s">
        <v>1991</v>
      </c>
      <c r="Z462" s="46" t="s">
        <v>1991</v>
      </c>
      <c r="AA462" s="324" t="s">
        <v>1991</v>
      </c>
      <c r="AB462" s="46">
        <v>0</v>
      </c>
      <c r="AC462" s="46">
        <v>0</v>
      </c>
      <c r="AD462" s="46" t="s">
        <v>1991</v>
      </c>
      <c r="AE462" s="324" t="s">
        <v>1991</v>
      </c>
      <c r="AF462" s="324" t="s">
        <v>1991</v>
      </c>
      <c r="AG462" s="324" t="s">
        <v>1991</v>
      </c>
      <c r="AH462" s="324" t="s">
        <v>1991</v>
      </c>
      <c r="AI462" s="324" t="s">
        <v>1991</v>
      </c>
      <c r="AJ462" s="324" t="s">
        <v>1991</v>
      </c>
      <c r="AK462" s="324" t="s">
        <v>1991</v>
      </c>
      <c r="AL462" s="327">
        <v>0</v>
      </c>
      <c r="AM462" s="327"/>
      <c r="AN462" s="327"/>
      <c r="AO462" s="327"/>
      <c r="AP462" s="327"/>
      <c r="AQ462" s="327">
        <v>0</v>
      </c>
      <c r="AR462" s="327" t="s">
        <v>1991</v>
      </c>
      <c r="AS462" s="327"/>
      <c r="AT462" s="327"/>
      <c r="AU462" s="327">
        <v>0</v>
      </c>
      <c r="AV462" s="327"/>
      <c r="AW462" s="327"/>
      <c r="AX462" s="327"/>
      <c r="AY462" s="361"/>
      <c r="AZ462" s="361"/>
      <c r="BA462" s="361"/>
      <c r="BB462" s="46">
        <f t="shared" si="189"/>
        <v>13</v>
      </c>
      <c r="BC462" s="46">
        <f t="shared" si="190"/>
        <v>14</v>
      </c>
      <c r="BD462" s="46">
        <f t="shared" si="179"/>
        <v>1</v>
      </c>
      <c r="BE462" s="46">
        <f t="shared" si="191"/>
        <v>1</v>
      </c>
      <c r="BF462" s="296">
        <f t="shared" si="192"/>
        <v>27</v>
      </c>
      <c r="BG462" s="256"/>
      <c r="BH462" s="256"/>
      <c r="BI462" s="256"/>
      <c r="BJ462" s="256"/>
      <c r="BK462" s="383"/>
      <c r="BL462" s="383"/>
      <c r="BM462" s="383"/>
      <c r="BN462" s="383"/>
      <c r="BO462" s="2">
        <f t="shared" si="183"/>
        <v>27</v>
      </c>
      <c r="BP462" s="430"/>
      <c r="BQ462" s="431"/>
      <c r="BR462" s="2"/>
      <c r="BS462" s="25"/>
      <c r="BT462" s="348">
        <f t="shared" si="182"/>
        <v>1</v>
      </c>
      <c r="BU462" s="56"/>
      <c r="BV462" s="282">
        <f t="shared" si="184"/>
        <v>0</v>
      </c>
      <c r="BW462" s="379">
        <v>0</v>
      </c>
      <c r="BX462" s="269">
        <f t="shared" si="185"/>
        <v>0</v>
      </c>
      <c r="BY462" s="264"/>
      <c r="BZ462" s="264"/>
      <c r="CA462" s="264"/>
      <c r="CB462" s="264"/>
      <c r="CC462" s="264"/>
      <c r="CD462" s="14">
        <f t="shared" si="186"/>
        <v>-13</v>
      </c>
      <c r="CE462" s="14">
        <f t="shared" si="187"/>
        <v>27</v>
      </c>
      <c r="CF462" s="2">
        <f t="shared" si="188"/>
        <v>1</v>
      </c>
      <c r="CL462" s="387"/>
      <c r="CM462" s="387"/>
      <c r="CN462" s="387"/>
      <c r="CO462" s="387"/>
      <c r="CP462" s="387"/>
      <c r="CQ462" s="100"/>
    </row>
    <row r="463" spans="1:95" s="95" customFormat="1" ht="29.4" customHeight="1">
      <c r="A463" s="46">
        <v>64</v>
      </c>
      <c r="B463" s="46">
        <v>11</v>
      </c>
      <c r="C463" s="46">
        <v>440</v>
      </c>
      <c r="D463" s="380"/>
      <c r="E463" s="380"/>
      <c r="F463" s="381"/>
      <c r="G463" s="312" t="s">
        <v>1991</v>
      </c>
      <c r="H463" s="312" t="s">
        <v>1991</v>
      </c>
      <c r="I463" s="312" t="s">
        <v>1991</v>
      </c>
      <c r="J463" s="312"/>
      <c r="K463" s="312">
        <v>0</v>
      </c>
      <c r="L463" s="312" t="s">
        <v>1991</v>
      </c>
      <c r="M463" s="312" t="s">
        <v>1991</v>
      </c>
      <c r="N463" s="312" t="s">
        <v>1991</v>
      </c>
      <c r="O463" s="312" t="s">
        <v>1991</v>
      </c>
      <c r="P463" s="312" t="s">
        <v>1991</v>
      </c>
      <c r="Q463" s="312" t="s">
        <v>1991</v>
      </c>
      <c r="R463" s="312" t="s">
        <v>1991</v>
      </c>
      <c r="S463" s="312" t="s">
        <v>1991</v>
      </c>
      <c r="T463" s="323" t="s">
        <v>1991</v>
      </c>
      <c r="U463" s="312" t="s">
        <v>1991</v>
      </c>
      <c r="V463" s="46" t="s">
        <v>1991</v>
      </c>
      <c r="W463" s="324" t="s">
        <v>1991</v>
      </c>
      <c r="X463" s="324" t="s">
        <v>1991</v>
      </c>
      <c r="Y463" s="324" t="s">
        <v>1991</v>
      </c>
      <c r="Z463" s="46" t="s">
        <v>1991</v>
      </c>
      <c r="AA463" s="324" t="s">
        <v>1991</v>
      </c>
      <c r="AB463" s="46" t="s">
        <v>1991</v>
      </c>
      <c r="AC463" s="46" t="s">
        <v>1991</v>
      </c>
      <c r="AD463" s="46" t="s">
        <v>1991</v>
      </c>
      <c r="AE463" s="324">
        <v>0</v>
      </c>
      <c r="AF463" s="324" t="s">
        <v>1991</v>
      </c>
      <c r="AG463" s="324" t="s">
        <v>1991</v>
      </c>
      <c r="AH463" s="324" t="s">
        <v>1991</v>
      </c>
      <c r="AI463" s="324" t="s">
        <v>1991</v>
      </c>
      <c r="AJ463" s="324" t="s">
        <v>1991</v>
      </c>
      <c r="AK463" s="324" t="s">
        <v>1991</v>
      </c>
      <c r="AL463" s="327">
        <v>0</v>
      </c>
      <c r="AM463" s="327"/>
      <c r="AN463" s="327"/>
      <c r="AO463" s="327"/>
      <c r="AP463" s="327"/>
      <c r="AQ463" s="327" t="s">
        <v>1991</v>
      </c>
      <c r="AR463" s="327">
        <v>0</v>
      </c>
      <c r="AS463" s="327"/>
      <c r="AT463" s="327"/>
      <c r="AU463" s="327">
        <v>0</v>
      </c>
      <c r="AV463" s="327"/>
      <c r="AW463" s="327"/>
      <c r="AX463" s="327"/>
      <c r="AY463" s="361"/>
      <c r="AZ463" s="361"/>
      <c r="BA463" s="361"/>
      <c r="BB463" s="46">
        <f t="shared" si="189"/>
        <v>13</v>
      </c>
      <c r="BC463" s="46">
        <f t="shared" si="190"/>
        <v>15</v>
      </c>
      <c r="BD463" s="46">
        <f t="shared" si="179"/>
        <v>1</v>
      </c>
      <c r="BE463" s="46">
        <f t="shared" si="191"/>
        <v>1</v>
      </c>
      <c r="BF463" s="296">
        <f t="shared" si="192"/>
        <v>28</v>
      </c>
      <c r="BG463" s="256"/>
      <c r="BH463" s="256"/>
      <c r="BI463" s="256"/>
      <c r="BJ463" s="256"/>
      <c r="BK463" s="383"/>
      <c r="BL463" s="383"/>
      <c r="BM463" s="383"/>
      <c r="BN463" s="383"/>
      <c r="BO463" s="2">
        <f t="shared" si="183"/>
        <v>28</v>
      </c>
      <c r="BP463" s="430"/>
      <c r="BQ463" s="431"/>
      <c r="BR463" s="2"/>
      <c r="BS463" s="25"/>
      <c r="BT463" s="348">
        <f t="shared" si="182"/>
        <v>1</v>
      </c>
      <c r="BU463" s="56"/>
      <c r="BV463" s="282">
        <f t="shared" si="184"/>
        <v>0</v>
      </c>
      <c r="BW463" s="379">
        <v>0</v>
      </c>
      <c r="BX463" s="269">
        <f t="shared" si="185"/>
        <v>0</v>
      </c>
      <c r="BY463" s="264"/>
      <c r="BZ463" s="264"/>
      <c r="CA463" s="264"/>
      <c r="CB463" s="264"/>
      <c r="CC463" s="264"/>
      <c r="CD463" s="14">
        <f t="shared" si="186"/>
        <v>-13</v>
      </c>
      <c r="CE463" s="14">
        <f t="shared" si="187"/>
        <v>28</v>
      </c>
      <c r="CF463" s="2">
        <f t="shared" si="188"/>
        <v>1</v>
      </c>
      <c r="CL463" s="387"/>
      <c r="CM463" s="387"/>
      <c r="CN463" s="387"/>
      <c r="CO463" s="387"/>
      <c r="CP463" s="387"/>
      <c r="CQ463" s="100"/>
    </row>
    <row r="464" spans="1:95" s="95" customFormat="1" ht="29.4" customHeight="1">
      <c r="A464" s="46">
        <v>65</v>
      </c>
      <c r="B464" s="46">
        <v>11</v>
      </c>
      <c r="C464" s="46">
        <v>441</v>
      </c>
      <c r="D464" s="380"/>
      <c r="E464" s="380"/>
      <c r="F464" s="381"/>
      <c r="G464" s="312">
        <v>0</v>
      </c>
      <c r="H464" s="312" t="s">
        <v>1991</v>
      </c>
      <c r="I464" s="312" t="s">
        <v>1991</v>
      </c>
      <c r="J464" s="312"/>
      <c r="K464" s="312" t="s">
        <v>1991</v>
      </c>
      <c r="L464" s="312" t="s">
        <v>1991</v>
      </c>
      <c r="M464" s="312" t="s">
        <v>1991</v>
      </c>
      <c r="N464" s="312" t="s">
        <v>1991</v>
      </c>
      <c r="O464" s="312" t="s">
        <v>1991</v>
      </c>
      <c r="P464" s="312" t="s">
        <v>1991</v>
      </c>
      <c r="Q464" s="312" t="s">
        <v>1991</v>
      </c>
      <c r="R464" s="312" t="s">
        <v>1991</v>
      </c>
      <c r="S464" s="312" t="s">
        <v>1991</v>
      </c>
      <c r="T464" s="323" t="s">
        <v>1991</v>
      </c>
      <c r="U464" s="312" t="s">
        <v>1991</v>
      </c>
      <c r="V464" s="46" t="s">
        <v>1991</v>
      </c>
      <c r="W464" s="324" t="s">
        <v>1991</v>
      </c>
      <c r="X464" s="324" t="s">
        <v>1991</v>
      </c>
      <c r="Y464" s="324" t="s">
        <v>1991</v>
      </c>
      <c r="Z464" s="46" t="s">
        <v>1991</v>
      </c>
      <c r="AA464" s="324" t="s">
        <v>1991</v>
      </c>
      <c r="AB464" s="46" t="s">
        <v>1991</v>
      </c>
      <c r="AC464" s="46" t="s">
        <v>1991</v>
      </c>
      <c r="AD464" s="46" t="s">
        <v>1991</v>
      </c>
      <c r="AE464" s="324" t="s">
        <v>1991</v>
      </c>
      <c r="AF464" s="324">
        <v>0</v>
      </c>
      <c r="AG464" s="324" t="s">
        <v>1991</v>
      </c>
      <c r="AH464" s="324" t="s">
        <v>1991</v>
      </c>
      <c r="AI464" s="324" t="s">
        <v>1991</v>
      </c>
      <c r="AJ464" s="324" t="s">
        <v>1991</v>
      </c>
      <c r="AK464" s="324" t="s">
        <v>1991</v>
      </c>
      <c r="AL464" s="327">
        <v>0</v>
      </c>
      <c r="AM464" s="327"/>
      <c r="AN464" s="327"/>
      <c r="AO464" s="327"/>
      <c r="AP464" s="327"/>
      <c r="AQ464" s="327">
        <v>0</v>
      </c>
      <c r="AR464" s="327" t="s">
        <v>1991</v>
      </c>
      <c r="AS464" s="327"/>
      <c r="AT464" s="327"/>
      <c r="AU464" s="327">
        <v>0</v>
      </c>
      <c r="AV464" s="327"/>
      <c r="AW464" s="327"/>
      <c r="AX464" s="327"/>
      <c r="AY464" s="361"/>
      <c r="AZ464" s="361"/>
      <c r="BA464" s="361"/>
      <c r="BB464" s="46">
        <f t="shared" si="189"/>
        <v>13</v>
      </c>
      <c r="BC464" s="46">
        <f t="shared" si="190"/>
        <v>15</v>
      </c>
      <c r="BD464" s="46">
        <f t="shared" ref="BD464:BD495" si="193">COUNTIF(AL464:BA464,"X")</f>
        <v>1</v>
      </c>
      <c r="BE464" s="46">
        <f t="shared" si="191"/>
        <v>1</v>
      </c>
      <c r="BF464" s="296">
        <f t="shared" si="192"/>
        <v>28</v>
      </c>
      <c r="BG464" s="256"/>
      <c r="BH464" s="256"/>
      <c r="BI464" s="256"/>
      <c r="BJ464" s="256"/>
      <c r="BK464" s="383"/>
      <c r="BL464" s="383"/>
      <c r="BM464" s="383"/>
      <c r="BN464" s="383"/>
      <c r="BO464" s="2">
        <f t="shared" si="183"/>
        <v>28</v>
      </c>
      <c r="BP464" s="430"/>
      <c r="BQ464" s="431"/>
      <c r="BR464" s="2"/>
      <c r="BS464" s="25"/>
      <c r="BT464" s="348">
        <f t="shared" ref="BT464:BT495" si="194">IF(BF464&gt;=26,1,0)</f>
        <v>1</v>
      </c>
      <c r="BU464" s="56"/>
      <c r="BV464" s="282">
        <f t="shared" si="184"/>
        <v>0</v>
      </c>
      <c r="BW464" s="379">
        <v>0</v>
      </c>
      <c r="BX464" s="269">
        <f t="shared" si="185"/>
        <v>0</v>
      </c>
      <c r="BY464" s="264"/>
      <c r="BZ464" s="264"/>
      <c r="CA464" s="264"/>
      <c r="CB464" s="264"/>
      <c r="CC464" s="264"/>
      <c r="CD464" s="14">
        <f t="shared" si="186"/>
        <v>-13</v>
      </c>
      <c r="CE464" s="14">
        <f t="shared" si="187"/>
        <v>28</v>
      </c>
      <c r="CF464" s="2">
        <f t="shared" si="188"/>
        <v>1</v>
      </c>
      <c r="CL464" s="387"/>
      <c r="CM464" s="387"/>
      <c r="CN464" s="387"/>
      <c r="CO464" s="387"/>
      <c r="CP464" s="387"/>
      <c r="CQ464" s="100"/>
    </row>
    <row r="465" spans="1:95" s="95" customFormat="1" ht="29.4" customHeight="1">
      <c r="A465" s="46">
        <v>66</v>
      </c>
      <c r="B465" s="46">
        <v>11</v>
      </c>
      <c r="C465" s="46">
        <v>442</v>
      </c>
      <c r="D465" s="380"/>
      <c r="E465" s="380"/>
      <c r="F465" s="381"/>
      <c r="G465" s="312">
        <v>0</v>
      </c>
      <c r="H465" s="312" t="s">
        <v>1991</v>
      </c>
      <c r="I465" s="312" t="s">
        <v>1991</v>
      </c>
      <c r="J465" s="312"/>
      <c r="K465" s="312" t="s">
        <v>1991</v>
      </c>
      <c r="L465" s="312" t="s">
        <v>1991</v>
      </c>
      <c r="M465" s="312" t="s">
        <v>1991</v>
      </c>
      <c r="N465" s="312" t="s">
        <v>1991</v>
      </c>
      <c r="O465" s="312" t="s">
        <v>1991</v>
      </c>
      <c r="P465" s="312" t="s">
        <v>1991</v>
      </c>
      <c r="Q465" s="312" t="s">
        <v>1991</v>
      </c>
      <c r="R465" s="312" t="s">
        <v>1991</v>
      </c>
      <c r="S465" s="312" t="s">
        <v>1991</v>
      </c>
      <c r="T465" s="323" t="s">
        <v>1991</v>
      </c>
      <c r="U465" s="312" t="s">
        <v>1991</v>
      </c>
      <c r="V465" s="46" t="s">
        <v>1991</v>
      </c>
      <c r="W465" s="324" t="s">
        <v>1991</v>
      </c>
      <c r="X465" s="324" t="s">
        <v>1991</v>
      </c>
      <c r="Y465" s="324" t="s">
        <v>1991</v>
      </c>
      <c r="Z465" s="46" t="s">
        <v>1991</v>
      </c>
      <c r="AA465" s="324" t="s">
        <v>1991</v>
      </c>
      <c r="AB465" s="46" t="s">
        <v>1991</v>
      </c>
      <c r="AC465" s="46" t="s">
        <v>1991</v>
      </c>
      <c r="AD465" s="46" t="s">
        <v>1991</v>
      </c>
      <c r="AE465" s="324" t="s">
        <v>1991</v>
      </c>
      <c r="AF465" s="324">
        <v>0</v>
      </c>
      <c r="AG465" s="324" t="s">
        <v>1991</v>
      </c>
      <c r="AH465" s="324" t="s">
        <v>1991</v>
      </c>
      <c r="AI465" s="324" t="s">
        <v>1991</v>
      </c>
      <c r="AJ465" s="324" t="s">
        <v>1991</v>
      </c>
      <c r="AK465" s="324" t="s">
        <v>1991</v>
      </c>
      <c r="AL465" s="327">
        <v>0</v>
      </c>
      <c r="AM465" s="327"/>
      <c r="AN465" s="327"/>
      <c r="AO465" s="327"/>
      <c r="AP465" s="327"/>
      <c r="AQ465" s="327">
        <v>0</v>
      </c>
      <c r="AR465" s="327" t="s">
        <v>1991</v>
      </c>
      <c r="AS465" s="327"/>
      <c r="AT465" s="327"/>
      <c r="AU465" s="327">
        <v>0</v>
      </c>
      <c r="AV465" s="327"/>
      <c r="AW465" s="327"/>
      <c r="AX465" s="327"/>
      <c r="AY465" s="361"/>
      <c r="AZ465" s="361"/>
      <c r="BA465" s="361"/>
      <c r="BB465" s="46">
        <f t="shared" si="189"/>
        <v>13</v>
      </c>
      <c r="BC465" s="46">
        <f t="shared" si="190"/>
        <v>15</v>
      </c>
      <c r="BD465" s="46">
        <f t="shared" si="193"/>
        <v>1</v>
      </c>
      <c r="BE465" s="46">
        <f t="shared" si="191"/>
        <v>1</v>
      </c>
      <c r="BF465" s="296">
        <f t="shared" si="192"/>
        <v>28</v>
      </c>
      <c r="BG465" s="256"/>
      <c r="BH465" s="256"/>
      <c r="BI465" s="256"/>
      <c r="BJ465" s="256"/>
      <c r="BK465" s="383"/>
      <c r="BL465" s="383"/>
      <c r="BM465" s="383"/>
      <c r="BN465" s="383"/>
      <c r="BO465" s="2">
        <f t="shared" ref="BO465:BO481" si="195">IF(BT465&gt;0,BF465,0)</f>
        <v>28</v>
      </c>
      <c r="BP465" s="430"/>
      <c r="BQ465" s="431"/>
      <c r="BR465" s="2"/>
      <c r="BS465" s="25"/>
      <c r="BT465" s="348">
        <f t="shared" si="194"/>
        <v>1</v>
      </c>
      <c r="BU465" s="56"/>
      <c r="BV465" s="282">
        <f t="shared" ref="BV465:BV481" si="196">IF(AND(BU465&gt;0,BU465&lt;=1),50000,IF(AND(BU465&gt;1,BU465&lt;=3),40000,IF(AND(BU465&gt;3,BU465&lt;=5),20000,IF(AND(BU465&gt;5,BU465&lt;=9),0,IF(AND(BU465&gt;9,BU465&lt;=11),-20000,IF(AND(BU465&gt;11,BU465&lt;=13),-40000,IF(BU465&gt;13,-50000,0)))))))</f>
        <v>0</v>
      </c>
      <c r="BW465" s="379">
        <v>0</v>
      </c>
      <c r="BX465" s="269">
        <f t="shared" ref="BX465:BX481" si="197">IF(AND(BW465&gt;0,BW465&lt;=1),1.15,IF(AND(BW465&gt;1,BW465&lt;=3),1.1,IF(AND(BW465&gt;3,BW465&lt;=5),1.05,IF(AND(BW465&gt;5,BW465&lt;=9),1,IF(AND(BW465&gt;9,BW465&lt;=11),-0.05,IF(AND(BW465&gt;11,BW465&lt;=13),-0.1,IF(BW465&gt;13,-0.15,0)))))))</f>
        <v>0</v>
      </c>
      <c r="BY465" s="264"/>
      <c r="BZ465" s="264"/>
      <c r="CA465" s="264"/>
      <c r="CB465" s="264"/>
      <c r="CC465" s="264"/>
      <c r="CD465" s="14">
        <f t="shared" ref="CD465:CD481" si="198">CC465-BB465</f>
        <v>-13</v>
      </c>
      <c r="CE465" s="14">
        <f t="shared" ref="CE465:CE481" si="199">IF(CF465&gt;0,BF465,0)</f>
        <v>28</v>
      </c>
      <c r="CF465" s="2">
        <f t="shared" ref="CF465:CF481" si="200">IF(BF465&gt;=26,1,0)</f>
        <v>1</v>
      </c>
      <c r="CL465" s="387"/>
      <c r="CM465" s="387"/>
      <c r="CN465" s="387"/>
      <c r="CO465" s="387"/>
      <c r="CP465" s="387"/>
      <c r="CQ465" s="100"/>
    </row>
    <row r="466" spans="1:95" s="95" customFormat="1" ht="29.4" customHeight="1">
      <c r="A466" s="46">
        <v>67</v>
      </c>
      <c r="B466" s="46">
        <v>11</v>
      </c>
      <c r="C466" s="46">
        <v>443</v>
      </c>
      <c r="D466" s="380"/>
      <c r="E466" s="380"/>
      <c r="F466" s="381"/>
      <c r="G466" s="312" t="s">
        <v>1991</v>
      </c>
      <c r="H466" s="312" t="s">
        <v>1991</v>
      </c>
      <c r="I466" s="312" t="s">
        <v>1991</v>
      </c>
      <c r="J466" s="312"/>
      <c r="K466" s="312" t="s">
        <v>1991</v>
      </c>
      <c r="L466" s="312" t="s">
        <v>1991</v>
      </c>
      <c r="M466" s="312">
        <v>0</v>
      </c>
      <c r="N466" s="312" t="s">
        <v>1991</v>
      </c>
      <c r="O466" s="312">
        <v>0</v>
      </c>
      <c r="P466" s="312" t="s">
        <v>1991</v>
      </c>
      <c r="Q466" s="312" t="s">
        <v>1991</v>
      </c>
      <c r="R466" s="312" t="s">
        <v>1991</v>
      </c>
      <c r="S466" s="312" t="s">
        <v>1991</v>
      </c>
      <c r="T466" s="323" t="s">
        <v>1991</v>
      </c>
      <c r="U466" s="312">
        <v>0</v>
      </c>
      <c r="V466" s="46" t="s">
        <v>1991</v>
      </c>
      <c r="W466" s="324" t="s">
        <v>1991</v>
      </c>
      <c r="X466" s="324" t="s">
        <v>1991</v>
      </c>
      <c r="Y466" s="324" t="s">
        <v>1991</v>
      </c>
      <c r="Z466" s="46" t="s">
        <v>1991</v>
      </c>
      <c r="AA466" s="324" t="s">
        <v>1991</v>
      </c>
      <c r="AB466" s="46" t="s">
        <v>1991</v>
      </c>
      <c r="AC466" s="46" t="s">
        <v>1991</v>
      </c>
      <c r="AD466" s="46" t="s">
        <v>1991</v>
      </c>
      <c r="AE466" s="324" t="s">
        <v>1991</v>
      </c>
      <c r="AF466" s="324" t="s">
        <v>1991</v>
      </c>
      <c r="AG466" s="324" t="s">
        <v>1991</v>
      </c>
      <c r="AH466" s="324" t="s">
        <v>1991</v>
      </c>
      <c r="AI466" s="324" t="s">
        <v>1991</v>
      </c>
      <c r="AJ466" s="324" t="s">
        <v>1991</v>
      </c>
      <c r="AK466" s="324" t="s">
        <v>1991</v>
      </c>
      <c r="AL466" s="327">
        <v>0</v>
      </c>
      <c r="AM466" s="327"/>
      <c r="AN466" s="327"/>
      <c r="AO466" s="327"/>
      <c r="AP466" s="327"/>
      <c r="AQ466" s="327">
        <v>0</v>
      </c>
      <c r="AR466" s="327">
        <v>0</v>
      </c>
      <c r="AS466" s="327"/>
      <c r="AT466" s="327"/>
      <c r="AU466" s="327">
        <v>0</v>
      </c>
      <c r="AV466" s="327"/>
      <c r="AW466" s="327"/>
      <c r="AX466" s="327"/>
      <c r="AY466" s="361"/>
      <c r="AZ466" s="361"/>
      <c r="BA466" s="361"/>
      <c r="BB466" s="46">
        <f t="shared" si="189"/>
        <v>11</v>
      </c>
      <c r="BC466" s="46">
        <f t="shared" si="190"/>
        <v>16</v>
      </c>
      <c r="BD466" s="46">
        <f t="shared" si="193"/>
        <v>0</v>
      </c>
      <c r="BE466" s="46">
        <f t="shared" si="191"/>
        <v>0</v>
      </c>
      <c r="BF466" s="296">
        <f t="shared" si="192"/>
        <v>27</v>
      </c>
      <c r="BG466" s="256"/>
      <c r="BH466" s="256"/>
      <c r="BI466" s="256"/>
      <c r="BJ466" s="256"/>
      <c r="BK466" s="383"/>
      <c r="BL466" s="383"/>
      <c r="BM466" s="383"/>
      <c r="BN466" s="383"/>
      <c r="BO466" s="2">
        <f t="shared" si="195"/>
        <v>27</v>
      </c>
      <c r="BP466" s="430"/>
      <c r="BQ466" s="431"/>
      <c r="BR466" s="2"/>
      <c r="BS466" s="25"/>
      <c r="BT466" s="348">
        <f t="shared" si="194"/>
        <v>1</v>
      </c>
      <c r="BU466" s="56"/>
      <c r="BV466" s="282">
        <f t="shared" si="196"/>
        <v>0</v>
      </c>
      <c r="BW466" s="379">
        <v>20000</v>
      </c>
      <c r="BX466" s="269">
        <f t="shared" si="197"/>
        <v>-0.15</v>
      </c>
      <c r="BY466" s="264"/>
      <c r="BZ466" s="264"/>
      <c r="CA466" s="264"/>
      <c r="CB466" s="264"/>
      <c r="CC466" s="264"/>
      <c r="CD466" s="14">
        <f t="shared" si="198"/>
        <v>-11</v>
      </c>
      <c r="CE466" s="14">
        <f t="shared" si="199"/>
        <v>27</v>
      </c>
      <c r="CF466" s="2">
        <f t="shared" si="200"/>
        <v>1</v>
      </c>
      <c r="CL466" s="387"/>
      <c r="CM466" s="387"/>
      <c r="CN466" s="387"/>
      <c r="CO466" s="387"/>
      <c r="CP466" s="387"/>
      <c r="CQ466" s="100"/>
    </row>
    <row r="467" spans="1:95" s="95" customFormat="1" ht="29.4" customHeight="1">
      <c r="A467" s="46">
        <v>68</v>
      </c>
      <c r="B467" s="46">
        <v>11</v>
      </c>
      <c r="C467" s="46">
        <v>444</v>
      </c>
      <c r="D467" s="380"/>
      <c r="E467" s="380"/>
      <c r="F467" s="381"/>
      <c r="G467" s="312">
        <v>0</v>
      </c>
      <c r="H467" s="312" t="s">
        <v>1991</v>
      </c>
      <c r="I467" s="312" t="s">
        <v>1991</v>
      </c>
      <c r="J467" s="312"/>
      <c r="K467" s="312" t="s">
        <v>1991</v>
      </c>
      <c r="L467" s="312" t="s">
        <v>1991</v>
      </c>
      <c r="M467" s="312" t="s">
        <v>1991</v>
      </c>
      <c r="N467" s="312" t="s">
        <v>1991</v>
      </c>
      <c r="O467" s="312" t="s">
        <v>1991</v>
      </c>
      <c r="P467" s="312" t="s">
        <v>1991</v>
      </c>
      <c r="Q467" s="312" t="s">
        <v>1991</v>
      </c>
      <c r="R467" s="312" t="s">
        <v>1991</v>
      </c>
      <c r="S467" s="312" t="s">
        <v>1991</v>
      </c>
      <c r="T467" s="323" t="s">
        <v>1991</v>
      </c>
      <c r="U467" s="312" t="s">
        <v>1991</v>
      </c>
      <c r="V467" s="46" t="s">
        <v>1991</v>
      </c>
      <c r="W467" s="324" t="s">
        <v>1991</v>
      </c>
      <c r="X467" s="324" t="s">
        <v>1991</v>
      </c>
      <c r="Y467" s="324" t="s">
        <v>1991</v>
      </c>
      <c r="Z467" s="46" t="s">
        <v>1991</v>
      </c>
      <c r="AA467" s="324" t="s">
        <v>1991</v>
      </c>
      <c r="AB467" s="46" t="s">
        <v>1991</v>
      </c>
      <c r="AC467" s="46" t="s">
        <v>1991</v>
      </c>
      <c r="AD467" s="46" t="s">
        <v>1991</v>
      </c>
      <c r="AE467" s="324" t="s">
        <v>1991</v>
      </c>
      <c r="AF467" s="324" t="s">
        <v>1991</v>
      </c>
      <c r="AG467" s="324" t="s">
        <v>1991</v>
      </c>
      <c r="AH467" s="324" t="s">
        <v>1991</v>
      </c>
      <c r="AI467" s="324" t="s">
        <v>1991</v>
      </c>
      <c r="AJ467" s="324" t="s">
        <v>1991</v>
      </c>
      <c r="AK467" s="324" t="s">
        <v>1991</v>
      </c>
      <c r="AL467" s="327" t="s">
        <v>1991</v>
      </c>
      <c r="AM467" s="327"/>
      <c r="AN467" s="327"/>
      <c r="AO467" s="327"/>
      <c r="AP467" s="327"/>
      <c r="AQ467" s="327" t="s">
        <v>1991</v>
      </c>
      <c r="AR467" s="327" t="s">
        <v>1991</v>
      </c>
      <c r="AS467" s="327"/>
      <c r="AT467" s="327"/>
      <c r="AU467" s="327" t="s">
        <v>2069</v>
      </c>
      <c r="AV467" s="327"/>
      <c r="AW467" s="327"/>
      <c r="AX467" s="327"/>
      <c r="AY467" s="361"/>
      <c r="AZ467" s="361"/>
      <c r="BA467" s="361"/>
      <c r="BB467" s="46">
        <f t="shared" si="189"/>
        <v>13</v>
      </c>
      <c r="BC467" s="46">
        <f t="shared" si="190"/>
        <v>16</v>
      </c>
      <c r="BD467" s="46">
        <f t="shared" si="193"/>
        <v>4</v>
      </c>
      <c r="BE467" s="46">
        <f t="shared" si="191"/>
        <v>4</v>
      </c>
      <c r="BF467" s="296">
        <f t="shared" si="192"/>
        <v>29</v>
      </c>
      <c r="BG467" s="256"/>
      <c r="BH467" s="256"/>
      <c r="BI467" s="256"/>
      <c r="BJ467" s="256"/>
      <c r="BK467" s="383"/>
      <c r="BL467" s="383"/>
      <c r="BM467" s="383"/>
      <c r="BN467" s="383"/>
      <c r="BO467" s="2">
        <f t="shared" si="195"/>
        <v>29</v>
      </c>
      <c r="BP467" s="430"/>
      <c r="BQ467" s="431"/>
      <c r="BR467" s="2"/>
      <c r="BS467" s="25"/>
      <c r="BT467" s="348">
        <f t="shared" si="194"/>
        <v>1</v>
      </c>
      <c r="BU467" s="56"/>
      <c r="BV467" s="282">
        <f t="shared" si="196"/>
        <v>0</v>
      </c>
      <c r="BW467" s="379">
        <v>0</v>
      </c>
      <c r="BX467" s="269">
        <f t="shared" si="197"/>
        <v>0</v>
      </c>
      <c r="BY467" s="264"/>
      <c r="BZ467" s="264"/>
      <c r="CA467" s="264"/>
      <c r="CB467" s="264"/>
      <c r="CC467" s="264"/>
      <c r="CD467" s="14">
        <f t="shared" si="198"/>
        <v>-13</v>
      </c>
      <c r="CE467" s="14">
        <f t="shared" si="199"/>
        <v>29</v>
      </c>
      <c r="CF467" s="2">
        <f t="shared" si="200"/>
        <v>1</v>
      </c>
      <c r="CL467" s="387"/>
      <c r="CM467" s="387"/>
      <c r="CN467" s="387"/>
      <c r="CO467" s="387"/>
      <c r="CP467" s="387"/>
      <c r="CQ467" s="100"/>
    </row>
    <row r="468" spans="1:95" s="95" customFormat="1" ht="29.4" customHeight="1">
      <c r="A468" s="46">
        <v>69</v>
      </c>
      <c r="B468" s="46">
        <v>11</v>
      </c>
      <c r="C468" s="46">
        <v>445</v>
      </c>
      <c r="D468" s="380"/>
      <c r="E468" s="380"/>
      <c r="F468" s="381"/>
      <c r="G468" s="312" t="s">
        <v>1991</v>
      </c>
      <c r="H468" s="312" t="s">
        <v>1991</v>
      </c>
      <c r="I468" s="312" t="s">
        <v>1991</v>
      </c>
      <c r="J468" s="312"/>
      <c r="K468" s="312">
        <v>0</v>
      </c>
      <c r="L468" s="312" t="s">
        <v>1991</v>
      </c>
      <c r="M468" s="312" t="s">
        <v>1991</v>
      </c>
      <c r="N468" s="312" t="s">
        <v>1991</v>
      </c>
      <c r="O468" s="312" t="s">
        <v>1991</v>
      </c>
      <c r="P468" s="312" t="s">
        <v>1991</v>
      </c>
      <c r="Q468" s="312" t="s">
        <v>1991</v>
      </c>
      <c r="R468" s="312" t="s">
        <v>1991</v>
      </c>
      <c r="S468" s="312" t="s">
        <v>1991</v>
      </c>
      <c r="T468" s="323" t="s">
        <v>1991</v>
      </c>
      <c r="U468" s="312" t="s">
        <v>1991</v>
      </c>
      <c r="V468" s="46" t="s">
        <v>1991</v>
      </c>
      <c r="W468" s="324" t="s">
        <v>1991</v>
      </c>
      <c r="X468" s="324" t="s">
        <v>1991</v>
      </c>
      <c r="Y468" s="324" t="s">
        <v>1991</v>
      </c>
      <c r="Z468" s="46" t="s">
        <v>1991</v>
      </c>
      <c r="AA468" s="324" t="s">
        <v>1991</v>
      </c>
      <c r="AB468" s="46" t="s">
        <v>1991</v>
      </c>
      <c r="AC468" s="46">
        <v>0</v>
      </c>
      <c r="AD468" s="46" t="s">
        <v>1991</v>
      </c>
      <c r="AE468" s="324" t="s">
        <v>1991</v>
      </c>
      <c r="AF468" s="324" t="s">
        <v>1991</v>
      </c>
      <c r="AG468" s="324" t="s">
        <v>1991</v>
      </c>
      <c r="AH468" s="324" t="s">
        <v>1991</v>
      </c>
      <c r="AI468" s="324" t="s">
        <v>1991</v>
      </c>
      <c r="AJ468" s="324" t="s">
        <v>1991</v>
      </c>
      <c r="AK468" s="324" t="s">
        <v>1991</v>
      </c>
      <c r="AL468" s="327">
        <v>0</v>
      </c>
      <c r="AM468" s="327"/>
      <c r="AN468" s="327"/>
      <c r="AO468" s="327"/>
      <c r="AP468" s="327"/>
      <c r="AQ468" s="327">
        <v>0</v>
      </c>
      <c r="AR468" s="327">
        <v>0</v>
      </c>
      <c r="AS468" s="327"/>
      <c r="AT468" s="327"/>
      <c r="AU468" s="327" t="s">
        <v>2069</v>
      </c>
      <c r="AV468" s="327"/>
      <c r="AW468" s="327"/>
      <c r="AX468" s="327"/>
      <c r="AY468" s="361"/>
      <c r="AZ468" s="361"/>
      <c r="BA468" s="361"/>
      <c r="BB468" s="46">
        <f t="shared" si="189"/>
        <v>13</v>
      </c>
      <c r="BC468" s="46">
        <f t="shared" si="190"/>
        <v>15</v>
      </c>
      <c r="BD468" s="46">
        <f t="shared" si="193"/>
        <v>1</v>
      </c>
      <c r="BE468" s="46">
        <f t="shared" si="191"/>
        <v>1</v>
      </c>
      <c r="BF468" s="296">
        <f t="shared" si="192"/>
        <v>28</v>
      </c>
      <c r="BG468" s="256"/>
      <c r="BH468" s="256"/>
      <c r="BI468" s="256"/>
      <c r="BJ468" s="256"/>
      <c r="BK468" s="383"/>
      <c r="BL468" s="383"/>
      <c r="BM468" s="383"/>
      <c r="BN468" s="383"/>
      <c r="BO468" s="2">
        <f t="shared" si="195"/>
        <v>28</v>
      </c>
      <c r="BP468" s="430"/>
      <c r="BQ468" s="431"/>
      <c r="BR468" s="2"/>
      <c r="BS468" s="25"/>
      <c r="BT468" s="348">
        <f t="shared" si="194"/>
        <v>1</v>
      </c>
      <c r="BU468" s="56"/>
      <c r="BV468" s="282">
        <f t="shared" si="196"/>
        <v>0</v>
      </c>
      <c r="BW468" s="379">
        <v>0</v>
      </c>
      <c r="BX468" s="269">
        <f t="shared" si="197"/>
        <v>0</v>
      </c>
      <c r="BY468" s="264"/>
      <c r="BZ468" s="264"/>
      <c r="CA468" s="264"/>
      <c r="CB468" s="264"/>
      <c r="CC468" s="264"/>
      <c r="CD468" s="14">
        <f t="shared" si="198"/>
        <v>-13</v>
      </c>
      <c r="CE468" s="14">
        <f t="shared" si="199"/>
        <v>28</v>
      </c>
      <c r="CF468" s="2">
        <f t="shared" si="200"/>
        <v>1</v>
      </c>
      <c r="CL468" s="387"/>
      <c r="CM468" s="387"/>
      <c r="CN468" s="387"/>
      <c r="CO468" s="387"/>
      <c r="CP468" s="387"/>
      <c r="CQ468" s="100"/>
    </row>
    <row r="469" spans="1:95" s="95" customFormat="1" ht="29.4" customHeight="1">
      <c r="A469" s="46">
        <v>70</v>
      </c>
      <c r="B469" s="46">
        <v>11</v>
      </c>
      <c r="C469" s="46">
        <v>446</v>
      </c>
      <c r="D469" s="380"/>
      <c r="E469" s="380"/>
      <c r="F469" s="381"/>
      <c r="G469" s="312">
        <v>0</v>
      </c>
      <c r="H469" s="312" t="s">
        <v>1991</v>
      </c>
      <c r="I469" s="312" t="s">
        <v>1991</v>
      </c>
      <c r="J469" s="312"/>
      <c r="K469" s="312" t="s">
        <v>1991</v>
      </c>
      <c r="L469" s="312" t="s">
        <v>1991</v>
      </c>
      <c r="M469" s="312" t="s">
        <v>1991</v>
      </c>
      <c r="N469" s="312" t="s">
        <v>1991</v>
      </c>
      <c r="O469" s="312" t="s">
        <v>1991</v>
      </c>
      <c r="P469" s="312" t="s">
        <v>1991</v>
      </c>
      <c r="Q469" s="312" t="s">
        <v>1991</v>
      </c>
      <c r="R469" s="312" t="s">
        <v>1991</v>
      </c>
      <c r="S469" s="312" t="s">
        <v>1991</v>
      </c>
      <c r="T469" s="323" t="s">
        <v>1991</v>
      </c>
      <c r="U469" s="312" t="s">
        <v>1991</v>
      </c>
      <c r="V469" s="46" t="s">
        <v>1991</v>
      </c>
      <c r="W469" s="324">
        <v>0</v>
      </c>
      <c r="X469" s="324" t="s">
        <v>1991</v>
      </c>
      <c r="Y469" s="324" t="s">
        <v>1991</v>
      </c>
      <c r="Z469" s="46">
        <v>0</v>
      </c>
      <c r="AA469" s="324" t="s">
        <v>1991</v>
      </c>
      <c r="AB469" s="46" t="s">
        <v>1991</v>
      </c>
      <c r="AC469" s="46" t="s">
        <v>1991</v>
      </c>
      <c r="AD469" s="46" t="s">
        <v>1991</v>
      </c>
      <c r="AE469" s="324" t="s">
        <v>1991</v>
      </c>
      <c r="AF469" s="324" t="s">
        <v>1991</v>
      </c>
      <c r="AG469" s="324" t="s">
        <v>1991</v>
      </c>
      <c r="AH469" s="324">
        <v>0</v>
      </c>
      <c r="AI469" s="324" t="s">
        <v>1991</v>
      </c>
      <c r="AJ469" s="324" t="s">
        <v>1991</v>
      </c>
      <c r="AK469" s="324" t="s">
        <v>1991</v>
      </c>
      <c r="AL469" s="327">
        <v>0</v>
      </c>
      <c r="AM469" s="327"/>
      <c r="AN469" s="327"/>
      <c r="AO469" s="327"/>
      <c r="AP469" s="327"/>
      <c r="AQ469" s="327" t="s">
        <v>1991</v>
      </c>
      <c r="AR469" s="327" t="s">
        <v>1991</v>
      </c>
      <c r="AS469" s="327"/>
      <c r="AT469" s="327"/>
      <c r="AU469" s="327">
        <v>0</v>
      </c>
      <c r="AV469" s="327"/>
      <c r="AW469" s="327"/>
      <c r="AX469" s="327"/>
      <c r="AY469" s="361"/>
      <c r="AZ469" s="361"/>
      <c r="BA469" s="361"/>
      <c r="BB469" s="46">
        <f t="shared" si="189"/>
        <v>13</v>
      </c>
      <c r="BC469" s="46">
        <f t="shared" si="190"/>
        <v>13</v>
      </c>
      <c r="BD469" s="46">
        <f t="shared" si="193"/>
        <v>2</v>
      </c>
      <c r="BE469" s="46">
        <f t="shared" si="191"/>
        <v>2</v>
      </c>
      <c r="BF469" s="296">
        <f t="shared" si="192"/>
        <v>26</v>
      </c>
      <c r="BG469" s="256"/>
      <c r="BH469" s="256"/>
      <c r="BI469" s="256"/>
      <c r="BJ469" s="256"/>
      <c r="BK469" s="383"/>
      <c r="BL469" s="383"/>
      <c r="BM469" s="383"/>
      <c r="BN469" s="383"/>
      <c r="BO469" s="2">
        <f t="shared" si="195"/>
        <v>26</v>
      </c>
      <c r="BP469" s="430"/>
      <c r="BQ469" s="431"/>
      <c r="BR469" s="2"/>
      <c r="BS469" s="25"/>
      <c r="BT469" s="348">
        <f t="shared" si="194"/>
        <v>1</v>
      </c>
      <c r="BU469" s="56"/>
      <c r="BV469" s="282">
        <f t="shared" si="196"/>
        <v>0</v>
      </c>
      <c r="BW469" s="379">
        <v>-20000</v>
      </c>
      <c r="BX469" s="269">
        <f t="shared" si="197"/>
        <v>0</v>
      </c>
      <c r="BY469" s="264"/>
      <c r="BZ469" s="264"/>
      <c r="CA469" s="264"/>
      <c r="CB469" s="264"/>
      <c r="CC469" s="264"/>
      <c r="CD469" s="14">
        <f t="shared" si="198"/>
        <v>-13</v>
      </c>
      <c r="CE469" s="14">
        <f t="shared" si="199"/>
        <v>26</v>
      </c>
      <c r="CF469" s="2">
        <f t="shared" si="200"/>
        <v>1</v>
      </c>
      <c r="CL469" s="387"/>
      <c r="CM469" s="387"/>
      <c r="CN469" s="387"/>
      <c r="CO469" s="387"/>
      <c r="CP469" s="387"/>
      <c r="CQ469" s="100"/>
    </row>
    <row r="470" spans="1:95" s="95" customFormat="1" ht="29.4" customHeight="1">
      <c r="A470" s="46">
        <v>71</v>
      </c>
      <c r="B470" s="46">
        <v>11</v>
      </c>
      <c r="C470" s="46">
        <v>447</v>
      </c>
      <c r="D470" s="380"/>
      <c r="E470" s="380"/>
      <c r="F470" s="381"/>
      <c r="G470" s="312" t="s">
        <v>1991</v>
      </c>
      <c r="H470" s="312">
        <v>0</v>
      </c>
      <c r="I470" s="312" t="s">
        <v>1991</v>
      </c>
      <c r="J470" s="312"/>
      <c r="K470" s="312" t="s">
        <v>1991</v>
      </c>
      <c r="L470" s="312" t="s">
        <v>1991</v>
      </c>
      <c r="M470" s="312" t="s">
        <v>1991</v>
      </c>
      <c r="N470" s="312">
        <v>0</v>
      </c>
      <c r="O470" s="312" t="s">
        <v>1991</v>
      </c>
      <c r="P470" s="312" t="s">
        <v>1991</v>
      </c>
      <c r="Q470" s="312">
        <v>0</v>
      </c>
      <c r="R470" s="312" t="s">
        <v>1991</v>
      </c>
      <c r="S470" s="312" t="s">
        <v>1991</v>
      </c>
      <c r="T470" s="323">
        <v>0</v>
      </c>
      <c r="U470" s="312" t="s">
        <v>1991</v>
      </c>
      <c r="V470" s="46" t="s">
        <v>1991</v>
      </c>
      <c r="W470" s="324" t="s">
        <v>1991</v>
      </c>
      <c r="X470" s="324" t="s">
        <v>1991</v>
      </c>
      <c r="Y470" s="324" t="s">
        <v>1991</v>
      </c>
      <c r="Z470" s="46" t="s">
        <v>1991</v>
      </c>
      <c r="AA470" s="324" t="s">
        <v>1991</v>
      </c>
      <c r="AB470" s="46" t="s">
        <v>1991</v>
      </c>
      <c r="AC470" s="46" t="s">
        <v>1991</v>
      </c>
      <c r="AD470" s="46" t="s">
        <v>1991</v>
      </c>
      <c r="AE470" s="324" t="s">
        <v>1991</v>
      </c>
      <c r="AF470" s="324" t="s">
        <v>1991</v>
      </c>
      <c r="AG470" s="324" t="s">
        <v>1991</v>
      </c>
      <c r="AH470" s="324" t="s">
        <v>1991</v>
      </c>
      <c r="AI470" s="324" t="s">
        <v>1991</v>
      </c>
      <c r="AJ470" s="324" t="s">
        <v>1991</v>
      </c>
      <c r="AK470" s="324" t="s">
        <v>1991</v>
      </c>
      <c r="AL470" s="327">
        <v>0</v>
      </c>
      <c r="AM470" s="327"/>
      <c r="AN470" s="327"/>
      <c r="AO470" s="327"/>
      <c r="AP470" s="327"/>
      <c r="AQ470" s="327">
        <v>0</v>
      </c>
      <c r="AR470" s="327">
        <v>0</v>
      </c>
      <c r="AS470" s="327"/>
      <c r="AT470" s="327"/>
      <c r="AU470" s="327">
        <v>0</v>
      </c>
      <c r="AV470" s="327"/>
      <c r="AW470" s="327"/>
      <c r="AX470" s="327"/>
      <c r="AY470" s="361"/>
      <c r="AZ470" s="361"/>
      <c r="BA470" s="361"/>
      <c r="BB470" s="46">
        <f t="shared" si="189"/>
        <v>10</v>
      </c>
      <c r="BC470" s="46">
        <f t="shared" si="190"/>
        <v>16</v>
      </c>
      <c r="BD470" s="46">
        <f t="shared" si="193"/>
        <v>0</v>
      </c>
      <c r="BE470" s="46">
        <f t="shared" si="191"/>
        <v>0</v>
      </c>
      <c r="BF470" s="296">
        <f t="shared" si="192"/>
        <v>26</v>
      </c>
      <c r="BG470" s="256"/>
      <c r="BH470" s="256"/>
      <c r="BI470" s="256"/>
      <c r="BJ470" s="256"/>
      <c r="BK470" s="383"/>
      <c r="BL470" s="383"/>
      <c r="BM470" s="383"/>
      <c r="BN470" s="383"/>
      <c r="BO470" s="2">
        <f t="shared" si="195"/>
        <v>26</v>
      </c>
      <c r="BP470" s="430"/>
      <c r="BQ470" s="431"/>
      <c r="BR470" s="2"/>
      <c r="BS470" s="25"/>
      <c r="BT470" s="348">
        <f t="shared" si="194"/>
        <v>1</v>
      </c>
      <c r="BU470" s="56"/>
      <c r="BV470" s="282">
        <f t="shared" si="196"/>
        <v>0</v>
      </c>
      <c r="BW470" s="379">
        <v>0</v>
      </c>
      <c r="BX470" s="269">
        <f t="shared" si="197"/>
        <v>0</v>
      </c>
      <c r="BY470" s="264"/>
      <c r="BZ470" s="264"/>
      <c r="CA470" s="264"/>
      <c r="CB470" s="264"/>
      <c r="CC470" s="264"/>
      <c r="CD470" s="14">
        <f t="shared" si="198"/>
        <v>-10</v>
      </c>
      <c r="CE470" s="14">
        <f t="shared" si="199"/>
        <v>26</v>
      </c>
      <c r="CF470" s="2">
        <f t="shared" si="200"/>
        <v>1</v>
      </c>
      <c r="CL470" s="387"/>
      <c r="CM470" s="387"/>
      <c r="CN470" s="387"/>
      <c r="CO470" s="387"/>
      <c r="CP470" s="387"/>
      <c r="CQ470" s="100"/>
    </row>
    <row r="471" spans="1:95" s="95" customFormat="1" ht="29.4" customHeight="1">
      <c r="A471" s="46">
        <v>72</v>
      </c>
      <c r="B471" s="46">
        <v>11</v>
      </c>
      <c r="C471" s="46">
        <v>448</v>
      </c>
      <c r="D471" s="380"/>
      <c r="E471" s="380"/>
      <c r="F471" s="381"/>
      <c r="G471" s="312">
        <v>0</v>
      </c>
      <c r="H471" s="312" t="s">
        <v>1991</v>
      </c>
      <c r="I471" s="312" t="s">
        <v>1991</v>
      </c>
      <c r="J471" s="312"/>
      <c r="K471" s="312" t="s">
        <v>1991</v>
      </c>
      <c r="L471" s="312" t="s">
        <v>1991</v>
      </c>
      <c r="M471" s="312" t="s">
        <v>1991</v>
      </c>
      <c r="N471" s="312" t="s">
        <v>1991</v>
      </c>
      <c r="O471" s="312" t="s">
        <v>1991</v>
      </c>
      <c r="P471" s="312" t="s">
        <v>1991</v>
      </c>
      <c r="Q471" s="312" t="s">
        <v>1991</v>
      </c>
      <c r="R471" s="312" t="s">
        <v>1991</v>
      </c>
      <c r="S471" s="312" t="s">
        <v>1991</v>
      </c>
      <c r="T471" s="323" t="s">
        <v>1991</v>
      </c>
      <c r="U471" s="312" t="s">
        <v>1991</v>
      </c>
      <c r="V471" s="46" t="s">
        <v>1991</v>
      </c>
      <c r="W471" s="324" t="s">
        <v>1991</v>
      </c>
      <c r="X471" s="324" t="s">
        <v>1991</v>
      </c>
      <c r="Y471" s="324" t="s">
        <v>1991</v>
      </c>
      <c r="Z471" s="46" t="s">
        <v>1991</v>
      </c>
      <c r="AA471" s="324" t="s">
        <v>1991</v>
      </c>
      <c r="AB471" s="46" t="s">
        <v>1991</v>
      </c>
      <c r="AC471" s="46" t="s">
        <v>1991</v>
      </c>
      <c r="AD471" s="46" t="s">
        <v>1991</v>
      </c>
      <c r="AE471" s="324" t="s">
        <v>1991</v>
      </c>
      <c r="AF471" s="324" t="s">
        <v>1991</v>
      </c>
      <c r="AG471" s="324" t="s">
        <v>1991</v>
      </c>
      <c r="AH471" s="324" t="s">
        <v>1991</v>
      </c>
      <c r="AI471" s="324" t="s">
        <v>1991</v>
      </c>
      <c r="AJ471" s="324" t="s">
        <v>1991</v>
      </c>
      <c r="AK471" s="324" t="s">
        <v>1991</v>
      </c>
      <c r="AL471" s="327" t="s">
        <v>1991</v>
      </c>
      <c r="AM471" s="327"/>
      <c r="AN471" s="327"/>
      <c r="AO471" s="327"/>
      <c r="AP471" s="327"/>
      <c r="AQ471" s="327" t="s">
        <v>1991</v>
      </c>
      <c r="AR471" s="327">
        <v>0</v>
      </c>
      <c r="AS471" s="327"/>
      <c r="AT471" s="327"/>
      <c r="AU471" s="327" t="s">
        <v>2069</v>
      </c>
      <c r="AV471" s="327"/>
      <c r="AW471" s="327"/>
      <c r="AX471" s="327"/>
      <c r="AY471" s="361"/>
      <c r="AZ471" s="361"/>
      <c r="BA471" s="361"/>
      <c r="BB471" s="46">
        <f t="shared" si="189"/>
        <v>13</v>
      </c>
      <c r="BC471" s="46">
        <f t="shared" si="190"/>
        <v>16</v>
      </c>
      <c r="BD471" s="46">
        <f t="shared" si="193"/>
        <v>3</v>
      </c>
      <c r="BE471" s="46">
        <f t="shared" si="191"/>
        <v>3</v>
      </c>
      <c r="BF471" s="296">
        <f t="shared" si="192"/>
        <v>29</v>
      </c>
      <c r="BG471" s="256"/>
      <c r="BH471" s="256"/>
      <c r="BI471" s="256"/>
      <c r="BJ471" s="256"/>
      <c r="BK471" s="383"/>
      <c r="BL471" s="383"/>
      <c r="BM471" s="383"/>
      <c r="BN471" s="383"/>
      <c r="BO471" s="2">
        <f t="shared" si="195"/>
        <v>29</v>
      </c>
      <c r="BP471" s="430"/>
      <c r="BQ471" s="431"/>
      <c r="BR471" s="2"/>
      <c r="BS471" s="25"/>
      <c r="BT471" s="348">
        <f t="shared" si="194"/>
        <v>1</v>
      </c>
      <c r="BU471" s="56"/>
      <c r="BV471" s="282">
        <f t="shared" si="196"/>
        <v>0</v>
      </c>
      <c r="BW471" s="379">
        <v>-20000</v>
      </c>
      <c r="BX471" s="269">
        <f t="shared" si="197"/>
        <v>0</v>
      </c>
      <c r="BY471" s="264"/>
      <c r="BZ471" s="264"/>
      <c r="CA471" s="264"/>
      <c r="CB471" s="264"/>
      <c r="CC471" s="264"/>
      <c r="CD471" s="14">
        <f t="shared" si="198"/>
        <v>-13</v>
      </c>
      <c r="CE471" s="14">
        <f t="shared" si="199"/>
        <v>29</v>
      </c>
      <c r="CF471" s="2">
        <f t="shared" si="200"/>
        <v>1</v>
      </c>
      <c r="CL471" s="387"/>
      <c r="CM471" s="387"/>
      <c r="CN471" s="387"/>
      <c r="CO471" s="387"/>
      <c r="CP471" s="387"/>
      <c r="CQ471" s="100"/>
    </row>
    <row r="472" spans="1:95" s="95" customFormat="1" ht="29.4" customHeight="1">
      <c r="A472" s="46">
        <v>73</v>
      </c>
      <c r="B472" s="46">
        <v>11</v>
      </c>
      <c r="C472" s="46">
        <v>449</v>
      </c>
      <c r="D472" s="380"/>
      <c r="E472" s="380"/>
      <c r="F472" s="381"/>
      <c r="G472" s="312" t="s">
        <v>1991</v>
      </c>
      <c r="H472" s="312" t="s">
        <v>1991</v>
      </c>
      <c r="I472" s="312" t="s">
        <v>1991</v>
      </c>
      <c r="J472" s="312"/>
      <c r="K472" s="312" t="s">
        <v>1991</v>
      </c>
      <c r="L472" s="312" t="s">
        <v>1991</v>
      </c>
      <c r="M472" s="312" t="s">
        <v>1991</v>
      </c>
      <c r="N472" s="312" t="s">
        <v>1991</v>
      </c>
      <c r="O472" s="312" t="s">
        <v>1991</v>
      </c>
      <c r="P472" s="312" t="s">
        <v>1991</v>
      </c>
      <c r="Q472" s="312" t="s">
        <v>1991</v>
      </c>
      <c r="R472" s="312" t="s">
        <v>1991</v>
      </c>
      <c r="S472" s="312" t="s">
        <v>1991</v>
      </c>
      <c r="T472" s="323" t="s">
        <v>1991</v>
      </c>
      <c r="U472" s="312" t="s">
        <v>1991</v>
      </c>
      <c r="V472" s="46" t="s">
        <v>1991</v>
      </c>
      <c r="W472" s="324" t="s">
        <v>1991</v>
      </c>
      <c r="X472" s="324" t="s">
        <v>1991</v>
      </c>
      <c r="Y472" s="324" t="s">
        <v>1991</v>
      </c>
      <c r="Z472" s="46" t="s">
        <v>1991</v>
      </c>
      <c r="AA472" s="324" t="s">
        <v>1991</v>
      </c>
      <c r="AB472" s="46" t="s">
        <v>1991</v>
      </c>
      <c r="AC472" s="46">
        <v>0</v>
      </c>
      <c r="AD472" s="46" t="s">
        <v>1991</v>
      </c>
      <c r="AE472" s="324" t="s">
        <v>1991</v>
      </c>
      <c r="AF472" s="324" t="s">
        <v>1991</v>
      </c>
      <c r="AG472" s="324" t="s">
        <v>1991</v>
      </c>
      <c r="AH472" s="324" t="s">
        <v>1991</v>
      </c>
      <c r="AI472" s="324" t="s">
        <v>1991</v>
      </c>
      <c r="AJ472" s="324" t="s">
        <v>1991</v>
      </c>
      <c r="AK472" s="324" t="s">
        <v>1991</v>
      </c>
      <c r="AL472" s="327">
        <v>0</v>
      </c>
      <c r="AM472" s="327"/>
      <c r="AN472" s="327"/>
      <c r="AO472" s="327"/>
      <c r="AP472" s="327"/>
      <c r="AQ472" s="327">
        <v>0</v>
      </c>
      <c r="AR472" s="327" t="s">
        <v>1991</v>
      </c>
      <c r="AS472" s="327"/>
      <c r="AT472" s="327"/>
      <c r="AU472" s="327" t="s">
        <v>2069</v>
      </c>
      <c r="AV472" s="327"/>
      <c r="AW472" s="327"/>
      <c r="AX472" s="327"/>
      <c r="AY472" s="361"/>
      <c r="AZ472" s="361"/>
      <c r="BA472" s="361"/>
      <c r="BB472" s="46">
        <f t="shared" si="189"/>
        <v>14</v>
      </c>
      <c r="BC472" s="46">
        <f t="shared" si="190"/>
        <v>15</v>
      </c>
      <c r="BD472" s="46">
        <f t="shared" si="193"/>
        <v>2</v>
      </c>
      <c r="BE472" s="46">
        <f t="shared" si="191"/>
        <v>2</v>
      </c>
      <c r="BF472" s="296">
        <f t="shared" si="192"/>
        <v>29</v>
      </c>
      <c r="BG472" s="256"/>
      <c r="BH472" s="256"/>
      <c r="BI472" s="256"/>
      <c r="BJ472" s="256"/>
      <c r="BK472" s="383"/>
      <c r="BL472" s="383"/>
      <c r="BM472" s="383"/>
      <c r="BN472" s="383"/>
      <c r="BO472" s="2">
        <f t="shared" si="195"/>
        <v>29</v>
      </c>
      <c r="BP472" s="430"/>
      <c r="BQ472" s="431"/>
      <c r="BR472" s="2"/>
      <c r="BS472" s="25"/>
      <c r="BT472" s="348">
        <f t="shared" si="194"/>
        <v>1</v>
      </c>
      <c r="BU472" s="56"/>
      <c r="BV472" s="282">
        <f t="shared" si="196"/>
        <v>0</v>
      </c>
      <c r="BW472" s="379">
        <v>0</v>
      </c>
      <c r="BX472" s="269">
        <f t="shared" si="197"/>
        <v>0</v>
      </c>
      <c r="BY472" s="264"/>
      <c r="BZ472" s="264"/>
      <c r="CA472" s="264"/>
      <c r="CB472" s="264"/>
      <c r="CC472" s="264"/>
      <c r="CD472" s="14">
        <f t="shared" si="198"/>
        <v>-14</v>
      </c>
      <c r="CE472" s="14">
        <f t="shared" si="199"/>
        <v>29</v>
      </c>
      <c r="CF472" s="2">
        <f t="shared" si="200"/>
        <v>1</v>
      </c>
      <c r="CL472" s="387"/>
      <c r="CM472" s="387"/>
      <c r="CN472" s="387"/>
      <c r="CO472" s="387"/>
      <c r="CP472" s="387"/>
      <c r="CQ472" s="100"/>
    </row>
    <row r="473" spans="1:95" s="95" customFormat="1" ht="29.4" customHeight="1">
      <c r="A473" s="46">
        <v>74</v>
      </c>
      <c r="B473" s="46">
        <v>11</v>
      </c>
      <c r="C473" s="46">
        <v>450</v>
      </c>
      <c r="D473" s="380"/>
      <c r="E473" s="380"/>
      <c r="F473" s="381"/>
      <c r="G473" s="312">
        <v>0</v>
      </c>
      <c r="H473" s="312" t="s">
        <v>1991</v>
      </c>
      <c r="I473" s="312" t="s">
        <v>1991</v>
      </c>
      <c r="J473" s="312"/>
      <c r="K473" s="312" t="s">
        <v>1991</v>
      </c>
      <c r="L473" s="312" t="s">
        <v>1991</v>
      </c>
      <c r="M473" s="312" t="s">
        <v>1991</v>
      </c>
      <c r="N473" s="312" t="s">
        <v>1991</v>
      </c>
      <c r="O473" s="312" t="s">
        <v>1991</v>
      </c>
      <c r="P473" s="312" t="s">
        <v>1991</v>
      </c>
      <c r="Q473" s="312" t="s">
        <v>1991</v>
      </c>
      <c r="R473" s="312" t="s">
        <v>1991</v>
      </c>
      <c r="S473" s="312" t="s">
        <v>1991</v>
      </c>
      <c r="T473" s="323" t="s">
        <v>1991</v>
      </c>
      <c r="U473" s="312" t="s">
        <v>1991</v>
      </c>
      <c r="V473" s="46" t="s">
        <v>1991</v>
      </c>
      <c r="W473" s="324" t="s">
        <v>1991</v>
      </c>
      <c r="X473" s="324" t="s">
        <v>1991</v>
      </c>
      <c r="Y473" s="324" t="s">
        <v>1991</v>
      </c>
      <c r="Z473" s="46" t="s">
        <v>1991</v>
      </c>
      <c r="AA473" s="324" t="s">
        <v>1991</v>
      </c>
      <c r="AB473" s="46" t="s">
        <v>1991</v>
      </c>
      <c r="AC473" s="46" t="s">
        <v>1991</v>
      </c>
      <c r="AD473" s="46" t="s">
        <v>1991</v>
      </c>
      <c r="AE473" s="324" t="s">
        <v>1991</v>
      </c>
      <c r="AF473" s="324" t="s">
        <v>1991</v>
      </c>
      <c r="AG473" s="324" t="s">
        <v>1991</v>
      </c>
      <c r="AH473" s="324" t="s">
        <v>1991</v>
      </c>
      <c r="AI473" s="324" t="s">
        <v>1991</v>
      </c>
      <c r="AJ473" s="324" t="s">
        <v>1991</v>
      </c>
      <c r="AK473" s="324" t="s">
        <v>1991</v>
      </c>
      <c r="AL473" s="327" t="s">
        <v>1991</v>
      </c>
      <c r="AM473" s="327"/>
      <c r="AN473" s="327"/>
      <c r="AO473" s="327"/>
      <c r="AP473" s="327"/>
      <c r="AQ473" s="327" t="s">
        <v>1991</v>
      </c>
      <c r="AR473" s="327" t="s">
        <v>1991</v>
      </c>
      <c r="AS473" s="327"/>
      <c r="AT473" s="327"/>
      <c r="AU473" s="327" t="s">
        <v>2069</v>
      </c>
      <c r="AV473" s="327"/>
      <c r="AW473" s="327"/>
      <c r="AX473" s="327"/>
      <c r="AY473" s="361"/>
      <c r="AZ473" s="361"/>
      <c r="BA473" s="361"/>
      <c r="BB473" s="46">
        <f t="shared" si="189"/>
        <v>13</v>
      </c>
      <c r="BC473" s="46">
        <f t="shared" si="190"/>
        <v>16</v>
      </c>
      <c r="BD473" s="46">
        <f t="shared" si="193"/>
        <v>4</v>
      </c>
      <c r="BE473" s="46">
        <f t="shared" si="191"/>
        <v>4</v>
      </c>
      <c r="BF473" s="296">
        <f t="shared" si="192"/>
        <v>29</v>
      </c>
      <c r="BG473" s="256"/>
      <c r="BH473" s="256"/>
      <c r="BI473" s="256"/>
      <c r="BJ473" s="256"/>
      <c r="BK473" s="383"/>
      <c r="BL473" s="383"/>
      <c r="BM473" s="383"/>
      <c r="BN473" s="383"/>
      <c r="BO473" s="2">
        <f t="shared" si="195"/>
        <v>29</v>
      </c>
      <c r="BP473" s="430"/>
      <c r="BQ473" s="431"/>
      <c r="BR473" s="2"/>
      <c r="BS473" s="25"/>
      <c r="BT473" s="348">
        <f t="shared" si="194"/>
        <v>1</v>
      </c>
      <c r="BU473" s="56"/>
      <c r="BV473" s="282">
        <f t="shared" si="196"/>
        <v>0</v>
      </c>
      <c r="BW473" s="379">
        <v>0</v>
      </c>
      <c r="BX473" s="269">
        <f t="shared" si="197"/>
        <v>0</v>
      </c>
      <c r="BY473" s="264"/>
      <c r="BZ473" s="264"/>
      <c r="CA473" s="264"/>
      <c r="CB473" s="264"/>
      <c r="CC473" s="264"/>
      <c r="CD473" s="14">
        <f t="shared" si="198"/>
        <v>-13</v>
      </c>
      <c r="CE473" s="14">
        <f t="shared" si="199"/>
        <v>29</v>
      </c>
      <c r="CF473" s="2">
        <f t="shared" si="200"/>
        <v>1</v>
      </c>
      <c r="CL473" s="387"/>
      <c r="CM473" s="387"/>
      <c r="CN473" s="387"/>
      <c r="CO473" s="387"/>
      <c r="CP473" s="387"/>
      <c r="CQ473" s="100"/>
    </row>
    <row r="474" spans="1:95" s="95" customFormat="1" ht="29.4" customHeight="1">
      <c r="A474" s="46">
        <v>75</v>
      </c>
      <c r="B474" s="46">
        <v>11</v>
      </c>
      <c r="C474" s="46">
        <v>451</v>
      </c>
      <c r="D474" s="380"/>
      <c r="E474" s="380"/>
      <c r="F474" s="381"/>
      <c r="G474" s="312" t="s">
        <v>1991</v>
      </c>
      <c r="H474" s="312" t="s">
        <v>1991</v>
      </c>
      <c r="I474" s="312" t="s">
        <v>1991</v>
      </c>
      <c r="J474" s="312"/>
      <c r="K474" s="312" t="s">
        <v>1991</v>
      </c>
      <c r="L474" s="312" t="s">
        <v>1991</v>
      </c>
      <c r="M474" s="312" t="s">
        <v>1991</v>
      </c>
      <c r="N474" s="312" t="s">
        <v>1991</v>
      </c>
      <c r="O474" s="312" t="s">
        <v>1991</v>
      </c>
      <c r="P474" s="312" t="s">
        <v>1991</v>
      </c>
      <c r="Q474" s="312" t="s">
        <v>1991</v>
      </c>
      <c r="R474" s="312" t="s">
        <v>1991</v>
      </c>
      <c r="S474" s="312">
        <v>0</v>
      </c>
      <c r="T474" s="323" t="s">
        <v>1991</v>
      </c>
      <c r="U474" s="312" t="s">
        <v>1991</v>
      </c>
      <c r="V474" s="46">
        <v>0</v>
      </c>
      <c r="W474" s="324" t="s">
        <v>1991</v>
      </c>
      <c r="X474" s="324" t="s">
        <v>1991</v>
      </c>
      <c r="Y474" s="324" t="s">
        <v>1991</v>
      </c>
      <c r="Z474" s="46" t="s">
        <v>1991</v>
      </c>
      <c r="AA474" s="324" t="s">
        <v>1991</v>
      </c>
      <c r="AB474" s="46" t="s">
        <v>1991</v>
      </c>
      <c r="AC474" s="46" t="s">
        <v>1991</v>
      </c>
      <c r="AD474" s="46" t="s">
        <v>1991</v>
      </c>
      <c r="AE474" s="324" t="s">
        <v>1991</v>
      </c>
      <c r="AF474" s="324">
        <v>0</v>
      </c>
      <c r="AG474" s="324" t="s">
        <v>1991</v>
      </c>
      <c r="AH474" s="324" t="s">
        <v>1991</v>
      </c>
      <c r="AI474" s="324" t="s">
        <v>1991</v>
      </c>
      <c r="AJ474" s="324" t="s">
        <v>1991</v>
      </c>
      <c r="AK474" s="324" t="s">
        <v>1991</v>
      </c>
      <c r="AL474" s="327">
        <v>0</v>
      </c>
      <c r="AM474" s="327"/>
      <c r="AN474" s="327"/>
      <c r="AO474" s="327"/>
      <c r="AP474" s="327"/>
      <c r="AQ474" s="327">
        <v>0</v>
      </c>
      <c r="AR474" s="327" t="s">
        <v>1991</v>
      </c>
      <c r="AS474" s="327"/>
      <c r="AT474" s="327"/>
      <c r="AU474" s="327">
        <v>0</v>
      </c>
      <c r="AV474" s="327"/>
      <c r="AW474" s="327"/>
      <c r="AX474" s="327"/>
      <c r="AY474" s="361"/>
      <c r="AZ474" s="361"/>
      <c r="BA474" s="361"/>
      <c r="BB474" s="46">
        <f t="shared" si="189"/>
        <v>13</v>
      </c>
      <c r="BC474" s="46">
        <f t="shared" si="190"/>
        <v>14</v>
      </c>
      <c r="BD474" s="46">
        <f t="shared" si="193"/>
        <v>1</v>
      </c>
      <c r="BE474" s="46">
        <f t="shared" si="191"/>
        <v>1</v>
      </c>
      <c r="BF474" s="296">
        <f t="shared" si="192"/>
        <v>27</v>
      </c>
      <c r="BG474" s="256"/>
      <c r="BH474" s="256"/>
      <c r="BI474" s="256"/>
      <c r="BJ474" s="256"/>
      <c r="BK474" s="383"/>
      <c r="BL474" s="383"/>
      <c r="BM474" s="383"/>
      <c r="BN474" s="383"/>
      <c r="BO474" s="2">
        <f t="shared" si="195"/>
        <v>27</v>
      </c>
      <c r="BP474" s="430"/>
      <c r="BQ474" s="431"/>
      <c r="BR474" s="2"/>
      <c r="BS474" s="25"/>
      <c r="BT474" s="348">
        <f t="shared" si="194"/>
        <v>1</v>
      </c>
      <c r="BU474" s="56"/>
      <c r="BV474" s="282">
        <f t="shared" si="196"/>
        <v>0</v>
      </c>
      <c r="BW474" s="379">
        <v>0</v>
      </c>
      <c r="BX474" s="269">
        <f t="shared" si="197"/>
        <v>0</v>
      </c>
      <c r="BY474" s="264"/>
      <c r="BZ474" s="264"/>
      <c r="CA474" s="264"/>
      <c r="CB474" s="264"/>
      <c r="CC474" s="264"/>
      <c r="CD474" s="14">
        <f t="shared" si="198"/>
        <v>-13</v>
      </c>
      <c r="CE474" s="14">
        <f t="shared" si="199"/>
        <v>27</v>
      </c>
      <c r="CF474" s="2">
        <f t="shared" si="200"/>
        <v>1</v>
      </c>
      <c r="CL474" s="387"/>
      <c r="CM474" s="387"/>
      <c r="CN474" s="387"/>
      <c r="CO474" s="387"/>
      <c r="CP474" s="387"/>
      <c r="CQ474" s="100"/>
    </row>
    <row r="475" spans="1:95" s="95" customFormat="1" ht="29.4" customHeight="1">
      <c r="A475" s="46">
        <v>76</v>
      </c>
      <c r="B475" s="46">
        <v>11</v>
      </c>
      <c r="C475" s="46">
        <v>452</v>
      </c>
      <c r="D475" s="380"/>
      <c r="E475" s="380"/>
      <c r="F475" s="381"/>
      <c r="G475" s="312" t="s">
        <v>1991</v>
      </c>
      <c r="H475" s="312" t="s">
        <v>1991</v>
      </c>
      <c r="I475" s="312" t="s">
        <v>1991</v>
      </c>
      <c r="J475" s="312"/>
      <c r="K475" s="312">
        <v>0</v>
      </c>
      <c r="L475" s="312" t="s">
        <v>1991</v>
      </c>
      <c r="M475" s="312">
        <v>0</v>
      </c>
      <c r="N475" s="312" t="s">
        <v>1991</v>
      </c>
      <c r="O475" s="312" t="s">
        <v>1991</v>
      </c>
      <c r="P475" s="312" t="s">
        <v>1991</v>
      </c>
      <c r="Q475" s="312" t="s">
        <v>1991</v>
      </c>
      <c r="R475" s="312" t="s">
        <v>1991</v>
      </c>
      <c r="S475" s="312" t="s">
        <v>1991</v>
      </c>
      <c r="T475" s="323" t="s">
        <v>1991</v>
      </c>
      <c r="U475" s="312" t="s">
        <v>1991</v>
      </c>
      <c r="V475" s="46" t="s">
        <v>1991</v>
      </c>
      <c r="W475" s="324" t="s">
        <v>1991</v>
      </c>
      <c r="X475" s="324" t="s">
        <v>1991</v>
      </c>
      <c r="Y475" s="324" t="s">
        <v>1991</v>
      </c>
      <c r="Z475" s="46" t="s">
        <v>1991</v>
      </c>
      <c r="AA475" s="324" t="s">
        <v>1991</v>
      </c>
      <c r="AB475" s="46" t="s">
        <v>1991</v>
      </c>
      <c r="AC475" s="46" t="s">
        <v>1991</v>
      </c>
      <c r="AD475" s="46" t="s">
        <v>1991</v>
      </c>
      <c r="AE475" s="324" t="s">
        <v>1991</v>
      </c>
      <c r="AF475" s="324">
        <v>0</v>
      </c>
      <c r="AG475" s="324" t="s">
        <v>1991</v>
      </c>
      <c r="AH475" s="324" t="s">
        <v>1991</v>
      </c>
      <c r="AI475" s="324" t="s">
        <v>1991</v>
      </c>
      <c r="AJ475" s="324" t="s">
        <v>1991</v>
      </c>
      <c r="AK475" s="324" t="s">
        <v>1991</v>
      </c>
      <c r="AL475" s="327" t="s">
        <v>1991</v>
      </c>
      <c r="AM475" s="327"/>
      <c r="AN475" s="327"/>
      <c r="AO475" s="327"/>
      <c r="AP475" s="327"/>
      <c r="AQ475" s="327">
        <v>0</v>
      </c>
      <c r="AR475" s="327" t="s">
        <v>1991</v>
      </c>
      <c r="AS475" s="327"/>
      <c r="AT475" s="327"/>
      <c r="AU475" s="327" t="s">
        <v>2069</v>
      </c>
      <c r="AV475" s="327"/>
      <c r="AW475" s="327"/>
      <c r="AX475" s="327"/>
      <c r="AY475" s="361"/>
      <c r="AZ475" s="361"/>
      <c r="BA475" s="361"/>
      <c r="BB475" s="46">
        <f t="shared" si="189"/>
        <v>12</v>
      </c>
      <c r="BC475" s="46">
        <f t="shared" si="190"/>
        <v>15</v>
      </c>
      <c r="BD475" s="46">
        <f t="shared" si="193"/>
        <v>3</v>
      </c>
      <c r="BE475" s="46">
        <f t="shared" si="191"/>
        <v>3</v>
      </c>
      <c r="BF475" s="296">
        <f t="shared" si="192"/>
        <v>27</v>
      </c>
      <c r="BG475" s="256"/>
      <c r="BH475" s="256"/>
      <c r="BI475" s="256"/>
      <c r="BJ475" s="256"/>
      <c r="BK475" s="383"/>
      <c r="BL475" s="383"/>
      <c r="BM475" s="383"/>
      <c r="BN475" s="383"/>
      <c r="BO475" s="2">
        <f t="shared" si="195"/>
        <v>27</v>
      </c>
      <c r="BP475" s="430"/>
      <c r="BQ475" s="431"/>
      <c r="BR475" s="2"/>
      <c r="BS475" s="25"/>
      <c r="BT475" s="348">
        <f t="shared" si="194"/>
        <v>1</v>
      </c>
      <c r="BU475" s="56"/>
      <c r="BV475" s="282">
        <f t="shared" si="196"/>
        <v>0</v>
      </c>
      <c r="BW475" s="379">
        <v>0</v>
      </c>
      <c r="BX475" s="269">
        <f t="shared" si="197"/>
        <v>0</v>
      </c>
      <c r="BY475" s="264"/>
      <c r="BZ475" s="264"/>
      <c r="CA475" s="264"/>
      <c r="CB475" s="264"/>
      <c r="CC475" s="264"/>
      <c r="CD475" s="14">
        <f t="shared" si="198"/>
        <v>-12</v>
      </c>
      <c r="CE475" s="14">
        <f t="shared" si="199"/>
        <v>27</v>
      </c>
      <c r="CF475" s="2">
        <f t="shared" si="200"/>
        <v>1</v>
      </c>
      <c r="CL475" s="387"/>
      <c r="CM475" s="387"/>
      <c r="CN475" s="387"/>
      <c r="CO475" s="387"/>
      <c r="CP475" s="387"/>
      <c r="CQ475" s="100"/>
    </row>
    <row r="476" spans="1:95" s="95" customFormat="1" ht="29.4" customHeight="1">
      <c r="A476" s="46">
        <v>77</v>
      </c>
      <c r="B476" s="46">
        <v>11</v>
      </c>
      <c r="C476" s="46">
        <v>453</v>
      </c>
      <c r="D476" s="380"/>
      <c r="E476" s="380"/>
      <c r="F476" s="381"/>
      <c r="G476" s="312" t="s">
        <v>1991</v>
      </c>
      <c r="H476" s="312" t="s">
        <v>1991</v>
      </c>
      <c r="I476" s="312" t="s">
        <v>1991</v>
      </c>
      <c r="J476" s="312"/>
      <c r="K476" s="312">
        <v>0</v>
      </c>
      <c r="L476" s="312" t="s">
        <v>1991</v>
      </c>
      <c r="M476" s="312">
        <v>0</v>
      </c>
      <c r="N476" s="312" t="s">
        <v>1991</v>
      </c>
      <c r="O476" s="312" t="s">
        <v>1991</v>
      </c>
      <c r="P476" s="312" t="s">
        <v>1991</v>
      </c>
      <c r="Q476" s="312" t="s">
        <v>1991</v>
      </c>
      <c r="R476" s="312" t="s">
        <v>1991</v>
      </c>
      <c r="S476" s="312" t="s">
        <v>1991</v>
      </c>
      <c r="T476" s="323" t="s">
        <v>1991</v>
      </c>
      <c r="U476" s="312" t="s">
        <v>1991</v>
      </c>
      <c r="V476" s="46" t="s">
        <v>1991</v>
      </c>
      <c r="W476" s="324" t="s">
        <v>1991</v>
      </c>
      <c r="X476" s="324" t="s">
        <v>1991</v>
      </c>
      <c r="Y476" s="324" t="s">
        <v>1991</v>
      </c>
      <c r="Z476" s="46" t="s">
        <v>1991</v>
      </c>
      <c r="AA476" s="324" t="s">
        <v>1991</v>
      </c>
      <c r="AB476" s="46" t="s">
        <v>1991</v>
      </c>
      <c r="AC476" s="46" t="s">
        <v>1991</v>
      </c>
      <c r="AD476" s="46" t="s">
        <v>1991</v>
      </c>
      <c r="AE476" s="324" t="s">
        <v>1991</v>
      </c>
      <c r="AF476" s="324" t="s">
        <v>1991</v>
      </c>
      <c r="AG476" s="324" t="s">
        <v>1991</v>
      </c>
      <c r="AH476" s="324" t="s">
        <v>1991</v>
      </c>
      <c r="AI476" s="324" t="s">
        <v>1991</v>
      </c>
      <c r="AJ476" s="324">
        <v>0</v>
      </c>
      <c r="AK476" s="324" t="s">
        <v>1991</v>
      </c>
      <c r="AL476" s="327" t="s">
        <v>1991</v>
      </c>
      <c r="AM476" s="327"/>
      <c r="AN476" s="327"/>
      <c r="AO476" s="327"/>
      <c r="AP476" s="327"/>
      <c r="AQ476" s="327">
        <v>0</v>
      </c>
      <c r="AR476" s="327" t="s">
        <v>1991</v>
      </c>
      <c r="AS476" s="327"/>
      <c r="AT476" s="327"/>
      <c r="AU476" s="327" t="s">
        <v>2069</v>
      </c>
      <c r="AV476" s="327"/>
      <c r="AW476" s="327"/>
      <c r="AX476" s="327"/>
      <c r="AY476" s="361"/>
      <c r="AZ476" s="361"/>
      <c r="BA476" s="361"/>
      <c r="BB476" s="46">
        <f t="shared" si="189"/>
        <v>12</v>
      </c>
      <c r="BC476" s="46">
        <f t="shared" si="190"/>
        <v>15</v>
      </c>
      <c r="BD476" s="46">
        <f t="shared" si="193"/>
        <v>3</v>
      </c>
      <c r="BE476" s="46">
        <f t="shared" si="191"/>
        <v>3</v>
      </c>
      <c r="BF476" s="296">
        <f t="shared" si="192"/>
        <v>27</v>
      </c>
      <c r="BG476" s="256"/>
      <c r="BH476" s="256"/>
      <c r="BI476" s="256"/>
      <c r="BJ476" s="256"/>
      <c r="BK476" s="383"/>
      <c r="BL476" s="383"/>
      <c r="BM476" s="383"/>
      <c r="BN476" s="383"/>
      <c r="BO476" s="2">
        <f t="shared" si="195"/>
        <v>27</v>
      </c>
      <c r="BP476" s="430"/>
      <c r="BQ476" s="431"/>
      <c r="BR476" s="2"/>
      <c r="BS476" s="25"/>
      <c r="BT476" s="348">
        <f t="shared" si="194"/>
        <v>1</v>
      </c>
      <c r="BU476" s="56"/>
      <c r="BV476" s="282">
        <f t="shared" si="196"/>
        <v>0</v>
      </c>
      <c r="BW476" s="379">
        <v>0</v>
      </c>
      <c r="BX476" s="269">
        <f t="shared" si="197"/>
        <v>0</v>
      </c>
      <c r="BY476" s="264"/>
      <c r="BZ476" s="264"/>
      <c r="CA476" s="264"/>
      <c r="CB476" s="264"/>
      <c r="CC476" s="264"/>
      <c r="CD476" s="14">
        <f t="shared" si="198"/>
        <v>-12</v>
      </c>
      <c r="CE476" s="14">
        <f t="shared" si="199"/>
        <v>27</v>
      </c>
      <c r="CF476" s="2">
        <f t="shared" si="200"/>
        <v>1</v>
      </c>
      <c r="CL476" s="387"/>
      <c r="CM476" s="387"/>
      <c r="CN476" s="387"/>
      <c r="CO476" s="387"/>
      <c r="CP476" s="387"/>
      <c r="CQ476" s="100"/>
    </row>
    <row r="477" spans="1:95" s="95" customFormat="1" ht="29.4" customHeight="1">
      <c r="A477" s="46">
        <v>78</v>
      </c>
      <c r="B477" s="46">
        <v>11</v>
      </c>
      <c r="C477" s="46">
        <v>454</v>
      </c>
      <c r="D477" s="380"/>
      <c r="E477" s="380"/>
      <c r="F477" s="381"/>
      <c r="G477" s="312" t="s">
        <v>1991</v>
      </c>
      <c r="H477" s="312" t="s">
        <v>1991</v>
      </c>
      <c r="I477" s="312" t="s">
        <v>1991</v>
      </c>
      <c r="J477" s="312"/>
      <c r="K477" s="312">
        <v>0</v>
      </c>
      <c r="L477" s="312" t="s">
        <v>1991</v>
      </c>
      <c r="M477" s="312" t="s">
        <v>1991</v>
      </c>
      <c r="N477" s="312" t="s">
        <v>1991</v>
      </c>
      <c r="O477" s="312" t="s">
        <v>1991</v>
      </c>
      <c r="P477" s="312" t="s">
        <v>1991</v>
      </c>
      <c r="Q477" s="312" t="s">
        <v>1991</v>
      </c>
      <c r="R477" s="312" t="s">
        <v>1991</v>
      </c>
      <c r="S477" s="312" t="s">
        <v>1991</v>
      </c>
      <c r="T477" s="323" t="s">
        <v>1991</v>
      </c>
      <c r="U477" s="312" t="s">
        <v>1991</v>
      </c>
      <c r="V477" s="46" t="s">
        <v>1991</v>
      </c>
      <c r="W477" s="324" t="s">
        <v>1991</v>
      </c>
      <c r="X477" s="324" t="s">
        <v>1991</v>
      </c>
      <c r="Y477" s="324" t="s">
        <v>1991</v>
      </c>
      <c r="Z477" s="46" t="s">
        <v>1991</v>
      </c>
      <c r="AA477" s="324" t="s">
        <v>1991</v>
      </c>
      <c r="AB477" s="46" t="s">
        <v>1991</v>
      </c>
      <c r="AC477" s="46" t="s">
        <v>1991</v>
      </c>
      <c r="AD477" s="46" t="s">
        <v>1991</v>
      </c>
      <c r="AE477" s="324">
        <v>0</v>
      </c>
      <c r="AF477" s="324" t="s">
        <v>1991</v>
      </c>
      <c r="AG477" s="324" t="s">
        <v>1991</v>
      </c>
      <c r="AH477" s="324" t="s">
        <v>1991</v>
      </c>
      <c r="AI477" s="324" t="s">
        <v>1991</v>
      </c>
      <c r="AJ477" s="324" t="s">
        <v>1991</v>
      </c>
      <c r="AK477" s="324" t="s">
        <v>1991</v>
      </c>
      <c r="AL477" s="327" t="s">
        <v>1991</v>
      </c>
      <c r="AM477" s="327"/>
      <c r="AN477" s="327"/>
      <c r="AO477" s="327"/>
      <c r="AP477" s="327"/>
      <c r="AQ477" s="327" t="s">
        <v>1991</v>
      </c>
      <c r="AR477" s="327">
        <v>0</v>
      </c>
      <c r="AS477" s="327"/>
      <c r="AT477" s="327"/>
      <c r="AU477" s="327" t="s">
        <v>2069</v>
      </c>
      <c r="AV477" s="327"/>
      <c r="AW477" s="327"/>
      <c r="AX477" s="327"/>
      <c r="AY477" s="361"/>
      <c r="AZ477" s="361"/>
      <c r="BA477" s="361"/>
      <c r="BB477" s="46">
        <f t="shared" si="189"/>
        <v>13</v>
      </c>
      <c r="BC477" s="46">
        <f t="shared" si="190"/>
        <v>15</v>
      </c>
      <c r="BD477" s="46">
        <f t="shared" si="193"/>
        <v>3</v>
      </c>
      <c r="BE477" s="46">
        <f t="shared" si="191"/>
        <v>3</v>
      </c>
      <c r="BF477" s="296">
        <f t="shared" si="192"/>
        <v>28</v>
      </c>
      <c r="BG477" s="256"/>
      <c r="BH477" s="256"/>
      <c r="BI477" s="256"/>
      <c r="BJ477" s="256"/>
      <c r="BK477" s="383"/>
      <c r="BL477" s="383"/>
      <c r="BM477" s="383"/>
      <c r="BN477" s="383"/>
      <c r="BO477" s="2">
        <f t="shared" si="195"/>
        <v>28</v>
      </c>
      <c r="BP477" s="430"/>
      <c r="BQ477" s="431"/>
      <c r="BR477" s="2"/>
      <c r="BS477" s="25"/>
      <c r="BT477" s="348">
        <f t="shared" si="194"/>
        <v>1</v>
      </c>
      <c r="BU477" s="56"/>
      <c r="BV477" s="282">
        <f t="shared" si="196"/>
        <v>0</v>
      </c>
      <c r="BW477" s="379">
        <v>0</v>
      </c>
      <c r="BX477" s="269">
        <f t="shared" si="197"/>
        <v>0</v>
      </c>
      <c r="BY477" s="264"/>
      <c r="BZ477" s="264"/>
      <c r="CA477" s="264"/>
      <c r="CB477" s="264"/>
      <c r="CC477" s="264"/>
      <c r="CD477" s="14">
        <f t="shared" si="198"/>
        <v>-13</v>
      </c>
      <c r="CE477" s="14">
        <f t="shared" si="199"/>
        <v>28</v>
      </c>
      <c r="CF477" s="2">
        <f t="shared" si="200"/>
        <v>1</v>
      </c>
      <c r="CL477" s="387"/>
      <c r="CM477" s="387"/>
      <c r="CN477" s="387"/>
      <c r="CO477" s="387"/>
      <c r="CP477" s="387"/>
      <c r="CQ477" s="100"/>
    </row>
    <row r="478" spans="1:95" s="95" customFormat="1" ht="29.4" customHeight="1">
      <c r="A478" s="46">
        <v>79</v>
      </c>
      <c r="B478" s="46">
        <v>11</v>
      </c>
      <c r="C478" s="46">
        <v>455</v>
      </c>
      <c r="D478" s="380"/>
      <c r="E478" s="380"/>
      <c r="F478" s="381"/>
      <c r="G478" s="312" t="s">
        <v>1991</v>
      </c>
      <c r="H478" s="312" t="s">
        <v>1991</v>
      </c>
      <c r="I478" s="312" t="s">
        <v>1991</v>
      </c>
      <c r="J478" s="312"/>
      <c r="K478" s="312" t="s">
        <v>1991</v>
      </c>
      <c r="L478" s="312">
        <v>0</v>
      </c>
      <c r="M478" s="312" t="s">
        <v>1991</v>
      </c>
      <c r="N478" s="312" t="s">
        <v>1991</v>
      </c>
      <c r="O478" s="312">
        <v>0</v>
      </c>
      <c r="P478" s="312" t="s">
        <v>1991</v>
      </c>
      <c r="Q478" s="312">
        <v>0</v>
      </c>
      <c r="R478" s="312" t="s">
        <v>1991</v>
      </c>
      <c r="S478" s="312" t="s">
        <v>1991</v>
      </c>
      <c r="T478" s="323" t="s">
        <v>1991</v>
      </c>
      <c r="U478" s="312">
        <v>0</v>
      </c>
      <c r="V478" s="46">
        <v>0</v>
      </c>
      <c r="W478" s="324" t="s">
        <v>1991</v>
      </c>
      <c r="X478" s="324" t="s">
        <v>1991</v>
      </c>
      <c r="Y478" s="324" t="s">
        <v>1991</v>
      </c>
      <c r="Z478" s="46" t="s">
        <v>1991</v>
      </c>
      <c r="AA478" s="324" t="s">
        <v>1991</v>
      </c>
      <c r="AB478" s="46" t="s">
        <v>1991</v>
      </c>
      <c r="AC478" s="46" t="s">
        <v>1991</v>
      </c>
      <c r="AD478" s="46" t="s">
        <v>1991</v>
      </c>
      <c r="AE478" s="324" t="s">
        <v>1991</v>
      </c>
      <c r="AF478" s="324" t="s">
        <v>1991</v>
      </c>
      <c r="AG478" s="324" t="s">
        <v>1991</v>
      </c>
      <c r="AH478" s="324" t="s">
        <v>1991</v>
      </c>
      <c r="AI478" s="324" t="s">
        <v>1991</v>
      </c>
      <c r="AJ478" s="324" t="s">
        <v>1991</v>
      </c>
      <c r="AK478" s="324" t="s">
        <v>1991</v>
      </c>
      <c r="AL478" s="327">
        <v>0</v>
      </c>
      <c r="AM478" s="327"/>
      <c r="AN478" s="327"/>
      <c r="AO478" s="327"/>
      <c r="AP478" s="327"/>
      <c r="AQ478" s="327">
        <v>0</v>
      </c>
      <c r="AR478" s="327">
        <v>0</v>
      </c>
      <c r="AS478" s="327"/>
      <c r="AT478" s="327"/>
      <c r="AU478" s="327">
        <v>0</v>
      </c>
      <c r="AV478" s="327"/>
      <c r="AW478" s="327"/>
      <c r="AX478" s="327"/>
      <c r="AY478" s="361"/>
      <c r="AZ478" s="361"/>
      <c r="BA478" s="361"/>
      <c r="BB478" s="46">
        <f t="shared" si="189"/>
        <v>10</v>
      </c>
      <c r="BC478" s="46">
        <f t="shared" si="190"/>
        <v>15</v>
      </c>
      <c r="BD478" s="46">
        <f t="shared" si="193"/>
        <v>0</v>
      </c>
      <c r="BE478" s="46">
        <f t="shared" si="191"/>
        <v>0</v>
      </c>
      <c r="BF478" s="296">
        <f t="shared" si="192"/>
        <v>25</v>
      </c>
      <c r="BG478" s="256"/>
      <c r="BH478" s="256"/>
      <c r="BI478" s="256"/>
      <c r="BJ478" s="256"/>
      <c r="BK478" s="383"/>
      <c r="BL478" s="383"/>
      <c r="BM478" s="383"/>
      <c r="BN478" s="383"/>
      <c r="BO478" s="2">
        <f t="shared" si="195"/>
        <v>0</v>
      </c>
      <c r="BP478" s="430"/>
      <c r="BQ478" s="431"/>
      <c r="BR478" s="2"/>
      <c r="BS478" s="25"/>
      <c r="BT478" s="348">
        <f t="shared" si="194"/>
        <v>0</v>
      </c>
      <c r="BU478" s="56"/>
      <c r="BV478" s="282">
        <f t="shared" si="196"/>
        <v>0</v>
      </c>
      <c r="BW478" s="379">
        <v>0</v>
      </c>
      <c r="BX478" s="269">
        <f t="shared" si="197"/>
        <v>0</v>
      </c>
      <c r="BY478" s="264"/>
      <c r="BZ478" s="264"/>
      <c r="CA478" s="264"/>
      <c r="CB478" s="264"/>
      <c r="CC478" s="264"/>
      <c r="CD478" s="14">
        <f t="shared" si="198"/>
        <v>-10</v>
      </c>
      <c r="CE478" s="14">
        <f t="shared" si="199"/>
        <v>0</v>
      </c>
      <c r="CF478" s="2">
        <f t="shared" si="200"/>
        <v>0</v>
      </c>
      <c r="CL478" s="387"/>
      <c r="CM478" s="387"/>
      <c r="CN478" s="387"/>
      <c r="CO478" s="387"/>
      <c r="CP478" s="387"/>
      <c r="CQ478" s="100"/>
    </row>
    <row r="479" spans="1:95" s="95" customFormat="1" ht="29.4" customHeight="1">
      <c r="A479" s="46">
        <v>80</v>
      </c>
      <c r="B479" s="46">
        <v>11</v>
      </c>
      <c r="C479" s="46">
        <v>456</v>
      </c>
      <c r="D479" s="380"/>
      <c r="E479" s="380"/>
      <c r="F479" s="381"/>
      <c r="G479" s="312" t="s">
        <v>1991</v>
      </c>
      <c r="H479" s="312" t="s">
        <v>1991</v>
      </c>
      <c r="I479" s="312" t="s">
        <v>1991</v>
      </c>
      <c r="J479" s="312"/>
      <c r="K479" s="312" t="s">
        <v>1991</v>
      </c>
      <c r="L479" s="312" t="s">
        <v>1991</v>
      </c>
      <c r="M479" s="312" t="s">
        <v>1991</v>
      </c>
      <c r="N479" s="312" t="s">
        <v>1991</v>
      </c>
      <c r="O479" s="312" t="s">
        <v>1991</v>
      </c>
      <c r="P479" s="312" t="s">
        <v>1991</v>
      </c>
      <c r="Q479" s="312" t="s">
        <v>1991</v>
      </c>
      <c r="R479" s="312" t="s">
        <v>1991</v>
      </c>
      <c r="S479" s="312" t="s">
        <v>1991</v>
      </c>
      <c r="T479" s="323" t="s">
        <v>1991</v>
      </c>
      <c r="U479" s="312" t="s">
        <v>1991</v>
      </c>
      <c r="V479" s="46" t="s">
        <v>1991</v>
      </c>
      <c r="W479" s="324" t="s">
        <v>1991</v>
      </c>
      <c r="X479" s="324" t="s">
        <v>1991</v>
      </c>
      <c r="Y479" s="324" t="s">
        <v>1991</v>
      </c>
      <c r="Z479" s="46" t="s">
        <v>1991</v>
      </c>
      <c r="AA479" s="324" t="s">
        <v>1991</v>
      </c>
      <c r="AB479" s="46" t="s">
        <v>1991</v>
      </c>
      <c r="AC479" s="46" t="s">
        <v>1991</v>
      </c>
      <c r="AD479" s="46" t="s">
        <v>1991</v>
      </c>
      <c r="AE479" s="324">
        <v>0</v>
      </c>
      <c r="AF479" s="324" t="s">
        <v>1991</v>
      </c>
      <c r="AG479" s="324" t="s">
        <v>1991</v>
      </c>
      <c r="AH479" s="324" t="s">
        <v>1991</v>
      </c>
      <c r="AI479" s="324">
        <v>0</v>
      </c>
      <c r="AJ479" s="324" t="s">
        <v>1991</v>
      </c>
      <c r="AK479" s="324" t="s">
        <v>1991</v>
      </c>
      <c r="AL479" s="327" t="s">
        <v>1991</v>
      </c>
      <c r="AM479" s="327"/>
      <c r="AN479" s="327"/>
      <c r="AO479" s="327"/>
      <c r="AP479" s="327"/>
      <c r="AQ479" s="327">
        <v>0</v>
      </c>
      <c r="AR479" s="327">
        <v>0</v>
      </c>
      <c r="AS479" s="327"/>
      <c r="AT479" s="327"/>
      <c r="AU479" s="327" t="s">
        <v>2069</v>
      </c>
      <c r="AV479" s="327"/>
      <c r="AW479" s="327"/>
      <c r="AX479" s="327"/>
      <c r="AY479" s="361"/>
      <c r="AZ479" s="361"/>
      <c r="BA479" s="361"/>
      <c r="BB479" s="46">
        <f t="shared" si="189"/>
        <v>14</v>
      </c>
      <c r="BC479" s="46">
        <f t="shared" si="190"/>
        <v>14</v>
      </c>
      <c r="BD479" s="46">
        <f t="shared" si="193"/>
        <v>2</v>
      </c>
      <c r="BE479" s="46">
        <f t="shared" si="191"/>
        <v>2</v>
      </c>
      <c r="BF479" s="296">
        <f t="shared" si="192"/>
        <v>28</v>
      </c>
      <c r="BG479" s="256"/>
      <c r="BH479" s="256"/>
      <c r="BI479" s="256"/>
      <c r="BJ479" s="256"/>
      <c r="BK479" s="383"/>
      <c r="BL479" s="383"/>
      <c r="BM479" s="383"/>
      <c r="BN479" s="383"/>
      <c r="BO479" s="2">
        <f t="shared" si="195"/>
        <v>28</v>
      </c>
      <c r="BP479" s="430"/>
      <c r="BQ479" s="431"/>
      <c r="BR479" s="2"/>
      <c r="BS479" s="25"/>
      <c r="BT479" s="348">
        <f t="shared" si="194"/>
        <v>1</v>
      </c>
      <c r="BU479" s="56"/>
      <c r="BV479" s="282">
        <f t="shared" si="196"/>
        <v>0</v>
      </c>
      <c r="BW479" s="379">
        <v>0</v>
      </c>
      <c r="BX479" s="269">
        <f t="shared" si="197"/>
        <v>0</v>
      </c>
      <c r="BY479" s="264"/>
      <c r="BZ479" s="264"/>
      <c r="CA479" s="264"/>
      <c r="CB479" s="264"/>
      <c r="CC479" s="264"/>
      <c r="CD479" s="14">
        <f t="shared" si="198"/>
        <v>-14</v>
      </c>
      <c r="CE479" s="14">
        <f t="shared" si="199"/>
        <v>28</v>
      </c>
      <c r="CF479" s="2">
        <f t="shared" si="200"/>
        <v>1</v>
      </c>
      <c r="CL479" s="387"/>
      <c r="CM479" s="387"/>
      <c r="CN479" s="387"/>
      <c r="CO479" s="387"/>
      <c r="CP479" s="387"/>
      <c r="CQ479" s="100"/>
    </row>
    <row r="480" spans="1:95" s="95" customFormat="1" ht="29.4" customHeight="1">
      <c r="A480" s="46">
        <v>81</v>
      </c>
      <c r="B480" s="46">
        <v>11</v>
      </c>
      <c r="C480" s="46">
        <v>457</v>
      </c>
      <c r="D480" s="380"/>
      <c r="E480" s="380"/>
      <c r="F480" s="381"/>
      <c r="G480" s="312" t="s">
        <v>1991</v>
      </c>
      <c r="H480" s="312" t="s">
        <v>1991</v>
      </c>
      <c r="I480" s="312" t="s">
        <v>1991</v>
      </c>
      <c r="J480" s="312"/>
      <c r="K480" s="312" t="s">
        <v>1991</v>
      </c>
      <c r="L480" s="312" t="s">
        <v>1991</v>
      </c>
      <c r="M480" s="312" t="s">
        <v>1991</v>
      </c>
      <c r="N480" s="312" t="s">
        <v>1991</v>
      </c>
      <c r="O480" s="312" t="s">
        <v>1991</v>
      </c>
      <c r="P480" s="312" t="s">
        <v>1991</v>
      </c>
      <c r="Q480" s="312" t="s">
        <v>1991</v>
      </c>
      <c r="R480" s="312" t="s">
        <v>1991</v>
      </c>
      <c r="S480" s="312" t="s">
        <v>1991</v>
      </c>
      <c r="T480" s="323" t="s">
        <v>1991</v>
      </c>
      <c r="U480" s="312" t="s">
        <v>1991</v>
      </c>
      <c r="V480" s="46" t="s">
        <v>1991</v>
      </c>
      <c r="W480" s="324" t="s">
        <v>1991</v>
      </c>
      <c r="X480" s="324" t="s">
        <v>1991</v>
      </c>
      <c r="Y480" s="324" t="s">
        <v>1991</v>
      </c>
      <c r="Z480" s="46" t="s">
        <v>1991</v>
      </c>
      <c r="AA480" s="324" t="s">
        <v>1991</v>
      </c>
      <c r="AB480" s="46" t="s">
        <v>1991</v>
      </c>
      <c r="AC480" s="46" t="s">
        <v>1991</v>
      </c>
      <c r="AD480" s="46" t="s">
        <v>1991</v>
      </c>
      <c r="AE480" s="324">
        <v>0</v>
      </c>
      <c r="AF480" s="324" t="s">
        <v>1991</v>
      </c>
      <c r="AG480" s="324" t="s">
        <v>1991</v>
      </c>
      <c r="AH480" s="324" t="s">
        <v>1991</v>
      </c>
      <c r="AI480" s="324" t="s">
        <v>1991</v>
      </c>
      <c r="AJ480" s="324" t="s">
        <v>1991</v>
      </c>
      <c r="AK480" s="324" t="s">
        <v>1991</v>
      </c>
      <c r="AL480" s="327" t="s">
        <v>1991</v>
      </c>
      <c r="AM480" s="327"/>
      <c r="AN480" s="327"/>
      <c r="AO480" s="327"/>
      <c r="AP480" s="327"/>
      <c r="AQ480" s="327" t="s">
        <v>1991</v>
      </c>
      <c r="AR480" s="327" t="s">
        <v>1991</v>
      </c>
      <c r="AS480" s="327"/>
      <c r="AT480" s="327"/>
      <c r="AU480" s="327" t="s">
        <v>2069</v>
      </c>
      <c r="AV480" s="327"/>
      <c r="AW480" s="327"/>
      <c r="AX480" s="327"/>
      <c r="AY480" s="361"/>
      <c r="AZ480" s="361"/>
      <c r="BA480" s="361"/>
      <c r="BB480" s="46">
        <f t="shared" si="189"/>
        <v>14</v>
      </c>
      <c r="BC480" s="46">
        <f t="shared" si="190"/>
        <v>15</v>
      </c>
      <c r="BD480" s="46">
        <f t="shared" si="193"/>
        <v>4</v>
      </c>
      <c r="BE480" s="46">
        <f t="shared" si="191"/>
        <v>4</v>
      </c>
      <c r="BF480" s="296">
        <f t="shared" si="192"/>
        <v>29</v>
      </c>
      <c r="BG480" s="256"/>
      <c r="BH480" s="256"/>
      <c r="BI480" s="256"/>
      <c r="BJ480" s="256"/>
      <c r="BK480" s="383"/>
      <c r="BL480" s="383"/>
      <c r="BM480" s="383"/>
      <c r="BN480" s="383"/>
      <c r="BO480" s="2">
        <f t="shared" si="195"/>
        <v>29</v>
      </c>
      <c r="BP480" s="430"/>
      <c r="BQ480" s="431"/>
      <c r="BR480" s="2"/>
      <c r="BS480" s="25"/>
      <c r="BT480" s="348">
        <f t="shared" si="194"/>
        <v>1</v>
      </c>
      <c r="BU480" s="56"/>
      <c r="BV480" s="282">
        <f t="shared" si="196"/>
        <v>0</v>
      </c>
      <c r="BW480" s="379">
        <v>0</v>
      </c>
      <c r="BX480" s="269">
        <f t="shared" si="197"/>
        <v>0</v>
      </c>
      <c r="BY480" s="264"/>
      <c r="BZ480" s="264"/>
      <c r="CA480" s="264"/>
      <c r="CB480" s="264"/>
      <c r="CC480" s="264"/>
      <c r="CD480" s="14">
        <f t="shared" si="198"/>
        <v>-14</v>
      </c>
      <c r="CE480" s="14">
        <f t="shared" si="199"/>
        <v>29</v>
      </c>
      <c r="CF480" s="2">
        <f t="shared" si="200"/>
        <v>1</v>
      </c>
      <c r="CL480" s="387"/>
      <c r="CM480" s="387"/>
      <c r="CN480" s="387"/>
      <c r="CO480" s="387"/>
      <c r="CP480" s="387"/>
      <c r="CQ480" s="100"/>
    </row>
    <row r="481" spans="1:95" s="95" customFormat="1" ht="29.4" customHeight="1">
      <c r="A481" s="46">
        <v>82</v>
      </c>
      <c r="B481" s="46">
        <v>11</v>
      </c>
      <c r="C481" s="46">
        <v>458</v>
      </c>
      <c r="D481" s="380"/>
      <c r="E481" s="380"/>
      <c r="F481" s="381"/>
      <c r="G481" s="312" t="s">
        <v>1991</v>
      </c>
      <c r="H481" s="312" t="s">
        <v>1991</v>
      </c>
      <c r="I481" s="312" t="s">
        <v>1991</v>
      </c>
      <c r="J481" s="312"/>
      <c r="K481" s="312" t="s">
        <v>1991</v>
      </c>
      <c r="L481" s="312" t="s">
        <v>1991</v>
      </c>
      <c r="M481" s="312" t="s">
        <v>1991</v>
      </c>
      <c r="N481" s="312" t="s">
        <v>1991</v>
      </c>
      <c r="O481" s="312" t="s">
        <v>1991</v>
      </c>
      <c r="P481" s="312" t="s">
        <v>1991</v>
      </c>
      <c r="Q481" s="312" t="s">
        <v>1991</v>
      </c>
      <c r="R481" s="312" t="s">
        <v>1991</v>
      </c>
      <c r="S481" s="312" t="s">
        <v>1991</v>
      </c>
      <c r="T481" s="323" t="s">
        <v>1991</v>
      </c>
      <c r="U481" s="312" t="s">
        <v>1991</v>
      </c>
      <c r="V481" s="46" t="s">
        <v>1991</v>
      </c>
      <c r="W481" s="324" t="s">
        <v>1991</v>
      </c>
      <c r="X481" s="324" t="s">
        <v>1991</v>
      </c>
      <c r="Y481" s="324" t="s">
        <v>1991</v>
      </c>
      <c r="Z481" s="46" t="s">
        <v>1991</v>
      </c>
      <c r="AA481" s="324" t="s">
        <v>1991</v>
      </c>
      <c r="AB481" s="46" t="s">
        <v>1991</v>
      </c>
      <c r="AC481" s="46" t="s">
        <v>1991</v>
      </c>
      <c r="AD481" s="46" t="s">
        <v>1991</v>
      </c>
      <c r="AE481" s="324">
        <v>0</v>
      </c>
      <c r="AF481" s="324" t="s">
        <v>1991</v>
      </c>
      <c r="AG481" s="324" t="s">
        <v>1991</v>
      </c>
      <c r="AH481" s="324" t="s">
        <v>1991</v>
      </c>
      <c r="AI481" s="324" t="s">
        <v>1991</v>
      </c>
      <c r="AJ481" s="324" t="s">
        <v>1991</v>
      </c>
      <c r="AK481" s="324" t="s">
        <v>1991</v>
      </c>
      <c r="AL481" s="327" t="s">
        <v>1991</v>
      </c>
      <c r="AM481" s="327"/>
      <c r="AN481" s="327"/>
      <c r="AO481" s="327"/>
      <c r="AP481" s="327"/>
      <c r="AQ481" s="327" t="s">
        <v>1991</v>
      </c>
      <c r="AR481" s="327" t="s">
        <v>1991</v>
      </c>
      <c r="AS481" s="327"/>
      <c r="AT481" s="327"/>
      <c r="AU481" s="327" t="s">
        <v>2069</v>
      </c>
      <c r="AV481" s="327"/>
      <c r="AW481" s="327"/>
      <c r="AX481" s="327"/>
      <c r="AY481" s="361"/>
      <c r="AZ481" s="361"/>
      <c r="BA481" s="361"/>
      <c r="BB481" s="46">
        <f t="shared" si="189"/>
        <v>14</v>
      </c>
      <c r="BC481" s="46">
        <f t="shared" si="190"/>
        <v>15</v>
      </c>
      <c r="BD481" s="46">
        <f t="shared" si="193"/>
        <v>4</v>
      </c>
      <c r="BE481" s="46">
        <f t="shared" si="191"/>
        <v>4</v>
      </c>
      <c r="BF481" s="296">
        <f t="shared" si="192"/>
        <v>29</v>
      </c>
      <c r="BG481" s="256"/>
      <c r="BH481" s="256"/>
      <c r="BI481" s="256"/>
      <c r="BJ481" s="256"/>
      <c r="BK481" s="383"/>
      <c r="BL481" s="383"/>
      <c r="BM481" s="383"/>
      <c r="BN481" s="383"/>
      <c r="BO481" s="2">
        <f t="shared" si="195"/>
        <v>29</v>
      </c>
      <c r="BP481" s="430"/>
      <c r="BQ481" s="431"/>
      <c r="BR481" s="2"/>
      <c r="BS481" s="25"/>
      <c r="BT481" s="348">
        <f t="shared" si="194"/>
        <v>1</v>
      </c>
      <c r="BU481" s="56"/>
      <c r="BV481" s="282">
        <f t="shared" si="196"/>
        <v>0</v>
      </c>
      <c r="BW481" s="379">
        <v>0</v>
      </c>
      <c r="BX481" s="269">
        <f t="shared" si="197"/>
        <v>0</v>
      </c>
      <c r="BY481" s="264"/>
      <c r="BZ481" s="264"/>
      <c r="CA481" s="264"/>
      <c r="CB481" s="264"/>
      <c r="CC481" s="264"/>
      <c r="CD481" s="14">
        <f t="shared" si="198"/>
        <v>-14</v>
      </c>
      <c r="CE481" s="14">
        <f t="shared" si="199"/>
        <v>29</v>
      </c>
      <c r="CF481" s="2">
        <f t="shared" si="200"/>
        <v>1</v>
      </c>
      <c r="CL481" s="387"/>
      <c r="CM481" s="387"/>
      <c r="CN481" s="387"/>
      <c r="CO481" s="387"/>
      <c r="CP481" s="387"/>
      <c r="CQ481" s="100"/>
    </row>
    <row r="482" spans="1:95" s="95" customFormat="1" ht="29.4" customHeight="1">
      <c r="A482" s="46">
        <v>83</v>
      </c>
      <c r="B482" s="46">
        <v>11</v>
      </c>
      <c r="C482" s="46">
        <v>459</v>
      </c>
      <c r="D482" s="380"/>
      <c r="E482" s="380"/>
      <c r="F482" s="381"/>
      <c r="G482" s="312" t="s">
        <v>1991</v>
      </c>
      <c r="H482" s="312" t="s">
        <v>1991</v>
      </c>
      <c r="I482" s="312" t="s">
        <v>1991</v>
      </c>
      <c r="J482" s="312"/>
      <c r="K482" s="312" t="s">
        <v>1991</v>
      </c>
      <c r="L482" s="312" t="s">
        <v>1991</v>
      </c>
      <c r="M482" s="312" t="s">
        <v>1991</v>
      </c>
      <c r="N482" s="312" t="s">
        <v>1991</v>
      </c>
      <c r="O482" s="312" t="s">
        <v>1991</v>
      </c>
      <c r="P482" s="312" t="s">
        <v>1991</v>
      </c>
      <c r="Q482" s="312" t="s">
        <v>1991</v>
      </c>
      <c r="R482" s="312" t="s">
        <v>1991</v>
      </c>
      <c r="S482" s="312" t="s">
        <v>1991</v>
      </c>
      <c r="T482" s="323" t="s">
        <v>1991</v>
      </c>
      <c r="U482" s="312" t="s">
        <v>1991</v>
      </c>
      <c r="V482" s="46" t="s">
        <v>1991</v>
      </c>
      <c r="W482" s="324" t="s">
        <v>1991</v>
      </c>
      <c r="X482" s="324" t="s">
        <v>1991</v>
      </c>
      <c r="Y482" s="324" t="s">
        <v>1991</v>
      </c>
      <c r="Z482" s="46" t="s">
        <v>1991</v>
      </c>
      <c r="AA482" s="324" t="s">
        <v>1991</v>
      </c>
      <c r="AB482" s="46" t="s">
        <v>1991</v>
      </c>
      <c r="AC482" s="46" t="s">
        <v>1991</v>
      </c>
      <c r="AD482" s="46" t="s">
        <v>1991</v>
      </c>
      <c r="AE482" s="324">
        <v>0</v>
      </c>
      <c r="AF482" s="324" t="s">
        <v>1991</v>
      </c>
      <c r="AG482" s="324" t="s">
        <v>1991</v>
      </c>
      <c r="AH482" s="324" t="s">
        <v>1991</v>
      </c>
      <c r="AI482" s="324" t="s">
        <v>1991</v>
      </c>
      <c r="AJ482" s="324" t="s">
        <v>1991</v>
      </c>
      <c r="AK482" s="324" t="s">
        <v>1991</v>
      </c>
      <c r="AL482" s="327" t="s">
        <v>1991</v>
      </c>
      <c r="AM482" s="327"/>
      <c r="AN482" s="327"/>
      <c r="AO482" s="327"/>
      <c r="AP482" s="327"/>
      <c r="AQ482" s="327" t="s">
        <v>1991</v>
      </c>
      <c r="AR482" s="327" t="s">
        <v>1991</v>
      </c>
      <c r="AS482" s="327"/>
      <c r="AT482" s="327"/>
      <c r="AU482" s="327" t="s">
        <v>2069</v>
      </c>
      <c r="AV482" s="327"/>
      <c r="AW482" s="327"/>
      <c r="AX482" s="327"/>
      <c r="AY482" s="361"/>
      <c r="AZ482" s="361"/>
      <c r="BA482" s="361"/>
      <c r="BB482" s="46">
        <f t="shared" si="189"/>
        <v>14</v>
      </c>
      <c r="BC482" s="46">
        <f t="shared" si="190"/>
        <v>15</v>
      </c>
      <c r="BD482" s="46">
        <f t="shared" si="193"/>
        <v>4</v>
      </c>
      <c r="BE482" s="46">
        <f t="shared" si="191"/>
        <v>4</v>
      </c>
      <c r="BF482" s="296">
        <f t="shared" si="192"/>
        <v>29</v>
      </c>
      <c r="BG482" s="256"/>
      <c r="BH482" s="256"/>
      <c r="BI482" s="256"/>
      <c r="BJ482" s="256"/>
      <c r="BK482" s="383"/>
      <c r="BL482" s="383"/>
      <c r="BM482" s="383"/>
      <c r="BN482" s="383"/>
      <c r="BO482" s="2">
        <f t="shared" ref="BO482:BO495" si="201">IF(BT482&gt;0,BF482,0)</f>
        <v>29</v>
      </c>
      <c r="BP482" s="430"/>
      <c r="BQ482" s="431"/>
      <c r="BR482" s="2"/>
      <c r="BS482" s="25"/>
      <c r="BT482" s="348">
        <f t="shared" si="194"/>
        <v>1</v>
      </c>
      <c r="BU482" s="56"/>
      <c r="BV482" s="282">
        <f>IF(AND(BU482&gt;0,BU482&lt;=1),50000,IF(AND(BU482&gt;1,BU482&lt;=3),40000,IF(AND(BU482&gt;3,BU482&lt;=5),20000,IF(AND(BU482&gt;5,BU482&lt;=9),0,IF(AND(BU482&gt;9,BU482&lt;=11),-20000,IF(AND(BU482&gt;11,BU482&lt;=13),-40000,IF(BU482&gt;13,-50000,0)))))))</f>
        <v>0</v>
      </c>
      <c r="BW482" s="379">
        <v>0</v>
      </c>
      <c r="BX482" s="269">
        <f>IF(AND(BW482&gt;0,BW482&lt;=1),1.15,IF(AND(BW482&gt;1,BW482&lt;=3),1.1,IF(AND(BW482&gt;3,BW482&lt;=5),1.05,IF(AND(BW482&gt;5,BW482&lt;=9),1,IF(AND(BW482&gt;9,BW482&lt;=11),-0.05,IF(AND(BW482&gt;11,BW482&lt;=13),-0.1,IF(BW482&gt;13,-0.15,0)))))))</f>
        <v>0</v>
      </c>
      <c r="BY482" s="264"/>
      <c r="BZ482" s="264"/>
      <c r="CA482" s="264"/>
      <c r="CB482" s="264"/>
      <c r="CC482" s="264"/>
      <c r="CD482" s="14">
        <f>CC482-BB482</f>
        <v>-14</v>
      </c>
      <c r="CE482" s="14">
        <f>IF(CF482&gt;0,BF482,0)</f>
        <v>29</v>
      </c>
      <c r="CF482" s="2">
        <f>IF(BF482&gt;=26,1,0)</f>
        <v>1</v>
      </c>
      <c r="CL482" s="387"/>
      <c r="CM482" s="387"/>
      <c r="CN482" s="387"/>
      <c r="CO482" s="387"/>
      <c r="CP482" s="387"/>
      <c r="CQ482" s="100"/>
    </row>
    <row r="483" spans="1:95" s="95" customFormat="1" ht="29.4" customHeight="1">
      <c r="A483" s="46">
        <v>84</v>
      </c>
      <c r="B483" s="46">
        <v>11</v>
      </c>
      <c r="C483" s="46">
        <v>460</v>
      </c>
      <c r="D483" s="380"/>
      <c r="E483" s="380"/>
      <c r="F483" s="381"/>
      <c r="G483" s="312">
        <v>0</v>
      </c>
      <c r="H483" s="312" t="s">
        <v>1991</v>
      </c>
      <c r="I483" s="312" t="s">
        <v>1991</v>
      </c>
      <c r="J483" s="312"/>
      <c r="K483" s="312" t="s">
        <v>1991</v>
      </c>
      <c r="L483" s="312" t="s">
        <v>1991</v>
      </c>
      <c r="M483" s="312" t="s">
        <v>1991</v>
      </c>
      <c r="N483" s="312" t="s">
        <v>1991</v>
      </c>
      <c r="O483" s="312" t="s">
        <v>1991</v>
      </c>
      <c r="P483" s="312" t="s">
        <v>1991</v>
      </c>
      <c r="Q483" s="312" t="s">
        <v>1991</v>
      </c>
      <c r="R483" s="312" t="s">
        <v>1991</v>
      </c>
      <c r="S483" s="312">
        <v>0</v>
      </c>
      <c r="T483" s="323" t="s">
        <v>1991</v>
      </c>
      <c r="U483" s="312" t="s">
        <v>1991</v>
      </c>
      <c r="V483" s="46" t="s">
        <v>1991</v>
      </c>
      <c r="W483" s="324">
        <v>0</v>
      </c>
      <c r="X483" s="324" t="s">
        <v>1991</v>
      </c>
      <c r="Y483" s="324" t="s">
        <v>1991</v>
      </c>
      <c r="Z483" s="46" t="s">
        <v>1991</v>
      </c>
      <c r="AA483" s="324" t="s">
        <v>1991</v>
      </c>
      <c r="AB483" s="46" t="s">
        <v>1991</v>
      </c>
      <c r="AC483" s="46" t="s">
        <v>1991</v>
      </c>
      <c r="AD483" s="46" t="s">
        <v>1991</v>
      </c>
      <c r="AE483" s="324" t="s">
        <v>1991</v>
      </c>
      <c r="AF483" s="324" t="s">
        <v>1991</v>
      </c>
      <c r="AG483" s="324" t="s">
        <v>1991</v>
      </c>
      <c r="AH483" s="324" t="s">
        <v>1991</v>
      </c>
      <c r="AI483" s="324" t="s">
        <v>1991</v>
      </c>
      <c r="AJ483" s="324" t="s">
        <v>1991</v>
      </c>
      <c r="AK483" s="324" t="s">
        <v>1991</v>
      </c>
      <c r="AL483" s="327">
        <v>0</v>
      </c>
      <c r="AM483" s="327"/>
      <c r="AN483" s="327"/>
      <c r="AO483" s="327"/>
      <c r="AP483" s="327"/>
      <c r="AQ483" s="327" t="s">
        <v>1991</v>
      </c>
      <c r="AR483" s="327" t="s">
        <v>1991</v>
      </c>
      <c r="AS483" s="327"/>
      <c r="AT483" s="327"/>
      <c r="AU483" s="327">
        <v>0</v>
      </c>
      <c r="AV483" s="327"/>
      <c r="AW483" s="327"/>
      <c r="AX483" s="327"/>
      <c r="AY483" s="361"/>
      <c r="AZ483" s="361"/>
      <c r="BA483" s="361"/>
      <c r="BB483" s="46">
        <f t="shared" si="189"/>
        <v>12</v>
      </c>
      <c r="BC483" s="46">
        <f t="shared" si="190"/>
        <v>15</v>
      </c>
      <c r="BD483" s="46">
        <f t="shared" si="193"/>
        <v>2</v>
      </c>
      <c r="BE483" s="46">
        <f t="shared" si="191"/>
        <v>2</v>
      </c>
      <c r="BF483" s="296">
        <f t="shared" si="192"/>
        <v>27</v>
      </c>
      <c r="BG483" s="256"/>
      <c r="BH483" s="256"/>
      <c r="BI483" s="256"/>
      <c r="BJ483" s="384"/>
      <c r="BK483" s="385"/>
      <c r="BL483" s="385"/>
      <c r="BM483" s="385"/>
      <c r="BN483" s="385"/>
      <c r="BO483" s="2">
        <f t="shared" si="201"/>
        <v>27</v>
      </c>
      <c r="BP483" s="430"/>
      <c r="BQ483" s="431"/>
      <c r="BR483" s="2"/>
      <c r="BS483" s="25"/>
      <c r="BT483" s="348">
        <f t="shared" si="194"/>
        <v>1</v>
      </c>
      <c r="BU483" s="56"/>
      <c r="BV483" s="282">
        <f>IF(AND(BU483&gt;0,BU483&lt;=1),50000,IF(AND(BU483&gt;1,BU483&lt;=3),40000,IF(AND(BU483&gt;3,BU483&lt;=5),20000,IF(AND(BU483&gt;5,BU483&lt;=9),0,IF(AND(BU483&gt;9,BU483&lt;=11),-20000,IF(AND(BU483&gt;11,BU483&lt;=13),-40000,IF(BU483&gt;13,-50000,0)))))))</f>
        <v>0</v>
      </c>
      <c r="BW483" s="379">
        <v>-20000</v>
      </c>
      <c r="BX483" s="269">
        <f>IF(AND(BW483&gt;0,BW483&lt;=1),1.15,IF(AND(BW483&gt;1,BW483&lt;=3),1.1,IF(AND(BW483&gt;3,BW483&lt;=5),1.05,IF(AND(BW483&gt;5,BW483&lt;=9),1,IF(AND(BW483&gt;9,BW483&lt;=11),-0.05,IF(AND(BW483&gt;11,BW483&lt;=13),-0.1,IF(BW483&gt;13,-0.15,0)))))))</f>
        <v>0</v>
      </c>
      <c r="BY483" s="264"/>
      <c r="BZ483" s="264"/>
      <c r="CA483" s="264"/>
      <c r="CB483" s="264"/>
      <c r="CC483" s="264"/>
      <c r="CD483" s="14">
        <f>CC483-BB483</f>
        <v>-12</v>
      </c>
      <c r="CE483" s="14">
        <f>IF(CF483&gt;0,BF483,0)</f>
        <v>27</v>
      </c>
      <c r="CF483" s="2">
        <f>IF(BF483&gt;=26,1,0)</f>
        <v>1</v>
      </c>
      <c r="CL483" s="387"/>
      <c r="CM483" s="387"/>
      <c r="CN483" s="387"/>
      <c r="CO483" s="387"/>
      <c r="CP483" s="387"/>
      <c r="CQ483" s="100"/>
    </row>
    <row r="484" spans="1:95" s="95" customFormat="1" ht="29.4" customHeight="1">
      <c r="A484" s="46">
        <v>85</v>
      </c>
      <c r="B484" s="46">
        <v>11</v>
      </c>
      <c r="C484" s="46">
        <v>461</v>
      </c>
      <c r="D484" s="380"/>
      <c r="E484" s="380"/>
      <c r="F484" s="381"/>
      <c r="G484" s="312" t="s">
        <v>1991</v>
      </c>
      <c r="H484" s="312">
        <v>0</v>
      </c>
      <c r="I484" s="312" t="s">
        <v>1991</v>
      </c>
      <c r="J484" s="312" t="s">
        <v>1991</v>
      </c>
      <c r="K484" s="312" t="s">
        <v>1991</v>
      </c>
      <c r="L484" s="312" t="s">
        <v>1991</v>
      </c>
      <c r="M484" s="312" t="s">
        <v>1991</v>
      </c>
      <c r="N484" s="312" t="s">
        <v>1991</v>
      </c>
      <c r="O484" s="312" t="s">
        <v>1991</v>
      </c>
      <c r="P484" s="312" t="s">
        <v>1991</v>
      </c>
      <c r="Q484" s="312" t="s">
        <v>1991</v>
      </c>
      <c r="R484" s="312" t="s">
        <v>1991</v>
      </c>
      <c r="S484" s="312" t="s">
        <v>1991</v>
      </c>
      <c r="T484" s="323" t="s">
        <v>1991</v>
      </c>
      <c r="U484" s="312" t="s">
        <v>1991</v>
      </c>
      <c r="V484" s="46" t="s">
        <v>1991</v>
      </c>
      <c r="W484" s="324" t="s">
        <v>1991</v>
      </c>
      <c r="X484" s="324" t="s">
        <v>1991</v>
      </c>
      <c r="Y484" s="324" t="s">
        <v>1991</v>
      </c>
      <c r="Z484" s="46" t="s">
        <v>1991</v>
      </c>
      <c r="AA484" s="324" t="s">
        <v>1991</v>
      </c>
      <c r="AB484" s="46" t="s">
        <v>1991</v>
      </c>
      <c r="AC484" s="46" t="s">
        <v>1991</v>
      </c>
      <c r="AD484" s="46" t="s">
        <v>1991</v>
      </c>
      <c r="AE484" s="324" t="s">
        <v>1991</v>
      </c>
      <c r="AF484" s="324" t="s">
        <v>1991</v>
      </c>
      <c r="AG484" s="324" t="s">
        <v>1991</v>
      </c>
      <c r="AH484" s="324" t="s">
        <v>1991</v>
      </c>
      <c r="AI484" s="324" t="s">
        <v>1991</v>
      </c>
      <c r="AJ484" s="324" t="s">
        <v>1991</v>
      </c>
      <c r="AK484" s="324" t="s">
        <v>1991</v>
      </c>
      <c r="AL484" s="327">
        <v>0</v>
      </c>
      <c r="AM484" s="327"/>
      <c r="AN484" s="327"/>
      <c r="AO484" s="327"/>
      <c r="AP484" s="327"/>
      <c r="AQ484" s="327">
        <v>0</v>
      </c>
      <c r="AR484" s="327" t="s">
        <v>1991</v>
      </c>
      <c r="AS484" s="327"/>
      <c r="AT484" s="327"/>
      <c r="AU484" s="327" t="s">
        <v>2069</v>
      </c>
      <c r="AV484" s="327"/>
      <c r="AW484" s="327"/>
      <c r="AX484" s="327"/>
      <c r="AY484" s="361"/>
      <c r="AZ484" s="361"/>
      <c r="BA484" s="361"/>
      <c r="BB484" s="46">
        <f t="shared" si="189"/>
        <v>14</v>
      </c>
      <c r="BC484" s="46">
        <f t="shared" si="190"/>
        <v>16</v>
      </c>
      <c r="BD484" s="46">
        <f t="shared" si="193"/>
        <v>2</v>
      </c>
      <c r="BE484" s="46">
        <f t="shared" si="191"/>
        <v>2</v>
      </c>
      <c r="BF484" s="296">
        <f t="shared" ref="BF484:BF494" si="202">BB484+BC484</f>
        <v>30</v>
      </c>
      <c r="BG484" s="256"/>
      <c r="BH484" s="256"/>
      <c r="BI484" s="256"/>
      <c r="BJ484" s="384"/>
      <c r="BK484" s="385"/>
      <c r="BL484" s="385"/>
      <c r="BM484" s="385"/>
      <c r="BN484" s="385"/>
      <c r="BO484" s="2">
        <f t="shared" si="201"/>
        <v>30</v>
      </c>
      <c r="BP484" s="430"/>
      <c r="BQ484" s="431"/>
      <c r="BR484" s="2"/>
      <c r="BS484" s="25"/>
      <c r="BT484" s="348">
        <f t="shared" si="194"/>
        <v>1</v>
      </c>
      <c r="BU484" s="56"/>
      <c r="BV484" s="282">
        <f t="shared" ref="BV484:BV495" si="203">IF(AND(BU484&gt;0,BU484&lt;=1),50000,IF(AND(BU484&gt;1,BU484&lt;=3),40000,IF(AND(BU484&gt;3,BU484&lt;=5),20000,IF(AND(BU484&gt;5,BU484&lt;=9),0,IF(AND(BU484&gt;9,BU484&lt;=11),-20000,IF(AND(BU484&gt;11,BU484&lt;=13),-40000,IF(BU484&gt;13,-50000,0)))))))</f>
        <v>0</v>
      </c>
      <c r="BW484" s="379">
        <v>0</v>
      </c>
      <c r="BX484" s="269">
        <f t="shared" ref="BX484:BX495" si="204">IF(AND(BW484&gt;0,BW484&lt;=1),1.15,IF(AND(BW484&gt;1,BW484&lt;=3),1.1,IF(AND(BW484&gt;3,BW484&lt;=5),1.05,IF(AND(BW484&gt;5,BW484&lt;=9),1,IF(AND(BW484&gt;9,BW484&lt;=11),-0.05,IF(AND(BW484&gt;11,BW484&lt;=13),-0.1,IF(BW484&gt;13,-0.15,0)))))))</f>
        <v>0</v>
      </c>
      <c r="BY484" s="264"/>
      <c r="BZ484" s="264"/>
      <c r="CA484" s="264"/>
      <c r="CB484" s="264"/>
      <c r="CC484" s="264"/>
      <c r="CD484" s="14">
        <f t="shared" ref="CD484:CD494" si="205">CC484-BB484</f>
        <v>-14</v>
      </c>
      <c r="CE484" s="14">
        <f t="shared" ref="CE484:CE495" si="206">IF(CF484&gt;0,BF484,0)</f>
        <v>30</v>
      </c>
      <c r="CF484" s="2">
        <f t="shared" ref="CF484:CF495" si="207">IF(BF484&gt;=26,1,0)</f>
        <v>1</v>
      </c>
      <c r="CL484" s="387"/>
      <c r="CM484" s="387"/>
      <c r="CN484" s="387"/>
      <c r="CO484" s="387"/>
      <c r="CP484" s="387"/>
      <c r="CQ484" s="100"/>
    </row>
    <row r="485" spans="1:95" s="95" customFormat="1" ht="29.4" customHeight="1">
      <c r="A485" s="46">
        <v>86</v>
      </c>
      <c r="B485" s="46">
        <v>11</v>
      </c>
      <c r="C485" s="46">
        <v>462</v>
      </c>
      <c r="D485" s="380"/>
      <c r="E485" s="380"/>
      <c r="F485" s="381"/>
      <c r="G485" s="312" t="s">
        <v>1991</v>
      </c>
      <c r="H485" s="312" t="s">
        <v>1991</v>
      </c>
      <c r="I485" s="312" t="s">
        <v>1991</v>
      </c>
      <c r="J485" s="312"/>
      <c r="K485" s="312">
        <v>0</v>
      </c>
      <c r="L485" s="312" t="s">
        <v>1991</v>
      </c>
      <c r="M485" s="312" t="s">
        <v>1991</v>
      </c>
      <c r="N485" s="312" t="s">
        <v>1991</v>
      </c>
      <c r="O485" s="312" t="s">
        <v>1991</v>
      </c>
      <c r="P485" s="312" t="s">
        <v>1991</v>
      </c>
      <c r="Q485" s="312" t="s">
        <v>1991</v>
      </c>
      <c r="R485" s="312" t="s">
        <v>1991</v>
      </c>
      <c r="S485" s="312" t="s">
        <v>1991</v>
      </c>
      <c r="T485" s="323" t="s">
        <v>1991</v>
      </c>
      <c r="U485" s="312" t="s">
        <v>1991</v>
      </c>
      <c r="V485" s="46" t="s">
        <v>1991</v>
      </c>
      <c r="W485" s="324" t="s">
        <v>1991</v>
      </c>
      <c r="X485" s="324" t="s">
        <v>1991</v>
      </c>
      <c r="Y485" s="324">
        <v>0</v>
      </c>
      <c r="Z485" s="46" t="s">
        <v>1991</v>
      </c>
      <c r="AA485" s="324" t="s">
        <v>1991</v>
      </c>
      <c r="AB485" s="46" t="s">
        <v>1991</v>
      </c>
      <c r="AC485" s="46" t="s">
        <v>1991</v>
      </c>
      <c r="AD485" s="46" t="s">
        <v>1991</v>
      </c>
      <c r="AE485" s="324" t="s">
        <v>1991</v>
      </c>
      <c r="AF485" s="324" t="s">
        <v>1991</v>
      </c>
      <c r="AG485" s="324">
        <v>0</v>
      </c>
      <c r="AH485" s="324" t="s">
        <v>1991</v>
      </c>
      <c r="AI485" s="324" t="s">
        <v>1991</v>
      </c>
      <c r="AJ485" s="324">
        <v>0</v>
      </c>
      <c r="AK485" s="324" t="s">
        <v>1991</v>
      </c>
      <c r="AL485" s="327">
        <v>0</v>
      </c>
      <c r="AM485" s="327"/>
      <c r="AN485" s="327"/>
      <c r="AO485" s="327"/>
      <c r="AP485" s="327"/>
      <c r="AQ485" s="327" t="s">
        <v>1991</v>
      </c>
      <c r="AR485" s="327" t="s">
        <v>1991</v>
      </c>
      <c r="AS485" s="327"/>
      <c r="AT485" s="327"/>
      <c r="AU485" s="327" t="s">
        <v>2069</v>
      </c>
      <c r="AV485" s="327"/>
      <c r="AW485" s="327"/>
      <c r="AX485" s="327"/>
      <c r="AY485" s="361"/>
      <c r="AZ485" s="361"/>
      <c r="BA485" s="361"/>
      <c r="BB485" s="46">
        <f t="shared" si="189"/>
        <v>13</v>
      </c>
      <c r="BC485" s="46">
        <f t="shared" si="190"/>
        <v>13</v>
      </c>
      <c r="BD485" s="46">
        <f t="shared" si="193"/>
        <v>3</v>
      </c>
      <c r="BE485" s="46">
        <f t="shared" si="191"/>
        <v>3</v>
      </c>
      <c r="BF485" s="296">
        <f t="shared" si="202"/>
        <v>26</v>
      </c>
      <c r="BG485" s="256"/>
      <c r="BH485" s="256"/>
      <c r="BI485" s="256"/>
      <c r="BJ485" s="384"/>
      <c r="BK485" s="385"/>
      <c r="BL485" s="385"/>
      <c r="BM485" s="385"/>
      <c r="BN485" s="385"/>
      <c r="BO485" s="2">
        <f t="shared" si="201"/>
        <v>26</v>
      </c>
      <c r="BP485" s="430"/>
      <c r="BQ485" s="431"/>
      <c r="BR485" s="2"/>
      <c r="BS485" s="25"/>
      <c r="BT485" s="348">
        <f t="shared" si="194"/>
        <v>1</v>
      </c>
      <c r="BU485" s="56"/>
      <c r="BV485" s="282">
        <f t="shared" si="203"/>
        <v>0</v>
      </c>
      <c r="BW485" s="379">
        <v>0</v>
      </c>
      <c r="BX485" s="269">
        <f t="shared" si="204"/>
        <v>0</v>
      </c>
      <c r="BY485" s="264"/>
      <c r="BZ485" s="264"/>
      <c r="CA485" s="264"/>
      <c r="CB485" s="264"/>
      <c r="CC485" s="264"/>
      <c r="CD485" s="14">
        <f t="shared" si="205"/>
        <v>-13</v>
      </c>
      <c r="CE485" s="14">
        <f t="shared" si="206"/>
        <v>26</v>
      </c>
      <c r="CF485" s="2">
        <f t="shared" si="207"/>
        <v>1</v>
      </c>
      <c r="CL485" s="387"/>
      <c r="CM485" s="387"/>
      <c r="CN485" s="387"/>
      <c r="CO485" s="387"/>
      <c r="CP485" s="387"/>
      <c r="CQ485" s="100"/>
    </row>
    <row r="486" spans="1:95" s="95" customFormat="1" ht="29.4" customHeight="1">
      <c r="A486" s="46">
        <v>87</v>
      </c>
      <c r="B486" s="46">
        <v>11</v>
      </c>
      <c r="C486" s="46">
        <v>463</v>
      </c>
      <c r="D486" s="380"/>
      <c r="E486" s="380"/>
      <c r="F486" s="381"/>
      <c r="G486" s="312" t="s">
        <v>1991</v>
      </c>
      <c r="H486" s="312">
        <v>0</v>
      </c>
      <c r="I486" s="312" t="s">
        <v>1991</v>
      </c>
      <c r="J486" s="312"/>
      <c r="K486" s="312" t="s">
        <v>1991</v>
      </c>
      <c r="L486" s="312" t="s">
        <v>1991</v>
      </c>
      <c r="M486" s="312" t="s">
        <v>1991</v>
      </c>
      <c r="N486" s="312">
        <v>0</v>
      </c>
      <c r="O486" s="312" t="s">
        <v>1991</v>
      </c>
      <c r="P486" s="312" t="s">
        <v>1991</v>
      </c>
      <c r="Q486" s="312" t="s">
        <v>1991</v>
      </c>
      <c r="R486" s="312" t="s">
        <v>1991</v>
      </c>
      <c r="S486" s="312" t="s">
        <v>1991</v>
      </c>
      <c r="T486" s="323" t="s">
        <v>1991</v>
      </c>
      <c r="U486" s="312" t="s">
        <v>1991</v>
      </c>
      <c r="V486" s="46">
        <v>0</v>
      </c>
      <c r="W486" s="324" t="s">
        <v>1991</v>
      </c>
      <c r="X486" s="324" t="s">
        <v>1991</v>
      </c>
      <c r="Y486" s="324" t="s">
        <v>1991</v>
      </c>
      <c r="Z486" s="46" t="s">
        <v>1991</v>
      </c>
      <c r="AA486" s="324" t="s">
        <v>1991</v>
      </c>
      <c r="AB486" s="46" t="s">
        <v>1991</v>
      </c>
      <c r="AC486" s="46" t="s">
        <v>1991</v>
      </c>
      <c r="AD486" s="46" t="s">
        <v>1991</v>
      </c>
      <c r="AE486" s="324" t="s">
        <v>1991</v>
      </c>
      <c r="AF486" s="324" t="s">
        <v>1991</v>
      </c>
      <c r="AG486" s="324" t="s">
        <v>1991</v>
      </c>
      <c r="AH486" s="324" t="s">
        <v>1991</v>
      </c>
      <c r="AI486" s="324" t="s">
        <v>1991</v>
      </c>
      <c r="AJ486" s="324" t="s">
        <v>1991</v>
      </c>
      <c r="AK486" s="324" t="s">
        <v>1991</v>
      </c>
      <c r="AL486" s="327">
        <v>0</v>
      </c>
      <c r="AM486" s="327"/>
      <c r="AN486" s="327"/>
      <c r="AO486" s="327"/>
      <c r="AP486" s="327"/>
      <c r="AQ486" s="327">
        <v>0</v>
      </c>
      <c r="AR486" s="327" t="s">
        <v>1991</v>
      </c>
      <c r="AS486" s="327"/>
      <c r="AT486" s="327"/>
      <c r="AU486" s="327">
        <v>0</v>
      </c>
      <c r="AV486" s="327"/>
      <c r="AW486" s="327"/>
      <c r="AX486" s="327"/>
      <c r="AY486" s="361"/>
      <c r="AZ486" s="361"/>
      <c r="BA486" s="361"/>
      <c r="BB486" s="46">
        <f t="shared" si="189"/>
        <v>12</v>
      </c>
      <c r="BC486" s="46">
        <f t="shared" si="190"/>
        <v>15</v>
      </c>
      <c r="BD486" s="46">
        <f t="shared" si="193"/>
        <v>1</v>
      </c>
      <c r="BE486" s="46">
        <f t="shared" si="191"/>
        <v>1</v>
      </c>
      <c r="BF486" s="296">
        <f t="shared" si="202"/>
        <v>27</v>
      </c>
      <c r="BG486" s="256"/>
      <c r="BH486" s="256"/>
      <c r="BI486" s="256"/>
      <c r="BJ486" s="384"/>
      <c r="BK486" s="385"/>
      <c r="BL486" s="385"/>
      <c r="BM486" s="385"/>
      <c r="BN486" s="385"/>
      <c r="BO486" s="2">
        <f t="shared" si="201"/>
        <v>27</v>
      </c>
      <c r="BP486" s="430"/>
      <c r="BQ486" s="431"/>
      <c r="BR486" s="2"/>
      <c r="BS486" s="25"/>
      <c r="BT486" s="348">
        <f t="shared" si="194"/>
        <v>1</v>
      </c>
      <c r="BU486" s="56"/>
      <c r="BV486" s="282">
        <f t="shared" si="203"/>
        <v>0</v>
      </c>
      <c r="BW486" s="379">
        <v>0</v>
      </c>
      <c r="BX486" s="269">
        <f t="shared" si="204"/>
        <v>0</v>
      </c>
      <c r="BY486" s="264"/>
      <c r="BZ486" s="264"/>
      <c r="CA486" s="264"/>
      <c r="CB486" s="264"/>
      <c r="CC486" s="264"/>
      <c r="CD486" s="14">
        <f t="shared" si="205"/>
        <v>-12</v>
      </c>
      <c r="CE486" s="14">
        <f t="shared" si="206"/>
        <v>27</v>
      </c>
      <c r="CF486" s="2">
        <f t="shared" si="207"/>
        <v>1</v>
      </c>
      <c r="CL486" s="387"/>
      <c r="CM486" s="387"/>
      <c r="CN486" s="387"/>
      <c r="CO486" s="387"/>
      <c r="CP486" s="387"/>
      <c r="CQ486" s="100"/>
    </row>
    <row r="487" spans="1:95" s="95" customFormat="1" ht="29.4" customHeight="1">
      <c r="A487" s="46">
        <v>88</v>
      </c>
      <c r="B487" s="46">
        <v>11</v>
      </c>
      <c r="C487" s="46">
        <v>464</v>
      </c>
      <c r="D487" s="380"/>
      <c r="E487" s="380"/>
      <c r="F487" s="381"/>
      <c r="G487" s="312" t="s">
        <v>1991</v>
      </c>
      <c r="H487" s="312" t="s">
        <v>1991</v>
      </c>
      <c r="I487" s="312" t="s">
        <v>1991</v>
      </c>
      <c r="J487" s="312"/>
      <c r="K487" s="312" t="s">
        <v>1991</v>
      </c>
      <c r="L487" s="312" t="s">
        <v>1991</v>
      </c>
      <c r="M487" s="312" t="s">
        <v>1991</v>
      </c>
      <c r="N487" s="312" t="s">
        <v>1991</v>
      </c>
      <c r="O487" s="312" t="s">
        <v>1991</v>
      </c>
      <c r="P487" s="312" t="s">
        <v>1991</v>
      </c>
      <c r="Q487" s="312" t="s">
        <v>1991</v>
      </c>
      <c r="R487" s="312" t="s">
        <v>1991</v>
      </c>
      <c r="S487" s="312" t="s">
        <v>1991</v>
      </c>
      <c r="T487" s="323" t="s">
        <v>1991</v>
      </c>
      <c r="U487" s="312" t="s">
        <v>1991</v>
      </c>
      <c r="V487" s="46" t="s">
        <v>1991</v>
      </c>
      <c r="W487" s="324" t="s">
        <v>1991</v>
      </c>
      <c r="X487" s="324" t="s">
        <v>1991</v>
      </c>
      <c r="Y487" s="324" t="s">
        <v>1991</v>
      </c>
      <c r="Z487" s="46" t="s">
        <v>1991</v>
      </c>
      <c r="AA487" s="324" t="s">
        <v>1991</v>
      </c>
      <c r="AB487" s="46" t="s">
        <v>1991</v>
      </c>
      <c r="AC487" s="46" t="s">
        <v>1991</v>
      </c>
      <c r="AD487" s="46" t="s">
        <v>1991</v>
      </c>
      <c r="AE487" s="324">
        <v>0</v>
      </c>
      <c r="AF487" s="324" t="s">
        <v>1991</v>
      </c>
      <c r="AG487" s="324" t="s">
        <v>1991</v>
      </c>
      <c r="AH487" s="324" t="s">
        <v>1991</v>
      </c>
      <c r="AI487" s="324" t="s">
        <v>1991</v>
      </c>
      <c r="AJ487" s="324" t="s">
        <v>1991</v>
      </c>
      <c r="AK487" s="324" t="s">
        <v>1991</v>
      </c>
      <c r="AL487" s="327" t="s">
        <v>1991</v>
      </c>
      <c r="AM487" s="327"/>
      <c r="AN487" s="327"/>
      <c r="AO487" s="327"/>
      <c r="AP487" s="327"/>
      <c r="AQ487" s="327" t="s">
        <v>1991</v>
      </c>
      <c r="AR487" s="327" t="s">
        <v>1991</v>
      </c>
      <c r="AS487" s="327"/>
      <c r="AT487" s="327"/>
      <c r="AU487" s="327" t="s">
        <v>2069</v>
      </c>
      <c r="AV487" s="327"/>
      <c r="AW487" s="327"/>
      <c r="AX487" s="327"/>
      <c r="AY487" s="361"/>
      <c r="AZ487" s="361"/>
      <c r="BA487" s="361"/>
      <c r="BB487" s="46">
        <f t="shared" si="189"/>
        <v>14</v>
      </c>
      <c r="BC487" s="46">
        <f t="shared" si="190"/>
        <v>15</v>
      </c>
      <c r="BD487" s="46">
        <f t="shared" si="193"/>
        <v>4</v>
      </c>
      <c r="BE487" s="46">
        <f t="shared" si="191"/>
        <v>4</v>
      </c>
      <c r="BF487" s="296">
        <f t="shared" si="202"/>
        <v>29</v>
      </c>
      <c r="BG487" s="256"/>
      <c r="BH487" s="256"/>
      <c r="BI487" s="256"/>
      <c r="BJ487" s="384"/>
      <c r="BK487" s="385"/>
      <c r="BL487" s="385"/>
      <c r="BM487" s="385"/>
      <c r="BN487" s="385"/>
      <c r="BO487" s="2">
        <f t="shared" si="201"/>
        <v>29</v>
      </c>
      <c r="BP487" s="430"/>
      <c r="BQ487" s="431"/>
      <c r="BR487" s="2"/>
      <c r="BS487" s="25"/>
      <c r="BT487" s="348">
        <f t="shared" si="194"/>
        <v>1</v>
      </c>
      <c r="BU487" s="56"/>
      <c r="BV487" s="282">
        <f t="shared" si="203"/>
        <v>0</v>
      </c>
      <c r="BW487" s="379">
        <v>0</v>
      </c>
      <c r="BX487" s="269">
        <f t="shared" si="204"/>
        <v>0</v>
      </c>
      <c r="BY487" s="264"/>
      <c r="BZ487" s="264"/>
      <c r="CA487" s="264"/>
      <c r="CB487" s="264"/>
      <c r="CC487" s="264"/>
      <c r="CD487" s="14">
        <f t="shared" si="205"/>
        <v>-14</v>
      </c>
      <c r="CE487" s="14">
        <f t="shared" si="206"/>
        <v>29</v>
      </c>
      <c r="CF487" s="2">
        <f t="shared" si="207"/>
        <v>1</v>
      </c>
      <c r="CL487" s="387"/>
      <c r="CM487" s="387"/>
      <c r="CN487" s="387"/>
      <c r="CO487" s="387"/>
      <c r="CP487" s="387"/>
      <c r="CQ487" s="100"/>
    </row>
    <row r="488" spans="1:95" s="95" customFormat="1" ht="29.4" customHeight="1">
      <c r="A488" s="46">
        <v>89</v>
      </c>
      <c r="B488" s="46">
        <v>11</v>
      </c>
      <c r="C488" s="46">
        <v>465</v>
      </c>
      <c r="D488" s="380"/>
      <c r="E488" s="380"/>
      <c r="F488" s="381"/>
      <c r="G488" s="312" t="s">
        <v>1991</v>
      </c>
      <c r="H488" s="312" t="s">
        <v>1991</v>
      </c>
      <c r="I488" s="312" t="s">
        <v>1991</v>
      </c>
      <c r="J488" s="312"/>
      <c r="K488" s="312" t="s">
        <v>1991</v>
      </c>
      <c r="L488" s="312" t="s">
        <v>1991</v>
      </c>
      <c r="M488" s="312" t="s">
        <v>1991</v>
      </c>
      <c r="N488" s="312" t="s">
        <v>1991</v>
      </c>
      <c r="O488" s="312" t="s">
        <v>1991</v>
      </c>
      <c r="P488" s="312" t="s">
        <v>1991</v>
      </c>
      <c r="Q488" s="312" t="s">
        <v>1991</v>
      </c>
      <c r="R488" s="312" t="s">
        <v>1991</v>
      </c>
      <c r="S488" s="312" t="s">
        <v>1991</v>
      </c>
      <c r="T488" s="323" t="s">
        <v>1991</v>
      </c>
      <c r="U488" s="312" t="s">
        <v>1991</v>
      </c>
      <c r="V488" s="46" t="s">
        <v>1991</v>
      </c>
      <c r="W488" s="324" t="s">
        <v>1991</v>
      </c>
      <c r="X488" s="324" t="s">
        <v>1991</v>
      </c>
      <c r="Y488" s="324" t="s">
        <v>1991</v>
      </c>
      <c r="Z488" s="46" t="s">
        <v>1991</v>
      </c>
      <c r="AA488" s="324" t="s">
        <v>1991</v>
      </c>
      <c r="AB488" s="46">
        <v>0</v>
      </c>
      <c r="AC488" s="46" t="s">
        <v>1991</v>
      </c>
      <c r="AD488" s="46" t="s">
        <v>1991</v>
      </c>
      <c r="AE488" s="324">
        <v>0</v>
      </c>
      <c r="AF488" s="324" t="s">
        <v>1991</v>
      </c>
      <c r="AG488" s="324" t="s">
        <v>1991</v>
      </c>
      <c r="AH488" s="324" t="s">
        <v>1991</v>
      </c>
      <c r="AI488" s="324" t="s">
        <v>1991</v>
      </c>
      <c r="AJ488" s="324" t="s">
        <v>1991</v>
      </c>
      <c r="AK488" s="324" t="s">
        <v>1991</v>
      </c>
      <c r="AL488" s="327" t="s">
        <v>1991</v>
      </c>
      <c r="AM488" s="327"/>
      <c r="AN488" s="327"/>
      <c r="AO488" s="327"/>
      <c r="AP488" s="327"/>
      <c r="AQ488" s="327" t="s">
        <v>1991</v>
      </c>
      <c r="AR488" s="327" t="s">
        <v>1991</v>
      </c>
      <c r="AS488" s="327"/>
      <c r="AT488" s="327"/>
      <c r="AU488" s="327" t="s">
        <v>2069</v>
      </c>
      <c r="AV488" s="327"/>
      <c r="AW488" s="327"/>
      <c r="AX488" s="327"/>
      <c r="AY488" s="361"/>
      <c r="AZ488" s="361"/>
      <c r="BA488" s="361"/>
      <c r="BB488" s="46">
        <f t="shared" si="189"/>
        <v>14</v>
      </c>
      <c r="BC488" s="46">
        <f t="shared" si="190"/>
        <v>14</v>
      </c>
      <c r="BD488" s="46">
        <f t="shared" si="193"/>
        <v>4</v>
      </c>
      <c r="BE488" s="46">
        <f t="shared" si="191"/>
        <v>4</v>
      </c>
      <c r="BF488" s="296">
        <f t="shared" si="202"/>
        <v>28</v>
      </c>
      <c r="BG488" s="256"/>
      <c r="BH488" s="256"/>
      <c r="BI488" s="256"/>
      <c r="BJ488" s="384"/>
      <c r="BK488" s="385"/>
      <c r="BL488" s="385"/>
      <c r="BM488" s="385"/>
      <c r="BN488" s="385"/>
      <c r="BO488" s="2">
        <f t="shared" si="201"/>
        <v>28</v>
      </c>
      <c r="BP488" s="430"/>
      <c r="BQ488" s="431"/>
      <c r="BR488" s="2"/>
      <c r="BS488" s="25"/>
      <c r="BT488" s="348">
        <f t="shared" si="194"/>
        <v>1</v>
      </c>
      <c r="BU488" s="56"/>
      <c r="BV488" s="282">
        <f t="shared" si="203"/>
        <v>0</v>
      </c>
      <c r="BW488" s="379">
        <v>0</v>
      </c>
      <c r="BX488" s="269">
        <f t="shared" si="204"/>
        <v>0</v>
      </c>
      <c r="BY488" s="264"/>
      <c r="BZ488" s="264"/>
      <c r="CA488" s="264"/>
      <c r="CB488" s="264"/>
      <c r="CC488" s="264"/>
      <c r="CD488" s="14">
        <f t="shared" si="205"/>
        <v>-14</v>
      </c>
      <c r="CE488" s="14">
        <f t="shared" si="206"/>
        <v>28</v>
      </c>
      <c r="CF488" s="2">
        <f t="shared" si="207"/>
        <v>1</v>
      </c>
      <c r="CL488" s="387"/>
      <c r="CM488" s="387"/>
      <c r="CN488" s="387"/>
      <c r="CO488" s="387"/>
      <c r="CP488" s="387"/>
      <c r="CQ488" s="100"/>
    </row>
    <row r="489" spans="1:95" s="95" customFormat="1" ht="29.4" customHeight="1">
      <c r="A489" s="46">
        <v>90</v>
      </c>
      <c r="B489" s="46">
        <v>11</v>
      </c>
      <c r="C489" s="46">
        <v>466</v>
      </c>
      <c r="D489" s="380"/>
      <c r="E489" s="380"/>
      <c r="F489" s="381"/>
      <c r="G489" s="312" t="s">
        <v>1991</v>
      </c>
      <c r="H489" s="312" t="s">
        <v>1991</v>
      </c>
      <c r="I489" s="312" t="s">
        <v>1991</v>
      </c>
      <c r="J489" s="312"/>
      <c r="K489" s="312" t="s">
        <v>1991</v>
      </c>
      <c r="L489" s="312" t="s">
        <v>1991</v>
      </c>
      <c r="M489" s="312" t="s">
        <v>1991</v>
      </c>
      <c r="N489" s="312">
        <v>0</v>
      </c>
      <c r="O489" s="312" t="s">
        <v>1991</v>
      </c>
      <c r="P489" s="312" t="s">
        <v>1991</v>
      </c>
      <c r="Q489" s="312" t="s">
        <v>1991</v>
      </c>
      <c r="R489" s="312" t="s">
        <v>1991</v>
      </c>
      <c r="S489" s="312" t="s">
        <v>1991</v>
      </c>
      <c r="T489" s="323" t="s">
        <v>1991</v>
      </c>
      <c r="U489" s="312" t="s">
        <v>1991</v>
      </c>
      <c r="V489" s="46">
        <v>0</v>
      </c>
      <c r="W489" s="324" t="s">
        <v>1991</v>
      </c>
      <c r="X489" s="324" t="s">
        <v>1991</v>
      </c>
      <c r="Y489" s="324" t="s">
        <v>1991</v>
      </c>
      <c r="Z489" s="46" t="s">
        <v>1991</v>
      </c>
      <c r="AA489" s="324" t="s">
        <v>1991</v>
      </c>
      <c r="AB489" s="46" t="s">
        <v>1991</v>
      </c>
      <c r="AC489" s="46">
        <v>0</v>
      </c>
      <c r="AD489" s="46" t="s">
        <v>1991</v>
      </c>
      <c r="AE489" s="324" t="s">
        <v>1991</v>
      </c>
      <c r="AF489" s="324" t="s">
        <v>1991</v>
      </c>
      <c r="AG489" s="324" t="s">
        <v>1991</v>
      </c>
      <c r="AH489" s="324" t="s">
        <v>1991</v>
      </c>
      <c r="AI489" s="324" t="s">
        <v>1991</v>
      </c>
      <c r="AJ489" s="324" t="s">
        <v>1991</v>
      </c>
      <c r="AK489" s="324" t="s">
        <v>1991</v>
      </c>
      <c r="AL489" s="327">
        <v>0</v>
      </c>
      <c r="AM489" s="327"/>
      <c r="AN489" s="327"/>
      <c r="AO489" s="327"/>
      <c r="AP489" s="327"/>
      <c r="AQ489" s="327">
        <v>0</v>
      </c>
      <c r="AR489" s="327" t="s">
        <v>1991</v>
      </c>
      <c r="AS489" s="327"/>
      <c r="AT489" s="327"/>
      <c r="AU489" s="327">
        <v>0</v>
      </c>
      <c r="AV489" s="327"/>
      <c r="AW489" s="327"/>
      <c r="AX489" s="327"/>
      <c r="AY489" s="361"/>
      <c r="AZ489" s="361"/>
      <c r="BA489" s="361"/>
      <c r="BB489" s="46">
        <f t="shared" si="189"/>
        <v>13</v>
      </c>
      <c r="BC489" s="46">
        <f t="shared" si="190"/>
        <v>14</v>
      </c>
      <c r="BD489" s="46">
        <f t="shared" si="193"/>
        <v>1</v>
      </c>
      <c r="BE489" s="46">
        <f t="shared" si="191"/>
        <v>1</v>
      </c>
      <c r="BF489" s="296">
        <f t="shared" si="202"/>
        <v>27</v>
      </c>
      <c r="BG489" s="256"/>
      <c r="BH489" s="256"/>
      <c r="BI489" s="256"/>
      <c r="BJ489" s="384"/>
      <c r="BK489" s="385"/>
      <c r="BL489" s="385"/>
      <c r="BM489" s="385"/>
      <c r="BN489" s="385"/>
      <c r="BO489" s="2">
        <f t="shared" si="201"/>
        <v>27</v>
      </c>
      <c r="BP489" s="430"/>
      <c r="BQ489" s="431"/>
      <c r="BR489" s="2"/>
      <c r="BS489" s="25"/>
      <c r="BT489" s="348">
        <f t="shared" si="194"/>
        <v>1</v>
      </c>
      <c r="BU489" s="56"/>
      <c r="BV489" s="282">
        <f t="shared" si="203"/>
        <v>0</v>
      </c>
      <c r="BW489" s="379">
        <v>0</v>
      </c>
      <c r="BX489" s="269">
        <f t="shared" si="204"/>
        <v>0</v>
      </c>
      <c r="BY489" s="264"/>
      <c r="BZ489" s="264"/>
      <c r="CA489" s="264"/>
      <c r="CB489" s="264"/>
      <c r="CC489" s="264"/>
      <c r="CD489" s="14">
        <f t="shared" si="205"/>
        <v>-13</v>
      </c>
      <c r="CE489" s="14">
        <f t="shared" si="206"/>
        <v>27</v>
      </c>
      <c r="CF489" s="2">
        <f t="shared" si="207"/>
        <v>1</v>
      </c>
      <c r="CL489" s="387"/>
      <c r="CM489" s="387"/>
      <c r="CN489" s="387"/>
      <c r="CO489" s="387"/>
      <c r="CP489" s="387"/>
      <c r="CQ489" s="100"/>
    </row>
    <row r="490" spans="1:95" s="95" customFormat="1" ht="29.4" customHeight="1">
      <c r="A490" s="46">
        <v>91</v>
      </c>
      <c r="B490" s="46">
        <v>11</v>
      </c>
      <c r="C490" s="46">
        <v>467</v>
      </c>
      <c r="D490" s="380"/>
      <c r="E490" s="380"/>
      <c r="F490" s="381"/>
      <c r="G490" s="312" t="s">
        <v>1991</v>
      </c>
      <c r="H490" s="312" t="s">
        <v>1991</v>
      </c>
      <c r="I490" s="312" t="s">
        <v>1991</v>
      </c>
      <c r="J490" s="312"/>
      <c r="K490" s="312">
        <v>0</v>
      </c>
      <c r="L490" s="312" t="s">
        <v>1991</v>
      </c>
      <c r="M490" s="312" t="s">
        <v>1991</v>
      </c>
      <c r="N490" s="312" t="s">
        <v>1991</v>
      </c>
      <c r="O490" s="312" t="s">
        <v>1991</v>
      </c>
      <c r="P490" s="312" t="s">
        <v>1991</v>
      </c>
      <c r="Q490" s="312" t="s">
        <v>1991</v>
      </c>
      <c r="R490" s="312" t="s">
        <v>1991</v>
      </c>
      <c r="S490" s="312" t="s">
        <v>1991</v>
      </c>
      <c r="T490" s="323" t="s">
        <v>1991</v>
      </c>
      <c r="U490" s="312" t="s">
        <v>1991</v>
      </c>
      <c r="V490" s="46" t="s">
        <v>1991</v>
      </c>
      <c r="W490" s="324" t="s">
        <v>1991</v>
      </c>
      <c r="X490" s="324" t="s">
        <v>1991</v>
      </c>
      <c r="Y490" s="324" t="s">
        <v>1991</v>
      </c>
      <c r="Z490" s="46" t="s">
        <v>1991</v>
      </c>
      <c r="AA490" s="324" t="s">
        <v>1991</v>
      </c>
      <c r="AB490" s="46" t="s">
        <v>1991</v>
      </c>
      <c r="AC490" s="46" t="s">
        <v>1991</v>
      </c>
      <c r="AD490" s="46" t="s">
        <v>1991</v>
      </c>
      <c r="AE490" s="324">
        <v>0</v>
      </c>
      <c r="AF490" s="324" t="s">
        <v>1991</v>
      </c>
      <c r="AG490" s="324" t="s">
        <v>1991</v>
      </c>
      <c r="AH490" s="324" t="s">
        <v>1991</v>
      </c>
      <c r="AI490" s="324" t="s">
        <v>1991</v>
      </c>
      <c r="AJ490" s="324" t="s">
        <v>1991</v>
      </c>
      <c r="AK490" s="324" t="s">
        <v>1991</v>
      </c>
      <c r="AL490" s="327" t="s">
        <v>1991</v>
      </c>
      <c r="AM490" s="327"/>
      <c r="AN490" s="327"/>
      <c r="AO490" s="327"/>
      <c r="AP490" s="327"/>
      <c r="AQ490" s="327" t="s">
        <v>1991</v>
      </c>
      <c r="AR490" s="327" t="s">
        <v>1991</v>
      </c>
      <c r="AS490" s="327"/>
      <c r="AT490" s="327"/>
      <c r="AU490" s="327" t="s">
        <v>2069</v>
      </c>
      <c r="AV490" s="327"/>
      <c r="AW490" s="327"/>
      <c r="AX490" s="327"/>
      <c r="AY490" s="361"/>
      <c r="AZ490" s="361"/>
      <c r="BA490" s="361"/>
      <c r="BB490" s="46">
        <f t="shared" si="189"/>
        <v>13</v>
      </c>
      <c r="BC490" s="46">
        <f t="shared" si="190"/>
        <v>15</v>
      </c>
      <c r="BD490" s="46">
        <f t="shared" si="193"/>
        <v>4</v>
      </c>
      <c r="BE490" s="46">
        <f t="shared" si="191"/>
        <v>4</v>
      </c>
      <c r="BF490" s="296">
        <f t="shared" si="202"/>
        <v>28</v>
      </c>
      <c r="BG490" s="256"/>
      <c r="BH490" s="256"/>
      <c r="BI490" s="256"/>
      <c r="BJ490" s="384"/>
      <c r="BK490" s="385"/>
      <c r="BL490" s="385"/>
      <c r="BM490" s="385"/>
      <c r="BN490" s="385"/>
      <c r="BO490" s="2">
        <f t="shared" si="201"/>
        <v>28</v>
      </c>
      <c r="BP490" s="430"/>
      <c r="BQ490" s="431"/>
      <c r="BR490" s="2"/>
      <c r="BS490" s="25"/>
      <c r="BT490" s="348">
        <f t="shared" si="194"/>
        <v>1</v>
      </c>
      <c r="BU490" s="56"/>
      <c r="BV490" s="282">
        <f t="shared" si="203"/>
        <v>0</v>
      </c>
      <c r="BW490" s="379">
        <v>0</v>
      </c>
      <c r="BX490" s="269">
        <f t="shared" si="204"/>
        <v>0</v>
      </c>
      <c r="BY490" s="264"/>
      <c r="BZ490" s="264"/>
      <c r="CA490" s="264"/>
      <c r="CB490" s="264"/>
      <c r="CC490" s="264"/>
      <c r="CD490" s="14">
        <f t="shared" si="205"/>
        <v>-13</v>
      </c>
      <c r="CE490" s="14">
        <f t="shared" si="206"/>
        <v>28</v>
      </c>
      <c r="CF490" s="2">
        <f t="shared" si="207"/>
        <v>1</v>
      </c>
      <c r="CL490" s="387"/>
      <c r="CM490" s="387"/>
      <c r="CN490" s="387"/>
      <c r="CO490" s="387"/>
      <c r="CP490" s="387"/>
      <c r="CQ490" s="100"/>
    </row>
    <row r="491" spans="1:95" s="95" customFormat="1" ht="29.4" customHeight="1">
      <c r="A491" s="46">
        <v>92</v>
      </c>
      <c r="B491" s="46">
        <v>11</v>
      </c>
      <c r="C491" s="46">
        <v>468</v>
      </c>
      <c r="D491" s="380"/>
      <c r="E491" s="380"/>
      <c r="F491" s="381"/>
      <c r="G491" s="312" t="s">
        <v>1991</v>
      </c>
      <c r="H491" s="312" t="s">
        <v>1991</v>
      </c>
      <c r="I491" s="312" t="s">
        <v>1991</v>
      </c>
      <c r="J491" s="312"/>
      <c r="K491" s="312" t="s">
        <v>1991</v>
      </c>
      <c r="L491" s="312" t="s">
        <v>1991</v>
      </c>
      <c r="M491" s="312" t="s">
        <v>1991</v>
      </c>
      <c r="N491" s="312" t="s">
        <v>1991</v>
      </c>
      <c r="O491" s="312" t="s">
        <v>1991</v>
      </c>
      <c r="P491" s="312" t="s">
        <v>1991</v>
      </c>
      <c r="Q491" s="312" t="s">
        <v>1991</v>
      </c>
      <c r="R491" s="312" t="s">
        <v>1991</v>
      </c>
      <c r="S491" s="312" t="s">
        <v>1991</v>
      </c>
      <c r="T491" s="323" t="s">
        <v>1991</v>
      </c>
      <c r="U491" s="312" t="s">
        <v>1991</v>
      </c>
      <c r="V491" s="46" t="s">
        <v>1991</v>
      </c>
      <c r="W491" s="324" t="s">
        <v>1991</v>
      </c>
      <c r="X491" s="324" t="s">
        <v>1991</v>
      </c>
      <c r="Y491" s="324" t="s">
        <v>1991</v>
      </c>
      <c r="Z491" s="46" t="s">
        <v>1991</v>
      </c>
      <c r="AA491" s="324" t="s">
        <v>1991</v>
      </c>
      <c r="AB491" s="46" t="s">
        <v>1991</v>
      </c>
      <c r="AC491" s="46" t="s">
        <v>1991</v>
      </c>
      <c r="AD491" s="46" t="s">
        <v>1991</v>
      </c>
      <c r="AE491" s="324">
        <v>0</v>
      </c>
      <c r="AF491" s="324" t="s">
        <v>1991</v>
      </c>
      <c r="AG491" s="324" t="s">
        <v>1991</v>
      </c>
      <c r="AH491" s="324" t="s">
        <v>1991</v>
      </c>
      <c r="AI491" s="324" t="s">
        <v>1991</v>
      </c>
      <c r="AJ491" s="324" t="s">
        <v>1991</v>
      </c>
      <c r="AK491" s="324" t="s">
        <v>1991</v>
      </c>
      <c r="AL491" s="327" t="s">
        <v>1991</v>
      </c>
      <c r="AM491" s="327"/>
      <c r="AN491" s="327"/>
      <c r="AO491" s="327"/>
      <c r="AP491" s="327"/>
      <c r="AQ491" s="327" t="s">
        <v>1991</v>
      </c>
      <c r="AR491" s="327" t="s">
        <v>1991</v>
      </c>
      <c r="AS491" s="327"/>
      <c r="AT491" s="327"/>
      <c r="AU491" s="327" t="s">
        <v>2069</v>
      </c>
      <c r="AV491" s="327"/>
      <c r="AW491" s="327"/>
      <c r="AX491" s="327"/>
      <c r="AY491" s="361"/>
      <c r="AZ491" s="361"/>
      <c r="BA491" s="361"/>
      <c r="BB491" s="46">
        <f t="shared" si="189"/>
        <v>14</v>
      </c>
      <c r="BC491" s="46">
        <f t="shared" si="190"/>
        <v>15</v>
      </c>
      <c r="BD491" s="46">
        <f t="shared" si="193"/>
        <v>4</v>
      </c>
      <c r="BE491" s="46">
        <f t="shared" si="191"/>
        <v>4</v>
      </c>
      <c r="BF491" s="296">
        <f t="shared" si="202"/>
        <v>29</v>
      </c>
      <c r="BG491" s="256"/>
      <c r="BH491" s="256"/>
      <c r="BI491" s="256"/>
      <c r="BJ491" s="384"/>
      <c r="BK491" s="385"/>
      <c r="BL491" s="385"/>
      <c r="BM491" s="385"/>
      <c r="BN491" s="385"/>
      <c r="BO491" s="2">
        <f t="shared" si="201"/>
        <v>29</v>
      </c>
      <c r="BP491" s="430"/>
      <c r="BQ491" s="431"/>
      <c r="BR491" s="2"/>
      <c r="BS491" s="25"/>
      <c r="BT491" s="348">
        <f t="shared" si="194"/>
        <v>1</v>
      </c>
      <c r="BU491" s="56"/>
      <c r="BV491" s="282">
        <f t="shared" si="203"/>
        <v>0</v>
      </c>
      <c r="BW491" s="379">
        <v>20000</v>
      </c>
      <c r="BX491" s="269">
        <f t="shared" si="204"/>
        <v>-0.15</v>
      </c>
      <c r="BY491" s="264"/>
      <c r="BZ491" s="264"/>
      <c r="CA491" s="264"/>
      <c r="CB491" s="264"/>
      <c r="CC491" s="264"/>
      <c r="CD491" s="14">
        <f t="shared" si="205"/>
        <v>-14</v>
      </c>
      <c r="CE491" s="14">
        <f t="shared" si="206"/>
        <v>29</v>
      </c>
      <c r="CF491" s="2">
        <f t="shared" si="207"/>
        <v>1</v>
      </c>
      <c r="CL491" s="387"/>
      <c r="CM491" s="387"/>
      <c r="CN491" s="387"/>
      <c r="CO491" s="387"/>
      <c r="CP491" s="387"/>
      <c r="CQ491" s="100"/>
    </row>
    <row r="492" spans="1:95" s="95" customFormat="1" ht="29.4" customHeight="1">
      <c r="A492" s="46">
        <v>93</v>
      </c>
      <c r="B492" s="46">
        <v>11</v>
      </c>
      <c r="C492" s="46">
        <v>469</v>
      </c>
      <c r="D492" s="380"/>
      <c r="E492" s="380"/>
      <c r="F492" s="381"/>
      <c r="G492" s="312" t="s">
        <v>1991</v>
      </c>
      <c r="H492" s="312" t="s">
        <v>1991</v>
      </c>
      <c r="I492" s="312" t="s">
        <v>1991</v>
      </c>
      <c r="J492" s="312"/>
      <c r="K492" s="312" t="s">
        <v>1991</v>
      </c>
      <c r="L492" s="312" t="s">
        <v>1991</v>
      </c>
      <c r="M492" s="312" t="s">
        <v>1991</v>
      </c>
      <c r="N492" s="312" t="s">
        <v>1991</v>
      </c>
      <c r="O492" s="312" t="s">
        <v>1991</v>
      </c>
      <c r="P492" s="312" t="s">
        <v>1991</v>
      </c>
      <c r="Q492" s="312" t="s">
        <v>1991</v>
      </c>
      <c r="R492" s="312" t="s">
        <v>1991</v>
      </c>
      <c r="S492" s="312" t="s">
        <v>1991</v>
      </c>
      <c r="T492" s="323" t="s">
        <v>1991</v>
      </c>
      <c r="U492" s="312" t="s">
        <v>1991</v>
      </c>
      <c r="V492" s="46" t="s">
        <v>1991</v>
      </c>
      <c r="W492" s="324" t="s">
        <v>1991</v>
      </c>
      <c r="X492" s="324" t="s">
        <v>1991</v>
      </c>
      <c r="Y492" s="324" t="s">
        <v>1991</v>
      </c>
      <c r="Z492" s="46" t="s">
        <v>1991</v>
      </c>
      <c r="AA492" s="324" t="s">
        <v>1991</v>
      </c>
      <c r="AB492" s="46" t="s">
        <v>1991</v>
      </c>
      <c r="AC492" s="46" t="s">
        <v>1991</v>
      </c>
      <c r="AD492" s="46" t="s">
        <v>1991</v>
      </c>
      <c r="AE492" s="324" t="s">
        <v>1991</v>
      </c>
      <c r="AF492" s="324" t="s">
        <v>1991</v>
      </c>
      <c r="AG492" s="324" t="s">
        <v>1991</v>
      </c>
      <c r="AH492" s="324" t="s">
        <v>1991</v>
      </c>
      <c r="AI492" s="324" t="s">
        <v>1991</v>
      </c>
      <c r="AJ492" s="324" t="s">
        <v>1991</v>
      </c>
      <c r="AK492" s="324" t="s">
        <v>1991</v>
      </c>
      <c r="AL492" s="327">
        <v>0</v>
      </c>
      <c r="AM492" s="327"/>
      <c r="AN492" s="327"/>
      <c r="AO492" s="327"/>
      <c r="AP492" s="327"/>
      <c r="AQ492" s="327" t="s">
        <v>1991</v>
      </c>
      <c r="AR492" s="327" t="s">
        <v>1991</v>
      </c>
      <c r="AS492" s="327"/>
      <c r="AT492" s="327"/>
      <c r="AU492" s="327">
        <v>0</v>
      </c>
      <c r="AV492" s="327"/>
      <c r="AW492" s="327"/>
      <c r="AX492" s="327"/>
      <c r="AY492" s="361"/>
      <c r="AZ492" s="361"/>
      <c r="BA492" s="361"/>
      <c r="BB492" s="46">
        <f t="shared" si="189"/>
        <v>14</v>
      </c>
      <c r="BC492" s="46">
        <f t="shared" si="190"/>
        <v>16</v>
      </c>
      <c r="BD492" s="46">
        <f t="shared" si="193"/>
        <v>2</v>
      </c>
      <c r="BE492" s="46">
        <f t="shared" si="191"/>
        <v>2</v>
      </c>
      <c r="BF492" s="296">
        <f t="shared" si="202"/>
        <v>30</v>
      </c>
      <c r="BG492" s="256"/>
      <c r="BH492" s="256"/>
      <c r="BI492" s="256"/>
      <c r="BJ492" s="384"/>
      <c r="BK492" s="385"/>
      <c r="BL492" s="385"/>
      <c r="BM492" s="385"/>
      <c r="BN492" s="385"/>
      <c r="BO492" s="2">
        <f t="shared" si="201"/>
        <v>30</v>
      </c>
      <c r="BP492" s="430"/>
      <c r="BQ492" s="431"/>
      <c r="BR492" s="2"/>
      <c r="BS492" s="25"/>
      <c r="BT492" s="348">
        <f t="shared" si="194"/>
        <v>1</v>
      </c>
      <c r="BU492" s="56"/>
      <c r="BV492" s="282">
        <f t="shared" si="203"/>
        <v>0</v>
      </c>
      <c r="BW492" s="379">
        <v>-20000</v>
      </c>
      <c r="BX492" s="269">
        <f t="shared" si="204"/>
        <v>0</v>
      </c>
      <c r="BY492" s="264"/>
      <c r="BZ492" s="264"/>
      <c r="CA492" s="264"/>
      <c r="CB492" s="264"/>
      <c r="CC492" s="264"/>
      <c r="CD492" s="14">
        <f t="shared" si="205"/>
        <v>-14</v>
      </c>
      <c r="CE492" s="14">
        <f t="shared" si="206"/>
        <v>30</v>
      </c>
      <c r="CF492" s="2">
        <f t="shared" si="207"/>
        <v>1</v>
      </c>
      <c r="CL492" s="387"/>
      <c r="CM492" s="387"/>
      <c r="CN492" s="387"/>
      <c r="CO492" s="387"/>
      <c r="CP492" s="387"/>
      <c r="CQ492" s="100"/>
    </row>
    <row r="493" spans="1:95" s="95" customFormat="1" ht="29.4" customHeight="1">
      <c r="A493" s="46">
        <v>94</v>
      </c>
      <c r="B493" s="46">
        <v>11</v>
      </c>
      <c r="C493" s="46">
        <v>470</v>
      </c>
      <c r="D493" s="380"/>
      <c r="E493" s="380"/>
      <c r="F493" s="381"/>
      <c r="G493" s="312" t="s">
        <v>1991</v>
      </c>
      <c r="H493" s="312" t="s">
        <v>1991</v>
      </c>
      <c r="I493" s="312" t="s">
        <v>1991</v>
      </c>
      <c r="J493" s="312"/>
      <c r="K493" s="312">
        <v>0</v>
      </c>
      <c r="L493" s="312" t="s">
        <v>1991</v>
      </c>
      <c r="M493" s="312" t="s">
        <v>1991</v>
      </c>
      <c r="N493" s="312" t="s">
        <v>1991</v>
      </c>
      <c r="O493" s="312" t="s">
        <v>1991</v>
      </c>
      <c r="P493" s="312" t="s">
        <v>1991</v>
      </c>
      <c r="Q493" s="312" t="s">
        <v>1991</v>
      </c>
      <c r="R493" s="312" t="s">
        <v>1991</v>
      </c>
      <c r="S493" s="312" t="s">
        <v>1991</v>
      </c>
      <c r="T493" s="323" t="s">
        <v>1991</v>
      </c>
      <c r="U493" s="312" t="s">
        <v>1991</v>
      </c>
      <c r="V493" s="46" t="s">
        <v>1991</v>
      </c>
      <c r="W493" s="324" t="s">
        <v>1991</v>
      </c>
      <c r="X493" s="324" t="s">
        <v>1991</v>
      </c>
      <c r="Y493" s="324" t="s">
        <v>1991</v>
      </c>
      <c r="Z493" s="46" t="s">
        <v>1991</v>
      </c>
      <c r="AA493" s="324" t="s">
        <v>1991</v>
      </c>
      <c r="AB493" s="46" t="s">
        <v>1991</v>
      </c>
      <c r="AC493" s="46" t="s">
        <v>1991</v>
      </c>
      <c r="AD493" s="46" t="s">
        <v>1991</v>
      </c>
      <c r="AE493" s="324">
        <v>0</v>
      </c>
      <c r="AF493" s="324" t="s">
        <v>1991</v>
      </c>
      <c r="AG493" s="324" t="s">
        <v>1991</v>
      </c>
      <c r="AH493" s="324" t="s">
        <v>1991</v>
      </c>
      <c r="AI493" s="324" t="s">
        <v>1991</v>
      </c>
      <c r="AJ493" s="324" t="s">
        <v>1991</v>
      </c>
      <c r="AK493" s="324" t="s">
        <v>1991</v>
      </c>
      <c r="AL493" s="327" t="s">
        <v>1991</v>
      </c>
      <c r="AM493" s="327"/>
      <c r="AN493" s="327"/>
      <c r="AO493" s="327"/>
      <c r="AP493" s="327"/>
      <c r="AQ493" s="327" t="s">
        <v>1991</v>
      </c>
      <c r="AR493" s="327">
        <v>0</v>
      </c>
      <c r="AS493" s="327"/>
      <c r="AT493" s="327"/>
      <c r="AU493" s="327" t="s">
        <v>2069</v>
      </c>
      <c r="AV493" s="327"/>
      <c r="AW493" s="327"/>
      <c r="AX493" s="327"/>
      <c r="AY493" s="361"/>
      <c r="AZ493" s="361"/>
      <c r="BA493" s="361"/>
      <c r="BB493" s="46">
        <f t="shared" si="189"/>
        <v>13</v>
      </c>
      <c r="BC493" s="46">
        <f t="shared" si="190"/>
        <v>15</v>
      </c>
      <c r="BD493" s="46">
        <f t="shared" si="193"/>
        <v>3</v>
      </c>
      <c r="BE493" s="46">
        <f t="shared" si="191"/>
        <v>3</v>
      </c>
      <c r="BF493" s="296">
        <f t="shared" si="202"/>
        <v>28</v>
      </c>
      <c r="BG493" s="256"/>
      <c r="BH493" s="256"/>
      <c r="BI493" s="256"/>
      <c r="BJ493" s="384"/>
      <c r="BK493" s="385"/>
      <c r="BL493" s="385"/>
      <c r="BM493" s="385"/>
      <c r="BN493" s="385"/>
      <c r="BO493" s="2">
        <f t="shared" si="201"/>
        <v>28</v>
      </c>
      <c r="BP493" s="430"/>
      <c r="BQ493" s="431"/>
      <c r="BR493" s="2"/>
      <c r="BS493" s="25"/>
      <c r="BT493" s="348">
        <f t="shared" si="194"/>
        <v>1</v>
      </c>
      <c r="BU493" s="56"/>
      <c r="BV493" s="282">
        <f t="shared" si="203"/>
        <v>0</v>
      </c>
      <c r="BW493" s="379">
        <v>0</v>
      </c>
      <c r="BX493" s="269">
        <f t="shared" si="204"/>
        <v>0</v>
      </c>
      <c r="BY493" s="264"/>
      <c r="BZ493" s="264"/>
      <c r="CA493" s="264"/>
      <c r="CB493" s="264"/>
      <c r="CC493" s="264"/>
      <c r="CD493" s="14">
        <f t="shared" si="205"/>
        <v>-13</v>
      </c>
      <c r="CE493" s="14">
        <f t="shared" si="206"/>
        <v>28</v>
      </c>
      <c r="CF493" s="2">
        <f t="shared" si="207"/>
        <v>1</v>
      </c>
      <c r="CL493" s="387"/>
      <c r="CM493" s="387"/>
      <c r="CN493" s="387"/>
      <c r="CO493" s="387"/>
      <c r="CP493" s="387"/>
      <c r="CQ493" s="100"/>
    </row>
    <row r="494" spans="1:95" s="95" customFormat="1" ht="29.4" customHeight="1">
      <c r="A494" s="46">
        <v>95</v>
      </c>
      <c r="B494" s="46">
        <v>11</v>
      </c>
      <c r="C494" s="46">
        <v>471</v>
      </c>
      <c r="D494" s="380"/>
      <c r="E494" s="380"/>
      <c r="F494" s="381"/>
      <c r="G494" s="312">
        <v>0</v>
      </c>
      <c r="H494" s="312" t="s">
        <v>1991</v>
      </c>
      <c r="I494" s="312" t="s">
        <v>1991</v>
      </c>
      <c r="J494" s="312"/>
      <c r="K494" s="312" t="s">
        <v>1991</v>
      </c>
      <c r="L494" s="312" t="s">
        <v>1991</v>
      </c>
      <c r="M494" s="312">
        <v>0</v>
      </c>
      <c r="N494" s="312" t="s">
        <v>1991</v>
      </c>
      <c r="O494" s="312" t="s">
        <v>1991</v>
      </c>
      <c r="P494" s="312" t="s">
        <v>1991</v>
      </c>
      <c r="Q494" s="312" t="s">
        <v>1991</v>
      </c>
      <c r="R494" s="312" t="s">
        <v>1991</v>
      </c>
      <c r="S494" s="312" t="s">
        <v>1991</v>
      </c>
      <c r="T494" s="323" t="s">
        <v>1991</v>
      </c>
      <c r="U494" s="312" t="s">
        <v>1991</v>
      </c>
      <c r="V494" s="46" t="s">
        <v>1991</v>
      </c>
      <c r="W494" s="324" t="s">
        <v>1991</v>
      </c>
      <c r="X494" s="324" t="s">
        <v>1991</v>
      </c>
      <c r="Y494" s="324" t="s">
        <v>1991</v>
      </c>
      <c r="Z494" s="46" t="s">
        <v>1991</v>
      </c>
      <c r="AA494" s="324" t="s">
        <v>1991</v>
      </c>
      <c r="AB494" s="46" t="s">
        <v>1991</v>
      </c>
      <c r="AC494" s="46">
        <v>0</v>
      </c>
      <c r="AD494" s="46" t="s">
        <v>1991</v>
      </c>
      <c r="AE494" s="324" t="s">
        <v>1991</v>
      </c>
      <c r="AF494" s="324" t="s">
        <v>1991</v>
      </c>
      <c r="AG494" s="324" t="s">
        <v>1991</v>
      </c>
      <c r="AH494" s="324" t="s">
        <v>1991</v>
      </c>
      <c r="AI494" s="324" t="s">
        <v>1991</v>
      </c>
      <c r="AJ494" s="324" t="s">
        <v>1991</v>
      </c>
      <c r="AK494" s="324" t="s">
        <v>1991</v>
      </c>
      <c r="AL494" s="327" t="s">
        <v>1991</v>
      </c>
      <c r="AM494" s="327"/>
      <c r="AN494" s="327"/>
      <c r="AO494" s="327"/>
      <c r="AP494" s="327"/>
      <c r="AQ494" s="327">
        <v>0</v>
      </c>
      <c r="AR494" s="327" t="s">
        <v>1991</v>
      </c>
      <c r="AS494" s="327"/>
      <c r="AT494" s="327"/>
      <c r="AU494" s="327" t="s">
        <v>2069</v>
      </c>
      <c r="AV494" s="327"/>
      <c r="AW494" s="327"/>
      <c r="AX494" s="327"/>
      <c r="AY494" s="361"/>
      <c r="AZ494" s="361"/>
      <c r="BA494" s="361"/>
      <c r="BB494" s="46">
        <f t="shared" si="189"/>
        <v>12</v>
      </c>
      <c r="BC494" s="46">
        <f t="shared" si="190"/>
        <v>15</v>
      </c>
      <c r="BD494" s="46">
        <f t="shared" si="193"/>
        <v>3</v>
      </c>
      <c r="BE494" s="46">
        <f t="shared" si="191"/>
        <v>3</v>
      </c>
      <c r="BF494" s="296">
        <f t="shared" si="202"/>
        <v>27</v>
      </c>
      <c r="BG494" s="256"/>
      <c r="BH494" s="256"/>
      <c r="BI494" s="256"/>
      <c r="BJ494" s="384"/>
      <c r="BK494" s="385"/>
      <c r="BL494" s="385"/>
      <c r="BM494" s="385"/>
      <c r="BN494" s="385"/>
      <c r="BO494" s="2">
        <f t="shared" si="201"/>
        <v>27</v>
      </c>
      <c r="BP494" s="430"/>
      <c r="BQ494" s="431"/>
      <c r="BR494" s="2"/>
      <c r="BS494" s="25"/>
      <c r="BT494" s="348">
        <f t="shared" si="194"/>
        <v>1</v>
      </c>
      <c r="BU494" s="56"/>
      <c r="BV494" s="282">
        <f t="shared" si="203"/>
        <v>0</v>
      </c>
      <c r="BW494" s="379">
        <v>0</v>
      </c>
      <c r="BX494" s="269">
        <f t="shared" si="204"/>
        <v>0</v>
      </c>
      <c r="BY494" s="264"/>
      <c r="BZ494" s="264"/>
      <c r="CA494" s="264"/>
      <c r="CB494" s="264"/>
      <c r="CC494" s="264"/>
      <c r="CD494" s="14">
        <f t="shared" si="205"/>
        <v>-12</v>
      </c>
      <c r="CE494" s="14">
        <f t="shared" si="206"/>
        <v>27</v>
      </c>
      <c r="CF494" s="2">
        <f t="shared" si="207"/>
        <v>1</v>
      </c>
      <c r="CL494" s="387"/>
      <c r="CM494" s="387"/>
      <c r="CN494" s="387"/>
      <c r="CO494" s="387"/>
      <c r="CP494" s="387"/>
      <c r="CQ494" s="100"/>
    </row>
    <row r="495" spans="1:95" s="95" customFormat="1" ht="29.4" customHeight="1">
      <c r="A495" s="46">
        <v>96</v>
      </c>
      <c r="B495" s="46">
        <v>11</v>
      </c>
      <c r="C495" s="46">
        <v>472</v>
      </c>
      <c r="D495" s="380"/>
      <c r="E495" s="380"/>
      <c r="F495" s="381"/>
      <c r="G495" s="312">
        <v>0</v>
      </c>
      <c r="H495" s="312" t="s">
        <v>1991</v>
      </c>
      <c r="I495" s="312" t="s">
        <v>1991</v>
      </c>
      <c r="J495" s="312"/>
      <c r="K495" s="312" t="s">
        <v>1991</v>
      </c>
      <c r="L495" s="312" t="s">
        <v>1991</v>
      </c>
      <c r="M495" s="312">
        <v>0</v>
      </c>
      <c r="N495" s="312" t="s">
        <v>1991</v>
      </c>
      <c r="O495" s="312" t="s">
        <v>1991</v>
      </c>
      <c r="P495" s="312" t="s">
        <v>1991</v>
      </c>
      <c r="Q495" s="312" t="s">
        <v>1991</v>
      </c>
      <c r="R495" s="312" t="s">
        <v>1991</v>
      </c>
      <c r="S495" s="312" t="s">
        <v>1991</v>
      </c>
      <c r="T495" s="323" t="s">
        <v>1991</v>
      </c>
      <c r="U495" s="312" t="s">
        <v>1991</v>
      </c>
      <c r="V495" s="46" t="s">
        <v>1991</v>
      </c>
      <c r="W495" s="324" t="s">
        <v>1991</v>
      </c>
      <c r="X495" s="324" t="s">
        <v>1991</v>
      </c>
      <c r="Y495" s="324" t="s">
        <v>1991</v>
      </c>
      <c r="Z495" s="46" t="s">
        <v>1991</v>
      </c>
      <c r="AA495" s="324" t="s">
        <v>1991</v>
      </c>
      <c r="AB495" s="46" t="s">
        <v>1991</v>
      </c>
      <c r="AC495" s="46">
        <v>0</v>
      </c>
      <c r="AD495" s="46" t="s">
        <v>1991</v>
      </c>
      <c r="AE495" s="324" t="s">
        <v>1991</v>
      </c>
      <c r="AF495" s="324" t="s">
        <v>1991</v>
      </c>
      <c r="AG495" s="324" t="s">
        <v>1991</v>
      </c>
      <c r="AH495" s="324" t="s">
        <v>1991</v>
      </c>
      <c r="AI495" s="324" t="s">
        <v>1991</v>
      </c>
      <c r="AJ495" s="324" t="s">
        <v>1991</v>
      </c>
      <c r="AK495" s="324" t="s">
        <v>1991</v>
      </c>
      <c r="AL495" s="327" t="s">
        <v>1991</v>
      </c>
      <c r="AM495" s="327"/>
      <c r="AN495" s="327"/>
      <c r="AO495" s="327"/>
      <c r="AP495" s="327"/>
      <c r="AQ495" s="327">
        <v>0</v>
      </c>
      <c r="AR495" s="327" t="s">
        <v>1991</v>
      </c>
      <c r="AS495" s="327"/>
      <c r="AT495" s="327"/>
      <c r="AU495" s="327" t="s">
        <v>2069</v>
      </c>
      <c r="AV495" s="327"/>
      <c r="AW495" s="327"/>
      <c r="AX495" s="327"/>
      <c r="AY495" s="361"/>
      <c r="AZ495" s="361"/>
      <c r="BA495" s="361"/>
      <c r="BB495" s="46">
        <f>COUNTIF(G495:U495,"X")</f>
        <v>12</v>
      </c>
      <c r="BC495" s="46">
        <f t="shared" si="190"/>
        <v>15</v>
      </c>
      <c r="BD495" s="46">
        <f t="shared" si="193"/>
        <v>3</v>
      </c>
      <c r="BE495" s="46">
        <f t="shared" si="191"/>
        <v>3</v>
      </c>
      <c r="BF495" s="296">
        <f>BB495+BC495</f>
        <v>27</v>
      </c>
      <c r="BG495" s="256"/>
      <c r="BH495" s="256"/>
      <c r="BI495" s="256"/>
      <c r="BJ495" s="384"/>
      <c r="BK495" s="385"/>
      <c r="BL495" s="385"/>
      <c r="BM495" s="385"/>
      <c r="BN495" s="385"/>
      <c r="BO495" s="2">
        <f t="shared" si="201"/>
        <v>27</v>
      </c>
      <c r="BP495" s="430"/>
      <c r="BQ495" s="431"/>
      <c r="BR495" s="2"/>
      <c r="BS495" s="25"/>
      <c r="BT495" s="348">
        <f t="shared" si="194"/>
        <v>1</v>
      </c>
      <c r="BU495" s="56"/>
      <c r="BV495" s="282">
        <f t="shared" si="203"/>
        <v>0</v>
      </c>
      <c r="BW495" s="379">
        <v>0</v>
      </c>
      <c r="BX495" s="269">
        <f t="shared" si="204"/>
        <v>0</v>
      </c>
      <c r="BY495" s="264"/>
      <c r="BZ495" s="264"/>
      <c r="CA495" s="264"/>
      <c r="CB495" s="264"/>
      <c r="CC495" s="264"/>
      <c r="CD495" s="14">
        <f>CC495-BB495</f>
        <v>-12</v>
      </c>
      <c r="CE495" s="14">
        <f t="shared" si="206"/>
        <v>27</v>
      </c>
      <c r="CF495" s="2">
        <f t="shared" si="207"/>
        <v>1</v>
      </c>
      <c r="CL495" s="387"/>
      <c r="CM495" s="387"/>
      <c r="CN495" s="387"/>
      <c r="CO495" s="387"/>
      <c r="CP495" s="387"/>
      <c r="CQ495" s="100"/>
    </row>
    <row r="496" spans="1:95" s="95" customFormat="1" ht="29.4" customHeight="1">
      <c r="A496" s="374"/>
      <c r="B496" s="374"/>
      <c r="C496" s="46"/>
      <c r="D496" s="380"/>
      <c r="E496" s="380"/>
      <c r="F496" s="381"/>
      <c r="G496" s="312"/>
      <c r="H496" s="312"/>
      <c r="I496" s="312"/>
      <c r="J496" s="312"/>
      <c r="K496" s="312"/>
      <c r="L496" s="312"/>
      <c r="M496" s="312"/>
      <c r="N496" s="312"/>
      <c r="O496" s="312"/>
      <c r="P496" s="312"/>
      <c r="Q496" s="312"/>
      <c r="R496" s="312"/>
      <c r="S496" s="312"/>
      <c r="T496" s="323"/>
      <c r="U496" s="360"/>
      <c r="V496" s="46"/>
      <c r="W496" s="324"/>
      <c r="X496" s="324"/>
      <c r="Y496" s="324"/>
      <c r="Z496" s="46"/>
      <c r="AA496" s="324"/>
      <c r="AB496" s="46"/>
      <c r="AC496" s="46"/>
      <c r="AD496" s="46"/>
      <c r="AE496" s="324"/>
      <c r="AF496" s="324"/>
      <c r="AG496" s="324"/>
      <c r="AH496" s="324"/>
      <c r="AI496" s="324"/>
      <c r="AJ496" s="324"/>
      <c r="AK496" s="324"/>
      <c r="AL496" s="361"/>
      <c r="AM496" s="361"/>
      <c r="AN496" s="361"/>
      <c r="AO496" s="361"/>
      <c r="AP496" s="361"/>
      <c r="AQ496" s="361"/>
      <c r="AR496" s="361"/>
      <c r="AS496" s="361"/>
      <c r="AT496" s="341"/>
      <c r="AU496" s="341"/>
      <c r="AV496" s="341"/>
      <c r="AW496" s="341"/>
      <c r="AX496" s="341"/>
      <c r="AY496" s="361"/>
      <c r="AZ496" s="361"/>
      <c r="BA496" s="361"/>
      <c r="BB496" s="46"/>
      <c r="BC496" s="46"/>
      <c r="BD496" s="46"/>
      <c r="BE496" s="46"/>
      <c r="BF496" s="296"/>
      <c r="BG496" s="256"/>
      <c r="BH496" s="256"/>
      <c r="BI496" s="256"/>
      <c r="BJ496" s="384"/>
      <c r="BK496" s="385"/>
      <c r="BL496" s="385"/>
      <c r="BM496" s="385"/>
      <c r="BN496" s="385"/>
      <c r="BO496" s="2"/>
      <c r="BP496" s="2"/>
      <c r="BQ496" s="2"/>
      <c r="BR496" s="2"/>
      <c r="BS496" s="25"/>
      <c r="BT496" s="348"/>
      <c r="BU496" s="56"/>
      <c r="BV496" s="282"/>
      <c r="BW496" s="379"/>
      <c r="BX496" s="269"/>
      <c r="BY496" s="264"/>
      <c r="BZ496" s="264"/>
      <c r="CA496" s="264"/>
      <c r="CB496" s="264"/>
      <c r="CC496" s="264"/>
      <c r="CD496" s="14"/>
      <c r="CE496" s="14"/>
      <c r="CF496" s="2"/>
      <c r="CL496" s="387"/>
      <c r="CM496" s="387"/>
      <c r="CN496" s="387"/>
      <c r="CO496" s="387"/>
      <c r="CP496" s="387"/>
      <c r="CQ496" s="100"/>
    </row>
    <row r="497" spans="1:95" s="304" customFormat="1" ht="29.4" customHeight="1">
      <c r="A497" s="375"/>
      <c r="B497" s="382"/>
      <c r="C497" s="382"/>
      <c r="D497" s="377"/>
      <c r="E497" s="377"/>
      <c r="F497" s="376"/>
      <c r="G497" s="316">
        <f>COUNTIF(G400:G495,"x")</f>
        <v>61</v>
      </c>
      <c r="H497" s="316">
        <f t="shared" ref="H497:BA497" si="208">COUNTIF(H400:H495,"x")</f>
        <v>90</v>
      </c>
      <c r="I497" s="316">
        <f t="shared" si="208"/>
        <v>91</v>
      </c>
      <c r="J497" s="316">
        <f t="shared" si="208"/>
        <v>4</v>
      </c>
      <c r="K497" s="316">
        <f t="shared" si="208"/>
        <v>66</v>
      </c>
      <c r="L497" s="316">
        <f t="shared" si="208"/>
        <v>95</v>
      </c>
      <c r="M497" s="316">
        <f t="shared" si="208"/>
        <v>87</v>
      </c>
      <c r="N497" s="316">
        <f t="shared" si="208"/>
        <v>89</v>
      </c>
      <c r="O497" s="316">
        <f t="shared" si="208"/>
        <v>92</v>
      </c>
      <c r="P497" s="316">
        <f t="shared" si="208"/>
        <v>93</v>
      </c>
      <c r="Q497" s="316">
        <f t="shared" si="208"/>
        <v>91</v>
      </c>
      <c r="R497" s="316">
        <f t="shared" si="208"/>
        <v>94</v>
      </c>
      <c r="S497" s="316">
        <f t="shared" si="208"/>
        <v>92</v>
      </c>
      <c r="T497" s="316">
        <f t="shared" si="208"/>
        <v>93</v>
      </c>
      <c r="U497" s="316">
        <f t="shared" si="208"/>
        <v>88</v>
      </c>
      <c r="V497" s="316">
        <f t="shared" si="208"/>
        <v>90</v>
      </c>
      <c r="W497" s="316">
        <f t="shared" si="208"/>
        <v>90</v>
      </c>
      <c r="X497" s="316">
        <f t="shared" si="208"/>
        <v>88</v>
      </c>
      <c r="Y497" s="316">
        <f t="shared" si="208"/>
        <v>94</v>
      </c>
      <c r="Z497" s="316">
        <f t="shared" si="208"/>
        <v>94</v>
      </c>
      <c r="AA497" s="316">
        <f t="shared" si="208"/>
        <v>89</v>
      </c>
      <c r="AB497" s="316">
        <f t="shared" si="208"/>
        <v>90</v>
      </c>
      <c r="AC497" s="316">
        <f t="shared" si="208"/>
        <v>86</v>
      </c>
      <c r="AD497" s="316">
        <f t="shared" si="208"/>
        <v>89</v>
      </c>
      <c r="AE497" s="316">
        <f t="shared" si="208"/>
        <v>76</v>
      </c>
      <c r="AF497" s="316">
        <f t="shared" si="208"/>
        <v>92</v>
      </c>
      <c r="AG497" s="316">
        <f t="shared" si="208"/>
        <v>92</v>
      </c>
      <c r="AH497" s="316">
        <f t="shared" si="208"/>
        <v>95</v>
      </c>
      <c r="AI497" s="316">
        <f t="shared" si="208"/>
        <v>94</v>
      </c>
      <c r="AJ497" s="316">
        <f t="shared" si="208"/>
        <v>92</v>
      </c>
      <c r="AK497" s="316">
        <f t="shared" si="208"/>
        <v>92</v>
      </c>
      <c r="AL497" s="316">
        <f t="shared" si="208"/>
        <v>29</v>
      </c>
      <c r="AM497" s="316">
        <f t="shared" si="208"/>
        <v>0</v>
      </c>
      <c r="AN497" s="316">
        <f>COUNTIF(AN400:AN495,"x")</f>
        <v>0</v>
      </c>
      <c r="AO497" s="316">
        <f>COUNTIF(AO400:AO495,"x")</f>
        <v>0</v>
      </c>
      <c r="AP497" s="316">
        <f>COUNTIF(AP400:AP495,"x")</f>
        <v>0</v>
      </c>
      <c r="AQ497" s="316">
        <f t="shared" si="208"/>
        <v>29</v>
      </c>
      <c r="AR497" s="316">
        <f t="shared" si="208"/>
        <v>34</v>
      </c>
      <c r="AS497" s="316">
        <f t="shared" si="208"/>
        <v>0</v>
      </c>
      <c r="AT497" s="316">
        <f>COUNTIF(AT400:AT495,"x")</f>
        <v>0</v>
      </c>
      <c r="AU497" s="316">
        <f t="shared" si="208"/>
        <v>26</v>
      </c>
      <c r="AV497" s="316">
        <f t="shared" si="208"/>
        <v>0</v>
      </c>
      <c r="AW497" s="316">
        <f t="shared" si="208"/>
        <v>0</v>
      </c>
      <c r="AX497" s="316">
        <f t="shared" si="208"/>
        <v>0</v>
      </c>
      <c r="AY497" s="316">
        <f t="shared" si="208"/>
        <v>0</v>
      </c>
      <c r="AZ497" s="316">
        <f t="shared" si="208"/>
        <v>0</v>
      </c>
      <c r="BA497" s="316">
        <f t="shared" si="208"/>
        <v>0</v>
      </c>
      <c r="BB497" s="357">
        <f>SUM(BB400:BB495)</f>
        <v>1226</v>
      </c>
      <c r="BC497" s="357">
        <f t="shared" ref="BC497:CD497" si="209">SUM(BC400:BC495)</f>
        <v>1443</v>
      </c>
      <c r="BD497" s="357">
        <f t="shared" si="209"/>
        <v>118</v>
      </c>
      <c r="BE497" s="357">
        <f t="shared" si="209"/>
        <v>118</v>
      </c>
      <c r="BF497" s="357">
        <f t="shared" si="209"/>
        <v>2669</v>
      </c>
      <c r="BG497" s="357">
        <f t="shared" si="209"/>
        <v>0</v>
      </c>
      <c r="BH497" s="357">
        <f t="shared" si="209"/>
        <v>0</v>
      </c>
      <c r="BI497" s="357">
        <f t="shared" si="209"/>
        <v>0</v>
      </c>
      <c r="BJ497" s="357">
        <f t="shared" si="209"/>
        <v>0</v>
      </c>
      <c r="BK497" s="357">
        <f t="shared" si="209"/>
        <v>0</v>
      </c>
      <c r="BL497" s="357">
        <f t="shared" si="209"/>
        <v>0</v>
      </c>
      <c r="BM497" s="357">
        <f t="shared" si="209"/>
        <v>0</v>
      </c>
      <c r="BN497" s="357">
        <f t="shared" si="209"/>
        <v>0</v>
      </c>
      <c r="BO497" s="357">
        <f t="shared" si="209"/>
        <v>2621</v>
      </c>
      <c r="BP497" s="357">
        <f t="shared" si="209"/>
        <v>0</v>
      </c>
      <c r="BQ497" s="357">
        <f t="shared" si="209"/>
        <v>0</v>
      </c>
      <c r="BR497" s="357">
        <f t="shared" si="209"/>
        <v>0</v>
      </c>
      <c r="BS497" s="357">
        <f t="shared" si="209"/>
        <v>0</v>
      </c>
      <c r="BT497" s="357">
        <f t="shared" si="209"/>
        <v>94</v>
      </c>
      <c r="BU497" s="357">
        <f t="shared" si="209"/>
        <v>0</v>
      </c>
      <c r="BV497" s="357">
        <f t="shared" si="209"/>
        <v>0</v>
      </c>
      <c r="BW497" s="357">
        <f t="shared" si="209"/>
        <v>-100000</v>
      </c>
      <c r="BX497" s="357">
        <f t="shared" si="209"/>
        <v>-1.3499999999999999</v>
      </c>
      <c r="BY497" s="357">
        <f t="shared" si="209"/>
        <v>0</v>
      </c>
      <c r="BZ497" s="357">
        <f t="shared" si="209"/>
        <v>0</v>
      </c>
      <c r="CA497" s="357">
        <f t="shared" si="209"/>
        <v>0</v>
      </c>
      <c r="CB497" s="357">
        <f t="shared" si="209"/>
        <v>0</v>
      </c>
      <c r="CC497" s="357">
        <f t="shared" si="209"/>
        <v>0</v>
      </c>
      <c r="CD497" s="357">
        <f t="shared" si="209"/>
        <v>-1226</v>
      </c>
      <c r="CE497" s="386"/>
      <c r="CF497" s="386"/>
      <c r="CL497" s="358"/>
      <c r="CM497" s="358"/>
      <c r="CN497" s="358"/>
      <c r="CO497" s="358"/>
      <c r="CP497" s="358"/>
      <c r="CQ497" s="359"/>
    </row>
    <row r="498" spans="1:95" s="102" customFormat="1" ht="29.4" customHeight="1">
      <c r="A498" s="1005" t="s">
        <v>60</v>
      </c>
      <c r="B498" s="1006"/>
      <c r="C498" s="1006"/>
      <c r="D498" s="1006"/>
      <c r="E498" s="1006"/>
      <c r="F498" s="1007"/>
      <c r="G498" s="316">
        <f>COUNTIF(G7:G495,"X")</f>
        <v>341</v>
      </c>
      <c r="H498" s="316">
        <f t="shared" ref="H498:BA498" si="210">COUNTIF(H7:H495,"X")</f>
        <v>443</v>
      </c>
      <c r="I498" s="316">
        <f t="shared" si="210"/>
        <v>444</v>
      </c>
      <c r="J498" s="316">
        <f t="shared" si="210"/>
        <v>83</v>
      </c>
      <c r="K498" s="316">
        <f t="shared" si="210"/>
        <v>352</v>
      </c>
      <c r="L498" s="316">
        <f t="shared" si="210"/>
        <v>443</v>
      </c>
      <c r="M498" s="316">
        <f t="shared" si="210"/>
        <v>419</v>
      </c>
      <c r="N498" s="316">
        <f t="shared" si="210"/>
        <v>447</v>
      </c>
      <c r="O498" s="316">
        <f t="shared" si="210"/>
        <v>456</v>
      </c>
      <c r="P498" s="316">
        <f t="shared" si="210"/>
        <v>451</v>
      </c>
      <c r="Q498" s="316">
        <f t="shared" si="210"/>
        <v>454</v>
      </c>
      <c r="R498" s="316">
        <f t="shared" si="210"/>
        <v>467</v>
      </c>
      <c r="S498" s="316">
        <f t="shared" si="210"/>
        <v>465</v>
      </c>
      <c r="T498" s="316">
        <f t="shared" si="210"/>
        <v>467</v>
      </c>
      <c r="U498" s="316">
        <f t="shared" si="210"/>
        <v>462</v>
      </c>
      <c r="V498" s="316">
        <f t="shared" si="210"/>
        <v>450</v>
      </c>
      <c r="W498" s="316">
        <f t="shared" si="210"/>
        <v>450</v>
      </c>
      <c r="X498" s="316">
        <f t="shared" si="210"/>
        <v>450</v>
      </c>
      <c r="Y498" s="316">
        <f t="shared" si="210"/>
        <v>453</v>
      </c>
      <c r="Z498" s="316">
        <f t="shared" si="210"/>
        <v>457</v>
      </c>
      <c r="AA498" s="316">
        <f t="shared" si="210"/>
        <v>440</v>
      </c>
      <c r="AB498" s="316">
        <f t="shared" si="210"/>
        <v>425</v>
      </c>
      <c r="AC498" s="316">
        <f t="shared" si="210"/>
        <v>451</v>
      </c>
      <c r="AD498" s="316">
        <f t="shared" si="210"/>
        <v>448</v>
      </c>
      <c r="AE498" s="316">
        <f t="shared" si="210"/>
        <v>433</v>
      </c>
      <c r="AF498" s="316">
        <f t="shared" si="210"/>
        <v>429</v>
      </c>
      <c r="AG498" s="316">
        <f t="shared" si="210"/>
        <v>457</v>
      </c>
      <c r="AH498" s="316">
        <f t="shared" si="210"/>
        <v>452</v>
      </c>
      <c r="AI498" s="316">
        <f t="shared" si="210"/>
        <v>445</v>
      </c>
      <c r="AJ498" s="316">
        <f t="shared" si="210"/>
        <v>449</v>
      </c>
      <c r="AK498" s="316">
        <f t="shared" si="210"/>
        <v>445</v>
      </c>
      <c r="AL498" s="316">
        <f t="shared" si="210"/>
        <v>29</v>
      </c>
      <c r="AM498" s="316">
        <f t="shared" si="210"/>
        <v>68</v>
      </c>
      <c r="AN498" s="316">
        <f>COUNTIF(AN7:AN495,"X")</f>
        <v>145</v>
      </c>
      <c r="AO498" s="316">
        <f>COUNTIF(AO7:AO495,"X")</f>
        <v>135</v>
      </c>
      <c r="AP498" s="316">
        <f>COUNTIF(AP7:AP495,"X")</f>
        <v>92</v>
      </c>
      <c r="AQ498" s="316">
        <f t="shared" si="210"/>
        <v>29</v>
      </c>
      <c r="AR498" s="316">
        <f t="shared" si="210"/>
        <v>34</v>
      </c>
      <c r="AS498" s="316">
        <f t="shared" si="210"/>
        <v>159</v>
      </c>
      <c r="AT498" s="316">
        <f>COUNTIF(AT7:AT495,"X")</f>
        <v>115</v>
      </c>
      <c r="AU498" s="316">
        <f t="shared" si="210"/>
        <v>26</v>
      </c>
      <c r="AV498" s="316">
        <f t="shared" si="210"/>
        <v>0</v>
      </c>
      <c r="AW498" s="316">
        <f t="shared" si="210"/>
        <v>0</v>
      </c>
      <c r="AX498" s="316">
        <f t="shared" si="210"/>
        <v>0</v>
      </c>
      <c r="AY498" s="316">
        <f t="shared" si="210"/>
        <v>0</v>
      </c>
      <c r="AZ498" s="316">
        <f t="shared" si="210"/>
        <v>0</v>
      </c>
      <c r="BA498" s="316">
        <f t="shared" si="210"/>
        <v>0</v>
      </c>
      <c r="BB498" s="388">
        <f>BB497+BB399+BB313+BB174</f>
        <v>6194</v>
      </c>
      <c r="BC498" s="388">
        <f t="shared" ref="BC498:CC498" si="211">BC497+BC399+BC313+BC174</f>
        <v>7134</v>
      </c>
      <c r="BD498" s="388">
        <f t="shared" si="211"/>
        <v>832</v>
      </c>
      <c r="BE498" s="388">
        <f t="shared" si="211"/>
        <v>419</v>
      </c>
      <c r="BF498" s="388">
        <f t="shared" si="211"/>
        <v>13328</v>
      </c>
      <c r="BG498" s="388">
        <f t="shared" si="211"/>
        <v>0</v>
      </c>
      <c r="BH498" s="388">
        <f t="shared" si="211"/>
        <v>0</v>
      </c>
      <c r="BI498" s="388">
        <f t="shared" si="211"/>
        <v>0</v>
      </c>
      <c r="BJ498" s="388">
        <f t="shared" si="211"/>
        <v>0</v>
      </c>
      <c r="BK498" s="388">
        <f t="shared" si="211"/>
        <v>293</v>
      </c>
      <c r="BL498" s="388">
        <f t="shared" si="211"/>
        <v>10342</v>
      </c>
      <c r="BM498" s="388">
        <f t="shared" si="211"/>
        <v>0</v>
      </c>
      <c r="BN498" s="388">
        <f t="shared" si="211"/>
        <v>0</v>
      </c>
      <c r="BO498" s="388">
        <f t="shared" si="211"/>
        <v>12192</v>
      </c>
      <c r="BP498" s="388">
        <f t="shared" si="211"/>
        <v>0</v>
      </c>
      <c r="BQ498" s="388">
        <f t="shared" si="211"/>
        <v>0</v>
      </c>
      <c r="BR498" s="388">
        <f t="shared" si="211"/>
        <v>0</v>
      </c>
      <c r="BS498" s="388">
        <f t="shared" si="211"/>
        <v>0</v>
      </c>
      <c r="BT498" s="388">
        <f t="shared" si="211"/>
        <v>432</v>
      </c>
      <c r="BU498" s="388">
        <f t="shared" si="211"/>
        <v>0</v>
      </c>
      <c r="BV498" s="388">
        <f t="shared" si="211"/>
        <v>0</v>
      </c>
      <c r="BW498" s="388">
        <f t="shared" si="211"/>
        <v>-130000</v>
      </c>
      <c r="BX498" s="388">
        <f t="shared" si="211"/>
        <v>-3.8999999999999995</v>
      </c>
      <c r="BY498" s="388" t="e">
        <f t="shared" si="211"/>
        <v>#N/A</v>
      </c>
      <c r="BZ498" s="388" t="e">
        <f t="shared" si="211"/>
        <v>#N/A</v>
      </c>
      <c r="CA498" s="388" t="e">
        <f t="shared" si="211"/>
        <v>#N/A</v>
      </c>
      <c r="CB498" s="388" t="e">
        <f t="shared" si="211"/>
        <v>#N/A</v>
      </c>
      <c r="CC498" s="388" t="e">
        <f t="shared" si="211"/>
        <v>#N/A</v>
      </c>
      <c r="CD498" s="388" t="e">
        <f>CD497+CD399+CD313+CD174</f>
        <v>#N/A</v>
      </c>
      <c r="CE498" s="394"/>
      <c r="CF498" s="394">
        <f t="shared" ref="CF498:CP498" si="212">COUNTIF(CF7:CF311,"X")</f>
        <v>0</v>
      </c>
      <c r="CG498" s="394">
        <f t="shared" si="212"/>
        <v>0</v>
      </c>
      <c r="CH498" s="394">
        <f t="shared" si="212"/>
        <v>0</v>
      </c>
      <c r="CI498" s="394">
        <f t="shared" si="212"/>
        <v>0</v>
      </c>
      <c r="CJ498" s="394">
        <f t="shared" si="212"/>
        <v>0</v>
      </c>
      <c r="CK498" s="394">
        <f t="shared" si="212"/>
        <v>0</v>
      </c>
      <c r="CL498" s="394">
        <f t="shared" si="212"/>
        <v>0</v>
      </c>
      <c r="CM498" s="394">
        <f t="shared" si="212"/>
        <v>0</v>
      </c>
      <c r="CN498" s="394">
        <f t="shared" si="212"/>
        <v>0</v>
      </c>
      <c r="CO498" s="394">
        <f t="shared" si="212"/>
        <v>0</v>
      </c>
      <c r="CP498" s="394">
        <f t="shared" si="212"/>
        <v>0</v>
      </c>
      <c r="CQ498" s="100"/>
    </row>
    <row r="499" spans="1:95" ht="29.4" customHeight="1">
      <c r="A499" s="102" t="s">
        <v>61</v>
      </c>
      <c r="B499" s="102"/>
      <c r="C499" s="102"/>
      <c r="G499" s="306">
        <f t="shared" ref="G499:M499" si="213">$V$501-G498:V498</f>
        <v>183</v>
      </c>
      <c r="H499" s="306">
        <f t="shared" si="213"/>
        <v>81</v>
      </c>
      <c r="I499" s="306">
        <f t="shared" si="213"/>
        <v>80</v>
      </c>
      <c r="J499" s="306">
        <f t="shared" si="213"/>
        <v>441</v>
      </c>
      <c r="K499" s="306">
        <f t="shared" si="213"/>
        <v>172</v>
      </c>
      <c r="L499" s="306">
        <f t="shared" si="213"/>
        <v>81</v>
      </c>
      <c r="M499" s="306">
        <f t="shared" si="213"/>
        <v>105</v>
      </c>
      <c r="N499" s="306">
        <f t="shared" ref="N499:T499" si="214">$V$501-N498:AC498</f>
        <v>77</v>
      </c>
      <c r="O499" s="306">
        <f t="shared" si="214"/>
        <v>68</v>
      </c>
      <c r="P499" s="306">
        <f t="shared" si="214"/>
        <v>73</v>
      </c>
      <c r="Q499" s="306">
        <f t="shared" si="214"/>
        <v>70</v>
      </c>
      <c r="R499" s="104">
        <f t="shared" si="214"/>
        <v>57</v>
      </c>
      <c r="S499" s="104">
        <f t="shared" si="214"/>
        <v>59</v>
      </c>
      <c r="T499" s="104">
        <f t="shared" si="214"/>
        <v>57</v>
      </c>
      <c r="U499" s="307">
        <f>$V$501-U498:AZ498</f>
        <v>62</v>
      </c>
      <c r="V499" s="293">
        <f>$V$501-V498</f>
        <v>74</v>
      </c>
      <c r="W499" s="293">
        <f>$V$501-W498</f>
        <v>74</v>
      </c>
      <c r="X499" s="293">
        <f t="shared" ref="X499:AZ499" si="215">$V$501-X498</f>
        <v>74</v>
      </c>
      <c r="Y499" s="293">
        <f t="shared" si="215"/>
        <v>71</v>
      </c>
      <c r="Z499" s="293">
        <f t="shared" si="215"/>
        <v>67</v>
      </c>
      <c r="AA499" s="293">
        <f t="shared" si="215"/>
        <v>84</v>
      </c>
      <c r="AB499" s="293">
        <f t="shared" si="215"/>
        <v>99</v>
      </c>
      <c r="AC499" s="293">
        <f t="shared" si="215"/>
        <v>73</v>
      </c>
      <c r="AD499" s="293">
        <f t="shared" si="215"/>
        <v>76</v>
      </c>
      <c r="AE499" s="293">
        <f t="shared" si="215"/>
        <v>91</v>
      </c>
      <c r="AF499" s="293">
        <f t="shared" si="215"/>
        <v>95</v>
      </c>
      <c r="AG499" s="293">
        <f t="shared" si="215"/>
        <v>67</v>
      </c>
      <c r="AH499" s="293">
        <f t="shared" si="215"/>
        <v>72</v>
      </c>
      <c r="AI499" s="293">
        <f t="shared" si="215"/>
        <v>79</v>
      </c>
      <c r="AJ499" s="293">
        <f t="shared" si="215"/>
        <v>75</v>
      </c>
      <c r="AK499" s="293">
        <f t="shared" si="215"/>
        <v>79</v>
      </c>
      <c r="AL499" s="288">
        <f t="shared" si="215"/>
        <v>495</v>
      </c>
      <c r="AM499" s="288"/>
      <c r="AN499" s="288"/>
      <c r="AO499" s="288"/>
      <c r="AP499" s="288"/>
      <c r="AQ499" s="288"/>
      <c r="AR499" s="288"/>
      <c r="AS499" s="288">
        <f t="shared" si="215"/>
        <v>365</v>
      </c>
      <c r="AT499" s="288"/>
      <c r="AU499" s="288"/>
      <c r="AV499" s="288"/>
      <c r="AW499" s="288"/>
      <c r="AX499" s="288"/>
      <c r="AY499" s="288">
        <f t="shared" si="215"/>
        <v>524</v>
      </c>
      <c r="AZ499" s="288">
        <f t="shared" si="215"/>
        <v>524</v>
      </c>
      <c r="BA499" s="288"/>
      <c r="BC499" s="46"/>
      <c r="BD499" s="56"/>
      <c r="BE499" s="56"/>
      <c r="BF499" s="257"/>
      <c r="BK499" s="234" t="e">
        <f>BK399+#REF!+BK313+#REF!+#REF!+#REF!+#REF!+#REF!+#REF!+BK174+10</f>
        <v>#REF!</v>
      </c>
      <c r="BO499" s="299"/>
      <c r="BS499" s="395"/>
      <c r="BT499" s="299"/>
      <c r="BW499" s="271">
        <f>ROUND(BW498/31947,1)</f>
        <v>-4.0999999999999996</v>
      </c>
      <c r="CD499" s="14"/>
      <c r="CE499" s="14"/>
      <c r="CQ499" s="14"/>
    </row>
    <row r="500" spans="1:95" ht="29.4" customHeight="1">
      <c r="A500" s="2" t="s">
        <v>62</v>
      </c>
      <c r="G500" s="306">
        <v>270</v>
      </c>
      <c r="H500" s="306">
        <v>264</v>
      </c>
      <c r="I500" s="306">
        <v>253</v>
      </c>
      <c r="J500" s="306">
        <v>0</v>
      </c>
      <c r="K500" s="306">
        <v>0</v>
      </c>
      <c r="L500" s="306">
        <v>0</v>
      </c>
      <c r="M500" s="306">
        <v>267</v>
      </c>
      <c r="N500" s="306">
        <v>273</v>
      </c>
      <c r="O500" s="307">
        <v>283</v>
      </c>
      <c r="P500" s="306">
        <v>276</v>
      </c>
      <c r="Q500" s="306">
        <v>283</v>
      </c>
      <c r="R500" s="104">
        <v>284</v>
      </c>
      <c r="S500" s="104">
        <v>261</v>
      </c>
      <c r="T500" s="104">
        <v>276</v>
      </c>
      <c r="U500" s="307">
        <v>279</v>
      </c>
      <c r="V500" s="293">
        <v>283</v>
      </c>
      <c r="W500" s="2">
        <v>286</v>
      </c>
      <c r="X500" s="2">
        <v>286</v>
      </c>
      <c r="Y500" s="2">
        <v>295</v>
      </c>
      <c r="Z500" s="2">
        <v>277</v>
      </c>
      <c r="AA500" s="2">
        <v>260</v>
      </c>
      <c r="AB500" s="2">
        <v>279</v>
      </c>
      <c r="AC500" s="2">
        <v>288</v>
      </c>
      <c r="AD500" s="2">
        <v>289</v>
      </c>
      <c r="AE500" s="2">
        <v>285</v>
      </c>
      <c r="AF500" s="2">
        <v>287</v>
      </c>
      <c r="AG500" s="2">
        <v>280</v>
      </c>
      <c r="AH500" s="2">
        <v>280</v>
      </c>
      <c r="AI500" s="2">
        <v>280</v>
      </c>
      <c r="AJ500" s="2">
        <v>280</v>
      </c>
      <c r="BS500" s="395"/>
      <c r="BV500" s="299"/>
      <c r="BW500" s="299"/>
      <c r="BX500" s="396"/>
      <c r="CD500" s="14"/>
      <c r="CE500" s="14"/>
      <c r="CQ500" s="14"/>
    </row>
    <row r="501" spans="1:95" ht="29.4" customHeight="1">
      <c r="C501" s="2" t="s">
        <v>65</v>
      </c>
      <c r="K501" s="306">
        <f>K498+L498+M498</f>
        <v>1214</v>
      </c>
      <c r="L501" s="1012">
        <f>K501*2000</f>
        <v>2428000</v>
      </c>
      <c r="M501" s="1012"/>
      <c r="N501" s="1012"/>
      <c r="V501" s="293">
        <v>524</v>
      </c>
      <c r="BE501" s="8"/>
      <c r="BF501" s="257"/>
      <c r="BG501" s="8"/>
      <c r="BH501" s="8"/>
      <c r="BI501" s="8"/>
      <c r="BJ501" s="8"/>
      <c r="BK501" s="8"/>
      <c r="BL501" s="8"/>
      <c r="BM501" s="8"/>
      <c r="BN501" s="8"/>
      <c r="BO501" s="292"/>
      <c r="BP501" s="292"/>
      <c r="BQ501" s="292"/>
      <c r="BS501" s="390"/>
      <c r="BU501" s="8"/>
      <c r="BV501" s="396"/>
      <c r="CD501" s="14"/>
      <c r="CE501" s="14"/>
      <c r="CQ501" s="14"/>
    </row>
    <row r="502" spans="1:95" ht="29.4" customHeight="1">
      <c r="D502" s="2" t="s">
        <v>67</v>
      </c>
      <c r="G502" s="306">
        <f>G498+21</f>
        <v>362</v>
      </c>
      <c r="BE502" s="26"/>
      <c r="BF502" s="232"/>
      <c r="BG502" s="26"/>
      <c r="BH502" s="26"/>
      <c r="BI502" s="26"/>
      <c r="BJ502" s="26"/>
      <c r="BK502" s="8"/>
      <c r="BL502" s="266"/>
      <c r="BM502" s="266"/>
      <c r="BN502" s="266"/>
      <c r="BO502" s="390"/>
      <c r="BP502" s="390"/>
      <c r="BQ502" s="390"/>
      <c r="BR502" s="390"/>
      <c r="BS502" s="390"/>
      <c r="BT502" s="390"/>
      <c r="CD502" s="14"/>
      <c r="CE502" s="14"/>
      <c r="CQ502" s="14"/>
    </row>
    <row r="503" spans="1:95" ht="29.4" customHeight="1">
      <c r="D503" s="2" t="s">
        <v>68</v>
      </c>
      <c r="BE503" s="26"/>
      <c r="BF503" s="232"/>
      <c r="BG503" s="26"/>
      <c r="BH503" s="26"/>
      <c r="BI503" s="26"/>
      <c r="BJ503" s="26"/>
      <c r="BK503" s="8"/>
      <c r="BL503" s="266"/>
      <c r="BM503" s="266"/>
      <c r="BN503" s="266"/>
      <c r="BS503" s="390"/>
      <c r="CD503" s="14"/>
      <c r="CE503" s="14"/>
      <c r="CQ503" s="14"/>
    </row>
    <row r="504" spans="1:95" ht="29.4" customHeight="1">
      <c r="BG504" s="102"/>
      <c r="BH504" s="102"/>
      <c r="BI504" s="102"/>
      <c r="BJ504" s="102"/>
      <c r="BK504" s="8"/>
      <c r="BO504" s="391"/>
      <c r="BP504" s="391"/>
      <c r="BQ504" s="391"/>
      <c r="BR504" s="391"/>
      <c r="BS504" s="391"/>
      <c r="BT504" s="391"/>
    </row>
    <row r="505" spans="1:95" ht="29.4" customHeight="1">
      <c r="BE505" s="389"/>
      <c r="BF505" s="273"/>
      <c r="BG505" s="389"/>
      <c r="BH505" s="389"/>
      <c r="BI505" s="389"/>
      <c r="BJ505" s="389"/>
      <c r="BK505" s="8"/>
      <c r="BL505" s="392"/>
      <c r="BM505" s="392"/>
      <c r="BN505" s="392"/>
      <c r="BO505" s="8"/>
      <c r="BP505" s="8"/>
      <c r="BQ505" s="8"/>
      <c r="BS505" s="292"/>
      <c r="BT505" s="8"/>
    </row>
    <row r="506" spans="1:95" ht="29.4" customHeight="1">
      <c r="BF506" s="273"/>
      <c r="BG506" s="389"/>
      <c r="BH506" s="389"/>
      <c r="BI506" s="389"/>
      <c r="BJ506" s="389"/>
      <c r="BK506" s="392"/>
      <c r="BL506" s="392"/>
      <c r="BM506" s="392"/>
      <c r="BN506" s="392"/>
      <c r="BO506" s="8"/>
      <c r="BP506" s="8"/>
      <c r="BQ506" s="8"/>
      <c r="BS506" s="292"/>
      <c r="BT506" s="8"/>
    </row>
    <row r="507" spans="1:95" ht="29.4" customHeight="1">
      <c r="BD507" s="8"/>
      <c r="BF507" s="257"/>
      <c r="BG507" s="987"/>
      <c r="BH507" s="8"/>
      <c r="BI507" s="8"/>
      <c r="BJ507" s="8"/>
      <c r="BN507" s="8"/>
      <c r="BO507" s="8"/>
      <c r="BP507" s="8"/>
      <c r="BQ507" s="8"/>
    </row>
    <row r="508" spans="1:95" ht="29.4" customHeight="1">
      <c r="BG508" s="987"/>
      <c r="BJ508" s="234"/>
      <c r="BQ508" s="8"/>
    </row>
    <row r="509" spans="1:95" ht="29.4" customHeight="1">
      <c r="BG509" s="987"/>
      <c r="BJ509" s="234"/>
      <c r="BO509" s="25"/>
      <c r="BQ509" s="8"/>
    </row>
    <row r="510" spans="1:95" ht="29.4" customHeight="1">
      <c r="BG510" s="987"/>
      <c r="BJ510" s="234"/>
      <c r="BO510" s="25"/>
      <c r="BQ510" s="8"/>
    </row>
    <row r="511" spans="1:95" ht="29.4" customHeight="1">
      <c r="BG511" s="987"/>
      <c r="BJ511" s="234"/>
      <c r="BO511" s="25"/>
      <c r="BP511" s="25"/>
      <c r="BQ511" s="8"/>
    </row>
    <row r="512" spans="1:95" ht="29.4" customHeight="1">
      <c r="BG512" s="987"/>
      <c r="BJ512" s="234"/>
      <c r="BO512" s="25"/>
      <c r="BQ512" s="8"/>
    </row>
    <row r="513" spans="56:69" ht="29.4" customHeight="1">
      <c r="BG513" s="987"/>
      <c r="BJ513" s="234"/>
      <c r="BO513" s="25"/>
      <c r="BP513" s="25"/>
      <c r="BQ513" s="8"/>
    </row>
    <row r="514" spans="56:69" ht="29.4" customHeight="1">
      <c r="BG514" s="987"/>
      <c r="BH514" s="8"/>
      <c r="BJ514" s="234"/>
      <c r="BO514" s="25"/>
      <c r="BQ514" s="8"/>
    </row>
    <row r="515" spans="56:69" ht="29.4" customHeight="1">
      <c r="BG515" s="986"/>
      <c r="BJ515" s="234"/>
      <c r="BQ515" s="8"/>
    </row>
    <row r="516" spans="56:69" ht="29.4" customHeight="1">
      <c r="BG516" s="986"/>
      <c r="BJ516" s="234"/>
      <c r="BO516" s="8"/>
      <c r="BP516" s="8"/>
      <c r="BQ516" s="8"/>
    </row>
    <row r="517" spans="56:69" ht="29.4" customHeight="1">
      <c r="BJ517" s="234"/>
      <c r="BO517" s="8"/>
      <c r="BP517" s="8"/>
      <c r="BQ517" s="8"/>
    </row>
    <row r="518" spans="56:69" ht="29.4" customHeight="1">
      <c r="BD518" s="298"/>
      <c r="BG518" s="8"/>
      <c r="BN518" s="2"/>
      <c r="BO518" s="298"/>
      <c r="BP518" s="298"/>
      <c r="BQ518" s="298"/>
    </row>
    <row r="519" spans="56:69" ht="29.4" customHeight="1">
      <c r="BD519" s="26"/>
      <c r="BN519" s="2"/>
      <c r="BO519" s="266"/>
      <c r="BP519" s="298"/>
      <c r="BQ519" s="298"/>
    </row>
    <row r="520" spans="56:69" ht="29.4" customHeight="1">
      <c r="BD520" s="26"/>
      <c r="BN520" s="2"/>
      <c r="BO520" s="266"/>
      <c r="BP520" s="298"/>
      <c r="BQ520" s="298"/>
    </row>
    <row r="521" spans="56:69" ht="29.4" customHeight="1">
      <c r="BD521" s="26"/>
      <c r="BN521" s="2"/>
      <c r="BO521" s="298"/>
      <c r="BP521" s="298"/>
      <c r="BQ521" s="298"/>
    </row>
    <row r="522" spans="56:69" ht="29.4" customHeight="1">
      <c r="BD522" s="298"/>
      <c r="BO522" s="8"/>
      <c r="BP522" s="8"/>
      <c r="BQ522" s="8"/>
    </row>
    <row r="523" spans="56:69" ht="29.4" customHeight="1">
      <c r="BP523" s="8"/>
    </row>
    <row r="524" spans="56:69" ht="29.4" customHeight="1">
      <c r="BD524" s="1026"/>
      <c r="BE524" s="31"/>
      <c r="BF524" s="297"/>
      <c r="BG524" s="31"/>
      <c r="BH524" s="31"/>
      <c r="BI524" s="31"/>
      <c r="BJ524" s="31"/>
      <c r="BK524" s="393"/>
      <c r="BL524" s="393"/>
      <c r="BM524" s="393"/>
      <c r="BN524" s="393"/>
      <c r="BO524" s="1031"/>
    </row>
    <row r="525" spans="56:69" ht="29.4" customHeight="1">
      <c r="BD525" s="1026"/>
      <c r="BE525" s="31"/>
      <c r="BF525" s="296"/>
      <c r="BG525" s="31"/>
      <c r="BH525" s="31"/>
      <c r="BI525" s="31"/>
      <c r="BJ525" s="31"/>
      <c r="BK525" s="393"/>
      <c r="BL525" s="393"/>
      <c r="BM525" s="393"/>
      <c r="BN525" s="393"/>
      <c r="BO525" s="1032"/>
    </row>
    <row r="526" spans="56:69" ht="29.4" customHeight="1">
      <c r="BD526" s="1026"/>
      <c r="BE526" s="31"/>
      <c r="BF526" s="296"/>
      <c r="BG526" s="31"/>
      <c r="BH526" s="31"/>
      <c r="BI526" s="31"/>
      <c r="BJ526" s="31"/>
      <c r="BK526" s="393"/>
      <c r="BL526" s="393"/>
      <c r="BM526" s="393"/>
      <c r="BN526" s="393"/>
      <c r="BO526" s="1032"/>
    </row>
    <row r="527" spans="56:69" ht="29.4" customHeight="1">
      <c r="BD527" s="1026"/>
      <c r="BE527" s="31"/>
      <c r="BF527" s="296"/>
      <c r="BG527" s="31"/>
      <c r="BH527" s="31"/>
      <c r="BI527" s="31"/>
      <c r="BJ527" s="31"/>
      <c r="BK527" s="393"/>
      <c r="BL527" s="393"/>
      <c r="BM527" s="393"/>
      <c r="BN527" s="393"/>
      <c r="BO527" s="1032"/>
    </row>
    <row r="528" spans="56:69" ht="29.4" customHeight="1">
      <c r="BD528" s="1026"/>
      <c r="BE528" s="31"/>
      <c r="BF528" s="297"/>
      <c r="BG528" s="31"/>
      <c r="BH528" s="31"/>
      <c r="BI528" s="31"/>
      <c r="BJ528" s="31"/>
      <c r="BK528" s="393"/>
      <c r="BL528" s="393"/>
      <c r="BM528" s="393"/>
      <c r="BN528" s="393"/>
      <c r="BO528" s="1031"/>
    </row>
    <row r="529" spans="56:67" ht="29.4" customHeight="1">
      <c r="BD529" s="1026"/>
      <c r="BE529" s="31"/>
      <c r="BF529" s="296"/>
      <c r="BG529" s="31"/>
      <c r="BH529" s="31"/>
      <c r="BI529" s="31"/>
      <c r="BJ529" s="31"/>
      <c r="BK529" s="393"/>
      <c r="BL529" s="393"/>
      <c r="BM529" s="393"/>
      <c r="BN529" s="393"/>
      <c r="BO529" s="1032"/>
    </row>
    <row r="530" spans="56:67" ht="29.4" customHeight="1">
      <c r="BD530" s="1026"/>
      <c r="BE530" s="31"/>
      <c r="BF530" s="297"/>
      <c r="BG530" s="31"/>
      <c r="BH530" s="31"/>
      <c r="BI530" s="31"/>
      <c r="BJ530" s="31"/>
      <c r="BK530" s="393"/>
      <c r="BL530" s="393"/>
      <c r="BM530" s="393"/>
      <c r="BN530" s="393"/>
      <c r="BO530" s="1033"/>
    </row>
    <row r="531" spans="56:67" ht="29.4" customHeight="1">
      <c r="BD531" s="1026"/>
      <c r="BE531" s="31"/>
      <c r="BF531" s="297"/>
      <c r="BG531" s="31"/>
      <c r="BH531" s="31"/>
      <c r="BI531" s="31"/>
      <c r="BJ531" s="31"/>
      <c r="BK531" s="393"/>
      <c r="BL531" s="393"/>
      <c r="BM531" s="393"/>
      <c r="BN531" s="393"/>
      <c r="BO531" s="1026"/>
    </row>
  </sheetData>
  <mergeCells count="55">
    <mergeCell ref="CB5:CB6"/>
    <mergeCell ref="CC5:CC6"/>
    <mergeCell ref="CL5:CL6"/>
    <mergeCell ref="CM5:CM6"/>
    <mergeCell ref="CN5:CN6"/>
    <mergeCell ref="CE6:CF6"/>
    <mergeCell ref="BO524:BO525"/>
    <mergeCell ref="BO526:BO527"/>
    <mergeCell ref="BO528:BO529"/>
    <mergeCell ref="BO530:BO531"/>
    <mergeCell ref="BR4:BR5"/>
    <mergeCell ref="BP5:BQ5"/>
    <mergeCell ref="BG507:BG514"/>
    <mergeCell ref="BG515:BG516"/>
    <mergeCell ref="BJ5:BJ6"/>
    <mergeCell ref="BM5:BM6"/>
    <mergeCell ref="BN5:BN6"/>
    <mergeCell ref="BD524:BD525"/>
    <mergeCell ref="BD526:BD527"/>
    <mergeCell ref="BD528:BD529"/>
    <mergeCell ref="BD530:BD531"/>
    <mergeCell ref="BF5:BF6"/>
    <mergeCell ref="BI5:BI6"/>
    <mergeCell ref="L501:N501"/>
    <mergeCell ref="D5:D6"/>
    <mergeCell ref="E5:E6"/>
    <mergeCell ref="B4:B5"/>
    <mergeCell ref="C4:C5"/>
    <mergeCell ref="F4:F5"/>
    <mergeCell ref="A313:C313"/>
    <mergeCell ref="A174:C174"/>
    <mergeCell ref="A4:A5"/>
    <mergeCell ref="A6:C6"/>
    <mergeCell ref="BG5:BG6"/>
    <mergeCell ref="A399:C399"/>
    <mergeCell ref="A498:F498"/>
    <mergeCell ref="BB5:BB6"/>
    <mergeCell ref="BC5:BC6"/>
    <mergeCell ref="BH5:BH6"/>
    <mergeCell ref="BY1:CC1"/>
    <mergeCell ref="CL1:CP1"/>
    <mergeCell ref="A2:BF2"/>
    <mergeCell ref="AL3:AS3"/>
    <mergeCell ref="D4:E4"/>
    <mergeCell ref="G4:AK4"/>
    <mergeCell ref="AL4:AU4"/>
    <mergeCell ref="AV4:AX4"/>
    <mergeCell ref="BB4:BF4"/>
    <mergeCell ref="BU4:BX4"/>
    <mergeCell ref="BS4:BS5"/>
    <mergeCell ref="BY5:BY6"/>
    <mergeCell ref="BZ5:BZ6"/>
    <mergeCell ref="CO5:CO6"/>
    <mergeCell ref="CP5:CP6"/>
    <mergeCell ref="CA5:CA6"/>
  </mergeCells>
  <pageMargins left="0.7" right="0.7" top="0.75" bottom="0.75" header="0.3" footer="0.3"/>
  <pageSetup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AFBD9-A122-426B-8DD6-7AA48A538B7D}">
  <sheetPr>
    <tabColor rgb="FF00B0F0"/>
  </sheetPr>
  <dimension ref="A1:I41"/>
  <sheetViews>
    <sheetView view="pageBreakPreview" topLeftCell="A16" zoomScale="90" zoomScaleNormal="77" workbookViewId="0">
      <selection activeCell="E16" sqref="E16"/>
    </sheetView>
  </sheetViews>
  <sheetFormatPr defaultColWidth="8.69921875" defaultRowHeight="17.399999999999999"/>
  <cols>
    <col min="1" max="1" width="6.8984375" style="162" customWidth="1"/>
    <col min="2" max="2" width="36.09765625" style="162" customWidth="1"/>
    <col min="3" max="3" width="10.8984375" style="162" customWidth="1"/>
    <col min="4" max="4" width="12.19921875" style="163" customWidth="1"/>
    <col min="5" max="5" width="20.59765625" customWidth="1"/>
    <col min="6" max="6" width="17.19921875" customWidth="1"/>
    <col min="7" max="7" width="19.8984375" style="162" customWidth="1"/>
    <col min="8" max="8" width="16.5" style="164" bestFit="1" customWidth="1"/>
    <col min="9" max="9" width="17.69921875" style="165" bestFit="1" customWidth="1"/>
    <col min="10" max="32" width="9" style="164" bestFit="1" customWidth="1"/>
    <col min="33" max="16384" width="8.69921875" style="164"/>
  </cols>
  <sheetData>
    <row r="1" spans="1:9" s="155" customFormat="1" ht="36" customHeight="1">
      <c r="A1" s="951" t="s">
        <v>176</v>
      </c>
      <c r="B1" s="951"/>
      <c r="C1" s="166"/>
      <c r="D1" s="167"/>
      <c r="E1"/>
      <c r="F1" s="951"/>
      <c r="G1" s="951"/>
      <c r="I1" s="207"/>
    </row>
    <row r="2" spans="1:9" s="155" customFormat="1" ht="27.6" customHeight="1">
      <c r="A2" s="952" t="s">
        <v>177</v>
      </c>
      <c r="B2" s="952"/>
      <c r="C2" s="169"/>
      <c r="D2" s="167"/>
      <c r="E2"/>
      <c r="F2" s="951"/>
      <c r="G2" s="951"/>
      <c r="I2" s="207"/>
    </row>
    <row r="3" spans="1:9" s="155" customFormat="1" ht="30.6" customHeight="1">
      <c r="A3" s="953" t="s">
        <v>1840</v>
      </c>
      <c r="B3" s="953"/>
      <c r="C3" s="170"/>
      <c r="D3" s="171"/>
      <c r="E3"/>
      <c r="F3" s="954"/>
      <c r="G3" s="954"/>
      <c r="I3" s="207"/>
    </row>
    <row r="4" spans="1:9" s="155" customFormat="1" ht="17.25" customHeight="1">
      <c r="A4" s="960" t="s">
        <v>178</v>
      </c>
      <c r="B4" s="960"/>
      <c r="C4" s="172"/>
      <c r="D4" s="173"/>
      <c r="E4"/>
      <c r="F4" s="954"/>
      <c r="G4" s="954"/>
      <c r="I4" s="207"/>
    </row>
    <row r="5" spans="1:9" s="155" customFormat="1" ht="33" customHeight="1">
      <c r="A5" s="961" t="s">
        <v>179</v>
      </c>
      <c r="B5" s="961"/>
      <c r="C5" s="961"/>
      <c r="D5" s="961"/>
      <c r="E5" s="961"/>
      <c r="F5" s="961"/>
      <c r="G5" s="961"/>
      <c r="I5" s="208"/>
    </row>
    <row r="6" spans="1:9" s="155" customFormat="1" ht="29.4" customHeight="1">
      <c r="A6" s="962" t="s">
        <v>2058</v>
      </c>
      <c r="B6" s="962"/>
      <c r="C6" s="962"/>
      <c r="D6" s="962"/>
      <c r="E6" s="962"/>
      <c r="F6" s="962"/>
      <c r="G6" s="962"/>
      <c r="I6" s="208"/>
    </row>
    <row r="7" spans="1:9" s="155" customFormat="1" ht="22.2" customHeight="1">
      <c r="A7" s="963" t="s">
        <v>180</v>
      </c>
      <c r="B7" s="963"/>
      <c r="C7" s="963"/>
      <c r="D7" s="963"/>
      <c r="E7" s="963"/>
      <c r="F7" s="963"/>
      <c r="G7" s="963"/>
      <c r="I7" s="207"/>
    </row>
    <row r="8" spans="1:9" s="155" customFormat="1" ht="21.6" customHeight="1">
      <c r="A8" s="963" t="s">
        <v>2059</v>
      </c>
      <c r="B8" s="963"/>
      <c r="C8" s="963"/>
      <c r="D8" s="963"/>
      <c r="E8" s="963"/>
      <c r="F8" s="963"/>
      <c r="G8" s="963"/>
      <c r="I8" s="207"/>
    </row>
    <row r="9" spans="1:9" s="155" customFormat="1" ht="3.6" customHeight="1">
      <c r="A9" s="174"/>
      <c r="B9" s="174"/>
      <c r="C9" s="174"/>
      <c r="D9" s="173"/>
      <c r="E9"/>
      <c r="F9"/>
      <c r="G9" s="174"/>
      <c r="I9" s="207"/>
    </row>
    <row r="10" spans="1:9" s="156" customFormat="1" ht="18" customHeight="1" thickBot="1">
      <c r="A10" s="155"/>
      <c r="B10" s="155"/>
      <c r="C10" s="155"/>
      <c r="D10" s="175"/>
      <c r="E10"/>
      <c r="F10" t="s">
        <v>181</v>
      </c>
      <c r="I10" s="209"/>
    </row>
    <row r="11" spans="1:9" s="157" customFormat="1" ht="39" customHeight="1" thickTop="1">
      <c r="A11" s="491" t="s">
        <v>182</v>
      </c>
      <c r="B11" s="492" t="s">
        <v>1832</v>
      </c>
      <c r="C11" s="493" t="s">
        <v>1833</v>
      </c>
      <c r="D11" s="955" t="s">
        <v>1834</v>
      </c>
      <c r="E11" s="956"/>
      <c r="F11" s="494" t="s">
        <v>1835</v>
      </c>
      <c r="G11" s="495" t="s">
        <v>183</v>
      </c>
      <c r="I11" s="210"/>
    </row>
    <row r="12" spans="1:9" s="157" customFormat="1" ht="40.950000000000003" customHeight="1">
      <c r="A12" s="496" t="s">
        <v>89</v>
      </c>
      <c r="B12" s="497" t="s">
        <v>184</v>
      </c>
      <c r="C12" s="497" t="s">
        <v>185</v>
      </c>
      <c r="D12" s="498" t="s">
        <v>1836</v>
      </c>
      <c r="E12" s="498" t="s">
        <v>1837</v>
      </c>
      <c r="F12" s="499" t="s">
        <v>186</v>
      </c>
      <c r="G12" s="500" t="s">
        <v>187</v>
      </c>
      <c r="I12" s="210"/>
    </row>
    <row r="13" spans="1:9" s="157" customFormat="1" ht="22.95" customHeight="1">
      <c r="A13" s="176" t="s">
        <v>70</v>
      </c>
      <c r="B13" s="177" t="s">
        <v>71</v>
      </c>
      <c r="C13" s="177">
        <v>1</v>
      </c>
      <c r="D13" s="178">
        <v>2</v>
      </c>
      <c r="E13" s="179" t="s">
        <v>188</v>
      </c>
      <c r="F13" s="180">
        <v>4</v>
      </c>
      <c r="G13" s="181">
        <v>5</v>
      </c>
      <c r="I13" s="210"/>
    </row>
    <row r="14" spans="1:9" s="158" customFormat="1" ht="28.95" customHeight="1">
      <c r="A14" s="182" t="s">
        <v>66</v>
      </c>
      <c r="B14" s="183" t="s">
        <v>189</v>
      </c>
      <c r="C14" s="184">
        <v>31947</v>
      </c>
      <c r="D14" s="185">
        <f>D15+D18+D22</f>
        <v>19427.8</v>
      </c>
      <c r="E14" s="186">
        <f>E18+E15+E22</f>
        <v>620659926</v>
      </c>
      <c r="F14" s="186">
        <f>E14</f>
        <v>620659926</v>
      </c>
      <c r="G14" s="187"/>
      <c r="I14" s="211">
        <f>ROUND(D14*30456,0)</f>
        <v>591693077</v>
      </c>
    </row>
    <row r="15" spans="1:9" s="158" customFormat="1" ht="27.6" customHeight="1">
      <c r="A15" s="182" t="s">
        <v>70</v>
      </c>
      <c r="B15" s="188" t="s">
        <v>190</v>
      </c>
      <c r="C15" s="184">
        <v>31947</v>
      </c>
      <c r="D15" s="185">
        <f>SUM(D16:D17)</f>
        <v>2463.6999999999998</v>
      </c>
      <c r="E15" s="185">
        <f>SUM(E16:E17)</f>
        <v>78707824</v>
      </c>
      <c r="F15" s="185">
        <f>SUM(F16:F17)</f>
        <v>78707824</v>
      </c>
      <c r="G15" s="187"/>
      <c r="I15" s="211"/>
    </row>
    <row r="16" spans="1:9" s="158" customFormat="1" ht="27.6" customHeight="1">
      <c r="A16" s="182">
        <v>1</v>
      </c>
      <c r="B16" s="950" t="s">
        <v>2090</v>
      </c>
      <c r="C16" s="189">
        <v>31947</v>
      </c>
      <c r="D16" s="190">
        <v>383.1</v>
      </c>
      <c r="E16" s="191">
        <f>ROUND(D16*C16,0)</f>
        <v>12238896</v>
      </c>
      <c r="F16" s="191">
        <f>E16</f>
        <v>12238896</v>
      </c>
      <c r="G16" s="187"/>
      <c r="I16" s="211"/>
    </row>
    <row r="17" spans="1:9" s="158" customFormat="1" ht="48.6" customHeight="1">
      <c r="A17" s="182">
        <v>2</v>
      </c>
      <c r="B17" s="704" t="s">
        <v>1984</v>
      </c>
      <c r="C17" s="189">
        <v>31947</v>
      </c>
      <c r="D17" s="190">
        <v>2080.6</v>
      </c>
      <c r="E17" s="191">
        <f>ROUND(D17*C17,0)</f>
        <v>66468928</v>
      </c>
      <c r="F17" s="191">
        <f>E17</f>
        <v>66468928</v>
      </c>
      <c r="G17" s="187"/>
      <c r="I17" s="211"/>
    </row>
    <row r="18" spans="1:9" s="158" customFormat="1" ht="37.200000000000003" customHeight="1">
      <c r="A18" s="182" t="s">
        <v>71</v>
      </c>
      <c r="B18" s="192" t="s">
        <v>191</v>
      </c>
      <c r="C18" s="184">
        <v>31947</v>
      </c>
      <c r="D18" s="185">
        <f>SUM(D19:D21)</f>
        <v>16550.099999999999</v>
      </c>
      <c r="E18" s="185">
        <f>SUM(E19:E21)</f>
        <v>528726044</v>
      </c>
      <c r="F18" s="185">
        <f>SUM(F19:F21)</f>
        <v>528726044</v>
      </c>
      <c r="G18" s="187"/>
      <c r="I18" s="211"/>
    </row>
    <row r="19" spans="1:9" s="158" customFormat="1" ht="37.200000000000003" customHeight="1">
      <c r="A19" s="182">
        <v>1</v>
      </c>
      <c r="B19" s="193" t="s">
        <v>2091</v>
      </c>
      <c r="C19" s="189">
        <v>31947</v>
      </c>
      <c r="D19" s="190">
        <v>825.2</v>
      </c>
      <c r="E19" s="191">
        <f>ROUND(D19*C19,0)</f>
        <v>26362664</v>
      </c>
      <c r="F19" s="191">
        <f>E19</f>
        <v>26362664</v>
      </c>
      <c r="G19" s="187"/>
      <c r="I19" s="211"/>
    </row>
    <row r="20" spans="1:9" s="158" customFormat="1" ht="45" customHeight="1">
      <c r="A20" s="182">
        <v>2</v>
      </c>
      <c r="B20" s="193" t="s">
        <v>2092</v>
      </c>
      <c r="C20" s="189">
        <v>31947</v>
      </c>
      <c r="D20" s="190">
        <v>3502.6</v>
      </c>
      <c r="E20" s="191">
        <f>ROUND(D20*C20,0)</f>
        <v>111897562</v>
      </c>
      <c r="F20" s="191">
        <f>E20</f>
        <v>111897562</v>
      </c>
      <c r="G20" s="187"/>
      <c r="I20" s="211"/>
    </row>
    <row r="21" spans="1:9" s="159" customFormat="1" ht="43.95" customHeight="1">
      <c r="A21" s="182">
        <v>3</v>
      </c>
      <c r="B21" s="193" t="s">
        <v>192</v>
      </c>
      <c r="C21" s="189">
        <v>31947</v>
      </c>
      <c r="D21" s="190">
        <v>12222.3</v>
      </c>
      <c r="E21" s="191">
        <f>ROUND(D21*C21,0)</f>
        <v>390465818</v>
      </c>
      <c r="F21" s="191">
        <f>E21</f>
        <v>390465818</v>
      </c>
      <c r="G21" s="194"/>
      <c r="I21" s="212"/>
    </row>
    <row r="22" spans="1:9" s="158" customFormat="1" ht="32.4" customHeight="1">
      <c r="A22" s="182" t="s">
        <v>72</v>
      </c>
      <c r="B22" s="192" t="s">
        <v>193</v>
      </c>
      <c r="C22" s="184">
        <v>31947</v>
      </c>
      <c r="D22" s="185">
        <f>D23</f>
        <v>414</v>
      </c>
      <c r="E22" s="186">
        <f>E23</f>
        <v>13226058</v>
      </c>
      <c r="F22" s="186">
        <f>E22</f>
        <v>13226058</v>
      </c>
      <c r="G22" s="187"/>
      <c r="I22" s="211"/>
    </row>
    <row r="23" spans="1:9" s="159" customFormat="1" ht="27.6" customHeight="1">
      <c r="A23" s="195">
        <v>1</v>
      </c>
      <c r="B23" s="196" t="s">
        <v>194</v>
      </c>
      <c r="C23" s="189">
        <v>31947</v>
      </c>
      <c r="D23" s="197">
        <v>414</v>
      </c>
      <c r="E23" s="198">
        <f>ROUND(D23*C23,0)</f>
        <v>13226058</v>
      </c>
      <c r="F23" s="198">
        <f>E23</f>
        <v>13226058</v>
      </c>
      <c r="G23" s="199"/>
      <c r="I23" s="212"/>
    </row>
    <row r="24" spans="1:9" s="160" customFormat="1" ht="34.950000000000003" customHeight="1" thickBot="1">
      <c r="A24" s="957" t="s">
        <v>195</v>
      </c>
      <c r="B24" s="958"/>
      <c r="C24" s="399"/>
      <c r="D24" s="400">
        <f>D14</f>
        <v>19427.8</v>
      </c>
      <c r="E24" s="400">
        <f>E14</f>
        <v>620659926</v>
      </c>
      <c r="F24" s="400">
        <f>F14</f>
        <v>620659926</v>
      </c>
      <c r="G24" s="401"/>
      <c r="I24" s="213"/>
    </row>
    <row r="25" spans="1:9" ht="42" customHeight="1" thickTop="1">
      <c r="A25" s="959" t="s">
        <v>2093</v>
      </c>
      <c r="B25" s="959"/>
      <c r="C25" s="959"/>
      <c r="D25" s="959"/>
      <c r="E25" s="959"/>
      <c r="F25" s="959"/>
      <c r="G25" s="959"/>
    </row>
    <row r="26" spans="1:9" ht="27.6" customHeight="1">
      <c r="A26" s="967" t="s">
        <v>2094</v>
      </c>
      <c r="B26" s="968"/>
      <c r="C26" s="968"/>
      <c r="D26" s="968"/>
      <c r="E26" s="968"/>
      <c r="F26" s="968"/>
      <c r="G26" s="968"/>
    </row>
    <row r="27" spans="1:9" ht="3.75" customHeight="1">
      <c r="A27" s="155"/>
      <c r="B27" s="155"/>
      <c r="C27" s="155"/>
      <c r="D27" s="200"/>
      <c r="G27" s="155"/>
    </row>
    <row r="28" spans="1:9" s="155" customFormat="1" ht="28.95" customHeight="1">
      <c r="D28" s="201"/>
      <c r="E28" s="969" t="s">
        <v>2060</v>
      </c>
      <c r="F28" s="969"/>
      <c r="G28" s="969"/>
      <c r="I28" s="207"/>
    </row>
    <row r="29" spans="1:9" s="161" customFormat="1" ht="25.95" customHeight="1">
      <c r="B29" s="202" t="s">
        <v>1839</v>
      </c>
      <c r="D29" s="203"/>
      <c r="E29"/>
      <c r="F29" s="970" t="s">
        <v>197</v>
      </c>
      <c r="G29" s="970"/>
      <c r="I29" s="214"/>
    </row>
    <row r="30" spans="1:9" s="155" customFormat="1" ht="20.399999999999999" customHeight="1">
      <c r="A30" s="156"/>
      <c r="B30" s="174" t="s">
        <v>1698</v>
      </c>
      <c r="C30" s="156"/>
      <c r="D30" s="167"/>
      <c r="E30"/>
      <c r="F30" s="952" t="s">
        <v>198</v>
      </c>
      <c r="G30" s="952"/>
      <c r="I30" s="207"/>
    </row>
    <row r="31" spans="1:9" s="155" customFormat="1" ht="15" customHeight="1">
      <c r="A31" s="156"/>
      <c r="B31" s="174"/>
      <c r="C31" s="156"/>
      <c r="D31" s="167"/>
      <c r="E31"/>
      <c r="F31"/>
      <c r="G31" s="168"/>
      <c r="I31" s="207"/>
    </row>
    <row r="32" spans="1:9" s="155" customFormat="1" ht="15" hidden="1" customHeight="1">
      <c r="A32" s="156"/>
      <c r="B32" s="156"/>
      <c r="C32" s="156"/>
      <c r="D32" s="204"/>
      <c r="E32"/>
      <c r="F32"/>
      <c r="G32" s="205"/>
      <c r="I32" s="207"/>
    </row>
    <row r="33" spans="1:9" s="155" customFormat="1" ht="15" customHeight="1">
      <c r="A33" s="156"/>
      <c r="B33" s="156"/>
      <c r="C33" s="156"/>
      <c r="D33" s="204"/>
      <c r="E33"/>
      <c r="F33"/>
      <c r="G33" s="205"/>
      <c r="I33" s="207"/>
    </row>
    <row r="34" spans="1:9" s="155" customFormat="1" ht="15" customHeight="1">
      <c r="A34" s="156"/>
      <c r="B34" s="156"/>
      <c r="C34" s="156"/>
      <c r="D34" s="204"/>
      <c r="E34"/>
      <c r="F34"/>
      <c r="G34" s="205"/>
      <c r="I34" s="207"/>
    </row>
    <row r="35" spans="1:9" s="155" customFormat="1" ht="23.4" customHeight="1">
      <c r="A35" s="156"/>
      <c r="B35" s="174" t="s">
        <v>199</v>
      </c>
      <c r="C35" s="156"/>
      <c r="D35" s="167"/>
      <c r="E35" t="s">
        <v>200</v>
      </c>
      <c r="F35" s="952" t="s">
        <v>201</v>
      </c>
      <c r="G35" s="964"/>
      <c r="I35" s="207"/>
    </row>
    <row r="36" spans="1:9" s="155" customFormat="1" ht="5.25" customHeight="1">
      <c r="A36" s="156"/>
      <c r="B36" s="174"/>
      <c r="C36" s="156"/>
      <c r="D36" s="167"/>
      <c r="E36"/>
      <c r="F36"/>
      <c r="G36" s="174"/>
      <c r="I36" s="207"/>
    </row>
    <row r="37" spans="1:9" s="161" customFormat="1" ht="33.6" customHeight="1">
      <c r="A37" s="206"/>
      <c r="B37" s="202" t="s">
        <v>202</v>
      </c>
      <c r="D37" s="203"/>
      <c r="E37"/>
      <c r="F37" s="970" t="s">
        <v>203</v>
      </c>
      <c r="G37" s="970"/>
      <c r="I37" s="214"/>
    </row>
    <row r="38" spans="1:9" s="155" customFormat="1" ht="22.2" customHeight="1">
      <c r="B38" s="174" t="s">
        <v>204</v>
      </c>
      <c r="C38" s="156"/>
      <c r="D38" s="167"/>
      <c r="E38"/>
      <c r="F38" s="964" t="s">
        <v>205</v>
      </c>
      <c r="G38" s="964"/>
      <c r="I38" s="207"/>
    </row>
    <row r="39" spans="1:9" s="155" customFormat="1" ht="10.199999999999999" customHeight="1">
      <c r="B39" s="174"/>
      <c r="C39" s="156"/>
      <c r="D39" s="167"/>
      <c r="E39"/>
      <c r="F39"/>
      <c r="G39" s="174"/>
      <c r="I39" s="207"/>
    </row>
    <row r="40" spans="1:9" s="155" customFormat="1" ht="27.6" customHeight="1">
      <c r="A40" s="965" t="s">
        <v>206</v>
      </c>
      <c r="B40" s="965"/>
      <c r="C40" s="965"/>
      <c r="D40" s="965"/>
      <c r="E40" s="965"/>
      <c r="F40" s="965"/>
      <c r="G40" s="965"/>
      <c r="I40" s="207"/>
    </row>
    <row r="41" spans="1:9" s="155" customFormat="1" ht="25.95" customHeight="1">
      <c r="A41" s="966" t="s">
        <v>207</v>
      </c>
      <c r="B41" s="966"/>
      <c r="C41" s="966"/>
      <c r="D41" s="966"/>
      <c r="E41" s="966"/>
      <c r="F41" s="966"/>
      <c r="G41" s="966"/>
      <c r="I41" s="207"/>
    </row>
  </sheetData>
  <mergeCells count="24">
    <mergeCell ref="F38:G38"/>
    <mergeCell ref="A40:G40"/>
    <mergeCell ref="A41:G41"/>
    <mergeCell ref="A26:G26"/>
    <mergeCell ref="E28:G28"/>
    <mergeCell ref="F29:G29"/>
    <mergeCell ref="F30:G30"/>
    <mergeCell ref="F35:G35"/>
    <mergeCell ref="F37:G37"/>
    <mergeCell ref="D11:E11"/>
    <mergeCell ref="A24:B24"/>
    <mergeCell ref="A25:G25"/>
    <mergeCell ref="A4:B4"/>
    <mergeCell ref="F4:G4"/>
    <mergeCell ref="A5:G5"/>
    <mergeCell ref="A6:G6"/>
    <mergeCell ref="A7:G7"/>
    <mergeCell ref="A8:G8"/>
    <mergeCell ref="A1:B1"/>
    <mergeCell ref="F1:G1"/>
    <mergeCell ref="A2:B2"/>
    <mergeCell ref="F2:G2"/>
    <mergeCell ref="A3:B3"/>
    <mergeCell ref="F3:G3"/>
  </mergeCells>
  <printOptions horizontalCentered="1"/>
  <pageMargins left="0.35433070866141736" right="0.35433070866141736" top="0.35433070866141736" bottom="0.15748031496062992" header="0.15748031496062992" footer="0.31496062992125984"/>
  <pageSetup paperSize="9" scale="7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CDA52-CBCA-487A-B5D7-80ED10DBC89A}">
  <sheetPr>
    <tabColor rgb="FF00B0F0"/>
  </sheetPr>
  <dimension ref="A1:Z44"/>
  <sheetViews>
    <sheetView view="pageBreakPreview" topLeftCell="A3" zoomScale="90" zoomScaleNormal="100" workbookViewId="0">
      <selection activeCell="F27" sqref="F27"/>
    </sheetView>
  </sheetViews>
  <sheetFormatPr defaultColWidth="8.69921875" defaultRowHeight="17.399999999999999"/>
  <cols>
    <col min="1" max="1" width="3.69921875" style="9" customWidth="1"/>
    <col min="2" max="2" width="12.3984375" style="9" customWidth="1"/>
    <col min="3" max="3" width="11" style="9" customWidth="1"/>
    <col min="4" max="4" width="12.5" style="9" customWidth="1"/>
    <col min="5" max="5" width="15" style="9" customWidth="1"/>
    <col min="6" max="6" width="25.3984375" style="9" customWidth="1"/>
    <col min="7" max="7" width="17.59765625" style="109" customWidth="1"/>
    <col min="8" max="8" width="11.19921875" style="9" customWidth="1"/>
    <col min="9" max="9" width="10.69921875" style="9" customWidth="1"/>
    <col min="10" max="10" width="22.69921875" style="9" bestFit="1" customWidth="1"/>
    <col min="11" max="11" width="14.19921875" style="92" customWidth="1"/>
    <col min="12" max="12" width="18.59765625" style="110" customWidth="1"/>
    <col min="13" max="13" width="13" style="93" customWidth="1"/>
    <col min="14" max="14" width="4.69921875" style="111" bestFit="1" customWidth="1"/>
    <col min="15" max="15" width="8.8984375" style="111" bestFit="1" customWidth="1"/>
    <col min="16" max="26" width="9" style="92" bestFit="1" customWidth="1"/>
    <col min="27" max="32" width="9" style="9" bestFit="1" customWidth="1"/>
    <col min="33" max="16384" width="8.69921875" style="9"/>
  </cols>
  <sheetData>
    <row r="1" spans="1:26" s="1" customFormat="1" ht="18">
      <c r="A1" s="1038" t="s">
        <v>176</v>
      </c>
      <c r="B1" s="1038"/>
      <c r="C1" s="1038"/>
      <c r="D1" s="1038"/>
      <c r="E1" s="1038"/>
      <c r="F1" s="1039" t="s">
        <v>208</v>
      </c>
      <c r="G1" s="1039"/>
      <c r="H1" s="1039"/>
      <c r="J1" s="107"/>
      <c r="K1" s="92"/>
      <c r="L1" s="110"/>
      <c r="M1" s="93"/>
      <c r="N1" s="111"/>
      <c r="O1" s="111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spans="1:26" s="1" customFormat="1" ht="18">
      <c r="A2" s="1040" t="s">
        <v>177</v>
      </c>
      <c r="B2" s="1040"/>
      <c r="C2" s="1040"/>
      <c r="D2" s="1040"/>
      <c r="E2" s="1040"/>
      <c r="F2" s="1039" t="s">
        <v>209</v>
      </c>
      <c r="G2" s="1039"/>
      <c r="H2" s="1039"/>
      <c r="J2" s="107"/>
      <c r="K2" s="92"/>
      <c r="L2" s="110"/>
      <c r="M2" s="93"/>
      <c r="N2" s="111"/>
      <c r="O2" s="111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spans="1:26" s="1" customFormat="1" ht="28.5" customHeight="1">
      <c r="A3" s="1041" t="s">
        <v>1840</v>
      </c>
      <c r="B3" s="1041"/>
      <c r="C3" s="1041"/>
      <c r="D3" s="1041"/>
      <c r="E3" s="1041"/>
      <c r="F3" s="1042" t="s">
        <v>210</v>
      </c>
      <c r="G3" s="1042"/>
      <c r="H3" s="1042"/>
      <c r="J3" s="112"/>
      <c r="K3" s="92"/>
      <c r="L3" s="110"/>
      <c r="M3" s="93"/>
      <c r="N3" s="111"/>
      <c r="O3" s="111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 spans="1:26" s="1" customFormat="1" ht="15" customHeight="1">
      <c r="A4" s="1042" t="s">
        <v>178</v>
      </c>
      <c r="B4" s="1042"/>
      <c r="C4" s="1042"/>
      <c r="D4" s="1042"/>
      <c r="E4" s="1042"/>
      <c r="F4" s="112"/>
      <c r="G4" s="112"/>
      <c r="H4" s="112"/>
      <c r="I4" s="112"/>
      <c r="J4" s="112"/>
      <c r="K4" s="92"/>
      <c r="L4" s="110"/>
      <c r="M4" s="93"/>
      <c r="N4" s="111"/>
      <c r="O4" s="111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 spans="1:26" s="1" customFormat="1" ht="28.5" customHeight="1">
      <c r="A5" s="1043" t="s">
        <v>211</v>
      </c>
      <c r="B5" s="1043"/>
      <c r="C5" s="1043"/>
      <c r="D5" s="1043"/>
      <c r="E5" s="1043"/>
      <c r="F5" s="1043"/>
      <c r="G5" s="1043"/>
      <c r="H5" s="1043"/>
      <c r="I5" s="127"/>
      <c r="J5" s="127"/>
      <c r="K5" s="92"/>
      <c r="L5" s="110"/>
      <c r="M5" s="93"/>
      <c r="N5" s="111"/>
      <c r="O5" s="111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 spans="1:26" s="1" customFormat="1" ht="32.25" customHeight="1">
      <c r="A6" s="1043" t="s">
        <v>2061</v>
      </c>
      <c r="B6" s="1043"/>
      <c r="C6" s="1043"/>
      <c r="D6" s="1043"/>
      <c r="E6" s="1043"/>
      <c r="F6" s="1043"/>
      <c r="G6" s="1043"/>
      <c r="H6" s="1043"/>
      <c r="I6" s="127"/>
      <c r="J6" s="127"/>
      <c r="K6" s="92"/>
      <c r="L6" s="110"/>
      <c r="M6" s="93"/>
      <c r="N6" s="111"/>
      <c r="O6" s="111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 spans="1:26" s="1" customFormat="1" ht="22.5" customHeight="1">
      <c r="A7" s="991" t="s">
        <v>212</v>
      </c>
      <c r="B7" s="991"/>
      <c r="C7" s="991"/>
      <c r="D7" s="991"/>
      <c r="E7" s="991"/>
      <c r="F7" s="991"/>
      <c r="G7" s="991"/>
      <c r="H7" s="991"/>
      <c r="I7" s="95"/>
      <c r="J7" s="128"/>
      <c r="K7" s="92"/>
      <c r="L7" s="110"/>
      <c r="M7" s="93"/>
      <c r="N7" s="111"/>
      <c r="O7" s="111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spans="1:26" s="1" customFormat="1" ht="22.5" customHeight="1">
      <c r="A8" s="991" t="s">
        <v>2062</v>
      </c>
      <c r="B8" s="991"/>
      <c r="C8" s="991"/>
      <c r="D8" s="991"/>
      <c r="E8" s="991"/>
      <c r="F8" s="991"/>
      <c r="G8" s="991"/>
      <c r="H8" s="991"/>
      <c r="I8" s="95"/>
      <c r="J8" s="128"/>
      <c r="K8" s="92"/>
      <c r="L8" s="110"/>
      <c r="M8" s="93"/>
      <c r="N8" s="111"/>
      <c r="O8" s="111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 spans="1:26" ht="10.199999999999999" customHeight="1"/>
    <row r="10" spans="1:26" ht="34.200000000000003" customHeight="1">
      <c r="B10" s="113" t="s">
        <v>2063</v>
      </c>
      <c r="G10" s="114">
        <f>G12+G11+G13+G14</f>
        <v>857093284</v>
      </c>
      <c r="H10" s="1" t="s">
        <v>213</v>
      </c>
      <c r="I10" s="9" t="s">
        <v>214</v>
      </c>
      <c r="J10" s="129">
        <f>J11+J12+L10+L11</f>
        <v>857093284</v>
      </c>
      <c r="K10" s="92" t="s">
        <v>215</v>
      </c>
      <c r="L10" s="94"/>
    </row>
    <row r="11" spans="1:26" ht="32.4" customHeight="1">
      <c r="B11" s="115" t="s">
        <v>216</v>
      </c>
      <c r="G11" s="116">
        <f>J11</f>
        <v>236433358</v>
      </c>
      <c r="H11" s="1" t="s">
        <v>213</v>
      </c>
      <c r="I11" s="9" t="s">
        <v>63</v>
      </c>
      <c r="J11" s="7">
        <f>'TTL 2'!V45</f>
        <v>236433358</v>
      </c>
      <c r="K11" s="130" t="s">
        <v>217</v>
      </c>
      <c r="L11" s="94"/>
    </row>
    <row r="12" spans="1:26" ht="30.6" customHeight="1">
      <c r="B12" s="115" t="s">
        <v>218</v>
      </c>
      <c r="G12" s="116">
        <f>'PTL '!E24</f>
        <v>620659926</v>
      </c>
      <c r="H12" s="1" t="s">
        <v>213</v>
      </c>
      <c r="I12" s="9" t="s">
        <v>64</v>
      </c>
      <c r="J12" s="7">
        <f>'TTL 2'!T45</f>
        <v>620659926</v>
      </c>
    </row>
    <row r="13" spans="1:26" ht="30.6" hidden="1" customHeight="1">
      <c r="B13" s="1044" t="s">
        <v>219</v>
      </c>
      <c r="C13" s="1044"/>
      <c r="D13" s="1044"/>
      <c r="G13" s="116"/>
      <c r="H13" s="1" t="s">
        <v>213</v>
      </c>
      <c r="J13" s="7"/>
    </row>
    <row r="14" spans="1:26" ht="30.6" hidden="1" customHeight="1">
      <c r="B14" s="115" t="s">
        <v>220</v>
      </c>
      <c r="G14" s="116"/>
      <c r="H14" s="1" t="s">
        <v>213</v>
      </c>
      <c r="J14" s="7"/>
    </row>
    <row r="15" spans="1:26" ht="66.75" hidden="1" customHeight="1">
      <c r="B15" s="1045" t="s">
        <v>221</v>
      </c>
      <c r="C15" s="1045"/>
      <c r="D15" s="1045"/>
      <c r="E15" s="1045"/>
      <c r="G15" s="116"/>
      <c r="H15" s="1" t="s">
        <v>213</v>
      </c>
      <c r="I15" s="131" t="s">
        <v>222</v>
      </c>
      <c r="J15" s="17" t="str">
        <f>'TTL 2'!U48</f>
        <v>công</v>
      </c>
    </row>
    <row r="16" spans="1:26" ht="34.200000000000003" customHeight="1">
      <c r="A16" s="106"/>
      <c r="B16" s="113" t="s">
        <v>223</v>
      </c>
      <c r="C16" s="106"/>
      <c r="D16" s="106"/>
      <c r="E16" s="117"/>
      <c r="F16" s="106"/>
      <c r="G16" s="118">
        <f>G17</f>
        <v>236433358</v>
      </c>
      <c r="H16" s="95" t="s">
        <v>213</v>
      </c>
      <c r="I16" s="132" t="s">
        <v>224</v>
      </c>
      <c r="J16" s="133">
        <f>'TTL 2'!T52</f>
        <v>12242642</v>
      </c>
    </row>
    <row r="17" spans="1:26" ht="41.4" customHeight="1">
      <c r="A17" s="106"/>
      <c r="B17" s="119" t="s">
        <v>225</v>
      </c>
      <c r="C17" s="120"/>
      <c r="D17" s="120"/>
      <c r="E17" s="106"/>
      <c r="F17" s="106"/>
      <c r="G17" s="121">
        <f>G11</f>
        <v>236433358</v>
      </c>
      <c r="H17" s="1" t="s">
        <v>213</v>
      </c>
      <c r="I17" s="134" t="s">
        <v>226</v>
      </c>
      <c r="J17" s="135">
        <f>'TTL 2'!U52</f>
        <v>4615479</v>
      </c>
      <c r="K17" s="111"/>
    </row>
    <row r="18" spans="1:26" ht="29.4" customHeight="1">
      <c r="A18" s="106"/>
      <c r="B18" s="113" t="s">
        <v>227</v>
      </c>
      <c r="C18" s="120"/>
      <c r="D18" s="120"/>
      <c r="E18" s="106"/>
      <c r="F18" s="106"/>
      <c r="G18" s="118">
        <f>G19+G20+G21</f>
        <v>16858121</v>
      </c>
      <c r="H18" s="1" t="s">
        <v>213</v>
      </c>
      <c r="I18" s="134" t="s">
        <v>228</v>
      </c>
      <c r="J18" s="135">
        <f>'TTL 2'!U42</f>
        <v>603801805</v>
      </c>
      <c r="K18" s="111"/>
    </row>
    <row r="19" spans="1:26" ht="43.5" customHeight="1">
      <c r="A19" s="106"/>
      <c r="B19" s="119" t="s">
        <v>229</v>
      </c>
      <c r="C19" s="122"/>
      <c r="D19" s="122"/>
      <c r="E19" s="106"/>
      <c r="F19" s="106"/>
      <c r="G19" s="15">
        <f>J17</f>
        <v>4615479</v>
      </c>
      <c r="H19" s="1" t="s">
        <v>213</v>
      </c>
      <c r="I19" s="134"/>
      <c r="J19" s="133"/>
      <c r="K19" s="111"/>
    </row>
    <row r="20" spans="1:26" ht="32.4" customHeight="1">
      <c r="A20" s="106"/>
      <c r="B20" s="115" t="s">
        <v>230</v>
      </c>
      <c r="C20" s="106"/>
      <c r="D20" s="106"/>
      <c r="E20" s="106"/>
      <c r="F20" s="106"/>
      <c r="G20" s="15">
        <v>0</v>
      </c>
      <c r="H20" s="1" t="s">
        <v>213</v>
      </c>
      <c r="I20" s="134"/>
    </row>
    <row r="21" spans="1:26" ht="30" customHeight="1">
      <c r="A21" s="106"/>
      <c r="B21" s="115" t="s">
        <v>231</v>
      </c>
      <c r="C21" s="106"/>
      <c r="D21" s="106"/>
      <c r="E21" s="106"/>
      <c r="F21" s="106"/>
      <c r="G21" s="15">
        <f>J16</f>
        <v>12242642</v>
      </c>
      <c r="H21" s="1" t="s">
        <v>213</v>
      </c>
      <c r="I21" s="134"/>
      <c r="J21" s="7"/>
    </row>
    <row r="22" spans="1:26" ht="30" customHeight="1">
      <c r="A22" s="106"/>
      <c r="B22" s="113" t="s">
        <v>232</v>
      </c>
      <c r="C22" s="106"/>
      <c r="D22" s="106"/>
      <c r="E22" s="106"/>
      <c r="F22" s="106"/>
      <c r="G22" s="123">
        <f>G10-G16-G18</f>
        <v>603801805</v>
      </c>
      <c r="H22" s="1" t="s">
        <v>213</v>
      </c>
      <c r="I22" s="134"/>
      <c r="J22" s="133"/>
    </row>
    <row r="23" spans="1:26" s="105" customFormat="1" ht="32.4" customHeight="1">
      <c r="A23" s="106"/>
      <c r="B23" s="119" t="s">
        <v>233</v>
      </c>
      <c r="C23" s="122"/>
      <c r="D23" s="106"/>
      <c r="E23" s="106"/>
      <c r="F23" s="106"/>
      <c r="G23" s="124">
        <f>G22</f>
        <v>603801805</v>
      </c>
      <c r="H23" s="1" t="s">
        <v>213</v>
      </c>
      <c r="I23" s="136"/>
      <c r="K23" s="92"/>
      <c r="L23" s="110"/>
      <c r="M23" s="93"/>
      <c r="N23" s="111"/>
      <c r="O23" s="111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 spans="1:26" s="105" customFormat="1" ht="15" customHeight="1">
      <c r="A24" s="106"/>
      <c r="B24" s="92"/>
      <c r="C24" s="106"/>
      <c r="D24" s="106"/>
      <c r="E24" s="106"/>
      <c r="F24" s="106"/>
      <c r="G24" s="125"/>
      <c r="H24" s="106"/>
      <c r="I24" s="137"/>
      <c r="K24" s="111"/>
      <c r="L24" s="110"/>
      <c r="M24" s="93"/>
      <c r="N24" s="111"/>
      <c r="O24" s="111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 spans="1:26" s="105" customFormat="1" ht="28.2" customHeight="1">
      <c r="A25" s="1046" t="s">
        <v>2096</v>
      </c>
      <c r="B25" s="1046"/>
      <c r="C25" s="1046"/>
      <c r="D25" s="1046"/>
      <c r="E25" s="1046"/>
      <c r="F25" s="1046"/>
      <c r="G25" s="1046"/>
      <c r="H25" s="1046"/>
      <c r="I25" s="138"/>
      <c r="J25" s="139"/>
      <c r="K25" s="111"/>
      <c r="L25" s="110"/>
      <c r="M25" s="93"/>
      <c r="N25" s="111"/>
      <c r="O25" s="111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 spans="1:26" s="106" customFormat="1" ht="24.75" customHeight="1">
      <c r="A26" s="1047" t="s">
        <v>2095</v>
      </c>
      <c r="B26" s="1048"/>
      <c r="C26" s="1048"/>
      <c r="D26" s="1048"/>
      <c r="E26" s="1048"/>
      <c r="F26" s="1048"/>
      <c r="G26" s="1048"/>
      <c r="H26" s="1048"/>
      <c r="I26" s="140"/>
      <c r="J26" s="141"/>
      <c r="K26" s="92"/>
      <c r="L26" s="110"/>
      <c r="M26" s="93"/>
      <c r="N26" s="111"/>
      <c r="O26" s="111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 spans="1:26">
      <c r="I27" s="140"/>
      <c r="J27" s="140"/>
      <c r="K27" s="140"/>
      <c r="L27" s="140"/>
      <c r="M27" s="140"/>
      <c r="N27" s="140"/>
      <c r="O27" s="140"/>
      <c r="P27" s="140"/>
    </row>
    <row r="28" spans="1:26" s="1" customFormat="1" ht="28.2" customHeight="1">
      <c r="F28" s="1049" t="s">
        <v>2064</v>
      </c>
      <c r="G28" s="1049"/>
      <c r="H28" s="1049"/>
      <c r="J28" s="142"/>
      <c r="K28" s="92"/>
      <c r="L28" s="110"/>
      <c r="M28" s="93"/>
      <c r="N28" s="111"/>
      <c r="O28" s="111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</row>
    <row r="29" spans="1:26" s="107" customFormat="1" ht="33" customHeight="1">
      <c r="A29" s="1039" t="s">
        <v>1839</v>
      </c>
      <c r="B29" s="1039"/>
      <c r="C29" s="1039"/>
      <c r="D29" s="1039"/>
      <c r="E29" s="1050" t="s">
        <v>234</v>
      </c>
      <c r="F29" s="1050"/>
      <c r="G29" s="1039" t="s">
        <v>197</v>
      </c>
      <c r="H29" s="1039"/>
      <c r="L29" s="143"/>
      <c r="M29" s="144"/>
      <c r="N29" s="145"/>
      <c r="O29" s="145"/>
    </row>
    <row r="30" spans="1:26" s="95" customFormat="1">
      <c r="A30" s="1040" t="s">
        <v>1698</v>
      </c>
      <c r="B30" s="1040"/>
      <c r="C30" s="1040"/>
      <c r="D30" s="1040"/>
      <c r="E30" s="1053" t="s">
        <v>235</v>
      </c>
      <c r="F30" s="1053"/>
      <c r="G30" s="1040" t="s">
        <v>198</v>
      </c>
      <c r="H30" s="1040"/>
      <c r="I30" s="91"/>
      <c r="K30" s="91"/>
      <c r="L30" s="146"/>
      <c r="M30" s="101"/>
      <c r="N30" s="147"/>
      <c r="O30" s="147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</row>
    <row r="31" spans="1:26" s="95" customFormat="1">
      <c r="A31" s="91"/>
      <c r="B31" s="92"/>
      <c r="C31" s="92"/>
      <c r="D31" s="92"/>
      <c r="E31" s="92"/>
      <c r="F31" s="92"/>
      <c r="G31" s="92"/>
      <c r="H31" s="92"/>
      <c r="I31" s="91"/>
      <c r="K31" s="91"/>
      <c r="L31" s="146"/>
      <c r="M31" s="101"/>
      <c r="N31" s="147"/>
      <c r="O31" s="147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</row>
    <row r="32" spans="1:26" s="1" customFormat="1" ht="18">
      <c r="A32" s="92"/>
      <c r="B32" s="92"/>
      <c r="C32" s="92"/>
      <c r="D32" s="92"/>
      <c r="E32" s="92"/>
      <c r="F32" s="92"/>
      <c r="G32" s="126"/>
      <c r="H32" s="92"/>
      <c r="I32" s="92"/>
      <c r="K32" s="92"/>
      <c r="L32" s="110"/>
      <c r="M32" s="93"/>
      <c r="N32" s="111"/>
      <c r="O32" s="111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 spans="1:26" s="1" customFormat="1" ht="18">
      <c r="A33" s="92"/>
      <c r="B33" s="92"/>
      <c r="C33" s="92"/>
      <c r="D33" s="92"/>
      <c r="E33" s="92"/>
      <c r="F33" s="92"/>
      <c r="G33" s="126"/>
      <c r="H33" s="92"/>
      <c r="I33" s="92"/>
      <c r="K33" s="92"/>
      <c r="L33" s="110"/>
      <c r="M33" s="93"/>
      <c r="N33" s="111"/>
      <c r="O33" s="111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 spans="1:26" s="1" customFormat="1" ht="18">
      <c r="A34" s="92"/>
      <c r="B34" s="92"/>
      <c r="C34" s="92"/>
      <c r="D34" s="92"/>
      <c r="E34" s="92"/>
      <c r="F34" s="92"/>
      <c r="G34" s="126"/>
      <c r="H34" s="92"/>
      <c r="I34" s="92"/>
      <c r="K34" s="92"/>
      <c r="L34" s="110"/>
      <c r="M34" s="93"/>
      <c r="N34" s="111"/>
      <c r="O34" s="111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 spans="1:26" s="1" customFormat="1" ht="18">
      <c r="A35" s="1040" t="s">
        <v>199</v>
      </c>
      <c r="B35" s="1040"/>
      <c r="C35" s="1040"/>
      <c r="D35" s="1040"/>
      <c r="E35" s="1053"/>
      <c r="F35" s="1053"/>
      <c r="G35" s="1054" t="s">
        <v>201</v>
      </c>
      <c r="H35" s="1040"/>
      <c r="I35" s="91"/>
      <c r="J35" s="95"/>
      <c r="K35" s="92"/>
      <c r="L35" s="110"/>
      <c r="M35" s="93"/>
      <c r="N35" s="111"/>
      <c r="O35" s="111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 spans="1:26" s="1" customFormat="1" ht="11.4" customHeight="1">
      <c r="A36" s="96"/>
      <c r="B36" s="96"/>
      <c r="C36" s="96"/>
      <c r="D36" s="96"/>
      <c r="E36" s="96"/>
      <c r="F36" s="96"/>
      <c r="G36" s="96"/>
      <c r="H36" s="96"/>
      <c r="I36" s="92"/>
      <c r="K36" s="92"/>
      <c r="L36" s="110"/>
      <c r="M36" s="93"/>
      <c r="N36" s="111"/>
      <c r="O36" s="111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</row>
    <row r="37" spans="1:26" s="108" customFormat="1" ht="21.75" customHeight="1">
      <c r="A37" s="1051" t="s">
        <v>206</v>
      </c>
      <c r="B37" s="1051"/>
      <c r="C37" s="1051"/>
      <c r="D37" s="1051"/>
      <c r="E37" s="1051"/>
      <c r="F37" s="1051"/>
      <c r="G37" s="1051"/>
      <c r="H37" s="1051"/>
      <c r="I37" s="148"/>
      <c r="J37" s="149"/>
      <c r="K37" s="150"/>
      <c r="L37" s="151"/>
      <c r="M37" s="152"/>
      <c r="N37" s="153"/>
      <c r="O37" s="153"/>
      <c r="P37" s="150"/>
      <c r="Q37" s="150"/>
      <c r="R37" s="150"/>
      <c r="S37" s="150"/>
      <c r="T37" s="150"/>
      <c r="U37" s="150"/>
      <c r="V37" s="150"/>
      <c r="W37" s="150"/>
      <c r="X37" s="150"/>
      <c r="Y37" s="150"/>
      <c r="Z37" s="150"/>
    </row>
    <row r="38" spans="1:26" s="1" customFormat="1" ht="18.75" customHeight="1">
      <c r="A38" s="1052" t="s">
        <v>207</v>
      </c>
      <c r="B38" s="1052"/>
      <c r="C38" s="1052"/>
      <c r="D38" s="1052"/>
      <c r="E38" s="1052"/>
      <c r="F38" s="1052"/>
      <c r="G38" s="1052"/>
      <c r="H38" s="1052"/>
      <c r="I38" s="154"/>
      <c r="J38" s="154"/>
      <c r="K38" s="92"/>
      <c r="L38" s="110"/>
      <c r="M38" s="93"/>
      <c r="N38" s="111"/>
      <c r="O38" s="111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</row>
    <row r="39" spans="1:26" s="1" customFormat="1" ht="18">
      <c r="A39" s="92"/>
      <c r="B39" s="92"/>
      <c r="C39" s="92"/>
      <c r="D39" s="92"/>
      <c r="E39" s="92"/>
      <c r="F39" s="92"/>
      <c r="G39" s="126"/>
      <c r="H39" s="92"/>
      <c r="I39" s="92"/>
      <c r="K39" s="92"/>
      <c r="L39" s="110"/>
      <c r="M39" s="93"/>
      <c r="N39" s="111"/>
      <c r="O39" s="111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 spans="1:26" s="1" customFormat="1" ht="18">
      <c r="G40" s="4"/>
      <c r="K40" s="92"/>
      <c r="L40" s="110"/>
      <c r="M40" s="93"/>
      <c r="N40" s="111"/>
      <c r="O40" s="111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spans="1:26" s="1" customFormat="1" ht="18">
      <c r="G41" s="4"/>
      <c r="K41" s="92"/>
      <c r="L41" s="110"/>
      <c r="M41" s="93"/>
      <c r="N41" s="111"/>
      <c r="O41" s="111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 spans="1:26" s="1" customFormat="1" ht="18">
      <c r="G42" s="4"/>
      <c r="K42" s="92"/>
      <c r="L42" s="110"/>
      <c r="M42" s="93"/>
      <c r="N42" s="111"/>
      <c r="O42" s="111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 spans="1:26" s="1" customFormat="1" ht="18">
      <c r="G43" s="4"/>
      <c r="K43" s="92"/>
      <c r="L43" s="110"/>
      <c r="M43" s="93"/>
      <c r="N43" s="111"/>
      <c r="O43" s="111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 spans="1:26" s="1" customFormat="1" ht="18">
      <c r="A44" s="991"/>
      <c r="B44" s="991"/>
      <c r="C44" s="991"/>
      <c r="D44" s="991"/>
      <c r="F44" s="95"/>
      <c r="G44" s="95"/>
      <c r="H44" s="95"/>
      <c r="K44" s="92"/>
      <c r="L44" s="110"/>
      <c r="M44" s="93"/>
      <c r="N44" s="111"/>
      <c r="O44" s="111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</row>
  </sheetData>
  <mergeCells count="28">
    <mergeCell ref="A44:D44"/>
    <mergeCell ref="A30:D30"/>
    <mergeCell ref="E30:F30"/>
    <mergeCell ref="G30:H30"/>
    <mergeCell ref="A35:D35"/>
    <mergeCell ref="E35:F35"/>
    <mergeCell ref="G35:H35"/>
    <mergeCell ref="A29:D29"/>
    <mergeCell ref="E29:F29"/>
    <mergeCell ref="G29:H29"/>
    <mergeCell ref="A37:H37"/>
    <mergeCell ref="A38:H38"/>
    <mergeCell ref="B13:D13"/>
    <mergeCell ref="B15:E15"/>
    <mergeCell ref="A25:H25"/>
    <mergeCell ref="A26:H26"/>
    <mergeCell ref="F28:H28"/>
    <mergeCell ref="A4:E4"/>
    <mergeCell ref="A5:H5"/>
    <mergeCell ref="A6:H6"/>
    <mergeCell ref="A7:H7"/>
    <mergeCell ref="A8:H8"/>
    <mergeCell ref="A1:E1"/>
    <mergeCell ref="F1:H1"/>
    <mergeCell ref="A2:E2"/>
    <mergeCell ref="F2:H2"/>
    <mergeCell ref="A3:E3"/>
    <mergeCell ref="F3:H3"/>
  </mergeCells>
  <pageMargins left="0.62" right="0.56999999999999995" top="0.75" bottom="0.75" header="0.3" footer="0.3"/>
  <pageSetup paperSize="9" scale="7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F66C-6573-4953-8BDB-D705C5994CD2}">
  <sheetPr>
    <tabColor rgb="FFFFC000"/>
  </sheetPr>
  <dimension ref="A1:HR542"/>
  <sheetViews>
    <sheetView view="pageBreakPreview" topLeftCell="A4" zoomScale="90" zoomScaleNormal="60" zoomScaleSheetLayoutView="90" workbookViewId="0">
      <selection activeCell="AA11" sqref="AA11:AA12"/>
    </sheetView>
  </sheetViews>
  <sheetFormatPr defaultColWidth="8.69921875" defaultRowHeight="15.6"/>
  <cols>
    <col min="1" max="1" width="4.59765625" style="815" customWidth="1"/>
    <col min="2" max="2" width="7.19921875" style="815" hidden="1" customWidth="1"/>
    <col min="3" max="3" width="11.19921875" style="815" customWidth="1"/>
    <col min="4" max="4" width="16" style="815" customWidth="1"/>
    <col min="5" max="5" width="5.3984375" style="815" customWidth="1"/>
    <col min="6" max="6" width="9.19921875" style="815" customWidth="1"/>
    <col min="7" max="7" width="8" style="815" customWidth="1"/>
    <col min="8" max="8" width="7.69921875" style="815" customWidth="1"/>
    <col min="9" max="9" width="6.3984375" style="815" customWidth="1"/>
    <col min="10" max="10" width="9" style="815" customWidth="1"/>
    <col min="11" max="11" width="7.69921875" style="815" customWidth="1"/>
    <col min="12" max="12" width="9.765625E-2" style="815" customWidth="1"/>
    <col min="13" max="13" width="6.09765625" style="933" customWidth="1"/>
    <col min="14" max="14" width="7.59765625" style="814" customWidth="1"/>
    <col min="15" max="15" width="6.5" style="814" customWidth="1"/>
    <col min="16" max="16" width="6.19921875" style="933" customWidth="1"/>
    <col min="17" max="17" width="7.5" style="814" customWidth="1"/>
    <col min="18" max="18" width="7.69921875" style="814" customWidth="1"/>
    <col min="19" max="19" width="7.19921875" style="815" customWidth="1"/>
    <col min="20" max="20" width="10.5" style="933" hidden="1" customWidth="1"/>
    <col min="21" max="21" width="6" style="815" customWidth="1"/>
    <col min="22" max="22" width="5.59765625" customWidth="1"/>
    <col min="23" max="23" width="6.5" style="815" customWidth="1"/>
    <col min="24" max="24" width="5.5" style="934" hidden="1" customWidth="1"/>
    <col min="25" max="25" width="7.5" style="933" customWidth="1"/>
    <col min="26" max="26" width="8.09765625" style="814" hidden="1" customWidth="1"/>
    <col min="27" max="27" width="6.5" style="814" customWidth="1"/>
    <col min="28" max="28" width="8" style="935" hidden="1" customWidth="1"/>
    <col min="29" max="29" width="7.8984375" style="815" customWidth="1"/>
    <col min="30" max="30" width="8.59765625" style="815" hidden="1" customWidth="1"/>
    <col min="31" max="31" width="7.19921875" style="934" customWidth="1"/>
    <col min="32" max="32" width="9.765625E-2" style="936" customWidth="1"/>
    <col min="33" max="33" width="8.19921875" style="814" customWidth="1"/>
    <col min="34" max="34" width="9.5" style="815" customWidth="1"/>
    <col min="35" max="35" width="13.19921875" style="815" hidden="1" customWidth="1"/>
    <col min="36" max="36" width="11.59765625" style="814" hidden="1" customWidth="1"/>
    <col min="37" max="37" width="7.19921875" style="815" customWidth="1"/>
    <col min="38" max="38" width="6.3984375" style="815" customWidth="1"/>
    <col min="39" max="39" width="3" style="815" customWidth="1"/>
    <col min="40" max="40" width="7.59765625" style="815" customWidth="1"/>
    <col min="41" max="41" width="9.3984375" style="814" customWidth="1"/>
    <col min="42" max="42" width="13" style="815" customWidth="1"/>
    <col min="43" max="43" width="4.59765625" style="815" customWidth="1"/>
    <col min="44" max="44" width="5.69921875" style="815" customWidth="1"/>
    <col min="45" max="45" width="10.3984375" style="815" customWidth="1"/>
    <col min="46" max="46" width="6.5" style="815" customWidth="1"/>
    <col min="47" max="47" width="5.19921875" style="815" customWidth="1"/>
    <col min="48" max="48" width="8.8984375" style="815" customWidth="1"/>
    <col min="49" max="51" width="11.69921875" style="838" bestFit="1" customWidth="1"/>
    <col min="52" max="52" width="11.3984375" style="838" customWidth="1"/>
    <col min="53" max="53" width="12.19921875" style="941" bestFit="1" customWidth="1"/>
    <col min="54" max="54" width="8.59765625" style="941" hidden="1" customWidth="1"/>
    <col min="55" max="55" width="15.09765625" style="941" customWidth="1"/>
    <col min="56" max="56" width="5.69921875" style="838" hidden="1" customWidth="1"/>
    <col min="57" max="57" width="7.8984375" style="838" hidden="1" customWidth="1"/>
    <col min="58" max="58" width="9.59765625" style="838" hidden="1" customWidth="1"/>
    <col min="59" max="59" width="7.09765625" style="838" hidden="1" customWidth="1"/>
    <col min="60" max="60" width="8.09765625" style="838" hidden="1" customWidth="1"/>
    <col min="61" max="61" width="10.3984375" style="838" customWidth="1"/>
    <col min="62" max="62" width="10.3984375" style="941" hidden="1" customWidth="1"/>
    <col min="63" max="63" width="16" style="838" bestFit="1" customWidth="1"/>
    <col min="64" max="64" width="10.5" style="838" hidden="1" customWidth="1"/>
    <col min="65" max="65" width="18" style="838" customWidth="1"/>
    <col min="66" max="66" width="16.5" style="838" customWidth="1"/>
    <col min="67" max="67" width="16.69921875" style="838" customWidth="1"/>
    <col min="68" max="68" width="22.3984375" style="815" customWidth="1"/>
    <col min="69" max="69" width="10.19921875" style="815" customWidth="1"/>
    <col min="70" max="70" width="8.3984375" style="815" customWidth="1"/>
    <col min="71" max="71" width="7" style="815" customWidth="1"/>
    <col min="72" max="72" width="6.59765625" style="815" customWidth="1"/>
    <col min="73" max="98" width="9" style="815" bestFit="1" customWidth="1"/>
    <col min="99" max="16384" width="8.69921875" style="815"/>
  </cols>
  <sheetData>
    <row r="1" spans="1:226" s="729" customFormat="1" ht="45" customHeight="1">
      <c r="A1" s="608" t="s">
        <v>236</v>
      </c>
      <c r="B1" s="608"/>
      <c r="C1" s="608"/>
      <c r="D1" s="608"/>
      <c r="E1" s="608"/>
      <c r="F1" s="670"/>
      <c r="G1" s="670"/>
      <c r="H1" s="670"/>
      <c r="I1" s="670"/>
      <c r="J1" s="670"/>
      <c r="K1" s="670"/>
      <c r="L1" s="670"/>
      <c r="M1" s="839"/>
      <c r="N1" s="728"/>
      <c r="O1" s="728"/>
      <c r="P1" s="839"/>
      <c r="Q1" s="728"/>
      <c r="R1" s="728"/>
      <c r="S1" s="726"/>
      <c r="T1" s="839"/>
      <c r="U1" s="726"/>
      <c r="V1"/>
      <c r="W1" s="726"/>
      <c r="X1"/>
      <c r="Y1" s="665"/>
      <c r="Z1" s="728"/>
      <c r="AA1" s="728"/>
      <c r="AB1" s="1055" t="s">
        <v>237</v>
      </c>
      <c r="AC1" s="1055"/>
      <c r="AD1" s="1055"/>
      <c r="AE1" s="1055"/>
      <c r="AF1" s="1055"/>
      <c r="AG1" s="1055"/>
      <c r="AH1" s="1055"/>
      <c r="AI1" s="726"/>
      <c r="AJ1" s="728"/>
    </row>
    <row r="2" spans="1:226" s="729" customFormat="1" ht="37.200000000000003" customHeight="1">
      <c r="A2" s="1096" t="s">
        <v>177</v>
      </c>
      <c r="B2" s="1096"/>
      <c r="C2" s="1096"/>
      <c r="D2" s="1096"/>
      <c r="E2" s="1096"/>
      <c r="F2" s="1096"/>
      <c r="G2" s="715"/>
      <c r="H2" s="715"/>
      <c r="I2" s="715"/>
      <c r="J2" s="715"/>
      <c r="K2" s="715"/>
      <c r="L2" s="715"/>
      <c r="M2" s="839"/>
      <c r="N2" s="728"/>
      <c r="O2" s="728"/>
      <c r="P2" s="839"/>
      <c r="Q2" s="728"/>
      <c r="R2" s="728"/>
      <c r="S2" s="726"/>
      <c r="T2" s="839"/>
      <c r="U2" s="726"/>
      <c r="V2"/>
      <c r="W2" s="726"/>
      <c r="X2"/>
      <c r="Y2" s="665"/>
      <c r="Z2" s="728"/>
      <c r="AA2" s="728"/>
      <c r="AB2" s="1055" t="s">
        <v>209</v>
      </c>
      <c r="AC2" s="1055"/>
      <c r="AD2" s="1055"/>
      <c r="AE2" s="1055"/>
      <c r="AF2" s="1055"/>
      <c r="AG2" s="1055"/>
      <c r="AH2" s="1055"/>
      <c r="AI2" s="726"/>
      <c r="AJ2" s="728"/>
    </row>
    <row r="3" spans="1:226" s="729" customFormat="1" ht="22.8">
      <c r="A3" s="1097" t="s">
        <v>1838</v>
      </c>
      <c r="B3" s="1097"/>
      <c r="C3" s="1097"/>
      <c r="D3" s="1097"/>
      <c r="E3" s="1097"/>
      <c r="F3" s="1097"/>
      <c r="G3" s="730"/>
      <c r="H3" s="730"/>
      <c r="I3" s="730"/>
      <c r="J3" s="730"/>
      <c r="K3" s="730"/>
      <c r="L3" s="730"/>
      <c r="M3" s="840"/>
      <c r="N3" s="733"/>
      <c r="O3" s="733"/>
      <c r="P3" s="840"/>
      <c r="Q3" s="733"/>
      <c r="R3" s="733"/>
      <c r="S3" s="731"/>
      <c r="T3" s="840"/>
      <c r="U3" s="731"/>
      <c r="V3" s="737"/>
      <c r="W3" s="731"/>
      <c r="X3"/>
      <c r="Y3" s="665"/>
      <c r="Z3" s="733"/>
      <c r="AA3" s="733"/>
      <c r="AB3" s="841"/>
      <c r="AC3" s="731"/>
      <c r="AD3" s="731"/>
      <c r="AE3" s="842"/>
      <c r="AF3" s="843"/>
      <c r="AG3" s="731"/>
      <c r="AH3" s="731"/>
      <c r="AI3" s="731"/>
      <c r="AJ3" s="733"/>
    </row>
    <row r="4" spans="1:226" s="97" customFormat="1" ht="15.75" customHeight="1">
      <c r="A4" s="1062" t="s">
        <v>238</v>
      </c>
      <c r="B4" s="1062"/>
      <c r="C4" s="1062"/>
      <c r="D4" s="1062"/>
      <c r="E4" s="1062"/>
      <c r="F4" s="734"/>
      <c r="G4" s="734"/>
      <c r="H4" s="734"/>
      <c r="I4" s="734"/>
      <c r="J4" s="734"/>
      <c r="K4" s="734"/>
      <c r="L4" s="734"/>
      <c r="M4" s="844"/>
      <c r="N4" s="736"/>
      <c r="O4" s="736"/>
      <c r="P4" s="844"/>
      <c r="Q4" s="736"/>
      <c r="R4" s="736"/>
      <c r="S4" s="734"/>
      <c r="T4" s="844"/>
      <c r="U4" s="734"/>
      <c r="V4"/>
      <c r="W4" s="734"/>
      <c r="X4"/>
      <c r="Y4" s="665"/>
      <c r="Z4" s="736"/>
      <c r="AA4" s="736"/>
      <c r="AB4" s="845"/>
      <c r="AC4" s="734"/>
      <c r="AD4" s="734"/>
      <c r="AE4" s="846"/>
      <c r="AF4" s="847"/>
      <c r="AG4" s="736"/>
      <c r="AH4" s="734"/>
      <c r="AI4" s="737"/>
      <c r="AJ4" s="733"/>
    </row>
    <row r="5" spans="1:226" s="97" customFormat="1" ht="0.6" customHeight="1">
      <c r="A5" s="738"/>
      <c r="B5" s="738"/>
      <c r="C5" s="738"/>
      <c r="D5" s="738"/>
      <c r="E5" s="738"/>
      <c r="F5" s="738"/>
      <c r="G5" s="738"/>
      <c r="H5" s="738"/>
      <c r="I5" s="738"/>
      <c r="J5" s="738"/>
      <c r="K5" s="738"/>
      <c r="L5" s="738"/>
      <c r="M5" s="848"/>
      <c r="N5" s="739"/>
      <c r="O5" s="739"/>
      <c r="P5" s="848"/>
      <c r="Q5" s="739"/>
      <c r="R5" s="739"/>
      <c r="S5" s="738"/>
      <c r="T5" s="848"/>
      <c r="U5" s="738"/>
      <c r="V5"/>
      <c r="W5" s="738"/>
      <c r="X5"/>
      <c r="Y5" s="665"/>
      <c r="Z5" s="739"/>
      <c r="AA5" s="739"/>
      <c r="AB5" s="849"/>
      <c r="AC5" s="738"/>
      <c r="AD5" s="738"/>
      <c r="AE5" s="850"/>
      <c r="AF5" s="851"/>
      <c r="AG5" s="739"/>
      <c r="AH5" s="741"/>
      <c r="AI5" s="742"/>
      <c r="AJ5" s="733"/>
    </row>
    <row r="6" spans="1:226" s="97" customFormat="1" ht="39" customHeight="1">
      <c r="A6" s="1057" t="s">
        <v>1771</v>
      </c>
      <c r="B6" s="1057"/>
      <c r="C6" s="1057"/>
      <c r="D6" s="1057"/>
      <c r="E6" s="1057"/>
      <c r="F6" s="1057"/>
      <c r="G6" s="1057"/>
      <c r="H6" s="1057"/>
      <c r="I6" s="1057"/>
      <c r="J6" s="1057"/>
      <c r="K6" s="1057"/>
      <c r="L6" s="1057"/>
      <c r="M6" s="1057"/>
      <c r="N6" s="1057"/>
      <c r="O6" s="1057"/>
      <c r="P6" s="1057"/>
      <c r="Q6" s="1057"/>
      <c r="R6" s="1057"/>
      <c r="S6" s="1057"/>
      <c r="T6" s="1057"/>
      <c r="U6" s="1057"/>
      <c r="V6" s="1057"/>
      <c r="W6" s="1057"/>
      <c r="X6" s="1057"/>
      <c r="Y6" s="1057"/>
      <c r="Z6" s="1057"/>
      <c r="AA6" s="1057"/>
      <c r="AB6" s="1057"/>
      <c r="AC6" s="1057"/>
      <c r="AD6" s="1057"/>
      <c r="AE6" s="1057"/>
      <c r="AF6" s="1057"/>
      <c r="AG6" s="1057"/>
      <c r="AH6" s="1057"/>
      <c r="AI6" s="743"/>
      <c r="AJ6" s="744"/>
      <c r="AK6" s="743"/>
      <c r="AL6" s="743"/>
      <c r="AM6" s="743"/>
      <c r="AN6" s="743"/>
      <c r="AO6" s="743"/>
      <c r="AP6" s="743"/>
      <c r="AQ6" s="743"/>
      <c r="AR6" s="743"/>
      <c r="AS6" s="743"/>
      <c r="AT6" s="743"/>
      <c r="AU6" s="743"/>
      <c r="AV6" s="743"/>
      <c r="AW6" s="743"/>
      <c r="AX6" s="743"/>
      <c r="AY6" s="743"/>
      <c r="AZ6" s="743"/>
      <c r="BA6" s="743"/>
      <c r="BB6" s="743"/>
      <c r="BC6" s="743"/>
      <c r="BD6" s="743"/>
      <c r="BE6" s="743"/>
      <c r="BF6" s="743"/>
      <c r="BG6" s="743"/>
      <c r="BH6" s="743"/>
      <c r="BI6" s="743"/>
      <c r="BJ6" s="743"/>
      <c r="BK6" s="743"/>
      <c r="BL6" s="743"/>
      <c r="BM6" s="743"/>
      <c r="BN6" s="743"/>
      <c r="BO6" s="743"/>
      <c r="BP6" s="743"/>
      <c r="BQ6" s="743"/>
      <c r="BR6" s="743"/>
      <c r="BS6" s="743"/>
      <c r="BT6" s="743"/>
      <c r="BU6" s="743"/>
      <c r="BV6" s="743"/>
      <c r="BW6" s="743"/>
      <c r="BX6" s="743"/>
      <c r="BY6" s="743"/>
      <c r="BZ6" s="743"/>
      <c r="CA6" s="743"/>
      <c r="CB6" s="743"/>
      <c r="CC6" s="743"/>
      <c r="CD6" s="743"/>
      <c r="CE6" s="743"/>
      <c r="CF6" s="743"/>
      <c r="CG6" s="743"/>
      <c r="CH6" s="743"/>
      <c r="CI6" s="743"/>
      <c r="CJ6" s="743"/>
      <c r="CK6" s="743"/>
      <c r="CL6" s="743"/>
      <c r="CM6" s="743"/>
      <c r="CN6" s="743"/>
      <c r="CO6" s="743"/>
      <c r="CP6" s="743"/>
      <c r="CQ6" s="743"/>
      <c r="CR6" s="743"/>
      <c r="CS6" s="743"/>
      <c r="CT6" s="743"/>
      <c r="CU6" s="743"/>
      <c r="CV6" s="743"/>
      <c r="CW6" s="743"/>
      <c r="CX6" s="743"/>
      <c r="CY6" s="743"/>
      <c r="CZ6" s="743"/>
      <c r="DA6" s="743"/>
      <c r="DB6" s="743"/>
      <c r="DC6" s="743"/>
      <c r="DD6" s="743"/>
      <c r="DE6" s="743"/>
      <c r="DF6" s="743"/>
      <c r="DG6" s="743"/>
      <c r="DH6" s="743"/>
      <c r="DI6" s="743"/>
      <c r="DJ6" s="743"/>
      <c r="DK6" s="743"/>
      <c r="DL6" s="743"/>
      <c r="DM6" s="743"/>
      <c r="DN6" s="743"/>
      <c r="DO6" s="743"/>
      <c r="DP6" s="743"/>
      <c r="DQ6" s="743"/>
      <c r="DR6" s="743"/>
      <c r="DS6" s="743"/>
      <c r="DT6" s="743"/>
      <c r="DU6" s="743"/>
      <c r="DV6" s="743"/>
      <c r="DW6" s="743"/>
      <c r="DX6" s="743"/>
      <c r="DY6" s="743"/>
      <c r="DZ6" s="743"/>
      <c r="EA6" s="743"/>
      <c r="EB6" s="743"/>
      <c r="EC6" s="743"/>
      <c r="ED6" s="743"/>
      <c r="EE6" s="743"/>
      <c r="EF6" s="743"/>
      <c r="EG6" s="743"/>
      <c r="EH6" s="743"/>
      <c r="EI6" s="743"/>
      <c r="EJ6" s="743"/>
      <c r="EK6" s="743"/>
      <c r="EL6" s="743"/>
      <c r="EM6" s="743"/>
      <c r="EN6" s="743"/>
      <c r="EO6" s="743"/>
      <c r="EP6" s="743"/>
      <c r="EQ6" s="743"/>
      <c r="ER6" s="743"/>
      <c r="ES6" s="743"/>
      <c r="ET6" s="743"/>
      <c r="EU6" s="743"/>
      <c r="EV6" s="743"/>
      <c r="EW6" s="743"/>
      <c r="EX6" s="743"/>
      <c r="EY6" s="743"/>
      <c r="EZ6" s="743"/>
      <c r="FA6" s="743"/>
      <c r="FB6" s="743"/>
      <c r="FC6" s="743"/>
      <c r="FD6" s="743"/>
      <c r="FE6" s="743"/>
      <c r="FF6" s="743"/>
      <c r="FG6" s="743"/>
      <c r="FH6" s="743"/>
      <c r="FI6" s="743"/>
      <c r="FJ6" s="743"/>
      <c r="FK6" s="743"/>
      <c r="FL6" s="743"/>
      <c r="FM6" s="743"/>
      <c r="FN6" s="743"/>
      <c r="FO6" s="743"/>
      <c r="FP6" s="743"/>
      <c r="FQ6" s="743"/>
      <c r="FR6" s="743"/>
      <c r="FS6" s="743"/>
      <c r="FT6" s="743"/>
      <c r="FU6" s="743"/>
      <c r="FV6" s="743"/>
      <c r="FW6" s="743"/>
      <c r="FX6" s="743"/>
      <c r="FY6" s="743"/>
      <c r="FZ6" s="743"/>
      <c r="GA6" s="743"/>
      <c r="GB6" s="743"/>
      <c r="GC6" s="743"/>
      <c r="GD6" s="743"/>
      <c r="GE6" s="743"/>
      <c r="GF6" s="743"/>
      <c r="GG6" s="743"/>
      <c r="GH6" s="743"/>
      <c r="GI6" s="743"/>
      <c r="GJ6" s="743"/>
      <c r="GK6" s="743"/>
      <c r="GL6" s="743"/>
      <c r="GM6" s="743"/>
      <c r="GN6" s="743"/>
      <c r="GO6" s="743"/>
      <c r="GP6" s="743"/>
      <c r="GQ6" s="743"/>
      <c r="GR6" s="743"/>
      <c r="GS6" s="743"/>
      <c r="GT6" s="743"/>
      <c r="GU6" s="743"/>
      <c r="GV6" s="743"/>
      <c r="GW6" s="743"/>
      <c r="GX6" s="743"/>
      <c r="GY6" s="743"/>
      <c r="GZ6" s="743"/>
      <c r="HA6" s="743"/>
      <c r="HB6" s="743"/>
      <c r="HC6" s="743"/>
      <c r="HD6" s="743"/>
      <c r="HE6" s="743"/>
      <c r="HF6" s="743"/>
      <c r="HG6" s="743"/>
      <c r="HH6" s="743"/>
      <c r="HI6" s="743"/>
      <c r="HJ6" s="743"/>
      <c r="HK6" s="743"/>
      <c r="HL6" s="743"/>
      <c r="HM6" s="743"/>
      <c r="HN6" s="743"/>
      <c r="HO6" s="743"/>
      <c r="HP6" s="743"/>
      <c r="HQ6" s="743"/>
      <c r="HR6" s="743"/>
    </row>
    <row r="7" spans="1:226" s="97" customFormat="1" ht="21">
      <c r="A7" s="1058" t="s">
        <v>2058</v>
      </c>
      <c r="B7" s="1058"/>
      <c r="C7" s="1058"/>
      <c r="D7" s="1058"/>
      <c r="E7" s="1058"/>
      <c r="F7" s="1058"/>
      <c r="G7" s="1058"/>
      <c r="H7" s="1058"/>
      <c r="I7" s="1058"/>
      <c r="J7" s="1058"/>
      <c r="K7" s="1058"/>
      <c r="L7" s="1058"/>
      <c r="M7" s="1058"/>
      <c r="N7" s="1058"/>
      <c r="O7" s="1058"/>
      <c r="P7" s="1058"/>
      <c r="Q7" s="1058"/>
      <c r="R7" s="1058"/>
      <c r="S7" s="1058"/>
      <c r="T7" s="1058"/>
      <c r="U7" s="1058"/>
      <c r="V7" s="1058"/>
      <c r="W7" s="1058"/>
      <c r="X7" s="1058"/>
      <c r="Y7" s="1058"/>
      <c r="Z7" s="1058"/>
      <c r="AA7" s="1058"/>
      <c r="AB7" s="1058"/>
      <c r="AC7" s="1058"/>
      <c r="AD7" s="1058"/>
      <c r="AE7" s="1058"/>
      <c r="AF7" s="1058"/>
      <c r="AG7" s="1058"/>
      <c r="AH7" s="1058"/>
      <c r="AI7" s="745"/>
      <c r="AJ7" s="746"/>
      <c r="AK7" s="745"/>
      <c r="AL7" s="745"/>
      <c r="AM7" s="745"/>
      <c r="AN7" s="745"/>
      <c r="AO7" s="745"/>
      <c r="AP7" s="745"/>
      <c r="AQ7" s="745"/>
      <c r="AR7" s="745"/>
      <c r="AS7" s="745"/>
      <c r="AT7" s="745"/>
      <c r="AU7" s="745"/>
      <c r="AV7" s="745"/>
      <c r="AW7" s="745"/>
      <c r="AX7" s="745"/>
      <c r="AY7" s="745"/>
      <c r="AZ7" s="745"/>
      <c r="BA7" s="745"/>
      <c r="BB7" s="745"/>
      <c r="BC7" s="745"/>
      <c r="BD7" s="745"/>
      <c r="BE7" s="745"/>
      <c r="BF7" s="745"/>
      <c r="BG7" s="745"/>
      <c r="BH7" s="745"/>
      <c r="BI7" s="745"/>
      <c r="BJ7" s="745"/>
      <c r="BK7" s="745"/>
      <c r="BL7" s="745"/>
      <c r="BM7" s="745"/>
      <c r="BN7" s="745"/>
      <c r="BO7" s="745"/>
      <c r="BP7" s="745"/>
      <c r="BQ7" s="745"/>
      <c r="BR7" s="745"/>
      <c r="BS7" s="745"/>
      <c r="BT7" s="745"/>
      <c r="BU7" s="745"/>
      <c r="BV7" s="745"/>
      <c r="BW7" s="745"/>
      <c r="BX7" s="745"/>
      <c r="BY7" s="745"/>
      <c r="BZ7" s="745"/>
      <c r="CA7" s="745"/>
      <c r="CB7" s="745"/>
      <c r="CC7" s="745"/>
      <c r="CD7" s="745"/>
      <c r="CE7" s="745"/>
      <c r="CF7" s="745"/>
      <c r="CG7" s="745"/>
      <c r="CH7" s="745"/>
      <c r="CI7" s="745"/>
      <c r="CJ7" s="745"/>
      <c r="CK7" s="745"/>
      <c r="CL7" s="745"/>
      <c r="CM7" s="745"/>
      <c r="CN7" s="745"/>
      <c r="CO7" s="745"/>
      <c r="CP7" s="745"/>
      <c r="CQ7" s="745"/>
      <c r="CR7" s="745"/>
      <c r="CS7" s="745"/>
      <c r="CT7" s="745"/>
      <c r="CU7" s="745"/>
      <c r="CV7" s="745"/>
      <c r="CW7" s="745"/>
      <c r="CX7" s="745"/>
      <c r="CY7" s="745"/>
      <c r="CZ7" s="745"/>
      <c r="DA7" s="745"/>
      <c r="DB7" s="745"/>
      <c r="DC7" s="745"/>
      <c r="DD7" s="745"/>
      <c r="DE7" s="745"/>
      <c r="DF7" s="745"/>
      <c r="DG7" s="745"/>
      <c r="DH7" s="745"/>
      <c r="DI7" s="745"/>
      <c r="DJ7" s="745"/>
      <c r="DK7" s="745"/>
      <c r="DL7" s="745"/>
      <c r="DM7" s="745"/>
      <c r="DN7" s="745"/>
      <c r="DO7" s="745"/>
      <c r="DP7" s="745"/>
      <c r="DQ7" s="745"/>
      <c r="DR7" s="745"/>
      <c r="DS7" s="745"/>
      <c r="DT7" s="745"/>
      <c r="DU7" s="745"/>
      <c r="DV7" s="745"/>
      <c r="DW7" s="745"/>
      <c r="DX7" s="745"/>
      <c r="DY7" s="745"/>
      <c r="DZ7" s="745"/>
      <c r="EA7" s="745"/>
      <c r="EB7" s="745"/>
      <c r="EC7" s="745"/>
      <c r="ED7" s="745"/>
      <c r="EE7" s="745"/>
      <c r="EF7" s="745"/>
      <c r="EG7" s="745"/>
      <c r="EH7" s="745"/>
      <c r="EI7" s="745"/>
      <c r="EJ7" s="745"/>
      <c r="EK7" s="745"/>
      <c r="EL7" s="745"/>
      <c r="EM7" s="745"/>
      <c r="EN7" s="745"/>
      <c r="EO7" s="745"/>
      <c r="EP7" s="745"/>
      <c r="EQ7" s="745"/>
      <c r="ER7" s="745"/>
      <c r="ES7" s="745"/>
      <c r="ET7" s="745"/>
      <c r="EU7" s="745"/>
      <c r="EV7" s="745"/>
      <c r="EW7" s="745"/>
      <c r="EX7" s="745"/>
      <c r="EY7" s="745"/>
      <c r="EZ7" s="745"/>
      <c r="FA7" s="745"/>
      <c r="FB7" s="745"/>
      <c r="FC7" s="745"/>
      <c r="FD7" s="745"/>
      <c r="FE7" s="745"/>
      <c r="FF7" s="745"/>
      <c r="FG7" s="745"/>
      <c r="FH7" s="745"/>
      <c r="FI7" s="745"/>
      <c r="FJ7" s="745"/>
      <c r="FK7" s="745"/>
      <c r="FL7" s="745"/>
      <c r="FM7" s="745"/>
      <c r="FN7" s="745"/>
      <c r="FO7" s="745"/>
      <c r="FP7" s="745"/>
      <c r="FQ7" s="745"/>
      <c r="FR7" s="745"/>
      <c r="FS7" s="745"/>
      <c r="FT7" s="745"/>
      <c r="FU7" s="745"/>
      <c r="FV7" s="745"/>
      <c r="FW7" s="745"/>
      <c r="FX7" s="745"/>
      <c r="FY7" s="745"/>
      <c r="FZ7" s="745"/>
      <c r="GA7" s="745"/>
      <c r="GB7" s="745"/>
      <c r="GC7" s="745"/>
      <c r="GD7" s="745"/>
      <c r="GE7" s="745"/>
      <c r="GF7" s="745"/>
      <c r="GG7" s="745"/>
      <c r="GH7" s="745"/>
      <c r="GI7" s="745"/>
      <c r="GJ7" s="745"/>
      <c r="GK7" s="745"/>
      <c r="GL7" s="745"/>
      <c r="GM7" s="745"/>
      <c r="GN7" s="745"/>
      <c r="GO7" s="745"/>
      <c r="GP7" s="745"/>
      <c r="GQ7" s="745"/>
      <c r="GR7" s="745"/>
      <c r="GS7" s="745"/>
      <c r="GT7" s="745"/>
      <c r="GU7" s="745"/>
      <c r="GV7" s="745"/>
      <c r="GW7" s="745"/>
      <c r="GX7" s="745"/>
      <c r="GY7" s="745"/>
      <c r="GZ7" s="745"/>
      <c r="HA7" s="745"/>
      <c r="HB7" s="745"/>
      <c r="HC7" s="745"/>
      <c r="HD7" s="745"/>
      <c r="HE7" s="745"/>
      <c r="HF7" s="745"/>
      <c r="HG7" s="745"/>
      <c r="HH7" s="745"/>
      <c r="HI7" s="745"/>
      <c r="HJ7" s="745"/>
      <c r="HK7" s="745"/>
      <c r="HL7" s="745"/>
      <c r="HM7" s="745"/>
      <c r="HN7" s="745"/>
      <c r="HO7" s="745"/>
      <c r="HP7" s="745"/>
      <c r="HQ7" s="745"/>
      <c r="HR7" s="745"/>
    </row>
    <row r="8" spans="1:226" s="97" customFormat="1" ht="21">
      <c r="A8" s="1063" t="s">
        <v>239</v>
      </c>
      <c r="B8" s="1063"/>
      <c r="C8" s="1063"/>
      <c r="D8" s="1063"/>
      <c r="E8" s="1063"/>
      <c r="F8" s="1063"/>
      <c r="G8" s="1063"/>
      <c r="H8" s="1063"/>
      <c r="I8" s="1063"/>
      <c r="J8" s="1063"/>
      <c r="K8" s="1063"/>
      <c r="L8" s="1063"/>
      <c r="M8" s="1063"/>
      <c r="N8" s="1063"/>
      <c r="O8" s="1063"/>
      <c r="P8" s="1063"/>
      <c r="Q8" s="1063"/>
      <c r="R8" s="1063"/>
      <c r="S8" s="1063"/>
      <c r="T8" s="1063"/>
      <c r="U8" s="1063"/>
      <c r="V8" s="1063"/>
      <c r="W8" s="1063"/>
      <c r="X8" s="1063"/>
      <c r="Y8" s="1063"/>
      <c r="Z8" s="1063"/>
      <c r="AA8" s="1063"/>
      <c r="AB8" s="1063"/>
      <c r="AC8" s="1063"/>
      <c r="AD8" s="1063"/>
      <c r="AE8" s="1063"/>
      <c r="AF8" s="1063"/>
      <c r="AG8" s="1063"/>
      <c r="AH8" s="1063"/>
      <c r="AI8" s="738"/>
      <c r="AJ8" s="739"/>
    </row>
    <row r="9" spans="1:226" s="97" customFormat="1" ht="21">
      <c r="A9" s="1063" t="s">
        <v>2059</v>
      </c>
      <c r="B9" s="1063"/>
      <c r="C9" s="1063"/>
      <c r="D9" s="1063"/>
      <c r="E9" s="1063"/>
      <c r="F9" s="1063"/>
      <c r="G9" s="1063"/>
      <c r="H9" s="1063"/>
      <c r="I9" s="1063"/>
      <c r="J9" s="1063"/>
      <c r="K9" s="1063"/>
      <c r="L9" s="1063"/>
      <c r="M9" s="1063"/>
      <c r="N9" s="1063"/>
      <c r="O9" s="1063"/>
      <c r="P9" s="1063"/>
      <c r="Q9" s="1063"/>
      <c r="R9" s="1063"/>
      <c r="S9" s="1063"/>
      <c r="T9" s="1063"/>
      <c r="U9" s="1063"/>
      <c r="V9" s="1063"/>
      <c r="W9" s="1063"/>
      <c r="X9" s="1063"/>
      <c r="Y9" s="1063"/>
      <c r="Z9" s="1063"/>
      <c r="AA9" s="1063"/>
      <c r="AB9" s="1063"/>
      <c r="AC9" s="1063"/>
      <c r="AD9" s="1063"/>
      <c r="AE9" s="1063"/>
      <c r="AF9" s="1063"/>
      <c r="AG9" s="1063"/>
      <c r="AH9" s="1063"/>
      <c r="AI9" s="747"/>
      <c r="AJ9" s="748"/>
    </row>
    <row r="10" spans="1:226" s="98" customFormat="1" ht="6.6" customHeight="1" thickBot="1">
      <c r="A10" s="749"/>
      <c r="B10" s="749"/>
      <c r="C10" s="749"/>
      <c r="D10" s="749"/>
      <c r="E10" s="749"/>
      <c r="F10" s="749"/>
      <c r="G10" s="749"/>
      <c r="H10" s="749"/>
      <c r="I10" s="749"/>
      <c r="J10" s="749"/>
      <c r="K10" s="749"/>
      <c r="L10" s="749"/>
      <c r="M10" s="852"/>
      <c r="N10" s="750"/>
      <c r="O10" s="750"/>
      <c r="P10" s="852"/>
      <c r="Q10" s="750"/>
      <c r="R10" s="750"/>
      <c r="S10" s="749"/>
      <c r="T10" s="852"/>
      <c r="U10" s="749"/>
      <c r="V10"/>
      <c r="W10" s="749"/>
      <c r="X10"/>
      <c r="Y10" s="665"/>
      <c r="Z10" s="750"/>
      <c r="AA10" s="750"/>
      <c r="AB10" s="853"/>
      <c r="AC10" s="749"/>
      <c r="AD10" s="749"/>
      <c r="AE10" s="854"/>
      <c r="AF10" s="855"/>
      <c r="AG10" s="750"/>
      <c r="AH10" s="752"/>
      <c r="AI10" s="749"/>
      <c r="AJ10" s="750"/>
    </row>
    <row r="11" spans="1:226" s="754" customFormat="1" ht="42" customHeight="1" thickTop="1">
      <c r="A11" s="1085" t="s">
        <v>2084</v>
      </c>
      <c r="B11" s="1074" t="s">
        <v>2085</v>
      </c>
      <c r="C11" s="1074"/>
      <c r="D11" s="1074"/>
      <c r="E11" s="1074" t="s">
        <v>240</v>
      </c>
      <c r="F11" s="1064" t="s">
        <v>241</v>
      </c>
      <c r="G11" s="1064"/>
      <c r="H11" s="1064"/>
      <c r="I11" s="1064"/>
      <c r="J11" s="1064"/>
      <c r="K11" s="1064"/>
      <c r="L11" s="1064"/>
      <c r="M11" s="1064"/>
      <c r="N11" s="1064"/>
      <c r="O11" s="1064"/>
      <c r="P11" s="1064"/>
      <c r="Q11" s="1064"/>
      <c r="R11" s="1064"/>
      <c r="S11" s="1064"/>
      <c r="T11" s="1064"/>
      <c r="U11" s="1064"/>
      <c r="V11" s="1064"/>
      <c r="W11" s="1064"/>
      <c r="X11" s="1064"/>
      <c r="Y11" s="1064"/>
      <c r="Z11" s="856"/>
      <c r="AA11" s="1101" t="s">
        <v>121</v>
      </c>
      <c r="AB11" s="1099" t="s">
        <v>135</v>
      </c>
      <c r="AC11" s="1099"/>
      <c r="AD11" s="1099" t="s">
        <v>115</v>
      </c>
      <c r="AE11" s="1099"/>
      <c r="AF11" s="1099"/>
      <c r="AG11" s="1066" t="s">
        <v>2086</v>
      </c>
      <c r="AH11" s="1069" t="s">
        <v>2087</v>
      </c>
      <c r="AI11" s="1098"/>
      <c r="AJ11" s="753"/>
    </row>
    <row r="12" spans="1:226" s="754" customFormat="1" ht="42.6" customHeight="1">
      <c r="A12" s="1086"/>
      <c r="B12" s="1067"/>
      <c r="C12" s="1067"/>
      <c r="D12" s="1067"/>
      <c r="E12" s="1067"/>
      <c r="F12" s="1065" t="s">
        <v>242</v>
      </c>
      <c r="G12" s="1065"/>
      <c r="H12" s="1065"/>
      <c r="I12" s="1065"/>
      <c r="J12" s="1065"/>
      <c r="K12" s="1065"/>
      <c r="L12" s="1065"/>
      <c r="M12" s="1065"/>
      <c r="N12" s="1065"/>
      <c r="O12" s="1065"/>
      <c r="P12" s="1065"/>
      <c r="Q12" s="1065"/>
      <c r="R12" s="1065"/>
      <c r="S12" s="1065"/>
      <c r="T12" s="1065"/>
      <c r="U12" s="1065"/>
      <c r="V12" s="1065"/>
      <c r="W12" s="1065"/>
      <c r="X12" s="1065"/>
      <c r="Y12" s="1065"/>
      <c r="Z12" s="857"/>
      <c r="AA12" s="1102"/>
      <c r="AB12" s="1100"/>
      <c r="AC12" s="1100"/>
      <c r="AD12" s="1100"/>
      <c r="AE12" s="1100"/>
      <c r="AF12" s="1100"/>
      <c r="AG12" s="1067"/>
      <c r="AH12" s="1070"/>
      <c r="AI12" s="1098"/>
      <c r="AJ12" s="753"/>
    </row>
    <row r="13" spans="1:226" s="754" customFormat="1" ht="60" customHeight="1">
      <c r="A13" s="1086"/>
      <c r="B13" s="1067"/>
      <c r="C13" s="1067"/>
      <c r="D13" s="1067"/>
      <c r="E13" s="1067"/>
      <c r="F13" s="1056" t="s">
        <v>243</v>
      </c>
      <c r="G13" s="1056"/>
      <c r="H13" s="1056"/>
      <c r="I13" s="1056"/>
      <c r="J13" s="1056"/>
      <c r="K13" s="1056"/>
      <c r="L13" s="858"/>
      <c r="M13" s="1056" t="s">
        <v>2074</v>
      </c>
      <c r="N13" s="1056"/>
      <c r="O13" s="858" t="s">
        <v>2075</v>
      </c>
      <c r="P13" s="1056" t="s">
        <v>244</v>
      </c>
      <c r="Q13" s="1056"/>
      <c r="R13" s="1056" t="s">
        <v>78</v>
      </c>
      <c r="S13" s="1056"/>
      <c r="T13" s="1056" t="s">
        <v>245</v>
      </c>
      <c r="U13" s="1056"/>
      <c r="V13" s="1072" t="s">
        <v>2008</v>
      </c>
      <c r="W13" s="1073"/>
      <c r="X13" s="1056" t="s">
        <v>246</v>
      </c>
      <c r="Y13" s="1056"/>
      <c r="Z13" s="1072" t="s">
        <v>120</v>
      </c>
      <c r="AA13" s="1073"/>
      <c r="AB13" s="1056" t="s">
        <v>118</v>
      </c>
      <c r="AC13" s="1056"/>
      <c r="AD13" s="1056" t="s">
        <v>114</v>
      </c>
      <c r="AE13" s="1056"/>
      <c r="AF13" s="858"/>
      <c r="AG13" s="1067"/>
      <c r="AH13" s="1070"/>
      <c r="AI13" s="1098"/>
      <c r="AJ13" s="753"/>
    </row>
    <row r="14" spans="1:226" s="99" customFormat="1" ht="84.6" customHeight="1">
      <c r="A14" s="1087"/>
      <c r="B14" s="1075"/>
      <c r="C14" s="1075"/>
      <c r="D14" s="1075"/>
      <c r="E14" s="1075"/>
      <c r="F14" s="859" t="s">
        <v>2088</v>
      </c>
      <c r="G14" s="859" t="s">
        <v>2089</v>
      </c>
      <c r="H14" s="859" t="s">
        <v>2088</v>
      </c>
      <c r="I14" s="859" t="s">
        <v>2089</v>
      </c>
      <c r="J14" s="859" t="s">
        <v>2088</v>
      </c>
      <c r="K14" s="859" t="s">
        <v>2089</v>
      </c>
      <c r="L14" s="859" t="s">
        <v>2089</v>
      </c>
      <c r="M14" s="859" t="s">
        <v>2088</v>
      </c>
      <c r="N14" s="859" t="s">
        <v>2089</v>
      </c>
      <c r="O14" s="859" t="s">
        <v>2089</v>
      </c>
      <c r="P14" s="859" t="s">
        <v>2088</v>
      </c>
      <c r="Q14" s="859" t="s">
        <v>2089</v>
      </c>
      <c r="R14" s="859" t="s">
        <v>2088</v>
      </c>
      <c r="S14" s="859" t="s">
        <v>2089</v>
      </c>
      <c r="T14" s="859" t="s">
        <v>2088</v>
      </c>
      <c r="U14" s="859" t="s">
        <v>2089</v>
      </c>
      <c r="V14" s="859" t="s">
        <v>2088</v>
      </c>
      <c r="W14" s="859" t="s">
        <v>2089</v>
      </c>
      <c r="X14" s="859" t="s">
        <v>2088</v>
      </c>
      <c r="Y14" s="859" t="s">
        <v>2089</v>
      </c>
      <c r="Z14" s="859" t="s">
        <v>2088</v>
      </c>
      <c r="AA14" s="859" t="s">
        <v>2089</v>
      </c>
      <c r="AB14" s="859" t="s">
        <v>2088</v>
      </c>
      <c r="AC14" s="859" t="s">
        <v>2089</v>
      </c>
      <c r="AD14" s="859" t="s">
        <v>2088</v>
      </c>
      <c r="AE14" s="860" t="s">
        <v>2089</v>
      </c>
      <c r="AF14" s="859" t="s">
        <v>2089</v>
      </c>
      <c r="AG14" s="1068"/>
      <c r="AH14" s="1071"/>
      <c r="AI14" s="1098"/>
      <c r="AJ14" s="753"/>
    </row>
    <row r="15" spans="1:226" s="97" customFormat="1" ht="27.6" customHeight="1">
      <c r="A15" s="1081" t="s">
        <v>247</v>
      </c>
      <c r="B15" s="1082"/>
      <c r="C15" s="1082"/>
      <c r="D15" s="1082"/>
      <c r="E15" s="861"/>
      <c r="F15" s="861"/>
      <c r="G15" s="861">
        <v>455</v>
      </c>
      <c r="H15" s="861"/>
      <c r="I15" s="861">
        <v>505</v>
      </c>
      <c r="J15" s="861"/>
      <c r="K15" s="861">
        <v>555</v>
      </c>
      <c r="L15" s="861"/>
      <c r="M15" s="1060"/>
      <c r="N15" s="1061"/>
      <c r="O15" s="862">
        <v>1000</v>
      </c>
      <c r="P15" s="863"/>
      <c r="Q15" s="864"/>
      <c r="R15" s="864"/>
      <c r="S15" s="865">
        <v>1000</v>
      </c>
      <c r="T15" s="865"/>
      <c r="U15" s="866"/>
      <c r="V15" s="1083">
        <v>0.53210000000000002</v>
      </c>
      <c r="W15" s="1084"/>
      <c r="X15" s="867"/>
      <c r="Y15" s="868"/>
      <c r="Z15" s="869">
        <v>0.28270000000000001</v>
      </c>
      <c r="AA15" s="870"/>
      <c r="AB15" s="1088">
        <v>1.2</v>
      </c>
      <c r="AC15" s="1089"/>
      <c r="AD15" s="1090">
        <v>0.71279999999999999</v>
      </c>
      <c r="AE15" s="1091"/>
      <c r="AF15" s="871"/>
      <c r="AG15" s="864"/>
      <c r="AH15" s="872"/>
      <c r="AI15" s="769"/>
      <c r="AJ15" s="770"/>
    </row>
    <row r="16" spans="1:226" s="779" customFormat="1" ht="22.2" customHeight="1">
      <c r="A16" s="1092"/>
      <c r="B16" s="1093"/>
      <c r="C16" s="1093"/>
      <c r="D16" s="1093"/>
      <c r="E16" s="873"/>
      <c r="F16" s="874"/>
      <c r="G16" s="874"/>
      <c r="H16" s="874"/>
      <c r="I16" s="874"/>
      <c r="J16" s="874"/>
      <c r="K16" s="875"/>
      <c r="L16" s="875"/>
      <c r="M16" s="876"/>
      <c r="N16" s="875"/>
      <c r="O16" s="877"/>
      <c r="P16" s="878"/>
      <c r="Q16" s="879"/>
      <c r="R16" s="875"/>
      <c r="S16" s="878"/>
      <c r="T16" s="880"/>
      <c r="U16" s="878"/>
      <c r="V16" s="878"/>
      <c r="W16" s="878"/>
      <c r="X16" s="878"/>
      <c r="Y16" s="881"/>
      <c r="Z16" s="878"/>
      <c r="AA16" s="878"/>
      <c r="AB16" s="882"/>
      <c r="AC16" s="878"/>
      <c r="AD16" s="878"/>
      <c r="AE16" s="883"/>
      <c r="AF16" s="878"/>
      <c r="AG16" s="878"/>
      <c r="AH16" s="884"/>
      <c r="AI16" t="s">
        <v>248</v>
      </c>
      <c r="AJ16" s="778"/>
    </row>
    <row r="17" spans="1:38" s="779" customFormat="1" ht="32.4" customHeight="1">
      <c r="A17" s="885">
        <v>1</v>
      </c>
      <c r="B17" s="886">
        <v>1</v>
      </c>
      <c r="C17" s="887" t="str">
        <f>'Tên thang 01-26'!E4</f>
        <v>ឆែម ហុង</v>
      </c>
      <c r="D17" s="887" t="str">
        <f>'Tên thang 01-26'!F4</f>
        <v>CHHEM HONG</v>
      </c>
      <c r="E17" s="888">
        <v>1</v>
      </c>
      <c r="F17" s="889">
        <f>'SAN LUONG'!AP9*0.44</f>
        <v>0</v>
      </c>
      <c r="G17" s="889">
        <f t="shared" ref="G17:G80" si="0">ROUND((F17*$G$15)/31947,2)</f>
        <v>0</v>
      </c>
      <c r="H17" s="889">
        <f>'SAN LUONG'!AO9*0.44</f>
        <v>0</v>
      </c>
      <c r="I17" s="889">
        <f t="shared" ref="I17:I80" si="1">ROUND((H17*$I$15)/31947,2)</f>
        <v>0</v>
      </c>
      <c r="J17" s="889">
        <f>'SAN LUONG'!AV9*0.44</f>
        <v>546.91999999999996</v>
      </c>
      <c r="K17" s="889">
        <f>ROUND((J17*$K$15)/31947,2)</f>
        <v>9.5</v>
      </c>
      <c r="L17" s="889"/>
      <c r="M17" s="881">
        <f>'CHAM CONG'!BC7</f>
        <v>15</v>
      </c>
      <c r="N17" s="889">
        <f>ROUND(M17*16000/31947,2)</f>
        <v>7.51</v>
      </c>
      <c r="O17" s="889">
        <f>ROUND(M17*1000/31947,2)</f>
        <v>0.47</v>
      </c>
      <c r="P17" s="890">
        <f>'CHAM CONG'!BO7</f>
        <v>0</v>
      </c>
      <c r="Q17" s="942">
        <f>ROUND(P17*0.0939,2)</f>
        <v>0</v>
      </c>
      <c r="R17" s="942">
        <f>'SAN LUONG'!DW9</f>
        <v>20</v>
      </c>
      <c r="S17" s="942">
        <f t="shared" ref="S17:S80" si="2">ROUND(R17*1000/31947,2)</f>
        <v>0.63</v>
      </c>
      <c r="T17" s="943">
        <f>'CHAM CONG'!BW7</f>
        <v>0</v>
      </c>
      <c r="U17" s="942">
        <f>ROUND(T17/31947,2)</f>
        <v>0</v>
      </c>
      <c r="V17" s="890">
        <f>'CHAM CONG'!BD7</f>
        <v>1</v>
      </c>
      <c r="W17" s="944">
        <f t="shared" ref="W17:W80" si="3">ROUND(V17*$V$15,2)</f>
        <v>0.53</v>
      </c>
      <c r="X17" s="891">
        <f>'CHAM CONG'!BT7</f>
        <v>0</v>
      </c>
      <c r="Y17" s="881">
        <f>ROUND(X17*1.0956,1)</f>
        <v>0</v>
      </c>
      <c r="Z17" s="892">
        <v>6.03</v>
      </c>
      <c r="AA17" s="942">
        <f t="shared" ref="AA17:AA48" si="4">ROUND(Z17*$Z$15,2)+0.01</f>
        <v>1.71</v>
      </c>
      <c r="AB17" s="892">
        <v>6.03</v>
      </c>
      <c r="AC17" s="942">
        <f>ROUND(AB17*$AB$15,2)</f>
        <v>7.24</v>
      </c>
      <c r="AD17" s="892">
        <v>6.03</v>
      </c>
      <c r="AE17" s="942">
        <f>ROUND(AD17*$AD$15,2)</f>
        <v>4.3</v>
      </c>
      <c r="AF17" s="943" t="e">
        <f>ROUND(#REF!*#REF!,2)</f>
        <v>#REF!</v>
      </c>
      <c r="AG17" s="893">
        <f t="shared" ref="AG17:AG80" si="5">G17+I17+K17+N17+Q17+S17+U17+W17+Y17+AC17+AE17+O17+AA17</f>
        <v>31.889999999999997</v>
      </c>
      <c r="AH17" s="894"/>
      <c r="AI17" s="895">
        <v>27.55</v>
      </c>
      <c r="AJ17" s="791">
        <v>25.540000000000003</v>
      </c>
      <c r="AK17" s="896">
        <f>ROUND(AI17-AJ17,0)</f>
        <v>2</v>
      </c>
      <c r="AL17" s="896"/>
    </row>
    <row r="18" spans="1:38" s="779" customFormat="1" ht="32.4" customHeight="1">
      <c r="A18" s="885">
        <v>2</v>
      </c>
      <c r="B18" s="886">
        <v>1</v>
      </c>
      <c r="C18" s="887" t="str">
        <f>'Tên thang 01-26'!E5</f>
        <v>សុទ្ធ សីថា</v>
      </c>
      <c r="D18" s="887" t="str">
        <f>'Tên thang 01-26'!F5</f>
        <v>SOT SEYTHA</v>
      </c>
      <c r="E18" s="888">
        <v>2</v>
      </c>
      <c r="F18" s="889">
        <f>'SAN LUONG'!AP10*0.44</f>
        <v>0</v>
      </c>
      <c r="G18" s="889">
        <f t="shared" si="0"/>
        <v>0</v>
      </c>
      <c r="H18" s="889">
        <f>'SAN LUONG'!AO10*0.44</f>
        <v>0</v>
      </c>
      <c r="I18" s="889">
        <f t="shared" si="1"/>
        <v>0</v>
      </c>
      <c r="J18" s="889">
        <f>'SAN LUONG'!AV10*0.44</f>
        <v>509.96</v>
      </c>
      <c r="K18" s="889">
        <f t="shared" ref="K18:K81" si="6">ROUND((J18*$K$15)/31947,2)</f>
        <v>8.86</v>
      </c>
      <c r="L18" s="889"/>
      <c r="M18" s="881">
        <f>'CHAM CONG'!BC8</f>
        <v>14</v>
      </c>
      <c r="N18" s="889">
        <f t="shared" ref="N18:N81" si="7">ROUND(M18*16000/31947,2)</f>
        <v>7.01</v>
      </c>
      <c r="O18" s="889">
        <f t="shared" ref="O18:O81" si="8">ROUND(M18*1000/31947,2)</f>
        <v>0.44</v>
      </c>
      <c r="P18" s="890">
        <f>'CHAM CONG'!BO8</f>
        <v>27</v>
      </c>
      <c r="Q18" s="942">
        <f t="shared" ref="Q18:Q81" si="9">ROUND(P18*0.0939,2)</f>
        <v>2.54</v>
      </c>
      <c r="R18" s="942">
        <f>'SAN LUONG'!DW10</f>
        <v>15</v>
      </c>
      <c r="S18" s="942">
        <f t="shared" si="2"/>
        <v>0.47</v>
      </c>
      <c r="T18" s="943">
        <f>'CHAM CONG'!BW8</f>
        <v>0</v>
      </c>
      <c r="U18" s="942">
        <f t="shared" ref="U18:U81" si="10">ROUND(T18/31947,2)</f>
        <v>0</v>
      </c>
      <c r="V18" s="890">
        <f>'CHAM CONG'!BD8</f>
        <v>1</v>
      </c>
      <c r="W18" s="944">
        <f t="shared" si="3"/>
        <v>0.53</v>
      </c>
      <c r="X18" s="891">
        <f>'CHAM CONG'!BT8</f>
        <v>1</v>
      </c>
      <c r="Y18" s="881">
        <f t="shared" ref="Y18:Y81" si="11">ROUND(X18*1.0956,1)</f>
        <v>1.1000000000000001</v>
      </c>
      <c r="Z18" s="892">
        <v>6.03</v>
      </c>
      <c r="AA18" s="942">
        <f t="shared" si="4"/>
        <v>1.71</v>
      </c>
      <c r="AB18" s="892">
        <v>6.03</v>
      </c>
      <c r="AC18" s="942">
        <f t="shared" ref="AC18:AC81" si="12">ROUND(AB18*$AB$15,2)</f>
        <v>7.24</v>
      </c>
      <c r="AD18" s="892">
        <v>6.03</v>
      </c>
      <c r="AE18" s="942">
        <f t="shared" ref="AE18:AE81" si="13">ROUND(AD18*$AD$15,2)</f>
        <v>4.3</v>
      </c>
      <c r="AF18" s="943" t="e">
        <f>#N/A</f>
        <v>#N/A</v>
      </c>
      <c r="AG18" s="893">
        <f t="shared" si="5"/>
        <v>34.199999999999996</v>
      </c>
      <c r="AH18" s="894"/>
      <c r="AI18" s="895">
        <v>28.28</v>
      </c>
      <c r="AJ18" s="791">
        <v>26.270000000000003</v>
      </c>
      <c r="AK18" s="896">
        <f t="shared" ref="AK18:AK81" si="14">ROUND(AI18-AJ18,0)</f>
        <v>2</v>
      </c>
      <c r="AL18" s="896"/>
    </row>
    <row r="19" spans="1:38" s="779" customFormat="1" ht="32.4" customHeight="1">
      <c r="A19" s="885">
        <v>3</v>
      </c>
      <c r="B19" s="886">
        <v>1</v>
      </c>
      <c r="C19" s="887" t="str">
        <f>'Tên thang 01-26'!E6</f>
        <v>រ៉ន ចាន់រាជ</v>
      </c>
      <c r="D19" s="887" t="str">
        <f>'Tên thang 01-26'!F6</f>
        <v>RORN CHANREACH</v>
      </c>
      <c r="E19" s="888">
        <v>3</v>
      </c>
      <c r="F19" s="889">
        <f>'SAN LUONG'!AP11*0.44</f>
        <v>0</v>
      </c>
      <c r="G19" s="889">
        <f t="shared" si="0"/>
        <v>0</v>
      </c>
      <c r="H19" s="889">
        <f>'SAN LUONG'!AO11*0.44</f>
        <v>0</v>
      </c>
      <c r="I19" s="889">
        <f t="shared" si="1"/>
        <v>0</v>
      </c>
      <c r="J19" s="889">
        <f>'SAN LUONG'!AV11*0.44</f>
        <v>617.32000000000005</v>
      </c>
      <c r="K19" s="889">
        <f t="shared" si="6"/>
        <v>10.72</v>
      </c>
      <c r="L19" s="889"/>
      <c r="M19" s="881">
        <f>'CHAM CONG'!BC9</f>
        <v>14</v>
      </c>
      <c r="N19" s="889">
        <f t="shared" si="7"/>
        <v>7.01</v>
      </c>
      <c r="O19" s="889">
        <f t="shared" si="8"/>
        <v>0.44</v>
      </c>
      <c r="P19" s="890">
        <f>'CHAM CONG'!BO9</f>
        <v>28</v>
      </c>
      <c r="Q19" s="942">
        <f t="shared" si="9"/>
        <v>2.63</v>
      </c>
      <c r="R19" s="942">
        <f>'SAN LUONG'!DW11</f>
        <v>36</v>
      </c>
      <c r="S19" s="942">
        <f t="shared" si="2"/>
        <v>1.1299999999999999</v>
      </c>
      <c r="T19" s="943">
        <f>'CHAM CONG'!BW9</f>
        <v>0</v>
      </c>
      <c r="U19" s="942">
        <f t="shared" si="10"/>
        <v>0</v>
      </c>
      <c r="V19" s="890">
        <f>'CHAM CONG'!BD9</f>
        <v>1</v>
      </c>
      <c r="W19" s="944">
        <f t="shared" si="3"/>
        <v>0.53</v>
      </c>
      <c r="X19" s="891">
        <f>'CHAM CONG'!BT9</f>
        <v>1</v>
      </c>
      <c r="Y19" s="881">
        <f t="shared" si="11"/>
        <v>1.1000000000000001</v>
      </c>
      <c r="Z19" s="892">
        <v>6.03</v>
      </c>
      <c r="AA19" s="942">
        <f t="shared" si="4"/>
        <v>1.71</v>
      </c>
      <c r="AB19" s="892">
        <v>6.03</v>
      </c>
      <c r="AC19" s="942">
        <f t="shared" si="12"/>
        <v>7.24</v>
      </c>
      <c r="AD19" s="892">
        <v>6.03</v>
      </c>
      <c r="AE19" s="942">
        <f t="shared" si="13"/>
        <v>4.3</v>
      </c>
      <c r="AF19" s="943" t="e">
        <f>#N/A</f>
        <v>#N/A</v>
      </c>
      <c r="AG19" s="893">
        <f t="shared" si="5"/>
        <v>36.809999999999995</v>
      </c>
      <c r="AH19" s="894"/>
      <c r="AI19" s="895">
        <v>32.409999999999997</v>
      </c>
      <c r="AJ19" s="791">
        <v>30.400000000000006</v>
      </c>
      <c r="AK19" s="896">
        <f t="shared" si="14"/>
        <v>2</v>
      </c>
      <c r="AL19" s="896"/>
    </row>
    <row r="20" spans="1:38" s="779" customFormat="1" ht="32.4" customHeight="1">
      <c r="A20" s="885">
        <v>4</v>
      </c>
      <c r="B20" s="886">
        <v>1</v>
      </c>
      <c r="C20" s="887" t="str">
        <f>'Tên thang 01-26'!E7</f>
        <v>ណំ ធីងធីង</v>
      </c>
      <c r="D20" s="887" t="str">
        <f>'Tên thang 01-26'!F7</f>
        <v>NON THING THING</v>
      </c>
      <c r="E20" s="888">
        <v>4</v>
      </c>
      <c r="F20" s="889">
        <f>'SAN LUONG'!AP12*0.44</f>
        <v>0</v>
      </c>
      <c r="G20" s="889">
        <f t="shared" si="0"/>
        <v>0</v>
      </c>
      <c r="H20" s="889">
        <f>'SAN LUONG'!AO12*0.44</f>
        <v>0</v>
      </c>
      <c r="I20" s="889">
        <f t="shared" si="1"/>
        <v>0</v>
      </c>
      <c r="J20" s="889">
        <f>'SAN LUONG'!AV12*0.44</f>
        <v>511.72</v>
      </c>
      <c r="K20" s="889">
        <f t="shared" si="6"/>
        <v>8.89</v>
      </c>
      <c r="L20" s="889"/>
      <c r="M20" s="881">
        <f>'CHAM CONG'!BC10</f>
        <v>14</v>
      </c>
      <c r="N20" s="889">
        <f t="shared" si="7"/>
        <v>7.01</v>
      </c>
      <c r="O20" s="889">
        <f t="shared" si="8"/>
        <v>0.44</v>
      </c>
      <c r="P20" s="890">
        <f>'CHAM CONG'!BO10</f>
        <v>27</v>
      </c>
      <c r="Q20" s="942">
        <f t="shared" si="9"/>
        <v>2.54</v>
      </c>
      <c r="R20" s="942">
        <f>'SAN LUONG'!DW12</f>
        <v>14</v>
      </c>
      <c r="S20" s="942">
        <f t="shared" si="2"/>
        <v>0.44</v>
      </c>
      <c r="T20" s="943">
        <f>'CHAM CONG'!BW10</f>
        <v>0</v>
      </c>
      <c r="U20" s="942">
        <f t="shared" si="10"/>
        <v>0</v>
      </c>
      <c r="V20" s="890">
        <f>'CHAM CONG'!BD10</f>
        <v>1</v>
      </c>
      <c r="W20" s="944">
        <f t="shared" si="3"/>
        <v>0.53</v>
      </c>
      <c r="X20" s="891">
        <f>'CHAM CONG'!BT10</f>
        <v>1</v>
      </c>
      <c r="Y20" s="881">
        <f t="shared" si="11"/>
        <v>1.1000000000000001</v>
      </c>
      <c r="Z20" s="892">
        <v>6.03</v>
      </c>
      <c r="AA20" s="942">
        <f t="shared" si="4"/>
        <v>1.71</v>
      </c>
      <c r="AB20" s="892">
        <v>6.03</v>
      </c>
      <c r="AC20" s="942">
        <f t="shared" si="12"/>
        <v>7.24</v>
      </c>
      <c r="AD20" s="892">
        <v>6.03</v>
      </c>
      <c r="AE20" s="942">
        <f t="shared" si="13"/>
        <v>4.3</v>
      </c>
      <c r="AF20" s="943" t="e">
        <f>#N/A</f>
        <v>#N/A</v>
      </c>
      <c r="AG20" s="893">
        <f t="shared" si="5"/>
        <v>34.200000000000003</v>
      </c>
      <c r="AH20" s="894"/>
      <c r="AI20" s="895">
        <v>30.03</v>
      </c>
      <c r="AJ20" s="791">
        <v>27.400000000000002</v>
      </c>
      <c r="AK20" s="896">
        <f t="shared" si="14"/>
        <v>3</v>
      </c>
      <c r="AL20" s="896"/>
    </row>
    <row r="21" spans="1:38" s="779" customFormat="1" ht="32.4" customHeight="1">
      <c r="A21" s="885">
        <v>5</v>
      </c>
      <c r="B21" s="886">
        <v>1</v>
      </c>
      <c r="C21" s="887" t="str">
        <f>'Tên thang 01-26'!E8</f>
        <v>វ៉ាន់ បូរ៉ុង</v>
      </c>
      <c r="D21" s="887" t="str">
        <f>'Tên thang 01-26'!F8</f>
        <v>VANN BORONG</v>
      </c>
      <c r="E21" s="888">
        <v>5</v>
      </c>
      <c r="F21" s="889">
        <f>'SAN LUONG'!AP13*0.44</f>
        <v>0</v>
      </c>
      <c r="G21" s="889">
        <f t="shared" si="0"/>
        <v>0</v>
      </c>
      <c r="H21" s="889">
        <f>'SAN LUONG'!AO13*0.44</f>
        <v>0</v>
      </c>
      <c r="I21" s="889">
        <f t="shared" si="1"/>
        <v>0</v>
      </c>
      <c r="J21" s="889">
        <f>'SAN LUONG'!AV13*0.44</f>
        <v>744.92</v>
      </c>
      <c r="K21" s="889">
        <f t="shared" si="6"/>
        <v>12.94</v>
      </c>
      <c r="L21" s="889"/>
      <c r="M21" s="881">
        <f>'CHAM CONG'!BC11</f>
        <v>16</v>
      </c>
      <c r="N21" s="889">
        <f t="shared" si="7"/>
        <v>8.01</v>
      </c>
      <c r="O21" s="889">
        <f t="shared" si="8"/>
        <v>0.5</v>
      </c>
      <c r="P21" s="890">
        <f>'CHAM CONG'!BO11</f>
        <v>30</v>
      </c>
      <c r="Q21" s="942">
        <f t="shared" si="9"/>
        <v>2.82</v>
      </c>
      <c r="R21" s="942">
        <f>'SAN LUONG'!DW13</f>
        <v>58</v>
      </c>
      <c r="S21" s="942">
        <f t="shared" si="2"/>
        <v>1.82</v>
      </c>
      <c r="T21" s="943">
        <f>'CHAM CONG'!BW11</f>
        <v>0</v>
      </c>
      <c r="U21" s="942">
        <f t="shared" si="10"/>
        <v>0</v>
      </c>
      <c r="V21" s="890">
        <f>'CHAM CONG'!BD11</f>
        <v>1</v>
      </c>
      <c r="W21" s="944">
        <f t="shared" si="3"/>
        <v>0.53</v>
      </c>
      <c r="X21" s="891">
        <f>'CHAM CONG'!BT11</f>
        <v>1</v>
      </c>
      <c r="Y21" s="881">
        <f t="shared" si="11"/>
        <v>1.1000000000000001</v>
      </c>
      <c r="Z21" s="892">
        <v>6.03</v>
      </c>
      <c r="AA21" s="942">
        <f t="shared" si="4"/>
        <v>1.71</v>
      </c>
      <c r="AB21" s="892">
        <v>6.03</v>
      </c>
      <c r="AC21" s="942">
        <f t="shared" si="12"/>
        <v>7.24</v>
      </c>
      <c r="AD21" s="892">
        <v>6.03</v>
      </c>
      <c r="AE21" s="942">
        <f t="shared" si="13"/>
        <v>4.3</v>
      </c>
      <c r="AF21" s="943" t="e">
        <f>#N/A</f>
        <v>#N/A</v>
      </c>
      <c r="AG21" s="893">
        <f t="shared" si="5"/>
        <v>40.97</v>
      </c>
      <c r="AH21" s="894"/>
      <c r="AI21" s="895">
        <v>11.61</v>
      </c>
      <c r="AJ21" s="791">
        <v>11.62</v>
      </c>
      <c r="AK21" s="896">
        <f t="shared" si="14"/>
        <v>0</v>
      </c>
      <c r="AL21" s="896"/>
    </row>
    <row r="22" spans="1:38" s="779" customFormat="1" ht="32.4" customHeight="1">
      <c r="A22" s="885">
        <v>6</v>
      </c>
      <c r="B22" s="886">
        <v>1</v>
      </c>
      <c r="C22" s="887" t="str">
        <f>'Tên thang 01-26'!E9</f>
        <v>យឿង សុខជា</v>
      </c>
      <c r="D22" s="887" t="str">
        <f>'Tên thang 01-26'!F9</f>
        <v>YOEUNG SOKCHEA</v>
      </c>
      <c r="E22" s="888">
        <v>6</v>
      </c>
      <c r="F22" s="889">
        <f>'SAN LUONG'!AP14*0.44</f>
        <v>0</v>
      </c>
      <c r="G22" s="889">
        <f t="shared" si="0"/>
        <v>0</v>
      </c>
      <c r="H22" s="889">
        <f>'SAN LUONG'!AO14*0.44</f>
        <v>0</v>
      </c>
      <c r="I22" s="889">
        <f t="shared" si="1"/>
        <v>0</v>
      </c>
      <c r="J22" s="889">
        <f>'SAN LUONG'!AV14*0.44</f>
        <v>653.84</v>
      </c>
      <c r="K22" s="889">
        <f t="shared" si="6"/>
        <v>11.36</v>
      </c>
      <c r="L22" s="889"/>
      <c r="M22" s="881">
        <f>'CHAM CONG'!BC12</f>
        <v>14</v>
      </c>
      <c r="N22" s="889">
        <f t="shared" si="7"/>
        <v>7.01</v>
      </c>
      <c r="O22" s="889">
        <f t="shared" si="8"/>
        <v>0.44</v>
      </c>
      <c r="P22" s="890">
        <f>'CHAM CONG'!BO12</f>
        <v>27</v>
      </c>
      <c r="Q22" s="942">
        <f t="shared" si="9"/>
        <v>2.54</v>
      </c>
      <c r="R22" s="942">
        <f>'SAN LUONG'!DW14</f>
        <v>27</v>
      </c>
      <c r="S22" s="942">
        <f t="shared" si="2"/>
        <v>0.85</v>
      </c>
      <c r="T22" s="943">
        <f>'CHAM CONG'!BW12</f>
        <v>0</v>
      </c>
      <c r="U22" s="942">
        <f t="shared" si="10"/>
        <v>0</v>
      </c>
      <c r="V22" s="890">
        <f>'CHAM CONG'!BD12</f>
        <v>1</v>
      </c>
      <c r="W22" s="944">
        <f t="shared" si="3"/>
        <v>0.53</v>
      </c>
      <c r="X22" s="891">
        <f>'CHAM CONG'!BT12</f>
        <v>1</v>
      </c>
      <c r="Y22" s="881">
        <f t="shared" si="11"/>
        <v>1.1000000000000001</v>
      </c>
      <c r="Z22" s="892">
        <v>6.03</v>
      </c>
      <c r="AA22" s="942">
        <f t="shared" si="4"/>
        <v>1.71</v>
      </c>
      <c r="AB22" s="892">
        <v>6.03</v>
      </c>
      <c r="AC22" s="942">
        <f t="shared" si="12"/>
        <v>7.24</v>
      </c>
      <c r="AD22" s="892">
        <v>6.03</v>
      </c>
      <c r="AE22" s="942">
        <f t="shared" si="13"/>
        <v>4.3</v>
      </c>
      <c r="AF22" s="943" t="e">
        <f>#N/A</f>
        <v>#N/A</v>
      </c>
      <c r="AG22" s="893">
        <f t="shared" si="5"/>
        <v>37.08</v>
      </c>
      <c r="AH22" s="894"/>
      <c r="AI22" s="895">
        <v>29.06</v>
      </c>
      <c r="AJ22" s="791">
        <v>27.050000000000004</v>
      </c>
      <c r="AK22" s="896">
        <f t="shared" si="14"/>
        <v>2</v>
      </c>
      <c r="AL22" s="896"/>
    </row>
    <row r="23" spans="1:38" s="779" customFormat="1" ht="32.4" customHeight="1">
      <c r="A23" s="885">
        <v>7</v>
      </c>
      <c r="B23" s="886">
        <v>1</v>
      </c>
      <c r="C23" s="887" t="str">
        <f>'Tên thang 01-26'!E10</f>
        <v>អួន សុភាព</v>
      </c>
      <c r="D23" s="887" t="str">
        <f>'Tên thang 01-26'!F10</f>
        <v>OURN SOPHEAP</v>
      </c>
      <c r="E23" s="888">
        <v>7</v>
      </c>
      <c r="F23" s="889">
        <f>'SAN LUONG'!AP15*0.44</f>
        <v>0</v>
      </c>
      <c r="G23" s="889">
        <f t="shared" si="0"/>
        <v>0</v>
      </c>
      <c r="H23" s="889">
        <f>'SAN LUONG'!AO15*0.44</f>
        <v>0</v>
      </c>
      <c r="I23" s="889">
        <f t="shared" si="1"/>
        <v>0</v>
      </c>
      <c r="J23" s="889">
        <f>'SAN LUONG'!AV15*0.44</f>
        <v>539.44000000000005</v>
      </c>
      <c r="K23" s="889">
        <f t="shared" si="6"/>
        <v>9.3699999999999992</v>
      </c>
      <c r="L23" s="889"/>
      <c r="M23" s="881">
        <f>'CHAM CONG'!BC13</f>
        <v>14</v>
      </c>
      <c r="N23" s="889">
        <f t="shared" si="7"/>
        <v>7.01</v>
      </c>
      <c r="O23" s="889">
        <f t="shared" si="8"/>
        <v>0.44</v>
      </c>
      <c r="P23" s="890">
        <f>'CHAM CONG'!BO13</f>
        <v>26</v>
      </c>
      <c r="Q23" s="942">
        <f t="shared" si="9"/>
        <v>2.44</v>
      </c>
      <c r="R23" s="942">
        <f>'SAN LUONG'!DW15</f>
        <v>15</v>
      </c>
      <c r="S23" s="942">
        <f t="shared" si="2"/>
        <v>0.47</v>
      </c>
      <c r="T23" s="943">
        <f>'CHAM CONG'!BW13</f>
        <v>0</v>
      </c>
      <c r="U23" s="942">
        <f t="shared" si="10"/>
        <v>0</v>
      </c>
      <c r="V23" s="890">
        <f>'CHAM CONG'!BD13</f>
        <v>1</v>
      </c>
      <c r="W23" s="944">
        <f t="shared" si="3"/>
        <v>0.53</v>
      </c>
      <c r="X23" s="891">
        <f>'CHAM CONG'!BT13</f>
        <v>1</v>
      </c>
      <c r="Y23" s="881">
        <f t="shared" si="11"/>
        <v>1.1000000000000001</v>
      </c>
      <c r="Z23" s="892">
        <v>6.03</v>
      </c>
      <c r="AA23" s="942">
        <f t="shared" si="4"/>
        <v>1.71</v>
      </c>
      <c r="AB23" s="892">
        <v>6.03</v>
      </c>
      <c r="AC23" s="942">
        <f t="shared" si="12"/>
        <v>7.24</v>
      </c>
      <c r="AD23" s="892">
        <v>6.03</v>
      </c>
      <c r="AE23" s="942">
        <f t="shared" si="13"/>
        <v>4.3</v>
      </c>
      <c r="AF23" s="897" t="e">
        <f>#N/A</f>
        <v>#N/A</v>
      </c>
      <c r="AG23" s="893">
        <f t="shared" si="5"/>
        <v>34.61</v>
      </c>
      <c r="AH23" s="894"/>
      <c r="AI23" s="895">
        <v>30.01</v>
      </c>
      <c r="AJ23" s="791">
        <v>27.990000000000002</v>
      </c>
      <c r="AK23" s="896">
        <f t="shared" si="14"/>
        <v>2</v>
      </c>
      <c r="AL23" s="896"/>
    </row>
    <row r="24" spans="1:38" s="779" customFormat="1" ht="32.4" customHeight="1">
      <c r="A24" s="885">
        <v>8</v>
      </c>
      <c r="B24" s="886">
        <v>1</v>
      </c>
      <c r="C24" s="887" t="str">
        <f>'Tên thang 01-26'!E11</f>
        <v>ភួន ភី</v>
      </c>
      <c r="D24" s="887" t="str">
        <f>'Tên thang 01-26'!F11</f>
        <v>PHUON PHY</v>
      </c>
      <c r="E24" s="888">
        <v>8</v>
      </c>
      <c r="F24" s="889">
        <f>'SAN LUONG'!AP16*0.44</f>
        <v>0</v>
      </c>
      <c r="G24" s="889">
        <f t="shared" si="0"/>
        <v>0</v>
      </c>
      <c r="H24" s="889">
        <f>'SAN LUONG'!AO16*0.44</f>
        <v>0</v>
      </c>
      <c r="I24" s="889">
        <f t="shared" si="1"/>
        <v>0</v>
      </c>
      <c r="J24" s="889">
        <f>'SAN LUONG'!AV16*0.44</f>
        <v>561.44000000000005</v>
      </c>
      <c r="K24" s="889">
        <f t="shared" si="6"/>
        <v>9.75</v>
      </c>
      <c r="L24" s="889"/>
      <c r="M24" s="881">
        <f>'CHAM CONG'!BC14</f>
        <v>15</v>
      </c>
      <c r="N24" s="889">
        <f t="shared" si="7"/>
        <v>7.51</v>
      </c>
      <c r="O24" s="889">
        <f t="shared" si="8"/>
        <v>0.47</v>
      </c>
      <c r="P24" s="890">
        <f>'CHAM CONG'!BO14</f>
        <v>28</v>
      </c>
      <c r="Q24" s="942">
        <f t="shared" si="9"/>
        <v>2.63</v>
      </c>
      <c r="R24" s="942">
        <f>'SAN LUONG'!DW16</f>
        <v>18</v>
      </c>
      <c r="S24" s="942">
        <f t="shared" si="2"/>
        <v>0.56000000000000005</v>
      </c>
      <c r="T24" s="943">
        <f>'CHAM CONG'!BW14</f>
        <v>0</v>
      </c>
      <c r="U24" s="942">
        <f t="shared" si="10"/>
        <v>0</v>
      </c>
      <c r="V24" s="890">
        <f>'CHAM CONG'!BD14</f>
        <v>1</v>
      </c>
      <c r="W24" s="944">
        <f t="shared" si="3"/>
        <v>0.53</v>
      </c>
      <c r="X24" s="891">
        <f>'CHAM CONG'!BT14</f>
        <v>1</v>
      </c>
      <c r="Y24" s="881">
        <f t="shared" si="11"/>
        <v>1.1000000000000001</v>
      </c>
      <c r="Z24" s="892">
        <v>6.03</v>
      </c>
      <c r="AA24" s="942">
        <f t="shared" si="4"/>
        <v>1.71</v>
      </c>
      <c r="AB24" s="892">
        <v>6.03</v>
      </c>
      <c r="AC24" s="942">
        <f t="shared" si="12"/>
        <v>7.24</v>
      </c>
      <c r="AD24" s="892">
        <v>6.03</v>
      </c>
      <c r="AE24" s="942">
        <f t="shared" si="13"/>
        <v>4.3</v>
      </c>
      <c r="AF24" s="943" t="e">
        <f>#N/A</f>
        <v>#N/A</v>
      </c>
      <c r="AG24" s="893">
        <f t="shared" si="5"/>
        <v>35.799999999999997</v>
      </c>
      <c r="AH24" s="894"/>
      <c r="AI24" s="895">
        <v>28.87</v>
      </c>
      <c r="AJ24" s="791">
        <v>26.870000000000005</v>
      </c>
      <c r="AK24" s="896">
        <f t="shared" si="14"/>
        <v>2</v>
      </c>
      <c r="AL24" s="896"/>
    </row>
    <row r="25" spans="1:38" s="779" customFormat="1" ht="32.4" customHeight="1">
      <c r="A25" s="885">
        <v>9</v>
      </c>
      <c r="B25" s="886">
        <v>1</v>
      </c>
      <c r="C25" s="887" t="str">
        <f>'Tên thang 01-26'!E12</f>
        <v>ទូ គុលា</v>
      </c>
      <c r="D25" s="887" t="str">
        <f>'Tên thang 01-26'!F12</f>
        <v>TO TOKLA</v>
      </c>
      <c r="E25" s="888">
        <v>9</v>
      </c>
      <c r="F25" s="889">
        <f>'SAN LUONG'!AP17*0.44</f>
        <v>0</v>
      </c>
      <c r="G25" s="889">
        <f t="shared" si="0"/>
        <v>0</v>
      </c>
      <c r="H25" s="889">
        <f>'SAN LUONG'!AO17*0.44</f>
        <v>0</v>
      </c>
      <c r="I25" s="889">
        <f t="shared" si="1"/>
        <v>0</v>
      </c>
      <c r="J25" s="889">
        <f>'SAN LUONG'!AV17*0.44</f>
        <v>395.12</v>
      </c>
      <c r="K25" s="889">
        <f t="shared" si="6"/>
        <v>6.86</v>
      </c>
      <c r="L25" s="889"/>
      <c r="M25" s="881">
        <f>'CHAM CONG'!BC15</f>
        <v>13</v>
      </c>
      <c r="N25" s="889">
        <f t="shared" si="7"/>
        <v>6.51</v>
      </c>
      <c r="O25" s="889">
        <f t="shared" si="8"/>
        <v>0.41</v>
      </c>
      <c r="P25" s="890">
        <f>'CHAM CONG'!BO15</f>
        <v>0</v>
      </c>
      <c r="Q25" s="942">
        <f t="shared" si="9"/>
        <v>0</v>
      </c>
      <c r="R25" s="942">
        <f>'SAN LUONG'!DW17</f>
        <v>42</v>
      </c>
      <c r="S25" s="942">
        <f t="shared" si="2"/>
        <v>1.31</v>
      </c>
      <c r="T25" s="943">
        <f>'CHAM CONG'!BW15</f>
        <v>0</v>
      </c>
      <c r="U25" s="942">
        <f t="shared" si="10"/>
        <v>0</v>
      </c>
      <c r="V25" s="890">
        <f>'CHAM CONG'!BD15</f>
        <v>1</v>
      </c>
      <c r="W25" s="944">
        <f t="shared" si="3"/>
        <v>0.53</v>
      </c>
      <c r="X25" s="891">
        <f>'CHAM CONG'!BT15</f>
        <v>0</v>
      </c>
      <c r="Y25" s="881">
        <f t="shared" si="11"/>
        <v>0</v>
      </c>
      <c r="Z25" s="892">
        <v>6.03</v>
      </c>
      <c r="AA25" s="942">
        <f t="shared" si="4"/>
        <v>1.71</v>
      </c>
      <c r="AB25" s="892">
        <v>6.03</v>
      </c>
      <c r="AC25" s="942">
        <f t="shared" si="12"/>
        <v>7.24</v>
      </c>
      <c r="AD25" s="892">
        <v>6.03</v>
      </c>
      <c r="AE25" s="942">
        <f t="shared" si="13"/>
        <v>4.3</v>
      </c>
      <c r="AF25" s="943" t="e">
        <f>#N/A</f>
        <v>#N/A</v>
      </c>
      <c r="AG25" s="893">
        <f t="shared" si="5"/>
        <v>28.870000000000005</v>
      </c>
      <c r="AH25" s="894"/>
      <c r="AI25" s="895">
        <v>27.07</v>
      </c>
      <c r="AJ25" s="791">
        <v>25.700000000000003</v>
      </c>
      <c r="AK25" s="896">
        <f t="shared" si="14"/>
        <v>1</v>
      </c>
      <c r="AL25" s="896"/>
    </row>
    <row r="26" spans="1:38" s="779" customFormat="1" ht="32.4" customHeight="1">
      <c r="A26" s="885">
        <v>10</v>
      </c>
      <c r="B26" s="886">
        <v>1</v>
      </c>
      <c r="C26" s="887" t="str">
        <f>'Tên thang 01-26'!E13</f>
        <v>ណំ សិទ្ធិ</v>
      </c>
      <c r="D26" s="887" t="str">
        <f>'Tên thang 01-26'!F13</f>
        <v>NOM SITH</v>
      </c>
      <c r="E26" s="888">
        <v>10</v>
      </c>
      <c r="F26" s="889">
        <f>'SAN LUONG'!AP18*0.44</f>
        <v>0</v>
      </c>
      <c r="G26" s="889">
        <f t="shared" si="0"/>
        <v>0</v>
      </c>
      <c r="H26" s="889">
        <f>'SAN LUONG'!AO18*0.44</f>
        <v>0</v>
      </c>
      <c r="I26" s="889">
        <f t="shared" si="1"/>
        <v>0</v>
      </c>
      <c r="J26" s="889">
        <f>'SAN LUONG'!AV18*0.44</f>
        <v>569.36</v>
      </c>
      <c r="K26" s="889">
        <f t="shared" si="6"/>
        <v>9.89</v>
      </c>
      <c r="L26" s="889"/>
      <c r="M26" s="881">
        <f>'CHAM CONG'!BC16</f>
        <v>14</v>
      </c>
      <c r="N26" s="889">
        <f t="shared" si="7"/>
        <v>7.01</v>
      </c>
      <c r="O26" s="889">
        <f t="shared" si="8"/>
        <v>0.44</v>
      </c>
      <c r="P26" s="890">
        <f>'CHAM CONG'!BO16</f>
        <v>27</v>
      </c>
      <c r="Q26" s="942">
        <f t="shared" si="9"/>
        <v>2.54</v>
      </c>
      <c r="R26" s="942">
        <f>'SAN LUONG'!DW18</f>
        <v>20</v>
      </c>
      <c r="S26" s="942">
        <f t="shared" si="2"/>
        <v>0.63</v>
      </c>
      <c r="T26" s="943">
        <f>'CHAM CONG'!BW16</f>
        <v>0</v>
      </c>
      <c r="U26" s="942">
        <f t="shared" si="10"/>
        <v>0</v>
      </c>
      <c r="V26" s="890">
        <f>'CHAM CONG'!BD16</f>
        <v>1</v>
      </c>
      <c r="W26" s="944">
        <f t="shared" si="3"/>
        <v>0.53</v>
      </c>
      <c r="X26" s="891">
        <f>'CHAM CONG'!BT16</f>
        <v>1</v>
      </c>
      <c r="Y26" s="881">
        <f t="shared" si="11"/>
        <v>1.1000000000000001</v>
      </c>
      <c r="Z26" s="892">
        <v>6.03</v>
      </c>
      <c r="AA26" s="942">
        <f t="shared" si="4"/>
        <v>1.71</v>
      </c>
      <c r="AB26" s="892">
        <v>6.03</v>
      </c>
      <c r="AC26" s="942">
        <f t="shared" si="12"/>
        <v>7.24</v>
      </c>
      <c r="AD26" s="892">
        <v>6.03</v>
      </c>
      <c r="AE26" s="942">
        <f t="shared" si="13"/>
        <v>4.3</v>
      </c>
      <c r="AF26" s="943" t="e">
        <f>#N/A</f>
        <v>#N/A</v>
      </c>
      <c r="AG26" s="893">
        <f t="shared" si="5"/>
        <v>35.389999999999993</v>
      </c>
      <c r="AH26" s="894"/>
      <c r="AI26" s="895">
        <v>30.22</v>
      </c>
      <c r="AJ26" s="791">
        <v>28.210000000000004</v>
      </c>
      <c r="AK26" s="896">
        <f t="shared" si="14"/>
        <v>2</v>
      </c>
      <c r="AL26" s="896"/>
    </row>
    <row r="27" spans="1:38" s="779" customFormat="1" ht="32.4" customHeight="1">
      <c r="A27" s="885">
        <v>11</v>
      </c>
      <c r="B27" s="886">
        <v>1</v>
      </c>
      <c r="C27" s="887" t="str">
        <f>'Tên thang 01-26'!E14</f>
        <v>ធ្លក រាន់</v>
      </c>
      <c r="D27" s="887" t="str">
        <f>'Tên thang 01-26'!F14</f>
        <v>THLOK ROIN</v>
      </c>
      <c r="E27" s="888">
        <v>11</v>
      </c>
      <c r="F27" s="889">
        <f>'SAN LUONG'!AP19*0.44</f>
        <v>0</v>
      </c>
      <c r="G27" s="889">
        <f t="shared" si="0"/>
        <v>0</v>
      </c>
      <c r="H27" s="889">
        <f>'SAN LUONG'!AO19*0.44</f>
        <v>0</v>
      </c>
      <c r="I27" s="889">
        <f t="shared" si="1"/>
        <v>0</v>
      </c>
      <c r="J27" s="889">
        <f>'SAN LUONG'!AV19*0.44</f>
        <v>572.88</v>
      </c>
      <c r="K27" s="889">
        <f t="shared" si="6"/>
        <v>9.9499999999999993</v>
      </c>
      <c r="L27" s="889"/>
      <c r="M27" s="881">
        <f>'CHAM CONG'!BC17</f>
        <v>15</v>
      </c>
      <c r="N27" s="889">
        <f t="shared" si="7"/>
        <v>7.51</v>
      </c>
      <c r="O27" s="889">
        <f t="shared" si="8"/>
        <v>0.47</v>
      </c>
      <c r="P27" s="890">
        <f>'CHAM CONG'!BO17</f>
        <v>27</v>
      </c>
      <c r="Q27" s="942">
        <f t="shared" si="9"/>
        <v>2.54</v>
      </c>
      <c r="R27" s="942">
        <f>'SAN LUONG'!DW19</f>
        <v>18</v>
      </c>
      <c r="S27" s="942">
        <f t="shared" si="2"/>
        <v>0.56000000000000005</v>
      </c>
      <c r="T27" s="943">
        <f>'CHAM CONG'!BW17</f>
        <v>0</v>
      </c>
      <c r="U27" s="942">
        <f t="shared" si="10"/>
        <v>0</v>
      </c>
      <c r="V27" s="890">
        <f>'CHAM CONG'!BD17</f>
        <v>1</v>
      </c>
      <c r="W27" s="944">
        <f t="shared" si="3"/>
        <v>0.53</v>
      </c>
      <c r="X27" s="891">
        <f>'CHAM CONG'!BT17</f>
        <v>1</v>
      </c>
      <c r="Y27" s="881">
        <f t="shared" si="11"/>
        <v>1.1000000000000001</v>
      </c>
      <c r="Z27" s="892">
        <v>6.03</v>
      </c>
      <c r="AA27" s="942">
        <f t="shared" si="4"/>
        <v>1.71</v>
      </c>
      <c r="AB27" s="892">
        <v>6.03</v>
      </c>
      <c r="AC27" s="942">
        <f t="shared" si="12"/>
        <v>7.24</v>
      </c>
      <c r="AD27" s="892">
        <v>6.03</v>
      </c>
      <c r="AE27" s="942">
        <f t="shared" si="13"/>
        <v>4.3</v>
      </c>
      <c r="AF27" s="943" t="e">
        <f>#N/A</f>
        <v>#N/A</v>
      </c>
      <c r="AG27" s="893">
        <f t="shared" si="5"/>
        <v>35.909999999999997</v>
      </c>
      <c r="AH27" s="894"/>
      <c r="AI27" s="895">
        <v>25.51</v>
      </c>
      <c r="AJ27" s="791">
        <v>24.750000000000004</v>
      </c>
      <c r="AK27" s="896">
        <f t="shared" si="14"/>
        <v>1</v>
      </c>
      <c r="AL27" s="896"/>
    </row>
    <row r="28" spans="1:38" s="779" customFormat="1" ht="32.4" customHeight="1">
      <c r="A28" s="885">
        <v>12</v>
      </c>
      <c r="B28" s="886">
        <v>1</v>
      </c>
      <c r="C28" s="887" t="str">
        <f>'Tên thang 01-26'!E15</f>
        <v>យ៉ែម ឃឿន</v>
      </c>
      <c r="D28" s="887" t="str">
        <f>'Tên thang 01-26'!F15</f>
        <v>YEM KHOEUN</v>
      </c>
      <c r="E28" s="888">
        <v>12</v>
      </c>
      <c r="F28" s="889">
        <f>'SAN LUONG'!AP20*0.44</f>
        <v>0</v>
      </c>
      <c r="G28" s="889">
        <f t="shared" si="0"/>
        <v>0</v>
      </c>
      <c r="H28" s="889">
        <f>'SAN LUONG'!AO20*0.44</f>
        <v>0</v>
      </c>
      <c r="I28" s="889">
        <f t="shared" si="1"/>
        <v>0</v>
      </c>
      <c r="J28" s="889">
        <f>'SAN LUONG'!AV20*0.44</f>
        <v>337.48</v>
      </c>
      <c r="K28" s="889">
        <f t="shared" si="6"/>
        <v>5.86</v>
      </c>
      <c r="L28" s="889"/>
      <c r="M28" s="881">
        <f>'CHAM CONG'!BC18</f>
        <v>13</v>
      </c>
      <c r="N28" s="889">
        <f t="shared" si="7"/>
        <v>6.51</v>
      </c>
      <c r="O28" s="889">
        <f t="shared" si="8"/>
        <v>0.41</v>
      </c>
      <c r="P28" s="890">
        <f>'CHAM CONG'!BO18</f>
        <v>0</v>
      </c>
      <c r="Q28" s="942">
        <f t="shared" si="9"/>
        <v>0</v>
      </c>
      <c r="R28" s="942">
        <f>'SAN LUONG'!DW20</f>
        <v>25</v>
      </c>
      <c r="S28" s="942">
        <f t="shared" si="2"/>
        <v>0.78</v>
      </c>
      <c r="T28" s="943">
        <f>'CHAM CONG'!BW18</f>
        <v>0</v>
      </c>
      <c r="U28" s="942">
        <f t="shared" si="10"/>
        <v>0</v>
      </c>
      <c r="V28" s="890">
        <f>'CHAM CONG'!BD18</f>
        <v>1</v>
      </c>
      <c r="W28" s="944">
        <f t="shared" si="3"/>
        <v>0.53</v>
      </c>
      <c r="X28" s="891">
        <f>'CHAM CONG'!BT18</f>
        <v>0</v>
      </c>
      <c r="Y28" s="881">
        <f t="shared" si="11"/>
        <v>0</v>
      </c>
      <c r="Z28" s="892">
        <v>6.03</v>
      </c>
      <c r="AA28" s="942">
        <f t="shared" si="4"/>
        <v>1.71</v>
      </c>
      <c r="AB28" s="892">
        <v>6.03</v>
      </c>
      <c r="AC28" s="942">
        <f t="shared" si="12"/>
        <v>7.24</v>
      </c>
      <c r="AD28" s="892">
        <v>6.03</v>
      </c>
      <c r="AE28" s="942">
        <f t="shared" si="13"/>
        <v>4.3</v>
      </c>
      <c r="AF28" s="943" t="e">
        <f>#N/A</f>
        <v>#N/A</v>
      </c>
      <c r="AG28" s="893">
        <f t="shared" si="5"/>
        <v>27.340000000000003</v>
      </c>
      <c r="AH28" s="894"/>
      <c r="AI28" s="895">
        <v>24.17</v>
      </c>
      <c r="AJ28" s="791">
        <v>22.17</v>
      </c>
      <c r="AK28" s="896">
        <f t="shared" si="14"/>
        <v>2</v>
      </c>
      <c r="AL28" s="896"/>
    </row>
    <row r="29" spans="1:38" s="779" customFormat="1" ht="32.4" customHeight="1">
      <c r="A29" s="885">
        <v>13</v>
      </c>
      <c r="B29" s="886">
        <v>1</v>
      </c>
      <c r="C29" s="887" t="str">
        <f>'Tên thang 01-26'!E16</f>
        <v>យឿង រ៉ាឌី</v>
      </c>
      <c r="D29" s="887" t="str">
        <f>'Tên thang 01-26'!F16</f>
        <v>YOEUNG RADIN</v>
      </c>
      <c r="E29" s="888">
        <v>13</v>
      </c>
      <c r="F29" s="889">
        <f>'SAN LUONG'!AP21*0.44</f>
        <v>0</v>
      </c>
      <c r="G29" s="889">
        <f t="shared" si="0"/>
        <v>0</v>
      </c>
      <c r="H29" s="889">
        <f>'SAN LUONG'!AO21*0.44</f>
        <v>0</v>
      </c>
      <c r="I29" s="889">
        <f t="shared" si="1"/>
        <v>0</v>
      </c>
      <c r="J29" s="889">
        <f>'SAN LUONG'!AV21*0.44</f>
        <v>657.36</v>
      </c>
      <c r="K29" s="889">
        <f t="shared" si="6"/>
        <v>11.42</v>
      </c>
      <c r="L29" s="889"/>
      <c r="M29" s="881">
        <f>'CHAM CONG'!BC19</f>
        <v>15</v>
      </c>
      <c r="N29" s="889">
        <f t="shared" si="7"/>
        <v>7.51</v>
      </c>
      <c r="O29" s="889">
        <f t="shared" si="8"/>
        <v>0.47</v>
      </c>
      <c r="P29" s="890">
        <f>'CHAM CONG'!BO19</f>
        <v>26</v>
      </c>
      <c r="Q29" s="942">
        <f t="shared" si="9"/>
        <v>2.44</v>
      </c>
      <c r="R29" s="942">
        <f>'SAN LUONG'!DW21</f>
        <v>17</v>
      </c>
      <c r="S29" s="942">
        <f t="shared" si="2"/>
        <v>0.53</v>
      </c>
      <c r="T29" s="943">
        <f>'CHAM CONG'!BW19</f>
        <v>0</v>
      </c>
      <c r="U29" s="942">
        <f t="shared" si="10"/>
        <v>0</v>
      </c>
      <c r="V29" s="890">
        <f>'CHAM CONG'!BD19</f>
        <v>1</v>
      </c>
      <c r="W29" s="944">
        <f t="shared" si="3"/>
        <v>0.53</v>
      </c>
      <c r="X29" s="891">
        <f>'CHAM CONG'!BT19</f>
        <v>1</v>
      </c>
      <c r="Y29" s="881">
        <f t="shared" si="11"/>
        <v>1.1000000000000001</v>
      </c>
      <c r="Z29" s="892">
        <v>6.03</v>
      </c>
      <c r="AA29" s="942">
        <f t="shared" si="4"/>
        <v>1.71</v>
      </c>
      <c r="AB29" s="892">
        <v>6.03</v>
      </c>
      <c r="AC29" s="942">
        <f t="shared" si="12"/>
        <v>7.24</v>
      </c>
      <c r="AD29" s="892">
        <v>6.03</v>
      </c>
      <c r="AE29" s="942">
        <f t="shared" si="13"/>
        <v>4.3</v>
      </c>
      <c r="AF29" s="943" t="e">
        <f>#N/A</f>
        <v>#N/A</v>
      </c>
      <c r="AG29" s="893">
        <f t="shared" si="5"/>
        <v>37.25</v>
      </c>
      <c r="AH29" s="894"/>
      <c r="AI29" s="895">
        <v>26.94</v>
      </c>
      <c r="AJ29" s="791">
        <v>24.940000000000005</v>
      </c>
      <c r="AK29" s="896">
        <f t="shared" si="14"/>
        <v>2</v>
      </c>
      <c r="AL29" s="896"/>
    </row>
    <row r="30" spans="1:38" s="779" customFormat="1" ht="32.4" customHeight="1">
      <c r="A30" s="885">
        <v>14</v>
      </c>
      <c r="B30" s="886">
        <v>1</v>
      </c>
      <c r="C30" s="887" t="str">
        <f>'Tên thang 01-26'!E17</f>
        <v>វ៉ាន់ បូរិទ្ធ</v>
      </c>
      <c r="D30" s="887" t="str">
        <f>'Tên thang 01-26'!F17</f>
        <v>VANN BORITH</v>
      </c>
      <c r="E30" s="888">
        <v>14</v>
      </c>
      <c r="F30" s="889">
        <f>'SAN LUONG'!AP22*0.44</f>
        <v>0</v>
      </c>
      <c r="G30" s="889">
        <f t="shared" si="0"/>
        <v>0</v>
      </c>
      <c r="H30" s="889">
        <f>'SAN LUONG'!AO22*0.44</f>
        <v>0</v>
      </c>
      <c r="I30" s="889">
        <f t="shared" si="1"/>
        <v>0</v>
      </c>
      <c r="J30" s="889">
        <f>'SAN LUONG'!AV22*0.44</f>
        <v>546.04</v>
      </c>
      <c r="K30" s="889">
        <f t="shared" si="6"/>
        <v>9.49</v>
      </c>
      <c r="L30" s="889"/>
      <c r="M30" s="881">
        <f>'CHAM CONG'!BC20</f>
        <v>15</v>
      </c>
      <c r="N30" s="889">
        <f t="shared" si="7"/>
        <v>7.51</v>
      </c>
      <c r="O30" s="889">
        <f t="shared" si="8"/>
        <v>0.47</v>
      </c>
      <c r="P30" s="890">
        <f>'CHAM CONG'!BO20</f>
        <v>0</v>
      </c>
      <c r="Q30" s="942">
        <f t="shared" si="9"/>
        <v>0</v>
      </c>
      <c r="R30" s="942">
        <f>'SAN LUONG'!DW22</f>
        <v>21</v>
      </c>
      <c r="S30" s="942">
        <f t="shared" si="2"/>
        <v>0.66</v>
      </c>
      <c r="T30" s="943">
        <f>'CHAM CONG'!BW20</f>
        <v>0</v>
      </c>
      <c r="U30" s="942">
        <f t="shared" si="10"/>
        <v>0</v>
      </c>
      <c r="V30" s="890">
        <f>'CHAM CONG'!BD20</f>
        <v>1</v>
      </c>
      <c r="W30" s="944">
        <f t="shared" si="3"/>
        <v>0.53</v>
      </c>
      <c r="X30" s="891">
        <f>'CHAM CONG'!BT20</f>
        <v>0</v>
      </c>
      <c r="Y30" s="881">
        <f t="shared" si="11"/>
        <v>0</v>
      </c>
      <c r="Z30" s="892">
        <v>6.03</v>
      </c>
      <c r="AA30" s="942">
        <f t="shared" si="4"/>
        <v>1.71</v>
      </c>
      <c r="AB30" s="892">
        <v>6.03</v>
      </c>
      <c r="AC30" s="942">
        <f t="shared" si="12"/>
        <v>7.24</v>
      </c>
      <c r="AD30" s="892">
        <v>6.03</v>
      </c>
      <c r="AE30" s="942">
        <f t="shared" si="13"/>
        <v>4.3</v>
      </c>
      <c r="AF30" s="943" t="e">
        <f>#N/A</f>
        <v>#N/A</v>
      </c>
      <c r="AG30" s="893">
        <f t="shared" si="5"/>
        <v>31.91</v>
      </c>
      <c r="AH30" s="894"/>
      <c r="AI30" s="895">
        <v>29.08</v>
      </c>
      <c r="AJ30" s="791">
        <v>27.070000000000004</v>
      </c>
      <c r="AK30" s="896">
        <f t="shared" si="14"/>
        <v>2</v>
      </c>
      <c r="AL30" s="896"/>
    </row>
    <row r="31" spans="1:38" s="779" customFormat="1" ht="32.4" customHeight="1">
      <c r="A31" s="885">
        <v>15</v>
      </c>
      <c r="B31" s="886">
        <v>1</v>
      </c>
      <c r="C31" s="887" t="str">
        <f>'Tên thang 01-26'!E18</f>
        <v>ឆែម ហ៊ាច</v>
      </c>
      <c r="D31" s="887" t="str">
        <f>'Tên thang 01-26'!F18</f>
        <v>CHHEM HEACH</v>
      </c>
      <c r="E31" s="888">
        <v>15</v>
      </c>
      <c r="F31" s="889">
        <f>'SAN LUONG'!AP23*0.44</f>
        <v>0</v>
      </c>
      <c r="G31" s="889">
        <f t="shared" si="0"/>
        <v>0</v>
      </c>
      <c r="H31" s="889">
        <f>'SAN LUONG'!AO23*0.44</f>
        <v>0</v>
      </c>
      <c r="I31" s="889">
        <f t="shared" si="1"/>
        <v>0</v>
      </c>
      <c r="J31" s="889">
        <f>'SAN LUONG'!AV23*0.44</f>
        <v>738.76</v>
      </c>
      <c r="K31" s="889">
        <f t="shared" si="6"/>
        <v>12.83</v>
      </c>
      <c r="L31" s="889"/>
      <c r="M31" s="881">
        <f>'CHAM CONG'!BC21</f>
        <v>15</v>
      </c>
      <c r="N31" s="889">
        <f t="shared" si="7"/>
        <v>7.51</v>
      </c>
      <c r="O31" s="889">
        <f t="shared" si="8"/>
        <v>0.47</v>
      </c>
      <c r="P31" s="890">
        <f>'CHAM CONG'!BO21</f>
        <v>27</v>
      </c>
      <c r="Q31" s="942">
        <f t="shared" si="9"/>
        <v>2.54</v>
      </c>
      <c r="R31" s="942">
        <f>'SAN LUONG'!DW23</f>
        <v>19</v>
      </c>
      <c r="S31" s="942">
        <f t="shared" si="2"/>
        <v>0.59</v>
      </c>
      <c r="T31" s="943">
        <f>'CHAM CONG'!BW21</f>
        <v>0</v>
      </c>
      <c r="U31" s="942">
        <f t="shared" si="10"/>
        <v>0</v>
      </c>
      <c r="V31" s="890">
        <f>'CHAM CONG'!BD21</f>
        <v>1</v>
      </c>
      <c r="W31" s="944">
        <f t="shared" si="3"/>
        <v>0.53</v>
      </c>
      <c r="X31" s="891">
        <f>'CHAM CONG'!BT21</f>
        <v>1</v>
      </c>
      <c r="Y31" s="881">
        <f t="shared" si="11"/>
        <v>1.1000000000000001</v>
      </c>
      <c r="Z31" s="892">
        <v>6.03</v>
      </c>
      <c r="AA31" s="942">
        <f t="shared" si="4"/>
        <v>1.71</v>
      </c>
      <c r="AB31" s="892">
        <v>6.03</v>
      </c>
      <c r="AC31" s="942">
        <f t="shared" si="12"/>
        <v>7.24</v>
      </c>
      <c r="AD31" s="892">
        <v>6.03</v>
      </c>
      <c r="AE31" s="942">
        <f t="shared" si="13"/>
        <v>4.3</v>
      </c>
      <c r="AF31" s="943" t="e">
        <f>#N/A</f>
        <v>#N/A</v>
      </c>
      <c r="AG31" s="893">
        <f t="shared" si="5"/>
        <v>38.82</v>
      </c>
      <c r="AH31" s="894"/>
      <c r="AI31" s="895">
        <v>30.96</v>
      </c>
      <c r="AJ31" s="791">
        <v>30.220000000000002</v>
      </c>
      <c r="AK31" s="896">
        <f t="shared" si="14"/>
        <v>1</v>
      </c>
      <c r="AL31" s="896"/>
    </row>
    <row r="32" spans="1:38" s="779" customFormat="1" ht="32.4" customHeight="1">
      <c r="A32" s="885">
        <v>16</v>
      </c>
      <c r="B32" s="886">
        <v>1</v>
      </c>
      <c r="C32" s="887" t="str">
        <f>'Tên thang 01-26'!E19</f>
        <v>ឆែម ឆុន</v>
      </c>
      <c r="D32" s="887" t="str">
        <f>'Tên thang 01-26'!F19</f>
        <v>CHHEN CHHON</v>
      </c>
      <c r="E32" s="888">
        <v>16</v>
      </c>
      <c r="F32" s="889">
        <f>'SAN LUONG'!AP24*0.44</f>
        <v>0</v>
      </c>
      <c r="G32" s="889">
        <f t="shared" si="0"/>
        <v>0</v>
      </c>
      <c r="H32" s="889">
        <f>'SAN LUONG'!AO24*0.44</f>
        <v>0</v>
      </c>
      <c r="I32" s="889">
        <f t="shared" si="1"/>
        <v>0</v>
      </c>
      <c r="J32" s="889">
        <f>'SAN LUONG'!AV24*0.44</f>
        <v>1019.48</v>
      </c>
      <c r="K32" s="889">
        <f t="shared" si="6"/>
        <v>17.71</v>
      </c>
      <c r="L32" s="889"/>
      <c r="M32" s="881">
        <f>'CHAM CONG'!BC22</f>
        <v>16</v>
      </c>
      <c r="N32" s="889">
        <f t="shared" si="7"/>
        <v>8.01</v>
      </c>
      <c r="O32" s="889">
        <f t="shared" si="8"/>
        <v>0.5</v>
      </c>
      <c r="P32" s="890">
        <f>'CHAM CONG'!BO22</f>
        <v>28</v>
      </c>
      <c r="Q32" s="942">
        <f t="shared" si="9"/>
        <v>2.63</v>
      </c>
      <c r="R32" s="942">
        <f>'SAN LUONG'!DW24</f>
        <v>40</v>
      </c>
      <c r="S32" s="942">
        <f t="shared" si="2"/>
        <v>1.25</v>
      </c>
      <c r="T32" s="943">
        <f>'CHAM CONG'!BW22</f>
        <v>0</v>
      </c>
      <c r="U32" s="942">
        <f t="shared" si="10"/>
        <v>0</v>
      </c>
      <c r="V32" s="890">
        <f>'CHAM CONG'!BD22</f>
        <v>1</v>
      </c>
      <c r="W32" s="944">
        <f t="shared" si="3"/>
        <v>0.53</v>
      </c>
      <c r="X32" s="891">
        <f>'CHAM CONG'!BT22</f>
        <v>1</v>
      </c>
      <c r="Y32" s="881">
        <f t="shared" si="11"/>
        <v>1.1000000000000001</v>
      </c>
      <c r="Z32" s="892">
        <v>6.03</v>
      </c>
      <c r="AA32" s="942">
        <f t="shared" si="4"/>
        <v>1.71</v>
      </c>
      <c r="AB32" s="892">
        <v>6.03</v>
      </c>
      <c r="AC32" s="942">
        <f t="shared" si="12"/>
        <v>7.24</v>
      </c>
      <c r="AD32" s="892">
        <v>6.03</v>
      </c>
      <c r="AE32" s="942">
        <f t="shared" si="13"/>
        <v>4.3</v>
      </c>
      <c r="AF32" s="943" t="e">
        <f>#N/A</f>
        <v>#N/A</v>
      </c>
      <c r="AG32" s="893">
        <f t="shared" si="5"/>
        <v>44.98</v>
      </c>
      <c r="AH32" s="894"/>
      <c r="AI32" s="895">
        <v>34.74</v>
      </c>
      <c r="AJ32" s="791">
        <v>32.74</v>
      </c>
      <c r="AK32" s="896">
        <f t="shared" si="14"/>
        <v>2</v>
      </c>
      <c r="AL32" s="896"/>
    </row>
    <row r="33" spans="1:38" s="779" customFormat="1" ht="32.4" customHeight="1">
      <c r="A33" s="885">
        <v>17</v>
      </c>
      <c r="B33" s="886">
        <v>1</v>
      </c>
      <c r="C33" s="887" t="str">
        <f>'Tên thang 01-26'!E20</f>
        <v>មាស សំឡូត</v>
      </c>
      <c r="D33" s="887" t="str">
        <f>'Tên thang 01-26'!F20</f>
        <v>MEAS SOMLOT</v>
      </c>
      <c r="E33" s="888">
        <v>17</v>
      </c>
      <c r="F33" s="889">
        <f>'SAN LUONG'!AP25*0.44</f>
        <v>0</v>
      </c>
      <c r="G33" s="889">
        <f t="shared" si="0"/>
        <v>0</v>
      </c>
      <c r="H33" s="889">
        <f>'SAN LUONG'!AO25*0.44</f>
        <v>0</v>
      </c>
      <c r="I33" s="889">
        <f t="shared" si="1"/>
        <v>0</v>
      </c>
      <c r="J33" s="889">
        <f>'SAN LUONG'!AV25*0.44</f>
        <v>729.52</v>
      </c>
      <c r="K33" s="889">
        <f t="shared" si="6"/>
        <v>12.67</v>
      </c>
      <c r="L33" s="889"/>
      <c r="M33" s="881">
        <f>'CHAM CONG'!BC23</f>
        <v>15</v>
      </c>
      <c r="N33" s="889">
        <f t="shared" si="7"/>
        <v>7.51</v>
      </c>
      <c r="O33" s="889">
        <f t="shared" si="8"/>
        <v>0.47</v>
      </c>
      <c r="P33" s="890">
        <f>'CHAM CONG'!BO23</f>
        <v>26</v>
      </c>
      <c r="Q33" s="942">
        <f t="shared" si="9"/>
        <v>2.44</v>
      </c>
      <c r="R33" s="942">
        <f>'SAN LUONG'!DW25</f>
        <v>24</v>
      </c>
      <c r="S33" s="942">
        <f t="shared" si="2"/>
        <v>0.75</v>
      </c>
      <c r="T33" s="943">
        <f>'CHAM CONG'!BW23</f>
        <v>0</v>
      </c>
      <c r="U33" s="942">
        <f t="shared" si="10"/>
        <v>0</v>
      </c>
      <c r="V33" s="890">
        <f>'CHAM CONG'!BD23</f>
        <v>1</v>
      </c>
      <c r="W33" s="944">
        <f t="shared" si="3"/>
        <v>0.53</v>
      </c>
      <c r="X33" s="891">
        <f>'CHAM CONG'!BT23</f>
        <v>1</v>
      </c>
      <c r="Y33" s="881">
        <f t="shared" si="11"/>
        <v>1.1000000000000001</v>
      </c>
      <c r="Z33" s="892">
        <v>6.03</v>
      </c>
      <c r="AA33" s="942">
        <f t="shared" si="4"/>
        <v>1.71</v>
      </c>
      <c r="AB33" s="892">
        <v>6.03</v>
      </c>
      <c r="AC33" s="942">
        <f t="shared" si="12"/>
        <v>7.24</v>
      </c>
      <c r="AD33" s="892">
        <v>6.03</v>
      </c>
      <c r="AE33" s="942">
        <f t="shared" si="13"/>
        <v>4.3</v>
      </c>
      <c r="AF33" s="943" t="e">
        <f>#N/A</f>
        <v>#N/A</v>
      </c>
      <c r="AG33" s="893">
        <f t="shared" si="5"/>
        <v>38.72</v>
      </c>
      <c r="AH33" s="894"/>
      <c r="AI33" s="895">
        <v>26.51</v>
      </c>
      <c r="AJ33" s="791">
        <v>24.500000000000004</v>
      </c>
      <c r="AK33" s="896">
        <f t="shared" si="14"/>
        <v>2</v>
      </c>
      <c r="AL33" s="896"/>
    </row>
    <row r="34" spans="1:38" s="779" customFormat="1" ht="32.4" customHeight="1">
      <c r="A34" s="885">
        <v>18</v>
      </c>
      <c r="B34" s="886">
        <v>1</v>
      </c>
      <c r="C34" s="887" t="str">
        <f>'Tên thang 01-26'!E21</f>
        <v>ម៉ន វិចិត្រ</v>
      </c>
      <c r="D34" s="887" t="str">
        <f>'Tên thang 01-26'!F21</f>
        <v>MORN VICHET</v>
      </c>
      <c r="E34" s="888">
        <v>18</v>
      </c>
      <c r="F34" s="889">
        <f>'SAN LUONG'!AP26*0.44</f>
        <v>0</v>
      </c>
      <c r="G34" s="889">
        <f t="shared" si="0"/>
        <v>0</v>
      </c>
      <c r="H34" s="889">
        <f>'SAN LUONG'!AO26*0.44</f>
        <v>0</v>
      </c>
      <c r="I34" s="889">
        <f t="shared" si="1"/>
        <v>0</v>
      </c>
      <c r="J34" s="889">
        <f>'SAN LUONG'!AV26*0.44</f>
        <v>654.28</v>
      </c>
      <c r="K34" s="889">
        <f t="shared" si="6"/>
        <v>11.37</v>
      </c>
      <c r="L34" s="889"/>
      <c r="M34" s="881">
        <f>'CHAM CONG'!BC24</f>
        <v>13</v>
      </c>
      <c r="N34" s="889">
        <f t="shared" si="7"/>
        <v>6.51</v>
      </c>
      <c r="O34" s="889">
        <f t="shared" si="8"/>
        <v>0.41</v>
      </c>
      <c r="P34" s="890">
        <f>'CHAM CONG'!BO24</f>
        <v>0</v>
      </c>
      <c r="Q34" s="942">
        <f t="shared" si="9"/>
        <v>0</v>
      </c>
      <c r="R34" s="942">
        <f>'SAN LUONG'!DW26</f>
        <v>34</v>
      </c>
      <c r="S34" s="942">
        <f t="shared" si="2"/>
        <v>1.06</v>
      </c>
      <c r="T34" s="943">
        <f>'CHAM CONG'!BW24</f>
        <v>0</v>
      </c>
      <c r="U34" s="942">
        <f t="shared" si="10"/>
        <v>0</v>
      </c>
      <c r="V34" s="890">
        <f>'CHAM CONG'!BD24</f>
        <v>1</v>
      </c>
      <c r="W34" s="944">
        <f t="shared" si="3"/>
        <v>0.53</v>
      </c>
      <c r="X34" s="891">
        <f>'CHAM CONG'!BT24</f>
        <v>0</v>
      </c>
      <c r="Y34" s="881">
        <f t="shared" si="11"/>
        <v>0</v>
      </c>
      <c r="Z34" s="892">
        <v>6.03</v>
      </c>
      <c r="AA34" s="942">
        <f t="shared" si="4"/>
        <v>1.71</v>
      </c>
      <c r="AB34" s="892">
        <v>6.03</v>
      </c>
      <c r="AC34" s="942">
        <f t="shared" si="12"/>
        <v>7.24</v>
      </c>
      <c r="AD34" s="892">
        <v>6.03</v>
      </c>
      <c r="AE34" s="942">
        <f t="shared" si="13"/>
        <v>4.3</v>
      </c>
      <c r="AF34" s="943" t="e">
        <f>#N/A</f>
        <v>#N/A</v>
      </c>
      <c r="AG34" s="893">
        <f t="shared" si="5"/>
        <v>33.130000000000003</v>
      </c>
      <c r="AH34" s="894"/>
      <c r="AI34" s="895">
        <v>29.82</v>
      </c>
      <c r="AJ34" s="791">
        <v>28.450000000000003</v>
      </c>
      <c r="AK34" s="896">
        <f t="shared" si="14"/>
        <v>1</v>
      </c>
      <c r="AL34" s="896"/>
    </row>
    <row r="35" spans="1:38" s="779" customFormat="1" ht="32.4" customHeight="1">
      <c r="A35" s="885">
        <v>19</v>
      </c>
      <c r="B35" s="886">
        <v>1</v>
      </c>
      <c r="C35" s="887" t="str">
        <f>'Tên thang 01-26'!E22</f>
        <v>គ្រួច គ្រីន</v>
      </c>
      <c r="D35" s="887" t="str">
        <f>'Tên thang 01-26'!F22</f>
        <v>KRUOCH KRIN</v>
      </c>
      <c r="E35" s="888">
        <v>19</v>
      </c>
      <c r="F35" s="889">
        <f>'SAN LUONG'!AP27*0.44</f>
        <v>0</v>
      </c>
      <c r="G35" s="889">
        <f t="shared" si="0"/>
        <v>0</v>
      </c>
      <c r="H35" s="889">
        <f>'SAN LUONG'!AO27*0.44</f>
        <v>0</v>
      </c>
      <c r="I35" s="889">
        <f t="shared" si="1"/>
        <v>0</v>
      </c>
      <c r="J35" s="889">
        <f>'SAN LUONG'!AV27*0.44</f>
        <v>828.08</v>
      </c>
      <c r="K35" s="889">
        <f t="shared" si="6"/>
        <v>14.39</v>
      </c>
      <c r="L35" s="889"/>
      <c r="M35" s="881">
        <f>'CHAM CONG'!BC25</f>
        <v>15</v>
      </c>
      <c r="N35" s="889">
        <f t="shared" si="7"/>
        <v>7.51</v>
      </c>
      <c r="O35" s="889">
        <f t="shared" si="8"/>
        <v>0.47</v>
      </c>
      <c r="P35" s="890">
        <f>'CHAM CONG'!BO25</f>
        <v>27</v>
      </c>
      <c r="Q35" s="942">
        <f t="shared" si="9"/>
        <v>2.54</v>
      </c>
      <c r="R35" s="942">
        <f>'SAN LUONG'!DW27</f>
        <v>21</v>
      </c>
      <c r="S35" s="942">
        <f t="shared" si="2"/>
        <v>0.66</v>
      </c>
      <c r="T35" s="943">
        <f>'CHAM CONG'!BW25</f>
        <v>0</v>
      </c>
      <c r="U35" s="942">
        <f t="shared" si="10"/>
        <v>0</v>
      </c>
      <c r="V35" s="890">
        <f>'CHAM CONG'!BD25</f>
        <v>1</v>
      </c>
      <c r="W35" s="944">
        <f t="shared" si="3"/>
        <v>0.53</v>
      </c>
      <c r="X35" s="891">
        <f>'CHAM CONG'!BT25</f>
        <v>1</v>
      </c>
      <c r="Y35" s="881">
        <f t="shared" si="11"/>
        <v>1.1000000000000001</v>
      </c>
      <c r="Z35" s="892">
        <v>6.03</v>
      </c>
      <c r="AA35" s="942">
        <f t="shared" si="4"/>
        <v>1.71</v>
      </c>
      <c r="AB35" s="892">
        <v>6.03</v>
      </c>
      <c r="AC35" s="942">
        <f t="shared" si="12"/>
        <v>7.24</v>
      </c>
      <c r="AD35" s="892">
        <v>6.03</v>
      </c>
      <c r="AE35" s="942">
        <f t="shared" si="13"/>
        <v>4.3</v>
      </c>
      <c r="AF35" s="943" t="e">
        <f>#N/A</f>
        <v>#N/A</v>
      </c>
      <c r="AG35" s="893">
        <f t="shared" si="5"/>
        <v>40.449999999999996</v>
      </c>
      <c r="AH35" s="894"/>
      <c r="AI35" s="895">
        <v>35.03</v>
      </c>
      <c r="AJ35" s="791">
        <v>33.019999999999996</v>
      </c>
      <c r="AK35" s="896">
        <f t="shared" si="14"/>
        <v>2</v>
      </c>
      <c r="AL35" s="896"/>
    </row>
    <row r="36" spans="1:38" s="779" customFormat="1" ht="32.4" customHeight="1">
      <c r="A36" s="885">
        <v>20</v>
      </c>
      <c r="B36" s="886">
        <v>1</v>
      </c>
      <c r="C36" s="887" t="str">
        <f>'Tên thang 01-26'!E23</f>
        <v>ស្រេង សំណាង</v>
      </c>
      <c r="D36" s="887" t="str">
        <f>'Tên thang 01-26'!F23</f>
        <v>SRENG SAMNANG</v>
      </c>
      <c r="E36" s="888">
        <v>20</v>
      </c>
      <c r="F36" s="889">
        <f>'SAN LUONG'!AP28*0.44</f>
        <v>0</v>
      </c>
      <c r="G36" s="889">
        <f t="shared" si="0"/>
        <v>0</v>
      </c>
      <c r="H36" s="889">
        <f>'SAN LUONG'!AO28*0.44</f>
        <v>0</v>
      </c>
      <c r="I36" s="889">
        <f t="shared" si="1"/>
        <v>0</v>
      </c>
      <c r="J36" s="889">
        <f>'SAN LUONG'!AV28*0.44</f>
        <v>616</v>
      </c>
      <c r="K36" s="889">
        <f t="shared" si="6"/>
        <v>10.7</v>
      </c>
      <c r="L36" s="889"/>
      <c r="M36" s="881">
        <f>'CHAM CONG'!BC26</f>
        <v>13</v>
      </c>
      <c r="N36" s="889">
        <f t="shared" si="7"/>
        <v>6.51</v>
      </c>
      <c r="O36" s="889">
        <f t="shared" si="8"/>
        <v>0.41</v>
      </c>
      <c r="P36" s="890">
        <f>'CHAM CONG'!BO26</f>
        <v>26</v>
      </c>
      <c r="Q36" s="942">
        <f t="shared" si="9"/>
        <v>2.44</v>
      </c>
      <c r="R36" s="942">
        <f>'SAN LUONG'!DW28</f>
        <v>14</v>
      </c>
      <c r="S36" s="942">
        <f t="shared" si="2"/>
        <v>0.44</v>
      </c>
      <c r="T36" s="943">
        <f>'CHAM CONG'!BW26</f>
        <v>0</v>
      </c>
      <c r="U36" s="942">
        <f t="shared" si="10"/>
        <v>0</v>
      </c>
      <c r="V36" s="890">
        <f>'CHAM CONG'!BD26</f>
        <v>1</v>
      </c>
      <c r="W36" s="944">
        <f t="shared" si="3"/>
        <v>0.53</v>
      </c>
      <c r="X36" s="891">
        <f>'CHAM CONG'!BT26</f>
        <v>1</v>
      </c>
      <c r="Y36" s="881">
        <f t="shared" si="11"/>
        <v>1.1000000000000001</v>
      </c>
      <c r="Z36" s="892">
        <v>6.03</v>
      </c>
      <c r="AA36" s="942">
        <f t="shared" si="4"/>
        <v>1.71</v>
      </c>
      <c r="AB36" s="892">
        <v>6.03</v>
      </c>
      <c r="AC36" s="942">
        <f t="shared" si="12"/>
        <v>7.24</v>
      </c>
      <c r="AD36" s="892">
        <v>6.03</v>
      </c>
      <c r="AE36" s="942">
        <f t="shared" si="13"/>
        <v>4.3</v>
      </c>
      <c r="AF36" s="943" t="e">
        <f>#N/A</f>
        <v>#N/A</v>
      </c>
      <c r="AG36" s="893">
        <f t="shared" si="5"/>
        <v>35.380000000000003</v>
      </c>
      <c r="AH36" s="894"/>
      <c r="AI36" s="895">
        <v>30.16</v>
      </c>
      <c r="AJ36" s="791">
        <v>28.160000000000004</v>
      </c>
      <c r="AK36" s="896">
        <f t="shared" si="14"/>
        <v>2</v>
      </c>
      <c r="AL36" s="896"/>
    </row>
    <row r="37" spans="1:38" s="779" customFormat="1" ht="32.4" customHeight="1">
      <c r="A37" s="885">
        <v>21</v>
      </c>
      <c r="B37" s="886">
        <v>1</v>
      </c>
      <c r="C37" s="887" t="str">
        <f>'Tên thang 01-26'!E24</f>
        <v>ហ៊ិក ងួន</v>
      </c>
      <c r="D37" s="887" t="str">
        <f>'Tên thang 01-26'!F24</f>
        <v>HIK NGUON</v>
      </c>
      <c r="E37" s="888">
        <v>21</v>
      </c>
      <c r="F37" s="889">
        <f>'SAN LUONG'!AP29*0.44</f>
        <v>0</v>
      </c>
      <c r="G37" s="889">
        <f t="shared" si="0"/>
        <v>0</v>
      </c>
      <c r="H37" s="889">
        <f>'SAN LUONG'!AO29*0.44</f>
        <v>0</v>
      </c>
      <c r="I37" s="889">
        <f t="shared" si="1"/>
        <v>0</v>
      </c>
      <c r="J37" s="889">
        <f>'SAN LUONG'!AV29*0.44</f>
        <v>974.6</v>
      </c>
      <c r="K37" s="889">
        <f t="shared" si="6"/>
        <v>16.93</v>
      </c>
      <c r="L37" s="889"/>
      <c r="M37" s="881">
        <f>'CHAM CONG'!BC27</f>
        <v>15</v>
      </c>
      <c r="N37" s="889">
        <f t="shared" si="7"/>
        <v>7.51</v>
      </c>
      <c r="O37" s="889">
        <f t="shared" si="8"/>
        <v>0.47</v>
      </c>
      <c r="P37" s="890">
        <f>'CHAM CONG'!BO27</f>
        <v>28</v>
      </c>
      <c r="Q37" s="942">
        <f t="shared" si="9"/>
        <v>2.63</v>
      </c>
      <c r="R37" s="942">
        <f>'SAN LUONG'!DW29</f>
        <v>22</v>
      </c>
      <c r="S37" s="942">
        <f t="shared" si="2"/>
        <v>0.69</v>
      </c>
      <c r="T37" s="943">
        <f>'CHAM CONG'!BW27</f>
        <v>0</v>
      </c>
      <c r="U37" s="942">
        <f t="shared" si="10"/>
        <v>0</v>
      </c>
      <c r="V37" s="890">
        <f>'CHAM CONG'!BD27</f>
        <v>1</v>
      </c>
      <c r="W37" s="944">
        <f t="shared" si="3"/>
        <v>0.53</v>
      </c>
      <c r="X37" s="891">
        <f>'CHAM CONG'!BT27</f>
        <v>1</v>
      </c>
      <c r="Y37" s="881">
        <f t="shared" si="11"/>
        <v>1.1000000000000001</v>
      </c>
      <c r="Z37" s="892">
        <v>6.03</v>
      </c>
      <c r="AA37" s="942">
        <f t="shared" si="4"/>
        <v>1.71</v>
      </c>
      <c r="AB37" s="892">
        <v>6.03</v>
      </c>
      <c r="AC37" s="942">
        <f t="shared" si="12"/>
        <v>7.24</v>
      </c>
      <c r="AD37" s="892">
        <v>6.03</v>
      </c>
      <c r="AE37" s="942">
        <f t="shared" si="13"/>
        <v>4.3</v>
      </c>
      <c r="AF37" s="943" t="e">
        <f>#N/A</f>
        <v>#N/A</v>
      </c>
      <c r="AG37" s="893">
        <f t="shared" si="5"/>
        <v>43.11</v>
      </c>
      <c r="AH37" s="894"/>
      <c r="AI37" s="895">
        <v>28.29</v>
      </c>
      <c r="AJ37" s="791">
        <v>26.280000000000005</v>
      </c>
      <c r="AK37" s="896">
        <f t="shared" si="14"/>
        <v>2</v>
      </c>
      <c r="AL37" s="896"/>
    </row>
    <row r="38" spans="1:38" s="779" customFormat="1" ht="32.4" customHeight="1">
      <c r="A38" s="885">
        <v>22</v>
      </c>
      <c r="B38" s="886">
        <v>1</v>
      </c>
      <c r="C38" s="887" t="str">
        <f>'Tên thang 01-26'!E25</f>
        <v>សៀក សំ</v>
      </c>
      <c r="D38" s="887" t="str">
        <f>'Tên thang 01-26'!F25</f>
        <v>SIEK SAM</v>
      </c>
      <c r="E38" s="888">
        <v>22</v>
      </c>
      <c r="F38" s="889">
        <f>'SAN LUONG'!AP30*0.44</f>
        <v>0</v>
      </c>
      <c r="G38" s="889">
        <f t="shared" si="0"/>
        <v>0</v>
      </c>
      <c r="H38" s="889">
        <f>'SAN LUONG'!AO30*0.44</f>
        <v>0</v>
      </c>
      <c r="I38" s="889">
        <f t="shared" si="1"/>
        <v>0</v>
      </c>
      <c r="J38" s="889">
        <f>'SAN LUONG'!AV30*0.44</f>
        <v>0</v>
      </c>
      <c r="K38" s="889">
        <f t="shared" si="6"/>
        <v>0</v>
      </c>
      <c r="L38" s="889"/>
      <c r="M38" s="881">
        <f>'CHAM CONG'!BC28</f>
        <v>0</v>
      </c>
      <c r="N38" s="889">
        <f t="shared" si="7"/>
        <v>0</v>
      </c>
      <c r="O38" s="889">
        <f t="shared" si="8"/>
        <v>0</v>
      </c>
      <c r="P38" s="890">
        <f>'CHAM CONG'!BO28</f>
        <v>0</v>
      </c>
      <c r="Q38" s="942">
        <f t="shared" si="9"/>
        <v>0</v>
      </c>
      <c r="R38" s="942">
        <f>'SAN LUONG'!DW30</f>
        <v>5</v>
      </c>
      <c r="S38" s="942">
        <f t="shared" si="2"/>
        <v>0.16</v>
      </c>
      <c r="T38" s="943">
        <f>'CHAM CONG'!BW28</f>
        <v>0</v>
      </c>
      <c r="U38" s="942">
        <f t="shared" si="10"/>
        <v>0</v>
      </c>
      <c r="V38" s="890">
        <f>'CHAM CONG'!BD28</f>
        <v>1</v>
      </c>
      <c r="W38" s="944">
        <f t="shared" si="3"/>
        <v>0.53</v>
      </c>
      <c r="X38" s="891">
        <f>'CHAM CONG'!BT28</f>
        <v>0</v>
      </c>
      <c r="Y38" s="881">
        <f t="shared" si="11"/>
        <v>0</v>
      </c>
      <c r="Z38" s="892">
        <v>6.03</v>
      </c>
      <c r="AA38" s="942">
        <f t="shared" si="4"/>
        <v>1.71</v>
      </c>
      <c r="AB38" s="892">
        <v>6.03</v>
      </c>
      <c r="AC38" s="942">
        <f t="shared" si="12"/>
        <v>7.24</v>
      </c>
      <c r="AD38" s="892">
        <v>6.03</v>
      </c>
      <c r="AE38" s="942">
        <f t="shared" si="13"/>
        <v>4.3</v>
      </c>
      <c r="AF38" s="943" t="e">
        <f>#N/A</f>
        <v>#N/A</v>
      </c>
      <c r="AG38" s="893">
        <f t="shared" si="5"/>
        <v>13.940000000000001</v>
      </c>
      <c r="AH38" s="894"/>
      <c r="AI38" s="895">
        <v>30.95</v>
      </c>
      <c r="AJ38" s="791">
        <v>28.310000000000002</v>
      </c>
      <c r="AK38" s="896">
        <f t="shared" si="14"/>
        <v>3</v>
      </c>
      <c r="AL38" s="896"/>
    </row>
    <row r="39" spans="1:38" s="779" customFormat="1" ht="32.4" customHeight="1">
      <c r="A39" s="885">
        <v>23</v>
      </c>
      <c r="B39" s="886">
        <v>1</v>
      </c>
      <c r="C39" s="887" t="str">
        <f>'Tên thang 01-26'!E26</f>
        <v>ឆែម ឆុំ</v>
      </c>
      <c r="D39" s="887" t="str">
        <f>'Tên thang 01-26'!F26</f>
        <v>CHHEIM CHHOM</v>
      </c>
      <c r="E39" s="888">
        <v>23</v>
      </c>
      <c r="F39" s="889">
        <f>'SAN LUONG'!AP31*0.44</f>
        <v>0</v>
      </c>
      <c r="G39" s="889">
        <f t="shared" si="0"/>
        <v>0</v>
      </c>
      <c r="H39" s="889">
        <f>'SAN LUONG'!AO31*0.44</f>
        <v>0</v>
      </c>
      <c r="I39" s="889">
        <f t="shared" si="1"/>
        <v>0</v>
      </c>
      <c r="J39" s="889">
        <f>'SAN LUONG'!AV31*0.44</f>
        <v>733.92</v>
      </c>
      <c r="K39" s="889">
        <f t="shared" si="6"/>
        <v>12.75</v>
      </c>
      <c r="L39" s="889"/>
      <c r="M39" s="881">
        <f>'CHAM CONG'!BC29</f>
        <v>16</v>
      </c>
      <c r="N39" s="889">
        <f t="shared" si="7"/>
        <v>8.01</v>
      </c>
      <c r="O39" s="889">
        <f t="shared" si="8"/>
        <v>0.5</v>
      </c>
      <c r="P39" s="890">
        <f>'CHAM CONG'!BO29</f>
        <v>29</v>
      </c>
      <c r="Q39" s="942">
        <f t="shared" si="9"/>
        <v>2.72</v>
      </c>
      <c r="R39" s="942">
        <f>'SAN LUONG'!DW31</f>
        <v>28</v>
      </c>
      <c r="S39" s="942">
        <f t="shared" si="2"/>
        <v>0.88</v>
      </c>
      <c r="T39" s="943">
        <f>'CHAM CONG'!BW29</f>
        <v>0</v>
      </c>
      <c r="U39" s="942">
        <f t="shared" si="10"/>
        <v>0</v>
      </c>
      <c r="V39" s="890">
        <f>'CHAM CONG'!BD29</f>
        <v>1</v>
      </c>
      <c r="W39" s="944">
        <f t="shared" si="3"/>
        <v>0.53</v>
      </c>
      <c r="X39" s="891">
        <f>'CHAM CONG'!BT29</f>
        <v>1</v>
      </c>
      <c r="Y39" s="881">
        <f t="shared" si="11"/>
        <v>1.1000000000000001</v>
      </c>
      <c r="Z39" s="892">
        <v>6.03</v>
      </c>
      <c r="AA39" s="942">
        <f t="shared" si="4"/>
        <v>1.71</v>
      </c>
      <c r="AB39" s="892">
        <v>6.03</v>
      </c>
      <c r="AC39" s="942">
        <f t="shared" si="12"/>
        <v>7.24</v>
      </c>
      <c r="AD39" s="892">
        <v>6.03</v>
      </c>
      <c r="AE39" s="942">
        <f t="shared" si="13"/>
        <v>4.3</v>
      </c>
      <c r="AF39" s="943" t="e">
        <f>#N/A</f>
        <v>#N/A</v>
      </c>
      <c r="AG39" s="893">
        <f t="shared" si="5"/>
        <v>39.739999999999995</v>
      </c>
      <c r="AH39" s="894"/>
      <c r="AI39" s="895">
        <v>29.18</v>
      </c>
      <c r="AJ39" s="791">
        <v>28.430000000000003</v>
      </c>
      <c r="AK39" s="896">
        <f t="shared" si="14"/>
        <v>1</v>
      </c>
      <c r="AL39" s="896"/>
    </row>
    <row r="40" spans="1:38" s="779" customFormat="1" ht="32.4" customHeight="1">
      <c r="A40" s="885">
        <v>24</v>
      </c>
      <c r="B40" s="886">
        <v>1</v>
      </c>
      <c r="C40" s="887" t="str">
        <f>'Tên thang 01-26'!E27</f>
        <v>សុទ្ធ សុខជា</v>
      </c>
      <c r="D40" s="887" t="str">
        <f>'Tên thang 01-26'!F27</f>
        <v>SOTH SOKCHEA</v>
      </c>
      <c r="E40" s="888">
        <v>24</v>
      </c>
      <c r="F40" s="889">
        <f>'SAN LUONG'!AP32*0.44</f>
        <v>0</v>
      </c>
      <c r="G40" s="889">
        <f t="shared" si="0"/>
        <v>0</v>
      </c>
      <c r="H40" s="889">
        <f>'SAN LUONG'!AO32*0.44</f>
        <v>0</v>
      </c>
      <c r="I40" s="889">
        <f t="shared" si="1"/>
        <v>0</v>
      </c>
      <c r="J40" s="889">
        <f>'SAN LUONG'!AV32*0.44</f>
        <v>694.76</v>
      </c>
      <c r="K40" s="889">
        <f t="shared" si="6"/>
        <v>12.07</v>
      </c>
      <c r="L40" s="889"/>
      <c r="M40" s="881">
        <f>'CHAM CONG'!BC30</f>
        <v>15</v>
      </c>
      <c r="N40" s="889">
        <f t="shared" si="7"/>
        <v>7.51</v>
      </c>
      <c r="O40" s="889">
        <f t="shared" si="8"/>
        <v>0.47</v>
      </c>
      <c r="P40" s="890">
        <f>'CHAM CONG'!BO30</f>
        <v>29</v>
      </c>
      <c r="Q40" s="942">
        <f t="shared" si="9"/>
        <v>2.72</v>
      </c>
      <c r="R40" s="942">
        <f>'SAN LUONG'!DW32</f>
        <v>15</v>
      </c>
      <c r="S40" s="942">
        <f t="shared" si="2"/>
        <v>0.47</v>
      </c>
      <c r="T40" s="943">
        <f>'CHAM CONG'!BW30</f>
        <v>0</v>
      </c>
      <c r="U40" s="942">
        <f t="shared" si="10"/>
        <v>0</v>
      </c>
      <c r="V40" s="890">
        <f>'CHAM CONG'!BD30</f>
        <v>1</v>
      </c>
      <c r="W40" s="944">
        <f t="shared" si="3"/>
        <v>0.53</v>
      </c>
      <c r="X40" s="891">
        <f>'CHAM CONG'!BT30</f>
        <v>1</v>
      </c>
      <c r="Y40" s="881">
        <f t="shared" si="11"/>
        <v>1.1000000000000001</v>
      </c>
      <c r="Z40" s="892">
        <v>6.03</v>
      </c>
      <c r="AA40" s="942">
        <f t="shared" si="4"/>
        <v>1.71</v>
      </c>
      <c r="AB40" s="892">
        <v>6.03</v>
      </c>
      <c r="AC40" s="942">
        <f t="shared" si="12"/>
        <v>7.24</v>
      </c>
      <c r="AD40" s="892">
        <v>6.03</v>
      </c>
      <c r="AE40" s="942">
        <f t="shared" si="13"/>
        <v>4.3</v>
      </c>
      <c r="AF40" s="943" t="e">
        <f>#N/A</f>
        <v>#N/A</v>
      </c>
      <c r="AG40" s="893">
        <f t="shared" si="5"/>
        <v>38.119999999999997</v>
      </c>
      <c r="AH40" s="894"/>
      <c r="AI40" s="895">
        <v>29.02</v>
      </c>
      <c r="AJ40" s="791">
        <v>27.020000000000003</v>
      </c>
      <c r="AK40" s="896">
        <f t="shared" si="14"/>
        <v>2</v>
      </c>
      <c r="AL40" s="896"/>
    </row>
    <row r="41" spans="1:38" s="779" customFormat="1" ht="32.4" customHeight="1">
      <c r="A41" s="885">
        <v>25</v>
      </c>
      <c r="B41" s="886">
        <v>1</v>
      </c>
      <c r="C41" s="887" t="str">
        <f>'Tên thang 01-26'!E28</f>
        <v>ពិន ឆេន</v>
      </c>
      <c r="D41" s="887" t="str">
        <f>'Tên thang 01-26'!F28</f>
        <v>PIN CHHEN</v>
      </c>
      <c r="E41" s="888">
        <v>25</v>
      </c>
      <c r="F41" s="889">
        <f>'SAN LUONG'!AP33*0.44</f>
        <v>0</v>
      </c>
      <c r="G41" s="889">
        <f t="shared" si="0"/>
        <v>0</v>
      </c>
      <c r="H41" s="889">
        <f>'SAN LUONG'!AO33*0.44</f>
        <v>0</v>
      </c>
      <c r="I41" s="889">
        <f t="shared" si="1"/>
        <v>0</v>
      </c>
      <c r="J41" s="889">
        <f>'SAN LUONG'!AV33*0.44</f>
        <v>727.32</v>
      </c>
      <c r="K41" s="889">
        <f t="shared" si="6"/>
        <v>12.64</v>
      </c>
      <c r="L41" s="889"/>
      <c r="M41" s="881">
        <f>'CHAM CONG'!BC31</f>
        <v>16</v>
      </c>
      <c r="N41" s="889">
        <f t="shared" si="7"/>
        <v>8.01</v>
      </c>
      <c r="O41" s="889">
        <f t="shared" si="8"/>
        <v>0.5</v>
      </c>
      <c r="P41" s="890">
        <f>'CHAM CONG'!BO31</f>
        <v>29</v>
      </c>
      <c r="Q41" s="942">
        <f t="shared" si="9"/>
        <v>2.72</v>
      </c>
      <c r="R41" s="942">
        <f>'SAN LUONG'!DW33</f>
        <v>27</v>
      </c>
      <c r="S41" s="942">
        <f t="shared" si="2"/>
        <v>0.85</v>
      </c>
      <c r="T41" s="943">
        <f>'CHAM CONG'!BW31</f>
        <v>0</v>
      </c>
      <c r="U41" s="942">
        <f t="shared" si="10"/>
        <v>0</v>
      </c>
      <c r="V41" s="890">
        <f>'CHAM CONG'!BD31</f>
        <v>1</v>
      </c>
      <c r="W41" s="944">
        <f t="shared" si="3"/>
        <v>0.53</v>
      </c>
      <c r="X41" s="891">
        <f>'CHAM CONG'!BT31</f>
        <v>1</v>
      </c>
      <c r="Y41" s="881">
        <f t="shared" si="11"/>
        <v>1.1000000000000001</v>
      </c>
      <c r="Z41" s="892">
        <v>6.03</v>
      </c>
      <c r="AA41" s="942">
        <f t="shared" si="4"/>
        <v>1.71</v>
      </c>
      <c r="AB41" s="892">
        <v>6.03</v>
      </c>
      <c r="AC41" s="942">
        <f t="shared" si="12"/>
        <v>7.24</v>
      </c>
      <c r="AD41" s="892">
        <v>6.03</v>
      </c>
      <c r="AE41" s="942">
        <f t="shared" si="13"/>
        <v>4.3</v>
      </c>
      <c r="AF41" s="943" t="e">
        <f>#N/A</f>
        <v>#N/A</v>
      </c>
      <c r="AG41" s="893">
        <f t="shared" si="5"/>
        <v>39.6</v>
      </c>
      <c r="AH41" s="894"/>
      <c r="AI41" s="895">
        <v>30.84</v>
      </c>
      <c r="AJ41" s="791">
        <v>28.21</v>
      </c>
      <c r="AK41" s="896">
        <f t="shared" si="14"/>
        <v>3</v>
      </c>
      <c r="AL41" s="896"/>
    </row>
    <row r="42" spans="1:38" s="779" customFormat="1" ht="32.4" customHeight="1">
      <c r="A42" s="885">
        <v>26</v>
      </c>
      <c r="B42" s="886">
        <v>1</v>
      </c>
      <c r="C42" s="887" t="str">
        <f>'Tên thang 01-26'!E29</f>
        <v>កេត នី</v>
      </c>
      <c r="D42" s="887" t="str">
        <f>'Tên thang 01-26'!F29</f>
        <v>KET NY</v>
      </c>
      <c r="E42" s="888">
        <v>26</v>
      </c>
      <c r="F42" s="889">
        <f>'SAN LUONG'!AP34*0.44</f>
        <v>0</v>
      </c>
      <c r="G42" s="889">
        <f t="shared" si="0"/>
        <v>0</v>
      </c>
      <c r="H42" s="889">
        <f>'SAN LUONG'!AO34*0.44</f>
        <v>0</v>
      </c>
      <c r="I42" s="889">
        <f t="shared" si="1"/>
        <v>0</v>
      </c>
      <c r="J42" s="889">
        <f>'SAN LUONG'!AV34*0.44</f>
        <v>768.68</v>
      </c>
      <c r="K42" s="889">
        <f t="shared" si="6"/>
        <v>13.35</v>
      </c>
      <c r="L42" s="889"/>
      <c r="M42" s="881">
        <f>'CHAM CONG'!BC32</f>
        <v>16</v>
      </c>
      <c r="N42" s="889">
        <f t="shared" si="7"/>
        <v>8.01</v>
      </c>
      <c r="O42" s="889">
        <f t="shared" si="8"/>
        <v>0.5</v>
      </c>
      <c r="P42" s="890">
        <f>'CHAM CONG'!BO32</f>
        <v>29</v>
      </c>
      <c r="Q42" s="942">
        <f t="shared" si="9"/>
        <v>2.72</v>
      </c>
      <c r="R42" s="942">
        <f>'SAN LUONG'!DW34</f>
        <v>28</v>
      </c>
      <c r="S42" s="942">
        <f t="shared" si="2"/>
        <v>0.88</v>
      </c>
      <c r="T42" s="943">
        <f>'CHAM CONG'!BW32</f>
        <v>0</v>
      </c>
      <c r="U42" s="942">
        <f t="shared" si="10"/>
        <v>0</v>
      </c>
      <c r="V42" s="890">
        <f>'CHAM CONG'!BD32</f>
        <v>1</v>
      </c>
      <c r="W42" s="944">
        <f t="shared" si="3"/>
        <v>0.53</v>
      </c>
      <c r="X42" s="891">
        <f>'CHAM CONG'!BT32</f>
        <v>1</v>
      </c>
      <c r="Y42" s="881">
        <f t="shared" si="11"/>
        <v>1.1000000000000001</v>
      </c>
      <c r="Z42" s="892">
        <v>6.03</v>
      </c>
      <c r="AA42" s="942">
        <f t="shared" si="4"/>
        <v>1.71</v>
      </c>
      <c r="AB42" s="892">
        <v>6.03</v>
      </c>
      <c r="AC42" s="942">
        <f t="shared" si="12"/>
        <v>7.24</v>
      </c>
      <c r="AD42" s="892">
        <v>6.03</v>
      </c>
      <c r="AE42" s="942">
        <f t="shared" si="13"/>
        <v>4.3</v>
      </c>
      <c r="AF42" s="943" t="e">
        <f>#N/A</f>
        <v>#N/A</v>
      </c>
      <c r="AG42" s="893">
        <f t="shared" si="5"/>
        <v>40.339999999999996</v>
      </c>
      <c r="AH42" s="894"/>
      <c r="AI42" s="895">
        <v>31.27</v>
      </c>
      <c r="AJ42" s="791">
        <v>29.260000000000005</v>
      </c>
      <c r="AK42" s="896">
        <f t="shared" si="14"/>
        <v>2</v>
      </c>
      <c r="AL42" s="896"/>
    </row>
    <row r="43" spans="1:38" s="779" customFormat="1" ht="32.4" customHeight="1">
      <c r="A43" s="885">
        <v>27</v>
      </c>
      <c r="B43" s="886">
        <v>1</v>
      </c>
      <c r="C43" s="887" t="str">
        <f>'Tên thang 01-26'!E30</f>
        <v>គៀវ និ</v>
      </c>
      <c r="D43" s="887" t="str">
        <f>'Tên thang 01-26'!F30</f>
        <v>KIEV NIK</v>
      </c>
      <c r="E43" s="888">
        <v>27</v>
      </c>
      <c r="F43" s="889">
        <f>'SAN LUONG'!AP35*0.44</f>
        <v>0</v>
      </c>
      <c r="G43" s="889">
        <f t="shared" si="0"/>
        <v>0</v>
      </c>
      <c r="H43" s="889">
        <f>'SAN LUONG'!AO35*0.44</f>
        <v>0</v>
      </c>
      <c r="I43" s="889">
        <f t="shared" si="1"/>
        <v>0</v>
      </c>
      <c r="J43" s="889">
        <f>'SAN LUONG'!AV35*0.44</f>
        <v>755.92</v>
      </c>
      <c r="K43" s="889">
        <f t="shared" si="6"/>
        <v>13.13</v>
      </c>
      <c r="L43" s="889"/>
      <c r="M43" s="881">
        <f>'CHAM CONG'!BC33</f>
        <v>15</v>
      </c>
      <c r="N43" s="889">
        <f t="shared" si="7"/>
        <v>7.51</v>
      </c>
      <c r="O43" s="889">
        <f t="shared" si="8"/>
        <v>0.47</v>
      </c>
      <c r="P43" s="890">
        <f>'CHAM CONG'!BO33</f>
        <v>27</v>
      </c>
      <c r="Q43" s="942">
        <f t="shared" si="9"/>
        <v>2.54</v>
      </c>
      <c r="R43" s="942">
        <f>'SAN LUONG'!DW35</f>
        <v>26</v>
      </c>
      <c r="S43" s="942">
        <f t="shared" si="2"/>
        <v>0.81</v>
      </c>
      <c r="T43" s="943">
        <f>'CHAM CONG'!BW33</f>
        <v>0</v>
      </c>
      <c r="U43" s="942">
        <f t="shared" si="10"/>
        <v>0</v>
      </c>
      <c r="V43" s="890">
        <f>'CHAM CONG'!BD33</f>
        <v>1</v>
      </c>
      <c r="W43" s="944">
        <f t="shared" si="3"/>
        <v>0.53</v>
      </c>
      <c r="X43" s="891">
        <f>'CHAM CONG'!BT33</f>
        <v>1</v>
      </c>
      <c r="Y43" s="881">
        <f t="shared" si="11"/>
        <v>1.1000000000000001</v>
      </c>
      <c r="Z43" s="892">
        <v>6.03</v>
      </c>
      <c r="AA43" s="942">
        <f t="shared" si="4"/>
        <v>1.71</v>
      </c>
      <c r="AB43" s="892">
        <v>6.03</v>
      </c>
      <c r="AC43" s="942">
        <f t="shared" si="12"/>
        <v>7.24</v>
      </c>
      <c r="AD43" s="892">
        <v>6.03</v>
      </c>
      <c r="AE43" s="942">
        <f t="shared" si="13"/>
        <v>4.3</v>
      </c>
      <c r="AF43" s="943" t="e">
        <f>#N/A</f>
        <v>#N/A</v>
      </c>
      <c r="AG43" s="893">
        <f t="shared" si="5"/>
        <v>39.339999999999996</v>
      </c>
      <c r="AH43" s="894"/>
      <c r="AI43" s="895">
        <v>30.81</v>
      </c>
      <c r="AJ43" s="791">
        <v>28.8</v>
      </c>
      <c r="AK43" s="896">
        <f t="shared" si="14"/>
        <v>2</v>
      </c>
      <c r="AL43" s="896"/>
    </row>
    <row r="44" spans="1:38" s="779" customFormat="1" ht="32.4" customHeight="1">
      <c r="A44" s="885">
        <v>28</v>
      </c>
      <c r="B44" s="886">
        <v>1</v>
      </c>
      <c r="C44" s="887" t="str">
        <f>'Tên thang 01-26'!E31</f>
        <v>ដួត ដែន</v>
      </c>
      <c r="D44" s="887" t="str">
        <f>'Tên thang 01-26'!F31</f>
        <v>DOUT DEN</v>
      </c>
      <c r="E44" s="888">
        <v>28</v>
      </c>
      <c r="F44" s="889">
        <f>'SAN LUONG'!AP36*0.44</f>
        <v>0</v>
      </c>
      <c r="G44" s="889">
        <f t="shared" si="0"/>
        <v>0</v>
      </c>
      <c r="H44" s="889">
        <f>'SAN LUONG'!AO36*0.44</f>
        <v>0</v>
      </c>
      <c r="I44" s="889">
        <f t="shared" si="1"/>
        <v>0</v>
      </c>
      <c r="J44" s="889">
        <f>'SAN LUONG'!AV36*0.44</f>
        <v>464.2</v>
      </c>
      <c r="K44" s="889">
        <f t="shared" si="6"/>
        <v>8.06</v>
      </c>
      <c r="L44" s="889"/>
      <c r="M44" s="881">
        <f>'CHAM CONG'!BC34</f>
        <v>14</v>
      </c>
      <c r="N44" s="889">
        <f t="shared" si="7"/>
        <v>7.01</v>
      </c>
      <c r="O44" s="889">
        <f t="shared" si="8"/>
        <v>0.44</v>
      </c>
      <c r="P44" s="890">
        <f>'CHAM CONG'!BO34</f>
        <v>27</v>
      </c>
      <c r="Q44" s="942">
        <f t="shared" si="9"/>
        <v>2.54</v>
      </c>
      <c r="R44" s="942">
        <f>'SAN LUONG'!DW36</f>
        <v>20</v>
      </c>
      <c r="S44" s="942">
        <f t="shared" si="2"/>
        <v>0.63</v>
      </c>
      <c r="T44" s="943">
        <f>'CHAM CONG'!BW34</f>
        <v>0</v>
      </c>
      <c r="U44" s="942">
        <f t="shared" si="10"/>
        <v>0</v>
      </c>
      <c r="V44" s="890">
        <f>'CHAM CONG'!BD34</f>
        <v>1</v>
      </c>
      <c r="W44" s="944">
        <f t="shared" si="3"/>
        <v>0.53</v>
      </c>
      <c r="X44" s="891">
        <f>'CHAM CONG'!BT34</f>
        <v>1</v>
      </c>
      <c r="Y44" s="881">
        <f t="shared" si="11"/>
        <v>1.1000000000000001</v>
      </c>
      <c r="Z44" s="892">
        <v>6.03</v>
      </c>
      <c r="AA44" s="942">
        <f t="shared" si="4"/>
        <v>1.71</v>
      </c>
      <c r="AB44" s="892">
        <v>6.03</v>
      </c>
      <c r="AC44" s="942">
        <f t="shared" si="12"/>
        <v>7.24</v>
      </c>
      <c r="AD44" s="892">
        <v>6.03</v>
      </c>
      <c r="AE44" s="942">
        <f t="shared" si="13"/>
        <v>4.3</v>
      </c>
      <c r="AF44" s="943" t="e">
        <f>#N/A</f>
        <v>#N/A</v>
      </c>
      <c r="AG44" s="893">
        <f t="shared" si="5"/>
        <v>33.56</v>
      </c>
      <c r="AH44" s="894"/>
      <c r="AI44" s="895">
        <v>25.76</v>
      </c>
      <c r="AJ44" s="791">
        <v>23.76</v>
      </c>
      <c r="AK44" s="896">
        <f t="shared" si="14"/>
        <v>2</v>
      </c>
      <c r="AL44" s="896"/>
    </row>
    <row r="45" spans="1:38" s="779" customFormat="1" ht="32.4" customHeight="1">
      <c r="A45" s="885">
        <v>29</v>
      </c>
      <c r="B45" s="886">
        <v>1</v>
      </c>
      <c r="C45" s="887" t="str">
        <f>'Tên thang 01-26'!E32</f>
        <v>ចាយ ពន្លក</v>
      </c>
      <c r="D45" s="887" t="str">
        <f>'Tên thang 01-26'!F32</f>
        <v>CHAY PONLOK</v>
      </c>
      <c r="E45" s="888">
        <v>29</v>
      </c>
      <c r="F45" s="889">
        <f>'SAN LUONG'!AP37*0.44</f>
        <v>0</v>
      </c>
      <c r="G45" s="889">
        <f t="shared" si="0"/>
        <v>0</v>
      </c>
      <c r="H45" s="889">
        <f>'SAN LUONG'!AO37*0.44</f>
        <v>0</v>
      </c>
      <c r="I45" s="889">
        <f t="shared" si="1"/>
        <v>0</v>
      </c>
      <c r="J45" s="889">
        <f>'SAN LUONG'!AV37*0.44</f>
        <v>586.52</v>
      </c>
      <c r="K45" s="889">
        <f t="shared" si="6"/>
        <v>10.19</v>
      </c>
      <c r="L45" s="889"/>
      <c r="M45" s="881">
        <f>'CHAM CONG'!BC35</f>
        <v>14</v>
      </c>
      <c r="N45" s="889">
        <f t="shared" si="7"/>
        <v>7.01</v>
      </c>
      <c r="O45" s="889">
        <f t="shared" si="8"/>
        <v>0.44</v>
      </c>
      <c r="P45" s="890">
        <f>'CHAM CONG'!BO35</f>
        <v>0</v>
      </c>
      <c r="Q45" s="942">
        <f t="shared" si="9"/>
        <v>0</v>
      </c>
      <c r="R45" s="942">
        <f>'SAN LUONG'!DW37</f>
        <v>16</v>
      </c>
      <c r="S45" s="942">
        <f t="shared" si="2"/>
        <v>0.5</v>
      </c>
      <c r="T45" s="943">
        <f>'CHAM CONG'!BW35</f>
        <v>0</v>
      </c>
      <c r="U45" s="942">
        <f t="shared" si="10"/>
        <v>0</v>
      </c>
      <c r="V45" s="890">
        <f>'CHAM CONG'!BD35</f>
        <v>1</v>
      </c>
      <c r="W45" s="944">
        <f t="shared" si="3"/>
        <v>0.53</v>
      </c>
      <c r="X45" s="891">
        <f>'CHAM CONG'!BT35</f>
        <v>0</v>
      </c>
      <c r="Y45" s="881">
        <f t="shared" si="11"/>
        <v>0</v>
      </c>
      <c r="Z45" s="892">
        <v>6.03</v>
      </c>
      <c r="AA45" s="942">
        <f t="shared" si="4"/>
        <v>1.71</v>
      </c>
      <c r="AB45" s="892">
        <v>6.03</v>
      </c>
      <c r="AC45" s="942">
        <f t="shared" si="12"/>
        <v>7.24</v>
      </c>
      <c r="AD45" s="892">
        <v>6.03</v>
      </c>
      <c r="AE45" s="942">
        <f t="shared" si="13"/>
        <v>4.3</v>
      </c>
      <c r="AF45" s="943" t="e">
        <f>#N/A</f>
        <v>#N/A</v>
      </c>
      <c r="AG45" s="893">
        <f t="shared" si="5"/>
        <v>31.92</v>
      </c>
      <c r="AH45" s="894"/>
      <c r="AI45" s="895">
        <v>28.9</v>
      </c>
      <c r="AJ45" s="791">
        <v>26.890000000000004</v>
      </c>
      <c r="AK45" s="896">
        <f t="shared" si="14"/>
        <v>2</v>
      </c>
      <c r="AL45" s="896"/>
    </row>
    <row r="46" spans="1:38" s="779" customFormat="1" ht="32.4" customHeight="1">
      <c r="A46" s="885">
        <v>30</v>
      </c>
      <c r="B46" s="886">
        <v>1</v>
      </c>
      <c r="C46" s="887" t="str">
        <f>'Tên thang 01-26'!E33</f>
        <v>សំ ផុន</v>
      </c>
      <c r="D46" s="887" t="str">
        <f>'Tên thang 01-26'!F33</f>
        <v>SOM PHON</v>
      </c>
      <c r="E46" s="888">
        <v>30</v>
      </c>
      <c r="F46" s="889">
        <f>'SAN LUONG'!AP38*0.44</f>
        <v>0</v>
      </c>
      <c r="G46" s="889">
        <f t="shared" si="0"/>
        <v>0</v>
      </c>
      <c r="H46" s="889">
        <f>'SAN LUONG'!AO38*0.44</f>
        <v>0</v>
      </c>
      <c r="I46" s="889">
        <f t="shared" si="1"/>
        <v>0</v>
      </c>
      <c r="J46" s="889">
        <f>'SAN LUONG'!AV38*0.44</f>
        <v>809.16</v>
      </c>
      <c r="K46" s="889">
        <f t="shared" si="6"/>
        <v>14.06</v>
      </c>
      <c r="L46" s="889"/>
      <c r="M46" s="881">
        <f>'CHAM CONG'!BC36</f>
        <v>14</v>
      </c>
      <c r="N46" s="889">
        <f t="shared" si="7"/>
        <v>7.01</v>
      </c>
      <c r="O46" s="889">
        <f t="shared" si="8"/>
        <v>0.44</v>
      </c>
      <c r="P46" s="890">
        <f>'CHAM CONG'!BO36</f>
        <v>28</v>
      </c>
      <c r="Q46" s="942">
        <f t="shared" si="9"/>
        <v>2.63</v>
      </c>
      <c r="R46" s="942">
        <f>'SAN LUONG'!DW38</f>
        <v>40</v>
      </c>
      <c r="S46" s="942">
        <f t="shared" si="2"/>
        <v>1.25</v>
      </c>
      <c r="T46" s="943">
        <f>'CHAM CONG'!BW36</f>
        <v>0</v>
      </c>
      <c r="U46" s="942">
        <f t="shared" si="10"/>
        <v>0</v>
      </c>
      <c r="V46" s="890">
        <f>'CHAM CONG'!BD36</f>
        <v>1</v>
      </c>
      <c r="W46" s="944">
        <f t="shared" si="3"/>
        <v>0.53</v>
      </c>
      <c r="X46" s="891">
        <f>'CHAM CONG'!BT36</f>
        <v>1</v>
      </c>
      <c r="Y46" s="881">
        <f t="shared" si="11"/>
        <v>1.1000000000000001</v>
      </c>
      <c r="Z46" s="892">
        <v>6.03</v>
      </c>
      <c r="AA46" s="942">
        <f t="shared" si="4"/>
        <v>1.71</v>
      </c>
      <c r="AB46" s="892">
        <v>6.03</v>
      </c>
      <c r="AC46" s="942">
        <f t="shared" si="12"/>
        <v>7.24</v>
      </c>
      <c r="AD46" s="892">
        <v>6.03</v>
      </c>
      <c r="AE46" s="942">
        <f t="shared" si="13"/>
        <v>4.3</v>
      </c>
      <c r="AF46" s="943" t="e">
        <f>#N/A</f>
        <v>#N/A</v>
      </c>
      <c r="AG46" s="893">
        <f t="shared" si="5"/>
        <v>40.269999999999996</v>
      </c>
      <c r="AH46" s="894"/>
      <c r="AI46" s="895">
        <v>26.69</v>
      </c>
      <c r="AJ46" s="791">
        <v>24.690000000000005</v>
      </c>
      <c r="AK46" s="896">
        <f t="shared" si="14"/>
        <v>2</v>
      </c>
      <c r="AL46" s="896"/>
    </row>
    <row r="47" spans="1:38" s="779" customFormat="1" ht="32.4" customHeight="1">
      <c r="A47" s="885">
        <v>31</v>
      </c>
      <c r="B47" s="886">
        <v>1</v>
      </c>
      <c r="C47" s="887" t="str">
        <f>'Tên thang 01-26'!E34</f>
        <v>អ៊ុន ឆវ័ន</v>
      </c>
      <c r="D47" s="887" t="str">
        <f>'Tên thang 01-26'!F34</f>
        <v>UN CHORVON</v>
      </c>
      <c r="E47" s="888">
        <v>31</v>
      </c>
      <c r="F47" s="889">
        <f>'SAN LUONG'!AP39*0.44</f>
        <v>0</v>
      </c>
      <c r="G47" s="889">
        <f t="shared" si="0"/>
        <v>0</v>
      </c>
      <c r="H47" s="889">
        <f>'SAN LUONG'!AO39*0.44</f>
        <v>0</v>
      </c>
      <c r="I47" s="889">
        <f t="shared" si="1"/>
        <v>0</v>
      </c>
      <c r="J47" s="889">
        <f>'SAN LUONG'!AV39*0.44</f>
        <v>664.84</v>
      </c>
      <c r="K47" s="889">
        <f t="shared" si="6"/>
        <v>11.55</v>
      </c>
      <c r="L47" s="889"/>
      <c r="M47" s="881">
        <f>'CHAM CONG'!BC37</f>
        <v>14</v>
      </c>
      <c r="N47" s="889">
        <f t="shared" si="7"/>
        <v>7.01</v>
      </c>
      <c r="O47" s="889">
        <f t="shared" si="8"/>
        <v>0.44</v>
      </c>
      <c r="P47" s="890">
        <f>'CHAM CONG'!BO37</f>
        <v>27</v>
      </c>
      <c r="Q47" s="942">
        <f t="shared" si="9"/>
        <v>2.54</v>
      </c>
      <c r="R47" s="942">
        <f>'SAN LUONG'!DW39</f>
        <v>15</v>
      </c>
      <c r="S47" s="942">
        <f t="shared" si="2"/>
        <v>0.47</v>
      </c>
      <c r="T47" s="943">
        <f>'CHAM CONG'!BW37</f>
        <v>0</v>
      </c>
      <c r="U47" s="942">
        <f t="shared" si="10"/>
        <v>0</v>
      </c>
      <c r="V47" s="890">
        <f>'CHAM CONG'!BD37</f>
        <v>1</v>
      </c>
      <c r="W47" s="944">
        <f t="shared" si="3"/>
        <v>0.53</v>
      </c>
      <c r="X47" s="891">
        <f>'CHAM CONG'!BT37</f>
        <v>1</v>
      </c>
      <c r="Y47" s="881">
        <f t="shared" si="11"/>
        <v>1.1000000000000001</v>
      </c>
      <c r="Z47" s="892">
        <v>6.03</v>
      </c>
      <c r="AA47" s="942">
        <f t="shared" si="4"/>
        <v>1.71</v>
      </c>
      <c r="AB47" s="892">
        <v>6.03</v>
      </c>
      <c r="AC47" s="942">
        <f t="shared" si="12"/>
        <v>7.24</v>
      </c>
      <c r="AD47" s="892">
        <v>6.03</v>
      </c>
      <c r="AE47" s="942">
        <f t="shared" si="13"/>
        <v>4.3</v>
      </c>
      <c r="AF47" s="943" t="e">
        <f>#N/A</f>
        <v>#N/A</v>
      </c>
      <c r="AG47" s="893">
        <f t="shared" si="5"/>
        <v>36.89</v>
      </c>
      <c r="AH47" s="894"/>
      <c r="AI47" s="895">
        <v>26.81</v>
      </c>
      <c r="AJ47" s="791">
        <v>26.070000000000004</v>
      </c>
      <c r="AK47" s="896">
        <f t="shared" si="14"/>
        <v>1</v>
      </c>
      <c r="AL47" s="896"/>
    </row>
    <row r="48" spans="1:38" s="779" customFormat="1" ht="32.4" customHeight="1">
      <c r="A48" s="885">
        <v>32</v>
      </c>
      <c r="B48" s="886">
        <v>1</v>
      </c>
      <c r="C48" s="887" t="str">
        <f>'Tên thang 01-26'!E35</f>
        <v>ប៉ិល ថា</v>
      </c>
      <c r="D48" s="887" t="str">
        <f>'Tên thang 01-26'!F35</f>
        <v>PEL THA</v>
      </c>
      <c r="E48" s="888">
        <v>32</v>
      </c>
      <c r="F48" s="889">
        <f>'SAN LUONG'!AP40*0.44</f>
        <v>0</v>
      </c>
      <c r="G48" s="889">
        <f t="shared" si="0"/>
        <v>0</v>
      </c>
      <c r="H48" s="889">
        <f>'SAN LUONG'!AO40*0.44</f>
        <v>0</v>
      </c>
      <c r="I48" s="889">
        <f t="shared" si="1"/>
        <v>0</v>
      </c>
      <c r="J48" s="889">
        <f>'SAN LUONG'!AV40*0.44</f>
        <v>604.12</v>
      </c>
      <c r="K48" s="889">
        <f t="shared" si="6"/>
        <v>10.5</v>
      </c>
      <c r="L48" s="889"/>
      <c r="M48" s="881">
        <f>'CHAM CONG'!BC38</f>
        <v>15</v>
      </c>
      <c r="N48" s="889">
        <f t="shared" si="7"/>
        <v>7.51</v>
      </c>
      <c r="O48" s="889">
        <f t="shared" si="8"/>
        <v>0.47</v>
      </c>
      <c r="P48" s="890">
        <f>'CHAM CONG'!BO38</f>
        <v>29</v>
      </c>
      <c r="Q48" s="942">
        <f t="shared" si="9"/>
        <v>2.72</v>
      </c>
      <c r="R48" s="942">
        <f>'SAN LUONG'!DW40</f>
        <v>31</v>
      </c>
      <c r="S48" s="942">
        <f t="shared" si="2"/>
        <v>0.97</v>
      </c>
      <c r="T48" s="943">
        <f>'CHAM CONG'!BW38</f>
        <v>0</v>
      </c>
      <c r="U48" s="942">
        <f t="shared" si="10"/>
        <v>0</v>
      </c>
      <c r="V48" s="890">
        <f>'CHAM CONG'!BD38</f>
        <v>1</v>
      </c>
      <c r="W48" s="944">
        <f t="shared" si="3"/>
        <v>0.53</v>
      </c>
      <c r="X48" s="891">
        <f>'CHAM CONG'!BT38</f>
        <v>1</v>
      </c>
      <c r="Y48" s="881">
        <f t="shared" si="11"/>
        <v>1.1000000000000001</v>
      </c>
      <c r="Z48" s="892">
        <v>6.03</v>
      </c>
      <c r="AA48" s="942">
        <f t="shared" si="4"/>
        <v>1.71</v>
      </c>
      <c r="AB48" s="892">
        <v>6.03</v>
      </c>
      <c r="AC48" s="942">
        <f t="shared" si="12"/>
        <v>7.24</v>
      </c>
      <c r="AD48" s="892">
        <v>6.03</v>
      </c>
      <c r="AE48" s="942">
        <f t="shared" si="13"/>
        <v>4.3</v>
      </c>
      <c r="AF48" s="943" t="e">
        <f>#N/A</f>
        <v>#N/A</v>
      </c>
      <c r="AG48" s="893">
        <f t="shared" si="5"/>
        <v>37.049999999999997</v>
      </c>
      <c r="AH48" s="894"/>
      <c r="AI48" s="895">
        <v>27.18</v>
      </c>
      <c r="AJ48" s="791">
        <v>25.800000000000004</v>
      </c>
      <c r="AK48" s="896">
        <f t="shared" si="14"/>
        <v>1</v>
      </c>
      <c r="AL48" s="896"/>
    </row>
    <row r="49" spans="1:45" s="779" customFormat="1" ht="32.4" customHeight="1">
      <c r="A49" s="885">
        <v>33</v>
      </c>
      <c r="B49" s="886">
        <v>1</v>
      </c>
      <c r="C49" s="887" t="str">
        <f>'Tên thang 01-26'!E36</f>
        <v>ប៉ិល ផល្លា</v>
      </c>
      <c r="D49" s="887" t="str">
        <f>'Tên thang 01-26'!F36</f>
        <v>PEL PHALLA</v>
      </c>
      <c r="E49" s="888">
        <v>33</v>
      </c>
      <c r="F49" s="889">
        <f>'SAN LUONG'!AP41*0.44</f>
        <v>0</v>
      </c>
      <c r="G49" s="889">
        <f t="shared" si="0"/>
        <v>0</v>
      </c>
      <c r="H49" s="889">
        <f>'SAN LUONG'!AO41*0.44</f>
        <v>0</v>
      </c>
      <c r="I49" s="889">
        <f t="shared" si="1"/>
        <v>0</v>
      </c>
      <c r="J49" s="889">
        <f>'SAN LUONG'!AV41*0.44</f>
        <v>726.44</v>
      </c>
      <c r="K49" s="889">
        <f t="shared" si="6"/>
        <v>12.62</v>
      </c>
      <c r="L49" s="889"/>
      <c r="M49" s="881">
        <f>'CHAM CONG'!BC39</f>
        <v>15</v>
      </c>
      <c r="N49" s="889">
        <f t="shared" si="7"/>
        <v>7.51</v>
      </c>
      <c r="O49" s="889">
        <f t="shared" si="8"/>
        <v>0.47</v>
      </c>
      <c r="P49" s="890">
        <f>'CHAM CONG'!BO39</f>
        <v>29</v>
      </c>
      <c r="Q49" s="942">
        <f t="shared" si="9"/>
        <v>2.72</v>
      </c>
      <c r="R49" s="942">
        <f>'SAN LUONG'!DW41</f>
        <v>31</v>
      </c>
      <c r="S49" s="942">
        <f t="shared" si="2"/>
        <v>0.97</v>
      </c>
      <c r="T49" s="943">
        <f>'CHAM CONG'!BW39</f>
        <v>0</v>
      </c>
      <c r="U49" s="942">
        <f t="shared" si="10"/>
        <v>0</v>
      </c>
      <c r="V49" s="890">
        <f>'CHAM CONG'!BD39</f>
        <v>1</v>
      </c>
      <c r="W49" s="944">
        <f t="shared" si="3"/>
        <v>0.53</v>
      </c>
      <c r="X49" s="891">
        <f>'CHAM CONG'!BT39</f>
        <v>1</v>
      </c>
      <c r="Y49" s="881">
        <f t="shared" si="11"/>
        <v>1.1000000000000001</v>
      </c>
      <c r="Z49" s="892">
        <v>6.03</v>
      </c>
      <c r="AA49" s="942">
        <f t="shared" ref="AA49:AA80" si="15">ROUND(Z49*$Z$15,2)+0.01</f>
        <v>1.71</v>
      </c>
      <c r="AB49" s="892">
        <v>6.03</v>
      </c>
      <c r="AC49" s="942">
        <f t="shared" si="12"/>
        <v>7.24</v>
      </c>
      <c r="AD49" s="892">
        <v>6.03</v>
      </c>
      <c r="AE49" s="942">
        <f t="shared" si="13"/>
        <v>4.3</v>
      </c>
      <c r="AF49" s="943" t="e">
        <f>#N/A</f>
        <v>#N/A</v>
      </c>
      <c r="AG49" s="893">
        <f t="shared" si="5"/>
        <v>39.169999999999995</v>
      </c>
      <c r="AH49" s="894"/>
      <c r="AI49" s="895">
        <v>28.03</v>
      </c>
      <c r="AJ49" s="791">
        <v>26.650000000000002</v>
      </c>
      <c r="AK49" s="896">
        <f t="shared" si="14"/>
        <v>1</v>
      </c>
      <c r="AL49" s="896"/>
    </row>
    <row r="50" spans="1:45" s="779" customFormat="1" ht="32.4" customHeight="1">
      <c r="A50" s="885">
        <v>34</v>
      </c>
      <c r="B50" s="886">
        <v>1</v>
      </c>
      <c r="C50" s="887" t="str">
        <f>'Tên thang 01-26'!E37</f>
        <v>យៀត ឌី</v>
      </c>
      <c r="D50" s="887" t="str">
        <f>'Tên thang 01-26'!F37</f>
        <v>YIEN DY</v>
      </c>
      <c r="E50" s="888">
        <v>34</v>
      </c>
      <c r="F50" s="889">
        <f>'SAN LUONG'!AP42*0.44</f>
        <v>0</v>
      </c>
      <c r="G50" s="889">
        <f t="shared" si="0"/>
        <v>0</v>
      </c>
      <c r="H50" s="889">
        <f>'SAN LUONG'!AO42*0.44</f>
        <v>0</v>
      </c>
      <c r="I50" s="889">
        <f t="shared" si="1"/>
        <v>0</v>
      </c>
      <c r="J50" s="889">
        <f>'SAN LUONG'!AV42*0.44</f>
        <v>680.24</v>
      </c>
      <c r="K50" s="889">
        <f t="shared" si="6"/>
        <v>11.82</v>
      </c>
      <c r="L50" s="889"/>
      <c r="M50" s="881">
        <f>'CHAM CONG'!BC40</f>
        <v>16</v>
      </c>
      <c r="N50" s="889">
        <f t="shared" si="7"/>
        <v>8.01</v>
      </c>
      <c r="O50" s="889">
        <f t="shared" si="8"/>
        <v>0.5</v>
      </c>
      <c r="P50" s="890">
        <f>'CHAM CONG'!BO40</f>
        <v>30</v>
      </c>
      <c r="Q50" s="942">
        <f t="shared" si="9"/>
        <v>2.82</v>
      </c>
      <c r="R50" s="942">
        <f>'SAN LUONG'!DW42</f>
        <v>38</v>
      </c>
      <c r="S50" s="942">
        <f t="shared" si="2"/>
        <v>1.19</v>
      </c>
      <c r="T50" s="943">
        <f>'CHAM CONG'!BW40</f>
        <v>0</v>
      </c>
      <c r="U50" s="942">
        <f t="shared" si="10"/>
        <v>0</v>
      </c>
      <c r="V50" s="890">
        <f>'CHAM CONG'!BD40</f>
        <v>1</v>
      </c>
      <c r="W50" s="944">
        <f t="shared" si="3"/>
        <v>0.53</v>
      </c>
      <c r="X50" s="891">
        <f>'CHAM CONG'!BT40</f>
        <v>1</v>
      </c>
      <c r="Y50" s="881">
        <f t="shared" si="11"/>
        <v>1.1000000000000001</v>
      </c>
      <c r="Z50" s="892">
        <v>6.03</v>
      </c>
      <c r="AA50" s="942">
        <f t="shared" si="15"/>
        <v>1.71</v>
      </c>
      <c r="AB50" s="892">
        <v>6.03</v>
      </c>
      <c r="AC50" s="942">
        <f t="shared" si="12"/>
        <v>7.24</v>
      </c>
      <c r="AD50" s="892">
        <v>6.03</v>
      </c>
      <c r="AE50" s="942">
        <f t="shared" si="13"/>
        <v>4.3</v>
      </c>
      <c r="AF50" s="943" t="e">
        <f>#N/A</f>
        <v>#N/A</v>
      </c>
      <c r="AG50" s="893">
        <f t="shared" si="5"/>
        <v>39.22</v>
      </c>
      <c r="AH50" s="894"/>
      <c r="AI50" s="895">
        <v>25.74</v>
      </c>
      <c r="AJ50" s="791">
        <v>23.730000000000004</v>
      </c>
      <c r="AK50" s="896">
        <f t="shared" si="14"/>
        <v>2</v>
      </c>
      <c r="AL50" s="896"/>
    </row>
    <row r="51" spans="1:45" s="779" customFormat="1" ht="32.4" customHeight="1">
      <c r="A51" s="885">
        <v>35</v>
      </c>
      <c r="B51" s="886">
        <v>1</v>
      </c>
      <c r="C51" s="887" t="str">
        <f>'Tên thang 01-26'!E38</f>
        <v>រឿន ចាន់រ៉ា</v>
      </c>
      <c r="D51" s="887" t="str">
        <f>'Tên thang 01-26'!F38</f>
        <v>ROEUN CHANRA</v>
      </c>
      <c r="E51" s="888">
        <v>35</v>
      </c>
      <c r="F51" s="889">
        <f>'SAN LUONG'!AP43*0.44</f>
        <v>0</v>
      </c>
      <c r="G51" s="889">
        <f t="shared" si="0"/>
        <v>0</v>
      </c>
      <c r="H51" s="889">
        <f>'SAN LUONG'!AO43*0.44</f>
        <v>0</v>
      </c>
      <c r="I51" s="889">
        <f t="shared" si="1"/>
        <v>0</v>
      </c>
      <c r="J51" s="889">
        <f>'SAN LUONG'!AV43*0.44</f>
        <v>568.91999999999996</v>
      </c>
      <c r="K51" s="889">
        <f t="shared" si="6"/>
        <v>9.8800000000000008</v>
      </c>
      <c r="L51" s="889"/>
      <c r="M51" s="881">
        <f>'CHAM CONG'!BC41</f>
        <v>15</v>
      </c>
      <c r="N51" s="889">
        <f t="shared" si="7"/>
        <v>7.51</v>
      </c>
      <c r="O51" s="889">
        <f t="shared" si="8"/>
        <v>0.47</v>
      </c>
      <c r="P51" s="890">
        <f>'CHAM CONG'!BO41</f>
        <v>29</v>
      </c>
      <c r="Q51" s="942">
        <f t="shared" si="9"/>
        <v>2.72</v>
      </c>
      <c r="R51" s="942">
        <f>'SAN LUONG'!DW43</f>
        <v>39</v>
      </c>
      <c r="S51" s="942">
        <f t="shared" si="2"/>
        <v>1.22</v>
      </c>
      <c r="T51" s="943">
        <f>'CHAM CONG'!BW41</f>
        <v>0</v>
      </c>
      <c r="U51" s="942">
        <f t="shared" si="10"/>
        <v>0</v>
      </c>
      <c r="V51" s="890">
        <f>'CHAM CONG'!BD41</f>
        <v>1</v>
      </c>
      <c r="W51" s="944">
        <f t="shared" si="3"/>
        <v>0.53</v>
      </c>
      <c r="X51" s="891">
        <f>'CHAM CONG'!BT41</f>
        <v>1</v>
      </c>
      <c r="Y51" s="881">
        <f t="shared" si="11"/>
        <v>1.1000000000000001</v>
      </c>
      <c r="Z51" s="892">
        <v>6.03</v>
      </c>
      <c r="AA51" s="942">
        <f t="shared" si="15"/>
        <v>1.71</v>
      </c>
      <c r="AB51" s="892">
        <v>6.03</v>
      </c>
      <c r="AC51" s="942">
        <f t="shared" si="12"/>
        <v>7.24</v>
      </c>
      <c r="AD51" s="892">
        <v>6.03</v>
      </c>
      <c r="AE51" s="942">
        <f t="shared" si="13"/>
        <v>4.3</v>
      </c>
      <c r="AF51" s="943" t="e">
        <f>#N/A</f>
        <v>#N/A</v>
      </c>
      <c r="AG51" s="893">
        <f t="shared" si="5"/>
        <v>36.68</v>
      </c>
      <c r="AH51" s="894"/>
      <c r="AI51" s="895">
        <v>27.41</v>
      </c>
      <c r="AJ51" s="791">
        <v>25.400000000000006</v>
      </c>
      <c r="AK51" s="896">
        <f t="shared" si="14"/>
        <v>2</v>
      </c>
      <c r="AL51" s="896"/>
    </row>
    <row r="52" spans="1:45" s="779" customFormat="1" ht="32.4" customHeight="1">
      <c r="A52" s="885">
        <v>36</v>
      </c>
      <c r="B52" s="886">
        <v>1</v>
      </c>
      <c r="C52" s="887" t="str">
        <f>'Tên thang 01-26'!E39</f>
        <v>អៀវ សុភ័ណ្ឌ</v>
      </c>
      <c r="D52" s="887" t="str">
        <f>'Tên thang 01-26'!F39</f>
        <v>IEV SOPHORN</v>
      </c>
      <c r="E52" s="888">
        <v>36</v>
      </c>
      <c r="F52" s="889">
        <f>'SAN LUONG'!AP44*0.44</f>
        <v>0</v>
      </c>
      <c r="G52" s="889">
        <f t="shared" si="0"/>
        <v>0</v>
      </c>
      <c r="H52" s="889">
        <f>'SAN LUONG'!AO44*0.44</f>
        <v>0</v>
      </c>
      <c r="I52" s="889">
        <f t="shared" si="1"/>
        <v>0</v>
      </c>
      <c r="J52" s="889">
        <f>'SAN LUONG'!AV44*0.44</f>
        <v>633.16</v>
      </c>
      <c r="K52" s="889">
        <f t="shared" si="6"/>
        <v>11</v>
      </c>
      <c r="L52" s="889"/>
      <c r="M52" s="881">
        <f>'CHAM CONG'!BC42</f>
        <v>15</v>
      </c>
      <c r="N52" s="889">
        <f t="shared" si="7"/>
        <v>7.51</v>
      </c>
      <c r="O52" s="889">
        <f t="shared" si="8"/>
        <v>0.47</v>
      </c>
      <c r="P52" s="890">
        <f>'CHAM CONG'!BO42</f>
        <v>29</v>
      </c>
      <c r="Q52" s="942">
        <f t="shared" si="9"/>
        <v>2.72</v>
      </c>
      <c r="R52" s="942">
        <f>'SAN LUONG'!DW44</f>
        <v>24</v>
      </c>
      <c r="S52" s="942">
        <f t="shared" si="2"/>
        <v>0.75</v>
      </c>
      <c r="T52" s="943">
        <f>'CHAM CONG'!BW42</f>
        <v>0</v>
      </c>
      <c r="U52" s="942">
        <f t="shared" si="10"/>
        <v>0</v>
      </c>
      <c r="V52" s="890">
        <f>'CHAM CONG'!BD42</f>
        <v>1</v>
      </c>
      <c r="W52" s="944">
        <f t="shared" si="3"/>
        <v>0.53</v>
      </c>
      <c r="X52" s="891">
        <f>'CHAM CONG'!BT42</f>
        <v>1</v>
      </c>
      <c r="Y52" s="881">
        <f t="shared" si="11"/>
        <v>1.1000000000000001</v>
      </c>
      <c r="Z52" s="892">
        <v>6.03</v>
      </c>
      <c r="AA52" s="942">
        <f t="shared" si="15"/>
        <v>1.71</v>
      </c>
      <c r="AB52" s="892">
        <v>6.03</v>
      </c>
      <c r="AC52" s="942">
        <f t="shared" si="12"/>
        <v>7.24</v>
      </c>
      <c r="AD52" s="892">
        <v>6.03</v>
      </c>
      <c r="AE52" s="942">
        <f t="shared" si="13"/>
        <v>4.3</v>
      </c>
      <c r="AF52" s="943" t="e">
        <f>#N/A</f>
        <v>#N/A</v>
      </c>
      <c r="AG52" s="893">
        <f t="shared" si="5"/>
        <v>37.33</v>
      </c>
      <c r="AH52" s="894"/>
      <c r="AI52" s="895">
        <v>26.03</v>
      </c>
      <c r="AJ52" s="791">
        <v>24.020000000000003</v>
      </c>
      <c r="AK52" s="896">
        <f t="shared" si="14"/>
        <v>2</v>
      </c>
      <c r="AL52" s="896"/>
    </row>
    <row r="53" spans="1:45" s="779" customFormat="1" ht="32.4" customHeight="1">
      <c r="A53" s="885">
        <v>37</v>
      </c>
      <c r="B53" s="886">
        <v>1</v>
      </c>
      <c r="C53" s="887" t="str">
        <f>'Tên thang 01-26'!E40</f>
        <v>គុយ សឿន</v>
      </c>
      <c r="D53" s="887" t="str">
        <f>'Tên thang 01-26'!F40</f>
        <v>KUY SOEUN</v>
      </c>
      <c r="E53" s="888">
        <v>37</v>
      </c>
      <c r="F53" s="889">
        <f>'SAN LUONG'!AP45*0.44</f>
        <v>0</v>
      </c>
      <c r="G53" s="889">
        <f t="shared" si="0"/>
        <v>0</v>
      </c>
      <c r="H53" s="889">
        <f>'SAN LUONG'!AO45*0.44</f>
        <v>0</v>
      </c>
      <c r="I53" s="889">
        <f t="shared" si="1"/>
        <v>0</v>
      </c>
      <c r="J53" s="889">
        <f>'SAN LUONG'!AV45*0.44</f>
        <v>649</v>
      </c>
      <c r="K53" s="889">
        <f t="shared" si="6"/>
        <v>11.27</v>
      </c>
      <c r="L53" s="889"/>
      <c r="M53" s="881">
        <f>'CHAM CONG'!BC43</f>
        <v>15</v>
      </c>
      <c r="N53" s="889">
        <f t="shared" si="7"/>
        <v>7.51</v>
      </c>
      <c r="O53" s="889">
        <f t="shared" si="8"/>
        <v>0.47</v>
      </c>
      <c r="P53" s="890">
        <f>'CHAM CONG'!BO43</f>
        <v>29</v>
      </c>
      <c r="Q53" s="942">
        <f t="shared" si="9"/>
        <v>2.72</v>
      </c>
      <c r="R53" s="942">
        <f>'SAN LUONG'!DW45</f>
        <v>26</v>
      </c>
      <c r="S53" s="942">
        <f t="shared" si="2"/>
        <v>0.81</v>
      </c>
      <c r="T53" s="943">
        <f>'CHAM CONG'!BW43</f>
        <v>0</v>
      </c>
      <c r="U53" s="942">
        <f t="shared" si="10"/>
        <v>0</v>
      </c>
      <c r="V53" s="890">
        <f>'CHAM CONG'!BD43</f>
        <v>1</v>
      </c>
      <c r="W53" s="944">
        <f t="shared" si="3"/>
        <v>0.53</v>
      </c>
      <c r="X53" s="891">
        <f>'CHAM CONG'!BT43</f>
        <v>1</v>
      </c>
      <c r="Y53" s="881">
        <f t="shared" si="11"/>
        <v>1.1000000000000001</v>
      </c>
      <c r="Z53" s="892">
        <v>6.03</v>
      </c>
      <c r="AA53" s="942">
        <f t="shared" si="15"/>
        <v>1.71</v>
      </c>
      <c r="AB53" s="892">
        <v>6.03</v>
      </c>
      <c r="AC53" s="942">
        <f t="shared" si="12"/>
        <v>7.24</v>
      </c>
      <c r="AD53" s="892">
        <v>6.03</v>
      </c>
      <c r="AE53" s="942">
        <f t="shared" si="13"/>
        <v>4.3</v>
      </c>
      <c r="AF53" s="943" t="e">
        <f>#N/A</f>
        <v>#N/A</v>
      </c>
      <c r="AG53" s="893">
        <f t="shared" si="5"/>
        <v>37.659999999999997</v>
      </c>
      <c r="AH53" s="894"/>
      <c r="AI53" s="895">
        <v>30.61</v>
      </c>
      <c r="AJ53" s="791">
        <v>28.620000000000005</v>
      </c>
      <c r="AK53" s="896">
        <f t="shared" si="14"/>
        <v>2</v>
      </c>
      <c r="AL53" s="896"/>
    </row>
    <row r="54" spans="1:45" s="779" customFormat="1" ht="32.4" customHeight="1">
      <c r="A54" s="885">
        <v>38</v>
      </c>
      <c r="B54" s="886">
        <v>1</v>
      </c>
      <c r="C54" s="887" t="str">
        <f>'Tên thang 01-26'!E41</f>
        <v>សាំ សុរីសា</v>
      </c>
      <c r="D54" s="887" t="str">
        <f>'Tên thang 01-26'!F41</f>
        <v>SAM SORYSA</v>
      </c>
      <c r="E54" s="888">
        <v>38</v>
      </c>
      <c r="F54" s="889">
        <f>'SAN LUONG'!AP46*0.44</f>
        <v>0</v>
      </c>
      <c r="G54" s="889">
        <f t="shared" si="0"/>
        <v>0</v>
      </c>
      <c r="H54" s="889">
        <f>'SAN LUONG'!AO46*0.44</f>
        <v>0</v>
      </c>
      <c r="I54" s="889">
        <f t="shared" si="1"/>
        <v>0</v>
      </c>
      <c r="J54" s="889">
        <f>'SAN LUONG'!AV46*0.44</f>
        <v>650.32000000000005</v>
      </c>
      <c r="K54" s="889">
        <f t="shared" si="6"/>
        <v>11.3</v>
      </c>
      <c r="L54" s="889"/>
      <c r="M54" s="881">
        <f>'CHAM CONG'!BC44</f>
        <v>15</v>
      </c>
      <c r="N54" s="889">
        <f t="shared" si="7"/>
        <v>7.51</v>
      </c>
      <c r="O54" s="889">
        <f t="shared" si="8"/>
        <v>0.47</v>
      </c>
      <c r="P54" s="890">
        <f>'CHAM CONG'!BO44</f>
        <v>29</v>
      </c>
      <c r="Q54" s="942">
        <f t="shared" si="9"/>
        <v>2.72</v>
      </c>
      <c r="R54" s="942">
        <f>'SAN LUONG'!DW46</f>
        <v>28</v>
      </c>
      <c r="S54" s="942">
        <f t="shared" si="2"/>
        <v>0.88</v>
      </c>
      <c r="T54" s="943">
        <f>'CHAM CONG'!BW44</f>
        <v>0</v>
      </c>
      <c r="U54" s="942">
        <f t="shared" si="10"/>
        <v>0</v>
      </c>
      <c r="V54" s="890">
        <f>'CHAM CONG'!BD44</f>
        <v>1</v>
      </c>
      <c r="W54" s="944">
        <f t="shared" si="3"/>
        <v>0.53</v>
      </c>
      <c r="X54" s="891">
        <f>'CHAM CONG'!BT44</f>
        <v>1</v>
      </c>
      <c r="Y54" s="881">
        <f t="shared" si="11"/>
        <v>1.1000000000000001</v>
      </c>
      <c r="Z54" s="892">
        <v>6.03</v>
      </c>
      <c r="AA54" s="942">
        <f t="shared" si="15"/>
        <v>1.71</v>
      </c>
      <c r="AB54" s="892">
        <v>6.03</v>
      </c>
      <c r="AC54" s="942">
        <f t="shared" si="12"/>
        <v>7.24</v>
      </c>
      <c r="AD54" s="892">
        <v>6.03</v>
      </c>
      <c r="AE54" s="942">
        <f t="shared" si="13"/>
        <v>4.3</v>
      </c>
      <c r="AF54" s="943" t="e">
        <f>#N/A</f>
        <v>#N/A</v>
      </c>
      <c r="AG54" s="893">
        <f t="shared" si="5"/>
        <v>37.76</v>
      </c>
      <c r="AH54" s="894"/>
      <c r="AI54" s="895">
        <v>30.17</v>
      </c>
      <c r="AJ54" s="791">
        <v>28.17</v>
      </c>
      <c r="AK54" s="896">
        <f t="shared" si="14"/>
        <v>2</v>
      </c>
      <c r="AL54" s="896"/>
    </row>
    <row r="55" spans="1:45" s="779" customFormat="1" ht="32.4" customHeight="1">
      <c r="A55" s="885">
        <v>39</v>
      </c>
      <c r="B55" s="886">
        <v>1</v>
      </c>
      <c r="C55" s="887" t="str">
        <f>'Tên thang 01-26'!E42</f>
        <v>មាស សំបាន</v>
      </c>
      <c r="D55" s="887" t="str">
        <f>'Tên thang 01-26'!F42</f>
        <v>MEAS SOM BAN</v>
      </c>
      <c r="E55" s="888">
        <v>39</v>
      </c>
      <c r="F55" s="889">
        <f>'SAN LUONG'!AP47*0.44</f>
        <v>0</v>
      </c>
      <c r="G55" s="889">
        <f t="shared" si="0"/>
        <v>0</v>
      </c>
      <c r="H55" s="889">
        <f>'SAN LUONG'!AO47*0.44</f>
        <v>0</v>
      </c>
      <c r="I55" s="889">
        <f t="shared" si="1"/>
        <v>0</v>
      </c>
      <c r="J55" s="889">
        <f>'SAN LUONG'!AV47*0.44</f>
        <v>419.32</v>
      </c>
      <c r="K55" s="889">
        <f t="shared" si="6"/>
        <v>7.28</v>
      </c>
      <c r="L55" s="889"/>
      <c r="M55" s="881">
        <f>'CHAM CONG'!BC45</f>
        <v>9</v>
      </c>
      <c r="N55" s="889">
        <f t="shared" si="7"/>
        <v>4.51</v>
      </c>
      <c r="O55" s="889">
        <f t="shared" si="8"/>
        <v>0.28000000000000003</v>
      </c>
      <c r="P55" s="890">
        <f>'CHAM CONG'!BO45</f>
        <v>0</v>
      </c>
      <c r="Q55" s="942">
        <f t="shared" si="9"/>
        <v>0</v>
      </c>
      <c r="R55" s="942">
        <f>'SAN LUONG'!DW47</f>
        <v>32</v>
      </c>
      <c r="S55" s="942">
        <f t="shared" si="2"/>
        <v>1</v>
      </c>
      <c r="T55" s="943">
        <f>'CHAM CONG'!BW45</f>
        <v>0</v>
      </c>
      <c r="U55" s="942">
        <f t="shared" si="10"/>
        <v>0</v>
      </c>
      <c r="V55" s="890">
        <f>'CHAM CONG'!BD45</f>
        <v>1</v>
      </c>
      <c r="W55" s="944">
        <f t="shared" si="3"/>
        <v>0.53</v>
      </c>
      <c r="X55" s="891">
        <f>'CHAM CONG'!BT45</f>
        <v>0</v>
      </c>
      <c r="Y55" s="881">
        <f t="shared" si="11"/>
        <v>0</v>
      </c>
      <c r="Z55" s="892">
        <v>6.03</v>
      </c>
      <c r="AA55" s="942">
        <f t="shared" si="15"/>
        <v>1.71</v>
      </c>
      <c r="AB55" s="892">
        <v>6.03</v>
      </c>
      <c r="AC55" s="942">
        <f t="shared" si="12"/>
        <v>7.24</v>
      </c>
      <c r="AD55" s="892">
        <v>6.03</v>
      </c>
      <c r="AE55" s="942">
        <f t="shared" si="13"/>
        <v>4.3</v>
      </c>
      <c r="AF55" s="943" t="e">
        <f>#N/A</f>
        <v>#N/A</v>
      </c>
      <c r="AG55" s="893">
        <f t="shared" si="5"/>
        <v>26.85</v>
      </c>
      <c r="AH55" s="894"/>
      <c r="AI55" s="895">
        <v>32.32</v>
      </c>
      <c r="AJ55" s="791">
        <v>30.310000000000002</v>
      </c>
      <c r="AK55" s="896">
        <f t="shared" si="14"/>
        <v>2</v>
      </c>
      <c r="AL55" s="896"/>
    </row>
    <row r="56" spans="1:45" s="779" customFormat="1" ht="32.4" customHeight="1">
      <c r="A56" s="885">
        <v>40</v>
      </c>
      <c r="B56" s="886">
        <v>1</v>
      </c>
      <c r="C56" s="887" t="str">
        <f>'Tên thang 01-26'!E43</f>
        <v>សុទ្ធ ឡៃហ័ន</v>
      </c>
      <c r="D56" s="887" t="str">
        <f>'Tên thang 01-26'!F43</f>
        <v>SOT LAYHORN</v>
      </c>
      <c r="E56" s="888">
        <v>40</v>
      </c>
      <c r="F56" s="889">
        <f>'SAN LUONG'!AP48*0.44</f>
        <v>0</v>
      </c>
      <c r="G56" s="889">
        <f t="shared" si="0"/>
        <v>0</v>
      </c>
      <c r="H56" s="889">
        <f>'SAN LUONG'!AO48*0.44</f>
        <v>0</v>
      </c>
      <c r="I56" s="889">
        <f t="shared" si="1"/>
        <v>0</v>
      </c>
      <c r="J56" s="889">
        <f>'SAN LUONG'!AV48*0.44</f>
        <v>660.88</v>
      </c>
      <c r="K56" s="889">
        <f t="shared" si="6"/>
        <v>11.48</v>
      </c>
      <c r="L56" s="889"/>
      <c r="M56" s="881">
        <f>'CHAM CONG'!BC46</f>
        <v>15</v>
      </c>
      <c r="N56" s="889">
        <f t="shared" si="7"/>
        <v>7.51</v>
      </c>
      <c r="O56" s="889">
        <f t="shared" si="8"/>
        <v>0.47</v>
      </c>
      <c r="P56" s="890">
        <f>'CHAM CONG'!BO46</f>
        <v>28</v>
      </c>
      <c r="Q56" s="942">
        <f t="shared" si="9"/>
        <v>2.63</v>
      </c>
      <c r="R56" s="942">
        <f>'SAN LUONG'!DW48</f>
        <v>15</v>
      </c>
      <c r="S56" s="942">
        <f t="shared" si="2"/>
        <v>0.47</v>
      </c>
      <c r="T56" s="943">
        <f>'CHAM CONG'!BW46</f>
        <v>0</v>
      </c>
      <c r="U56" s="942">
        <f t="shared" si="10"/>
        <v>0</v>
      </c>
      <c r="V56" s="890">
        <f>'CHAM CONG'!BD46</f>
        <v>2</v>
      </c>
      <c r="W56" s="944">
        <f t="shared" si="3"/>
        <v>1.06</v>
      </c>
      <c r="X56" s="891">
        <f>'CHAM CONG'!BT46</f>
        <v>1</v>
      </c>
      <c r="Y56" s="881">
        <f t="shared" si="11"/>
        <v>1.1000000000000001</v>
      </c>
      <c r="Z56" s="892">
        <v>6.03</v>
      </c>
      <c r="AA56" s="942">
        <f t="shared" si="15"/>
        <v>1.71</v>
      </c>
      <c r="AB56" s="892">
        <v>6.03</v>
      </c>
      <c r="AC56" s="942">
        <f t="shared" si="12"/>
        <v>7.24</v>
      </c>
      <c r="AD56" s="892">
        <v>6.03</v>
      </c>
      <c r="AE56" s="942">
        <f t="shared" si="13"/>
        <v>4.3</v>
      </c>
      <c r="AF56" s="943" t="e">
        <f>#N/A</f>
        <v>#N/A</v>
      </c>
      <c r="AG56" s="893">
        <f t="shared" si="5"/>
        <v>37.97</v>
      </c>
      <c r="AH56" s="894"/>
      <c r="AI56" s="895">
        <v>29.66</v>
      </c>
      <c r="AJ56" s="791">
        <v>27.650000000000006</v>
      </c>
      <c r="AK56" s="896">
        <f t="shared" si="14"/>
        <v>2</v>
      </c>
      <c r="AL56" s="896"/>
    </row>
    <row r="57" spans="1:45" s="779" customFormat="1" ht="32.4" customHeight="1">
      <c r="A57" s="885">
        <v>41</v>
      </c>
      <c r="B57" s="886">
        <v>1</v>
      </c>
      <c r="C57" s="887" t="str">
        <f>'Tên thang 01-26'!E44</f>
        <v>អឿង សំអុល</v>
      </c>
      <c r="D57" s="887" t="str">
        <f>'Tên thang 01-26'!F44</f>
        <v>OENG SAMOL</v>
      </c>
      <c r="E57" s="888">
        <v>41</v>
      </c>
      <c r="F57" s="889">
        <f>'SAN LUONG'!AP49*0.44</f>
        <v>0</v>
      </c>
      <c r="G57" s="889">
        <f t="shared" si="0"/>
        <v>0</v>
      </c>
      <c r="H57" s="889">
        <f>'SAN LUONG'!AO49*0.44</f>
        <v>0</v>
      </c>
      <c r="I57" s="889">
        <f t="shared" si="1"/>
        <v>0</v>
      </c>
      <c r="J57" s="889">
        <f>'SAN LUONG'!AV49*0.44</f>
        <v>623.91999999999996</v>
      </c>
      <c r="K57" s="889">
        <f t="shared" si="6"/>
        <v>10.84</v>
      </c>
      <c r="L57" s="889"/>
      <c r="M57" s="881">
        <f>'CHAM CONG'!BC47</f>
        <v>14</v>
      </c>
      <c r="N57" s="889">
        <f t="shared" si="7"/>
        <v>7.01</v>
      </c>
      <c r="O57" s="889">
        <f t="shared" si="8"/>
        <v>0.44</v>
      </c>
      <c r="P57" s="890">
        <f>'CHAM CONG'!BO47</f>
        <v>27</v>
      </c>
      <c r="Q57" s="942">
        <f t="shared" si="9"/>
        <v>2.54</v>
      </c>
      <c r="R57" s="942">
        <f>'SAN LUONG'!DW49</f>
        <v>15</v>
      </c>
      <c r="S57" s="942">
        <f t="shared" si="2"/>
        <v>0.47</v>
      </c>
      <c r="T57" s="943">
        <f>'CHAM CONG'!BW47</f>
        <v>0</v>
      </c>
      <c r="U57" s="942">
        <f t="shared" si="10"/>
        <v>0</v>
      </c>
      <c r="V57" s="890">
        <f>'CHAM CONG'!BD47</f>
        <v>2</v>
      </c>
      <c r="W57" s="944">
        <f t="shared" si="3"/>
        <v>1.06</v>
      </c>
      <c r="X57" s="891">
        <f>'CHAM CONG'!BT47</f>
        <v>1</v>
      </c>
      <c r="Y57" s="881">
        <f t="shared" si="11"/>
        <v>1.1000000000000001</v>
      </c>
      <c r="Z57" s="892">
        <v>6.03</v>
      </c>
      <c r="AA57" s="942">
        <f t="shared" si="15"/>
        <v>1.71</v>
      </c>
      <c r="AB57" s="892">
        <v>6.03</v>
      </c>
      <c r="AC57" s="942">
        <f t="shared" si="12"/>
        <v>7.24</v>
      </c>
      <c r="AD57" s="892">
        <v>6.03</v>
      </c>
      <c r="AE57" s="942">
        <f t="shared" si="13"/>
        <v>4.3</v>
      </c>
      <c r="AF57" s="943" t="e">
        <f>#N/A</f>
        <v>#N/A</v>
      </c>
      <c r="AG57" s="893">
        <f t="shared" si="5"/>
        <v>36.709999999999994</v>
      </c>
      <c r="AH57" s="894"/>
      <c r="AI57" s="895">
        <v>29.49</v>
      </c>
      <c r="AJ57" s="791">
        <v>27.490000000000006</v>
      </c>
      <c r="AK57" s="896">
        <f t="shared" si="14"/>
        <v>2</v>
      </c>
      <c r="AL57" s="896"/>
    </row>
    <row r="58" spans="1:45" s="779" customFormat="1" ht="32.4" customHeight="1">
      <c r="A58" s="885">
        <v>42</v>
      </c>
      <c r="B58" s="886">
        <v>1</v>
      </c>
      <c r="C58" s="887" t="str">
        <f>'Tên thang 01-26'!E45</f>
        <v>ឡា​ឡច</v>
      </c>
      <c r="D58" s="887" t="str">
        <f>'Tên thang 01-26'!F45</f>
        <v>LA LOCH</v>
      </c>
      <c r="E58" s="888">
        <v>42</v>
      </c>
      <c r="F58" s="889">
        <f>'SAN LUONG'!AP50*0.44</f>
        <v>0</v>
      </c>
      <c r="G58" s="889">
        <f t="shared" si="0"/>
        <v>0</v>
      </c>
      <c r="H58" s="889">
        <f>'SAN LUONG'!AO50*0.44</f>
        <v>0</v>
      </c>
      <c r="I58" s="889">
        <f t="shared" si="1"/>
        <v>0</v>
      </c>
      <c r="J58" s="889">
        <f>'SAN LUONG'!AV50*0.44</f>
        <v>897.16</v>
      </c>
      <c r="K58" s="889">
        <f t="shared" si="6"/>
        <v>15.59</v>
      </c>
      <c r="L58" s="889"/>
      <c r="M58" s="881">
        <f>'CHAM CONG'!BC48</f>
        <v>15</v>
      </c>
      <c r="N58" s="889">
        <f t="shared" si="7"/>
        <v>7.51</v>
      </c>
      <c r="O58" s="889">
        <f t="shared" si="8"/>
        <v>0.47</v>
      </c>
      <c r="P58" s="890">
        <f>'CHAM CONG'!BO48</f>
        <v>28</v>
      </c>
      <c r="Q58" s="942">
        <f t="shared" si="9"/>
        <v>2.63</v>
      </c>
      <c r="R58" s="942">
        <f>'SAN LUONG'!DW50</f>
        <v>33</v>
      </c>
      <c r="S58" s="942">
        <f t="shared" si="2"/>
        <v>1.03</v>
      </c>
      <c r="T58" s="943">
        <f>'CHAM CONG'!BW48</f>
        <v>0</v>
      </c>
      <c r="U58" s="942">
        <f t="shared" si="10"/>
        <v>0</v>
      </c>
      <c r="V58" s="890">
        <f>'CHAM CONG'!BD48</f>
        <v>0</v>
      </c>
      <c r="W58" s="944">
        <f t="shared" si="3"/>
        <v>0</v>
      </c>
      <c r="X58" s="891">
        <f>'CHAM CONG'!BT48</f>
        <v>1</v>
      </c>
      <c r="Y58" s="881">
        <f t="shared" si="11"/>
        <v>1.1000000000000001</v>
      </c>
      <c r="Z58" s="892">
        <v>6.03</v>
      </c>
      <c r="AA58" s="942">
        <f t="shared" si="15"/>
        <v>1.71</v>
      </c>
      <c r="AB58" s="892">
        <v>6.03</v>
      </c>
      <c r="AC58" s="942">
        <f t="shared" si="12"/>
        <v>7.24</v>
      </c>
      <c r="AD58" s="892">
        <v>6.03</v>
      </c>
      <c r="AE58" s="942">
        <f t="shared" si="13"/>
        <v>4.3</v>
      </c>
      <c r="AF58" s="943" t="e">
        <f>#N/A</f>
        <v>#N/A</v>
      </c>
      <c r="AG58" s="893">
        <f t="shared" si="5"/>
        <v>41.58</v>
      </c>
      <c r="AH58" s="894"/>
      <c r="AI58" s="895">
        <v>31.79</v>
      </c>
      <c r="AJ58" s="791">
        <v>31.03</v>
      </c>
      <c r="AK58" s="896">
        <f t="shared" si="14"/>
        <v>1</v>
      </c>
      <c r="AL58" s="896"/>
    </row>
    <row r="59" spans="1:45" s="779" customFormat="1" ht="32.4" customHeight="1">
      <c r="A59" s="885">
        <v>43</v>
      </c>
      <c r="B59" s="886">
        <v>1</v>
      </c>
      <c r="C59" s="887" t="str">
        <f>'Tên thang 01-26'!E46</f>
        <v>សៀក សំ</v>
      </c>
      <c r="D59" s="887" t="str">
        <f>'Tên thang 01-26'!F46</f>
        <v>SIEK SOM</v>
      </c>
      <c r="E59" s="888">
        <v>43</v>
      </c>
      <c r="F59" s="889">
        <f>'SAN LUONG'!AP51*0.44</f>
        <v>0</v>
      </c>
      <c r="G59" s="889">
        <f t="shared" si="0"/>
        <v>0</v>
      </c>
      <c r="H59" s="889">
        <f>'SAN LUONG'!AO51*0.44</f>
        <v>0</v>
      </c>
      <c r="I59" s="889">
        <f t="shared" si="1"/>
        <v>0</v>
      </c>
      <c r="J59" s="889">
        <f>'SAN LUONG'!AV51*0.44</f>
        <v>603.24</v>
      </c>
      <c r="K59" s="889">
        <f t="shared" si="6"/>
        <v>10.48</v>
      </c>
      <c r="L59" s="889"/>
      <c r="M59" s="881">
        <f>'CHAM CONG'!BC49</f>
        <v>15</v>
      </c>
      <c r="N59" s="889">
        <f t="shared" si="7"/>
        <v>7.51</v>
      </c>
      <c r="O59" s="889">
        <f t="shared" si="8"/>
        <v>0.47</v>
      </c>
      <c r="P59" s="890">
        <f>'CHAM CONG'!BO49</f>
        <v>26</v>
      </c>
      <c r="Q59" s="942">
        <f t="shared" si="9"/>
        <v>2.44</v>
      </c>
      <c r="R59" s="942">
        <f>'SAN LUONG'!DW51</f>
        <v>32</v>
      </c>
      <c r="S59" s="942">
        <f t="shared" si="2"/>
        <v>1</v>
      </c>
      <c r="T59" s="943">
        <f>'CHAM CONG'!BW49</f>
        <v>0</v>
      </c>
      <c r="U59" s="942">
        <f t="shared" si="10"/>
        <v>0</v>
      </c>
      <c r="V59" s="890">
        <f>'CHAM CONG'!BD49</f>
        <v>1</v>
      </c>
      <c r="W59" s="944">
        <f t="shared" si="3"/>
        <v>0.53</v>
      </c>
      <c r="X59" s="891">
        <f>'CHAM CONG'!BT49</f>
        <v>1</v>
      </c>
      <c r="Y59" s="881">
        <f t="shared" si="11"/>
        <v>1.1000000000000001</v>
      </c>
      <c r="Z59" s="892">
        <v>6.03</v>
      </c>
      <c r="AA59" s="942">
        <f t="shared" si="15"/>
        <v>1.71</v>
      </c>
      <c r="AB59" s="892">
        <v>6.03</v>
      </c>
      <c r="AC59" s="942">
        <f t="shared" si="12"/>
        <v>7.24</v>
      </c>
      <c r="AD59" s="892">
        <v>6.03</v>
      </c>
      <c r="AE59" s="942">
        <f t="shared" si="13"/>
        <v>4.3</v>
      </c>
      <c r="AF59" s="943" t="e">
        <f>#N/A</f>
        <v>#N/A</v>
      </c>
      <c r="AG59" s="893">
        <f t="shared" si="5"/>
        <v>36.78</v>
      </c>
      <c r="AH59" s="894"/>
      <c r="AI59" s="895">
        <v>32.92</v>
      </c>
      <c r="AJ59" s="791">
        <v>30.290000000000006</v>
      </c>
      <c r="AK59" s="896">
        <f t="shared" si="14"/>
        <v>3</v>
      </c>
      <c r="AL59" s="896"/>
      <c r="AS59" s="104"/>
    </row>
    <row r="60" spans="1:45" s="779" customFormat="1" ht="32.4" customHeight="1">
      <c r="A60" s="885">
        <v>44</v>
      </c>
      <c r="B60" s="886">
        <v>1</v>
      </c>
      <c r="C60" s="887" t="str">
        <f>'Tên thang 01-26'!E47</f>
        <v>អ៊ីម សារ៉ាន</v>
      </c>
      <c r="D60" s="887" t="str">
        <f>'Tên thang 01-26'!F47</f>
        <v>IM SARAN</v>
      </c>
      <c r="E60" s="888">
        <v>44</v>
      </c>
      <c r="F60" s="889">
        <f>'SAN LUONG'!AP52*0.44</f>
        <v>0</v>
      </c>
      <c r="G60" s="889">
        <f t="shared" si="0"/>
        <v>0</v>
      </c>
      <c r="H60" s="889">
        <f>'SAN LUONG'!AO52*0.44</f>
        <v>0</v>
      </c>
      <c r="I60" s="889">
        <f t="shared" si="1"/>
        <v>0</v>
      </c>
      <c r="J60" s="889">
        <f>'SAN LUONG'!AV52*0.44</f>
        <v>605.88</v>
      </c>
      <c r="K60" s="889">
        <f t="shared" si="6"/>
        <v>10.53</v>
      </c>
      <c r="L60" s="889"/>
      <c r="M60" s="881">
        <f>'CHAM CONG'!BC50</f>
        <v>14</v>
      </c>
      <c r="N60" s="889">
        <f t="shared" si="7"/>
        <v>7.01</v>
      </c>
      <c r="O60" s="889">
        <f t="shared" si="8"/>
        <v>0.44</v>
      </c>
      <c r="P60" s="890">
        <f>'CHAM CONG'!BO50</f>
        <v>27</v>
      </c>
      <c r="Q60" s="942">
        <f t="shared" si="9"/>
        <v>2.54</v>
      </c>
      <c r="R60" s="942">
        <f>'SAN LUONG'!DW52</f>
        <v>47</v>
      </c>
      <c r="S60" s="942">
        <f t="shared" si="2"/>
        <v>1.47</v>
      </c>
      <c r="T60" s="943">
        <f>'CHAM CONG'!BW50</f>
        <v>0</v>
      </c>
      <c r="U60" s="942">
        <f t="shared" si="10"/>
        <v>0</v>
      </c>
      <c r="V60" s="890">
        <f>'CHAM CONG'!BD50</f>
        <v>1</v>
      </c>
      <c r="W60" s="944">
        <f t="shared" si="3"/>
        <v>0.53</v>
      </c>
      <c r="X60" s="891">
        <f>'CHAM CONG'!BT50</f>
        <v>1</v>
      </c>
      <c r="Y60" s="881">
        <f t="shared" si="11"/>
        <v>1.1000000000000001</v>
      </c>
      <c r="Z60" s="892">
        <v>6.03</v>
      </c>
      <c r="AA60" s="942">
        <f t="shared" si="15"/>
        <v>1.71</v>
      </c>
      <c r="AB60" s="892">
        <v>6.03</v>
      </c>
      <c r="AC60" s="942">
        <f t="shared" si="12"/>
        <v>7.24</v>
      </c>
      <c r="AD60" s="892">
        <v>6.03</v>
      </c>
      <c r="AE60" s="942">
        <f t="shared" si="13"/>
        <v>4.3</v>
      </c>
      <c r="AF60" s="943" t="e">
        <f>#N/A</f>
        <v>#N/A</v>
      </c>
      <c r="AG60" s="893">
        <f t="shared" si="5"/>
        <v>36.869999999999997</v>
      </c>
      <c r="AH60" s="894"/>
      <c r="AI60" s="895">
        <v>27.8</v>
      </c>
      <c r="AJ60" s="791">
        <v>25.800000000000004</v>
      </c>
      <c r="AK60" s="896">
        <f t="shared" si="14"/>
        <v>2</v>
      </c>
      <c r="AL60" s="896"/>
      <c r="AS60" s="898"/>
    </row>
    <row r="61" spans="1:45" s="779" customFormat="1" ht="32.4" customHeight="1">
      <c r="A61" s="885">
        <v>45</v>
      </c>
      <c r="B61" s="886">
        <v>1</v>
      </c>
      <c r="C61" s="887" t="str">
        <f>'Tên thang 01-26'!E48</f>
        <v>គាន ខេន</v>
      </c>
      <c r="D61" s="887" t="str">
        <f>'Tên thang 01-26'!F48</f>
        <v>KEAN KHEN</v>
      </c>
      <c r="E61" s="888">
        <v>45</v>
      </c>
      <c r="F61" s="889">
        <f>'SAN LUONG'!AP53*0.44</f>
        <v>0</v>
      </c>
      <c r="G61" s="889">
        <f t="shared" si="0"/>
        <v>0</v>
      </c>
      <c r="H61" s="889">
        <f>'SAN LUONG'!AO53*0.44</f>
        <v>0</v>
      </c>
      <c r="I61" s="889">
        <f t="shared" si="1"/>
        <v>0</v>
      </c>
      <c r="J61" s="889">
        <f>'SAN LUONG'!AV53*0.44</f>
        <v>515.67999999999995</v>
      </c>
      <c r="K61" s="889">
        <f t="shared" si="6"/>
        <v>8.9600000000000009</v>
      </c>
      <c r="L61" s="889"/>
      <c r="M61" s="881">
        <f>'CHAM CONG'!BC51</f>
        <v>11</v>
      </c>
      <c r="N61" s="889">
        <f t="shared" si="7"/>
        <v>5.51</v>
      </c>
      <c r="O61" s="889">
        <f t="shared" si="8"/>
        <v>0.34</v>
      </c>
      <c r="P61" s="890">
        <f>'CHAM CONG'!BO51</f>
        <v>0</v>
      </c>
      <c r="Q61" s="942">
        <f t="shared" si="9"/>
        <v>0</v>
      </c>
      <c r="R61" s="942">
        <f>'SAN LUONG'!DW53</f>
        <v>31</v>
      </c>
      <c r="S61" s="942">
        <f t="shared" si="2"/>
        <v>0.97</v>
      </c>
      <c r="T61" s="943">
        <f>'CHAM CONG'!BW51</f>
        <v>0</v>
      </c>
      <c r="U61" s="942">
        <f t="shared" si="10"/>
        <v>0</v>
      </c>
      <c r="V61" s="890">
        <f>'CHAM CONG'!BD51</f>
        <v>1</v>
      </c>
      <c r="W61" s="944">
        <f t="shared" si="3"/>
        <v>0.53</v>
      </c>
      <c r="X61" s="891">
        <f>'CHAM CONG'!BT51</f>
        <v>0</v>
      </c>
      <c r="Y61" s="881">
        <f t="shared" si="11"/>
        <v>0</v>
      </c>
      <c r="Z61" s="892">
        <v>6.03</v>
      </c>
      <c r="AA61" s="942">
        <f t="shared" si="15"/>
        <v>1.71</v>
      </c>
      <c r="AB61" s="892">
        <v>6.03</v>
      </c>
      <c r="AC61" s="942">
        <f t="shared" si="12"/>
        <v>7.24</v>
      </c>
      <c r="AD61" s="892">
        <v>6.03</v>
      </c>
      <c r="AE61" s="942">
        <f t="shared" si="13"/>
        <v>4.3</v>
      </c>
      <c r="AF61" s="943" t="e">
        <f>#N/A</f>
        <v>#N/A</v>
      </c>
      <c r="AG61" s="893">
        <f t="shared" si="5"/>
        <v>29.560000000000002</v>
      </c>
      <c r="AH61" s="894"/>
      <c r="AI61" s="895">
        <v>23.07</v>
      </c>
      <c r="AJ61" s="791">
        <v>21.059999999999995</v>
      </c>
      <c r="AK61" s="896">
        <f t="shared" si="14"/>
        <v>2</v>
      </c>
      <c r="AL61" s="896"/>
      <c r="AS61" s="104"/>
    </row>
    <row r="62" spans="1:45" s="779" customFormat="1" ht="32.4" customHeight="1">
      <c r="A62" s="885">
        <v>46</v>
      </c>
      <c r="B62" s="886">
        <v>1</v>
      </c>
      <c r="C62" s="887" t="str">
        <f>'Tên thang 01-26'!E49</f>
        <v>ទួច សុភាន់</v>
      </c>
      <c r="D62" s="887" t="str">
        <f>'Tên thang 01-26'!F49</f>
        <v>TUOCH SOPHOIN</v>
      </c>
      <c r="E62" s="888">
        <v>46</v>
      </c>
      <c r="F62" s="889">
        <f>'SAN LUONG'!AP54*0.44</f>
        <v>0</v>
      </c>
      <c r="G62" s="889">
        <f t="shared" si="0"/>
        <v>0</v>
      </c>
      <c r="H62" s="889">
        <f>'SAN LUONG'!AO54*0.44</f>
        <v>0</v>
      </c>
      <c r="I62" s="889">
        <f t="shared" si="1"/>
        <v>0</v>
      </c>
      <c r="J62" s="889">
        <f>'SAN LUONG'!AV54*0.44</f>
        <v>677.16</v>
      </c>
      <c r="K62" s="889">
        <f t="shared" si="6"/>
        <v>11.76</v>
      </c>
      <c r="L62" s="889"/>
      <c r="M62" s="881">
        <f>'CHAM CONG'!BC52</f>
        <v>13</v>
      </c>
      <c r="N62" s="889">
        <f t="shared" si="7"/>
        <v>6.51</v>
      </c>
      <c r="O62" s="889">
        <f t="shared" si="8"/>
        <v>0.41</v>
      </c>
      <c r="P62" s="890">
        <f>'CHAM CONG'!BO52</f>
        <v>0</v>
      </c>
      <c r="Q62" s="942">
        <f t="shared" si="9"/>
        <v>0</v>
      </c>
      <c r="R62" s="942">
        <f>'SAN LUONG'!DW54</f>
        <v>32</v>
      </c>
      <c r="S62" s="942">
        <f t="shared" si="2"/>
        <v>1</v>
      </c>
      <c r="T62" s="943">
        <f>'CHAM CONG'!BW52</f>
        <v>0</v>
      </c>
      <c r="U62" s="942">
        <f t="shared" si="10"/>
        <v>0</v>
      </c>
      <c r="V62" s="890">
        <f>'CHAM CONG'!BD52</f>
        <v>1</v>
      </c>
      <c r="W62" s="944">
        <f t="shared" si="3"/>
        <v>0.53</v>
      </c>
      <c r="X62" s="891">
        <f>'CHAM CONG'!BT52</f>
        <v>0</v>
      </c>
      <c r="Y62" s="881">
        <f t="shared" si="11"/>
        <v>0</v>
      </c>
      <c r="Z62" s="892">
        <v>6.03</v>
      </c>
      <c r="AA62" s="942">
        <f t="shared" si="15"/>
        <v>1.71</v>
      </c>
      <c r="AB62" s="892">
        <v>6.03</v>
      </c>
      <c r="AC62" s="942">
        <f t="shared" si="12"/>
        <v>7.24</v>
      </c>
      <c r="AD62" s="892">
        <v>6.03</v>
      </c>
      <c r="AE62" s="942">
        <f t="shared" si="13"/>
        <v>4.3</v>
      </c>
      <c r="AF62" s="943" t="e">
        <f>#N/A</f>
        <v>#N/A</v>
      </c>
      <c r="AG62" s="893">
        <f t="shared" si="5"/>
        <v>33.46</v>
      </c>
      <c r="AH62" s="894"/>
      <c r="AI62" s="895">
        <v>33.44</v>
      </c>
      <c r="AJ62" s="791">
        <v>31.44</v>
      </c>
      <c r="AK62" s="896">
        <f t="shared" si="14"/>
        <v>2</v>
      </c>
      <c r="AL62" s="896"/>
      <c r="AS62" s="898"/>
    </row>
    <row r="63" spans="1:45" s="779" customFormat="1" ht="32.4" customHeight="1">
      <c r="A63" s="885">
        <v>47</v>
      </c>
      <c r="B63" s="886">
        <v>1</v>
      </c>
      <c r="C63" s="887" t="str">
        <f>'Tên thang 01-26'!E50</f>
        <v>ឆេង យីន</v>
      </c>
      <c r="D63" s="887" t="str">
        <f>'Tên thang 01-26'!F50</f>
        <v>CHHENG YIN</v>
      </c>
      <c r="E63" s="888">
        <v>47</v>
      </c>
      <c r="F63" s="889">
        <f>'SAN LUONG'!AP55*0.44</f>
        <v>0</v>
      </c>
      <c r="G63" s="889">
        <f t="shared" si="0"/>
        <v>0</v>
      </c>
      <c r="H63" s="889">
        <f>'SAN LUONG'!AO55*0.44</f>
        <v>0</v>
      </c>
      <c r="I63" s="889">
        <f t="shared" si="1"/>
        <v>0</v>
      </c>
      <c r="J63" s="889">
        <f>'SAN LUONG'!AV55*0.44</f>
        <v>395.12</v>
      </c>
      <c r="K63" s="889">
        <f t="shared" si="6"/>
        <v>6.86</v>
      </c>
      <c r="L63" s="889"/>
      <c r="M63" s="881">
        <f>'CHAM CONG'!BC53</f>
        <v>13</v>
      </c>
      <c r="N63" s="889">
        <f t="shared" si="7"/>
        <v>6.51</v>
      </c>
      <c r="O63" s="889">
        <f t="shared" si="8"/>
        <v>0.41</v>
      </c>
      <c r="P63" s="890">
        <f>'CHAM CONG'!BO53</f>
        <v>0</v>
      </c>
      <c r="Q63" s="942">
        <f t="shared" si="9"/>
        <v>0</v>
      </c>
      <c r="R63" s="942">
        <f>'SAN LUONG'!DW55</f>
        <v>24</v>
      </c>
      <c r="S63" s="942">
        <f t="shared" si="2"/>
        <v>0.75</v>
      </c>
      <c r="T63" s="943">
        <f>'CHAM CONG'!BW53</f>
        <v>0</v>
      </c>
      <c r="U63" s="942">
        <f t="shared" si="10"/>
        <v>0</v>
      </c>
      <c r="V63" s="890">
        <f>'CHAM CONG'!BD53</f>
        <v>1</v>
      </c>
      <c r="W63" s="944">
        <f t="shared" si="3"/>
        <v>0.53</v>
      </c>
      <c r="X63" s="891">
        <f>'CHAM CONG'!BT53</f>
        <v>0</v>
      </c>
      <c r="Y63" s="881">
        <f t="shared" si="11"/>
        <v>0</v>
      </c>
      <c r="Z63" s="892">
        <v>6.03</v>
      </c>
      <c r="AA63" s="942">
        <f t="shared" si="15"/>
        <v>1.71</v>
      </c>
      <c r="AB63" s="892">
        <v>6.03</v>
      </c>
      <c r="AC63" s="942">
        <f t="shared" si="12"/>
        <v>7.24</v>
      </c>
      <c r="AD63" s="892">
        <v>6.03</v>
      </c>
      <c r="AE63" s="942">
        <f t="shared" si="13"/>
        <v>4.3</v>
      </c>
      <c r="AF63" s="943" t="e">
        <f>#N/A</f>
        <v>#N/A</v>
      </c>
      <c r="AG63" s="893">
        <f t="shared" si="5"/>
        <v>28.310000000000002</v>
      </c>
      <c r="AH63" s="894"/>
      <c r="AI63" s="895">
        <v>19.98</v>
      </c>
      <c r="AJ63" s="791">
        <v>17.980000000000004</v>
      </c>
      <c r="AK63" s="896">
        <f t="shared" si="14"/>
        <v>2</v>
      </c>
      <c r="AL63" s="896"/>
      <c r="AS63" s="898"/>
    </row>
    <row r="64" spans="1:45" s="779" customFormat="1" ht="30.6" customHeight="1">
      <c r="A64" s="885">
        <v>48</v>
      </c>
      <c r="B64" s="886">
        <v>4</v>
      </c>
      <c r="C64" s="887" t="str">
        <f>'Tên thang 01-26'!E51</f>
        <v>ឆែម អ៊ិន</v>
      </c>
      <c r="D64" s="887" t="str">
        <f>'Tên thang 01-26'!F51</f>
        <v>CHHEM IN</v>
      </c>
      <c r="E64" s="888">
        <v>137</v>
      </c>
      <c r="F64" s="889">
        <f>'SAN LUONG'!AP56*0.44</f>
        <v>773.52</v>
      </c>
      <c r="G64" s="889">
        <f t="shared" si="0"/>
        <v>11.02</v>
      </c>
      <c r="H64" s="889">
        <f>'SAN LUONG'!AO56*0.44</f>
        <v>0</v>
      </c>
      <c r="I64" s="889">
        <f t="shared" si="1"/>
        <v>0</v>
      </c>
      <c r="J64" s="889">
        <f>'SAN LUONG'!AV56*0.44</f>
        <v>0</v>
      </c>
      <c r="K64" s="889">
        <f t="shared" si="6"/>
        <v>0</v>
      </c>
      <c r="L64" s="889"/>
      <c r="M64" s="881">
        <f>'CHAM CONG'!BC54</f>
        <v>16</v>
      </c>
      <c r="N64" s="889">
        <f t="shared" si="7"/>
        <v>8.01</v>
      </c>
      <c r="O64" s="889">
        <f t="shared" si="8"/>
        <v>0.5</v>
      </c>
      <c r="P64" s="890">
        <f>'CHAM CONG'!BO54</f>
        <v>31</v>
      </c>
      <c r="Q64" s="942">
        <f t="shared" si="9"/>
        <v>2.91</v>
      </c>
      <c r="R64" s="942">
        <f>'SAN LUONG'!DW56</f>
        <v>11.2</v>
      </c>
      <c r="S64" s="942">
        <f t="shared" si="2"/>
        <v>0.35</v>
      </c>
      <c r="T64" s="943">
        <f>'CHAM CONG'!BW54</f>
        <v>0</v>
      </c>
      <c r="U64" s="942">
        <f t="shared" si="10"/>
        <v>0</v>
      </c>
      <c r="V64" s="890">
        <f>'CHAM CONG'!BD54</f>
        <v>4</v>
      </c>
      <c r="W64" s="944">
        <f t="shared" si="3"/>
        <v>2.13</v>
      </c>
      <c r="X64" s="891">
        <f>'CHAM CONG'!BT54</f>
        <v>1</v>
      </c>
      <c r="Y64" s="881">
        <f t="shared" si="11"/>
        <v>1.1000000000000001</v>
      </c>
      <c r="Z64" s="892">
        <v>6.03</v>
      </c>
      <c r="AA64" s="942">
        <f t="shared" si="15"/>
        <v>1.71</v>
      </c>
      <c r="AB64" s="892">
        <v>6.03</v>
      </c>
      <c r="AC64" s="942">
        <f t="shared" si="12"/>
        <v>7.24</v>
      </c>
      <c r="AD64" s="892">
        <v>6.03</v>
      </c>
      <c r="AE64" s="942">
        <f t="shared" si="13"/>
        <v>4.3</v>
      </c>
      <c r="AF64" s="943" t="e">
        <f>#N/A</f>
        <v>#N/A</v>
      </c>
      <c r="AG64" s="893">
        <f t="shared" si="5"/>
        <v>39.270000000000003</v>
      </c>
      <c r="AH64" s="894"/>
      <c r="AI64" s="895">
        <v>32.76</v>
      </c>
      <c r="AJ64" s="791">
        <v>28.88</v>
      </c>
      <c r="AK64" s="896">
        <f t="shared" si="14"/>
        <v>4</v>
      </c>
      <c r="AL64" s="896"/>
      <c r="AS64" s="898"/>
    </row>
    <row r="65" spans="1:45" s="779" customFormat="1" ht="30.6" customHeight="1">
      <c r="A65" s="885">
        <v>49</v>
      </c>
      <c r="B65" s="886">
        <v>4</v>
      </c>
      <c r="C65" s="887" t="str">
        <f>'Tên thang 01-26'!E52</f>
        <v>វឿន លីម</v>
      </c>
      <c r="D65" s="887" t="str">
        <f>'Tên thang 01-26'!F52</f>
        <v>VOEUN LIM</v>
      </c>
      <c r="E65" s="888">
        <v>138</v>
      </c>
      <c r="F65" s="889">
        <f>'SAN LUONG'!AP57*0.44</f>
        <v>967.12</v>
      </c>
      <c r="G65" s="889">
        <f t="shared" si="0"/>
        <v>13.77</v>
      </c>
      <c r="H65" s="889">
        <f>'SAN LUONG'!AO57*0.44</f>
        <v>0</v>
      </c>
      <c r="I65" s="889">
        <f t="shared" si="1"/>
        <v>0</v>
      </c>
      <c r="J65" s="889">
        <f>'SAN LUONG'!AV57*0.44</f>
        <v>0</v>
      </c>
      <c r="K65" s="889">
        <f t="shared" si="6"/>
        <v>0</v>
      </c>
      <c r="L65" s="889"/>
      <c r="M65" s="881">
        <f>'CHAM CONG'!BC55</f>
        <v>16</v>
      </c>
      <c r="N65" s="889">
        <f t="shared" si="7"/>
        <v>8.01</v>
      </c>
      <c r="O65" s="889">
        <f t="shared" si="8"/>
        <v>0.5</v>
      </c>
      <c r="P65" s="890">
        <f>'CHAM CONG'!BO55</f>
        <v>31</v>
      </c>
      <c r="Q65" s="942">
        <f t="shared" si="9"/>
        <v>2.91</v>
      </c>
      <c r="R65" s="942">
        <f>'SAN LUONG'!DW57</f>
        <v>12</v>
      </c>
      <c r="S65" s="942">
        <f t="shared" si="2"/>
        <v>0.38</v>
      </c>
      <c r="T65" s="943">
        <f>'CHAM CONG'!BW55</f>
        <v>0</v>
      </c>
      <c r="U65" s="942">
        <f t="shared" si="10"/>
        <v>0</v>
      </c>
      <c r="V65" s="890">
        <f>'CHAM CONG'!BD55</f>
        <v>4</v>
      </c>
      <c r="W65" s="944">
        <f t="shared" si="3"/>
        <v>2.13</v>
      </c>
      <c r="X65" s="891">
        <f>'CHAM CONG'!BT55</f>
        <v>1</v>
      </c>
      <c r="Y65" s="881">
        <f t="shared" si="11"/>
        <v>1.1000000000000001</v>
      </c>
      <c r="Z65" s="892">
        <v>6.03</v>
      </c>
      <c r="AA65" s="942">
        <f t="shared" si="15"/>
        <v>1.71</v>
      </c>
      <c r="AB65" s="892">
        <v>6.03</v>
      </c>
      <c r="AC65" s="942">
        <f t="shared" si="12"/>
        <v>7.24</v>
      </c>
      <c r="AD65" s="892">
        <v>6.03</v>
      </c>
      <c r="AE65" s="942">
        <f t="shared" si="13"/>
        <v>4.3</v>
      </c>
      <c r="AF65" s="943" t="e">
        <f>#N/A</f>
        <v>#N/A</v>
      </c>
      <c r="AG65" s="893">
        <f t="shared" si="5"/>
        <v>42.05</v>
      </c>
      <c r="AH65" s="894"/>
      <c r="AI65" s="895">
        <v>33.369999999999997</v>
      </c>
      <c r="AJ65" s="791">
        <v>29.49</v>
      </c>
      <c r="AK65" s="896">
        <f t="shared" si="14"/>
        <v>4</v>
      </c>
      <c r="AL65" s="896"/>
      <c r="AS65" s="898"/>
    </row>
    <row r="66" spans="1:45" s="779" customFormat="1" ht="30.6" customHeight="1">
      <c r="A66" s="885">
        <v>50</v>
      </c>
      <c r="B66" s="886">
        <v>4</v>
      </c>
      <c r="C66" s="887" t="str">
        <f>'Tên thang 01-26'!E53</f>
        <v>ហោ យ៉ាន</v>
      </c>
      <c r="D66" s="887" t="str">
        <f>'Tên thang 01-26'!F53</f>
        <v>HO YAN</v>
      </c>
      <c r="E66" s="888">
        <v>139</v>
      </c>
      <c r="F66" s="889">
        <f>'SAN LUONG'!AP58*0.44</f>
        <v>826.76</v>
      </c>
      <c r="G66" s="889">
        <f t="shared" si="0"/>
        <v>11.77</v>
      </c>
      <c r="H66" s="889">
        <f>'SAN LUONG'!AO58*0.44</f>
        <v>0</v>
      </c>
      <c r="I66" s="889">
        <f t="shared" si="1"/>
        <v>0</v>
      </c>
      <c r="J66" s="889">
        <f>'SAN LUONG'!AV58*0.44</f>
        <v>0</v>
      </c>
      <c r="K66" s="889">
        <f t="shared" si="6"/>
        <v>0</v>
      </c>
      <c r="L66" s="889"/>
      <c r="M66" s="881">
        <f>'CHAM CONG'!BC56</f>
        <v>15</v>
      </c>
      <c r="N66" s="889">
        <f t="shared" si="7"/>
        <v>7.51</v>
      </c>
      <c r="O66" s="889">
        <f t="shared" si="8"/>
        <v>0.47</v>
      </c>
      <c r="P66" s="890">
        <f>'CHAM CONG'!BO56</f>
        <v>30</v>
      </c>
      <c r="Q66" s="942">
        <f t="shared" si="9"/>
        <v>2.82</v>
      </c>
      <c r="R66" s="942">
        <f>'SAN LUONG'!DW58</f>
        <v>20</v>
      </c>
      <c r="S66" s="942">
        <f t="shared" si="2"/>
        <v>0.63</v>
      </c>
      <c r="T66" s="943">
        <f>'CHAM CONG'!BW56</f>
        <v>0</v>
      </c>
      <c r="U66" s="942">
        <f t="shared" si="10"/>
        <v>0</v>
      </c>
      <c r="V66" s="890">
        <f>'CHAM CONG'!BD56</f>
        <v>3</v>
      </c>
      <c r="W66" s="944">
        <f t="shared" si="3"/>
        <v>1.6</v>
      </c>
      <c r="X66" s="891">
        <f>'CHAM CONG'!BT56</f>
        <v>1</v>
      </c>
      <c r="Y66" s="881">
        <f t="shared" si="11"/>
        <v>1.1000000000000001</v>
      </c>
      <c r="Z66" s="892">
        <v>6.03</v>
      </c>
      <c r="AA66" s="942">
        <f t="shared" si="15"/>
        <v>1.71</v>
      </c>
      <c r="AB66" s="892">
        <v>6.03</v>
      </c>
      <c r="AC66" s="942">
        <f t="shared" si="12"/>
        <v>7.24</v>
      </c>
      <c r="AD66" s="892">
        <v>6.03</v>
      </c>
      <c r="AE66" s="942">
        <f t="shared" si="13"/>
        <v>4.3</v>
      </c>
      <c r="AF66" s="943" t="e">
        <f>#N/A</f>
        <v>#N/A</v>
      </c>
      <c r="AG66" s="893">
        <f t="shared" si="5"/>
        <v>39.15</v>
      </c>
      <c r="AH66" s="894"/>
      <c r="AI66" s="895">
        <v>33.950000000000003</v>
      </c>
      <c r="AJ66" s="791">
        <v>30.07</v>
      </c>
      <c r="AK66" s="896">
        <f t="shared" si="14"/>
        <v>4</v>
      </c>
      <c r="AL66" s="896"/>
      <c r="AS66" s="898"/>
    </row>
    <row r="67" spans="1:45" s="779" customFormat="1" ht="30.6" customHeight="1">
      <c r="A67" s="885">
        <v>51</v>
      </c>
      <c r="B67" s="886">
        <v>4</v>
      </c>
      <c r="C67" s="887" t="str">
        <f>'Tên thang 01-26'!E54</f>
        <v>តោ ទឿន</v>
      </c>
      <c r="D67" s="887" t="str">
        <f>'Tên thang 01-26'!F54</f>
        <v>TOR TOEUN</v>
      </c>
      <c r="E67" s="888">
        <v>140</v>
      </c>
      <c r="F67" s="889">
        <f>'SAN LUONG'!AP59*0.44</f>
        <v>783.64</v>
      </c>
      <c r="G67" s="889">
        <f t="shared" si="0"/>
        <v>11.16</v>
      </c>
      <c r="H67" s="889">
        <f>'SAN LUONG'!AO59*0.44</f>
        <v>0</v>
      </c>
      <c r="I67" s="889">
        <f t="shared" si="1"/>
        <v>0</v>
      </c>
      <c r="J67" s="889">
        <f>'SAN LUONG'!AV59*0.44</f>
        <v>0</v>
      </c>
      <c r="K67" s="889">
        <f t="shared" si="6"/>
        <v>0</v>
      </c>
      <c r="L67" s="889"/>
      <c r="M67" s="881">
        <f>'CHAM CONG'!BC57</f>
        <v>15</v>
      </c>
      <c r="N67" s="889">
        <f t="shared" si="7"/>
        <v>7.51</v>
      </c>
      <c r="O67" s="889">
        <f t="shared" si="8"/>
        <v>0.47</v>
      </c>
      <c r="P67" s="890">
        <f>'CHAM CONG'!BO57</f>
        <v>28</v>
      </c>
      <c r="Q67" s="942">
        <f t="shared" si="9"/>
        <v>2.63</v>
      </c>
      <c r="R67" s="942">
        <f>'SAN LUONG'!DW59</f>
        <v>22</v>
      </c>
      <c r="S67" s="942">
        <f t="shared" si="2"/>
        <v>0.69</v>
      </c>
      <c r="T67" s="943">
        <f>'CHAM CONG'!BW57</f>
        <v>0</v>
      </c>
      <c r="U67" s="942">
        <f t="shared" si="10"/>
        <v>0</v>
      </c>
      <c r="V67" s="890">
        <f>'CHAM CONG'!BD57</f>
        <v>4</v>
      </c>
      <c r="W67" s="944">
        <f t="shared" si="3"/>
        <v>2.13</v>
      </c>
      <c r="X67" s="891">
        <f>'CHAM CONG'!BT57</f>
        <v>1</v>
      </c>
      <c r="Y67" s="881">
        <f t="shared" si="11"/>
        <v>1.1000000000000001</v>
      </c>
      <c r="Z67" s="892">
        <v>6.03</v>
      </c>
      <c r="AA67" s="942">
        <f t="shared" si="15"/>
        <v>1.71</v>
      </c>
      <c r="AB67" s="892">
        <v>6.03</v>
      </c>
      <c r="AC67" s="942">
        <f t="shared" si="12"/>
        <v>7.24</v>
      </c>
      <c r="AD67" s="892">
        <v>6.03</v>
      </c>
      <c r="AE67" s="942">
        <f t="shared" si="13"/>
        <v>4.3</v>
      </c>
      <c r="AF67" s="943" t="e">
        <f>#N/A</f>
        <v>#N/A</v>
      </c>
      <c r="AG67" s="893">
        <f t="shared" si="5"/>
        <v>38.94</v>
      </c>
      <c r="AH67" s="894"/>
      <c r="AI67" s="895">
        <v>29.49</v>
      </c>
      <c r="AJ67" s="791">
        <v>25.610000000000003</v>
      </c>
      <c r="AK67" s="896">
        <f t="shared" si="14"/>
        <v>4</v>
      </c>
      <c r="AL67" s="896"/>
      <c r="AS67" s="898"/>
    </row>
    <row r="68" spans="1:45" s="779" customFormat="1" ht="30.6" customHeight="1">
      <c r="A68" s="885">
        <v>52</v>
      </c>
      <c r="B68" s="886">
        <v>4</v>
      </c>
      <c r="C68" s="887" t="str">
        <f>'Tên thang 01-26'!E55</f>
        <v>ញ៉ុវ ញឹម</v>
      </c>
      <c r="D68" s="887" t="str">
        <f>'Tên thang 01-26'!F55</f>
        <v>NHOV NHIM</v>
      </c>
      <c r="E68" s="888">
        <v>141</v>
      </c>
      <c r="F68" s="889">
        <f>'SAN LUONG'!AP60*0.44</f>
        <v>604.56000000000006</v>
      </c>
      <c r="G68" s="889">
        <f t="shared" si="0"/>
        <v>8.61</v>
      </c>
      <c r="H68" s="889">
        <f>'SAN LUONG'!AO60*0.44</f>
        <v>0</v>
      </c>
      <c r="I68" s="889">
        <f t="shared" si="1"/>
        <v>0</v>
      </c>
      <c r="J68" s="889">
        <f>'SAN LUONG'!AV60*0.44</f>
        <v>0</v>
      </c>
      <c r="K68" s="889">
        <f t="shared" si="6"/>
        <v>0</v>
      </c>
      <c r="L68" s="889"/>
      <c r="M68" s="881">
        <f>'CHAM CONG'!BC58</f>
        <v>16</v>
      </c>
      <c r="N68" s="889">
        <f t="shared" si="7"/>
        <v>8.01</v>
      </c>
      <c r="O68" s="889">
        <f t="shared" si="8"/>
        <v>0.5</v>
      </c>
      <c r="P68" s="890">
        <f>'CHAM CONG'!BO58</f>
        <v>31</v>
      </c>
      <c r="Q68" s="942">
        <f t="shared" si="9"/>
        <v>2.91</v>
      </c>
      <c r="R68" s="942">
        <f>'SAN LUONG'!DW60</f>
        <v>9</v>
      </c>
      <c r="S68" s="942">
        <f t="shared" si="2"/>
        <v>0.28000000000000003</v>
      </c>
      <c r="T68" s="943">
        <f>'CHAM CONG'!BW58</f>
        <v>0</v>
      </c>
      <c r="U68" s="942">
        <f t="shared" si="10"/>
        <v>0</v>
      </c>
      <c r="V68" s="890">
        <f>'CHAM CONG'!BD58</f>
        <v>4</v>
      </c>
      <c r="W68" s="944">
        <f t="shared" si="3"/>
        <v>2.13</v>
      </c>
      <c r="X68" s="891">
        <f>'CHAM CONG'!BT58</f>
        <v>1</v>
      </c>
      <c r="Y68" s="881">
        <f t="shared" si="11"/>
        <v>1.1000000000000001</v>
      </c>
      <c r="Z68" s="892">
        <v>6.03</v>
      </c>
      <c r="AA68" s="942">
        <f t="shared" si="15"/>
        <v>1.71</v>
      </c>
      <c r="AB68" s="892">
        <v>6.03</v>
      </c>
      <c r="AC68" s="942">
        <f t="shared" si="12"/>
        <v>7.24</v>
      </c>
      <c r="AD68" s="892">
        <v>6.03</v>
      </c>
      <c r="AE68" s="942">
        <f t="shared" si="13"/>
        <v>4.3</v>
      </c>
      <c r="AF68" s="943" t="e">
        <f>#N/A</f>
        <v>#N/A</v>
      </c>
      <c r="AG68" s="893">
        <f t="shared" si="5"/>
        <v>36.79</v>
      </c>
      <c r="AH68" s="894"/>
      <c r="AI68" s="895">
        <v>29.51</v>
      </c>
      <c r="AJ68" s="791">
        <v>25.630000000000003</v>
      </c>
      <c r="AK68" s="896">
        <f t="shared" si="14"/>
        <v>4</v>
      </c>
      <c r="AL68" s="896"/>
      <c r="AS68" s="898"/>
    </row>
    <row r="69" spans="1:45" s="779" customFormat="1" ht="30.6" customHeight="1">
      <c r="A69" s="885">
        <v>53</v>
      </c>
      <c r="B69" s="886">
        <v>4</v>
      </c>
      <c r="C69" s="887" t="str">
        <f>'Tên thang 01-26'!E56</f>
        <v>តូច ចាន់លី</v>
      </c>
      <c r="D69" s="887" t="str">
        <f>'Tên thang 01-26'!F56</f>
        <v>TOUCH CHANLY</v>
      </c>
      <c r="E69" s="888">
        <v>142</v>
      </c>
      <c r="F69" s="889">
        <f>'SAN LUONG'!AP61*0.44</f>
        <v>535.48</v>
      </c>
      <c r="G69" s="889">
        <f t="shared" si="0"/>
        <v>7.63</v>
      </c>
      <c r="H69" s="889">
        <f>'SAN LUONG'!AO61*0.44</f>
        <v>0</v>
      </c>
      <c r="I69" s="889">
        <f t="shared" si="1"/>
        <v>0</v>
      </c>
      <c r="J69" s="889">
        <f>'SAN LUONG'!AV61*0.44</f>
        <v>0</v>
      </c>
      <c r="K69" s="889">
        <f t="shared" si="6"/>
        <v>0</v>
      </c>
      <c r="L69" s="889"/>
      <c r="M69" s="881">
        <f>'CHAM CONG'!BC59</f>
        <v>15</v>
      </c>
      <c r="N69" s="889">
        <f t="shared" si="7"/>
        <v>7.51</v>
      </c>
      <c r="O69" s="889">
        <f t="shared" si="8"/>
        <v>0.47</v>
      </c>
      <c r="P69" s="890">
        <f>'CHAM CONG'!BO59</f>
        <v>29</v>
      </c>
      <c r="Q69" s="942">
        <f t="shared" si="9"/>
        <v>2.72</v>
      </c>
      <c r="R69" s="942">
        <f>'SAN LUONG'!DW61</f>
        <v>12</v>
      </c>
      <c r="S69" s="942">
        <f t="shared" si="2"/>
        <v>0.38</v>
      </c>
      <c r="T69" s="943">
        <f>'CHAM CONG'!BW59</f>
        <v>0</v>
      </c>
      <c r="U69" s="942">
        <f t="shared" si="10"/>
        <v>0</v>
      </c>
      <c r="V69" s="890">
        <f>'CHAM CONG'!BD59</f>
        <v>3</v>
      </c>
      <c r="W69" s="944">
        <f t="shared" si="3"/>
        <v>1.6</v>
      </c>
      <c r="X69" s="891">
        <f>'CHAM CONG'!BT59</f>
        <v>1</v>
      </c>
      <c r="Y69" s="881">
        <f t="shared" si="11"/>
        <v>1.1000000000000001</v>
      </c>
      <c r="Z69" s="892">
        <v>6.03</v>
      </c>
      <c r="AA69" s="942">
        <f t="shared" si="15"/>
        <v>1.71</v>
      </c>
      <c r="AB69" s="892">
        <v>6.03</v>
      </c>
      <c r="AC69" s="942">
        <f t="shared" si="12"/>
        <v>7.24</v>
      </c>
      <c r="AD69" s="892">
        <v>6.03</v>
      </c>
      <c r="AE69" s="942">
        <f t="shared" si="13"/>
        <v>4.3</v>
      </c>
      <c r="AF69" s="943" t="e">
        <f>#N/A</f>
        <v>#N/A</v>
      </c>
      <c r="AG69" s="893">
        <f t="shared" si="5"/>
        <v>34.659999999999997</v>
      </c>
      <c r="AH69" s="894"/>
      <c r="AI69" s="895">
        <v>30.87</v>
      </c>
      <c r="AJ69" s="791">
        <v>26.98</v>
      </c>
      <c r="AK69" s="896">
        <f t="shared" si="14"/>
        <v>4</v>
      </c>
      <c r="AL69" s="896"/>
      <c r="AS69" s="898"/>
    </row>
    <row r="70" spans="1:45" s="779" customFormat="1" ht="30.6" customHeight="1">
      <c r="A70" s="885">
        <v>54</v>
      </c>
      <c r="B70" s="886">
        <v>4</v>
      </c>
      <c r="C70" s="887" t="str">
        <f>'Tên thang 01-26'!E57</f>
        <v>ឡោ ហ៊ុន</v>
      </c>
      <c r="D70" s="887" t="str">
        <f>'Tên thang 01-26'!F57</f>
        <v>LAO HUN</v>
      </c>
      <c r="E70" s="888">
        <v>143</v>
      </c>
      <c r="F70" s="889">
        <f>'SAN LUONG'!AP62*0.44</f>
        <v>673.2</v>
      </c>
      <c r="G70" s="889">
        <f t="shared" si="0"/>
        <v>9.59</v>
      </c>
      <c r="H70" s="889">
        <f>'SAN LUONG'!AO62*0.44</f>
        <v>0</v>
      </c>
      <c r="I70" s="889">
        <f t="shared" si="1"/>
        <v>0</v>
      </c>
      <c r="J70" s="889">
        <f>'SAN LUONG'!AV62*0.44</f>
        <v>0</v>
      </c>
      <c r="K70" s="889">
        <f t="shared" si="6"/>
        <v>0</v>
      </c>
      <c r="L70" s="889"/>
      <c r="M70" s="881">
        <f>'CHAM CONG'!BC60</f>
        <v>16</v>
      </c>
      <c r="N70" s="889">
        <f t="shared" si="7"/>
        <v>8.01</v>
      </c>
      <c r="O70" s="889">
        <f t="shared" si="8"/>
        <v>0.5</v>
      </c>
      <c r="P70" s="890">
        <f>'CHAM CONG'!BO60</f>
        <v>31</v>
      </c>
      <c r="Q70" s="942">
        <f t="shared" si="9"/>
        <v>2.91</v>
      </c>
      <c r="R70" s="942">
        <f>'SAN LUONG'!DW62</f>
        <v>28</v>
      </c>
      <c r="S70" s="942">
        <f t="shared" si="2"/>
        <v>0.88</v>
      </c>
      <c r="T70" s="943">
        <f>'CHAM CONG'!BW60</f>
        <v>0</v>
      </c>
      <c r="U70" s="942">
        <f t="shared" si="10"/>
        <v>0</v>
      </c>
      <c r="V70" s="890">
        <f>'CHAM CONG'!BD60</f>
        <v>4</v>
      </c>
      <c r="W70" s="944">
        <f t="shared" si="3"/>
        <v>2.13</v>
      </c>
      <c r="X70" s="891">
        <f>'CHAM CONG'!BT60</f>
        <v>1</v>
      </c>
      <c r="Y70" s="881">
        <f t="shared" si="11"/>
        <v>1.1000000000000001</v>
      </c>
      <c r="Z70" s="892">
        <v>6.03</v>
      </c>
      <c r="AA70" s="942">
        <f t="shared" si="15"/>
        <v>1.71</v>
      </c>
      <c r="AB70" s="892">
        <v>6.03</v>
      </c>
      <c r="AC70" s="942">
        <f t="shared" si="12"/>
        <v>7.24</v>
      </c>
      <c r="AD70" s="892">
        <v>6.03</v>
      </c>
      <c r="AE70" s="942">
        <f t="shared" si="13"/>
        <v>4.3</v>
      </c>
      <c r="AF70" s="943" t="e">
        <f>#N/A</f>
        <v>#N/A</v>
      </c>
      <c r="AG70" s="893">
        <f t="shared" si="5"/>
        <v>38.369999999999997</v>
      </c>
      <c r="AH70" s="894"/>
      <c r="AI70" s="895">
        <v>30.33</v>
      </c>
      <c r="AJ70" s="791">
        <v>26.439999999999998</v>
      </c>
      <c r="AK70" s="896">
        <f t="shared" si="14"/>
        <v>4</v>
      </c>
      <c r="AL70" s="896"/>
      <c r="AS70" s="898"/>
    </row>
    <row r="71" spans="1:45" s="779" customFormat="1" ht="30.6" customHeight="1">
      <c r="A71" s="885">
        <v>55</v>
      </c>
      <c r="B71" s="886">
        <v>4</v>
      </c>
      <c r="C71" s="887" t="str">
        <f>'Tên thang 01-26'!E58</f>
        <v>ឈាន អន</v>
      </c>
      <c r="D71" s="887" t="str">
        <f>'Tên thang 01-26'!F58</f>
        <v>CHHEAN ORN</v>
      </c>
      <c r="E71" s="888">
        <v>144</v>
      </c>
      <c r="F71" s="889">
        <f>'SAN LUONG'!AP63*0.44</f>
        <v>973.28</v>
      </c>
      <c r="G71" s="889">
        <f t="shared" si="0"/>
        <v>13.86</v>
      </c>
      <c r="H71" s="889">
        <f>'SAN LUONG'!AO63*0.44</f>
        <v>0</v>
      </c>
      <c r="I71" s="889">
        <f t="shared" si="1"/>
        <v>0</v>
      </c>
      <c r="J71" s="889">
        <f>'SAN LUONG'!AV63*0.44</f>
        <v>0</v>
      </c>
      <c r="K71" s="889">
        <f t="shared" si="6"/>
        <v>0</v>
      </c>
      <c r="L71" s="889"/>
      <c r="M71" s="881">
        <f>'CHAM CONG'!BC61</f>
        <v>16</v>
      </c>
      <c r="N71" s="889">
        <f t="shared" si="7"/>
        <v>8.01</v>
      </c>
      <c r="O71" s="889">
        <f t="shared" si="8"/>
        <v>0.5</v>
      </c>
      <c r="P71" s="890">
        <f>'CHAM CONG'!BO61</f>
        <v>30</v>
      </c>
      <c r="Q71" s="942">
        <f t="shared" si="9"/>
        <v>2.82</v>
      </c>
      <c r="R71" s="942">
        <f>'SAN LUONG'!DW63</f>
        <v>23</v>
      </c>
      <c r="S71" s="942">
        <f t="shared" si="2"/>
        <v>0.72</v>
      </c>
      <c r="T71" s="943">
        <f>'CHAM CONG'!BW61</f>
        <v>0</v>
      </c>
      <c r="U71" s="942">
        <f t="shared" si="10"/>
        <v>0</v>
      </c>
      <c r="V71" s="890">
        <f>'CHAM CONG'!BD61</f>
        <v>4</v>
      </c>
      <c r="W71" s="944">
        <f t="shared" si="3"/>
        <v>2.13</v>
      </c>
      <c r="X71" s="891">
        <f>'CHAM CONG'!BT61</f>
        <v>1</v>
      </c>
      <c r="Y71" s="881">
        <f t="shared" si="11"/>
        <v>1.1000000000000001</v>
      </c>
      <c r="Z71" s="892">
        <v>6.03</v>
      </c>
      <c r="AA71" s="942">
        <f t="shared" si="15"/>
        <v>1.71</v>
      </c>
      <c r="AB71" s="892">
        <v>6.03</v>
      </c>
      <c r="AC71" s="942">
        <f t="shared" si="12"/>
        <v>7.24</v>
      </c>
      <c r="AD71" s="892">
        <v>6.03</v>
      </c>
      <c r="AE71" s="942">
        <f t="shared" si="13"/>
        <v>4.3</v>
      </c>
      <c r="AF71" s="943" t="e">
        <f>#N/A</f>
        <v>#N/A</v>
      </c>
      <c r="AG71" s="893">
        <f t="shared" si="5"/>
        <v>42.389999999999993</v>
      </c>
      <c r="AH71" s="894"/>
      <c r="AI71" s="895">
        <v>33.32</v>
      </c>
      <c r="AJ71" s="791">
        <v>30.07</v>
      </c>
      <c r="AK71" s="896">
        <f t="shared" si="14"/>
        <v>3</v>
      </c>
      <c r="AL71" s="896"/>
      <c r="AS71" s="898"/>
    </row>
    <row r="72" spans="1:45" s="779" customFormat="1" ht="30.6" customHeight="1">
      <c r="A72" s="885">
        <v>56</v>
      </c>
      <c r="B72" s="886">
        <v>4</v>
      </c>
      <c r="C72" s="887" t="str">
        <f>'Tên thang 01-26'!E59</f>
        <v>មាស ណាលីន</v>
      </c>
      <c r="D72" s="887" t="str">
        <f>'Tên thang 01-26'!F59</f>
        <v>MEAS NALIN</v>
      </c>
      <c r="E72" s="888">
        <v>145</v>
      </c>
      <c r="F72" s="889">
        <f>'SAN LUONG'!AP64*0.44</f>
        <v>599.28</v>
      </c>
      <c r="G72" s="889">
        <f t="shared" si="0"/>
        <v>8.5399999999999991</v>
      </c>
      <c r="H72" s="889">
        <f>'SAN LUONG'!AO64*0.44</f>
        <v>0</v>
      </c>
      <c r="I72" s="889">
        <f t="shared" si="1"/>
        <v>0</v>
      </c>
      <c r="J72" s="889">
        <f>'SAN LUONG'!AV64*0.44</f>
        <v>0</v>
      </c>
      <c r="K72" s="889">
        <f t="shared" si="6"/>
        <v>0</v>
      </c>
      <c r="L72" s="889"/>
      <c r="M72" s="881">
        <f>'CHAM CONG'!BC62</f>
        <v>13</v>
      </c>
      <c r="N72" s="889">
        <f t="shared" si="7"/>
        <v>6.51</v>
      </c>
      <c r="O72" s="889">
        <f t="shared" si="8"/>
        <v>0.41</v>
      </c>
      <c r="P72" s="890">
        <f>'CHAM CONG'!BO62</f>
        <v>28</v>
      </c>
      <c r="Q72" s="942">
        <f t="shared" si="9"/>
        <v>2.63</v>
      </c>
      <c r="R72" s="942">
        <f>'SAN LUONG'!DW64</f>
        <v>11</v>
      </c>
      <c r="S72" s="942">
        <f t="shared" si="2"/>
        <v>0.34</v>
      </c>
      <c r="T72" s="943">
        <f>'CHAM CONG'!BW62</f>
        <v>0</v>
      </c>
      <c r="U72" s="942">
        <f t="shared" si="10"/>
        <v>0</v>
      </c>
      <c r="V72" s="890">
        <f>'CHAM CONG'!BD62</f>
        <v>3</v>
      </c>
      <c r="W72" s="944">
        <f t="shared" si="3"/>
        <v>1.6</v>
      </c>
      <c r="X72" s="891">
        <f>'CHAM CONG'!BT62</f>
        <v>1</v>
      </c>
      <c r="Y72" s="881">
        <f t="shared" si="11"/>
        <v>1.1000000000000001</v>
      </c>
      <c r="Z72" s="892">
        <v>6.03</v>
      </c>
      <c r="AA72" s="942">
        <f t="shared" si="15"/>
        <v>1.71</v>
      </c>
      <c r="AB72" s="892">
        <v>6.03</v>
      </c>
      <c r="AC72" s="942">
        <f t="shared" si="12"/>
        <v>7.24</v>
      </c>
      <c r="AD72" s="892">
        <v>6.03</v>
      </c>
      <c r="AE72" s="942">
        <f t="shared" si="13"/>
        <v>4.3</v>
      </c>
      <c r="AF72" s="943" t="e">
        <f>#N/A</f>
        <v>#N/A</v>
      </c>
      <c r="AG72" s="893">
        <f t="shared" si="5"/>
        <v>34.379999999999995</v>
      </c>
      <c r="AH72" s="894"/>
      <c r="AI72" s="895">
        <v>31.79</v>
      </c>
      <c r="AJ72" s="791">
        <v>27.900000000000002</v>
      </c>
      <c r="AK72" s="896">
        <f t="shared" si="14"/>
        <v>4</v>
      </c>
      <c r="AL72" s="896"/>
      <c r="AS72" s="898"/>
    </row>
    <row r="73" spans="1:45" s="779" customFormat="1" ht="30.6" customHeight="1">
      <c r="A73" s="885">
        <v>57</v>
      </c>
      <c r="B73" s="886">
        <v>4</v>
      </c>
      <c r="C73" s="887" t="str">
        <f>'Tên thang 01-26'!E60</f>
        <v>ម៉ួន ហ៊ាង</v>
      </c>
      <c r="D73" s="887" t="str">
        <f>'Tên thang 01-26'!F60</f>
        <v>MUON HEANG</v>
      </c>
      <c r="E73" s="888">
        <v>146</v>
      </c>
      <c r="F73" s="889">
        <f>'SAN LUONG'!AP65*0.44</f>
        <v>1035.32</v>
      </c>
      <c r="G73" s="889">
        <f t="shared" si="0"/>
        <v>14.75</v>
      </c>
      <c r="H73" s="889">
        <f>'SAN LUONG'!AO65*0.44</f>
        <v>0</v>
      </c>
      <c r="I73" s="889">
        <f t="shared" si="1"/>
        <v>0</v>
      </c>
      <c r="J73" s="889">
        <f>'SAN LUONG'!AV65*0.44</f>
        <v>0</v>
      </c>
      <c r="K73" s="889">
        <f t="shared" si="6"/>
        <v>0</v>
      </c>
      <c r="L73" s="889"/>
      <c r="M73" s="881">
        <f>'CHAM CONG'!BC63</f>
        <v>16</v>
      </c>
      <c r="N73" s="889">
        <f t="shared" si="7"/>
        <v>8.01</v>
      </c>
      <c r="O73" s="889">
        <f t="shared" si="8"/>
        <v>0.5</v>
      </c>
      <c r="P73" s="890">
        <f>'CHAM CONG'!BO63</f>
        <v>30</v>
      </c>
      <c r="Q73" s="942">
        <f t="shared" si="9"/>
        <v>2.82</v>
      </c>
      <c r="R73" s="942">
        <f>'SAN LUONG'!DW65</f>
        <v>22.5</v>
      </c>
      <c r="S73" s="942">
        <f t="shared" si="2"/>
        <v>0.7</v>
      </c>
      <c r="T73" s="943">
        <f>'CHAM CONG'!BW63</f>
        <v>0</v>
      </c>
      <c r="U73" s="942">
        <f t="shared" si="10"/>
        <v>0</v>
      </c>
      <c r="V73" s="890">
        <f>'CHAM CONG'!BD63</f>
        <v>4</v>
      </c>
      <c r="W73" s="944">
        <f t="shared" si="3"/>
        <v>2.13</v>
      </c>
      <c r="X73" s="891">
        <f>'CHAM CONG'!BT63</f>
        <v>1</v>
      </c>
      <c r="Y73" s="881">
        <f t="shared" si="11"/>
        <v>1.1000000000000001</v>
      </c>
      <c r="Z73" s="892">
        <v>6.03</v>
      </c>
      <c r="AA73" s="942">
        <f t="shared" si="15"/>
        <v>1.71</v>
      </c>
      <c r="AB73" s="892">
        <v>6.03</v>
      </c>
      <c r="AC73" s="942">
        <f t="shared" si="12"/>
        <v>7.24</v>
      </c>
      <c r="AD73" s="892">
        <v>6.03</v>
      </c>
      <c r="AE73" s="942">
        <f t="shared" si="13"/>
        <v>4.3</v>
      </c>
      <c r="AF73" s="943" t="e">
        <f>#N/A</f>
        <v>#N/A</v>
      </c>
      <c r="AG73" s="893">
        <f t="shared" si="5"/>
        <v>43.26</v>
      </c>
      <c r="AH73" s="894"/>
      <c r="AI73" s="895">
        <v>37.869999999999997</v>
      </c>
      <c r="AJ73" s="791">
        <v>33.349999999999994</v>
      </c>
      <c r="AK73" s="896">
        <f t="shared" si="14"/>
        <v>5</v>
      </c>
      <c r="AL73" s="896"/>
      <c r="AS73" s="898"/>
    </row>
    <row r="74" spans="1:45" s="779" customFormat="1" ht="30.6" customHeight="1">
      <c r="A74" s="885">
        <v>58</v>
      </c>
      <c r="B74" s="886">
        <v>4</v>
      </c>
      <c r="C74" s="887" t="str">
        <f>'Tên thang 01-26'!E61</f>
        <v>យ៉េន ហៃ</v>
      </c>
      <c r="D74" s="887" t="str">
        <f>'Tên thang 01-26'!F61</f>
        <v>YEN HAI</v>
      </c>
      <c r="E74" s="888">
        <v>147</v>
      </c>
      <c r="F74" s="889">
        <f>'SAN LUONG'!AP66*0.44</f>
        <v>1140.48</v>
      </c>
      <c r="G74" s="889">
        <f t="shared" si="0"/>
        <v>16.239999999999998</v>
      </c>
      <c r="H74" s="889">
        <f>'SAN LUONG'!AO66*0.44</f>
        <v>0</v>
      </c>
      <c r="I74" s="889">
        <f t="shared" si="1"/>
        <v>0</v>
      </c>
      <c r="J74" s="889">
        <f>'SAN LUONG'!AV66*0.44</f>
        <v>0</v>
      </c>
      <c r="K74" s="889">
        <f t="shared" si="6"/>
        <v>0</v>
      </c>
      <c r="L74" s="889"/>
      <c r="M74" s="881">
        <f>'CHAM CONG'!BC64</f>
        <v>16</v>
      </c>
      <c r="N74" s="889">
        <f t="shared" si="7"/>
        <v>8.01</v>
      </c>
      <c r="O74" s="889">
        <f t="shared" si="8"/>
        <v>0.5</v>
      </c>
      <c r="P74" s="890">
        <f>'CHAM CONG'!BO64</f>
        <v>30</v>
      </c>
      <c r="Q74" s="942">
        <f t="shared" si="9"/>
        <v>2.82</v>
      </c>
      <c r="R74" s="942">
        <f>'SAN LUONG'!DW66</f>
        <v>25</v>
      </c>
      <c r="S74" s="942">
        <f t="shared" si="2"/>
        <v>0.78</v>
      </c>
      <c r="T74" s="943">
        <f>'CHAM CONG'!BW64</f>
        <v>0</v>
      </c>
      <c r="U74" s="942">
        <f t="shared" si="10"/>
        <v>0</v>
      </c>
      <c r="V74" s="890">
        <f>'CHAM CONG'!BD64</f>
        <v>4</v>
      </c>
      <c r="W74" s="944">
        <f t="shared" si="3"/>
        <v>2.13</v>
      </c>
      <c r="X74" s="891">
        <f>'CHAM CONG'!BT64</f>
        <v>1</v>
      </c>
      <c r="Y74" s="881">
        <f t="shared" si="11"/>
        <v>1.1000000000000001</v>
      </c>
      <c r="Z74" s="892">
        <v>6.03</v>
      </c>
      <c r="AA74" s="942">
        <f t="shared" si="15"/>
        <v>1.71</v>
      </c>
      <c r="AB74" s="892">
        <v>6.03</v>
      </c>
      <c r="AC74" s="942">
        <f t="shared" si="12"/>
        <v>7.24</v>
      </c>
      <c r="AD74" s="892">
        <v>6.03</v>
      </c>
      <c r="AE74" s="942">
        <f t="shared" si="13"/>
        <v>4.3</v>
      </c>
      <c r="AF74" s="943" t="e">
        <f>#N/A</f>
        <v>#N/A</v>
      </c>
      <c r="AG74" s="893">
        <f t="shared" si="5"/>
        <v>44.83</v>
      </c>
      <c r="AH74" s="894"/>
      <c r="AI74" s="895">
        <v>36.46</v>
      </c>
      <c r="AJ74" s="791">
        <v>32.58</v>
      </c>
      <c r="AK74" s="896">
        <f t="shared" si="14"/>
        <v>4</v>
      </c>
      <c r="AL74" s="896"/>
      <c r="AS74" s="898"/>
    </row>
    <row r="75" spans="1:45" s="779" customFormat="1" ht="30.6" customHeight="1">
      <c r="A75" s="885">
        <v>59</v>
      </c>
      <c r="B75" s="886">
        <v>4</v>
      </c>
      <c r="C75" s="887" t="str">
        <f>'Tên thang 01-26'!E62</f>
        <v>ស្រី អ៊ឹម</v>
      </c>
      <c r="D75" s="887" t="str">
        <f>'Tên thang 01-26'!F62</f>
        <v>SREY OEM</v>
      </c>
      <c r="E75" s="888">
        <v>148</v>
      </c>
      <c r="F75" s="889">
        <f>'SAN LUONG'!AP67*0.44</f>
        <v>1011.5600000000001</v>
      </c>
      <c r="G75" s="889">
        <f t="shared" si="0"/>
        <v>14.41</v>
      </c>
      <c r="H75" s="889">
        <f>'SAN LUONG'!AO67*0.44</f>
        <v>0</v>
      </c>
      <c r="I75" s="889">
        <f t="shared" si="1"/>
        <v>0</v>
      </c>
      <c r="J75" s="889">
        <f>'SAN LUONG'!AV67*0.44</f>
        <v>0</v>
      </c>
      <c r="K75" s="889">
        <f t="shared" si="6"/>
        <v>0</v>
      </c>
      <c r="L75" s="889"/>
      <c r="M75" s="881">
        <f>'CHAM CONG'!BC65</f>
        <v>16</v>
      </c>
      <c r="N75" s="889">
        <f t="shared" si="7"/>
        <v>8.01</v>
      </c>
      <c r="O75" s="889">
        <f t="shared" si="8"/>
        <v>0.5</v>
      </c>
      <c r="P75" s="890">
        <f>'CHAM CONG'!BO65</f>
        <v>31</v>
      </c>
      <c r="Q75" s="942">
        <f t="shared" si="9"/>
        <v>2.91</v>
      </c>
      <c r="R75" s="942">
        <f>'SAN LUONG'!DW67</f>
        <v>93</v>
      </c>
      <c r="S75" s="942">
        <f t="shared" si="2"/>
        <v>2.91</v>
      </c>
      <c r="T75" s="943">
        <f>'CHAM CONG'!BW65</f>
        <v>0</v>
      </c>
      <c r="U75" s="942">
        <f t="shared" si="10"/>
        <v>0</v>
      </c>
      <c r="V75" s="890">
        <f>'CHAM CONG'!BD65</f>
        <v>4</v>
      </c>
      <c r="W75" s="944">
        <f t="shared" si="3"/>
        <v>2.13</v>
      </c>
      <c r="X75" s="891">
        <f>'CHAM CONG'!BT65</f>
        <v>1</v>
      </c>
      <c r="Y75" s="881">
        <f t="shared" si="11"/>
        <v>1.1000000000000001</v>
      </c>
      <c r="Z75" s="892">
        <v>6.03</v>
      </c>
      <c r="AA75" s="942">
        <f t="shared" si="15"/>
        <v>1.71</v>
      </c>
      <c r="AB75" s="892">
        <v>6.03</v>
      </c>
      <c r="AC75" s="942">
        <f t="shared" si="12"/>
        <v>7.24</v>
      </c>
      <c r="AD75" s="892">
        <v>6.03</v>
      </c>
      <c r="AE75" s="942">
        <f t="shared" si="13"/>
        <v>4.3</v>
      </c>
      <c r="AF75" s="943" t="e">
        <f>#N/A</f>
        <v>#N/A</v>
      </c>
      <c r="AG75" s="893">
        <f t="shared" si="5"/>
        <v>45.22</v>
      </c>
      <c r="AH75" s="894"/>
      <c r="AI75" s="895">
        <v>34.21</v>
      </c>
      <c r="AJ75" s="791">
        <v>30.95</v>
      </c>
      <c r="AK75" s="896">
        <f t="shared" si="14"/>
        <v>3</v>
      </c>
      <c r="AL75" s="896"/>
      <c r="AS75" s="898"/>
    </row>
    <row r="76" spans="1:45" s="779" customFormat="1" ht="30.6" customHeight="1">
      <c r="A76" s="885">
        <v>60</v>
      </c>
      <c r="B76" s="886">
        <v>4</v>
      </c>
      <c r="C76" s="887" t="str">
        <f>'Tên thang 01-26'!E63</f>
        <v>ណេ សារ៉ាត់</v>
      </c>
      <c r="D76" s="887" t="str">
        <f>'Tên thang 01-26'!F63</f>
        <v>NE SARATH</v>
      </c>
      <c r="E76" s="888">
        <v>149</v>
      </c>
      <c r="F76" s="889">
        <f>'SAN LUONG'!AP68*0.44</f>
        <v>1041.04</v>
      </c>
      <c r="G76" s="889">
        <f t="shared" si="0"/>
        <v>14.83</v>
      </c>
      <c r="H76" s="889">
        <f>'SAN LUONG'!AO68*0.44</f>
        <v>0</v>
      </c>
      <c r="I76" s="889">
        <f t="shared" si="1"/>
        <v>0</v>
      </c>
      <c r="J76" s="889">
        <f>'SAN LUONG'!AV68*0.44</f>
        <v>0</v>
      </c>
      <c r="K76" s="889">
        <f t="shared" si="6"/>
        <v>0</v>
      </c>
      <c r="L76" s="889"/>
      <c r="M76" s="881">
        <f>'CHAM CONG'!BC66</f>
        <v>15</v>
      </c>
      <c r="N76" s="889">
        <f t="shared" si="7"/>
        <v>7.51</v>
      </c>
      <c r="O76" s="889">
        <f t="shared" si="8"/>
        <v>0.47</v>
      </c>
      <c r="P76" s="890">
        <f>'CHAM CONG'!BO66</f>
        <v>28</v>
      </c>
      <c r="Q76" s="942">
        <f t="shared" si="9"/>
        <v>2.63</v>
      </c>
      <c r="R76" s="942">
        <f>'SAN LUONG'!DW68</f>
        <v>8.9</v>
      </c>
      <c r="S76" s="942">
        <f t="shared" si="2"/>
        <v>0.28000000000000003</v>
      </c>
      <c r="T76" s="943">
        <f>'CHAM CONG'!BW66</f>
        <v>0</v>
      </c>
      <c r="U76" s="942">
        <f t="shared" si="10"/>
        <v>0</v>
      </c>
      <c r="V76" s="890">
        <f>'CHAM CONG'!BD66</f>
        <v>4</v>
      </c>
      <c r="W76" s="944">
        <f t="shared" si="3"/>
        <v>2.13</v>
      </c>
      <c r="X76" s="891">
        <f>'CHAM CONG'!BT66</f>
        <v>1</v>
      </c>
      <c r="Y76" s="881">
        <f t="shared" si="11"/>
        <v>1.1000000000000001</v>
      </c>
      <c r="Z76" s="892">
        <v>6.03</v>
      </c>
      <c r="AA76" s="942">
        <f t="shared" si="15"/>
        <v>1.71</v>
      </c>
      <c r="AB76" s="892">
        <v>6.03</v>
      </c>
      <c r="AC76" s="942">
        <f t="shared" si="12"/>
        <v>7.24</v>
      </c>
      <c r="AD76" s="892">
        <v>6.03</v>
      </c>
      <c r="AE76" s="942">
        <f t="shared" si="13"/>
        <v>4.3</v>
      </c>
      <c r="AF76" s="943" t="e">
        <f>#N/A</f>
        <v>#N/A</v>
      </c>
      <c r="AG76" s="893">
        <f t="shared" si="5"/>
        <v>42.199999999999996</v>
      </c>
      <c r="AH76" s="894"/>
      <c r="AI76" s="895">
        <v>37.200000000000003</v>
      </c>
      <c r="AJ76" s="791">
        <v>33.33</v>
      </c>
      <c r="AK76" s="896">
        <f t="shared" si="14"/>
        <v>4</v>
      </c>
      <c r="AL76" s="896"/>
      <c r="AS76" s="898"/>
    </row>
    <row r="77" spans="1:45" s="779" customFormat="1" ht="30.6" customHeight="1">
      <c r="A77" s="885">
        <v>61</v>
      </c>
      <c r="B77" s="886">
        <v>4</v>
      </c>
      <c r="C77" s="887" t="str">
        <f>'Tên thang 01-26'!E64</f>
        <v>សន ធីន</v>
      </c>
      <c r="D77" s="887" t="str">
        <f>'Tên thang 01-26'!F64</f>
        <v>SORN THIN</v>
      </c>
      <c r="E77" s="888">
        <v>150</v>
      </c>
      <c r="F77" s="889">
        <f>'SAN LUONG'!AP69*0.44</f>
        <v>803.88</v>
      </c>
      <c r="G77" s="889">
        <f t="shared" si="0"/>
        <v>11.45</v>
      </c>
      <c r="H77" s="889">
        <f>'SAN LUONG'!AO69*0.44</f>
        <v>0</v>
      </c>
      <c r="I77" s="889">
        <f t="shared" si="1"/>
        <v>0</v>
      </c>
      <c r="J77" s="889">
        <f>'SAN LUONG'!AV69*0.44</f>
        <v>0</v>
      </c>
      <c r="K77" s="889">
        <f t="shared" si="6"/>
        <v>0</v>
      </c>
      <c r="L77" s="889"/>
      <c r="M77" s="881">
        <f>'CHAM CONG'!BC67</f>
        <v>15</v>
      </c>
      <c r="N77" s="889">
        <f t="shared" si="7"/>
        <v>7.51</v>
      </c>
      <c r="O77" s="889">
        <f t="shared" si="8"/>
        <v>0.47</v>
      </c>
      <c r="P77" s="890">
        <f>'CHAM CONG'!BO67</f>
        <v>28</v>
      </c>
      <c r="Q77" s="942">
        <f t="shared" si="9"/>
        <v>2.63</v>
      </c>
      <c r="R77" s="942">
        <f>'SAN LUONG'!DW69</f>
        <v>24</v>
      </c>
      <c r="S77" s="942">
        <f t="shared" si="2"/>
        <v>0.75</v>
      </c>
      <c r="T77" s="943">
        <f>'CHAM CONG'!BW67</f>
        <v>0</v>
      </c>
      <c r="U77" s="942">
        <f t="shared" si="10"/>
        <v>0</v>
      </c>
      <c r="V77" s="890">
        <f>'CHAM CONG'!BD67</f>
        <v>4</v>
      </c>
      <c r="W77" s="944">
        <f t="shared" si="3"/>
        <v>2.13</v>
      </c>
      <c r="X77" s="891">
        <f>'CHAM CONG'!BT67</f>
        <v>1</v>
      </c>
      <c r="Y77" s="881">
        <f t="shared" si="11"/>
        <v>1.1000000000000001</v>
      </c>
      <c r="Z77" s="892">
        <v>6.03</v>
      </c>
      <c r="AA77" s="942">
        <f t="shared" si="15"/>
        <v>1.71</v>
      </c>
      <c r="AB77" s="892">
        <v>6.03</v>
      </c>
      <c r="AC77" s="942">
        <f t="shared" si="12"/>
        <v>7.24</v>
      </c>
      <c r="AD77" s="892">
        <v>6.03</v>
      </c>
      <c r="AE77" s="942">
        <f t="shared" si="13"/>
        <v>4.3</v>
      </c>
      <c r="AF77" s="943" t="e">
        <f>#N/A</f>
        <v>#N/A</v>
      </c>
      <c r="AG77" s="893">
        <f t="shared" si="5"/>
        <v>39.29</v>
      </c>
      <c r="AH77" s="894"/>
      <c r="AI77" s="895">
        <v>35.99</v>
      </c>
      <c r="AJ77" s="791">
        <v>32.099999999999994</v>
      </c>
      <c r="AK77" s="896">
        <f t="shared" si="14"/>
        <v>4</v>
      </c>
      <c r="AL77" s="896"/>
      <c r="AS77" s="898"/>
    </row>
    <row r="78" spans="1:45" s="779" customFormat="1" ht="30.6" customHeight="1">
      <c r="A78" s="885">
        <v>62</v>
      </c>
      <c r="B78" s="886">
        <v>4</v>
      </c>
      <c r="C78" s="887" t="str">
        <f>'Tên thang 01-26'!E65</f>
        <v>ម៉ន ម៉ៃ</v>
      </c>
      <c r="D78" s="887" t="str">
        <f>'Tên thang 01-26'!F65</f>
        <v>MORN MAY</v>
      </c>
      <c r="E78" s="888">
        <v>151</v>
      </c>
      <c r="F78" s="889">
        <f>'SAN LUONG'!AP70*0.44</f>
        <v>886.6</v>
      </c>
      <c r="G78" s="889">
        <f t="shared" si="0"/>
        <v>12.63</v>
      </c>
      <c r="H78" s="889">
        <f>'SAN LUONG'!AO70*0.44</f>
        <v>0</v>
      </c>
      <c r="I78" s="889">
        <f t="shared" si="1"/>
        <v>0</v>
      </c>
      <c r="J78" s="889">
        <f>'SAN LUONG'!AV70*0.44</f>
        <v>0</v>
      </c>
      <c r="K78" s="889">
        <f t="shared" si="6"/>
        <v>0</v>
      </c>
      <c r="L78" s="889"/>
      <c r="M78" s="881">
        <f>'CHAM CONG'!BC68</f>
        <v>15</v>
      </c>
      <c r="N78" s="889">
        <f t="shared" si="7"/>
        <v>7.51</v>
      </c>
      <c r="O78" s="889">
        <f t="shared" si="8"/>
        <v>0.47</v>
      </c>
      <c r="P78" s="890">
        <f>'CHAM CONG'!BO68</f>
        <v>28</v>
      </c>
      <c r="Q78" s="942">
        <f t="shared" si="9"/>
        <v>2.63</v>
      </c>
      <c r="R78" s="942">
        <f>'SAN LUONG'!DW70</f>
        <v>8.8000000000000007</v>
      </c>
      <c r="S78" s="942">
        <f t="shared" si="2"/>
        <v>0.28000000000000003</v>
      </c>
      <c r="T78" s="943">
        <f>'CHAM CONG'!BW68</f>
        <v>0</v>
      </c>
      <c r="U78" s="942">
        <f t="shared" si="10"/>
        <v>0</v>
      </c>
      <c r="V78" s="890">
        <f>'CHAM CONG'!BD68</f>
        <v>4</v>
      </c>
      <c r="W78" s="944">
        <f t="shared" si="3"/>
        <v>2.13</v>
      </c>
      <c r="X78" s="891">
        <f>'CHAM CONG'!BT68</f>
        <v>1</v>
      </c>
      <c r="Y78" s="881">
        <f t="shared" si="11"/>
        <v>1.1000000000000001</v>
      </c>
      <c r="Z78" s="892">
        <v>6.03</v>
      </c>
      <c r="AA78" s="942">
        <f t="shared" si="15"/>
        <v>1.71</v>
      </c>
      <c r="AB78" s="892">
        <v>6.03</v>
      </c>
      <c r="AC78" s="942">
        <f t="shared" si="12"/>
        <v>7.24</v>
      </c>
      <c r="AD78" s="892">
        <v>6.03</v>
      </c>
      <c r="AE78" s="942">
        <f t="shared" si="13"/>
        <v>4.3</v>
      </c>
      <c r="AF78" s="943" t="e">
        <f>#N/A</f>
        <v>#N/A</v>
      </c>
      <c r="AG78" s="893">
        <f t="shared" si="5"/>
        <v>40</v>
      </c>
      <c r="AH78" s="894"/>
      <c r="AI78" s="895">
        <v>32.630000000000003</v>
      </c>
      <c r="AJ78" s="791">
        <v>28.76</v>
      </c>
      <c r="AK78" s="896">
        <f t="shared" si="14"/>
        <v>4</v>
      </c>
      <c r="AL78" s="896"/>
      <c r="AS78" s="898"/>
    </row>
    <row r="79" spans="1:45" s="779" customFormat="1" ht="30.6" customHeight="1">
      <c r="A79" s="885">
        <v>63</v>
      </c>
      <c r="B79" s="886">
        <v>4</v>
      </c>
      <c r="C79" s="887" t="str">
        <f>'Tên thang 01-26'!E66</f>
        <v>ជន សាមាក់</v>
      </c>
      <c r="D79" s="887" t="str">
        <f>'Tên thang 01-26'!F66</f>
        <v>CHORN SAMAK</v>
      </c>
      <c r="E79" s="888">
        <v>152</v>
      </c>
      <c r="F79" s="889">
        <f>'SAN LUONG'!AP71*0.44</f>
        <v>1011.12</v>
      </c>
      <c r="G79" s="889">
        <f t="shared" si="0"/>
        <v>14.4</v>
      </c>
      <c r="H79" s="889">
        <f>'SAN LUONG'!AO71*0.44</f>
        <v>0</v>
      </c>
      <c r="I79" s="889">
        <f t="shared" si="1"/>
        <v>0</v>
      </c>
      <c r="J79" s="889">
        <f>'SAN LUONG'!AV71*0.44</f>
        <v>0</v>
      </c>
      <c r="K79" s="889">
        <f t="shared" si="6"/>
        <v>0</v>
      </c>
      <c r="L79" s="889"/>
      <c r="M79" s="881">
        <f>'CHAM CONG'!BC69</f>
        <v>15</v>
      </c>
      <c r="N79" s="889">
        <f t="shared" si="7"/>
        <v>7.51</v>
      </c>
      <c r="O79" s="889">
        <f t="shared" si="8"/>
        <v>0.47</v>
      </c>
      <c r="P79" s="890">
        <f>'CHAM CONG'!BO69</f>
        <v>29</v>
      </c>
      <c r="Q79" s="942">
        <f t="shared" si="9"/>
        <v>2.72</v>
      </c>
      <c r="R79" s="942">
        <f>'SAN LUONG'!DW71</f>
        <v>7.6</v>
      </c>
      <c r="S79" s="942">
        <f t="shared" si="2"/>
        <v>0.24</v>
      </c>
      <c r="T79" s="943">
        <f>'CHAM CONG'!BW69</f>
        <v>0</v>
      </c>
      <c r="U79" s="942">
        <f t="shared" si="10"/>
        <v>0</v>
      </c>
      <c r="V79" s="890">
        <f>'CHAM CONG'!BD69</f>
        <v>4</v>
      </c>
      <c r="W79" s="944">
        <f t="shared" si="3"/>
        <v>2.13</v>
      </c>
      <c r="X79" s="891">
        <f>'CHAM CONG'!BT69</f>
        <v>1</v>
      </c>
      <c r="Y79" s="881">
        <f t="shared" si="11"/>
        <v>1.1000000000000001</v>
      </c>
      <c r="Z79" s="892">
        <v>6.03</v>
      </c>
      <c r="AA79" s="942">
        <f t="shared" si="15"/>
        <v>1.71</v>
      </c>
      <c r="AB79" s="892">
        <v>6.03</v>
      </c>
      <c r="AC79" s="942">
        <f t="shared" si="12"/>
        <v>7.24</v>
      </c>
      <c r="AD79" s="892">
        <v>6.03</v>
      </c>
      <c r="AE79" s="942">
        <f t="shared" si="13"/>
        <v>4.3</v>
      </c>
      <c r="AF79" s="943" t="e">
        <f>#N/A</f>
        <v>#N/A</v>
      </c>
      <c r="AG79" s="893">
        <f t="shared" si="5"/>
        <v>41.819999999999993</v>
      </c>
      <c r="AH79" s="894"/>
      <c r="AI79" s="895">
        <v>32.03</v>
      </c>
      <c r="AJ79" s="791">
        <v>28.770000000000003</v>
      </c>
      <c r="AK79" s="896">
        <f t="shared" si="14"/>
        <v>3</v>
      </c>
      <c r="AL79" s="896"/>
      <c r="AS79" s="898"/>
    </row>
    <row r="80" spans="1:45" s="779" customFormat="1" ht="30.6" customHeight="1">
      <c r="A80" s="885">
        <v>64</v>
      </c>
      <c r="B80" s="886">
        <v>4</v>
      </c>
      <c r="C80" s="887" t="str">
        <f>'Tên thang 01-26'!E67</f>
        <v>សេង មករា</v>
      </c>
      <c r="D80" s="887" t="str">
        <f>'Tên thang 01-26'!F67</f>
        <v>SENG MEAKARA</v>
      </c>
      <c r="E80" s="888">
        <v>153</v>
      </c>
      <c r="F80" s="889">
        <f>'SAN LUONG'!AP72*0.44</f>
        <v>826.76</v>
      </c>
      <c r="G80" s="889">
        <f t="shared" si="0"/>
        <v>11.77</v>
      </c>
      <c r="H80" s="889">
        <f>'SAN LUONG'!AO72*0.44</f>
        <v>0</v>
      </c>
      <c r="I80" s="889">
        <f t="shared" si="1"/>
        <v>0</v>
      </c>
      <c r="J80" s="889">
        <f>'SAN LUONG'!AV72*0.44</f>
        <v>0</v>
      </c>
      <c r="K80" s="889">
        <f t="shared" si="6"/>
        <v>0</v>
      </c>
      <c r="L80" s="889"/>
      <c r="M80" s="881">
        <f>'CHAM CONG'!BC70</f>
        <v>16</v>
      </c>
      <c r="N80" s="889">
        <f t="shared" si="7"/>
        <v>8.01</v>
      </c>
      <c r="O80" s="889">
        <f t="shared" si="8"/>
        <v>0.5</v>
      </c>
      <c r="P80" s="890">
        <f>'CHAM CONG'!BO70</f>
        <v>30</v>
      </c>
      <c r="Q80" s="942">
        <f t="shared" si="9"/>
        <v>2.82</v>
      </c>
      <c r="R80" s="942">
        <f>'SAN LUONG'!DW72</f>
        <v>9</v>
      </c>
      <c r="S80" s="942">
        <f t="shared" si="2"/>
        <v>0.28000000000000003</v>
      </c>
      <c r="T80" s="943">
        <f>'CHAM CONG'!BW70</f>
        <v>0</v>
      </c>
      <c r="U80" s="942">
        <f t="shared" si="10"/>
        <v>0</v>
      </c>
      <c r="V80" s="890">
        <f>'CHAM CONG'!BD70</f>
        <v>4</v>
      </c>
      <c r="W80" s="944">
        <f t="shared" si="3"/>
        <v>2.13</v>
      </c>
      <c r="X80" s="891">
        <f>'CHAM CONG'!BT70</f>
        <v>1</v>
      </c>
      <c r="Y80" s="881">
        <f t="shared" si="11"/>
        <v>1.1000000000000001</v>
      </c>
      <c r="Z80" s="892">
        <v>6.03</v>
      </c>
      <c r="AA80" s="942">
        <f t="shared" si="15"/>
        <v>1.71</v>
      </c>
      <c r="AB80" s="892">
        <v>6.03</v>
      </c>
      <c r="AC80" s="942">
        <f t="shared" si="12"/>
        <v>7.24</v>
      </c>
      <c r="AD80" s="892">
        <v>6.03</v>
      </c>
      <c r="AE80" s="942">
        <f t="shared" si="13"/>
        <v>4.3</v>
      </c>
      <c r="AF80" s="943" t="e">
        <f>#N/A</f>
        <v>#N/A</v>
      </c>
      <c r="AG80" s="893">
        <f t="shared" si="5"/>
        <v>39.86</v>
      </c>
      <c r="AH80" s="894"/>
      <c r="AI80" s="895">
        <v>32.11</v>
      </c>
      <c r="AJ80" s="791">
        <v>28.22</v>
      </c>
      <c r="AK80" s="896">
        <f t="shared" si="14"/>
        <v>4</v>
      </c>
      <c r="AL80" s="896"/>
      <c r="AS80" s="898"/>
    </row>
    <row r="81" spans="1:45" s="779" customFormat="1" ht="30.6" customHeight="1">
      <c r="A81" s="885">
        <v>65</v>
      </c>
      <c r="B81" s="886">
        <v>4</v>
      </c>
      <c r="C81" s="887" t="str">
        <f>'Tên thang 01-26'!E68</f>
        <v>ហ៊ាវ ហៃ</v>
      </c>
      <c r="D81" s="887" t="str">
        <f>'Tên thang 01-26'!F68</f>
        <v>HEAV HAI</v>
      </c>
      <c r="E81" s="888">
        <v>154</v>
      </c>
      <c r="F81" s="889">
        <f>'SAN LUONG'!AP73*0.44</f>
        <v>1057.76</v>
      </c>
      <c r="G81" s="889">
        <f t="shared" ref="G81:G144" si="16">ROUND((F81*$G$15)/31947,2)</f>
        <v>15.06</v>
      </c>
      <c r="H81" s="889">
        <f>'SAN LUONG'!AO73*0.44</f>
        <v>0</v>
      </c>
      <c r="I81" s="889">
        <f t="shared" ref="I81:I144" si="17">ROUND((H81*$I$15)/31947,2)</f>
        <v>0</v>
      </c>
      <c r="J81" s="889">
        <f>'SAN LUONG'!AV73*0.44</f>
        <v>0</v>
      </c>
      <c r="K81" s="889">
        <f t="shared" si="6"/>
        <v>0</v>
      </c>
      <c r="L81" s="889"/>
      <c r="M81" s="881">
        <f>'CHAM CONG'!BC71</f>
        <v>16</v>
      </c>
      <c r="N81" s="889">
        <f t="shared" si="7"/>
        <v>8.01</v>
      </c>
      <c r="O81" s="889">
        <f t="shared" si="8"/>
        <v>0.5</v>
      </c>
      <c r="P81" s="890">
        <f>'CHAM CONG'!BO71</f>
        <v>31</v>
      </c>
      <c r="Q81" s="942">
        <f t="shared" si="9"/>
        <v>2.91</v>
      </c>
      <c r="R81" s="942">
        <f>'SAN LUONG'!DW73</f>
        <v>8.1999999999999993</v>
      </c>
      <c r="S81" s="942">
        <f t="shared" ref="S81:S144" si="18">ROUND(R81*1000/31947,2)</f>
        <v>0.26</v>
      </c>
      <c r="T81" s="943">
        <f>'CHAM CONG'!BW71</f>
        <v>0</v>
      </c>
      <c r="U81" s="942">
        <f t="shared" si="10"/>
        <v>0</v>
      </c>
      <c r="V81" s="890">
        <f>'CHAM CONG'!BD71</f>
        <v>4</v>
      </c>
      <c r="W81" s="944">
        <f t="shared" ref="W81:W144" si="19">ROUND(V81*$V$15,2)</f>
        <v>2.13</v>
      </c>
      <c r="X81" s="891">
        <f>'CHAM CONG'!BT71</f>
        <v>1</v>
      </c>
      <c r="Y81" s="881">
        <f t="shared" si="11"/>
        <v>1.1000000000000001</v>
      </c>
      <c r="Z81" s="892">
        <v>6.03</v>
      </c>
      <c r="AA81" s="942">
        <f t="shared" ref="AA81:AA144" si="20">ROUND(Z81*$Z$15,2)+0.01</f>
        <v>1.71</v>
      </c>
      <c r="AB81" s="892">
        <v>6.03</v>
      </c>
      <c r="AC81" s="942">
        <f t="shared" si="12"/>
        <v>7.24</v>
      </c>
      <c r="AD81" s="892">
        <v>6.03</v>
      </c>
      <c r="AE81" s="942">
        <f t="shared" si="13"/>
        <v>4.3</v>
      </c>
      <c r="AF81" s="943" t="e">
        <f>#N/A</f>
        <v>#N/A</v>
      </c>
      <c r="AG81" s="893">
        <f t="shared" ref="AG81:AG144" si="21">G81+I81+K81+N81+Q81+S81+U81+W81+Y81+AC81+AE81+O81+AA81</f>
        <v>43.22</v>
      </c>
      <c r="AH81" s="894"/>
      <c r="AI81" s="895">
        <v>31.9</v>
      </c>
      <c r="AJ81" s="791">
        <v>28.01</v>
      </c>
      <c r="AK81" s="896">
        <f t="shared" si="14"/>
        <v>4</v>
      </c>
      <c r="AL81" s="896"/>
      <c r="AS81" s="898"/>
    </row>
    <row r="82" spans="1:45" s="779" customFormat="1" ht="30.6" customHeight="1">
      <c r="A82" s="885">
        <v>66</v>
      </c>
      <c r="B82" s="886">
        <v>4</v>
      </c>
      <c r="C82" s="887" t="str">
        <f>'Tên thang 01-26'!E69</f>
        <v>មឿន សាវន</v>
      </c>
      <c r="D82" s="887" t="str">
        <f>'Tên thang 01-26'!F69</f>
        <v>MOEUN SAVON</v>
      </c>
      <c r="E82" s="888">
        <v>155</v>
      </c>
      <c r="F82" s="889">
        <f>'SAN LUONG'!AP74*0.44</f>
        <v>1010.68</v>
      </c>
      <c r="G82" s="889">
        <f t="shared" si="16"/>
        <v>14.39</v>
      </c>
      <c r="H82" s="889">
        <f>'SAN LUONG'!AO74*0.44</f>
        <v>0</v>
      </c>
      <c r="I82" s="889">
        <f t="shared" si="17"/>
        <v>0</v>
      </c>
      <c r="J82" s="889">
        <f>'SAN LUONG'!AV74*0.44</f>
        <v>0</v>
      </c>
      <c r="K82" s="889">
        <f t="shared" ref="K82:K145" si="22">ROUND((J82*$K$15)/31947,2)</f>
        <v>0</v>
      </c>
      <c r="L82" s="889"/>
      <c r="M82" s="881">
        <f>'CHAM CONG'!BC72</f>
        <v>16</v>
      </c>
      <c r="N82" s="889">
        <f t="shared" ref="N82:N145" si="23">ROUND(M82*16000/31947,2)</f>
        <v>8.01</v>
      </c>
      <c r="O82" s="889">
        <f t="shared" ref="O82:O145" si="24">ROUND(M82*1000/31947,2)</f>
        <v>0.5</v>
      </c>
      <c r="P82" s="890">
        <f>'CHAM CONG'!BO72</f>
        <v>30</v>
      </c>
      <c r="Q82" s="942">
        <f t="shared" ref="Q82:Q145" si="25">ROUND(P82*0.0939,2)</f>
        <v>2.82</v>
      </c>
      <c r="R82" s="942">
        <f>'SAN LUONG'!DW74</f>
        <v>8.6999999999999993</v>
      </c>
      <c r="S82" s="942">
        <f t="shared" si="18"/>
        <v>0.27</v>
      </c>
      <c r="T82" s="943">
        <f>'CHAM CONG'!BW72</f>
        <v>0</v>
      </c>
      <c r="U82" s="942">
        <f t="shared" ref="U82:U145" si="26">ROUND(T82/31947,2)</f>
        <v>0</v>
      </c>
      <c r="V82" s="890">
        <f>'CHAM CONG'!BD72</f>
        <v>4</v>
      </c>
      <c r="W82" s="944">
        <f t="shared" si="19"/>
        <v>2.13</v>
      </c>
      <c r="X82" s="891">
        <f>'CHAM CONG'!BT72</f>
        <v>1</v>
      </c>
      <c r="Y82" s="881">
        <f t="shared" ref="Y82:Y145" si="27">ROUND(X82*1.0956,1)</f>
        <v>1.1000000000000001</v>
      </c>
      <c r="Z82" s="892">
        <v>6.03</v>
      </c>
      <c r="AA82" s="942">
        <f t="shared" si="20"/>
        <v>1.71</v>
      </c>
      <c r="AB82" s="892">
        <v>6.03</v>
      </c>
      <c r="AC82" s="942">
        <f t="shared" ref="AC82:AC145" si="28">ROUND(AB82*$AB$15,2)</f>
        <v>7.24</v>
      </c>
      <c r="AD82" s="892">
        <v>6.03</v>
      </c>
      <c r="AE82" s="942">
        <f t="shared" ref="AE82:AE145" si="29">ROUND(AD82*$AD$15,2)</f>
        <v>4.3</v>
      </c>
      <c r="AF82" s="943" t="e">
        <f>#N/A</f>
        <v>#N/A</v>
      </c>
      <c r="AG82" s="893">
        <f t="shared" si="21"/>
        <v>42.47</v>
      </c>
      <c r="AH82" s="894"/>
      <c r="AI82" s="895">
        <v>34.130000000000003</v>
      </c>
      <c r="AJ82" s="791">
        <v>30.249999999999996</v>
      </c>
      <c r="AK82" s="896">
        <f t="shared" ref="AK82:AK145" si="30">ROUND(AI82-AJ82,0)</f>
        <v>4</v>
      </c>
      <c r="AL82" s="896"/>
      <c r="AS82" s="898"/>
    </row>
    <row r="83" spans="1:45" s="779" customFormat="1" ht="30.6" customHeight="1">
      <c r="A83" s="885">
        <v>67</v>
      </c>
      <c r="B83" s="886">
        <v>4</v>
      </c>
      <c r="C83" s="887" t="str">
        <f>'Tên thang 01-26'!E70</f>
        <v>មឿន សុខា</v>
      </c>
      <c r="D83" s="887" t="str">
        <f>'Tên thang 01-26'!F70</f>
        <v>MAEUN SOKHA</v>
      </c>
      <c r="E83" s="888">
        <v>156</v>
      </c>
      <c r="F83" s="889">
        <f>'SAN LUONG'!AP75*0.44</f>
        <v>1042.3599999999999</v>
      </c>
      <c r="G83" s="889">
        <f t="shared" si="16"/>
        <v>14.85</v>
      </c>
      <c r="H83" s="889">
        <f>'SAN LUONG'!AO75*0.44</f>
        <v>0</v>
      </c>
      <c r="I83" s="889">
        <f t="shared" si="17"/>
        <v>0</v>
      </c>
      <c r="J83" s="889">
        <f>'SAN LUONG'!AV75*0.44</f>
        <v>0</v>
      </c>
      <c r="K83" s="889">
        <f t="shared" si="22"/>
        <v>0</v>
      </c>
      <c r="L83" s="889"/>
      <c r="M83" s="881">
        <f>'CHAM CONG'!BC73</f>
        <v>16</v>
      </c>
      <c r="N83" s="889">
        <f t="shared" si="23"/>
        <v>8.01</v>
      </c>
      <c r="O83" s="889">
        <f t="shared" si="24"/>
        <v>0.5</v>
      </c>
      <c r="P83" s="890">
        <f>'CHAM CONG'!BO73</f>
        <v>29</v>
      </c>
      <c r="Q83" s="942">
        <f t="shared" si="25"/>
        <v>2.72</v>
      </c>
      <c r="R83" s="942">
        <f>'SAN LUONG'!DW75</f>
        <v>15</v>
      </c>
      <c r="S83" s="942">
        <f t="shared" si="18"/>
        <v>0.47</v>
      </c>
      <c r="T83" s="943">
        <f>'CHAM CONG'!BW73</f>
        <v>0</v>
      </c>
      <c r="U83" s="942">
        <f t="shared" si="26"/>
        <v>0</v>
      </c>
      <c r="V83" s="890">
        <f>'CHAM CONG'!BD73</f>
        <v>4</v>
      </c>
      <c r="W83" s="944">
        <f t="shared" si="19"/>
        <v>2.13</v>
      </c>
      <c r="X83" s="891">
        <f>'CHAM CONG'!BT73</f>
        <v>1</v>
      </c>
      <c r="Y83" s="881">
        <f t="shared" si="27"/>
        <v>1.1000000000000001</v>
      </c>
      <c r="Z83" s="892">
        <v>6.03</v>
      </c>
      <c r="AA83" s="942">
        <f t="shared" si="20"/>
        <v>1.71</v>
      </c>
      <c r="AB83" s="892">
        <v>6.03</v>
      </c>
      <c r="AC83" s="942">
        <f t="shared" si="28"/>
        <v>7.24</v>
      </c>
      <c r="AD83" s="892">
        <v>6.03</v>
      </c>
      <c r="AE83" s="942">
        <f t="shared" si="29"/>
        <v>4.3</v>
      </c>
      <c r="AF83" s="943" t="e">
        <f>#N/A</f>
        <v>#N/A</v>
      </c>
      <c r="AG83" s="893">
        <f t="shared" si="21"/>
        <v>43.029999999999994</v>
      </c>
      <c r="AH83" s="894"/>
      <c r="AI83" s="895">
        <v>32.79</v>
      </c>
      <c r="AJ83" s="791">
        <v>28.91</v>
      </c>
      <c r="AK83" s="896">
        <f t="shared" si="30"/>
        <v>4</v>
      </c>
      <c r="AL83" s="896"/>
      <c r="AS83" s="898"/>
    </row>
    <row r="84" spans="1:45" s="779" customFormat="1" ht="30.6" customHeight="1">
      <c r="A84" s="885">
        <v>68</v>
      </c>
      <c r="B84" s="886">
        <v>4</v>
      </c>
      <c r="C84" s="887" t="str">
        <f>'Tên thang 01-26'!E71</f>
        <v>ម៉ិក ស្រីលាក់</v>
      </c>
      <c r="D84" s="887" t="str">
        <f>'Tên thang 01-26'!F71</f>
        <v>MIK SREYLEAK</v>
      </c>
      <c r="E84" s="888">
        <v>157</v>
      </c>
      <c r="F84" s="889">
        <f>'SAN LUONG'!AP76*0.44</f>
        <v>1024.76</v>
      </c>
      <c r="G84" s="889">
        <f t="shared" si="16"/>
        <v>14.59</v>
      </c>
      <c r="H84" s="889">
        <f>'SAN LUONG'!AO76*0.44</f>
        <v>0</v>
      </c>
      <c r="I84" s="889">
        <f t="shared" si="17"/>
        <v>0</v>
      </c>
      <c r="J84" s="889">
        <f>'SAN LUONG'!AV76*0.44</f>
        <v>0</v>
      </c>
      <c r="K84" s="889">
        <f t="shared" si="22"/>
        <v>0</v>
      </c>
      <c r="L84" s="889"/>
      <c r="M84" s="881">
        <f>'CHAM CONG'!BC74</f>
        <v>16</v>
      </c>
      <c r="N84" s="889">
        <f t="shared" si="23"/>
        <v>8.01</v>
      </c>
      <c r="O84" s="889">
        <f t="shared" si="24"/>
        <v>0.5</v>
      </c>
      <c r="P84" s="890">
        <f>'CHAM CONG'!BO74</f>
        <v>29</v>
      </c>
      <c r="Q84" s="942">
        <f t="shared" si="25"/>
        <v>2.72</v>
      </c>
      <c r="R84" s="942">
        <f>'SAN LUONG'!DW76</f>
        <v>14.1</v>
      </c>
      <c r="S84" s="942">
        <f t="shared" si="18"/>
        <v>0.44</v>
      </c>
      <c r="T84" s="943">
        <f>'CHAM CONG'!BW74</f>
        <v>0</v>
      </c>
      <c r="U84" s="942">
        <f t="shared" si="26"/>
        <v>0</v>
      </c>
      <c r="V84" s="890">
        <f>'CHAM CONG'!BD74</f>
        <v>4</v>
      </c>
      <c r="W84" s="944">
        <f t="shared" si="19"/>
        <v>2.13</v>
      </c>
      <c r="X84" s="891">
        <f>'CHAM CONG'!BT74</f>
        <v>1</v>
      </c>
      <c r="Y84" s="881">
        <f t="shared" si="27"/>
        <v>1.1000000000000001</v>
      </c>
      <c r="Z84" s="892">
        <v>6.03</v>
      </c>
      <c r="AA84" s="942">
        <f t="shared" si="20"/>
        <v>1.71</v>
      </c>
      <c r="AB84" s="892">
        <v>6.03</v>
      </c>
      <c r="AC84" s="942">
        <f t="shared" si="28"/>
        <v>7.24</v>
      </c>
      <c r="AD84" s="892">
        <v>6.03</v>
      </c>
      <c r="AE84" s="942">
        <f t="shared" si="29"/>
        <v>4.3</v>
      </c>
      <c r="AF84" s="943" t="e">
        <f>#N/A</f>
        <v>#N/A</v>
      </c>
      <c r="AG84" s="893">
        <f t="shared" si="21"/>
        <v>42.74</v>
      </c>
      <c r="AH84" s="894"/>
      <c r="AI84" s="895">
        <v>33.17</v>
      </c>
      <c r="AJ84" s="791">
        <v>29.29</v>
      </c>
      <c r="AK84" s="896">
        <f t="shared" si="30"/>
        <v>4</v>
      </c>
      <c r="AL84" s="896"/>
      <c r="AS84" s="898"/>
    </row>
    <row r="85" spans="1:45" s="779" customFormat="1" ht="30.6" customHeight="1">
      <c r="A85" s="885">
        <v>69</v>
      </c>
      <c r="B85" s="886">
        <v>4</v>
      </c>
      <c r="C85" s="887" t="str">
        <f>'Tên thang 01-26'!E72</f>
        <v>គង់ ពន្លឺ</v>
      </c>
      <c r="D85" s="887" t="str">
        <f>'Tên thang 01-26'!F72</f>
        <v>KONG PUNLEU</v>
      </c>
      <c r="E85" s="888">
        <v>158</v>
      </c>
      <c r="F85" s="889">
        <f>'SAN LUONG'!AP77*0.44</f>
        <v>1141.3599999999999</v>
      </c>
      <c r="G85" s="889">
        <f t="shared" si="16"/>
        <v>16.260000000000002</v>
      </c>
      <c r="H85" s="889">
        <f>'SAN LUONG'!AO77*0.44</f>
        <v>0</v>
      </c>
      <c r="I85" s="889">
        <f t="shared" si="17"/>
        <v>0</v>
      </c>
      <c r="J85" s="889">
        <f>'SAN LUONG'!AV77*0.44</f>
        <v>0</v>
      </c>
      <c r="K85" s="889">
        <f t="shared" si="22"/>
        <v>0</v>
      </c>
      <c r="L85" s="889"/>
      <c r="M85" s="881">
        <f>'CHAM CONG'!BC75</f>
        <v>16</v>
      </c>
      <c r="N85" s="889">
        <f t="shared" si="23"/>
        <v>8.01</v>
      </c>
      <c r="O85" s="889">
        <f t="shared" si="24"/>
        <v>0.5</v>
      </c>
      <c r="P85" s="890">
        <f>'CHAM CONG'!BO75</f>
        <v>29</v>
      </c>
      <c r="Q85" s="942">
        <f t="shared" si="25"/>
        <v>2.72</v>
      </c>
      <c r="R85" s="942">
        <f>'SAN LUONG'!DW77</f>
        <v>12.5</v>
      </c>
      <c r="S85" s="942">
        <f t="shared" si="18"/>
        <v>0.39</v>
      </c>
      <c r="T85" s="943">
        <f>'CHAM CONG'!BW75</f>
        <v>0</v>
      </c>
      <c r="U85" s="942">
        <f t="shared" si="26"/>
        <v>0</v>
      </c>
      <c r="V85" s="890">
        <f>'CHAM CONG'!BD75</f>
        <v>3</v>
      </c>
      <c r="W85" s="944">
        <f t="shared" si="19"/>
        <v>1.6</v>
      </c>
      <c r="X85" s="891">
        <f>'CHAM CONG'!BT75</f>
        <v>1</v>
      </c>
      <c r="Y85" s="881">
        <f t="shared" si="27"/>
        <v>1.1000000000000001</v>
      </c>
      <c r="Z85" s="892">
        <v>6.03</v>
      </c>
      <c r="AA85" s="942">
        <f t="shared" si="20"/>
        <v>1.71</v>
      </c>
      <c r="AB85" s="892">
        <v>6.03</v>
      </c>
      <c r="AC85" s="942">
        <f t="shared" si="28"/>
        <v>7.24</v>
      </c>
      <c r="AD85" s="892">
        <v>6.03</v>
      </c>
      <c r="AE85" s="942">
        <f t="shared" si="29"/>
        <v>4.3</v>
      </c>
      <c r="AF85" s="943" t="e">
        <f>#N/A</f>
        <v>#N/A</v>
      </c>
      <c r="AG85" s="893">
        <f t="shared" si="21"/>
        <v>43.830000000000005</v>
      </c>
      <c r="AH85" s="894"/>
      <c r="AI85" s="895">
        <v>32.32</v>
      </c>
      <c r="AJ85" s="791">
        <v>28.44</v>
      </c>
      <c r="AK85" s="896">
        <f t="shared" si="30"/>
        <v>4</v>
      </c>
      <c r="AL85" s="896"/>
      <c r="AS85" s="898"/>
    </row>
    <row r="86" spans="1:45" s="779" customFormat="1" ht="30.6" customHeight="1">
      <c r="A86" s="885">
        <v>70</v>
      </c>
      <c r="B86" s="886">
        <v>4</v>
      </c>
      <c r="C86" s="887" t="str">
        <f>'Tên thang 01-26'!E73</f>
        <v>បាន សុខឿន</v>
      </c>
      <c r="D86" s="887" t="str">
        <f>'Tên thang 01-26'!F73</f>
        <v>BAN SOKHOEUN</v>
      </c>
      <c r="E86" s="888">
        <v>159</v>
      </c>
      <c r="F86" s="889">
        <f>'SAN LUONG'!AP78*0.44</f>
        <v>1217.48</v>
      </c>
      <c r="G86" s="889">
        <f t="shared" si="16"/>
        <v>17.34</v>
      </c>
      <c r="H86" s="889">
        <f>'SAN LUONG'!AO78*0.44</f>
        <v>0</v>
      </c>
      <c r="I86" s="889">
        <f t="shared" si="17"/>
        <v>0</v>
      </c>
      <c r="J86" s="889">
        <f>'SAN LUONG'!AV78*0.44</f>
        <v>0</v>
      </c>
      <c r="K86" s="889">
        <f t="shared" si="22"/>
        <v>0</v>
      </c>
      <c r="L86" s="889"/>
      <c r="M86" s="881">
        <f>'CHAM CONG'!BC76</f>
        <v>16</v>
      </c>
      <c r="N86" s="889">
        <f t="shared" si="23"/>
        <v>8.01</v>
      </c>
      <c r="O86" s="889">
        <f t="shared" si="24"/>
        <v>0.5</v>
      </c>
      <c r="P86" s="890">
        <f>'CHAM CONG'!BO76</f>
        <v>31</v>
      </c>
      <c r="Q86" s="942">
        <f t="shared" si="25"/>
        <v>2.91</v>
      </c>
      <c r="R86" s="942">
        <f>'SAN LUONG'!DW78</f>
        <v>13.5</v>
      </c>
      <c r="S86" s="942">
        <f t="shared" si="18"/>
        <v>0.42</v>
      </c>
      <c r="T86" s="943">
        <f>'CHAM CONG'!BW76</f>
        <v>0</v>
      </c>
      <c r="U86" s="942">
        <f t="shared" si="26"/>
        <v>0</v>
      </c>
      <c r="V86" s="890">
        <f>'CHAM CONG'!BD76</f>
        <v>4</v>
      </c>
      <c r="W86" s="944">
        <f t="shared" si="19"/>
        <v>2.13</v>
      </c>
      <c r="X86" s="891">
        <f>'CHAM CONG'!BT76</f>
        <v>1</v>
      </c>
      <c r="Y86" s="881">
        <f t="shared" si="27"/>
        <v>1.1000000000000001</v>
      </c>
      <c r="Z86" s="892">
        <v>6.03</v>
      </c>
      <c r="AA86" s="942">
        <f t="shared" si="20"/>
        <v>1.71</v>
      </c>
      <c r="AB86" s="892">
        <v>6.03</v>
      </c>
      <c r="AC86" s="942">
        <f t="shared" si="28"/>
        <v>7.24</v>
      </c>
      <c r="AD86" s="892">
        <v>6.03</v>
      </c>
      <c r="AE86" s="942">
        <f t="shared" si="29"/>
        <v>4.3</v>
      </c>
      <c r="AF86" s="943" t="e">
        <f>#N/A</f>
        <v>#N/A</v>
      </c>
      <c r="AG86" s="893">
        <f t="shared" si="21"/>
        <v>45.660000000000004</v>
      </c>
      <c r="AH86" s="894"/>
      <c r="AI86" s="895">
        <v>37.340000000000003</v>
      </c>
      <c r="AJ86" s="791">
        <v>32.83</v>
      </c>
      <c r="AK86" s="896">
        <f t="shared" si="30"/>
        <v>5</v>
      </c>
      <c r="AL86" s="896"/>
      <c r="AS86" s="898"/>
    </row>
    <row r="87" spans="1:45" s="779" customFormat="1" ht="30.6" customHeight="1">
      <c r="A87" s="885">
        <v>71</v>
      </c>
      <c r="B87" s="886">
        <v>4</v>
      </c>
      <c r="C87" s="887" t="str">
        <f>'Tên thang 01-26'!E74</f>
        <v>ខុន ស្រីនាង</v>
      </c>
      <c r="D87" s="887" t="str">
        <f>'Tên thang 01-26'!F74</f>
        <v>KHON SREYNEANG</v>
      </c>
      <c r="E87" s="888">
        <v>160</v>
      </c>
      <c r="F87" s="889">
        <f>'SAN LUONG'!AP79*0.44</f>
        <v>1046.32</v>
      </c>
      <c r="G87" s="889">
        <f t="shared" si="16"/>
        <v>14.9</v>
      </c>
      <c r="H87" s="889">
        <f>'SAN LUONG'!AO79*0.44</f>
        <v>0</v>
      </c>
      <c r="I87" s="889">
        <f t="shared" si="17"/>
        <v>0</v>
      </c>
      <c r="J87" s="889">
        <f>'SAN LUONG'!AV79*0.44</f>
        <v>0</v>
      </c>
      <c r="K87" s="889">
        <f t="shared" si="22"/>
        <v>0</v>
      </c>
      <c r="L87" s="889"/>
      <c r="M87" s="881">
        <f>'CHAM CONG'!BC77</f>
        <v>16</v>
      </c>
      <c r="N87" s="889">
        <f t="shared" si="23"/>
        <v>8.01</v>
      </c>
      <c r="O87" s="889">
        <f t="shared" si="24"/>
        <v>0.5</v>
      </c>
      <c r="P87" s="890">
        <f>'CHAM CONG'!BO77</f>
        <v>31</v>
      </c>
      <c r="Q87" s="942">
        <f t="shared" si="25"/>
        <v>2.91</v>
      </c>
      <c r="R87" s="942">
        <f>'SAN LUONG'!DW79</f>
        <v>13.4</v>
      </c>
      <c r="S87" s="942">
        <f t="shared" si="18"/>
        <v>0.42</v>
      </c>
      <c r="T87" s="943">
        <f>'CHAM CONG'!BW77</f>
        <v>0</v>
      </c>
      <c r="U87" s="942">
        <f t="shared" si="26"/>
        <v>0</v>
      </c>
      <c r="V87" s="890">
        <f>'CHAM CONG'!BD77</f>
        <v>4</v>
      </c>
      <c r="W87" s="944">
        <f t="shared" si="19"/>
        <v>2.13</v>
      </c>
      <c r="X87" s="891">
        <f>'CHAM CONG'!BT77</f>
        <v>1</v>
      </c>
      <c r="Y87" s="881">
        <f t="shared" si="27"/>
        <v>1.1000000000000001</v>
      </c>
      <c r="Z87" s="892">
        <v>6.03</v>
      </c>
      <c r="AA87" s="942">
        <f t="shared" si="20"/>
        <v>1.71</v>
      </c>
      <c r="AB87" s="892">
        <v>6.03</v>
      </c>
      <c r="AC87" s="942">
        <f t="shared" si="28"/>
        <v>7.24</v>
      </c>
      <c r="AD87" s="892">
        <v>6.03</v>
      </c>
      <c r="AE87" s="942">
        <f t="shared" si="29"/>
        <v>4.3</v>
      </c>
      <c r="AF87" s="943" t="e">
        <f>#N/A</f>
        <v>#N/A</v>
      </c>
      <c r="AG87" s="893">
        <f t="shared" si="21"/>
        <v>43.22</v>
      </c>
      <c r="AH87" s="894"/>
      <c r="AI87" s="895">
        <v>35.39</v>
      </c>
      <c r="AJ87" s="791">
        <v>31.509999999999998</v>
      </c>
      <c r="AK87" s="896">
        <f t="shared" si="30"/>
        <v>4</v>
      </c>
      <c r="AL87" s="896"/>
      <c r="AS87" s="898"/>
    </row>
    <row r="88" spans="1:45" s="779" customFormat="1" ht="30.6" customHeight="1">
      <c r="A88" s="885">
        <v>72</v>
      </c>
      <c r="B88" s="886">
        <v>4</v>
      </c>
      <c r="C88" s="887" t="str">
        <f>'Tên thang 01-26'!E75</f>
        <v>ត្រុចធីតា</v>
      </c>
      <c r="D88" s="887" t="str">
        <f>'Tên thang 01-26'!F75</f>
        <v>TROCH THYDA</v>
      </c>
      <c r="E88" s="888">
        <v>161</v>
      </c>
      <c r="F88" s="889">
        <f>'SAN LUONG'!AP80*0.44</f>
        <v>962.28</v>
      </c>
      <c r="G88" s="889">
        <f t="shared" si="16"/>
        <v>13.71</v>
      </c>
      <c r="H88" s="889">
        <f>'SAN LUONG'!AO80*0.44</f>
        <v>0</v>
      </c>
      <c r="I88" s="889">
        <f t="shared" si="17"/>
        <v>0</v>
      </c>
      <c r="J88" s="889">
        <f>'SAN LUONG'!AV80*0.44</f>
        <v>0</v>
      </c>
      <c r="K88" s="889">
        <f t="shared" si="22"/>
        <v>0</v>
      </c>
      <c r="L88" s="889"/>
      <c r="M88" s="881">
        <f>'CHAM CONG'!BC78</f>
        <v>14</v>
      </c>
      <c r="N88" s="889">
        <f t="shared" si="23"/>
        <v>7.01</v>
      </c>
      <c r="O88" s="889">
        <f t="shared" si="24"/>
        <v>0.44</v>
      </c>
      <c r="P88" s="890">
        <f>'CHAM CONG'!BO78</f>
        <v>28</v>
      </c>
      <c r="Q88" s="942">
        <f t="shared" si="25"/>
        <v>2.63</v>
      </c>
      <c r="R88" s="942">
        <f>'SAN LUONG'!DW80</f>
        <v>22.1</v>
      </c>
      <c r="S88" s="942">
        <f t="shared" si="18"/>
        <v>0.69</v>
      </c>
      <c r="T88" s="943">
        <f>'CHAM CONG'!BW78</f>
        <v>0</v>
      </c>
      <c r="U88" s="942">
        <f t="shared" si="26"/>
        <v>0</v>
      </c>
      <c r="V88" s="890">
        <f>'CHAM CONG'!BD78</f>
        <v>4</v>
      </c>
      <c r="W88" s="944">
        <f t="shared" si="19"/>
        <v>2.13</v>
      </c>
      <c r="X88" s="891">
        <f>'CHAM CONG'!BT78</f>
        <v>1</v>
      </c>
      <c r="Y88" s="881">
        <f t="shared" si="27"/>
        <v>1.1000000000000001</v>
      </c>
      <c r="Z88" s="892">
        <v>6.03</v>
      </c>
      <c r="AA88" s="942">
        <f t="shared" si="20"/>
        <v>1.71</v>
      </c>
      <c r="AB88" s="892">
        <v>6.03</v>
      </c>
      <c r="AC88" s="942">
        <f t="shared" si="28"/>
        <v>7.24</v>
      </c>
      <c r="AD88" s="892">
        <v>6.03</v>
      </c>
      <c r="AE88" s="942">
        <f t="shared" si="29"/>
        <v>4.3</v>
      </c>
      <c r="AF88" s="943" t="e">
        <f>#N/A</f>
        <v>#N/A</v>
      </c>
      <c r="AG88" s="893">
        <f t="shared" si="21"/>
        <v>40.959999999999994</v>
      </c>
      <c r="AH88" s="894"/>
      <c r="AI88" s="895">
        <v>34.36</v>
      </c>
      <c r="AJ88" s="791">
        <v>30.470000000000002</v>
      </c>
      <c r="AK88" s="896">
        <f t="shared" si="30"/>
        <v>4</v>
      </c>
      <c r="AL88" s="896"/>
      <c r="AS88" s="898"/>
    </row>
    <row r="89" spans="1:45" s="779" customFormat="1" ht="30.6" customHeight="1">
      <c r="A89" s="885">
        <v>73</v>
      </c>
      <c r="B89" s="886">
        <v>4</v>
      </c>
      <c r="C89" s="887" t="str">
        <f>'Tên thang 01-26'!E76</f>
        <v>ផល់ ណាត</v>
      </c>
      <c r="D89" s="887" t="str">
        <f>'Tên thang 01-26'!F76</f>
        <v>PHOL NAT</v>
      </c>
      <c r="E89" s="888">
        <v>162</v>
      </c>
      <c r="F89" s="889">
        <f>'SAN LUONG'!AP81*0.44</f>
        <v>1081.08</v>
      </c>
      <c r="G89" s="889">
        <f t="shared" si="16"/>
        <v>15.4</v>
      </c>
      <c r="H89" s="889">
        <f>'SAN LUONG'!AO81*0.44</f>
        <v>0</v>
      </c>
      <c r="I89" s="889">
        <f t="shared" si="17"/>
        <v>0</v>
      </c>
      <c r="J89" s="889">
        <f>'SAN LUONG'!AV81*0.44</f>
        <v>0</v>
      </c>
      <c r="K89" s="889">
        <f t="shared" si="22"/>
        <v>0</v>
      </c>
      <c r="L89" s="889"/>
      <c r="M89" s="881">
        <f>'CHAM CONG'!BC79</f>
        <v>15</v>
      </c>
      <c r="N89" s="889">
        <f t="shared" si="23"/>
        <v>7.51</v>
      </c>
      <c r="O89" s="889">
        <f t="shared" si="24"/>
        <v>0.47</v>
      </c>
      <c r="P89" s="890">
        <f>'CHAM CONG'!BO79</f>
        <v>29</v>
      </c>
      <c r="Q89" s="942">
        <f t="shared" si="25"/>
        <v>2.72</v>
      </c>
      <c r="R89" s="942">
        <f>'SAN LUONG'!DW81</f>
        <v>23</v>
      </c>
      <c r="S89" s="942">
        <f t="shared" si="18"/>
        <v>0.72</v>
      </c>
      <c r="T89" s="943">
        <f>'CHAM CONG'!BW79</f>
        <v>0</v>
      </c>
      <c r="U89" s="942">
        <f t="shared" si="26"/>
        <v>0</v>
      </c>
      <c r="V89" s="890">
        <f>'CHAM CONG'!BD79</f>
        <v>4</v>
      </c>
      <c r="W89" s="944">
        <f t="shared" si="19"/>
        <v>2.13</v>
      </c>
      <c r="X89" s="891">
        <f>'CHAM CONG'!BT79</f>
        <v>1</v>
      </c>
      <c r="Y89" s="881">
        <f t="shared" si="27"/>
        <v>1.1000000000000001</v>
      </c>
      <c r="Z89" s="892">
        <v>6.03</v>
      </c>
      <c r="AA89" s="942">
        <f t="shared" si="20"/>
        <v>1.71</v>
      </c>
      <c r="AB89" s="892">
        <v>6.03</v>
      </c>
      <c r="AC89" s="942">
        <f t="shared" si="28"/>
        <v>7.24</v>
      </c>
      <c r="AD89" s="892">
        <v>6.03</v>
      </c>
      <c r="AE89" s="942">
        <f t="shared" si="29"/>
        <v>4.3</v>
      </c>
      <c r="AF89" s="943" t="e">
        <f>#N/A</f>
        <v>#N/A</v>
      </c>
      <c r="AG89" s="893">
        <f t="shared" si="21"/>
        <v>43.3</v>
      </c>
      <c r="AH89" s="894"/>
      <c r="AI89" s="895">
        <v>31.5</v>
      </c>
      <c r="AJ89" s="791">
        <v>27.62</v>
      </c>
      <c r="AK89" s="896">
        <f t="shared" si="30"/>
        <v>4</v>
      </c>
      <c r="AL89" s="896"/>
      <c r="AS89" s="898"/>
    </row>
    <row r="90" spans="1:45" s="779" customFormat="1" ht="30.6" customHeight="1">
      <c r="A90" s="885">
        <v>74</v>
      </c>
      <c r="B90" s="886">
        <v>4</v>
      </c>
      <c r="C90" s="887" t="str">
        <f>'Tên thang 01-26'!E77</f>
        <v>ពិន ចាន់នី</v>
      </c>
      <c r="D90" s="887" t="str">
        <f>'Tên thang 01-26'!F77</f>
        <v>PIN CHANNY</v>
      </c>
      <c r="E90" s="888">
        <v>163</v>
      </c>
      <c r="F90" s="889">
        <f>'SAN LUONG'!AP82*0.44</f>
        <v>1016.84</v>
      </c>
      <c r="G90" s="889">
        <f t="shared" si="16"/>
        <v>14.48</v>
      </c>
      <c r="H90" s="889">
        <f>'SAN LUONG'!AO82*0.44</f>
        <v>0</v>
      </c>
      <c r="I90" s="889">
        <f t="shared" si="17"/>
        <v>0</v>
      </c>
      <c r="J90" s="889">
        <f>'SAN LUONG'!AV82*0.44</f>
        <v>0</v>
      </c>
      <c r="K90" s="889">
        <f t="shared" si="22"/>
        <v>0</v>
      </c>
      <c r="L90" s="889"/>
      <c r="M90" s="881">
        <f>'CHAM CONG'!BC80</f>
        <v>16</v>
      </c>
      <c r="N90" s="889">
        <f t="shared" si="23"/>
        <v>8.01</v>
      </c>
      <c r="O90" s="889">
        <f t="shared" si="24"/>
        <v>0.5</v>
      </c>
      <c r="P90" s="890">
        <f>'CHAM CONG'!BO80</f>
        <v>31</v>
      </c>
      <c r="Q90" s="942">
        <f t="shared" si="25"/>
        <v>2.91</v>
      </c>
      <c r="R90" s="942">
        <f>'SAN LUONG'!DW82</f>
        <v>16</v>
      </c>
      <c r="S90" s="942">
        <f t="shared" si="18"/>
        <v>0.5</v>
      </c>
      <c r="T90" s="943">
        <f>'CHAM CONG'!BW80</f>
        <v>0</v>
      </c>
      <c r="U90" s="942">
        <f t="shared" si="26"/>
        <v>0</v>
      </c>
      <c r="V90" s="890">
        <f>'CHAM CONG'!BD80</f>
        <v>4</v>
      </c>
      <c r="W90" s="944">
        <f t="shared" si="19"/>
        <v>2.13</v>
      </c>
      <c r="X90" s="891">
        <f>'CHAM CONG'!BT80</f>
        <v>1</v>
      </c>
      <c r="Y90" s="881">
        <f t="shared" si="27"/>
        <v>1.1000000000000001</v>
      </c>
      <c r="Z90" s="892">
        <v>6.03</v>
      </c>
      <c r="AA90" s="942">
        <f t="shared" si="20"/>
        <v>1.71</v>
      </c>
      <c r="AB90" s="892">
        <v>6.03</v>
      </c>
      <c r="AC90" s="942">
        <f t="shared" si="28"/>
        <v>7.24</v>
      </c>
      <c r="AD90" s="892">
        <v>6.03</v>
      </c>
      <c r="AE90" s="942">
        <f t="shared" si="29"/>
        <v>4.3</v>
      </c>
      <c r="AF90" s="943" t="e">
        <f>#N/A</f>
        <v>#N/A</v>
      </c>
      <c r="AG90" s="893">
        <f t="shared" si="21"/>
        <v>42.88</v>
      </c>
      <c r="AH90" s="894"/>
      <c r="AI90" s="895">
        <v>32.229999999999997</v>
      </c>
      <c r="AJ90" s="791">
        <v>28.34</v>
      </c>
      <c r="AK90" s="896">
        <f t="shared" si="30"/>
        <v>4</v>
      </c>
      <c r="AL90" s="896"/>
      <c r="AS90" s="898"/>
    </row>
    <row r="91" spans="1:45" s="779" customFormat="1" ht="30.6" customHeight="1">
      <c r="A91" s="885">
        <v>75</v>
      </c>
      <c r="B91" s="886">
        <v>4</v>
      </c>
      <c r="C91" s="887" t="str">
        <f>'Tên thang 01-26'!E78</f>
        <v>ផា សុផុន</v>
      </c>
      <c r="D91" s="887" t="str">
        <f>'Tên thang 01-26'!F78</f>
        <v>PHA SOPHON</v>
      </c>
      <c r="E91" s="888">
        <v>164</v>
      </c>
      <c r="F91" s="889">
        <f>'SAN LUONG'!AP83*0.44</f>
        <v>1074.92</v>
      </c>
      <c r="G91" s="889">
        <f t="shared" si="16"/>
        <v>15.31</v>
      </c>
      <c r="H91" s="889">
        <f>'SAN LUONG'!AO83*0.44</f>
        <v>0</v>
      </c>
      <c r="I91" s="889">
        <f t="shared" si="17"/>
        <v>0</v>
      </c>
      <c r="J91" s="889">
        <f>'SAN LUONG'!AV83*0.44</f>
        <v>0</v>
      </c>
      <c r="K91" s="889">
        <f t="shared" si="22"/>
        <v>0</v>
      </c>
      <c r="L91" s="889"/>
      <c r="M91" s="881">
        <f>'CHAM CONG'!BC81</f>
        <v>16</v>
      </c>
      <c r="N91" s="889">
        <f t="shared" si="23"/>
        <v>8.01</v>
      </c>
      <c r="O91" s="889">
        <f t="shared" si="24"/>
        <v>0.5</v>
      </c>
      <c r="P91" s="890">
        <f>'CHAM CONG'!BO81</f>
        <v>29</v>
      </c>
      <c r="Q91" s="942">
        <f t="shared" si="25"/>
        <v>2.72</v>
      </c>
      <c r="R91" s="942">
        <f>'SAN LUONG'!DW83</f>
        <v>13</v>
      </c>
      <c r="S91" s="942">
        <f t="shared" si="18"/>
        <v>0.41</v>
      </c>
      <c r="T91" s="943">
        <f>'CHAM CONG'!BW81</f>
        <v>0</v>
      </c>
      <c r="U91" s="942">
        <f t="shared" si="26"/>
        <v>0</v>
      </c>
      <c r="V91" s="890">
        <f>'CHAM CONG'!BD81</f>
        <v>4</v>
      </c>
      <c r="W91" s="944">
        <f t="shared" si="19"/>
        <v>2.13</v>
      </c>
      <c r="X91" s="891">
        <f>'CHAM CONG'!BT81</f>
        <v>1</v>
      </c>
      <c r="Y91" s="881">
        <f t="shared" si="27"/>
        <v>1.1000000000000001</v>
      </c>
      <c r="Z91" s="892">
        <v>6.03</v>
      </c>
      <c r="AA91" s="942">
        <f t="shared" si="20"/>
        <v>1.71</v>
      </c>
      <c r="AB91" s="892">
        <v>6.03</v>
      </c>
      <c r="AC91" s="942">
        <f t="shared" si="28"/>
        <v>7.24</v>
      </c>
      <c r="AD91" s="892">
        <v>6.03</v>
      </c>
      <c r="AE91" s="942">
        <f t="shared" si="29"/>
        <v>4.3</v>
      </c>
      <c r="AF91" s="943" t="e">
        <f>#N/A</f>
        <v>#N/A</v>
      </c>
      <c r="AG91" s="893">
        <f t="shared" si="21"/>
        <v>43.43</v>
      </c>
      <c r="AH91" s="894"/>
      <c r="AI91" s="895">
        <v>31.9</v>
      </c>
      <c r="AJ91" s="791">
        <v>28.01</v>
      </c>
      <c r="AK91" s="896">
        <f t="shared" si="30"/>
        <v>4</v>
      </c>
      <c r="AL91" s="896"/>
      <c r="AS91" s="898"/>
    </row>
    <row r="92" spans="1:45" s="779" customFormat="1" ht="30.6" customHeight="1">
      <c r="A92" s="885">
        <v>76</v>
      </c>
      <c r="B92" s="886">
        <v>4</v>
      </c>
      <c r="C92" s="887" t="str">
        <f>'Tên thang 01-26'!E79</f>
        <v>វ៉ា វាសនា</v>
      </c>
      <c r="D92" s="887" t="str">
        <f>'Tên thang 01-26'!F79</f>
        <v>VA VEASNA</v>
      </c>
      <c r="E92" s="888">
        <v>165</v>
      </c>
      <c r="F92" s="889">
        <f>'SAN LUONG'!AP84*0.44</f>
        <v>1095.1600000000001</v>
      </c>
      <c r="G92" s="889">
        <f t="shared" si="16"/>
        <v>15.6</v>
      </c>
      <c r="H92" s="889">
        <f>'SAN LUONG'!AO84*0.44</f>
        <v>0</v>
      </c>
      <c r="I92" s="889">
        <f t="shared" si="17"/>
        <v>0</v>
      </c>
      <c r="J92" s="889">
        <f>'SAN LUONG'!AV84*0.44</f>
        <v>0</v>
      </c>
      <c r="K92" s="889">
        <f t="shared" si="22"/>
        <v>0</v>
      </c>
      <c r="L92" s="889"/>
      <c r="M92" s="881">
        <f>'CHAM CONG'!BC82</f>
        <v>16</v>
      </c>
      <c r="N92" s="889">
        <f t="shared" si="23"/>
        <v>8.01</v>
      </c>
      <c r="O92" s="889">
        <f t="shared" si="24"/>
        <v>0.5</v>
      </c>
      <c r="P92" s="890">
        <f>'CHAM CONG'!BO82</f>
        <v>30</v>
      </c>
      <c r="Q92" s="942">
        <f t="shared" si="25"/>
        <v>2.82</v>
      </c>
      <c r="R92" s="942">
        <f>'SAN LUONG'!DW84</f>
        <v>13</v>
      </c>
      <c r="S92" s="942">
        <f t="shared" si="18"/>
        <v>0.41</v>
      </c>
      <c r="T92" s="943">
        <f>'CHAM CONG'!BW82</f>
        <v>0</v>
      </c>
      <c r="U92" s="942">
        <f t="shared" si="26"/>
        <v>0</v>
      </c>
      <c r="V92" s="890">
        <f>'CHAM CONG'!BD82</f>
        <v>4</v>
      </c>
      <c r="W92" s="944">
        <f t="shared" si="19"/>
        <v>2.13</v>
      </c>
      <c r="X92" s="891">
        <f>'CHAM CONG'!BT82</f>
        <v>1</v>
      </c>
      <c r="Y92" s="881">
        <f t="shared" si="27"/>
        <v>1.1000000000000001</v>
      </c>
      <c r="Z92" s="892">
        <v>6.03</v>
      </c>
      <c r="AA92" s="942">
        <f t="shared" si="20"/>
        <v>1.71</v>
      </c>
      <c r="AB92" s="892">
        <v>6.03</v>
      </c>
      <c r="AC92" s="942">
        <f t="shared" si="28"/>
        <v>7.24</v>
      </c>
      <c r="AD92" s="892">
        <v>6.03</v>
      </c>
      <c r="AE92" s="942">
        <f t="shared" si="29"/>
        <v>4.3</v>
      </c>
      <c r="AF92" s="943" t="e">
        <f>#N/A</f>
        <v>#N/A</v>
      </c>
      <c r="AG92" s="893">
        <f t="shared" si="21"/>
        <v>43.82</v>
      </c>
      <c r="AH92" s="894"/>
      <c r="AI92" s="895">
        <v>32.93</v>
      </c>
      <c r="AJ92" s="791">
        <v>29.05</v>
      </c>
      <c r="AK92" s="896">
        <f t="shared" si="30"/>
        <v>4</v>
      </c>
      <c r="AL92" s="896"/>
      <c r="AS92" s="898"/>
    </row>
    <row r="93" spans="1:45" s="779" customFormat="1" ht="30.6" customHeight="1">
      <c r="A93" s="885">
        <v>77</v>
      </c>
      <c r="B93" s="886">
        <v>4</v>
      </c>
      <c r="C93" s="887" t="str">
        <f>'Tên thang 01-26'!E80</f>
        <v>សុត តក់</v>
      </c>
      <c r="D93" s="887" t="str">
        <f>'Tên thang 01-26'!F80</f>
        <v>SOT TORK</v>
      </c>
      <c r="E93" s="888">
        <v>166</v>
      </c>
      <c r="F93" s="889">
        <f>'SAN LUONG'!AP85*0.44</f>
        <v>921.36</v>
      </c>
      <c r="G93" s="889">
        <f t="shared" si="16"/>
        <v>13.12</v>
      </c>
      <c r="H93" s="889">
        <f>'SAN LUONG'!AO85*0.44</f>
        <v>0</v>
      </c>
      <c r="I93" s="889">
        <f t="shared" si="17"/>
        <v>0</v>
      </c>
      <c r="J93" s="889">
        <f>'SAN LUONG'!AV85*0.44</f>
        <v>0</v>
      </c>
      <c r="K93" s="889">
        <f t="shared" si="22"/>
        <v>0</v>
      </c>
      <c r="L93" s="889"/>
      <c r="M93" s="881">
        <f>'CHAM CONG'!BC83</f>
        <v>16</v>
      </c>
      <c r="N93" s="889">
        <f t="shared" si="23"/>
        <v>8.01</v>
      </c>
      <c r="O93" s="889">
        <f t="shared" si="24"/>
        <v>0.5</v>
      </c>
      <c r="P93" s="890">
        <f>'CHAM CONG'!BO83</f>
        <v>31</v>
      </c>
      <c r="Q93" s="942">
        <f t="shared" si="25"/>
        <v>2.91</v>
      </c>
      <c r="R93" s="942">
        <f>'SAN LUONG'!DW85</f>
        <v>10.5</v>
      </c>
      <c r="S93" s="942">
        <f t="shared" si="18"/>
        <v>0.33</v>
      </c>
      <c r="T93" s="943">
        <f>'CHAM CONG'!BW83</f>
        <v>0</v>
      </c>
      <c r="U93" s="942">
        <f t="shared" si="26"/>
        <v>0</v>
      </c>
      <c r="V93" s="890">
        <f>'CHAM CONG'!BD83</f>
        <v>4</v>
      </c>
      <c r="W93" s="944">
        <f t="shared" si="19"/>
        <v>2.13</v>
      </c>
      <c r="X93" s="891">
        <f>'CHAM CONG'!BT83</f>
        <v>1</v>
      </c>
      <c r="Y93" s="881">
        <f t="shared" si="27"/>
        <v>1.1000000000000001</v>
      </c>
      <c r="Z93" s="892">
        <v>6.03</v>
      </c>
      <c r="AA93" s="942">
        <f t="shared" si="20"/>
        <v>1.71</v>
      </c>
      <c r="AB93" s="892">
        <v>6.03</v>
      </c>
      <c r="AC93" s="942">
        <f t="shared" si="28"/>
        <v>7.24</v>
      </c>
      <c r="AD93" s="892">
        <v>6.03</v>
      </c>
      <c r="AE93" s="942">
        <f t="shared" si="29"/>
        <v>4.3</v>
      </c>
      <c r="AF93" s="943" t="e">
        <f>#N/A</f>
        <v>#N/A</v>
      </c>
      <c r="AG93" s="893">
        <f t="shared" si="21"/>
        <v>41.349999999999994</v>
      </c>
      <c r="AH93" s="894"/>
      <c r="AI93" s="895">
        <v>31.44</v>
      </c>
      <c r="AJ93" s="791">
        <v>27.55</v>
      </c>
      <c r="AK93" s="896">
        <f t="shared" si="30"/>
        <v>4</v>
      </c>
      <c r="AL93" s="896"/>
      <c r="AS93" s="898"/>
    </row>
    <row r="94" spans="1:45" s="779" customFormat="1" ht="30.6" customHeight="1">
      <c r="A94" s="885">
        <v>78</v>
      </c>
      <c r="B94" s="886">
        <v>4</v>
      </c>
      <c r="C94" s="887" t="str">
        <f>'Tên thang 01-26'!E81</f>
        <v>បាន ល្អិត</v>
      </c>
      <c r="D94" s="887" t="str">
        <f>'Tên thang 01-26'!F81</f>
        <v>BAN LOITH</v>
      </c>
      <c r="E94" s="888">
        <v>167</v>
      </c>
      <c r="F94" s="889">
        <f>'SAN LUONG'!AP86*0.44</f>
        <v>1101.32</v>
      </c>
      <c r="G94" s="889">
        <f t="shared" si="16"/>
        <v>15.69</v>
      </c>
      <c r="H94" s="889">
        <f>'SAN LUONG'!AO86*0.44</f>
        <v>0</v>
      </c>
      <c r="I94" s="889">
        <f t="shared" si="17"/>
        <v>0</v>
      </c>
      <c r="J94" s="889">
        <f>'SAN LUONG'!AV86*0.44</f>
        <v>0</v>
      </c>
      <c r="K94" s="889">
        <f t="shared" si="22"/>
        <v>0</v>
      </c>
      <c r="L94" s="889"/>
      <c r="M94" s="881">
        <f>'CHAM CONG'!BC84</f>
        <v>16</v>
      </c>
      <c r="N94" s="889">
        <f t="shared" si="23"/>
        <v>8.01</v>
      </c>
      <c r="O94" s="889">
        <f t="shared" si="24"/>
        <v>0.5</v>
      </c>
      <c r="P94" s="890">
        <f>'CHAM CONG'!BO84</f>
        <v>31</v>
      </c>
      <c r="Q94" s="942">
        <f t="shared" si="25"/>
        <v>2.91</v>
      </c>
      <c r="R94" s="942">
        <f>'SAN LUONG'!DW86</f>
        <v>13.2</v>
      </c>
      <c r="S94" s="942">
        <f t="shared" si="18"/>
        <v>0.41</v>
      </c>
      <c r="T94" s="943">
        <f>'CHAM CONG'!BW84</f>
        <v>0</v>
      </c>
      <c r="U94" s="942">
        <f t="shared" si="26"/>
        <v>0</v>
      </c>
      <c r="V94" s="890">
        <f>'CHAM CONG'!BD84</f>
        <v>4</v>
      </c>
      <c r="W94" s="944">
        <f t="shared" si="19"/>
        <v>2.13</v>
      </c>
      <c r="X94" s="891">
        <f>'CHAM CONG'!BT84</f>
        <v>1</v>
      </c>
      <c r="Y94" s="881">
        <f t="shared" si="27"/>
        <v>1.1000000000000001</v>
      </c>
      <c r="Z94" s="892">
        <v>6.03</v>
      </c>
      <c r="AA94" s="942">
        <f t="shared" si="20"/>
        <v>1.71</v>
      </c>
      <c r="AB94" s="892">
        <v>6.03</v>
      </c>
      <c r="AC94" s="942">
        <f t="shared" si="28"/>
        <v>7.24</v>
      </c>
      <c r="AD94" s="892">
        <v>6.03</v>
      </c>
      <c r="AE94" s="942">
        <f t="shared" si="29"/>
        <v>4.3</v>
      </c>
      <c r="AF94" s="943" t="e">
        <f>#N/A</f>
        <v>#N/A</v>
      </c>
      <c r="AG94" s="893">
        <f t="shared" si="21"/>
        <v>44</v>
      </c>
      <c r="AH94" s="894"/>
      <c r="AI94" s="895">
        <v>34.130000000000003</v>
      </c>
      <c r="AJ94" s="791">
        <v>30.24</v>
      </c>
      <c r="AK94" s="896">
        <f t="shared" si="30"/>
        <v>4</v>
      </c>
      <c r="AL94" s="896"/>
      <c r="AS94" s="898"/>
    </row>
    <row r="95" spans="1:45" s="779" customFormat="1" ht="30.6" customHeight="1">
      <c r="A95" s="885">
        <v>79</v>
      </c>
      <c r="B95" s="886">
        <v>4</v>
      </c>
      <c r="C95" s="887" t="str">
        <f>'Tên thang 01-26'!E82</f>
        <v>ដា វ៉ាន់ណា</v>
      </c>
      <c r="D95" s="887" t="str">
        <f>'Tên thang 01-26'!F82</f>
        <v>DA VANNA</v>
      </c>
      <c r="E95" s="888">
        <v>168</v>
      </c>
      <c r="F95" s="889">
        <f>'SAN LUONG'!AP87*0.44</f>
        <v>1081.08</v>
      </c>
      <c r="G95" s="889">
        <f t="shared" si="16"/>
        <v>15.4</v>
      </c>
      <c r="H95" s="889">
        <f>'SAN LUONG'!AO87*0.44</f>
        <v>0</v>
      </c>
      <c r="I95" s="889">
        <f t="shared" si="17"/>
        <v>0</v>
      </c>
      <c r="J95" s="889">
        <f>'SAN LUONG'!AV87*0.44</f>
        <v>0</v>
      </c>
      <c r="K95" s="889">
        <f t="shared" si="22"/>
        <v>0</v>
      </c>
      <c r="L95" s="889"/>
      <c r="M95" s="881">
        <f>'CHAM CONG'!BC85</f>
        <v>16</v>
      </c>
      <c r="N95" s="889">
        <f t="shared" si="23"/>
        <v>8.01</v>
      </c>
      <c r="O95" s="889">
        <f t="shared" si="24"/>
        <v>0.5</v>
      </c>
      <c r="P95" s="890">
        <f>'CHAM CONG'!BO85</f>
        <v>31</v>
      </c>
      <c r="Q95" s="942">
        <f t="shared" si="25"/>
        <v>2.91</v>
      </c>
      <c r="R95" s="942">
        <f>'SAN LUONG'!DW87</f>
        <v>13.3</v>
      </c>
      <c r="S95" s="942">
        <f t="shared" si="18"/>
        <v>0.42</v>
      </c>
      <c r="T95" s="943">
        <f>'CHAM CONG'!BW85</f>
        <v>0</v>
      </c>
      <c r="U95" s="942">
        <f t="shared" si="26"/>
        <v>0</v>
      </c>
      <c r="V95" s="890">
        <f>'CHAM CONG'!BD85</f>
        <v>4</v>
      </c>
      <c r="W95" s="944">
        <f t="shared" si="19"/>
        <v>2.13</v>
      </c>
      <c r="X95" s="891">
        <f>'CHAM CONG'!BT85</f>
        <v>1</v>
      </c>
      <c r="Y95" s="881">
        <f t="shared" si="27"/>
        <v>1.1000000000000001</v>
      </c>
      <c r="Z95" s="892">
        <v>6.03</v>
      </c>
      <c r="AA95" s="942">
        <f t="shared" si="20"/>
        <v>1.71</v>
      </c>
      <c r="AB95" s="892">
        <v>6.03</v>
      </c>
      <c r="AC95" s="942">
        <f t="shared" si="28"/>
        <v>7.24</v>
      </c>
      <c r="AD95" s="892">
        <v>6.03</v>
      </c>
      <c r="AE95" s="942">
        <f t="shared" si="29"/>
        <v>4.3</v>
      </c>
      <c r="AF95" s="943" t="e">
        <f>#N/A</f>
        <v>#N/A</v>
      </c>
      <c r="AG95" s="893">
        <f t="shared" si="21"/>
        <v>43.72</v>
      </c>
      <c r="AH95" s="894"/>
      <c r="AI95" s="895">
        <v>33.92</v>
      </c>
      <c r="AJ95" s="791">
        <v>30.040000000000003</v>
      </c>
      <c r="AK95" s="896">
        <f t="shared" si="30"/>
        <v>4</v>
      </c>
      <c r="AL95" s="896"/>
      <c r="AS95" s="898"/>
    </row>
    <row r="96" spans="1:45" s="779" customFormat="1" ht="30.6" customHeight="1">
      <c r="A96" s="885">
        <v>80</v>
      </c>
      <c r="B96" s="886">
        <v>4</v>
      </c>
      <c r="C96" s="887" t="str">
        <f>'Tên thang 01-26'!E83</f>
        <v>ទៀន ចែម</v>
      </c>
      <c r="D96" s="887" t="str">
        <f>'Tên thang 01-26'!F83</f>
        <v>TEAN CHEM</v>
      </c>
      <c r="E96" s="888">
        <v>169</v>
      </c>
      <c r="F96" s="889">
        <f>'SAN LUONG'!AP88*0.44</f>
        <v>1000.12</v>
      </c>
      <c r="G96" s="889">
        <f t="shared" si="16"/>
        <v>14.24</v>
      </c>
      <c r="H96" s="889">
        <f>'SAN LUONG'!AO88*0.44</f>
        <v>0</v>
      </c>
      <c r="I96" s="889">
        <f t="shared" si="17"/>
        <v>0</v>
      </c>
      <c r="J96" s="889">
        <f>'SAN LUONG'!AV88*0.44</f>
        <v>0</v>
      </c>
      <c r="K96" s="889">
        <f t="shared" si="22"/>
        <v>0</v>
      </c>
      <c r="L96" s="889"/>
      <c r="M96" s="881">
        <f>'CHAM CONG'!BC86</f>
        <v>15</v>
      </c>
      <c r="N96" s="889">
        <f t="shared" si="23"/>
        <v>7.51</v>
      </c>
      <c r="O96" s="889">
        <f t="shared" si="24"/>
        <v>0.47</v>
      </c>
      <c r="P96" s="890">
        <f>'CHAM CONG'!BO86</f>
        <v>30</v>
      </c>
      <c r="Q96" s="942">
        <f t="shared" si="25"/>
        <v>2.82</v>
      </c>
      <c r="R96" s="942">
        <f>'SAN LUONG'!DW88</f>
        <v>14.2</v>
      </c>
      <c r="S96" s="942">
        <f t="shared" si="18"/>
        <v>0.44</v>
      </c>
      <c r="T96" s="943">
        <f>'CHAM CONG'!BW86</f>
        <v>0</v>
      </c>
      <c r="U96" s="942">
        <f t="shared" si="26"/>
        <v>0</v>
      </c>
      <c r="V96" s="890">
        <f>'CHAM CONG'!BD86</f>
        <v>4</v>
      </c>
      <c r="W96" s="944">
        <f t="shared" si="19"/>
        <v>2.13</v>
      </c>
      <c r="X96" s="891">
        <f>'CHAM CONG'!BT86</f>
        <v>1</v>
      </c>
      <c r="Y96" s="881">
        <f t="shared" si="27"/>
        <v>1.1000000000000001</v>
      </c>
      <c r="Z96" s="892">
        <v>6.03</v>
      </c>
      <c r="AA96" s="942">
        <f t="shared" si="20"/>
        <v>1.71</v>
      </c>
      <c r="AB96" s="892">
        <v>6.03</v>
      </c>
      <c r="AC96" s="942">
        <f t="shared" si="28"/>
        <v>7.24</v>
      </c>
      <c r="AD96" s="892">
        <v>6.03</v>
      </c>
      <c r="AE96" s="942">
        <f t="shared" si="29"/>
        <v>4.3</v>
      </c>
      <c r="AF96" s="943" t="e">
        <f>#N/A</f>
        <v>#N/A</v>
      </c>
      <c r="AG96" s="893">
        <f t="shared" si="21"/>
        <v>41.96</v>
      </c>
      <c r="AH96" s="894"/>
      <c r="AI96" s="895">
        <v>32.69</v>
      </c>
      <c r="AJ96" s="791">
        <v>28.8</v>
      </c>
      <c r="AK96" s="896">
        <f t="shared" si="30"/>
        <v>4</v>
      </c>
      <c r="AL96" s="896"/>
      <c r="AS96" s="898"/>
    </row>
    <row r="97" spans="1:45" s="779" customFormat="1" ht="31.95" customHeight="1">
      <c r="A97" s="885">
        <v>81</v>
      </c>
      <c r="B97" s="886">
        <v>4</v>
      </c>
      <c r="C97" s="887" t="str">
        <f>'Tên thang 01-26'!E84</f>
        <v>លី ឡាត់</v>
      </c>
      <c r="D97" s="887" t="str">
        <f>'Tên thang 01-26'!F84</f>
        <v>LY LAYH</v>
      </c>
      <c r="E97" s="888">
        <v>170</v>
      </c>
      <c r="F97" s="889">
        <f>'SAN LUONG'!AP89*0.44</f>
        <v>954.36</v>
      </c>
      <c r="G97" s="889">
        <f t="shared" si="16"/>
        <v>13.59</v>
      </c>
      <c r="H97" s="889">
        <f>'SAN LUONG'!AO89*0.44</f>
        <v>0</v>
      </c>
      <c r="I97" s="889">
        <f t="shared" si="17"/>
        <v>0</v>
      </c>
      <c r="J97" s="889">
        <f>'SAN LUONG'!AV89*0.44</f>
        <v>0</v>
      </c>
      <c r="K97" s="889">
        <f t="shared" si="22"/>
        <v>0</v>
      </c>
      <c r="L97" s="889"/>
      <c r="M97" s="881">
        <f>'CHAM CONG'!BC87</f>
        <v>15</v>
      </c>
      <c r="N97" s="889">
        <f t="shared" si="23"/>
        <v>7.51</v>
      </c>
      <c r="O97" s="889">
        <f t="shared" si="24"/>
        <v>0.47</v>
      </c>
      <c r="P97" s="890">
        <f>'CHAM CONG'!BO87</f>
        <v>30</v>
      </c>
      <c r="Q97" s="942">
        <f t="shared" si="25"/>
        <v>2.82</v>
      </c>
      <c r="R97" s="942">
        <f>'SAN LUONG'!DW89</f>
        <v>13</v>
      </c>
      <c r="S97" s="942">
        <f t="shared" si="18"/>
        <v>0.41</v>
      </c>
      <c r="T97" s="943">
        <f>'CHAM CONG'!BW87</f>
        <v>0</v>
      </c>
      <c r="U97" s="942">
        <f t="shared" si="26"/>
        <v>0</v>
      </c>
      <c r="V97" s="890">
        <f>'CHAM CONG'!BD87</f>
        <v>4</v>
      </c>
      <c r="W97" s="944">
        <f t="shared" si="19"/>
        <v>2.13</v>
      </c>
      <c r="X97" s="891">
        <f>'CHAM CONG'!BT87</f>
        <v>1</v>
      </c>
      <c r="Y97" s="881">
        <f t="shared" si="27"/>
        <v>1.1000000000000001</v>
      </c>
      <c r="Z97" s="892">
        <v>6.03</v>
      </c>
      <c r="AA97" s="942">
        <f t="shared" si="20"/>
        <v>1.71</v>
      </c>
      <c r="AB97" s="892">
        <v>6.03</v>
      </c>
      <c r="AC97" s="942">
        <f t="shared" si="28"/>
        <v>7.24</v>
      </c>
      <c r="AD97" s="892">
        <v>6.03</v>
      </c>
      <c r="AE97" s="942">
        <f t="shared" si="29"/>
        <v>4.3</v>
      </c>
      <c r="AF97" s="943" t="e">
        <f>#N/A</f>
        <v>#N/A</v>
      </c>
      <c r="AG97" s="893">
        <f t="shared" si="21"/>
        <v>41.28</v>
      </c>
      <c r="AH97" s="894"/>
      <c r="AI97" s="895">
        <v>32.04</v>
      </c>
      <c r="AJ97" s="791">
        <v>28.16</v>
      </c>
      <c r="AK97" s="896">
        <f t="shared" si="30"/>
        <v>4</v>
      </c>
      <c r="AL97" s="896"/>
      <c r="AS97" s="898"/>
    </row>
    <row r="98" spans="1:45" s="779" customFormat="1" ht="31.95" customHeight="1">
      <c r="A98" s="885">
        <v>82</v>
      </c>
      <c r="B98" s="886">
        <v>4</v>
      </c>
      <c r="C98" s="887" t="str">
        <f>'Tên thang 01-26'!E85</f>
        <v>ទូច ណាង</v>
      </c>
      <c r="D98" s="887" t="str">
        <f>'Tên thang 01-26'!F85</f>
        <v>TOUCH NANG</v>
      </c>
      <c r="E98" s="888">
        <v>171</v>
      </c>
      <c r="F98" s="889">
        <f>'SAN LUONG'!AP90*0.44</f>
        <v>864.16</v>
      </c>
      <c r="G98" s="889">
        <f t="shared" si="16"/>
        <v>12.31</v>
      </c>
      <c r="H98" s="889">
        <f>'SAN LUONG'!AO90*0.44</f>
        <v>0</v>
      </c>
      <c r="I98" s="889">
        <f t="shared" si="17"/>
        <v>0</v>
      </c>
      <c r="J98" s="889">
        <f>'SAN LUONG'!AV90*0.44</f>
        <v>0</v>
      </c>
      <c r="K98" s="889">
        <f t="shared" si="22"/>
        <v>0</v>
      </c>
      <c r="L98" s="889"/>
      <c r="M98" s="881">
        <f>'CHAM CONG'!BC88</f>
        <v>16</v>
      </c>
      <c r="N98" s="889">
        <f t="shared" si="23"/>
        <v>8.01</v>
      </c>
      <c r="O98" s="889">
        <f t="shared" si="24"/>
        <v>0.5</v>
      </c>
      <c r="P98" s="890">
        <f>'CHAM CONG'!BO88</f>
        <v>31</v>
      </c>
      <c r="Q98" s="942">
        <f t="shared" si="25"/>
        <v>2.91</v>
      </c>
      <c r="R98" s="942">
        <f>'SAN LUONG'!DW90</f>
        <v>44.1</v>
      </c>
      <c r="S98" s="942">
        <f t="shared" si="18"/>
        <v>1.38</v>
      </c>
      <c r="T98" s="943">
        <f>'CHAM CONG'!BW88</f>
        <v>0</v>
      </c>
      <c r="U98" s="942">
        <f t="shared" si="26"/>
        <v>0</v>
      </c>
      <c r="V98" s="890">
        <f>'CHAM CONG'!BD88</f>
        <v>4</v>
      </c>
      <c r="W98" s="944">
        <f t="shared" si="19"/>
        <v>2.13</v>
      </c>
      <c r="X98" s="891">
        <f>'CHAM CONG'!BT88</f>
        <v>1</v>
      </c>
      <c r="Y98" s="881">
        <f t="shared" si="27"/>
        <v>1.1000000000000001</v>
      </c>
      <c r="Z98" s="892">
        <v>6.03</v>
      </c>
      <c r="AA98" s="942">
        <f t="shared" si="20"/>
        <v>1.71</v>
      </c>
      <c r="AB98" s="892">
        <v>6.03</v>
      </c>
      <c r="AC98" s="942">
        <f t="shared" si="28"/>
        <v>7.24</v>
      </c>
      <c r="AD98" s="892">
        <v>6.03</v>
      </c>
      <c r="AE98" s="942">
        <f t="shared" si="29"/>
        <v>4.3</v>
      </c>
      <c r="AF98" s="943" t="e">
        <f>#N/A</f>
        <v>#N/A</v>
      </c>
      <c r="AG98" s="893">
        <f t="shared" si="21"/>
        <v>41.589999999999996</v>
      </c>
      <c r="AH98" s="894"/>
      <c r="AI98" s="895">
        <v>33.22</v>
      </c>
      <c r="AJ98" s="791">
        <v>28.71</v>
      </c>
      <c r="AK98" s="896">
        <f t="shared" si="30"/>
        <v>5</v>
      </c>
      <c r="AL98" s="896"/>
      <c r="AS98" s="898"/>
    </row>
    <row r="99" spans="1:45" s="779" customFormat="1" ht="31.95" customHeight="1">
      <c r="A99" s="885">
        <v>83</v>
      </c>
      <c r="B99" s="886">
        <v>4</v>
      </c>
      <c r="C99" s="887" t="str">
        <f>'Tên thang 01-26'!E86</f>
        <v>មាំង ម៉ែន</v>
      </c>
      <c r="D99" s="887" t="str">
        <f>'Tên thang 01-26'!F86</f>
        <v>MANG MAN</v>
      </c>
      <c r="E99" s="888">
        <v>172</v>
      </c>
      <c r="F99" s="889">
        <f>'SAN LUONG'!AP91*0.44</f>
        <v>646.79999999999995</v>
      </c>
      <c r="G99" s="889">
        <f t="shared" si="16"/>
        <v>9.2100000000000009</v>
      </c>
      <c r="H99" s="889">
        <f>'SAN LUONG'!AO91*0.44</f>
        <v>0</v>
      </c>
      <c r="I99" s="889">
        <f t="shared" si="17"/>
        <v>0</v>
      </c>
      <c r="J99" s="889">
        <f>'SAN LUONG'!AV91*0.44</f>
        <v>0</v>
      </c>
      <c r="K99" s="889">
        <f t="shared" si="22"/>
        <v>0</v>
      </c>
      <c r="L99" s="889"/>
      <c r="M99" s="881">
        <f>'CHAM CONG'!BC89</f>
        <v>16</v>
      </c>
      <c r="N99" s="889">
        <f t="shared" si="23"/>
        <v>8.01</v>
      </c>
      <c r="O99" s="889">
        <f t="shared" si="24"/>
        <v>0.5</v>
      </c>
      <c r="P99" s="890">
        <f>'CHAM CONG'!BO89</f>
        <v>30</v>
      </c>
      <c r="Q99" s="942">
        <f t="shared" si="25"/>
        <v>2.82</v>
      </c>
      <c r="R99" s="942">
        <f>'SAN LUONG'!DW91</f>
        <v>35.5</v>
      </c>
      <c r="S99" s="942">
        <f t="shared" si="18"/>
        <v>1.1100000000000001</v>
      </c>
      <c r="T99" s="943">
        <f>'CHAM CONG'!BW89</f>
        <v>0</v>
      </c>
      <c r="U99" s="942">
        <f t="shared" si="26"/>
        <v>0</v>
      </c>
      <c r="V99" s="890">
        <f>'CHAM CONG'!BD89</f>
        <v>4</v>
      </c>
      <c r="W99" s="944">
        <f t="shared" si="19"/>
        <v>2.13</v>
      </c>
      <c r="X99" s="891">
        <f>'CHAM CONG'!BT89</f>
        <v>1</v>
      </c>
      <c r="Y99" s="881">
        <f t="shared" si="27"/>
        <v>1.1000000000000001</v>
      </c>
      <c r="Z99" s="892">
        <v>6.03</v>
      </c>
      <c r="AA99" s="942">
        <f t="shared" si="20"/>
        <v>1.71</v>
      </c>
      <c r="AB99" s="892">
        <v>6.03</v>
      </c>
      <c r="AC99" s="942">
        <f t="shared" si="28"/>
        <v>7.24</v>
      </c>
      <c r="AD99" s="892">
        <v>6.03</v>
      </c>
      <c r="AE99" s="942">
        <f t="shared" si="29"/>
        <v>4.3</v>
      </c>
      <c r="AF99" s="943" t="e">
        <f>#N/A</f>
        <v>#N/A</v>
      </c>
      <c r="AG99" s="893">
        <f t="shared" si="21"/>
        <v>38.129999999999995</v>
      </c>
      <c r="AH99" s="894"/>
      <c r="AI99" s="895">
        <v>31.29</v>
      </c>
      <c r="AJ99" s="791">
        <v>27.4</v>
      </c>
      <c r="AK99" s="896">
        <f t="shared" si="30"/>
        <v>4</v>
      </c>
      <c r="AL99" s="896"/>
      <c r="AS99" s="898"/>
    </row>
    <row r="100" spans="1:45" s="779" customFormat="1" ht="31.95" customHeight="1">
      <c r="A100" s="885">
        <v>84</v>
      </c>
      <c r="B100" s="886">
        <v>4</v>
      </c>
      <c r="C100" s="887" t="str">
        <f>'Tên thang 01-26'!E87</f>
        <v>សាត សុខណេង</v>
      </c>
      <c r="D100" s="887" t="str">
        <f>'Tên thang 01-26'!F87</f>
        <v>SAT SOKNENG</v>
      </c>
      <c r="E100" s="888">
        <v>173</v>
      </c>
      <c r="F100" s="889">
        <f>'SAN LUONG'!AP92*0.44</f>
        <v>513.91999999999996</v>
      </c>
      <c r="G100" s="889">
        <f t="shared" si="16"/>
        <v>7.32</v>
      </c>
      <c r="H100" s="889">
        <f>'SAN LUONG'!AO92*0.44</f>
        <v>0</v>
      </c>
      <c r="I100" s="889">
        <f t="shared" si="17"/>
        <v>0</v>
      </c>
      <c r="J100" s="889">
        <f>'SAN LUONG'!AV92*0.44</f>
        <v>0</v>
      </c>
      <c r="K100" s="889">
        <f t="shared" si="22"/>
        <v>0</v>
      </c>
      <c r="L100" s="889"/>
      <c r="M100" s="881">
        <f>'CHAM CONG'!BC90</f>
        <v>13</v>
      </c>
      <c r="N100" s="889">
        <f t="shared" si="23"/>
        <v>6.51</v>
      </c>
      <c r="O100" s="889">
        <f t="shared" si="24"/>
        <v>0.41</v>
      </c>
      <c r="P100" s="890">
        <f>'CHAM CONG'!BO90</f>
        <v>26</v>
      </c>
      <c r="Q100" s="942">
        <f t="shared" si="25"/>
        <v>2.44</v>
      </c>
      <c r="R100" s="942">
        <f>'SAN LUONG'!DW92</f>
        <v>20</v>
      </c>
      <c r="S100" s="942">
        <f t="shared" si="18"/>
        <v>0.63</v>
      </c>
      <c r="T100" s="943">
        <f>'CHAM CONG'!BW90</f>
        <v>0</v>
      </c>
      <c r="U100" s="942">
        <f t="shared" si="26"/>
        <v>0</v>
      </c>
      <c r="V100" s="890">
        <f>'CHAM CONG'!BD90</f>
        <v>3</v>
      </c>
      <c r="W100" s="944">
        <f t="shared" si="19"/>
        <v>1.6</v>
      </c>
      <c r="X100" s="891">
        <f>'CHAM CONG'!BT90</f>
        <v>1</v>
      </c>
      <c r="Y100" s="881">
        <f t="shared" si="27"/>
        <v>1.1000000000000001</v>
      </c>
      <c r="Z100" s="892">
        <v>6.03</v>
      </c>
      <c r="AA100" s="942">
        <f t="shared" si="20"/>
        <v>1.71</v>
      </c>
      <c r="AB100" s="892">
        <v>6.03</v>
      </c>
      <c r="AC100" s="942">
        <f t="shared" si="28"/>
        <v>7.24</v>
      </c>
      <c r="AD100" s="892">
        <v>6.03</v>
      </c>
      <c r="AE100" s="942">
        <f t="shared" si="29"/>
        <v>4.3</v>
      </c>
      <c r="AF100" s="943" t="e">
        <f>#N/A</f>
        <v>#N/A</v>
      </c>
      <c r="AG100" s="893">
        <f t="shared" si="21"/>
        <v>33.260000000000005</v>
      </c>
      <c r="AH100" s="894"/>
      <c r="AI100" s="895">
        <v>31.87</v>
      </c>
      <c r="AJ100" s="791">
        <v>27.99</v>
      </c>
      <c r="AK100" s="896">
        <f t="shared" si="30"/>
        <v>4</v>
      </c>
      <c r="AL100" s="896"/>
      <c r="AS100" s="898"/>
    </row>
    <row r="101" spans="1:45" s="779" customFormat="1" ht="31.95" customHeight="1">
      <c r="A101" s="885">
        <v>85</v>
      </c>
      <c r="B101" s="886">
        <v>4</v>
      </c>
      <c r="C101" s="887" t="str">
        <f>'Tên thang 01-26'!E88</f>
        <v>ស៊ុយ ចាន់នី</v>
      </c>
      <c r="D101" s="887" t="str">
        <f>'Tên thang 01-26'!F88</f>
        <v>SUY CHANNY</v>
      </c>
      <c r="E101" s="888">
        <v>174</v>
      </c>
      <c r="F101" s="889">
        <f>'SAN LUONG'!AP93*0.44</f>
        <v>484.88</v>
      </c>
      <c r="G101" s="889">
        <f t="shared" si="16"/>
        <v>6.91</v>
      </c>
      <c r="H101" s="889">
        <f>'SAN LUONG'!AO93*0.44</f>
        <v>0</v>
      </c>
      <c r="I101" s="889">
        <f t="shared" si="17"/>
        <v>0</v>
      </c>
      <c r="J101" s="889">
        <f>'SAN LUONG'!AV93*0.44</f>
        <v>0</v>
      </c>
      <c r="K101" s="889">
        <f t="shared" si="22"/>
        <v>0</v>
      </c>
      <c r="L101" s="889"/>
      <c r="M101" s="881">
        <f>'CHAM CONG'!BC91</f>
        <v>15</v>
      </c>
      <c r="N101" s="889">
        <f t="shared" si="23"/>
        <v>7.51</v>
      </c>
      <c r="O101" s="889">
        <f t="shared" si="24"/>
        <v>0.47</v>
      </c>
      <c r="P101" s="890">
        <f>'CHAM CONG'!BO91</f>
        <v>27</v>
      </c>
      <c r="Q101" s="942">
        <f t="shared" si="25"/>
        <v>2.54</v>
      </c>
      <c r="R101" s="942">
        <f>'SAN LUONG'!DW93</f>
        <v>19</v>
      </c>
      <c r="S101" s="942">
        <f t="shared" si="18"/>
        <v>0.59</v>
      </c>
      <c r="T101" s="943">
        <f>'CHAM CONG'!BW91</f>
        <v>0</v>
      </c>
      <c r="U101" s="942">
        <f t="shared" si="26"/>
        <v>0</v>
      </c>
      <c r="V101" s="890">
        <f>'CHAM CONG'!BD91</f>
        <v>3</v>
      </c>
      <c r="W101" s="944">
        <f t="shared" si="19"/>
        <v>1.6</v>
      </c>
      <c r="X101" s="891">
        <f>'CHAM CONG'!BT91</f>
        <v>1</v>
      </c>
      <c r="Y101" s="881">
        <f t="shared" si="27"/>
        <v>1.1000000000000001</v>
      </c>
      <c r="Z101" s="892">
        <v>6.03</v>
      </c>
      <c r="AA101" s="942">
        <f t="shared" si="20"/>
        <v>1.71</v>
      </c>
      <c r="AB101" s="892">
        <v>6.03</v>
      </c>
      <c r="AC101" s="942">
        <f t="shared" si="28"/>
        <v>7.24</v>
      </c>
      <c r="AD101" s="892">
        <v>6.03</v>
      </c>
      <c r="AE101" s="942">
        <f t="shared" si="29"/>
        <v>4.3</v>
      </c>
      <c r="AF101" s="943" t="e">
        <f>#N/A</f>
        <v>#N/A</v>
      </c>
      <c r="AG101" s="893">
        <f t="shared" si="21"/>
        <v>33.970000000000006</v>
      </c>
      <c r="AH101" s="894"/>
      <c r="AI101" s="895">
        <v>32.909999999999997</v>
      </c>
      <c r="AJ101" s="791">
        <v>29.650000000000006</v>
      </c>
      <c r="AK101" s="896">
        <f t="shared" si="30"/>
        <v>3</v>
      </c>
      <c r="AL101" s="896"/>
      <c r="AS101" s="898"/>
    </row>
    <row r="102" spans="1:45" s="779" customFormat="1" ht="37.200000000000003" customHeight="1">
      <c r="A102" s="885">
        <v>86</v>
      </c>
      <c r="B102" s="886">
        <v>4</v>
      </c>
      <c r="C102" s="887" t="str">
        <f>'Tên thang 01-26'!E89</f>
        <v>ហង់ ហើយ</v>
      </c>
      <c r="D102" s="887" t="str">
        <f>'Tên thang 01-26'!F89</f>
        <v>HANG HAEUY</v>
      </c>
      <c r="E102" s="888">
        <v>175</v>
      </c>
      <c r="F102" s="889">
        <f>'SAN LUONG'!AP94*0.44</f>
        <v>876.92</v>
      </c>
      <c r="G102" s="889">
        <f t="shared" si="16"/>
        <v>12.49</v>
      </c>
      <c r="H102" s="889">
        <f>'SAN LUONG'!AO94*0.44</f>
        <v>0</v>
      </c>
      <c r="I102" s="889">
        <f t="shared" si="17"/>
        <v>0</v>
      </c>
      <c r="J102" s="889">
        <f>'SAN LUONG'!AV94*0.44</f>
        <v>0</v>
      </c>
      <c r="K102" s="889">
        <f t="shared" si="22"/>
        <v>0</v>
      </c>
      <c r="L102" s="889"/>
      <c r="M102" s="881">
        <f>'CHAM CONG'!BC92</f>
        <v>15</v>
      </c>
      <c r="N102" s="889">
        <f t="shared" si="23"/>
        <v>7.51</v>
      </c>
      <c r="O102" s="889">
        <f t="shared" si="24"/>
        <v>0.47</v>
      </c>
      <c r="P102" s="890">
        <f>'CHAM CONG'!BO92</f>
        <v>28</v>
      </c>
      <c r="Q102" s="942">
        <f t="shared" si="25"/>
        <v>2.63</v>
      </c>
      <c r="R102" s="942">
        <f>'SAN LUONG'!DW94</f>
        <v>15</v>
      </c>
      <c r="S102" s="942">
        <f t="shared" si="18"/>
        <v>0.47</v>
      </c>
      <c r="T102" s="943">
        <f>'CHAM CONG'!BW92</f>
        <v>0</v>
      </c>
      <c r="U102" s="942">
        <f t="shared" si="26"/>
        <v>0</v>
      </c>
      <c r="V102" s="890">
        <f>'CHAM CONG'!BD92</f>
        <v>4</v>
      </c>
      <c r="W102" s="944">
        <f t="shared" si="19"/>
        <v>2.13</v>
      </c>
      <c r="X102" s="891">
        <f>'CHAM CONG'!BT92</f>
        <v>1</v>
      </c>
      <c r="Y102" s="881">
        <f t="shared" si="27"/>
        <v>1.1000000000000001</v>
      </c>
      <c r="Z102" s="892">
        <v>6.03</v>
      </c>
      <c r="AA102" s="942">
        <f t="shared" si="20"/>
        <v>1.71</v>
      </c>
      <c r="AB102" s="892">
        <v>6.03</v>
      </c>
      <c r="AC102" s="942">
        <f t="shared" si="28"/>
        <v>7.24</v>
      </c>
      <c r="AD102" s="892">
        <v>6.03</v>
      </c>
      <c r="AE102" s="942">
        <f t="shared" si="29"/>
        <v>4.3</v>
      </c>
      <c r="AF102" s="943" t="e">
        <f>#N/A</f>
        <v>#N/A</v>
      </c>
      <c r="AG102" s="893">
        <f t="shared" si="21"/>
        <v>40.049999999999997</v>
      </c>
      <c r="AH102" s="894"/>
      <c r="AI102" s="895">
        <v>31</v>
      </c>
      <c r="AJ102" s="791">
        <v>27.120000000000005</v>
      </c>
      <c r="AK102" s="896">
        <f t="shared" si="30"/>
        <v>4</v>
      </c>
      <c r="AL102" s="896"/>
      <c r="AS102" s="898"/>
    </row>
    <row r="103" spans="1:45" s="779" customFormat="1" ht="31.95" customHeight="1">
      <c r="A103" s="885">
        <v>87</v>
      </c>
      <c r="B103" s="886">
        <v>5</v>
      </c>
      <c r="C103" s="887" t="str">
        <f>'Tên thang 01-26'!E90</f>
        <v>ឡៃ គុណ</v>
      </c>
      <c r="D103" s="887" t="str">
        <f>'Tên thang 01-26'!F90</f>
        <v>LAY KUN</v>
      </c>
      <c r="E103" s="888">
        <v>176</v>
      </c>
      <c r="F103" s="889">
        <f>'SAN LUONG'!AP95*0.44</f>
        <v>909.48</v>
      </c>
      <c r="G103" s="889">
        <f t="shared" si="16"/>
        <v>12.95</v>
      </c>
      <c r="H103" s="889">
        <f>'SAN LUONG'!AO95*0.44</f>
        <v>0</v>
      </c>
      <c r="I103" s="889">
        <f t="shared" si="17"/>
        <v>0</v>
      </c>
      <c r="J103" s="889">
        <f>'SAN LUONG'!AV95*0.44</f>
        <v>0</v>
      </c>
      <c r="K103" s="889">
        <f t="shared" si="22"/>
        <v>0</v>
      </c>
      <c r="L103" s="889"/>
      <c r="M103" s="881">
        <f>'CHAM CONG'!BC93</f>
        <v>15</v>
      </c>
      <c r="N103" s="889">
        <f t="shared" si="23"/>
        <v>7.51</v>
      </c>
      <c r="O103" s="889">
        <f t="shared" si="24"/>
        <v>0.47</v>
      </c>
      <c r="P103" s="890">
        <f>'CHAM CONG'!BO93</f>
        <v>30</v>
      </c>
      <c r="Q103" s="942">
        <f t="shared" si="25"/>
        <v>2.82</v>
      </c>
      <c r="R103" s="942">
        <f>'SAN LUONG'!DW95</f>
        <v>12.4</v>
      </c>
      <c r="S103" s="942">
        <f t="shared" si="18"/>
        <v>0.39</v>
      </c>
      <c r="T103" s="943">
        <f>'CHAM CONG'!BW93</f>
        <v>0</v>
      </c>
      <c r="U103" s="942">
        <f t="shared" si="26"/>
        <v>0</v>
      </c>
      <c r="V103" s="890">
        <f>'CHAM CONG'!BD93</f>
        <v>4</v>
      </c>
      <c r="W103" s="944">
        <f t="shared" si="19"/>
        <v>2.13</v>
      </c>
      <c r="X103" s="891">
        <f>'CHAM CONG'!BT93</f>
        <v>1</v>
      </c>
      <c r="Y103" s="881">
        <f t="shared" si="27"/>
        <v>1.1000000000000001</v>
      </c>
      <c r="Z103" s="892">
        <v>6.03</v>
      </c>
      <c r="AA103" s="942">
        <f t="shared" si="20"/>
        <v>1.71</v>
      </c>
      <c r="AB103" s="892">
        <v>6.03</v>
      </c>
      <c r="AC103" s="942">
        <f t="shared" si="28"/>
        <v>7.24</v>
      </c>
      <c r="AD103" s="892">
        <v>6.03</v>
      </c>
      <c r="AE103" s="942">
        <f t="shared" si="29"/>
        <v>4.3</v>
      </c>
      <c r="AF103" s="943" t="e">
        <f>#N/A</f>
        <v>#N/A</v>
      </c>
      <c r="AG103" s="893">
        <f t="shared" si="21"/>
        <v>40.619999999999997</v>
      </c>
      <c r="AH103" s="894"/>
      <c r="AI103" s="895">
        <v>33.44</v>
      </c>
      <c r="AJ103" s="791">
        <v>29.55</v>
      </c>
      <c r="AK103" s="896">
        <f t="shared" si="30"/>
        <v>4</v>
      </c>
      <c r="AL103" s="896"/>
      <c r="AS103" s="898"/>
    </row>
    <row r="104" spans="1:45" s="779" customFormat="1" ht="31.95" customHeight="1">
      <c r="A104" s="885">
        <v>88</v>
      </c>
      <c r="B104" s="886">
        <v>5</v>
      </c>
      <c r="C104" s="887" t="str">
        <f>'Tên thang 01-26'!E91</f>
        <v>ភា ស្រីភិច</v>
      </c>
      <c r="D104" s="887" t="str">
        <f>'Tên thang 01-26'!F91</f>
        <v>PHEA SREYPHICH</v>
      </c>
      <c r="E104" s="888">
        <v>177</v>
      </c>
      <c r="F104" s="889">
        <f>'SAN LUONG'!AP96*0.44</f>
        <v>879.56000000000006</v>
      </c>
      <c r="G104" s="889">
        <f t="shared" si="16"/>
        <v>12.53</v>
      </c>
      <c r="H104" s="889">
        <f>'SAN LUONG'!AO96*0.44</f>
        <v>0</v>
      </c>
      <c r="I104" s="889">
        <f t="shared" si="17"/>
        <v>0</v>
      </c>
      <c r="J104" s="889">
        <f>'SAN LUONG'!AV96*0.44</f>
        <v>0</v>
      </c>
      <c r="K104" s="889">
        <f t="shared" si="22"/>
        <v>0</v>
      </c>
      <c r="L104" s="889"/>
      <c r="M104" s="881">
        <f>'CHAM CONG'!BC94</f>
        <v>14</v>
      </c>
      <c r="N104" s="889">
        <f t="shared" si="23"/>
        <v>7.01</v>
      </c>
      <c r="O104" s="889">
        <f t="shared" si="24"/>
        <v>0.44</v>
      </c>
      <c r="P104" s="890">
        <f>'CHAM CONG'!BO94</f>
        <v>29</v>
      </c>
      <c r="Q104" s="942">
        <f t="shared" si="25"/>
        <v>2.72</v>
      </c>
      <c r="R104" s="942">
        <f>'SAN LUONG'!DW96</f>
        <v>13</v>
      </c>
      <c r="S104" s="942">
        <f t="shared" si="18"/>
        <v>0.41</v>
      </c>
      <c r="T104" s="943">
        <f>'CHAM CONG'!BW94</f>
        <v>0</v>
      </c>
      <c r="U104" s="942">
        <f t="shared" si="26"/>
        <v>0</v>
      </c>
      <c r="V104" s="890">
        <f>'CHAM CONG'!BD94</f>
        <v>4</v>
      </c>
      <c r="W104" s="944">
        <f t="shared" si="19"/>
        <v>2.13</v>
      </c>
      <c r="X104" s="891">
        <f>'CHAM CONG'!BT94</f>
        <v>1</v>
      </c>
      <c r="Y104" s="881">
        <f t="shared" si="27"/>
        <v>1.1000000000000001</v>
      </c>
      <c r="Z104" s="892">
        <v>6.03</v>
      </c>
      <c r="AA104" s="942">
        <f t="shared" si="20"/>
        <v>1.71</v>
      </c>
      <c r="AB104" s="892">
        <v>6.03</v>
      </c>
      <c r="AC104" s="942">
        <f t="shared" si="28"/>
        <v>7.24</v>
      </c>
      <c r="AD104" s="892">
        <v>6.03</v>
      </c>
      <c r="AE104" s="942">
        <f t="shared" si="29"/>
        <v>4.3</v>
      </c>
      <c r="AF104" s="943" t="e">
        <f>#N/A</f>
        <v>#N/A</v>
      </c>
      <c r="AG104" s="893">
        <f t="shared" si="21"/>
        <v>39.589999999999996</v>
      </c>
      <c r="AH104" s="894"/>
      <c r="AI104" s="895">
        <v>32.89</v>
      </c>
      <c r="AJ104" s="791">
        <v>29.009999999999998</v>
      </c>
      <c r="AK104" s="896">
        <f t="shared" si="30"/>
        <v>4</v>
      </c>
      <c r="AL104" s="896"/>
      <c r="AS104" s="898"/>
    </row>
    <row r="105" spans="1:45" s="779" customFormat="1" ht="31.95" customHeight="1">
      <c r="A105" s="885">
        <v>89</v>
      </c>
      <c r="B105" s="886">
        <v>5</v>
      </c>
      <c r="C105" s="887" t="str">
        <f>'Tên thang 01-26'!E92</f>
        <v>ពិន ចាន់ណា</v>
      </c>
      <c r="D105" s="887" t="str">
        <f>'Tên thang 01-26'!F92</f>
        <v>PIN CHANNA</v>
      </c>
      <c r="E105" s="888">
        <v>178</v>
      </c>
      <c r="F105" s="889">
        <f>'SAN LUONG'!AP97*0.44</f>
        <v>945.56000000000006</v>
      </c>
      <c r="G105" s="889">
        <f t="shared" si="16"/>
        <v>13.47</v>
      </c>
      <c r="H105" s="889">
        <f>'SAN LUONG'!AO97*0.44</f>
        <v>0</v>
      </c>
      <c r="I105" s="889">
        <f t="shared" si="17"/>
        <v>0</v>
      </c>
      <c r="J105" s="889">
        <f>'SAN LUONG'!AV97*0.44</f>
        <v>0</v>
      </c>
      <c r="K105" s="889">
        <f t="shared" si="22"/>
        <v>0</v>
      </c>
      <c r="L105" s="889"/>
      <c r="M105" s="881">
        <f>'CHAM CONG'!BC95</f>
        <v>15</v>
      </c>
      <c r="N105" s="889">
        <f t="shared" si="23"/>
        <v>7.51</v>
      </c>
      <c r="O105" s="889">
        <f t="shared" si="24"/>
        <v>0.47</v>
      </c>
      <c r="P105" s="890">
        <f>'CHAM CONG'!BO95</f>
        <v>30</v>
      </c>
      <c r="Q105" s="942">
        <f t="shared" si="25"/>
        <v>2.82</v>
      </c>
      <c r="R105" s="942">
        <f>'SAN LUONG'!DW97</f>
        <v>20</v>
      </c>
      <c r="S105" s="942">
        <f t="shared" si="18"/>
        <v>0.63</v>
      </c>
      <c r="T105" s="943">
        <f>'CHAM CONG'!BW95</f>
        <v>0</v>
      </c>
      <c r="U105" s="942">
        <f t="shared" si="26"/>
        <v>0</v>
      </c>
      <c r="V105" s="890">
        <f>'CHAM CONG'!BD95</f>
        <v>4</v>
      </c>
      <c r="W105" s="944">
        <f t="shared" si="19"/>
        <v>2.13</v>
      </c>
      <c r="X105" s="891">
        <f>'CHAM CONG'!BT95</f>
        <v>1</v>
      </c>
      <c r="Y105" s="881">
        <f t="shared" si="27"/>
        <v>1.1000000000000001</v>
      </c>
      <c r="Z105" s="892">
        <v>6.03</v>
      </c>
      <c r="AA105" s="942">
        <f t="shared" si="20"/>
        <v>1.71</v>
      </c>
      <c r="AB105" s="892">
        <v>6.03</v>
      </c>
      <c r="AC105" s="942">
        <f t="shared" si="28"/>
        <v>7.24</v>
      </c>
      <c r="AD105" s="892">
        <v>6.03</v>
      </c>
      <c r="AE105" s="942">
        <f t="shared" si="29"/>
        <v>4.3</v>
      </c>
      <c r="AF105" s="943" t="e">
        <f>#N/A</f>
        <v>#N/A</v>
      </c>
      <c r="AG105" s="893">
        <f t="shared" si="21"/>
        <v>41.379999999999995</v>
      </c>
      <c r="AH105" s="894"/>
      <c r="AI105" s="895">
        <v>32.700000000000003</v>
      </c>
      <c r="AJ105" s="791">
        <v>28.82</v>
      </c>
      <c r="AK105" s="896">
        <f t="shared" si="30"/>
        <v>4</v>
      </c>
      <c r="AL105" s="896"/>
      <c r="AS105" s="898"/>
    </row>
    <row r="106" spans="1:45" s="779" customFormat="1" ht="31.95" customHeight="1">
      <c r="A106" s="885">
        <v>90</v>
      </c>
      <c r="B106" s="886">
        <v>5</v>
      </c>
      <c r="C106" s="887" t="str">
        <f>'Tên thang 01-26'!E93</f>
        <v>ប៊ូ បៀន</v>
      </c>
      <c r="D106" s="887" t="str">
        <f>'Tên thang 01-26'!F93</f>
        <v>BO BEAN</v>
      </c>
      <c r="E106" s="888">
        <v>179</v>
      </c>
      <c r="F106" s="889">
        <f>'SAN LUONG'!AP98*0.44</f>
        <v>1180.96</v>
      </c>
      <c r="G106" s="889">
        <f t="shared" si="16"/>
        <v>16.82</v>
      </c>
      <c r="H106" s="889">
        <f>'SAN LUONG'!AO98*0.44</f>
        <v>0</v>
      </c>
      <c r="I106" s="889">
        <f t="shared" si="17"/>
        <v>0</v>
      </c>
      <c r="J106" s="889">
        <f>'SAN LUONG'!AV98*0.44</f>
        <v>0</v>
      </c>
      <c r="K106" s="889">
        <f t="shared" si="22"/>
        <v>0</v>
      </c>
      <c r="L106" s="889"/>
      <c r="M106" s="881">
        <f>'CHAM CONG'!BC96</f>
        <v>15</v>
      </c>
      <c r="N106" s="889">
        <f t="shared" si="23"/>
        <v>7.51</v>
      </c>
      <c r="O106" s="889">
        <f t="shared" si="24"/>
        <v>0.47</v>
      </c>
      <c r="P106" s="890">
        <f>'CHAM CONG'!BO96</f>
        <v>28</v>
      </c>
      <c r="Q106" s="942">
        <f t="shared" si="25"/>
        <v>2.63</v>
      </c>
      <c r="R106" s="942">
        <f>'SAN LUONG'!DW98</f>
        <v>25</v>
      </c>
      <c r="S106" s="942">
        <f t="shared" si="18"/>
        <v>0.78</v>
      </c>
      <c r="T106" s="943">
        <f>'CHAM CONG'!BW96</f>
        <v>0</v>
      </c>
      <c r="U106" s="942">
        <f t="shared" si="26"/>
        <v>0</v>
      </c>
      <c r="V106" s="890">
        <f>'CHAM CONG'!BD96</f>
        <v>4</v>
      </c>
      <c r="W106" s="944">
        <f t="shared" si="19"/>
        <v>2.13</v>
      </c>
      <c r="X106" s="891">
        <f>'CHAM CONG'!BT96</f>
        <v>1</v>
      </c>
      <c r="Y106" s="881">
        <f t="shared" si="27"/>
        <v>1.1000000000000001</v>
      </c>
      <c r="Z106" s="892">
        <v>6.03</v>
      </c>
      <c r="AA106" s="942">
        <f t="shared" si="20"/>
        <v>1.71</v>
      </c>
      <c r="AB106" s="892">
        <v>6.03</v>
      </c>
      <c r="AC106" s="942">
        <f t="shared" si="28"/>
        <v>7.24</v>
      </c>
      <c r="AD106" s="892">
        <v>6.03</v>
      </c>
      <c r="AE106" s="942">
        <f t="shared" si="29"/>
        <v>4.3</v>
      </c>
      <c r="AF106" s="943" t="e">
        <f>#N/A</f>
        <v>#N/A</v>
      </c>
      <c r="AG106" s="893">
        <f t="shared" si="21"/>
        <v>44.69</v>
      </c>
      <c r="AH106" s="894"/>
      <c r="AI106" s="895">
        <v>34.19</v>
      </c>
      <c r="AJ106" s="791">
        <v>30.299999999999997</v>
      </c>
      <c r="AK106" s="896">
        <f t="shared" si="30"/>
        <v>4</v>
      </c>
      <c r="AL106" s="896"/>
      <c r="AS106" s="898"/>
    </row>
    <row r="107" spans="1:45" s="779" customFormat="1" ht="31.95" customHeight="1">
      <c r="A107" s="885">
        <v>91</v>
      </c>
      <c r="B107" s="886">
        <v>5</v>
      </c>
      <c r="C107" s="887" t="str">
        <f>'Tên thang 01-26'!E94</f>
        <v>មឿន ម៉ាក់</v>
      </c>
      <c r="D107" s="887" t="str">
        <f>'Tên thang 01-26'!F94</f>
        <v>MOEUN MAK</v>
      </c>
      <c r="E107" s="888">
        <v>180</v>
      </c>
      <c r="F107" s="889">
        <f>'SAN LUONG'!AP99*0.44</f>
        <v>979</v>
      </c>
      <c r="G107" s="889">
        <f t="shared" si="16"/>
        <v>13.94</v>
      </c>
      <c r="H107" s="889">
        <f>'SAN LUONG'!AO99*0.44</f>
        <v>0</v>
      </c>
      <c r="I107" s="889">
        <f t="shared" si="17"/>
        <v>0</v>
      </c>
      <c r="J107" s="889">
        <f>'SAN LUONG'!AV99*0.44</f>
        <v>0</v>
      </c>
      <c r="K107" s="889">
        <f t="shared" si="22"/>
        <v>0</v>
      </c>
      <c r="L107" s="889"/>
      <c r="M107" s="881">
        <f>'CHAM CONG'!BC97</f>
        <v>16</v>
      </c>
      <c r="N107" s="889">
        <f t="shared" si="23"/>
        <v>8.01</v>
      </c>
      <c r="O107" s="889">
        <f t="shared" si="24"/>
        <v>0.5</v>
      </c>
      <c r="P107" s="890">
        <f>'CHAM CONG'!BO97</f>
        <v>31</v>
      </c>
      <c r="Q107" s="942">
        <f t="shared" si="25"/>
        <v>2.91</v>
      </c>
      <c r="R107" s="942">
        <f>'SAN LUONG'!DW99</f>
        <v>12</v>
      </c>
      <c r="S107" s="942">
        <f t="shared" si="18"/>
        <v>0.38</v>
      </c>
      <c r="T107" s="943">
        <f>'CHAM CONG'!BW97</f>
        <v>0</v>
      </c>
      <c r="U107" s="942">
        <f t="shared" si="26"/>
        <v>0</v>
      </c>
      <c r="V107" s="890">
        <f>'CHAM CONG'!BD97</f>
        <v>4</v>
      </c>
      <c r="W107" s="944">
        <f t="shared" si="19"/>
        <v>2.13</v>
      </c>
      <c r="X107" s="891">
        <f>'CHAM CONG'!BT97</f>
        <v>1</v>
      </c>
      <c r="Y107" s="881">
        <f t="shared" si="27"/>
        <v>1.1000000000000001</v>
      </c>
      <c r="Z107" s="892">
        <v>6.03</v>
      </c>
      <c r="AA107" s="942">
        <f t="shared" si="20"/>
        <v>1.71</v>
      </c>
      <c r="AB107" s="892">
        <v>6.03</v>
      </c>
      <c r="AC107" s="942">
        <f t="shared" si="28"/>
        <v>7.24</v>
      </c>
      <c r="AD107" s="892">
        <v>6.03</v>
      </c>
      <c r="AE107" s="942">
        <f t="shared" si="29"/>
        <v>4.3</v>
      </c>
      <c r="AF107" s="943" t="e">
        <f>#N/A</f>
        <v>#N/A</v>
      </c>
      <c r="AG107" s="893">
        <f t="shared" si="21"/>
        <v>42.22</v>
      </c>
      <c r="AH107" s="894"/>
      <c r="AI107" s="895">
        <v>35.39</v>
      </c>
      <c r="AJ107" s="791">
        <v>30.88</v>
      </c>
      <c r="AK107" s="896">
        <f t="shared" si="30"/>
        <v>5</v>
      </c>
      <c r="AL107" s="896"/>
      <c r="AS107" s="898"/>
    </row>
    <row r="108" spans="1:45" s="779" customFormat="1" ht="31.95" customHeight="1">
      <c r="A108" s="885">
        <v>92</v>
      </c>
      <c r="B108" s="886">
        <v>5</v>
      </c>
      <c r="C108" s="887" t="str">
        <f>'Tên thang 01-26'!E95</f>
        <v>ស សឿ</v>
      </c>
      <c r="D108" s="887" t="str">
        <f>'Tên thang 01-26'!F95</f>
        <v>SOR SOEU</v>
      </c>
      <c r="E108" s="888">
        <v>181</v>
      </c>
      <c r="F108" s="889">
        <f>'SAN LUONG'!AP100*0.44</f>
        <v>941.6</v>
      </c>
      <c r="G108" s="889">
        <f t="shared" si="16"/>
        <v>13.41</v>
      </c>
      <c r="H108" s="889">
        <f>'SAN LUONG'!AO100*0.44</f>
        <v>0</v>
      </c>
      <c r="I108" s="889">
        <f t="shared" si="17"/>
        <v>0</v>
      </c>
      <c r="J108" s="889">
        <f>'SAN LUONG'!AV100*0.44</f>
        <v>0</v>
      </c>
      <c r="K108" s="889">
        <f t="shared" si="22"/>
        <v>0</v>
      </c>
      <c r="L108" s="889"/>
      <c r="M108" s="881">
        <f>'CHAM CONG'!BC98</f>
        <v>16</v>
      </c>
      <c r="N108" s="889">
        <f t="shared" si="23"/>
        <v>8.01</v>
      </c>
      <c r="O108" s="889">
        <f t="shared" si="24"/>
        <v>0.5</v>
      </c>
      <c r="P108" s="890">
        <f>'CHAM CONG'!BO98</f>
        <v>31</v>
      </c>
      <c r="Q108" s="942">
        <f t="shared" si="25"/>
        <v>2.91</v>
      </c>
      <c r="R108" s="942">
        <f>'SAN LUONG'!DW100</f>
        <v>12</v>
      </c>
      <c r="S108" s="942">
        <f t="shared" si="18"/>
        <v>0.38</v>
      </c>
      <c r="T108" s="943">
        <f>'CHAM CONG'!BW98</f>
        <v>0</v>
      </c>
      <c r="U108" s="942">
        <f t="shared" si="26"/>
        <v>0</v>
      </c>
      <c r="V108" s="890">
        <f>'CHAM CONG'!BD98</f>
        <v>4</v>
      </c>
      <c r="W108" s="944">
        <f t="shared" si="19"/>
        <v>2.13</v>
      </c>
      <c r="X108" s="891">
        <f>'CHAM CONG'!BT98</f>
        <v>1</v>
      </c>
      <c r="Y108" s="881">
        <f t="shared" si="27"/>
        <v>1.1000000000000001</v>
      </c>
      <c r="Z108" s="892">
        <v>6.03</v>
      </c>
      <c r="AA108" s="942">
        <f t="shared" si="20"/>
        <v>1.71</v>
      </c>
      <c r="AB108" s="892">
        <v>6.03</v>
      </c>
      <c r="AC108" s="942">
        <f t="shared" si="28"/>
        <v>7.24</v>
      </c>
      <c r="AD108" s="892">
        <v>6.03</v>
      </c>
      <c r="AE108" s="942">
        <f t="shared" si="29"/>
        <v>4.3</v>
      </c>
      <c r="AF108" s="943" t="e">
        <f>#N/A</f>
        <v>#N/A</v>
      </c>
      <c r="AG108" s="893">
        <f t="shared" si="21"/>
        <v>41.69</v>
      </c>
      <c r="AH108" s="894"/>
      <c r="AI108" s="895">
        <v>34.229999999999997</v>
      </c>
      <c r="AJ108" s="791">
        <v>29.72</v>
      </c>
      <c r="AK108" s="896">
        <f t="shared" si="30"/>
        <v>5</v>
      </c>
      <c r="AL108" s="896"/>
      <c r="AS108" s="898"/>
    </row>
    <row r="109" spans="1:45" s="779" customFormat="1" ht="31.95" customHeight="1">
      <c r="A109" s="885">
        <v>93</v>
      </c>
      <c r="B109" s="886">
        <v>5</v>
      </c>
      <c r="C109" s="887" t="str">
        <f>'Tên thang 01-26'!E96</f>
        <v>ស៊ន សី</v>
      </c>
      <c r="D109" s="887" t="str">
        <f>'Tên thang 01-26'!F96</f>
        <v>SORN SEY</v>
      </c>
      <c r="E109" s="888">
        <v>182</v>
      </c>
      <c r="F109" s="889">
        <f>'SAN LUONG'!AP101*0.44</f>
        <v>843.04</v>
      </c>
      <c r="G109" s="889">
        <f t="shared" si="16"/>
        <v>12.01</v>
      </c>
      <c r="H109" s="889">
        <f>'SAN LUONG'!AO101*0.44</f>
        <v>0</v>
      </c>
      <c r="I109" s="889">
        <f t="shared" si="17"/>
        <v>0</v>
      </c>
      <c r="J109" s="889">
        <f>'SAN LUONG'!AV101*0.44</f>
        <v>0</v>
      </c>
      <c r="K109" s="889">
        <f t="shared" si="22"/>
        <v>0</v>
      </c>
      <c r="L109" s="889"/>
      <c r="M109" s="881">
        <f>'CHAM CONG'!BC99</f>
        <v>15</v>
      </c>
      <c r="N109" s="889">
        <f t="shared" si="23"/>
        <v>7.51</v>
      </c>
      <c r="O109" s="889">
        <f t="shared" si="24"/>
        <v>0.47</v>
      </c>
      <c r="P109" s="890">
        <f>'CHAM CONG'!BO99</f>
        <v>30</v>
      </c>
      <c r="Q109" s="942">
        <f t="shared" si="25"/>
        <v>2.82</v>
      </c>
      <c r="R109" s="942">
        <f>'SAN LUONG'!DW101</f>
        <v>13</v>
      </c>
      <c r="S109" s="942">
        <f t="shared" si="18"/>
        <v>0.41</v>
      </c>
      <c r="T109" s="943">
        <f>'CHAM CONG'!BW99</f>
        <v>0</v>
      </c>
      <c r="U109" s="942">
        <f t="shared" si="26"/>
        <v>0</v>
      </c>
      <c r="V109" s="890">
        <f>'CHAM CONG'!BD99</f>
        <v>4</v>
      </c>
      <c r="W109" s="944">
        <f t="shared" si="19"/>
        <v>2.13</v>
      </c>
      <c r="X109" s="891">
        <f>'CHAM CONG'!BT99</f>
        <v>1</v>
      </c>
      <c r="Y109" s="881">
        <f t="shared" si="27"/>
        <v>1.1000000000000001</v>
      </c>
      <c r="Z109" s="892">
        <v>6.03</v>
      </c>
      <c r="AA109" s="942">
        <f t="shared" si="20"/>
        <v>1.71</v>
      </c>
      <c r="AB109" s="892">
        <v>6.03</v>
      </c>
      <c r="AC109" s="942">
        <f t="shared" si="28"/>
        <v>7.24</v>
      </c>
      <c r="AD109" s="892">
        <v>6.03</v>
      </c>
      <c r="AE109" s="942">
        <f t="shared" si="29"/>
        <v>4.3</v>
      </c>
      <c r="AF109" s="943" t="e">
        <f>#N/A</f>
        <v>#N/A</v>
      </c>
      <c r="AG109" s="893">
        <f t="shared" si="21"/>
        <v>39.699999999999996</v>
      </c>
      <c r="AH109" s="894"/>
      <c r="AI109" s="895">
        <v>34.049999999999997</v>
      </c>
      <c r="AJ109" s="791">
        <v>30.17</v>
      </c>
      <c r="AK109" s="896">
        <f t="shared" si="30"/>
        <v>4</v>
      </c>
      <c r="AL109" s="896"/>
      <c r="AS109" s="898"/>
    </row>
    <row r="110" spans="1:45" s="779" customFormat="1" ht="31.95" customHeight="1">
      <c r="A110" s="885">
        <v>94</v>
      </c>
      <c r="B110" s="886">
        <v>5</v>
      </c>
      <c r="C110" s="887" t="str">
        <f>'Tên thang 01-26'!E97</f>
        <v>ឡុន លាង</v>
      </c>
      <c r="D110" s="887" t="str">
        <f>'Tên thang 01-26'!F97</f>
        <v>LAUN LENG</v>
      </c>
      <c r="E110" s="888">
        <v>183</v>
      </c>
      <c r="F110" s="889">
        <f>'SAN LUONG'!AP102*0.44</f>
        <v>842.16</v>
      </c>
      <c r="G110" s="889">
        <f t="shared" si="16"/>
        <v>11.99</v>
      </c>
      <c r="H110" s="889">
        <f>'SAN LUONG'!AO102*0.44</f>
        <v>0</v>
      </c>
      <c r="I110" s="889">
        <f t="shared" si="17"/>
        <v>0</v>
      </c>
      <c r="J110" s="889">
        <f>'SAN LUONG'!AV102*0.44</f>
        <v>0</v>
      </c>
      <c r="K110" s="889">
        <f t="shared" si="22"/>
        <v>0</v>
      </c>
      <c r="L110" s="889"/>
      <c r="M110" s="881">
        <f>'CHAM CONG'!BC100</f>
        <v>16</v>
      </c>
      <c r="N110" s="889">
        <f t="shared" si="23"/>
        <v>8.01</v>
      </c>
      <c r="O110" s="889">
        <f t="shared" si="24"/>
        <v>0.5</v>
      </c>
      <c r="P110" s="890">
        <f>'CHAM CONG'!BO100</f>
        <v>31</v>
      </c>
      <c r="Q110" s="942">
        <f t="shared" si="25"/>
        <v>2.91</v>
      </c>
      <c r="R110" s="942">
        <f>'SAN LUONG'!DW102</f>
        <v>13</v>
      </c>
      <c r="S110" s="942">
        <f t="shared" si="18"/>
        <v>0.41</v>
      </c>
      <c r="T110" s="943">
        <f>'CHAM CONG'!BW100</f>
        <v>0</v>
      </c>
      <c r="U110" s="942">
        <f t="shared" si="26"/>
        <v>0</v>
      </c>
      <c r="V110" s="890">
        <f>'CHAM CONG'!BD100</f>
        <v>4</v>
      </c>
      <c r="W110" s="944">
        <f t="shared" si="19"/>
        <v>2.13</v>
      </c>
      <c r="X110" s="891">
        <f>'CHAM CONG'!BT100</f>
        <v>1</v>
      </c>
      <c r="Y110" s="881">
        <f t="shared" si="27"/>
        <v>1.1000000000000001</v>
      </c>
      <c r="Z110" s="892">
        <v>6.03</v>
      </c>
      <c r="AA110" s="942">
        <f t="shared" si="20"/>
        <v>1.71</v>
      </c>
      <c r="AB110" s="892">
        <v>6.03</v>
      </c>
      <c r="AC110" s="942">
        <f t="shared" si="28"/>
        <v>7.24</v>
      </c>
      <c r="AD110" s="892">
        <v>6.03</v>
      </c>
      <c r="AE110" s="942">
        <f t="shared" si="29"/>
        <v>4.3</v>
      </c>
      <c r="AF110" s="943" t="e">
        <f>#N/A</f>
        <v>#N/A</v>
      </c>
      <c r="AG110" s="893">
        <f t="shared" si="21"/>
        <v>40.299999999999997</v>
      </c>
      <c r="AH110" s="894"/>
      <c r="AI110" s="895">
        <v>33.380000000000003</v>
      </c>
      <c r="AJ110" s="791">
        <v>29.5</v>
      </c>
      <c r="AK110" s="896">
        <f t="shared" si="30"/>
        <v>4</v>
      </c>
      <c r="AL110" s="896"/>
      <c r="AS110" s="898"/>
    </row>
    <row r="111" spans="1:45" s="779" customFormat="1" ht="28.95" customHeight="1">
      <c r="A111" s="885">
        <v>95</v>
      </c>
      <c r="B111" s="886">
        <v>5</v>
      </c>
      <c r="C111" s="887" t="str">
        <f>'Tên thang 01-26'!E98</f>
        <v>ស៊ាន ពិន</v>
      </c>
      <c r="D111" s="887" t="str">
        <f>'Tên thang 01-26'!F98</f>
        <v>SEAN PIN</v>
      </c>
      <c r="E111" s="888">
        <v>184</v>
      </c>
      <c r="F111" s="889">
        <f>'SAN LUONG'!AP103*0.44</f>
        <v>800.36</v>
      </c>
      <c r="G111" s="889">
        <f t="shared" si="16"/>
        <v>11.4</v>
      </c>
      <c r="H111" s="889">
        <f>'SAN LUONG'!AO103*0.44</f>
        <v>0</v>
      </c>
      <c r="I111" s="889">
        <f t="shared" si="17"/>
        <v>0</v>
      </c>
      <c r="J111" s="889">
        <f>'SAN LUONG'!AV103*0.44</f>
        <v>0</v>
      </c>
      <c r="K111" s="889">
        <f t="shared" si="22"/>
        <v>0</v>
      </c>
      <c r="L111" s="889"/>
      <c r="M111" s="881">
        <f>'CHAM CONG'!BC101</f>
        <v>16</v>
      </c>
      <c r="N111" s="889">
        <f t="shared" si="23"/>
        <v>8.01</v>
      </c>
      <c r="O111" s="889">
        <f t="shared" si="24"/>
        <v>0.5</v>
      </c>
      <c r="P111" s="890">
        <f>'CHAM CONG'!BO101</f>
        <v>30</v>
      </c>
      <c r="Q111" s="942">
        <f t="shared" si="25"/>
        <v>2.82</v>
      </c>
      <c r="R111" s="942">
        <f>'SAN LUONG'!DW103</f>
        <v>21</v>
      </c>
      <c r="S111" s="942">
        <f t="shared" si="18"/>
        <v>0.66</v>
      </c>
      <c r="T111" s="943">
        <f>'CHAM CONG'!BW101</f>
        <v>0</v>
      </c>
      <c r="U111" s="942">
        <f t="shared" si="26"/>
        <v>0</v>
      </c>
      <c r="V111" s="890">
        <f>'CHAM CONG'!BD101</f>
        <v>4</v>
      </c>
      <c r="W111" s="944">
        <f t="shared" si="19"/>
        <v>2.13</v>
      </c>
      <c r="X111" s="891">
        <f>'CHAM CONG'!BT101</f>
        <v>1</v>
      </c>
      <c r="Y111" s="881">
        <f t="shared" si="27"/>
        <v>1.1000000000000001</v>
      </c>
      <c r="Z111" s="892">
        <v>6.03</v>
      </c>
      <c r="AA111" s="942">
        <f t="shared" si="20"/>
        <v>1.71</v>
      </c>
      <c r="AB111" s="892">
        <v>6.03</v>
      </c>
      <c r="AC111" s="942">
        <f t="shared" si="28"/>
        <v>7.24</v>
      </c>
      <c r="AD111" s="892">
        <v>6.03</v>
      </c>
      <c r="AE111" s="942">
        <f t="shared" si="29"/>
        <v>4.3</v>
      </c>
      <c r="AF111" s="943" t="e">
        <f>#N/A</f>
        <v>#N/A</v>
      </c>
      <c r="AG111" s="893">
        <f t="shared" si="21"/>
        <v>39.869999999999997</v>
      </c>
      <c r="AH111" s="894"/>
      <c r="AI111" s="895">
        <v>31.02</v>
      </c>
      <c r="AJ111" s="791">
        <v>27.13</v>
      </c>
      <c r="AK111" s="896">
        <f t="shared" si="30"/>
        <v>4</v>
      </c>
      <c r="AL111" s="896"/>
      <c r="AS111" s="898"/>
    </row>
    <row r="112" spans="1:45" s="779" customFormat="1" ht="28.95" customHeight="1">
      <c r="A112" s="885">
        <v>96</v>
      </c>
      <c r="B112" s="886">
        <v>5</v>
      </c>
      <c r="C112" s="887" t="str">
        <f>'Tên thang 01-26'!E99</f>
        <v>ប៊ូ ផៃ</v>
      </c>
      <c r="D112" s="887" t="str">
        <f>'Tên thang 01-26'!F99</f>
        <v>BOU PHAY</v>
      </c>
      <c r="E112" s="888">
        <v>185</v>
      </c>
      <c r="F112" s="889">
        <f>'SAN LUONG'!AP104*0.44</f>
        <v>916.52</v>
      </c>
      <c r="G112" s="889">
        <f t="shared" si="16"/>
        <v>13.05</v>
      </c>
      <c r="H112" s="889">
        <f>'SAN LUONG'!AO104*0.44</f>
        <v>0</v>
      </c>
      <c r="I112" s="889">
        <f t="shared" si="17"/>
        <v>0</v>
      </c>
      <c r="J112" s="889">
        <f>'SAN LUONG'!AV104*0.44</f>
        <v>0</v>
      </c>
      <c r="K112" s="889">
        <f t="shared" si="22"/>
        <v>0</v>
      </c>
      <c r="L112" s="889"/>
      <c r="M112" s="881">
        <f>'CHAM CONG'!BC102</f>
        <v>16</v>
      </c>
      <c r="N112" s="889">
        <f t="shared" si="23"/>
        <v>8.01</v>
      </c>
      <c r="O112" s="889">
        <f t="shared" si="24"/>
        <v>0.5</v>
      </c>
      <c r="P112" s="890">
        <f>'CHAM CONG'!BO102</f>
        <v>30</v>
      </c>
      <c r="Q112" s="942">
        <f t="shared" si="25"/>
        <v>2.82</v>
      </c>
      <c r="R112" s="942">
        <f>'SAN LUONG'!DW104</f>
        <v>21</v>
      </c>
      <c r="S112" s="942">
        <f t="shared" si="18"/>
        <v>0.66</v>
      </c>
      <c r="T112" s="943">
        <f>'CHAM CONG'!BW102</f>
        <v>0</v>
      </c>
      <c r="U112" s="942">
        <f t="shared" si="26"/>
        <v>0</v>
      </c>
      <c r="V112" s="890">
        <f>'CHAM CONG'!BD102</f>
        <v>4</v>
      </c>
      <c r="W112" s="944">
        <f t="shared" si="19"/>
        <v>2.13</v>
      </c>
      <c r="X112" s="891">
        <f>'CHAM CONG'!BT102</f>
        <v>1</v>
      </c>
      <c r="Y112" s="881">
        <f t="shared" si="27"/>
        <v>1.1000000000000001</v>
      </c>
      <c r="Z112" s="892">
        <v>6.03</v>
      </c>
      <c r="AA112" s="942">
        <f t="shared" si="20"/>
        <v>1.71</v>
      </c>
      <c r="AB112" s="892">
        <v>6.03</v>
      </c>
      <c r="AC112" s="942">
        <f t="shared" si="28"/>
        <v>7.24</v>
      </c>
      <c r="AD112" s="892">
        <v>6.03</v>
      </c>
      <c r="AE112" s="942">
        <f t="shared" si="29"/>
        <v>4.3</v>
      </c>
      <c r="AF112" s="943" t="e">
        <f>#N/A</f>
        <v>#N/A</v>
      </c>
      <c r="AG112" s="893">
        <f t="shared" si="21"/>
        <v>41.52</v>
      </c>
      <c r="AH112" s="894"/>
      <c r="AI112" s="895">
        <v>31.53</v>
      </c>
      <c r="AJ112" s="791">
        <v>27.64</v>
      </c>
      <c r="AK112" s="896">
        <f t="shared" si="30"/>
        <v>4</v>
      </c>
      <c r="AL112" s="896"/>
      <c r="AS112" s="898"/>
    </row>
    <row r="113" spans="1:45" s="779" customFormat="1" ht="28.95" customHeight="1">
      <c r="A113" s="885">
        <v>97</v>
      </c>
      <c r="B113" s="886">
        <v>5</v>
      </c>
      <c r="C113" s="887" t="str">
        <f>'Tên thang 01-26'!E100</f>
        <v>ហួន​ ហ៊ាន</v>
      </c>
      <c r="D113" s="887" t="str">
        <f>'Tên thang 01-26'!F100</f>
        <v>HOURN HEAN</v>
      </c>
      <c r="E113" s="888">
        <v>186</v>
      </c>
      <c r="F113" s="889">
        <f>'SAN LUONG'!AP105*0.44</f>
        <v>1229.3599999999999</v>
      </c>
      <c r="G113" s="889">
        <f t="shared" si="16"/>
        <v>17.510000000000002</v>
      </c>
      <c r="H113" s="889">
        <f>'SAN LUONG'!AO105*0.44</f>
        <v>0</v>
      </c>
      <c r="I113" s="889">
        <f t="shared" si="17"/>
        <v>0</v>
      </c>
      <c r="J113" s="889">
        <f>'SAN LUONG'!AV105*0.44</f>
        <v>0</v>
      </c>
      <c r="K113" s="889">
        <f t="shared" si="22"/>
        <v>0</v>
      </c>
      <c r="L113" s="889"/>
      <c r="M113" s="881">
        <f>'CHAM CONG'!BC103</f>
        <v>16</v>
      </c>
      <c r="N113" s="889">
        <f t="shared" si="23"/>
        <v>8.01</v>
      </c>
      <c r="O113" s="889">
        <f t="shared" si="24"/>
        <v>0.5</v>
      </c>
      <c r="P113" s="890">
        <f>'CHAM CONG'!BO103</f>
        <v>30</v>
      </c>
      <c r="Q113" s="942">
        <f t="shared" si="25"/>
        <v>2.82</v>
      </c>
      <c r="R113" s="942">
        <f>'SAN LUONG'!DW105</f>
        <v>25</v>
      </c>
      <c r="S113" s="942">
        <f t="shared" si="18"/>
        <v>0.78</v>
      </c>
      <c r="T113" s="943">
        <f>'CHAM CONG'!BW103</f>
        <v>0</v>
      </c>
      <c r="U113" s="942">
        <f t="shared" si="26"/>
        <v>0</v>
      </c>
      <c r="V113" s="890">
        <f>'CHAM CONG'!BD103</f>
        <v>4</v>
      </c>
      <c r="W113" s="944">
        <f t="shared" si="19"/>
        <v>2.13</v>
      </c>
      <c r="X113" s="891">
        <f>'CHAM CONG'!BT103</f>
        <v>1</v>
      </c>
      <c r="Y113" s="881">
        <f t="shared" si="27"/>
        <v>1.1000000000000001</v>
      </c>
      <c r="Z113" s="892">
        <v>6.03</v>
      </c>
      <c r="AA113" s="942">
        <f t="shared" si="20"/>
        <v>1.71</v>
      </c>
      <c r="AB113" s="892">
        <v>6.03</v>
      </c>
      <c r="AC113" s="942">
        <f t="shared" si="28"/>
        <v>7.24</v>
      </c>
      <c r="AD113" s="892">
        <v>6.03</v>
      </c>
      <c r="AE113" s="942">
        <f t="shared" si="29"/>
        <v>4.3</v>
      </c>
      <c r="AF113" s="943" t="e">
        <f>#N/A</f>
        <v>#N/A</v>
      </c>
      <c r="AG113" s="893">
        <f t="shared" si="21"/>
        <v>46.1</v>
      </c>
      <c r="AH113" s="894"/>
      <c r="AI113" s="895">
        <v>34.86</v>
      </c>
      <c r="AJ113" s="791">
        <v>31.6</v>
      </c>
      <c r="AK113" s="896">
        <f t="shared" si="30"/>
        <v>3</v>
      </c>
      <c r="AL113" s="896"/>
      <c r="AS113" s="898"/>
    </row>
    <row r="114" spans="1:45" s="779" customFormat="1" ht="28.95" customHeight="1">
      <c r="A114" s="885">
        <v>98</v>
      </c>
      <c r="B114" s="886">
        <v>5</v>
      </c>
      <c r="C114" s="887" t="str">
        <f>'Tên thang 01-26'!E101</f>
        <v>ហ៊ាន តុលា</v>
      </c>
      <c r="D114" s="887" t="str">
        <f>'Tên thang 01-26'!F101</f>
        <v>HAN TOLA</v>
      </c>
      <c r="E114" s="888">
        <v>187</v>
      </c>
      <c r="F114" s="889">
        <f>'SAN LUONG'!AP106*0.44</f>
        <v>1168.2</v>
      </c>
      <c r="G114" s="889">
        <f t="shared" si="16"/>
        <v>16.64</v>
      </c>
      <c r="H114" s="889">
        <f>'SAN LUONG'!AO106*0.44</f>
        <v>0</v>
      </c>
      <c r="I114" s="889">
        <f t="shared" si="17"/>
        <v>0</v>
      </c>
      <c r="J114" s="889">
        <f>'SAN LUONG'!AV106*0.44</f>
        <v>0</v>
      </c>
      <c r="K114" s="889">
        <f t="shared" si="22"/>
        <v>0</v>
      </c>
      <c r="L114" s="889"/>
      <c r="M114" s="881">
        <f>'CHAM CONG'!BC104</f>
        <v>16</v>
      </c>
      <c r="N114" s="889">
        <f t="shared" si="23"/>
        <v>8.01</v>
      </c>
      <c r="O114" s="889">
        <f t="shared" si="24"/>
        <v>0.5</v>
      </c>
      <c r="P114" s="890">
        <f>'CHAM CONG'!BO104</f>
        <v>30</v>
      </c>
      <c r="Q114" s="942">
        <f t="shared" si="25"/>
        <v>2.82</v>
      </c>
      <c r="R114" s="942">
        <f>'SAN LUONG'!DW106</f>
        <v>24</v>
      </c>
      <c r="S114" s="942">
        <f t="shared" si="18"/>
        <v>0.75</v>
      </c>
      <c r="T114" s="943">
        <f>'CHAM CONG'!BW104</f>
        <v>0</v>
      </c>
      <c r="U114" s="942">
        <f t="shared" si="26"/>
        <v>0</v>
      </c>
      <c r="V114" s="890">
        <f>'CHAM CONG'!BD104</f>
        <v>4</v>
      </c>
      <c r="W114" s="944">
        <f t="shared" si="19"/>
        <v>2.13</v>
      </c>
      <c r="X114" s="891">
        <f>'CHAM CONG'!BT104</f>
        <v>1</v>
      </c>
      <c r="Y114" s="881">
        <f t="shared" si="27"/>
        <v>1.1000000000000001</v>
      </c>
      <c r="Z114" s="892">
        <v>6.03</v>
      </c>
      <c r="AA114" s="942">
        <f t="shared" si="20"/>
        <v>1.71</v>
      </c>
      <c r="AB114" s="892">
        <v>6.03</v>
      </c>
      <c r="AC114" s="942">
        <f t="shared" si="28"/>
        <v>7.24</v>
      </c>
      <c r="AD114" s="892">
        <v>6.03</v>
      </c>
      <c r="AE114" s="942">
        <f t="shared" si="29"/>
        <v>4.3</v>
      </c>
      <c r="AF114" s="943" t="e">
        <f>#N/A</f>
        <v>#N/A</v>
      </c>
      <c r="AG114" s="893">
        <f t="shared" si="21"/>
        <v>45.199999999999996</v>
      </c>
      <c r="AH114" s="894"/>
      <c r="AI114" s="895">
        <v>34.03</v>
      </c>
      <c r="AJ114" s="791">
        <v>30.15</v>
      </c>
      <c r="AK114" s="896">
        <f t="shared" si="30"/>
        <v>4</v>
      </c>
      <c r="AL114" s="896"/>
      <c r="AS114" s="898"/>
    </row>
    <row r="115" spans="1:45" s="779" customFormat="1" ht="28.95" customHeight="1">
      <c r="A115" s="885">
        <v>99</v>
      </c>
      <c r="B115" s="886">
        <v>5</v>
      </c>
      <c r="C115" s="887" t="str">
        <f>'Tên thang 01-26'!E102</f>
        <v>ទេព មឿន</v>
      </c>
      <c r="D115" s="887" t="str">
        <f>'Tên thang 01-26'!F102</f>
        <v>TEP MOEUN</v>
      </c>
      <c r="E115" s="888">
        <v>188</v>
      </c>
      <c r="F115" s="889">
        <f>'SAN LUONG'!AP107*0.44</f>
        <v>1061.72</v>
      </c>
      <c r="G115" s="889">
        <f t="shared" si="16"/>
        <v>15.12</v>
      </c>
      <c r="H115" s="889">
        <f>'SAN LUONG'!AO107*0.44</f>
        <v>0</v>
      </c>
      <c r="I115" s="889">
        <f t="shared" si="17"/>
        <v>0</v>
      </c>
      <c r="J115" s="889">
        <f>'SAN LUONG'!AV107*0.44</f>
        <v>0</v>
      </c>
      <c r="K115" s="889">
        <f t="shared" si="22"/>
        <v>0</v>
      </c>
      <c r="L115" s="889"/>
      <c r="M115" s="881">
        <f>'CHAM CONG'!BC105</f>
        <v>16</v>
      </c>
      <c r="N115" s="889">
        <f t="shared" si="23"/>
        <v>8.01</v>
      </c>
      <c r="O115" s="889">
        <f t="shared" si="24"/>
        <v>0.5</v>
      </c>
      <c r="P115" s="890">
        <f>'CHAM CONG'!BO105</f>
        <v>30</v>
      </c>
      <c r="Q115" s="942">
        <f t="shared" si="25"/>
        <v>2.82</v>
      </c>
      <c r="R115" s="942">
        <f>'SAN LUONG'!DW107</f>
        <v>31</v>
      </c>
      <c r="S115" s="942">
        <f t="shared" si="18"/>
        <v>0.97</v>
      </c>
      <c r="T115" s="943">
        <f>'CHAM CONG'!BW105</f>
        <v>0</v>
      </c>
      <c r="U115" s="942">
        <f t="shared" si="26"/>
        <v>0</v>
      </c>
      <c r="V115" s="890">
        <f>'CHAM CONG'!BD105</f>
        <v>4</v>
      </c>
      <c r="W115" s="944">
        <f t="shared" si="19"/>
        <v>2.13</v>
      </c>
      <c r="X115" s="891">
        <f>'CHAM CONG'!BT105</f>
        <v>1</v>
      </c>
      <c r="Y115" s="881">
        <f t="shared" si="27"/>
        <v>1.1000000000000001</v>
      </c>
      <c r="Z115" s="892">
        <v>6.03</v>
      </c>
      <c r="AA115" s="942">
        <f t="shared" si="20"/>
        <v>1.71</v>
      </c>
      <c r="AB115" s="892">
        <v>6.03</v>
      </c>
      <c r="AC115" s="942">
        <f t="shared" si="28"/>
        <v>7.24</v>
      </c>
      <c r="AD115" s="892">
        <v>6.03</v>
      </c>
      <c r="AE115" s="942">
        <f t="shared" si="29"/>
        <v>4.3</v>
      </c>
      <c r="AF115" s="943" t="e">
        <f>#N/A</f>
        <v>#N/A</v>
      </c>
      <c r="AG115" s="893">
        <f t="shared" si="21"/>
        <v>43.9</v>
      </c>
      <c r="AH115" s="894"/>
      <c r="AI115" s="895">
        <v>31.43</v>
      </c>
      <c r="AJ115" s="791">
        <v>27.540000000000003</v>
      </c>
      <c r="AK115" s="896">
        <f t="shared" si="30"/>
        <v>4</v>
      </c>
      <c r="AL115" s="896"/>
      <c r="AS115" s="898"/>
    </row>
    <row r="116" spans="1:45" s="779" customFormat="1" ht="28.95" customHeight="1">
      <c r="A116" s="885">
        <v>100</v>
      </c>
      <c r="B116" s="886">
        <v>5</v>
      </c>
      <c r="C116" s="887" t="str">
        <f>'Tên thang 01-26'!E103</f>
        <v>ប៊ូ បឿន</v>
      </c>
      <c r="D116" s="887" t="str">
        <f>'Tên thang 01-26'!F103</f>
        <v>BOU BOEUN</v>
      </c>
      <c r="E116" s="888">
        <v>189</v>
      </c>
      <c r="F116" s="889">
        <f>'SAN LUONG'!AP108*0.44</f>
        <v>649.44000000000005</v>
      </c>
      <c r="G116" s="889">
        <f t="shared" si="16"/>
        <v>9.25</v>
      </c>
      <c r="H116" s="889">
        <f>'SAN LUONG'!AO108*0.44</f>
        <v>0</v>
      </c>
      <c r="I116" s="889">
        <f t="shared" si="17"/>
        <v>0</v>
      </c>
      <c r="J116" s="889">
        <f>'SAN LUONG'!AV108*0.44</f>
        <v>0</v>
      </c>
      <c r="K116" s="889">
        <f t="shared" si="22"/>
        <v>0</v>
      </c>
      <c r="L116" s="889"/>
      <c r="M116" s="881">
        <f>'CHAM CONG'!BC106</f>
        <v>15</v>
      </c>
      <c r="N116" s="889">
        <f t="shared" si="23"/>
        <v>7.51</v>
      </c>
      <c r="O116" s="889">
        <f t="shared" si="24"/>
        <v>0.47</v>
      </c>
      <c r="P116" s="890">
        <f>'CHAM CONG'!BO106</f>
        <v>29</v>
      </c>
      <c r="Q116" s="942">
        <f t="shared" si="25"/>
        <v>2.72</v>
      </c>
      <c r="R116" s="942">
        <f>'SAN LUONG'!DW108</f>
        <v>28</v>
      </c>
      <c r="S116" s="942">
        <f t="shared" si="18"/>
        <v>0.88</v>
      </c>
      <c r="T116" s="943">
        <f>'CHAM CONG'!BW106</f>
        <v>0</v>
      </c>
      <c r="U116" s="942">
        <f t="shared" si="26"/>
        <v>0</v>
      </c>
      <c r="V116" s="890">
        <f>'CHAM CONG'!BD106</f>
        <v>4</v>
      </c>
      <c r="W116" s="944">
        <f t="shared" si="19"/>
        <v>2.13</v>
      </c>
      <c r="X116" s="891">
        <f>'CHAM CONG'!BT106</f>
        <v>1</v>
      </c>
      <c r="Y116" s="881">
        <f t="shared" si="27"/>
        <v>1.1000000000000001</v>
      </c>
      <c r="Z116" s="892">
        <v>6.03</v>
      </c>
      <c r="AA116" s="942">
        <f t="shared" si="20"/>
        <v>1.71</v>
      </c>
      <c r="AB116" s="892">
        <v>6.03</v>
      </c>
      <c r="AC116" s="942">
        <f t="shared" si="28"/>
        <v>7.24</v>
      </c>
      <c r="AD116" s="892">
        <v>6.03</v>
      </c>
      <c r="AE116" s="942">
        <f t="shared" si="29"/>
        <v>4.3</v>
      </c>
      <c r="AF116" s="943" t="e">
        <f>#N/A</f>
        <v>#N/A</v>
      </c>
      <c r="AG116" s="893">
        <f t="shared" si="21"/>
        <v>37.309999999999995</v>
      </c>
      <c r="AH116" s="894"/>
      <c r="AI116" s="895">
        <v>29.19</v>
      </c>
      <c r="AJ116" s="791">
        <v>25.32</v>
      </c>
      <c r="AK116" s="896">
        <f t="shared" si="30"/>
        <v>4</v>
      </c>
      <c r="AL116" s="896"/>
      <c r="AS116" s="898"/>
    </row>
    <row r="117" spans="1:45" s="779" customFormat="1" ht="28.95" customHeight="1">
      <c r="A117" s="885">
        <v>101</v>
      </c>
      <c r="B117" s="886">
        <v>5</v>
      </c>
      <c r="C117" s="887" t="str">
        <f>'Tên thang 01-26'!E104</f>
        <v>ញ៉ីវ ហាន</v>
      </c>
      <c r="D117" s="887" t="str">
        <f>'Tên thang 01-26'!F104</f>
        <v>NHIV HAN</v>
      </c>
      <c r="E117" s="888">
        <v>190</v>
      </c>
      <c r="F117" s="889">
        <f>'SAN LUONG'!AP109*0.44</f>
        <v>1109.68</v>
      </c>
      <c r="G117" s="889">
        <f t="shared" si="16"/>
        <v>15.8</v>
      </c>
      <c r="H117" s="889">
        <f>'SAN LUONG'!AO109*0.44</f>
        <v>0</v>
      </c>
      <c r="I117" s="889">
        <f t="shared" si="17"/>
        <v>0</v>
      </c>
      <c r="J117" s="889">
        <f>'SAN LUONG'!AV109*0.44</f>
        <v>0</v>
      </c>
      <c r="K117" s="889">
        <f t="shared" si="22"/>
        <v>0</v>
      </c>
      <c r="L117" s="889"/>
      <c r="M117" s="881">
        <f>'CHAM CONG'!BC107</f>
        <v>14</v>
      </c>
      <c r="N117" s="889">
        <f t="shared" si="23"/>
        <v>7.01</v>
      </c>
      <c r="O117" s="889">
        <f t="shared" si="24"/>
        <v>0.44</v>
      </c>
      <c r="P117" s="890">
        <f>'CHAM CONG'!BO107</f>
        <v>28</v>
      </c>
      <c r="Q117" s="942">
        <f t="shared" si="25"/>
        <v>2.63</v>
      </c>
      <c r="R117" s="942">
        <f>'SAN LUONG'!DW109</f>
        <v>15</v>
      </c>
      <c r="S117" s="942">
        <f t="shared" si="18"/>
        <v>0.47</v>
      </c>
      <c r="T117" s="943">
        <f>'CHAM CONG'!BW107</f>
        <v>0</v>
      </c>
      <c r="U117" s="942">
        <f t="shared" si="26"/>
        <v>0</v>
      </c>
      <c r="V117" s="890">
        <f>'CHAM CONG'!BD107</f>
        <v>2</v>
      </c>
      <c r="W117" s="944">
        <f t="shared" si="19"/>
        <v>1.06</v>
      </c>
      <c r="X117" s="891">
        <f>'CHAM CONG'!BT107</f>
        <v>1</v>
      </c>
      <c r="Y117" s="881">
        <f t="shared" si="27"/>
        <v>1.1000000000000001</v>
      </c>
      <c r="Z117" s="892">
        <v>6.03</v>
      </c>
      <c r="AA117" s="942">
        <f t="shared" si="20"/>
        <v>1.71</v>
      </c>
      <c r="AB117" s="892">
        <v>6.03</v>
      </c>
      <c r="AC117" s="942">
        <f t="shared" si="28"/>
        <v>7.24</v>
      </c>
      <c r="AD117" s="892">
        <v>6.03</v>
      </c>
      <c r="AE117" s="942">
        <f t="shared" si="29"/>
        <v>4.3</v>
      </c>
      <c r="AF117" s="943" t="e">
        <f>#N/A</f>
        <v>#N/A</v>
      </c>
      <c r="AG117" s="893">
        <f t="shared" si="21"/>
        <v>41.76</v>
      </c>
      <c r="AH117" s="894"/>
      <c r="AI117" s="895">
        <v>32.64</v>
      </c>
      <c r="AJ117" s="791">
        <v>28.759999999999998</v>
      </c>
      <c r="AK117" s="896">
        <f t="shared" si="30"/>
        <v>4</v>
      </c>
      <c r="AL117" s="896"/>
      <c r="AS117" s="898"/>
    </row>
    <row r="118" spans="1:45" s="779" customFormat="1" ht="28.95" customHeight="1">
      <c r="A118" s="885">
        <v>102</v>
      </c>
      <c r="B118" s="886">
        <v>5</v>
      </c>
      <c r="C118" s="887" t="str">
        <f>'Tên thang 01-26'!E105</f>
        <v>ម៉ៅ អ៊ីម</v>
      </c>
      <c r="D118" s="887" t="str">
        <f>'Tên thang 01-26'!F105</f>
        <v>MAO IM</v>
      </c>
      <c r="E118" s="888">
        <v>191</v>
      </c>
      <c r="F118" s="889">
        <f>'SAN LUONG'!AP110*0.44</f>
        <v>1084.5999999999999</v>
      </c>
      <c r="G118" s="889">
        <f t="shared" si="16"/>
        <v>15.45</v>
      </c>
      <c r="H118" s="889">
        <f>'SAN LUONG'!AO110*0.44</f>
        <v>0</v>
      </c>
      <c r="I118" s="889">
        <f t="shared" si="17"/>
        <v>0</v>
      </c>
      <c r="J118" s="889">
        <f>'SAN LUONG'!AV110*0.44</f>
        <v>0</v>
      </c>
      <c r="K118" s="889">
        <f t="shared" si="22"/>
        <v>0</v>
      </c>
      <c r="L118" s="889"/>
      <c r="M118" s="881">
        <f>'CHAM CONG'!BC108</f>
        <v>15</v>
      </c>
      <c r="N118" s="889">
        <f t="shared" si="23"/>
        <v>7.51</v>
      </c>
      <c r="O118" s="889">
        <f t="shared" si="24"/>
        <v>0.47</v>
      </c>
      <c r="P118" s="890">
        <f>'CHAM CONG'!BO108</f>
        <v>29</v>
      </c>
      <c r="Q118" s="942">
        <f t="shared" si="25"/>
        <v>2.72</v>
      </c>
      <c r="R118" s="942">
        <f>'SAN LUONG'!DW110</f>
        <v>15</v>
      </c>
      <c r="S118" s="942">
        <f t="shared" si="18"/>
        <v>0.47</v>
      </c>
      <c r="T118" s="943">
        <f>'CHAM CONG'!BW108</f>
        <v>0</v>
      </c>
      <c r="U118" s="942">
        <f t="shared" si="26"/>
        <v>0</v>
      </c>
      <c r="V118" s="890">
        <f>'CHAM CONG'!BD108</f>
        <v>2</v>
      </c>
      <c r="W118" s="944">
        <f t="shared" si="19"/>
        <v>1.06</v>
      </c>
      <c r="X118" s="891">
        <f>'CHAM CONG'!BT108</f>
        <v>1</v>
      </c>
      <c r="Y118" s="881">
        <f t="shared" si="27"/>
        <v>1.1000000000000001</v>
      </c>
      <c r="Z118" s="892">
        <v>6.03</v>
      </c>
      <c r="AA118" s="942">
        <f t="shared" si="20"/>
        <v>1.71</v>
      </c>
      <c r="AB118" s="892">
        <v>6.03</v>
      </c>
      <c r="AC118" s="942">
        <f t="shared" si="28"/>
        <v>7.24</v>
      </c>
      <c r="AD118" s="892">
        <v>6.03</v>
      </c>
      <c r="AE118" s="942">
        <f t="shared" si="29"/>
        <v>4.3</v>
      </c>
      <c r="AF118" s="943" t="e">
        <f>#N/A</f>
        <v>#N/A</v>
      </c>
      <c r="AG118" s="893">
        <f t="shared" si="21"/>
        <v>42.029999999999994</v>
      </c>
      <c r="AH118" s="894"/>
      <c r="AI118" s="895">
        <v>33.17</v>
      </c>
      <c r="AJ118" s="791">
        <v>29.29</v>
      </c>
      <c r="AK118" s="896">
        <f t="shared" si="30"/>
        <v>4</v>
      </c>
      <c r="AL118" s="896"/>
      <c r="AS118" s="898"/>
    </row>
    <row r="119" spans="1:45" s="779" customFormat="1" ht="28.95" customHeight="1">
      <c r="A119" s="885">
        <v>103</v>
      </c>
      <c r="B119" s="886">
        <v>5</v>
      </c>
      <c r="C119" s="887" t="str">
        <f>'Tên thang 01-26'!E106</f>
        <v>អ៊ុង សុភ័ក្រ</v>
      </c>
      <c r="D119" s="887" t="str">
        <f>'Tên thang 01-26'!F106</f>
        <v>UNG SOPHEAK</v>
      </c>
      <c r="E119" s="888">
        <v>192</v>
      </c>
      <c r="F119" s="889">
        <f>'SAN LUONG'!AP111*0.44</f>
        <v>868.12</v>
      </c>
      <c r="G119" s="889">
        <f t="shared" si="16"/>
        <v>12.36</v>
      </c>
      <c r="H119" s="889">
        <f>'SAN LUONG'!AO111*0.44</f>
        <v>0</v>
      </c>
      <c r="I119" s="889">
        <f t="shared" si="17"/>
        <v>0</v>
      </c>
      <c r="J119" s="889">
        <f>'SAN LUONG'!AV111*0.44</f>
        <v>0</v>
      </c>
      <c r="K119" s="889">
        <f t="shared" si="22"/>
        <v>0</v>
      </c>
      <c r="L119" s="889"/>
      <c r="M119" s="881">
        <f>'CHAM CONG'!BC109</f>
        <v>14</v>
      </c>
      <c r="N119" s="889">
        <f t="shared" si="23"/>
        <v>7.01</v>
      </c>
      <c r="O119" s="889">
        <f t="shared" si="24"/>
        <v>0.44</v>
      </c>
      <c r="P119" s="890">
        <f>'CHAM CONG'!BO109</f>
        <v>28</v>
      </c>
      <c r="Q119" s="942">
        <f t="shared" si="25"/>
        <v>2.63</v>
      </c>
      <c r="R119" s="942">
        <f>'SAN LUONG'!DW111</f>
        <v>17.8</v>
      </c>
      <c r="S119" s="942">
        <f t="shared" si="18"/>
        <v>0.56000000000000005</v>
      </c>
      <c r="T119" s="943">
        <f>'CHAM CONG'!BW109</f>
        <v>0</v>
      </c>
      <c r="U119" s="942">
        <f t="shared" si="26"/>
        <v>0</v>
      </c>
      <c r="V119" s="890">
        <f>'CHAM CONG'!BD109</f>
        <v>4</v>
      </c>
      <c r="W119" s="944">
        <f t="shared" si="19"/>
        <v>2.13</v>
      </c>
      <c r="X119" s="891">
        <f>'CHAM CONG'!BT109</f>
        <v>1</v>
      </c>
      <c r="Y119" s="881">
        <f t="shared" si="27"/>
        <v>1.1000000000000001</v>
      </c>
      <c r="Z119" s="892">
        <v>6.03</v>
      </c>
      <c r="AA119" s="942">
        <f t="shared" si="20"/>
        <v>1.71</v>
      </c>
      <c r="AB119" s="892">
        <v>6.03</v>
      </c>
      <c r="AC119" s="942">
        <f t="shared" si="28"/>
        <v>7.24</v>
      </c>
      <c r="AD119" s="892">
        <v>6.03</v>
      </c>
      <c r="AE119" s="942">
        <f t="shared" si="29"/>
        <v>4.3</v>
      </c>
      <c r="AF119" s="943" t="e">
        <f>#N/A</f>
        <v>#N/A</v>
      </c>
      <c r="AG119" s="893">
        <f t="shared" si="21"/>
        <v>39.47999999999999</v>
      </c>
      <c r="AH119" s="894"/>
      <c r="AI119" s="895">
        <v>33.92</v>
      </c>
      <c r="AJ119" s="791">
        <v>30.029999999999998</v>
      </c>
      <c r="AK119" s="896">
        <f t="shared" si="30"/>
        <v>4</v>
      </c>
      <c r="AL119" s="896"/>
      <c r="AS119" s="898"/>
    </row>
    <row r="120" spans="1:45" s="779" customFormat="1" ht="28.95" customHeight="1">
      <c r="A120" s="885">
        <v>104</v>
      </c>
      <c r="B120" s="886">
        <v>5</v>
      </c>
      <c r="C120" s="887" t="str">
        <f>'Tên thang 01-26'!E107</f>
        <v>លាង ចន្ធី</v>
      </c>
      <c r="D120" s="887" t="str">
        <f>'Tên thang 01-26'!F107</f>
        <v>LEANG CHATHY</v>
      </c>
      <c r="E120" s="888">
        <v>193</v>
      </c>
      <c r="F120" s="889">
        <f>'SAN LUONG'!AP112*0.44</f>
        <v>851.4</v>
      </c>
      <c r="G120" s="889">
        <f t="shared" si="16"/>
        <v>12.13</v>
      </c>
      <c r="H120" s="889">
        <f>'SAN LUONG'!AO112*0.44</f>
        <v>0</v>
      </c>
      <c r="I120" s="889">
        <f t="shared" si="17"/>
        <v>0</v>
      </c>
      <c r="J120" s="889">
        <f>'SAN LUONG'!AV112*0.44</f>
        <v>0</v>
      </c>
      <c r="K120" s="889">
        <f t="shared" si="22"/>
        <v>0</v>
      </c>
      <c r="L120" s="889"/>
      <c r="M120" s="881">
        <f>'CHAM CONG'!BC110</f>
        <v>14</v>
      </c>
      <c r="N120" s="889">
        <f t="shared" si="23"/>
        <v>7.01</v>
      </c>
      <c r="O120" s="889">
        <f t="shared" si="24"/>
        <v>0.44</v>
      </c>
      <c r="P120" s="890">
        <f>'CHAM CONG'!BO110</f>
        <v>28</v>
      </c>
      <c r="Q120" s="942">
        <f t="shared" si="25"/>
        <v>2.63</v>
      </c>
      <c r="R120" s="942">
        <f>'SAN LUONG'!DW112</f>
        <v>20</v>
      </c>
      <c r="S120" s="942">
        <f t="shared" si="18"/>
        <v>0.63</v>
      </c>
      <c r="T120" s="943">
        <f>'CHAM CONG'!BW110</f>
        <v>0</v>
      </c>
      <c r="U120" s="942">
        <f t="shared" si="26"/>
        <v>0</v>
      </c>
      <c r="V120" s="890">
        <f>'CHAM CONG'!BD110</f>
        <v>4</v>
      </c>
      <c r="W120" s="944">
        <f t="shared" si="19"/>
        <v>2.13</v>
      </c>
      <c r="X120" s="891">
        <f>'CHAM CONG'!BT110</f>
        <v>1</v>
      </c>
      <c r="Y120" s="881">
        <f t="shared" si="27"/>
        <v>1.1000000000000001</v>
      </c>
      <c r="Z120" s="892">
        <v>6.03</v>
      </c>
      <c r="AA120" s="942">
        <f t="shared" si="20"/>
        <v>1.71</v>
      </c>
      <c r="AB120" s="892">
        <v>6.03</v>
      </c>
      <c r="AC120" s="942">
        <f t="shared" si="28"/>
        <v>7.24</v>
      </c>
      <c r="AD120" s="892">
        <v>6.03</v>
      </c>
      <c r="AE120" s="942">
        <f t="shared" si="29"/>
        <v>4.3</v>
      </c>
      <c r="AF120" s="943" t="e">
        <f>#N/A</f>
        <v>#N/A</v>
      </c>
      <c r="AG120" s="893">
        <f t="shared" si="21"/>
        <v>39.319999999999993</v>
      </c>
      <c r="AH120" s="894"/>
      <c r="AI120" s="895">
        <v>33.590000000000003</v>
      </c>
      <c r="AJ120" s="791">
        <v>29.7</v>
      </c>
      <c r="AK120" s="896">
        <f t="shared" si="30"/>
        <v>4</v>
      </c>
      <c r="AL120" s="896"/>
      <c r="AS120" s="898"/>
    </row>
    <row r="121" spans="1:45" s="779" customFormat="1" ht="28.95" customHeight="1">
      <c r="A121" s="885">
        <v>105</v>
      </c>
      <c r="B121" s="886">
        <v>5</v>
      </c>
      <c r="C121" s="887" t="str">
        <f>'Tên thang 01-26'!E108</f>
        <v>ភូន ខេត</v>
      </c>
      <c r="D121" s="887" t="str">
        <f>'Tên thang 01-26'!F108</f>
        <v>PHOUN KHET</v>
      </c>
      <c r="E121" s="888">
        <v>194</v>
      </c>
      <c r="F121" s="889">
        <f>'SAN LUONG'!AP113*0.44</f>
        <v>1081.52</v>
      </c>
      <c r="G121" s="889">
        <f t="shared" si="16"/>
        <v>15.4</v>
      </c>
      <c r="H121" s="889">
        <f>'SAN LUONG'!AO113*0.44</f>
        <v>0</v>
      </c>
      <c r="I121" s="889">
        <f t="shared" si="17"/>
        <v>0</v>
      </c>
      <c r="J121" s="889">
        <f>'SAN LUONG'!AV113*0.44</f>
        <v>0</v>
      </c>
      <c r="K121" s="889">
        <f t="shared" si="22"/>
        <v>0</v>
      </c>
      <c r="L121" s="889"/>
      <c r="M121" s="881">
        <f>'CHAM CONG'!BC111</f>
        <v>16</v>
      </c>
      <c r="N121" s="889">
        <f t="shared" si="23"/>
        <v>8.01</v>
      </c>
      <c r="O121" s="889">
        <f t="shared" si="24"/>
        <v>0.5</v>
      </c>
      <c r="P121" s="890">
        <f>'CHAM CONG'!BO111</f>
        <v>31</v>
      </c>
      <c r="Q121" s="942">
        <f t="shared" si="25"/>
        <v>2.91</v>
      </c>
      <c r="R121" s="942">
        <f>'SAN LUONG'!DW113</f>
        <v>11</v>
      </c>
      <c r="S121" s="942">
        <f t="shared" si="18"/>
        <v>0.34</v>
      </c>
      <c r="T121" s="943">
        <f>'CHAM CONG'!BW111</f>
        <v>0</v>
      </c>
      <c r="U121" s="942">
        <f t="shared" si="26"/>
        <v>0</v>
      </c>
      <c r="V121" s="890">
        <f>'CHAM CONG'!BD111</f>
        <v>4</v>
      </c>
      <c r="W121" s="944">
        <f t="shared" si="19"/>
        <v>2.13</v>
      </c>
      <c r="X121" s="891">
        <f>'CHAM CONG'!BT111</f>
        <v>1</v>
      </c>
      <c r="Y121" s="881">
        <f t="shared" si="27"/>
        <v>1.1000000000000001</v>
      </c>
      <c r="Z121" s="892">
        <v>6.03</v>
      </c>
      <c r="AA121" s="942">
        <f t="shared" si="20"/>
        <v>1.71</v>
      </c>
      <c r="AB121" s="892">
        <v>6.03</v>
      </c>
      <c r="AC121" s="942">
        <f t="shared" si="28"/>
        <v>7.24</v>
      </c>
      <c r="AD121" s="892">
        <v>6.03</v>
      </c>
      <c r="AE121" s="942">
        <f t="shared" si="29"/>
        <v>4.3</v>
      </c>
      <c r="AF121" s="943" t="e">
        <f>#N/A</f>
        <v>#N/A</v>
      </c>
      <c r="AG121" s="893">
        <f t="shared" si="21"/>
        <v>43.64</v>
      </c>
      <c r="AH121" s="894"/>
      <c r="AI121" s="895">
        <v>34.28</v>
      </c>
      <c r="AJ121" s="791">
        <v>30.39</v>
      </c>
      <c r="AK121" s="896">
        <f t="shared" si="30"/>
        <v>4</v>
      </c>
      <c r="AL121" s="896"/>
      <c r="AS121" s="898"/>
    </row>
    <row r="122" spans="1:45" s="779" customFormat="1" ht="28.95" customHeight="1">
      <c r="A122" s="885">
        <v>106</v>
      </c>
      <c r="B122" s="886">
        <v>5</v>
      </c>
      <c r="C122" s="887" t="str">
        <f>'Tên thang 01-26'!E109</f>
        <v>ហ៊ាន់ គី</v>
      </c>
      <c r="D122" s="887" t="str">
        <f>'Tên thang 01-26'!F109</f>
        <v>HOINN KY</v>
      </c>
      <c r="E122" s="888">
        <v>195</v>
      </c>
      <c r="F122" s="889">
        <f>'SAN LUONG'!AP114*0.44</f>
        <v>1052.92</v>
      </c>
      <c r="G122" s="889">
        <f t="shared" si="16"/>
        <v>15</v>
      </c>
      <c r="H122" s="889">
        <f>'SAN LUONG'!AO114*0.44</f>
        <v>0</v>
      </c>
      <c r="I122" s="889">
        <f t="shared" si="17"/>
        <v>0</v>
      </c>
      <c r="J122" s="889">
        <f>'SAN LUONG'!AV114*0.44</f>
        <v>0</v>
      </c>
      <c r="K122" s="889">
        <f t="shared" si="22"/>
        <v>0</v>
      </c>
      <c r="L122" s="889"/>
      <c r="M122" s="881">
        <f>'CHAM CONG'!BC112</f>
        <v>16</v>
      </c>
      <c r="N122" s="889">
        <f t="shared" si="23"/>
        <v>8.01</v>
      </c>
      <c r="O122" s="889">
        <f t="shared" si="24"/>
        <v>0.5</v>
      </c>
      <c r="P122" s="890">
        <f>'CHAM CONG'!BO112</f>
        <v>31</v>
      </c>
      <c r="Q122" s="942">
        <f t="shared" si="25"/>
        <v>2.91</v>
      </c>
      <c r="R122" s="942">
        <f>'SAN LUONG'!DW114</f>
        <v>11</v>
      </c>
      <c r="S122" s="942">
        <f t="shared" si="18"/>
        <v>0.34</v>
      </c>
      <c r="T122" s="943">
        <f>'CHAM CONG'!BW112</f>
        <v>0</v>
      </c>
      <c r="U122" s="942">
        <f t="shared" si="26"/>
        <v>0</v>
      </c>
      <c r="V122" s="890">
        <f>'CHAM CONG'!BD112</f>
        <v>4</v>
      </c>
      <c r="W122" s="944">
        <f t="shared" si="19"/>
        <v>2.13</v>
      </c>
      <c r="X122" s="891">
        <f>'CHAM CONG'!BT112</f>
        <v>1</v>
      </c>
      <c r="Y122" s="881">
        <f t="shared" si="27"/>
        <v>1.1000000000000001</v>
      </c>
      <c r="Z122" s="892">
        <v>6.03</v>
      </c>
      <c r="AA122" s="942">
        <f t="shared" si="20"/>
        <v>1.71</v>
      </c>
      <c r="AB122" s="892">
        <v>6.03</v>
      </c>
      <c r="AC122" s="942">
        <f t="shared" si="28"/>
        <v>7.24</v>
      </c>
      <c r="AD122" s="892">
        <v>6.03</v>
      </c>
      <c r="AE122" s="942">
        <f t="shared" si="29"/>
        <v>4.3</v>
      </c>
      <c r="AF122" s="943" t="e">
        <f>#N/A</f>
        <v>#N/A</v>
      </c>
      <c r="AG122" s="893">
        <f t="shared" si="21"/>
        <v>43.239999999999995</v>
      </c>
      <c r="AH122" s="894"/>
      <c r="AI122" s="895">
        <v>34.64</v>
      </c>
      <c r="AJ122" s="791">
        <v>30.75</v>
      </c>
      <c r="AK122" s="896">
        <f t="shared" si="30"/>
        <v>4</v>
      </c>
      <c r="AL122" s="896"/>
      <c r="AS122" s="898"/>
    </row>
    <row r="123" spans="1:45" s="779" customFormat="1" ht="28.95" customHeight="1">
      <c r="A123" s="885">
        <v>107</v>
      </c>
      <c r="B123" s="886">
        <v>5</v>
      </c>
      <c r="C123" s="887" t="str">
        <f>'Tên thang 01-26'!E110</f>
        <v>ឃាន អំ</v>
      </c>
      <c r="D123" s="887" t="str">
        <f>'Tên thang 01-26'!F110</f>
        <v>KHEAN AM</v>
      </c>
      <c r="E123" s="888">
        <v>196</v>
      </c>
      <c r="F123" s="889">
        <f>'SAN LUONG'!AP115*0.44</f>
        <v>775.28</v>
      </c>
      <c r="G123" s="889">
        <f t="shared" si="16"/>
        <v>11.04</v>
      </c>
      <c r="H123" s="889">
        <f>'SAN LUONG'!AO115*0.44</f>
        <v>0</v>
      </c>
      <c r="I123" s="889">
        <f t="shared" si="17"/>
        <v>0</v>
      </c>
      <c r="J123" s="889">
        <f>'SAN LUONG'!AV115*0.44</f>
        <v>0</v>
      </c>
      <c r="K123" s="889">
        <f t="shared" si="22"/>
        <v>0</v>
      </c>
      <c r="L123" s="889"/>
      <c r="M123" s="881">
        <f>'CHAM CONG'!BC113</f>
        <v>16</v>
      </c>
      <c r="N123" s="889">
        <f t="shared" si="23"/>
        <v>8.01</v>
      </c>
      <c r="O123" s="889">
        <f t="shared" si="24"/>
        <v>0.5</v>
      </c>
      <c r="P123" s="890">
        <f>'CHAM CONG'!BO113</f>
        <v>30</v>
      </c>
      <c r="Q123" s="942">
        <f t="shared" si="25"/>
        <v>2.82</v>
      </c>
      <c r="R123" s="942">
        <f>'SAN LUONG'!DW115</f>
        <v>20</v>
      </c>
      <c r="S123" s="942">
        <f t="shared" si="18"/>
        <v>0.63</v>
      </c>
      <c r="T123" s="943">
        <f>'CHAM CONG'!BW113</f>
        <v>0</v>
      </c>
      <c r="U123" s="942">
        <f t="shared" si="26"/>
        <v>0</v>
      </c>
      <c r="V123" s="890">
        <f>'CHAM CONG'!BD113</f>
        <v>1</v>
      </c>
      <c r="W123" s="944">
        <f t="shared" si="19"/>
        <v>0.53</v>
      </c>
      <c r="X123" s="891">
        <f>'CHAM CONG'!BT113</f>
        <v>1</v>
      </c>
      <c r="Y123" s="881">
        <f t="shared" si="27"/>
        <v>1.1000000000000001</v>
      </c>
      <c r="Z123" s="892">
        <v>6.03</v>
      </c>
      <c r="AA123" s="942">
        <f t="shared" si="20"/>
        <v>1.71</v>
      </c>
      <c r="AB123" s="892">
        <v>6.03</v>
      </c>
      <c r="AC123" s="942">
        <f t="shared" si="28"/>
        <v>7.24</v>
      </c>
      <c r="AD123" s="892">
        <v>6.03</v>
      </c>
      <c r="AE123" s="942">
        <f t="shared" si="29"/>
        <v>4.3</v>
      </c>
      <c r="AF123" s="943" t="e">
        <f>#N/A</f>
        <v>#N/A</v>
      </c>
      <c r="AG123" s="893">
        <f t="shared" si="21"/>
        <v>37.879999999999995</v>
      </c>
      <c r="AH123" s="894"/>
      <c r="AI123" s="895">
        <v>33.630000000000003</v>
      </c>
      <c r="AJ123" s="791">
        <v>29.759999999999998</v>
      </c>
      <c r="AK123" s="896">
        <f t="shared" si="30"/>
        <v>4</v>
      </c>
      <c r="AL123" s="896"/>
      <c r="AS123" s="898"/>
    </row>
    <row r="124" spans="1:45" s="779" customFormat="1" ht="28.95" customHeight="1">
      <c r="A124" s="885">
        <v>108</v>
      </c>
      <c r="B124" s="886">
        <v>5</v>
      </c>
      <c r="C124" s="887" t="str">
        <f>'Tên thang 01-26'!E111</f>
        <v>សុខ ទ្រី</v>
      </c>
      <c r="D124" s="887" t="str">
        <f>'Tên thang 01-26'!F111</f>
        <v>SOK TRY</v>
      </c>
      <c r="E124" s="888">
        <v>197</v>
      </c>
      <c r="F124" s="889">
        <f>'SAN LUONG'!AP116*0.44</f>
        <v>770</v>
      </c>
      <c r="G124" s="889">
        <f t="shared" si="16"/>
        <v>10.97</v>
      </c>
      <c r="H124" s="889">
        <f>'SAN LUONG'!AO116*0.44</f>
        <v>0</v>
      </c>
      <c r="I124" s="889">
        <f t="shared" si="17"/>
        <v>0</v>
      </c>
      <c r="J124" s="889">
        <f>'SAN LUONG'!AV116*0.44</f>
        <v>0</v>
      </c>
      <c r="K124" s="889">
        <f t="shared" si="22"/>
        <v>0</v>
      </c>
      <c r="L124" s="889"/>
      <c r="M124" s="881">
        <f>'CHAM CONG'!BC114</f>
        <v>16</v>
      </c>
      <c r="N124" s="889">
        <f t="shared" si="23"/>
        <v>8.01</v>
      </c>
      <c r="O124" s="889">
        <f t="shared" si="24"/>
        <v>0.5</v>
      </c>
      <c r="P124" s="890">
        <f>'CHAM CONG'!BO114</f>
        <v>29</v>
      </c>
      <c r="Q124" s="942">
        <f t="shared" si="25"/>
        <v>2.72</v>
      </c>
      <c r="R124" s="942">
        <f>'SAN LUONG'!DW116</f>
        <v>20</v>
      </c>
      <c r="S124" s="942">
        <f t="shared" si="18"/>
        <v>0.63</v>
      </c>
      <c r="T124" s="943">
        <f>'CHAM CONG'!BW114</f>
        <v>0</v>
      </c>
      <c r="U124" s="942">
        <f t="shared" si="26"/>
        <v>0</v>
      </c>
      <c r="V124" s="890">
        <f>'CHAM CONG'!BD114</f>
        <v>1</v>
      </c>
      <c r="W124" s="944">
        <f t="shared" si="19"/>
        <v>0.53</v>
      </c>
      <c r="X124" s="891">
        <f>'CHAM CONG'!BT114</f>
        <v>1</v>
      </c>
      <c r="Y124" s="881">
        <f t="shared" si="27"/>
        <v>1.1000000000000001</v>
      </c>
      <c r="Z124" s="892">
        <v>6.03</v>
      </c>
      <c r="AA124" s="942">
        <f t="shared" si="20"/>
        <v>1.71</v>
      </c>
      <c r="AB124" s="892">
        <v>6.03</v>
      </c>
      <c r="AC124" s="942">
        <f t="shared" si="28"/>
        <v>7.24</v>
      </c>
      <c r="AD124" s="892">
        <v>6.03</v>
      </c>
      <c r="AE124" s="942">
        <f t="shared" si="29"/>
        <v>4.3</v>
      </c>
      <c r="AF124" s="943" t="e">
        <f>#N/A</f>
        <v>#N/A</v>
      </c>
      <c r="AG124" s="893">
        <f t="shared" si="21"/>
        <v>37.71</v>
      </c>
      <c r="AH124" s="894"/>
      <c r="AI124" s="895">
        <v>34.119999999999997</v>
      </c>
      <c r="AJ124" s="791">
        <v>30.240000000000002</v>
      </c>
      <c r="AK124" s="896">
        <f t="shared" si="30"/>
        <v>4</v>
      </c>
      <c r="AL124" s="896"/>
      <c r="AS124" s="898"/>
    </row>
    <row r="125" spans="1:45" s="779" customFormat="1" ht="28.95" customHeight="1">
      <c r="A125" s="885">
        <v>109</v>
      </c>
      <c r="B125" s="886">
        <v>5</v>
      </c>
      <c r="C125" s="887" t="str">
        <f>'Tên thang 01-26'!E112</f>
        <v>ហួន​ ហេត</v>
      </c>
      <c r="D125" s="887" t="str">
        <f>'Tên thang 01-26'!F112</f>
        <v>HOUN HET</v>
      </c>
      <c r="E125" s="888">
        <v>198</v>
      </c>
      <c r="F125" s="889">
        <f>'SAN LUONG'!AP117*0.44</f>
        <v>831.6</v>
      </c>
      <c r="G125" s="889">
        <f t="shared" si="16"/>
        <v>11.84</v>
      </c>
      <c r="H125" s="889">
        <f>'SAN LUONG'!AO117*0.44</f>
        <v>0</v>
      </c>
      <c r="I125" s="889">
        <f t="shared" si="17"/>
        <v>0</v>
      </c>
      <c r="J125" s="889">
        <f>'SAN LUONG'!AV117*0.44</f>
        <v>0</v>
      </c>
      <c r="K125" s="889">
        <f t="shared" si="22"/>
        <v>0</v>
      </c>
      <c r="L125" s="889"/>
      <c r="M125" s="881">
        <f>'CHAM CONG'!BC115</f>
        <v>15</v>
      </c>
      <c r="N125" s="889">
        <f t="shared" si="23"/>
        <v>7.51</v>
      </c>
      <c r="O125" s="889">
        <f t="shared" si="24"/>
        <v>0.47</v>
      </c>
      <c r="P125" s="890">
        <f>'CHAM CONG'!BO115</f>
        <v>29</v>
      </c>
      <c r="Q125" s="942">
        <f t="shared" si="25"/>
        <v>2.72</v>
      </c>
      <c r="R125" s="942">
        <f>'SAN LUONG'!DW117</f>
        <v>24</v>
      </c>
      <c r="S125" s="942">
        <f t="shared" si="18"/>
        <v>0.75</v>
      </c>
      <c r="T125" s="943">
        <f>'CHAM CONG'!BW115</f>
        <v>0</v>
      </c>
      <c r="U125" s="942">
        <f t="shared" si="26"/>
        <v>0</v>
      </c>
      <c r="V125" s="890">
        <f>'CHAM CONG'!BD115</f>
        <v>4</v>
      </c>
      <c r="W125" s="944">
        <f t="shared" si="19"/>
        <v>2.13</v>
      </c>
      <c r="X125" s="891">
        <f>'CHAM CONG'!BT115</f>
        <v>1</v>
      </c>
      <c r="Y125" s="881">
        <f t="shared" si="27"/>
        <v>1.1000000000000001</v>
      </c>
      <c r="Z125" s="892">
        <v>6.03</v>
      </c>
      <c r="AA125" s="942">
        <f t="shared" si="20"/>
        <v>1.71</v>
      </c>
      <c r="AB125" s="892">
        <v>6.03</v>
      </c>
      <c r="AC125" s="942">
        <f t="shared" si="28"/>
        <v>7.24</v>
      </c>
      <c r="AD125" s="892">
        <v>6.03</v>
      </c>
      <c r="AE125" s="942">
        <f t="shared" si="29"/>
        <v>4.3</v>
      </c>
      <c r="AF125" s="943" t="e">
        <f>#N/A</f>
        <v>#N/A</v>
      </c>
      <c r="AG125" s="893">
        <f t="shared" si="21"/>
        <v>39.769999999999996</v>
      </c>
      <c r="AH125" s="894"/>
      <c r="AI125" s="895">
        <v>33.369999999999997</v>
      </c>
      <c r="AJ125" s="791">
        <v>30.11</v>
      </c>
      <c r="AK125" s="896">
        <f t="shared" si="30"/>
        <v>3</v>
      </c>
      <c r="AL125" s="896"/>
      <c r="AS125" s="898"/>
    </row>
    <row r="126" spans="1:45" s="779" customFormat="1" ht="28.95" customHeight="1">
      <c r="A126" s="885">
        <v>110</v>
      </c>
      <c r="B126" s="886">
        <v>5</v>
      </c>
      <c r="C126" s="887" t="str">
        <f>'Tên thang 01-26'!E113</f>
        <v>សុក ចិន</v>
      </c>
      <c r="D126" s="887" t="str">
        <f>'Tên thang 01-26'!F113</f>
        <v>SOK CHIN</v>
      </c>
      <c r="E126" s="888">
        <v>199</v>
      </c>
      <c r="F126" s="889">
        <f>'SAN LUONG'!AP118*0.44</f>
        <v>740.08</v>
      </c>
      <c r="G126" s="889">
        <f t="shared" si="16"/>
        <v>10.54</v>
      </c>
      <c r="H126" s="889">
        <f>'SAN LUONG'!AO118*0.44</f>
        <v>0</v>
      </c>
      <c r="I126" s="889">
        <f t="shared" si="17"/>
        <v>0</v>
      </c>
      <c r="J126" s="889">
        <f>'SAN LUONG'!AV118*0.44</f>
        <v>0</v>
      </c>
      <c r="K126" s="889">
        <f t="shared" si="22"/>
        <v>0</v>
      </c>
      <c r="L126" s="889"/>
      <c r="M126" s="881">
        <f>'CHAM CONG'!BC116</f>
        <v>16</v>
      </c>
      <c r="N126" s="889">
        <f t="shared" si="23"/>
        <v>8.01</v>
      </c>
      <c r="O126" s="889">
        <f t="shared" si="24"/>
        <v>0.5</v>
      </c>
      <c r="P126" s="890">
        <f>'CHAM CONG'!BO116</f>
        <v>29</v>
      </c>
      <c r="Q126" s="942">
        <f t="shared" si="25"/>
        <v>2.72</v>
      </c>
      <c r="R126" s="942">
        <f>'SAN LUONG'!DW118</f>
        <v>22</v>
      </c>
      <c r="S126" s="942">
        <f t="shared" si="18"/>
        <v>0.69</v>
      </c>
      <c r="T126" s="943">
        <f>'CHAM CONG'!BW116</f>
        <v>0</v>
      </c>
      <c r="U126" s="942">
        <f t="shared" si="26"/>
        <v>0</v>
      </c>
      <c r="V126" s="890">
        <f>'CHAM CONG'!BD116</f>
        <v>4</v>
      </c>
      <c r="W126" s="944">
        <f t="shared" si="19"/>
        <v>2.13</v>
      </c>
      <c r="X126" s="891">
        <f>'CHAM CONG'!BT116</f>
        <v>1</v>
      </c>
      <c r="Y126" s="881">
        <f t="shared" si="27"/>
        <v>1.1000000000000001</v>
      </c>
      <c r="Z126" s="892">
        <v>6.03</v>
      </c>
      <c r="AA126" s="942">
        <f t="shared" si="20"/>
        <v>1.71</v>
      </c>
      <c r="AB126" s="892">
        <v>6.03</v>
      </c>
      <c r="AC126" s="942">
        <f t="shared" si="28"/>
        <v>7.24</v>
      </c>
      <c r="AD126" s="892">
        <v>6.03</v>
      </c>
      <c r="AE126" s="942">
        <f t="shared" si="29"/>
        <v>4.3</v>
      </c>
      <c r="AF126" s="943" t="e">
        <f>#N/A</f>
        <v>#N/A</v>
      </c>
      <c r="AG126" s="893">
        <f t="shared" si="21"/>
        <v>38.94</v>
      </c>
      <c r="AH126" s="894"/>
      <c r="AI126" s="895">
        <v>34.380000000000003</v>
      </c>
      <c r="AJ126" s="791">
        <v>31.11</v>
      </c>
      <c r="AK126" s="896">
        <f t="shared" si="30"/>
        <v>3</v>
      </c>
      <c r="AL126" s="896"/>
      <c r="AS126" s="898"/>
    </row>
    <row r="127" spans="1:45" s="779" customFormat="1" ht="28.95" customHeight="1">
      <c r="A127" s="885">
        <v>111</v>
      </c>
      <c r="B127" s="886">
        <v>5</v>
      </c>
      <c r="C127" s="887" t="str">
        <f>'Tên thang 01-26'!E114</f>
        <v>ផាន់ ភឿន</v>
      </c>
      <c r="D127" s="887" t="str">
        <f>'Tên thang 01-26'!F114</f>
        <v>PHANN PHOEUN</v>
      </c>
      <c r="E127" s="888">
        <v>200</v>
      </c>
      <c r="F127" s="889">
        <f>'SAN LUONG'!AP119*0.44</f>
        <v>823.68</v>
      </c>
      <c r="G127" s="889">
        <f t="shared" si="16"/>
        <v>11.73</v>
      </c>
      <c r="H127" s="889">
        <f>'SAN LUONG'!AO119*0.44</f>
        <v>0</v>
      </c>
      <c r="I127" s="889">
        <f t="shared" si="17"/>
        <v>0</v>
      </c>
      <c r="J127" s="889">
        <f>'SAN LUONG'!AV119*0.44</f>
        <v>0</v>
      </c>
      <c r="K127" s="889">
        <f t="shared" si="22"/>
        <v>0</v>
      </c>
      <c r="L127" s="889"/>
      <c r="M127" s="881">
        <f>'CHAM CONG'!BC117</f>
        <v>16</v>
      </c>
      <c r="N127" s="889">
        <f t="shared" si="23"/>
        <v>8.01</v>
      </c>
      <c r="O127" s="889">
        <f t="shared" si="24"/>
        <v>0.5</v>
      </c>
      <c r="P127" s="890">
        <f>'CHAM CONG'!BO117</f>
        <v>30</v>
      </c>
      <c r="Q127" s="942">
        <f t="shared" si="25"/>
        <v>2.82</v>
      </c>
      <c r="R127" s="942">
        <f>'SAN LUONG'!DW119</f>
        <v>43</v>
      </c>
      <c r="S127" s="942">
        <f t="shared" si="18"/>
        <v>1.35</v>
      </c>
      <c r="T127" s="943">
        <f>'CHAM CONG'!BW117</f>
        <v>0</v>
      </c>
      <c r="U127" s="942">
        <f t="shared" si="26"/>
        <v>0</v>
      </c>
      <c r="V127" s="890">
        <f>'CHAM CONG'!BD117</f>
        <v>4</v>
      </c>
      <c r="W127" s="944">
        <f t="shared" si="19"/>
        <v>2.13</v>
      </c>
      <c r="X127" s="891">
        <f>'CHAM CONG'!BT117</f>
        <v>1</v>
      </c>
      <c r="Y127" s="881">
        <f t="shared" si="27"/>
        <v>1.1000000000000001</v>
      </c>
      <c r="Z127" s="892">
        <v>6.03</v>
      </c>
      <c r="AA127" s="942">
        <f t="shared" si="20"/>
        <v>1.71</v>
      </c>
      <c r="AB127" s="892">
        <v>6.03</v>
      </c>
      <c r="AC127" s="942">
        <f t="shared" si="28"/>
        <v>7.24</v>
      </c>
      <c r="AD127" s="892">
        <v>6.03</v>
      </c>
      <c r="AE127" s="942">
        <f t="shared" si="29"/>
        <v>4.3</v>
      </c>
      <c r="AF127" s="943" t="e">
        <f>#N/A</f>
        <v>#N/A</v>
      </c>
      <c r="AG127" s="893">
        <f t="shared" si="21"/>
        <v>40.89</v>
      </c>
      <c r="AH127" s="894"/>
      <c r="AI127" s="895">
        <v>31.79</v>
      </c>
      <c r="AJ127" s="791">
        <v>27.900000000000002</v>
      </c>
      <c r="AK127" s="896">
        <f t="shared" si="30"/>
        <v>4</v>
      </c>
      <c r="AL127" s="896"/>
      <c r="AS127" s="898"/>
    </row>
    <row r="128" spans="1:45" s="779" customFormat="1" ht="28.95" customHeight="1">
      <c r="A128" s="885">
        <v>112</v>
      </c>
      <c r="B128" s="886">
        <v>5</v>
      </c>
      <c r="C128" s="887" t="str">
        <f>'Tên thang 01-26'!E115</f>
        <v>ផន នាន</v>
      </c>
      <c r="D128" s="887" t="str">
        <f>'Tên thang 01-26'!F115</f>
        <v>PHON NEAN</v>
      </c>
      <c r="E128" s="888">
        <v>201</v>
      </c>
      <c r="F128" s="889">
        <f>'SAN LUONG'!AP120*0.44</f>
        <v>832.04</v>
      </c>
      <c r="G128" s="889">
        <f t="shared" si="16"/>
        <v>11.85</v>
      </c>
      <c r="H128" s="889">
        <f>'SAN LUONG'!AO120*0.44</f>
        <v>0</v>
      </c>
      <c r="I128" s="889">
        <f t="shared" si="17"/>
        <v>0</v>
      </c>
      <c r="J128" s="889">
        <f>'SAN LUONG'!AV120*0.44</f>
        <v>0</v>
      </c>
      <c r="K128" s="889">
        <f t="shared" si="22"/>
        <v>0</v>
      </c>
      <c r="L128" s="889"/>
      <c r="M128" s="881">
        <f>'CHAM CONG'!BC118</f>
        <v>16</v>
      </c>
      <c r="N128" s="889">
        <f t="shared" si="23"/>
        <v>8.01</v>
      </c>
      <c r="O128" s="889">
        <f t="shared" si="24"/>
        <v>0.5</v>
      </c>
      <c r="P128" s="890">
        <f>'CHAM CONG'!BO118</f>
        <v>30</v>
      </c>
      <c r="Q128" s="942">
        <f t="shared" si="25"/>
        <v>2.82</v>
      </c>
      <c r="R128" s="942">
        <f>'SAN LUONG'!DW120</f>
        <v>44</v>
      </c>
      <c r="S128" s="942">
        <f t="shared" si="18"/>
        <v>1.38</v>
      </c>
      <c r="T128" s="943">
        <f>'CHAM CONG'!BW118</f>
        <v>0</v>
      </c>
      <c r="U128" s="942">
        <f t="shared" si="26"/>
        <v>0</v>
      </c>
      <c r="V128" s="890">
        <f>'CHAM CONG'!BD118</f>
        <v>4</v>
      </c>
      <c r="W128" s="944">
        <f t="shared" si="19"/>
        <v>2.13</v>
      </c>
      <c r="X128" s="891">
        <f>'CHAM CONG'!BT118</f>
        <v>1</v>
      </c>
      <c r="Y128" s="881">
        <f t="shared" si="27"/>
        <v>1.1000000000000001</v>
      </c>
      <c r="Z128" s="892">
        <v>6.03</v>
      </c>
      <c r="AA128" s="942">
        <f t="shared" si="20"/>
        <v>1.71</v>
      </c>
      <c r="AB128" s="892">
        <v>6.03</v>
      </c>
      <c r="AC128" s="942">
        <f t="shared" si="28"/>
        <v>7.24</v>
      </c>
      <c r="AD128" s="892">
        <v>6.03</v>
      </c>
      <c r="AE128" s="942">
        <f t="shared" si="29"/>
        <v>4.3</v>
      </c>
      <c r="AF128" s="943" t="e">
        <f>#N/A</f>
        <v>#N/A</v>
      </c>
      <c r="AG128" s="893">
        <f t="shared" si="21"/>
        <v>41.04</v>
      </c>
      <c r="AH128" s="894"/>
      <c r="AI128" s="895">
        <v>31.87</v>
      </c>
      <c r="AJ128" s="791">
        <v>27.990000000000002</v>
      </c>
      <c r="AK128" s="896">
        <f t="shared" si="30"/>
        <v>4</v>
      </c>
      <c r="AL128" s="896"/>
      <c r="AS128" s="898"/>
    </row>
    <row r="129" spans="1:45" s="779" customFormat="1" ht="32.4" customHeight="1">
      <c r="A129" s="885">
        <v>113</v>
      </c>
      <c r="B129" s="886">
        <v>5</v>
      </c>
      <c r="C129" s="887" t="str">
        <f>'Tên thang 01-26'!E116</f>
        <v>ផាន់ សុភា</v>
      </c>
      <c r="D129" s="887" t="str">
        <f>'Tên thang 01-26'!F116</f>
        <v>PHANN SOPHEA</v>
      </c>
      <c r="E129" s="888">
        <v>202</v>
      </c>
      <c r="F129" s="889">
        <f>'SAN LUONG'!AP121*0.44</f>
        <v>1011.12</v>
      </c>
      <c r="G129" s="889">
        <f t="shared" si="16"/>
        <v>14.4</v>
      </c>
      <c r="H129" s="889">
        <f>'SAN LUONG'!AO121*0.44</f>
        <v>0</v>
      </c>
      <c r="I129" s="889">
        <f t="shared" si="17"/>
        <v>0</v>
      </c>
      <c r="J129" s="889">
        <f>'SAN LUONG'!AV121*0.44</f>
        <v>0</v>
      </c>
      <c r="K129" s="889">
        <f t="shared" si="22"/>
        <v>0</v>
      </c>
      <c r="L129" s="889"/>
      <c r="M129" s="881">
        <f>'CHAM CONG'!BC119</f>
        <v>16</v>
      </c>
      <c r="N129" s="889">
        <f t="shared" si="23"/>
        <v>8.01</v>
      </c>
      <c r="O129" s="889">
        <f t="shared" si="24"/>
        <v>0.5</v>
      </c>
      <c r="P129" s="890">
        <f>'CHAM CONG'!BO119</f>
        <v>29</v>
      </c>
      <c r="Q129" s="942">
        <f t="shared" si="25"/>
        <v>2.72</v>
      </c>
      <c r="R129" s="942">
        <f>'SAN LUONG'!DW121</f>
        <v>28</v>
      </c>
      <c r="S129" s="942">
        <f t="shared" si="18"/>
        <v>0.88</v>
      </c>
      <c r="T129" s="943">
        <f>'CHAM CONG'!BW119</f>
        <v>0</v>
      </c>
      <c r="U129" s="942">
        <f t="shared" si="26"/>
        <v>0</v>
      </c>
      <c r="V129" s="890">
        <f>'CHAM CONG'!BD119</f>
        <v>4</v>
      </c>
      <c r="W129" s="944">
        <f t="shared" si="19"/>
        <v>2.13</v>
      </c>
      <c r="X129" s="891">
        <f>'CHAM CONG'!BT119</f>
        <v>1</v>
      </c>
      <c r="Y129" s="881">
        <f t="shared" si="27"/>
        <v>1.1000000000000001</v>
      </c>
      <c r="Z129" s="892">
        <v>6.03</v>
      </c>
      <c r="AA129" s="942">
        <f t="shared" si="20"/>
        <v>1.71</v>
      </c>
      <c r="AB129" s="892">
        <v>6.03</v>
      </c>
      <c r="AC129" s="942">
        <f t="shared" si="28"/>
        <v>7.24</v>
      </c>
      <c r="AD129" s="892">
        <v>6.03</v>
      </c>
      <c r="AE129" s="942">
        <f t="shared" si="29"/>
        <v>4.3</v>
      </c>
      <c r="AF129" s="943" t="e">
        <f>#N/A</f>
        <v>#N/A</v>
      </c>
      <c r="AG129" s="893">
        <f t="shared" si="21"/>
        <v>42.989999999999995</v>
      </c>
      <c r="AH129" s="894"/>
      <c r="AI129" s="895">
        <v>34.340000000000003</v>
      </c>
      <c r="AJ129" s="791">
        <v>30.450000000000003</v>
      </c>
      <c r="AK129" s="896">
        <f t="shared" si="30"/>
        <v>4</v>
      </c>
      <c r="AL129" s="896"/>
      <c r="AS129" s="898"/>
    </row>
    <row r="130" spans="1:45" s="779" customFormat="1" ht="32.4" customHeight="1">
      <c r="A130" s="885">
        <v>114</v>
      </c>
      <c r="B130" s="886">
        <v>5</v>
      </c>
      <c r="C130" s="887" t="str">
        <f>'Tên thang 01-26'!E117</f>
        <v>សៀន អេម</v>
      </c>
      <c r="D130" s="887" t="str">
        <f>'Tên thang 01-26'!F117</f>
        <v>SEAN EM</v>
      </c>
      <c r="E130" s="888">
        <v>203</v>
      </c>
      <c r="F130" s="889">
        <f>'SAN LUONG'!AP122*0.44</f>
        <v>1026.08</v>
      </c>
      <c r="G130" s="889">
        <f t="shared" si="16"/>
        <v>14.61</v>
      </c>
      <c r="H130" s="889">
        <f>'SAN LUONG'!AO122*0.44</f>
        <v>0</v>
      </c>
      <c r="I130" s="889">
        <f t="shared" si="17"/>
        <v>0</v>
      </c>
      <c r="J130" s="889">
        <f>'SAN LUONG'!AV122*0.44</f>
        <v>0</v>
      </c>
      <c r="K130" s="889">
        <f t="shared" si="22"/>
        <v>0</v>
      </c>
      <c r="L130" s="889"/>
      <c r="M130" s="881">
        <f>'CHAM CONG'!BC120</f>
        <v>16</v>
      </c>
      <c r="N130" s="889">
        <f t="shared" si="23"/>
        <v>8.01</v>
      </c>
      <c r="O130" s="889">
        <f t="shared" si="24"/>
        <v>0.5</v>
      </c>
      <c r="P130" s="890">
        <f>'CHAM CONG'!BO120</f>
        <v>29</v>
      </c>
      <c r="Q130" s="942">
        <f t="shared" si="25"/>
        <v>2.72</v>
      </c>
      <c r="R130" s="942">
        <f>'SAN LUONG'!DW122</f>
        <v>26</v>
      </c>
      <c r="S130" s="942">
        <f t="shared" si="18"/>
        <v>0.81</v>
      </c>
      <c r="T130" s="943">
        <f>'CHAM CONG'!BW120</f>
        <v>0</v>
      </c>
      <c r="U130" s="942">
        <f t="shared" si="26"/>
        <v>0</v>
      </c>
      <c r="V130" s="890">
        <f>'CHAM CONG'!BD120</f>
        <v>4</v>
      </c>
      <c r="W130" s="944">
        <f t="shared" si="19"/>
        <v>2.13</v>
      </c>
      <c r="X130" s="891">
        <f>'CHAM CONG'!BT120</f>
        <v>1</v>
      </c>
      <c r="Y130" s="881">
        <f t="shared" si="27"/>
        <v>1.1000000000000001</v>
      </c>
      <c r="Z130" s="892">
        <v>6.03</v>
      </c>
      <c r="AA130" s="942">
        <f t="shared" si="20"/>
        <v>1.71</v>
      </c>
      <c r="AB130" s="892">
        <v>6.03</v>
      </c>
      <c r="AC130" s="942">
        <f t="shared" si="28"/>
        <v>7.24</v>
      </c>
      <c r="AD130" s="892">
        <v>6.03</v>
      </c>
      <c r="AE130" s="942">
        <f t="shared" si="29"/>
        <v>4.3</v>
      </c>
      <c r="AF130" s="943" t="e">
        <f>#N/A</f>
        <v>#N/A</v>
      </c>
      <c r="AG130" s="893">
        <f t="shared" si="21"/>
        <v>43.129999999999995</v>
      </c>
      <c r="AH130" s="894"/>
      <c r="AI130" s="895">
        <v>34.520000000000003</v>
      </c>
      <c r="AJ130" s="791">
        <v>30.63</v>
      </c>
      <c r="AK130" s="896">
        <f t="shared" si="30"/>
        <v>4</v>
      </c>
      <c r="AL130" s="896"/>
      <c r="AS130" s="898"/>
    </row>
    <row r="131" spans="1:45" s="779" customFormat="1" ht="32.4" customHeight="1">
      <c r="A131" s="885">
        <v>115</v>
      </c>
      <c r="B131" s="886">
        <v>5</v>
      </c>
      <c r="C131" s="887" t="str">
        <f>'Tên thang 01-26'!E118</f>
        <v>គឿន គា</v>
      </c>
      <c r="D131" s="887" t="str">
        <f>'Tên thang 01-26'!F118</f>
        <v>KOEURN KEA</v>
      </c>
      <c r="E131" s="888">
        <v>204</v>
      </c>
      <c r="F131" s="889">
        <f>'SAN LUONG'!AP123*0.44</f>
        <v>967.12</v>
      </c>
      <c r="G131" s="889">
        <f t="shared" si="16"/>
        <v>13.77</v>
      </c>
      <c r="H131" s="889">
        <f>'SAN LUONG'!AO123*0.44</f>
        <v>0</v>
      </c>
      <c r="I131" s="889">
        <f t="shared" si="17"/>
        <v>0</v>
      </c>
      <c r="J131" s="889">
        <f>'SAN LUONG'!AV123*0.44</f>
        <v>0</v>
      </c>
      <c r="K131" s="889">
        <f t="shared" si="22"/>
        <v>0</v>
      </c>
      <c r="L131" s="889"/>
      <c r="M131" s="881">
        <f>'CHAM CONG'!BC121</f>
        <v>15</v>
      </c>
      <c r="N131" s="889">
        <f t="shared" si="23"/>
        <v>7.51</v>
      </c>
      <c r="O131" s="889">
        <f t="shared" si="24"/>
        <v>0.47</v>
      </c>
      <c r="P131" s="890">
        <f>'CHAM CONG'!BO121</f>
        <v>29</v>
      </c>
      <c r="Q131" s="942">
        <f t="shared" si="25"/>
        <v>2.72</v>
      </c>
      <c r="R131" s="942">
        <f>'SAN LUONG'!DW123</f>
        <v>28</v>
      </c>
      <c r="S131" s="942">
        <f t="shared" si="18"/>
        <v>0.88</v>
      </c>
      <c r="T131" s="943">
        <f>'CHAM CONG'!BW121</f>
        <v>0</v>
      </c>
      <c r="U131" s="942">
        <f t="shared" si="26"/>
        <v>0</v>
      </c>
      <c r="V131" s="890">
        <f>'CHAM CONG'!BD121</f>
        <v>4</v>
      </c>
      <c r="W131" s="944">
        <f t="shared" si="19"/>
        <v>2.13</v>
      </c>
      <c r="X131" s="891">
        <f>'CHAM CONG'!BT121</f>
        <v>1</v>
      </c>
      <c r="Y131" s="881">
        <f t="shared" si="27"/>
        <v>1.1000000000000001</v>
      </c>
      <c r="Z131" s="892">
        <v>6.03</v>
      </c>
      <c r="AA131" s="942">
        <f t="shared" si="20"/>
        <v>1.71</v>
      </c>
      <c r="AB131" s="892">
        <v>6.03</v>
      </c>
      <c r="AC131" s="942">
        <f t="shared" si="28"/>
        <v>7.24</v>
      </c>
      <c r="AD131" s="892">
        <v>6.03</v>
      </c>
      <c r="AE131" s="942">
        <f t="shared" si="29"/>
        <v>4.3</v>
      </c>
      <c r="AF131" s="943" t="e">
        <f>#N/A</f>
        <v>#N/A</v>
      </c>
      <c r="AG131" s="893">
        <f t="shared" si="21"/>
        <v>41.83</v>
      </c>
      <c r="AH131" s="894"/>
      <c r="AI131" s="895">
        <v>29.61</v>
      </c>
      <c r="AJ131" s="791">
        <v>25.73</v>
      </c>
      <c r="AK131" s="896">
        <f t="shared" si="30"/>
        <v>4</v>
      </c>
      <c r="AL131" s="896"/>
      <c r="AS131" s="898"/>
    </row>
    <row r="132" spans="1:45" s="779" customFormat="1" ht="31.2" customHeight="1">
      <c r="A132" s="885">
        <v>116</v>
      </c>
      <c r="B132" s="886">
        <v>5</v>
      </c>
      <c r="C132" s="887" t="str">
        <f>'Tên thang 01-26'!E119</f>
        <v>ផុន អឿន</v>
      </c>
      <c r="D132" s="887" t="str">
        <f>'Tên thang 01-26'!F119</f>
        <v>PON OEUN</v>
      </c>
      <c r="E132" s="888">
        <v>205</v>
      </c>
      <c r="F132" s="889">
        <f>'SAN LUONG'!AP124*0.44</f>
        <v>690.36</v>
      </c>
      <c r="G132" s="889">
        <f t="shared" si="16"/>
        <v>9.83</v>
      </c>
      <c r="H132" s="889">
        <f>'SAN LUONG'!AO124*0.44</f>
        <v>0</v>
      </c>
      <c r="I132" s="889">
        <f t="shared" si="17"/>
        <v>0</v>
      </c>
      <c r="J132" s="889">
        <f>'SAN LUONG'!AV124*0.44</f>
        <v>0</v>
      </c>
      <c r="K132" s="889">
        <f t="shared" si="22"/>
        <v>0</v>
      </c>
      <c r="L132" s="889"/>
      <c r="M132" s="881">
        <f>'CHAM CONG'!BC122</f>
        <v>16</v>
      </c>
      <c r="N132" s="889">
        <f t="shared" si="23"/>
        <v>8.01</v>
      </c>
      <c r="O132" s="889">
        <f t="shared" si="24"/>
        <v>0.5</v>
      </c>
      <c r="P132" s="890">
        <f>'CHAM CONG'!BO122</f>
        <v>30</v>
      </c>
      <c r="Q132" s="942">
        <f t="shared" si="25"/>
        <v>2.82</v>
      </c>
      <c r="R132" s="942">
        <f>'SAN LUONG'!DW124</f>
        <v>0</v>
      </c>
      <c r="S132" s="942">
        <f t="shared" si="18"/>
        <v>0</v>
      </c>
      <c r="T132" s="943">
        <f>'CHAM CONG'!BW122</f>
        <v>0</v>
      </c>
      <c r="U132" s="942">
        <f t="shared" si="26"/>
        <v>0</v>
      </c>
      <c r="V132" s="890">
        <f>'CHAM CONG'!BD122</f>
        <v>4</v>
      </c>
      <c r="W132" s="944">
        <f t="shared" si="19"/>
        <v>2.13</v>
      </c>
      <c r="X132" s="891">
        <f>'CHAM CONG'!BT122</f>
        <v>1</v>
      </c>
      <c r="Y132" s="881">
        <f t="shared" si="27"/>
        <v>1.1000000000000001</v>
      </c>
      <c r="Z132" s="892">
        <v>6.03</v>
      </c>
      <c r="AA132" s="942">
        <f t="shared" si="20"/>
        <v>1.71</v>
      </c>
      <c r="AB132" s="892">
        <v>6.03</v>
      </c>
      <c r="AC132" s="942">
        <f t="shared" si="28"/>
        <v>7.24</v>
      </c>
      <c r="AD132" s="892">
        <v>6.03</v>
      </c>
      <c r="AE132" s="942">
        <f t="shared" si="29"/>
        <v>4.3</v>
      </c>
      <c r="AF132" s="943" t="e">
        <f>#N/A</f>
        <v>#N/A</v>
      </c>
      <c r="AG132" s="893">
        <f t="shared" si="21"/>
        <v>37.64</v>
      </c>
      <c r="AH132" s="894"/>
      <c r="AI132" s="895">
        <v>29.35</v>
      </c>
      <c r="AJ132" s="791">
        <v>25.459999999999997</v>
      </c>
      <c r="AK132" s="896">
        <f t="shared" si="30"/>
        <v>4</v>
      </c>
      <c r="AL132" s="896"/>
      <c r="AS132" s="898"/>
    </row>
    <row r="133" spans="1:45" s="779" customFormat="1" ht="31.2" customHeight="1">
      <c r="A133" s="885">
        <v>117</v>
      </c>
      <c r="B133" s="886">
        <v>5</v>
      </c>
      <c r="C133" s="887" t="str">
        <f>'Tên thang 01-26'!E120</f>
        <v>ខា​ សុឃីម</v>
      </c>
      <c r="D133" s="887" t="str">
        <f>'Tên thang 01-26'!F120</f>
        <v>KHA SOKHIM</v>
      </c>
      <c r="E133" s="888">
        <v>206</v>
      </c>
      <c r="F133" s="889">
        <f>'SAN LUONG'!AP125*0.44</f>
        <v>872.52</v>
      </c>
      <c r="G133" s="889">
        <f t="shared" si="16"/>
        <v>12.43</v>
      </c>
      <c r="H133" s="889">
        <f>'SAN LUONG'!AO125*0.44</f>
        <v>0</v>
      </c>
      <c r="I133" s="889">
        <f t="shared" si="17"/>
        <v>0</v>
      </c>
      <c r="J133" s="889">
        <f>'SAN LUONG'!AV125*0.44</f>
        <v>0</v>
      </c>
      <c r="K133" s="889">
        <f t="shared" si="22"/>
        <v>0</v>
      </c>
      <c r="L133" s="889"/>
      <c r="M133" s="881">
        <f>'CHAM CONG'!BC123</f>
        <v>15</v>
      </c>
      <c r="N133" s="889">
        <f t="shared" si="23"/>
        <v>7.51</v>
      </c>
      <c r="O133" s="889">
        <f t="shared" si="24"/>
        <v>0.47</v>
      </c>
      <c r="P133" s="890">
        <f>'CHAM CONG'!BO123</f>
        <v>29</v>
      </c>
      <c r="Q133" s="942">
        <f t="shared" si="25"/>
        <v>2.72</v>
      </c>
      <c r="R133" s="942">
        <f>'SAN LUONG'!DW125</f>
        <v>20</v>
      </c>
      <c r="S133" s="942">
        <f t="shared" si="18"/>
        <v>0.63</v>
      </c>
      <c r="T133" s="943">
        <f>'CHAM CONG'!BW123</f>
        <v>0</v>
      </c>
      <c r="U133" s="942">
        <f t="shared" si="26"/>
        <v>0</v>
      </c>
      <c r="V133" s="890">
        <f>'CHAM CONG'!BD123</f>
        <v>3</v>
      </c>
      <c r="W133" s="944">
        <f t="shared" si="19"/>
        <v>1.6</v>
      </c>
      <c r="X133" s="891">
        <f>'CHAM CONG'!BT123</f>
        <v>1</v>
      </c>
      <c r="Y133" s="881">
        <f t="shared" si="27"/>
        <v>1.1000000000000001</v>
      </c>
      <c r="Z133" s="892">
        <v>6.03</v>
      </c>
      <c r="AA133" s="942">
        <f t="shared" si="20"/>
        <v>1.71</v>
      </c>
      <c r="AB133" s="892">
        <v>6.03</v>
      </c>
      <c r="AC133" s="942">
        <f t="shared" si="28"/>
        <v>7.24</v>
      </c>
      <c r="AD133" s="892">
        <v>6.03</v>
      </c>
      <c r="AE133" s="942">
        <f t="shared" si="29"/>
        <v>4.3</v>
      </c>
      <c r="AF133" s="943" t="e">
        <f>#N/A</f>
        <v>#N/A</v>
      </c>
      <c r="AG133" s="893">
        <f t="shared" si="21"/>
        <v>39.709999999999994</v>
      </c>
      <c r="AH133" s="894"/>
      <c r="AI133" s="895">
        <v>30.91</v>
      </c>
      <c r="AJ133" s="791">
        <v>26.410000000000004</v>
      </c>
      <c r="AK133" s="896">
        <f t="shared" si="30"/>
        <v>5</v>
      </c>
      <c r="AL133" s="896"/>
      <c r="AS133" s="898"/>
    </row>
    <row r="134" spans="1:45" s="779" customFormat="1" ht="31.2" customHeight="1">
      <c r="A134" s="885">
        <v>118</v>
      </c>
      <c r="B134" s="886">
        <v>5</v>
      </c>
      <c r="C134" s="887" t="str">
        <f>'Tên thang 01-26'!E121</f>
        <v>ភា សុផាត</v>
      </c>
      <c r="D134" s="887" t="str">
        <f>'Tên thang 01-26'!F121</f>
        <v>PHEA SOPHAT</v>
      </c>
      <c r="E134" s="888">
        <v>207</v>
      </c>
      <c r="F134" s="889">
        <f>'SAN LUONG'!AP126*0.44</f>
        <v>954.8</v>
      </c>
      <c r="G134" s="889">
        <f t="shared" si="16"/>
        <v>13.6</v>
      </c>
      <c r="H134" s="889">
        <f>'SAN LUONG'!AO126*0.44</f>
        <v>0</v>
      </c>
      <c r="I134" s="889">
        <f t="shared" si="17"/>
        <v>0</v>
      </c>
      <c r="J134" s="889">
        <f>'SAN LUONG'!AV126*0.44</f>
        <v>0</v>
      </c>
      <c r="K134" s="889">
        <f t="shared" si="22"/>
        <v>0</v>
      </c>
      <c r="L134" s="889"/>
      <c r="M134" s="881">
        <f>'CHAM CONG'!BC124</f>
        <v>15</v>
      </c>
      <c r="N134" s="889">
        <f t="shared" si="23"/>
        <v>7.51</v>
      </c>
      <c r="O134" s="889">
        <f t="shared" si="24"/>
        <v>0.47</v>
      </c>
      <c r="P134" s="890">
        <f>'CHAM CONG'!BO124</f>
        <v>27</v>
      </c>
      <c r="Q134" s="942">
        <f t="shared" si="25"/>
        <v>2.54</v>
      </c>
      <c r="R134" s="942">
        <f>'SAN LUONG'!DW126</f>
        <v>13</v>
      </c>
      <c r="S134" s="942">
        <f t="shared" si="18"/>
        <v>0.41</v>
      </c>
      <c r="T134" s="943">
        <f>'CHAM CONG'!BW124</f>
        <v>0</v>
      </c>
      <c r="U134" s="942">
        <f t="shared" si="26"/>
        <v>0</v>
      </c>
      <c r="V134" s="890">
        <f>'CHAM CONG'!BD124</f>
        <v>3</v>
      </c>
      <c r="W134" s="944">
        <f t="shared" si="19"/>
        <v>1.6</v>
      </c>
      <c r="X134" s="891">
        <f>'CHAM CONG'!BT124</f>
        <v>1</v>
      </c>
      <c r="Y134" s="881">
        <f t="shared" si="27"/>
        <v>1.1000000000000001</v>
      </c>
      <c r="Z134" s="892">
        <v>6.03</v>
      </c>
      <c r="AA134" s="942">
        <f t="shared" si="20"/>
        <v>1.71</v>
      </c>
      <c r="AB134" s="892">
        <v>6.03</v>
      </c>
      <c r="AC134" s="942">
        <f t="shared" si="28"/>
        <v>7.24</v>
      </c>
      <c r="AD134" s="892">
        <v>6.03</v>
      </c>
      <c r="AE134" s="942">
        <f t="shared" si="29"/>
        <v>4.3</v>
      </c>
      <c r="AF134" s="943" t="e">
        <f>#N/A</f>
        <v>#N/A</v>
      </c>
      <c r="AG134" s="893">
        <f t="shared" si="21"/>
        <v>40.479999999999997</v>
      </c>
      <c r="AH134" s="894"/>
      <c r="AI134" s="895">
        <v>33.44</v>
      </c>
      <c r="AJ134" s="791">
        <v>29.560000000000002</v>
      </c>
      <c r="AK134" s="896">
        <f t="shared" si="30"/>
        <v>4</v>
      </c>
      <c r="AL134" s="896"/>
      <c r="AS134" s="898"/>
    </row>
    <row r="135" spans="1:45" s="779" customFormat="1" ht="31.2" customHeight="1">
      <c r="A135" s="885">
        <v>119</v>
      </c>
      <c r="B135" s="886">
        <v>5</v>
      </c>
      <c r="C135" s="887" t="str">
        <f>'Tên thang 01-26'!E122</f>
        <v>វឿត សុខនីន</v>
      </c>
      <c r="D135" s="887" t="str">
        <f>'Tên thang 01-26'!F122</f>
        <v>VOEUT SOKNIN</v>
      </c>
      <c r="E135" s="888">
        <v>208</v>
      </c>
      <c r="F135" s="889">
        <f>'SAN LUONG'!AP127*0.44</f>
        <v>890.12</v>
      </c>
      <c r="G135" s="889">
        <f t="shared" si="16"/>
        <v>12.68</v>
      </c>
      <c r="H135" s="889">
        <f>'SAN LUONG'!AO127*0.44</f>
        <v>0</v>
      </c>
      <c r="I135" s="889">
        <f t="shared" si="17"/>
        <v>0</v>
      </c>
      <c r="J135" s="889">
        <f>'SAN LUONG'!AV127*0.44</f>
        <v>0</v>
      </c>
      <c r="K135" s="889">
        <f t="shared" si="22"/>
        <v>0</v>
      </c>
      <c r="L135" s="889"/>
      <c r="M135" s="881">
        <f>'CHAM CONG'!BC125</f>
        <v>15</v>
      </c>
      <c r="N135" s="889">
        <f t="shared" si="23"/>
        <v>7.51</v>
      </c>
      <c r="O135" s="889">
        <f t="shared" si="24"/>
        <v>0.47</v>
      </c>
      <c r="P135" s="890">
        <f>'CHAM CONG'!BO125</f>
        <v>28</v>
      </c>
      <c r="Q135" s="942">
        <f t="shared" si="25"/>
        <v>2.63</v>
      </c>
      <c r="R135" s="942">
        <f>'SAN LUONG'!DW127</f>
        <v>13</v>
      </c>
      <c r="S135" s="942">
        <f t="shared" si="18"/>
        <v>0.41</v>
      </c>
      <c r="T135" s="943">
        <f>'CHAM CONG'!BW125</f>
        <v>0</v>
      </c>
      <c r="U135" s="942">
        <f t="shared" si="26"/>
        <v>0</v>
      </c>
      <c r="V135" s="890">
        <f>'CHAM CONG'!BD125</f>
        <v>4</v>
      </c>
      <c r="W135" s="944">
        <f t="shared" si="19"/>
        <v>2.13</v>
      </c>
      <c r="X135" s="891">
        <f>'CHAM CONG'!BT125</f>
        <v>1</v>
      </c>
      <c r="Y135" s="881">
        <f t="shared" si="27"/>
        <v>1.1000000000000001</v>
      </c>
      <c r="Z135" s="892">
        <v>6.03</v>
      </c>
      <c r="AA135" s="942">
        <f t="shared" si="20"/>
        <v>1.71</v>
      </c>
      <c r="AB135" s="892">
        <v>6.03</v>
      </c>
      <c r="AC135" s="942">
        <f t="shared" si="28"/>
        <v>7.24</v>
      </c>
      <c r="AD135" s="892">
        <v>6.03</v>
      </c>
      <c r="AE135" s="942">
        <f t="shared" si="29"/>
        <v>4.3</v>
      </c>
      <c r="AF135" s="943" t="e">
        <f>#N/A</f>
        <v>#N/A</v>
      </c>
      <c r="AG135" s="893">
        <f t="shared" si="21"/>
        <v>40.179999999999993</v>
      </c>
      <c r="AH135" s="894"/>
      <c r="AI135" s="895">
        <v>32.479999999999997</v>
      </c>
      <c r="AJ135" s="791">
        <v>28.599999999999998</v>
      </c>
      <c r="AK135" s="896">
        <f t="shared" si="30"/>
        <v>4</v>
      </c>
      <c r="AL135" s="896"/>
      <c r="AS135" s="898"/>
    </row>
    <row r="136" spans="1:45" s="779" customFormat="1" ht="31.2" customHeight="1">
      <c r="A136" s="885">
        <v>120</v>
      </c>
      <c r="B136" s="886">
        <v>5</v>
      </c>
      <c r="C136" s="887" t="str">
        <f>'Tên thang 01-26'!E123</f>
        <v>អឿ វឿត</v>
      </c>
      <c r="D136" s="887" t="str">
        <f>'Tên thang 01-26'!F123</f>
        <v>OEUR VOEURTH</v>
      </c>
      <c r="E136" s="888">
        <v>209</v>
      </c>
      <c r="F136" s="889">
        <f>'SAN LUONG'!AP128*0.44</f>
        <v>1028.72</v>
      </c>
      <c r="G136" s="889">
        <f t="shared" si="16"/>
        <v>14.65</v>
      </c>
      <c r="H136" s="889">
        <f>'SAN LUONG'!AO128*0.44</f>
        <v>0</v>
      </c>
      <c r="I136" s="889">
        <f t="shared" si="17"/>
        <v>0</v>
      </c>
      <c r="J136" s="889">
        <f>'SAN LUONG'!AV128*0.44</f>
        <v>0</v>
      </c>
      <c r="K136" s="889">
        <f t="shared" si="22"/>
        <v>0</v>
      </c>
      <c r="L136" s="889"/>
      <c r="M136" s="881">
        <f>'CHAM CONG'!BC126</f>
        <v>14</v>
      </c>
      <c r="N136" s="889">
        <f t="shared" si="23"/>
        <v>7.01</v>
      </c>
      <c r="O136" s="889">
        <f t="shared" si="24"/>
        <v>0.44</v>
      </c>
      <c r="P136" s="890">
        <f>'CHAM CONG'!BO126</f>
        <v>27</v>
      </c>
      <c r="Q136" s="942">
        <f t="shared" si="25"/>
        <v>2.54</v>
      </c>
      <c r="R136" s="942">
        <f>'SAN LUONG'!DW128</f>
        <v>12</v>
      </c>
      <c r="S136" s="942">
        <f t="shared" si="18"/>
        <v>0.38</v>
      </c>
      <c r="T136" s="943">
        <f>'CHAM CONG'!BW126</f>
        <v>0</v>
      </c>
      <c r="U136" s="942">
        <f t="shared" si="26"/>
        <v>0</v>
      </c>
      <c r="V136" s="890">
        <f>'CHAM CONG'!BD126</f>
        <v>4</v>
      </c>
      <c r="W136" s="944">
        <f t="shared" si="19"/>
        <v>2.13</v>
      </c>
      <c r="X136" s="891">
        <f>'CHAM CONG'!BT126</f>
        <v>1</v>
      </c>
      <c r="Y136" s="881">
        <f t="shared" si="27"/>
        <v>1.1000000000000001</v>
      </c>
      <c r="Z136" s="892">
        <v>6.03</v>
      </c>
      <c r="AA136" s="942">
        <f t="shared" si="20"/>
        <v>1.71</v>
      </c>
      <c r="AB136" s="892">
        <v>6.03</v>
      </c>
      <c r="AC136" s="942">
        <f t="shared" si="28"/>
        <v>7.24</v>
      </c>
      <c r="AD136" s="892">
        <v>6.03</v>
      </c>
      <c r="AE136" s="942">
        <f t="shared" si="29"/>
        <v>4.3</v>
      </c>
      <c r="AF136" s="943" t="e">
        <f>#N/A</f>
        <v>#N/A</v>
      </c>
      <c r="AG136" s="893">
        <f t="shared" si="21"/>
        <v>41.499999999999993</v>
      </c>
      <c r="AH136" s="894"/>
      <c r="AI136" s="895">
        <v>34.24</v>
      </c>
      <c r="AJ136" s="791">
        <v>29.74</v>
      </c>
      <c r="AK136" s="896">
        <f t="shared" si="30"/>
        <v>5</v>
      </c>
      <c r="AL136" s="896"/>
      <c r="AS136" s="898"/>
    </row>
    <row r="137" spans="1:45" s="779" customFormat="1" ht="31.2" customHeight="1">
      <c r="A137" s="885">
        <v>121</v>
      </c>
      <c r="B137" s="886">
        <v>5</v>
      </c>
      <c r="C137" s="887" t="str">
        <f>'Tên thang 01-26'!E124</f>
        <v>លាង លីម</v>
      </c>
      <c r="D137" s="887" t="str">
        <f>'Tên thang 01-26'!F124</f>
        <v>LEANG LIM</v>
      </c>
      <c r="E137" s="888">
        <v>210</v>
      </c>
      <c r="F137" s="889">
        <f>'SAN LUONG'!AP129*0.44</f>
        <v>812.68</v>
      </c>
      <c r="G137" s="889">
        <f t="shared" si="16"/>
        <v>11.57</v>
      </c>
      <c r="H137" s="889">
        <f>'SAN LUONG'!AO129*0.44</f>
        <v>0</v>
      </c>
      <c r="I137" s="889">
        <f t="shared" si="17"/>
        <v>0</v>
      </c>
      <c r="J137" s="889">
        <f>'SAN LUONG'!AV129*0.44</f>
        <v>0</v>
      </c>
      <c r="K137" s="889">
        <f t="shared" si="22"/>
        <v>0</v>
      </c>
      <c r="L137" s="889"/>
      <c r="M137" s="881">
        <f>'CHAM CONG'!BC127</f>
        <v>14</v>
      </c>
      <c r="N137" s="889">
        <f t="shared" si="23"/>
        <v>7.01</v>
      </c>
      <c r="O137" s="889">
        <f t="shared" si="24"/>
        <v>0.44</v>
      </c>
      <c r="P137" s="890">
        <f>'CHAM CONG'!BO127</f>
        <v>29</v>
      </c>
      <c r="Q137" s="942">
        <f t="shared" si="25"/>
        <v>2.72</v>
      </c>
      <c r="R137" s="942">
        <f>'SAN LUONG'!DW129</f>
        <v>24</v>
      </c>
      <c r="S137" s="942">
        <f t="shared" si="18"/>
        <v>0.75</v>
      </c>
      <c r="T137" s="943">
        <f>'CHAM CONG'!BW127</f>
        <v>0</v>
      </c>
      <c r="U137" s="942">
        <f t="shared" si="26"/>
        <v>0</v>
      </c>
      <c r="V137" s="890">
        <f>'CHAM CONG'!BD127</f>
        <v>4</v>
      </c>
      <c r="W137" s="944">
        <f t="shared" si="19"/>
        <v>2.13</v>
      </c>
      <c r="X137" s="891">
        <f>'CHAM CONG'!BT127</f>
        <v>1</v>
      </c>
      <c r="Y137" s="881">
        <f t="shared" si="27"/>
        <v>1.1000000000000001</v>
      </c>
      <c r="Z137" s="892">
        <v>6.03</v>
      </c>
      <c r="AA137" s="942">
        <f t="shared" si="20"/>
        <v>1.71</v>
      </c>
      <c r="AB137" s="892">
        <v>6.03</v>
      </c>
      <c r="AC137" s="942">
        <f t="shared" si="28"/>
        <v>7.24</v>
      </c>
      <c r="AD137" s="892">
        <v>6.03</v>
      </c>
      <c r="AE137" s="942">
        <f t="shared" si="29"/>
        <v>4.3</v>
      </c>
      <c r="AF137" s="943" t="e">
        <f>#N/A</f>
        <v>#N/A</v>
      </c>
      <c r="AG137" s="893">
        <f t="shared" si="21"/>
        <v>38.969999999999992</v>
      </c>
      <c r="AH137" s="894"/>
      <c r="AI137" s="895">
        <v>31.74</v>
      </c>
      <c r="AJ137" s="791">
        <v>27.86</v>
      </c>
      <c r="AK137" s="896">
        <f t="shared" si="30"/>
        <v>4</v>
      </c>
      <c r="AL137" s="896"/>
      <c r="AS137" s="898"/>
    </row>
    <row r="138" spans="1:45" s="779" customFormat="1" ht="33.6" customHeight="1">
      <c r="A138" s="885">
        <v>122</v>
      </c>
      <c r="B138" s="886">
        <v>5</v>
      </c>
      <c r="C138" s="887" t="str">
        <f>'Tên thang 01-26'!E125</f>
        <v>ឃឹម ឡន</v>
      </c>
      <c r="D138" s="887" t="str">
        <f>'Tên thang 01-26'!F125</f>
        <v>KHOEM LAN</v>
      </c>
      <c r="E138" s="888">
        <v>211</v>
      </c>
      <c r="F138" s="889">
        <f>'SAN LUONG'!AP130*0.44</f>
        <v>936.32</v>
      </c>
      <c r="G138" s="889">
        <f t="shared" si="16"/>
        <v>13.34</v>
      </c>
      <c r="H138" s="889">
        <f>'SAN LUONG'!AO130*0.44</f>
        <v>0</v>
      </c>
      <c r="I138" s="889">
        <f t="shared" si="17"/>
        <v>0</v>
      </c>
      <c r="J138" s="889">
        <f>'SAN LUONG'!AV130*0.44</f>
        <v>0</v>
      </c>
      <c r="K138" s="889">
        <f t="shared" si="22"/>
        <v>0</v>
      </c>
      <c r="L138" s="889"/>
      <c r="M138" s="881">
        <f>'CHAM CONG'!BC128</f>
        <v>16</v>
      </c>
      <c r="N138" s="889">
        <f t="shared" si="23"/>
        <v>8.01</v>
      </c>
      <c r="O138" s="889">
        <f t="shared" si="24"/>
        <v>0.5</v>
      </c>
      <c r="P138" s="890">
        <f>'CHAM CONG'!BO128</f>
        <v>29</v>
      </c>
      <c r="Q138" s="942">
        <f t="shared" si="25"/>
        <v>2.72</v>
      </c>
      <c r="R138" s="942">
        <f>'SAN LUONG'!DW130</f>
        <v>18</v>
      </c>
      <c r="S138" s="942">
        <f t="shared" si="18"/>
        <v>0.56000000000000005</v>
      </c>
      <c r="T138" s="943">
        <f>'CHAM CONG'!BW128</f>
        <v>0</v>
      </c>
      <c r="U138" s="942">
        <f t="shared" si="26"/>
        <v>0</v>
      </c>
      <c r="V138" s="890">
        <f>'CHAM CONG'!BD128</f>
        <v>4</v>
      </c>
      <c r="W138" s="944">
        <f t="shared" si="19"/>
        <v>2.13</v>
      </c>
      <c r="X138" s="891">
        <f>'CHAM CONG'!BT128</f>
        <v>1</v>
      </c>
      <c r="Y138" s="881">
        <f t="shared" si="27"/>
        <v>1.1000000000000001</v>
      </c>
      <c r="Z138" s="892">
        <v>6.03</v>
      </c>
      <c r="AA138" s="942">
        <f t="shared" si="20"/>
        <v>1.71</v>
      </c>
      <c r="AB138" s="892">
        <v>6.03</v>
      </c>
      <c r="AC138" s="942">
        <f t="shared" si="28"/>
        <v>7.24</v>
      </c>
      <c r="AD138" s="892">
        <v>6.03</v>
      </c>
      <c r="AE138" s="942">
        <f t="shared" si="29"/>
        <v>4.3</v>
      </c>
      <c r="AF138" s="943" t="e">
        <f>#N/A</f>
        <v>#N/A</v>
      </c>
      <c r="AG138" s="893">
        <f t="shared" si="21"/>
        <v>41.61</v>
      </c>
      <c r="AH138" s="894"/>
      <c r="AI138" s="895">
        <v>34.94</v>
      </c>
      <c r="AJ138" s="791">
        <v>31.05</v>
      </c>
      <c r="AK138" s="896">
        <f t="shared" si="30"/>
        <v>4</v>
      </c>
      <c r="AL138" s="896"/>
      <c r="AS138" s="898"/>
    </row>
    <row r="139" spans="1:45" s="779" customFormat="1" ht="33" customHeight="1">
      <c r="A139" s="885">
        <v>123</v>
      </c>
      <c r="B139" s="886">
        <v>5</v>
      </c>
      <c r="C139" s="887" t="str">
        <f>'Tên thang 01-26'!E126</f>
        <v>ឈឿន សារិន</v>
      </c>
      <c r="D139" s="887" t="str">
        <f>'Tên thang 01-26'!F126</f>
        <v>CHHOEUN SARIN</v>
      </c>
      <c r="E139" s="888">
        <v>212</v>
      </c>
      <c r="F139" s="889">
        <f>'SAN LUONG'!AP131*0.44</f>
        <v>928.4</v>
      </c>
      <c r="G139" s="889">
        <f t="shared" si="16"/>
        <v>13.22</v>
      </c>
      <c r="H139" s="889">
        <f>'SAN LUONG'!AO131*0.44</f>
        <v>0</v>
      </c>
      <c r="I139" s="889">
        <f t="shared" si="17"/>
        <v>0</v>
      </c>
      <c r="J139" s="889">
        <f>'SAN LUONG'!AV131*0.44</f>
        <v>0</v>
      </c>
      <c r="K139" s="889">
        <f t="shared" si="22"/>
        <v>0</v>
      </c>
      <c r="L139" s="889"/>
      <c r="M139" s="881">
        <f>'CHAM CONG'!BC129</f>
        <v>16</v>
      </c>
      <c r="N139" s="889">
        <f t="shared" si="23"/>
        <v>8.01</v>
      </c>
      <c r="O139" s="889">
        <f t="shared" si="24"/>
        <v>0.5</v>
      </c>
      <c r="P139" s="890">
        <f>'CHAM CONG'!BO129</f>
        <v>29</v>
      </c>
      <c r="Q139" s="942">
        <f t="shared" si="25"/>
        <v>2.72</v>
      </c>
      <c r="R139" s="942">
        <f>'SAN LUONG'!DW131</f>
        <v>17</v>
      </c>
      <c r="S139" s="942">
        <f t="shared" si="18"/>
        <v>0.53</v>
      </c>
      <c r="T139" s="943">
        <f>'CHAM CONG'!BW129</f>
        <v>0</v>
      </c>
      <c r="U139" s="942">
        <f t="shared" si="26"/>
        <v>0</v>
      </c>
      <c r="V139" s="890">
        <f>'CHAM CONG'!BD129</f>
        <v>4</v>
      </c>
      <c r="W139" s="944">
        <f t="shared" si="19"/>
        <v>2.13</v>
      </c>
      <c r="X139" s="891">
        <f>'CHAM CONG'!BT129</f>
        <v>1</v>
      </c>
      <c r="Y139" s="881">
        <f t="shared" si="27"/>
        <v>1.1000000000000001</v>
      </c>
      <c r="Z139" s="892">
        <v>6.03</v>
      </c>
      <c r="AA139" s="942">
        <f t="shared" si="20"/>
        <v>1.71</v>
      </c>
      <c r="AB139" s="892">
        <v>6.03</v>
      </c>
      <c r="AC139" s="942">
        <f t="shared" si="28"/>
        <v>7.24</v>
      </c>
      <c r="AD139" s="892">
        <v>6.03</v>
      </c>
      <c r="AE139" s="942">
        <f t="shared" si="29"/>
        <v>4.3</v>
      </c>
      <c r="AF139" s="943" t="e">
        <f>#N/A</f>
        <v>#N/A</v>
      </c>
      <c r="AG139" s="893">
        <f t="shared" si="21"/>
        <v>41.46</v>
      </c>
      <c r="AH139" s="894"/>
      <c r="AI139" s="895">
        <v>34.6</v>
      </c>
      <c r="AJ139" s="791">
        <v>30.729999999999997</v>
      </c>
      <c r="AK139" s="896">
        <f t="shared" si="30"/>
        <v>4</v>
      </c>
      <c r="AL139" s="896"/>
      <c r="AS139" s="898"/>
    </row>
    <row r="140" spans="1:45" s="779" customFormat="1" ht="36.6" customHeight="1">
      <c r="A140" s="885">
        <v>124</v>
      </c>
      <c r="B140" s="886">
        <v>5</v>
      </c>
      <c r="C140" s="887" t="str">
        <f>'Tên thang 01-26'!E127</f>
        <v>លាង ឡៃហេង</v>
      </c>
      <c r="D140" s="887" t="str">
        <f>'Tên thang 01-26'!F127</f>
        <v>LEANG LAIHENG</v>
      </c>
      <c r="E140" s="888">
        <v>213</v>
      </c>
      <c r="F140" s="889">
        <f>'SAN LUONG'!AP132*0.44</f>
        <v>863.72</v>
      </c>
      <c r="G140" s="889">
        <f t="shared" si="16"/>
        <v>12.3</v>
      </c>
      <c r="H140" s="889">
        <f>'SAN LUONG'!AO132*0.44</f>
        <v>0</v>
      </c>
      <c r="I140" s="889">
        <f t="shared" si="17"/>
        <v>0</v>
      </c>
      <c r="J140" s="889">
        <f>'SAN LUONG'!AV132*0.44</f>
        <v>0</v>
      </c>
      <c r="K140" s="889">
        <f t="shared" si="22"/>
        <v>0</v>
      </c>
      <c r="L140" s="889"/>
      <c r="M140" s="881">
        <f>'CHAM CONG'!BC130</f>
        <v>13</v>
      </c>
      <c r="N140" s="889">
        <f t="shared" si="23"/>
        <v>6.51</v>
      </c>
      <c r="O140" s="889">
        <f t="shared" si="24"/>
        <v>0.41</v>
      </c>
      <c r="P140" s="890">
        <f>'CHAM CONG'!BO130</f>
        <v>26</v>
      </c>
      <c r="Q140" s="942">
        <f t="shared" si="25"/>
        <v>2.44</v>
      </c>
      <c r="R140" s="942">
        <f>'SAN LUONG'!DW132</f>
        <v>18.3</v>
      </c>
      <c r="S140" s="942">
        <f t="shared" si="18"/>
        <v>0.56999999999999995</v>
      </c>
      <c r="T140" s="943">
        <f>'CHAM CONG'!BW130</f>
        <v>0</v>
      </c>
      <c r="U140" s="942">
        <f t="shared" si="26"/>
        <v>0</v>
      </c>
      <c r="V140" s="890">
        <f>'CHAM CONG'!BD130</f>
        <v>3</v>
      </c>
      <c r="W140" s="944">
        <f t="shared" si="19"/>
        <v>1.6</v>
      </c>
      <c r="X140" s="891">
        <f>'CHAM CONG'!BT130</f>
        <v>1</v>
      </c>
      <c r="Y140" s="881">
        <f t="shared" si="27"/>
        <v>1.1000000000000001</v>
      </c>
      <c r="Z140" s="892">
        <v>6.03</v>
      </c>
      <c r="AA140" s="942">
        <f t="shared" si="20"/>
        <v>1.71</v>
      </c>
      <c r="AB140" s="892">
        <v>6.03</v>
      </c>
      <c r="AC140" s="942">
        <f t="shared" si="28"/>
        <v>7.24</v>
      </c>
      <c r="AD140" s="892">
        <v>6.03</v>
      </c>
      <c r="AE140" s="942">
        <f t="shared" si="29"/>
        <v>4.3</v>
      </c>
      <c r="AF140" s="943" t="e">
        <f>#N/A</f>
        <v>#N/A</v>
      </c>
      <c r="AG140" s="893">
        <f t="shared" si="21"/>
        <v>38.18</v>
      </c>
      <c r="AH140" s="894"/>
      <c r="AI140" s="895">
        <v>32.51</v>
      </c>
      <c r="AJ140" s="791">
        <v>28.630000000000003</v>
      </c>
      <c r="AK140" s="896">
        <f t="shared" si="30"/>
        <v>4</v>
      </c>
      <c r="AL140" s="896"/>
      <c r="AS140" s="898"/>
    </row>
    <row r="141" spans="1:45" s="779" customFormat="1" ht="32.4" customHeight="1">
      <c r="A141" s="885">
        <v>125</v>
      </c>
      <c r="B141" s="886">
        <v>5</v>
      </c>
      <c r="C141" s="887" t="str">
        <f>'Tên thang 01-26'!E128</f>
        <v>ហួយ ភើក</v>
      </c>
      <c r="D141" s="887" t="str">
        <f>'Tên thang 01-26'!F128</f>
        <v>HOURY PHEAK</v>
      </c>
      <c r="E141" s="888">
        <v>214</v>
      </c>
      <c r="F141" s="889">
        <f>'SAN LUONG'!AP133*0.44</f>
        <v>944.24</v>
      </c>
      <c r="G141" s="889">
        <f t="shared" si="16"/>
        <v>13.45</v>
      </c>
      <c r="H141" s="889">
        <f>'SAN LUONG'!AO133*0.44</f>
        <v>0</v>
      </c>
      <c r="I141" s="889">
        <f t="shared" si="17"/>
        <v>0</v>
      </c>
      <c r="J141" s="889">
        <f>'SAN LUONG'!AV133*0.44</f>
        <v>0</v>
      </c>
      <c r="K141" s="889">
        <f t="shared" si="22"/>
        <v>0</v>
      </c>
      <c r="L141" s="889"/>
      <c r="M141" s="881">
        <f>'CHAM CONG'!BC131</f>
        <v>16</v>
      </c>
      <c r="N141" s="889">
        <f t="shared" si="23"/>
        <v>8.01</v>
      </c>
      <c r="O141" s="889">
        <f t="shared" si="24"/>
        <v>0.5</v>
      </c>
      <c r="P141" s="890">
        <f>'CHAM CONG'!BO131</f>
        <v>31</v>
      </c>
      <c r="Q141" s="942">
        <f>ROUND(P141*0.0939,2)-0.21</f>
        <v>2.7</v>
      </c>
      <c r="R141" s="942">
        <f>'SAN LUONG'!DW133</f>
        <v>11.3</v>
      </c>
      <c r="S141" s="942">
        <f t="shared" si="18"/>
        <v>0.35</v>
      </c>
      <c r="T141" s="943">
        <f>'CHAM CONG'!BW131</f>
        <v>0</v>
      </c>
      <c r="U141" s="942">
        <f t="shared" si="26"/>
        <v>0</v>
      </c>
      <c r="V141" s="890">
        <f>'CHAM CONG'!BD131</f>
        <v>4</v>
      </c>
      <c r="W141" s="944">
        <f t="shared" si="19"/>
        <v>2.13</v>
      </c>
      <c r="X141" s="891">
        <f>'CHAM CONG'!BT131</f>
        <v>1</v>
      </c>
      <c r="Y141" s="881">
        <f t="shared" si="27"/>
        <v>1.1000000000000001</v>
      </c>
      <c r="Z141" s="892">
        <v>6.03</v>
      </c>
      <c r="AA141" s="942">
        <f t="shared" si="20"/>
        <v>1.71</v>
      </c>
      <c r="AB141" s="892">
        <v>6.03</v>
      </c>
      <c r="AC141" s="942">
        <f t="shared" si="28"/>
        <v>7.24</v>
      </c>
      <c r="AD141" s="892">
        <v>6.03</v>
      </c>
      <c r="AE141" s="942">
        <f t="shared" si="29"/>
        <v>4.3</v>
      </c>
      <c r="AF141" s="943" t="e">
        <f>#N/A</f>
        <v>#N/A</v>
      </c>
      <c r="AG141" s="893">
        <f t="shared" si="21"/>
        <v>41.49</v>
      </c>
      <c r="AH141" s="894"/>
      <c r="AI141" s="895">
        <v>26.38</v>
      </c>
      <c r="AJ141" s="791">
        <v>22.490000000000002</v>
      </c>
      <c r="AK141" s="896">
        <f t="shared" si="30"/>
        <v>4</v>
      </c>
      <c r="AL141" s="896"/>
      <c r="AS141" s="898"/>
    </row>
    <row r="142" spans="1:45" s="779" customFormat="1" ht="28.95" customHeight="1">
      <c r="A142" s="885">
        <v>126</v>
      </c>
      <c r="B142" s="886">
        <v>7</v>
      </c>
      <c r="C142" s="887" t="str">
        <f>'Tên thang 01-26'!E129</f>
        <v>ធឿន ​ធា</v>
      </c>
      <c r="D142" s="887" t="str">
        <f>'Tên thang 01-26'!F129</f>
        <v>THOEURN THEA</v>
      </c>
      <c r="E142" s="888">
        <v>251</v>
      </c>
      <c r="F142" s="889">
        <f>'SAN LUONG'!AP134*0.44</f>
        <v>0</v>
      </c>
      <c r="G142" s="889">
        <f t="shared" si="16"/>
        <v>0</v>
      </c>
      <c r="H142" s="889">
        <f>'SAN LUONG'!AO134*0.44</f>
        <v>440</v>
      </c>
      <c r="I142" s="889">
        <f t="shared" si="17"/>
        <v>6.96</v>
      </c>
      <c r="J142" s="889">
        <f>'SAN LUONG'!AV134*0.44</f>
        <v>0</v>
      </c>
      <c r="K142" s="889">
        <f t="shared" si="22"/>
        <v>0</v>
      </c>
      <c r="L142" s="889"/>
      <c r="M142" s="881">
        <f>'CHAM CONG'!BC132</f>
        <v>16</v>
      </c>
      <c r="N142" s="889">
        <f t="shared" si="23"/>
        <v>8.01</v>
      </c>
      <c r="O142" s="889">
        <f t="shared" si="24"/>
        <v>0.5</v>
      </c>
      <c r="P142" s="890">
        <f>'CHAM CONG'!BO132</f>
        <v>0</v>
      </c>
      <c r="Q142" s="942">
        <f t="shared" si="25"/>
        <v>0</v>
      </c>
      <c r="R142" s="942">
        <f>'SAN LUONG'!DW134</f>
        <v>16</v>
      </c>
      <c r="S142" s="942">
        <f t="shared" si="18"/>
        <v>0.5</v>
      </c>
      <c r="T142" s="943">
        <f>'CHAM CONG'!BW132</f>
        <v>0</v>
      </c>
      <c r="U142" s="942">
        <f t="shared" si="26"/>
        <v>0</v>
      </c>
      <c r="V142" s="890">
        <f>'CHAM CONG'!BD132</f>
        <v>0</v>
      </c>
      <c r="W142" s="944">
        <f t="shared" si="19"/>
        <v>0</v>
      </c>
      <c r="X142" s="891">
        <f>'CHAM CONG'!BT132</f>
        <v>0</v>
      </c>
      <c r="Y142" s="881">
        <f t="shared" si="27"/>
        <v>0</v>
      </c>
      <c r="Z142" s="892">
        <v>6.03</v>
      </c>
      <c r="AA142" s="942">
        <f t="shared" si="20"/>
        <v>1.71</v>
      </c>
      <c r="AB142" s="892">
        <v>6.03</v>
      </c>
      <c r="AC142" s="942">
        <f t="shared" si="28"/>
        <v>7.24</v>
      </c>
      <c r="AD142" s="892">
        <v>6.03</v>
      </c>
      <c r="AE142" s="942">
        <f t="shared" si="29"/>
        <v>4.3</v>
      </c>
      <c r="AF142" s="943" t="e">
        <f>#N/A</f>
        <v>#N/A</v>
      </c>
      <c r="AG142" s="893">
        <f t="shared" si="21"/>
        <v>29.220000000000002</v>
      </c>
      <c r="AH142" s="894"/>
      <c r="AI142" s="895">
        <v>23.86</v>
      </c>
      <c r="AJ142" s="791">
        <v>21.84</v>
      </c>
      <c r="AK142" s="896">
        <f t="shared" si="30"/>
        <v>2</v>
      </c>
      <c r="AL142" s="896"/>
      <c r="AS142" s="898"/>
    </row>
    <row r="143" spans="1:45" s="779" customFormat="1" ht="28.95" customHeight="1">
      <c r="A143" s="885">
        <v>127</v>
      </c>
      <c r="B143" s="886">
        <v>7</v>
      </c>
      <c r="C143" s="887" t="str">
        <f>'Tên thang 01-26'!E130</f>
        <v>យី ប៉ាង</v>
      </c>
      <c r="D143" s="887" t="str">
        <f>'Tên thang 01-26'!F130</f>
        <v>YI PANG</v>
      </c>
      <c r="E143" s="888">
        <v>252</v>
      </c>
      <c r="F143" s="889">
        <f>'SAN LUONG'!AP135*0.44</f>
        <v>0</v>
      </c>
      <c r="G143" s="889">
        <f t="shared" si="16"/>
        <v>0</v>
      </c>
      <c r="H143" s="889">
        <f>'SAN LUONG'!AO135*0.44</f>
        <v>393.36</v>
      </c>
      <c r="I143" s="889">
        <f t="shared" si="17"/>
        <v>6.22</v>
      </c>
      <c r="J143" s="889">
        <f>'SAN LUONG'!AV135*0.44</f>
        <v>0</v>
      </c>
      <c r="K143" s="889">
        <f t="shared" si="22"/>
        <v>0</v>
      </c>
      <c r="L143" s="889"/>
      <c r="M143" s="881">
        <f>'CHAM CONG'!BC133</f>
        <v>16</v>
      </c>
      <c r="N143" s="889">
        <f t="shared" si="23"/>
        <v>8.01</v>
      </c>
      <c r="O143" s="889">
        <f t="shared" si="24"/>
        <v>0.5</v>
      </c>
      <c r="P143" s="890">
        <f>'CHAM CONG'!BO133</f>
        <v>0</v>
      </c>
      <c r="Q143" s="942">
        <f t="shared" si="25"/>
        <v>0</v>
      </c>
      <c r="R143" s="942">
        <f>'SAN LUONG'!DW135</f>
        <v>16.100000000000001</v>
      </c>
      <c r="S143" s="942">
        <f t="shared" si="18"/>
        <v>0.5</v>
      </c>
      <c r="T143" s="943">
        <f>'CHAM CONG'!BW133</f>
        <v>0</v>
      </c>
      <c r="U143" s="942">
        <f t="shared" si="26"/>
        <v>0</v>
      </c>
      <c r="V143" s="890">
        <f>'CHAM CONG'!BD133</f>
        <v>0</v>
      </c>
      <c r="W143" s="944">
        <f t="shared" si="19"/>
        <v>0</v>
      </c>
      <c r="X143" s="891">
        <f>'CHAM CONG'!BT133</f>
        <v>0</v>
      </c>
      <c r="Y143" s="881">
        <f t="shared" si="27"/>
        <v>0</v>
      </c>
      <c r="Z143" s="892">
        <v>6.03</v>
      </c>
      <c r="AA143" s="942">
        <f t="shared" si="20"/>
        <v>1.71</v>
      </c>
      <c r="AB143" s="892">
        <v>6.03</v>
      </c>
      <c r="AC143" s="942">
        <f t="shared" si="28"/>
        <v>7.24</v>
      </c>
      <c r="AD143" s="892">
        <v>6.03</v>
      </c>
      <c r="AE143" s="942">
        <f t="shared" si="29"/>
        <v>4.3</v>
      </c>
      <c r="AF143" s="943" t="e">
        <f>#N/A</f>
        <v>#N/A</v>
      </c>
      <c r="AG143" s="893">
        <f t="shared" si="21"/>
        <v>28.48</v>
      </c>
      <c r="AH143" s="894"/>
      <c r="AI143" s="895">
        <v>23.37</v>
      </c>
      <c r="AJ143" s="791">
        <v>21.360000000000003</v>
      </c>
      <c r="AK143" s="896">
        <f t="shared" si="30"/>
        <v>2</v>
      </c>
      <c r="AL143" s="896"/>
      <c r="AS143" s="898"/>
    </row>
    <row r="144" spans="1:45" s="779" customFormat="1" ht="28.95" customHeight="1">
      <c r="A144" s="885">
        <v>128</v>
      </c>
      <c r="B144" s="886">
        <v>7</v>
      </c>
      <c r="C144" s="887" t="str">
        <f>'Tên thang 01-26'!E131</f>
        <v>វ៉ិត មីត</v>
      </c>
      <c r="D144" s="887" t="str">
        <f>'Tên thang 01-26'!F131</f>
        <v>VET MIT</v>
      </c>
      <c r="E144" s="888">
        <v>253</v>
      </c>
      <c r="F144" s="889">
        <f>'SAN LUONG'!AP136*0.44</f>
        <v>0</v>
      </c>
      <c r="G144" s="889">
        <f t="shared" si="16"/>
        <v>0</v>
      </c>
      <c r="H144" s="889">
        <f>'SAN LUONG'!AO136*0.44</f>
        <v>389.4</v>
      </c>
      <c r="I144" s="889">
        <f t="shared" si="17"/>
        <v>6.16</v>
      </c>
      <c r="J144" s="889">
        <f>'SAN LUONG'!AV136*0.44</f>
        <v>0</v>
      </c>
      <c r="K144" s="889">
        <f t="shared" si="22"/>
        <v>0</v>
      </c>
      <c r="L144" s="889"/>
      <c r="M144" s="881">
        <f>'CHAM CONG'!BC134</f>
        <v>16</v>
      </c>
      <c r="N144" s="889">
        <f t="shared" si="23"/>
        <v>8.01</v>
      </c>
      <c r="O144" s="889">
        <f t="shared" si="24"/>
        <v>0.5</v>
      </c>
      <c r="P144" s="890">
        <f>'CHAM CONG'!BO134</f>
        <v>0</v>
      </c>
      <c r="Q144" s="942">
        <f t="shared" si="25"/>
        <v>0</v>
      </c>
      <c r="R144" s="942">
        <f>'SAN LUONG'!DW136</f>
        <v>15.4</v>
      </c>
      <c r="S144" s="942">
        <f t="shared" si="18"/>
        <v>0.48</v>
      </c>
      <c r="T144" s="943">
        <f>'CHAM CONG'!BW134</f>
        <v>0</v>
      </c>
      <c r="U144" s="942">
        <f t="shared" si="26"/>
        <v>0</v>
      </c>
      <c r="V144" s="890">
        <f>'CHAM CONG'!BD134</f>
        <v>0</v>
      </c>
      <c r="W144" s="944">
        <f t="shared" si="19"/>
        <v>0</v>
      </c>
      <c r="X144" s="891">
        <f>'CHAM CONG'!BT134</f>
        <v>0</v>
      </c>
      <c r="Y144" s="881">
        <f t="shared" si="27"/>
        <v>0</v>
      </c>
      <c r="Z144" s="892">
        <v>6.03</v>
      </c>
      <c r="AA144" s="942">
        <f t="shared" si="20"/>
        <v>1.71</v>
      </c>
      <c r="AB144" s="892">
        <v>6.03</v>
      </c>
      <c r="AC144" s="942">
        <f t="shared" si="28"/>
        <v>7.24</v>
      </c>
      <c r="AD144" s="892">
        <v>6.03</v>
      </c>
      <c r="AE144" s="942">
        <f t="shared" si="29"/>
        <v>4.3</v>
      </c>
      <c r="AF144" s="943" t="e">
        <f>#N/A</f>
        <v>#N/A</v>
      </c>
      <c r="AG144" s="893">
        <f t="shared" si="21"/>
        <v>28.400000000000002</v>
      </c>
      <c r="AH144" s="894"/>
      <c r="AI144" s="895">
        <v>23.47</v>
      </c>
      <c r="AJ144" s="791">
        <v>21.46</v>
      </c>
      <c r="AK144" s="896">
        <f t="shared" si="30"/>
        <v>2</v>
      </c>
      <c r="AL144" s="896"/>
      <c r="AS144" s="898"/>
    </row>
    <row r="145" spans="1:45" s="779" customFormat="1" ht="28.95" customHeight="1">
      <c r="A145" s="885">
        <v>129</v>
      </c>
      <c r="B145" s="886">
        <v>7</v>
      </c>
      <c r="C145" s="887" t="str">
        <f>'Tên thang 01-26'!E132</f>
        <v>ប៉ែន វណ្ណា</v>
      </c>
      <c r="D145" s="887" t="str">
        <f>'Tên thang 01-26'!F132</f>
        <v>BEN VANNA</v>
      </c>
      <c r="E145" s="888">
        <v>254</v>
      </c>
      <c r="F145" s="889">
        <f>'SAN LUONG'!AP137*0.44</f>
        <v>0</v>
      </c>
      <c r="G145" s="889">
        <f t="shared" ref="G145:G208" si="31">ROUND((F145*$G$15)/31947,2)</f>
        <v>0</v>
      </c>
      <c r="H145" s="889">
        <f>'SAN LUONG'!AO137*0.44</f>
        <v>344.52</v>
      </c>
      <c r="I145" s="889">
        <f t="shared" ref="I145:I208" si="32">ROUND((H145*$I$15)/31947,2)</f>
        <v>5.45</v>
      </c>
      <c r="J145" s="889">
        <f>'SAN LUONG'!AV137*0.44</f>
        <v>0</v>
      </c>
      <c r="K145" s="889">
        <f t="shared" si="22"/>
        <v>0</v>
      </c>
      <c r="L145" s="889"/>
      <c r="M145" s="881">
        <f>'CHAM CONG'!BC135</f>
        <v>11</v>
      </c>
      <c r="N145" s="889">
        <f t="shared" si="23"/>
        <v>5.51</v>
      </c>
      <c r="O145" s="889">
        <f t="shared" si="24"/>
        <v>0.34</v>
      </c>
      <c r="P145" s="890">
        <f>'CHAM CONG'!BO135</f>
        <v>0</v>
      </c>
      <c r="Q145" s="942">
        <f t="shared" si="25"/>
        <v>0</v>
      </c>
      <c r="R145" s="942">
        <f>'SAN LUONG'!DW137</f>
        <v>14</v>
      </c>
      <c r="S145" s="942">
        <f t="shared" ref="S145:S208" si="33">ROUND(R145*1000/31947,2)</f>
        <v>0.44</v>
      </c>
      <c r="T145" s="943">
        <f>'CHAM CONG'!BW135</f>
        <v>0</v>
      </c>
      <c r="U145" s="942">
        <f t="shared" si="26"/>
        <v>0</v>
      </c>
      <c r="V145" s="890">
        <f>'CHAM CONG'!BD135</f>
        <v>0</v>
      </c>
      <c r="W145" s="944">
        <f t="shared" ref="W145:W208" si="34">ROUND(V145*$V$15,2)</f>
        <v>0</v>
      </c>
      <c r="X145" s="891">
        <f>'CHAM CONG'!BT135</f>
        <v>0</v>
      </c>
      <c r="Y145" s="881">
        <f t="shared" si="27"/>
        <v>0</v>
      </c>
      <c r="Z145" s="892">
        <v>6.03</v>
      </c>
      <c r="AA145" s="942">
        <f t="shared" ref="AA145:AA191" si="35">ROUND(Z145*$Z$15,2)+0.01</f>
        <v>1.71</v>
      </c>
      <c r="AB145" s="892">
        <v>6.03</v>
      </c>
      <c r="AC145" s="942">
        <f t="shared" si="28"/>
        <v>7.24</v>
      </c>
      <c r="AD145" s="892">
        <v>6.03</v>
      </c>
      <c r="AE145" s="942">
        <f t="shared" si="29"/>
        <v>4.3</v>
      </c>
      <c r="AF145" s="943" t="e">
        <f>#N/A</f>
        <v>#N/A</v>
      </c>
      <c r="AG145" s="893">
        <f t="shared" ref="AG145:AG208" si="36">G145+I145+K145+N145+Q145+S145+U145+W145+Y145+AC145+AE145+O145+AA145</f>
        <v>24.990000000000002</v>
      </c>
      <c r="AH145" s="894"/>
      <c r="AI145" s="895">
        <v>14.83</v>
      </c>
      <c r="AJ145" s="791">
        <v>12.829999999999998</v>
      </c>
      <c r="AK145" s="896">
        <f t="shared" si="30"/>
        <v>2</v>
      </c>
      <c r="AL145" s="896"/>
      <c r="AS145" s="898"/>
    </row>
    <row r="146" spans="1:45" s="779" customFormat="1" ht="28.95" customHeight="1">
      <c r="A146" s="885">
        <v>130</v>
      </c>
      <c r="B146" s="886">
        <v>7</v>
      </c>
      <c r="C146" s="887" t="str">
        <f>'Tên thang 01-26'!E133</f>
        <v>លឿន ម៉ៅ</v>
      </c>
      <c r="D146" s="887" t="str">
        <f>'Tên thang 01-26'!F133</f>
        <v>LOEURN MAO</v>
      </c>
      <c r="E146" s="888">
        <v>255</v>
      </c>
      <c r="F146" s="889">
        <f>'SAN LUONG'!AP138*0.44</f>
        <v>0</v>
      </c>
      <c r="G146" s="889">
        <f t="shared" si="31"/>
        <v>0</v>
      </c>
      <c r="H146" s="889">
        <f>'SAN LUONG'!AO138*0.44</f>
        <v>306.68</v>
      </c>
      <c r="I146" s="889">
        <f t="shared" si="32"/>
        <v>4.8499999999999996</v>
      </c>
      <c r="J146" s="889">
        <f>'SAN LUONG'!AV138*0.44</f>
        <v>0</v>
      </c>
      <c r="K146" s="889">
        <f t="shared" ref="K146:K209" si="37">ROUND((J146*$K$15)/31947,2)</f>
        <v>0</v>
      </c>
      <c r="L146" s="889"/>
      <c r="M146" s="881">
        <f>'CHAM CONG'!BC136</f>
        <v>14</v>
      </c>
      <c r="N146" s="889">
        <f t="shared" ref="N146:N209" si="38">ROUND(M146*16000/31947,2)</f>
        <v>7.01</v>
      </c>
      <c r="O146" s="889">
        <f t="shared" ref="O146:O209" si="39">ROUND(M146*1000/31947,2)</f>
        <v>0.44</v>
      </c>
      <c r="P146" s="890">
        <f>'CHAM CONG'!BO136</f>
        <v>28</v>
      </c>
      <c r="Q146" s="942">
        <f t="shared" ref="Q146:Q209" si="40">ROUND(P146*0.0939,2)</f>
        <v>2.63</v>
      </c>
      <c r="R146" s="942">
        <f>'SAN LUONG'!DW138</f>
        <v>33.299999999999997</v>
      </c>
      <c r="S146" s="942">
        <f t="shared" si="33"/>
        <v>1.04</v>
      </c>
      <c r="T146" s="943">
        <f>'CHAM CONG'!BW136</f>
        <v>0</v>
      </c>
      <c r="U146" s="942">
        <f t="shared" ref="U146:U209" si="41">ROUND(T146/31947,2)</f>
        <v>0</v>
      </c>
      <c r="V146" s="890">
        <f>'CHAM CONG'!BD136</f>
        <v>0</v>
      </c>
      <c r="W146" s="944">
        <f t="shared" si="34"/>
        <v>0</v>
      </c>
      <c r="X146" s="891">
        <f>'CHAM CONG'!BT136</f>
        <v>1</v>
      </c>
      <c r="Y146" s="881">
        <f t="shared" ref="Y146:Y209" si="42">ROUND(X146*1.0956,1)</f>
        <v>1.1000000000000001</v>
      </c>
      <c r="Z146" s="892">
        <v>6.03</v>
      </c>
      <c r="AA146" s="942">
        <f t="shared" si="35"/>
        <v>1.71</v>
      </c>
      <c r="AB146" s="892">
        <v>6.03</v>
      </c>
      <c r="AC146" s="942">
        <f t="shared" ref="AC146:AC209" si="43">ROUND(AB146*$AB$15,2)</f>
        <v>7.24</v>
      </c>
      <c r="AD146" s="892">
        <v>6.03</v>
      </c>
      <c r="AE146" s="942">
        <f t="shared" ref="AE146:AE209" si="44">ROUND(AD146*$AD$15,2)</f>
        <v>4.3</v>
      </c>
      <c r="AF146" s="943" t="e">
        <f>#N/A</f>
        <v>#N/A</v>
      </c>
      <c r="AG146" s="893">
        <f t="shared" si="36"/>
        <v>30.32</v>
      </c>
      <c r="AH146" s="894"/>
      <c r="AI146" s="895">
        <v>19.52</v>
      </c>
      <c r="AJ146" s="791">
        <v>17.52</v>
      </c>
      <c r="AK146" s="896">
        <f t="shared" ref="AK146:AK209" si="45">ROUND(AI146-AJ146,0)</f>
        <v>2</v>
      </c>
      <c r="AL146" s="896"/>
      <c r="AS146" s="898"/>
    </row>
    <row r="147" spans="1:45" s="779" customFormat="1" ht="28.95" customHeight="1">
      <c r="A147" s="885">
        <v>131</v>
      </c>
      <c r="B147" s="886">
        <v>7</v>
      </c>
      <c r="C147" s="887" t="str">
        <f>'Tên thang 01-26'!E134</f>
        <v>សុក ចូក</v>
      </c>
      <c r="D147" s="887" t="str">
        <f>'Tên thang 01-26'!F134</f>
        <v>SOK CHOUK</v>
      </c>
      <c r="E147" s="888">
        <v>256</v>
      </c>
      <c r="F147" s="889">
        <f>'SAN LUONG'!AP139*0.44</f>
        <v>0</v>
      </c>
      <c r="G147" s="889">
        <f t="shared" si="31"/>
        <v>0</v>
      </c>
      <c r="H147" s="889">
        <f>'SAN LUONG'!AO139*0.44</f>
        <v>381.92</v>
      </c>
      <c r="I147" s="889">
        <f t="shared" si="32"/>
        <v>6.04</v>
      </c>
      <c r="J147" s="889">
        <f>'SAN LUONG'!AV139*0.44</f>
        <v>0</v>
      </c>
      <c r="K147" s="889">
        <f t="shared" si="37"/>
        <v>0</v>
      </c>
      <c r="L147" s="889"/>
      <c r="M147" s="881">
        <f>'CHAM CONG'!BC137</f>
        <v>16</v>
      </c>
      <c r="N147" s="889">
        <f t="shared" si="38"/>
        <v>8.01</v>
      </c>
      <c r="O147" s="889">
        <f t="shared" si="39"/>
        <v>0.5</v>
      </c>
      <c r="P147" s="890">
        <f>'CHAM CONG'!BO137</f>
        <v>30</v>
      </c>
      <c r="Q147" s="942">
        <f t="shared" si="40"/>
        <v>2.82</v>
      </c>
      <c r="R147" s="942">
        <f>'SAN LUONG'!DW139</f>
        <v>17.100000000000001</v>
      </c>
      <c r="S147" s="942">
        <f t="shared" si="33"/>
        <v>0.54</v>
      </c>
      <c r="T147" s="943">
        <f>'CHAM CONG'!BW137</f>
        <v>0</v>
      </c>
      <c r="U147" s="942">
        <f t="shared" si="41"/>
        <v>0</v>
      </c>
      <c r="V147" s="890">
        <f>'CHAM CONG'!BD137</f>
        <v>0</v>
      </c>
      <c r="W147" s="944">
        <f t="shared" si="34"/>
        <v>0</v>
      </c>
      <c r="X147" s="891">
        <f>'CHAM CONG'!BT137</f>
        <v>1</v>
      </c>
      <c r="Y147" s="881">
        <f t="shared" si="42"/>
        <v>1.1000000000000001</v>
      </c>
      <c r="Z147" s="892">
        <v>6.03</v>
      </c>
      <c r="AA147" s="942">
        <f t="shared" si="35"/>
        <v>1.71</v>
      </c>
      <c r="AB147" s="892">
        <v>6.03</v>
      </c>
      <c r="AC147" s="942">
        <f t="shared" si="43"/>
        <v>7.24</v>
      </c>
      <c r="AD147" s="892">
        <v>6.03</v>
      </c>
      <c r="AE147" s="942">
        <f t="shared" si="44"/>
        <v>4.3</v>
      </c>
      <c r="AF147" s="943" t="e">
        <f>#N/A</f>
        <v>#N/A</v>
      </c>
      <c r="AG147" s="893">
        <f t="shared" si="36"/>
        <v>32.26</v>
      </c>
      <c r="AH147" s="894"/>
      <c r="AI147" s="895">
        <v>21.86</v>
      </c>
      <c r="AJ147" s="791">
        <v>19.23</v>
      </c>
      <c r="AK147" s="896">
        <f t="shared" si="45"/>
        <v>3</v>
      </c>
      <c r="AL147" s="896"/>
      <c r="AS147" s="898"/>
    </row>
    <row r="148" spans="1:45" s="779" customFormat="1" ht="28.95" customHeight="1">
      <c r="A148" s="885">
        <v>132</v>
      </c>
      <c r="B148" s="886">
        <v>7</v>
      </c>
      <c r="C148" s="887" t="str">
        <f>'Tên thang 01-26'!E135</f>
        <v>រី ឆេង</v>
      </c>
      <c r="D148" s="887" t="str">
        <f>'Tên thang 01-26'!F135</f>
        <v>RY CHHENG</v>
      </c>
      <c r="E148" s="888">
        <v>257</v>
      </c>
      <c r="F148" s="889">
        <f>'SAN LUONG'!AP140*0.44</f>
        <v>0</v>
      </c>
      <c r="G148" s="889">
        <f t="shared" si="31"/>
        <v>0</v>
      </c>
      <c r="H148" s="889">
        <f>'SAN LUONG'!AO140*0.44</f>
        <v>365.2</v>
      </c>
      <c r="I148" s="889">
        <f t="shared" si="32"/>
        <v>5.77</v>
      </c>
      <c r="J148" s="889">
        <f>'SAN LUONG'!AV140*0.44</f>
        <v>0</v>
      </c>
      <c r="K148" s="889">
        <f t="shared" si="37"/>
        <v>0</v>
      </c>
      <c r="L148" s="889"/>
      <c r="M148" s="881">
        <f>'CHAM CONG'!BC138</f>
        <v>16</v>
      </c>
      <c r="N148" s="889">
        <f t="shared" si="38"/>
        <v>8.01</v>
      </c>
      <c r="O148" s="889">
        <f t="shared" si="39"/>
        <v>0.5</v>
      </c>
      <c r="P148" s="890">
        <f>'CHAM CONG'!BO138</f>
        <v>29</v>
      </c>
      <c r="Q148" s="942">
        <f t="shared" si="40"/>
        <v>2.72</v>
      </c>
      <c r="R148" s="942">
        <f>'SAN LUONG'!DW140</f>
        <v>17.8</v>
      </c>
      <c r="S148" s="942">
        <f t="shared" si="33"/>
        <v>0.56000000000000005</v>
      </c>
      <c r="T148" s="943">
        <f>'CHAM CONG'!BW138</f>
        <v>0</v>
      </c>
      <c r="U148" s="942">
        <f t="shared" si="41"/>
        <v>0</v>
      </c>
      <c r="V148" s="890">
        <f>'CHAM CONG'!BD138</f>
        <v>0</v>
      </c>
      <c r="W148" s="944">
        <f t="shared" si="34"/>
        <v>0</v>
      </c>
      <c r="X148" s="891">
        <f>'CHAM CONG'!BT138</f>
        <v>1</v>
      </c>
      <c r="Y148" s="881">
        <f t="shared" si="42"/>
        <v>1.1000000000000001</v>
      </c>
      <c r="Z148" s="892">
        <v>6.03</v>
      </c>
      <c r="AA148" s="942">
        <f t="shared" si="35"/>
        <v>1.71</v>
      </c>
      <c r="AB148" s="892">
        <v>6.03</v>
      </c>
      <c r="AC148" s="942">
        <f t="shared" si="43"/>
        <v>7.24</v>
      </c>
      <c r="AD148" s="892">
        <v>6.03</v>
      </c>
      <c r="AE148" s="942">
        <f t="shared" si="44"/>
        <v>4.3</v>
      </c>
      <c r="AF148" s="943" t="e">
        <f>#N/A</f>
        <v>#N/A</v>
      </c>
      <c r="AG148" s="893">
        <f t="shared" si="36"/>
        <v>31.91</v>
      </c>
      <c r="AH148" s="894"/>
      <c r="AI148" s="895">
        <v>21.35</v>
      </c>
      <c r="AJ148" s="791">
        <v>19.98</v>
      </c>
      <c r="AK148" s="896">
        <f t="shared" si="45"/>
        <v>1</v>
      </c>
      <c r="AL148" s="896"/>
      <c r="AS148" s="898"/>
    </row>
    <row r="149" spans="1:45" s="779" customFormat="1" ht="28.95" customHeight="1">
      <c r="A149" s="885">
        <v>133</v>
      </c>
      <c r="B149" s="886">
        <v>7</v>
      </c>
      <c r="C149" s="887" t="str">
        <f>'Tên thang 01-26'!E136</f>
        <v>ហឿង រីន</v>
      </c>
      <c r="D149" s="887" t="str">
        <f>'Tên thang 01-26'!F136</f>
        <v>HOEUNG RIN</v>
      </c>
      <c r="E149" s="888">
        <v>258</v>
      </c>
      <c r="F149" s="889">
        <f>'SAN LUONG'!AP141*0.44</f>
        <v>0</v>
      </c>
      <c r="G149" s="889">
        <f t="shared" si="31"/>
        <v>0</v>
      </c>
      <c r="H149" s="889">
        <f>'SAN LUONG'!AO141*0.44</f>
        <v>375.76</v>
      </c>
      <c r="I149" s="889">
        <f t="shared" si="32"/>
        <v>5.94</v>
      </c>
      <c r="J149" s="889">
        <f>'SAN LUONG'!AV141*0.44</f>
        <v>0</v>
      </c>
      <c r="K149" s="889">
        <f t="shared" si="37"/>
        <v>0</v>
      </c>
      <c r="L149" s="889"/>
      <c r="M149" s="881">
        <f>'CHAM CONG'!BC139</f>
        <v>16</v>
      </c>
      <c r="N149" s="889">
        <f t="shared" si="38"/>
        <v>8.01</v>
      </c>
      <c r="O149" s="889">
        <f t="shared" si="39"/>
        <v>0.5</v>
      </c>
      <c r="P149" s="890">
        <f>'CHAM CONG'!BO139</f>
        <v>0</v>
      </c>
      <c r="Q149" s="942">
        <f t="shared" si="40"/>
        <v>0</v>
      </c>
      <c r="R149" s="942">
        <f>'SAN LUONG'!DW141</f>
        <v>13.5</v>
      </c>
      <c r="S149" s="942">
        <f t="shared" si="33"/>
        <v>0.42</v>
      </c>
      <c r="T149" s="943">
        <f>'CHAM CONG'!BW139</f>
        <v>0</v>
      </c>
      <c r="U149" s="942">
        <f t="shared" si="41"/>
        <v>0</v>
      </c>
      <c r="V149" s="890">
        <f>'CHAM CONG'!BD139</f>
        <v>0</v>
      </c>
      <c r="W149" s="944">
        <f t="shared" si="34"/>
        <v>0</v>
      </c>
      <c r="X149" s="891">
        <f>'CHAM CONG'!BT139</f>
        <v>0</v>
      </c>
      <c r="Y149" s="881">
        <f t="shared" si="42"/>
        <v>0</v>
      </c>
      <c r="Z149" s="892">
        <v>6.03</v>
      </c>
      <c r="AA149" s="942">
        <f t="shared" si="35"/>
        <v>1.71</v>
      </c>
      <c r="AB149" s="892">
        <v>6.03</v>
      </c>
      <c r="AC149" s="942">
        <f t="shared" si="43"/>
        <v>7.24</v>
      </c>
      <c r="AD149" s="892">
        <v>6.03</v>
      </c>
      <c r="AE149" s="942">
        <f t="shared" si="44"/>
        <v>4.3</v>
      </c>
      <c r="AF149" s="943" t="e">
        <f>#N/A</f>
        <v>#N/A</v>
      </c>
      <c r="AG149" s="893">
        <f t="shared" si="36"/>
        <v>28.12</v>
      </c>
      <c r="AH149" s="894"/>
      <c r="AI149" s="895">
        <v>23</v>
      </c>
      <c r="AJ149" s="791">
        <v>20.990000000000002</v>
      </c>
      <c r="AK149" s="896">
        <f t="shared" si="45"/>
        <v>2</v>
      </c>
      <c r="AL149" s="896"/>
      <c r="AS149" s="898"/>
    </row>
    <row r="150" spans="1:45" s="779" customFormat="1" ht="28.95" customHeight="1">
      <c r="A150" s="885">
        <v>134</v>
      </c>
      <c r="B150" s="886">
        <v>7</v>
      </c>
      <c r="C150" s="887" t="str">
        <f>'Tên thang 01-26'!E137</f>
        <v>ធី សុខខៃ</v>
      </c>
      <c r="D150" s="887" t="str">
        <f>'Tên thang 01-26'!F137</f>
        <v>THY SOKKHAI</v>
      </c>
      <c r="E150" s="888">
        <v>259</v>
      </c>
      <c r="F150" s="889">
        <f>'SAN LUONG'!AP142*0.44</f>
        <v>0</v>
      </c>
      <c r="G150" s="889">
        <f t="shared" si="31"/>
        <v>0</v>
      </c>
      <c r="H150" s="889">
        <f>'SAN LUONG'!AO142*0.44</f>
        <v>542.96</v>
      </c>
      <c r="I150" s="889">
        <f t="shared" si="32"/>
        <v>8.58</v>
      </c>
      <c r="J150" s="889">
        <f>'SAN LUONG'!AV142*0.44</f>
        <v>0</v>
      </c>
      <c r="K150" s="889">
        <f t="shared" si="37"/>
        <v>0</v>
      </c>
      <c r="L150" s="889"/>
      <c r="M150" s="881">
        <f>'CHAM CONG'!BC140</f>
        <v>15</v>
      </c>
      <c r="N150" s="889">
        <f t="shared" si="38"/>
        <v>7.51</v>
      </c>
      <c r="O150" s="889">
        <f t="shared" si="39"/>
        <v>0.47</v>
      </c>
      <c r="P150" s="890">
        <f>'CHAM CONG'!BO140</f>
        <v>28</v>
      </c>
      <c r="Q150" s="942">
        <f t="shared" si="40"/>
        <v>2.63</v>
      </c>
      <c r="R150" s="942">
        <f>'SAN LUONG'!DW142</f>
        <v>20.8</v>
      </c>
      <c r="S150" s="942">
        <f t="shared" si="33"/>
        <v>0.65</v>
      </c>
      <c r="T150" s="943">
        <f>'CHAM CONG'!BW140</f>
        <v>0</v>
      </c>
      <c r="U150" s="942">
        <f t="shared" si="41"/>
        <v>0</v>
      </c>
      <c r="V150" s="890">
        <f>'CHAM CONG'!BD140</f>
        <v>0</v>
      </c>
      <c r="W150" s="944">
        <f t="shared" si="34"/>
        <v>0</v>
      </c>
      <c r="X150" s="891">
        <f>'CHAM CONG'!BT140</f>
        <v>1</v>
      </c>
      <c r="Y150" s="881">
        <f t="shared" si="42"/>
        <v>1.1000000000000001</v>
      </c>
      <c r="Z150" s="892">
        <v>6.03</v>
      </c>
      <c r="AA150" s="942">
        <f t="shared" si="35"/>
        <v>1.71</v>
      </c>
      <c r="AB150" s="892">
        <v>6.03</v>
      </c>
      <c r="AC150" s="942">
        <f t="shared" si="43"/>
        <v>7.24</v>
      </c>
      <c r="AD150" s="892">
        <v>6.03</v>
      </c>
      <c r="AE150" s="942">
        <f t="shared" si="44"/>
        <v>4.3</v>
      </c>
      <c r="AF150" s="943" t="e">
        <f>#N/A</f>
        <v>#N/A</v>
      </c>
      <c r="AG150" s="893">
        <f t="shared" si="36"/>
        <v>34.19</v>
      </c>
      <c r="AH150" s="894"/>
      <c r="AI150" s="895">
        <v>22.25</v>
      </c>
      <c r="AJ150" s="791">
        <v>20.240000000000002</v>
      </c>
      <c r="AK150" s="896">
        <f t="shared" si="45"/>
        <v>2</v>
      </c>
      <c r="AL150" s="896"/>
      <c r="AS150" s="898"/>
    </row>
    <row r="151" spans="1:45" s="779" customFormat="1" ht="28.95" customHeight="1">
      <c r="A151" s="885">
        <v>135</v>
      </c>
      <c r="B151" s="886">
        <v>7</v>
      </c>
      <c r="C151" s="887" t="str">
        <f>'Tên thang 01-26'!E138</f>
        <v>កើត អាត</v>
      </c>
      <c r="D151" s="887" t="str">
        <f>'Tên thang 01-26'!F138</f>
        <v>KOEUT AT</v>
      </c>
      <c r="E151" s="888">
        <v>260</v>
      </c>
      <c r="F151" s="889">
        <f>'SAN LUONG'!AP143*0.44</f>
        <v>0</v>
      </c>
      <c r="G151" s="889">
        <f t="shared" si="31"/>
        <v>0</v>
      </c>
      <c r="H151" s="889">
        <f>'SAN LUONG'!AO143*0.44</f>
        <v>544.28</v>
      </c>
      <c r="I151" s="889">
        <f t="shared" si="32"/>
        <v>8.6</v>
      </c>
      <c r="J151" s="889">
        <f>'SAN LUONG'!AV143*0.44</f>
        <v>0</v>
      </c>
      <c r="K151" s="889">
        <f t="shared" si="37"/>
        <v>0</v>
      </c>
      <c r="L151" s="889"/>
      <c r="M151" s="881">
        <f>'CHAM CONG'!BC141</f>
        <v>15</v>
      </c>
      <c r="N151" s="889">
        <f t="shared" si="38"/>
        <v>7.51</v>
      </c>
      <c r="O151" s="889">
        <f t="shared" si="39"/>
        <v>0.47</v>
      </c>
      <c r="P151" s="890">
        <f>'CHAM CONG'!BO141</f>
        <v>28</v>
      </c>
      <c r="Q151" s="942">
        <f t="shared" si="40"/>
        <v>2.63</v>
      </c>
      <c r="R151" s="942">
        <f>'SAN LUONG'!DW143</f>
        <v>20.399999999999999</v>
      </c>
      <c r="S151" s="942">
        <f t="shared" si="33"/>
        <v>0.64</v>
      </c>
      <c r="T151" s="943">
        <f>'CHAM CONG'!BW141</f>
        <v>0</v>
      </c>
      <c r="U151" s="942">
        <f t="shared" si="41"/>
        <v>0</v>
      </c>
      <c r="V151" s="890">
        <f>'CHAM CONG'!BD141</f>
        <v>0</v>
      </c>
      <c r="W151" s="944">
        <f t="shared" si="34"/>
        <v>0</v>
      </c>
      <c r="X151" s="891">
        <f>'CHAM CONG'!BT141</f>
        <v>1</v>
      </c>
      <c r="Y151" s="881">
        <f t="shared" si="42"/>
        <v>1.1000000000000001</v>
      </c>
      <c r="Z151" s="892">
        <v>6.03</v>
      </c>
      <c r="AA151" s="942">
        <f t="shared" si="35"/>
        <v>1.71</v>
      </c>
      <c r="AB151" s="892">
        <v>6.03</v>
      </c>
      <c r="AC151" s="942">
        <f t="shared" si="43"/>
        <v>7.24</v>
      </c>
      <c r="AD151" s="892">
        <v>6.03</v>
      </c>
      <c r="AE151" s="942">
        <f t="shared" si="44"/>
        <v>4.3</v>
      </c>
      <c r="AF151" s="943" t="e">
        <f>#N/A</f>
        <v>#N/A</v>
      </c>
      <c r="AG151" s="893">
        <f t="shared" si="36"/>
        <v>34.199999999999996</v>
      </c>
      <c r="AH151" s="894"/>
      <c r="AI151" s="895">
        <v>22.34</v>
      </c>
      <c r="AJ151" s="791">
        <v>20.330000000000002</v>
      </c>
      <c r="AK151" s="896">
        <f t="shared" si="45"/>
        <v>2</v>
      </c>
      <c r="AL151" s="896"/>
      <c r="AS151" s="898"/>
    </row>
    <row r="152" spans="1:45" s="779" customFormat="1" ht="28.95" customHeight="1">
      <c r="A152" s="885">
        <v>136</v>
      </c>
      <c r="B152" s="886">
        <v>7</v>
      </c>
      <c r="C152" s="887" t="str">
        <f>'Tên thang 01-26'!E139</f>
        <v>ឆ្លាម ឆ្លាត</v>
      </c>
      <c r="D152" s="887" t="str">
        <f>'Tên thang 01-26'!F139</f>
        <v>CHLAM CHLAT</v>
      </c>
      <c r="E152" s="888">
        <v>261</v>
      </c>
      <c r="F152" s="889">
        <f>'SAN LUONG'!AP144*0.44</f>
        <v>0</v>
      </c>
      <c r="G152" s="889">
        <f t="shared" si="31"/>
        <v>0</v>
      </c>
      <c r="H152" s="889">
        <f>'SAN LUONG'!AO144*0.44</f>
        <v>372.24</v>
      </c>
      <c r="I152" s="889">
        <f t="shared" si="32"/>
        <v>5.88</v>
      </c>
      <c r="J152" s="889">
        <f>'SAN LUONG'!AV144*0.44</f>
        <v>0</v>
      </c>
      <c r="K152" s="889">
        <f t="shared" si="37"/>
        <v>0</v>
      </c>
      <c r="L152" s="889"/>
      <c r="M152" s="881">
        <f>'CHAM CONG'!BC142</f>
        <v>15</v>
      </c>
      <c r="N152" s="889">
        <f t="shared" si="38"/>
        <v>7.51</v>
      </c>
      <c r="O152" s="889">
        <f t="shared" si="39"/>
        <v>0.47</v>
      </c>
      <c r="P152" s="890">
        <f>'CHAM CONG'!BO142</f>
        <v>29</v>
      </c>
      <c r="Q152" s="942">
        <f t="shared" si="40"/>
        <v>2.72</v>
      </c>
      <c r="R152" s="942">
        <f>'SAN LUONG'!DW144</f>
        <v>12.1</v>
      </c>
      <c r="S152" s="942">
        <f t="shared" si="33"/>
        <v>0.38</v>
      </c>
      <c r="T152" s="943">
        <f>'CHAM CONG'!BW142</f>
        <v>0</v>
      </c>
      <c r="U152" s="942">
        <f t="shared" si="41"/>
        <v>0</v>
      </c>
      <c r="V152" s="890">
        <f>'CHAM CONG'!BD142</f>
        <v>0</v>
      </c>
      <c r="W152" s="944">
        <f t="shared" si="34"/>
        <v>0</v>
      </c>
      <c r="X152" s="891">
        <f>'CHAM CONG'!BT142</f>
        <v>1</v>
      </c>
      <c r="Y152" s="881">
        <f t="shared" si="42"/>
        <v>1.1000000000000001</v>
      </c>
      <c r="Z152" s="892">
        <v>6.03</v>
      </c>
      <c r="AA152" s="942">
        <f t="shared" si="35"/>
        <v>1.71</v>
      </c>
      <c r="AB152" s="892">
        <v>6.03</v>
      </c>
      <c r="AC152" s="942">
        <f t="shared" si="43"/>
        <v>7.24</v>
      </c>
      <c r="AD152" s="892">
        <v>6.03</v>
      </c>
      <c r="AE152" s="942">
        <f t="shared" si="44"/>
        <v>4.3</v>
      </c>
      <c r="AF152" s="943" t="e">
        <f>#N/A</f>
        <v>#N/A</v>
      </c>
      <c r="AG152" s="893">
        <f t="shared" si="36"/>
        <v>31.31</v>
      </c>
      <c r="AH152" s="894"/>
      <c r="AI152" s="895">
        <v>19.04</v>
      </c>
      <c r="AJ152" s="791">
        <v>17.66</v>
      </c>
      <c r="AK152" s="896">
        <f t="shared" si="45"/>
        <v>1</v>
      </c>
      <c r="AL152" s="896"/>
      <c r="AS152" s="898"/>
    </row>
    <row r="153" spans="1:45" s="779" customFormat="1" ht="28.95" customHeight="1">
      <c r="A153" s="885">
        <v>137</v>
      </c>
      <c r="B153" s="886">
        <v>7</v>
      </c>
      <c r="C153" s="887" t="str">
        <f>'Tên thang 01-26'!E140</f>
        <v>សៅ​ ធី</v>
      </c>
      <c r="D153" s="887" t="str">
        <f>'Tên thang 01-26'!F140</f>
        <v>SOA THY</v>
      </c>
      <c r="E153" s="888">
        <v>262</v>
      </c>
      <c r="F153" s="889">
        <f>'SAN LUONG'!AP145*0.44</f>
        <v>0</v>
      </c>
      <c r="G153" s="889">
        <f t="shared" si="31"/>
        <v>0</v>
      </c>
      <c r="H153" s="889">
        <f>'SAN LUONG'!AO145*0.44</f>
        <v>364.32</v>
      </c>
      <c r="I153" s="889">
        <f t="shared" si="32"/>
        <v>5.76</v>
      </c>
      <c r="J153" s="889">
        <f>'SAN LUONG'!AV145*0.44</f>
        <v>0</v>
      </c>
      <c r="K153" s="889">
        <f t="shared" si="37"/>
        <v>0</v>
      </c>
      <c r="L153" s="889"/>
      <c r="M153" s="881">
        <f>'CHAM CONG'!BC143</f>
        <v>15</v>
      </c>
      <c r="N153" s="889">
        <f t="shared" si="38"/>
        <v>7.51</v>
      </c>
      <c r="O153" s="889">
        <f t="shared" si="39"/>
        <v>0.47</v>
      </c>
      <c r="P153" s="890">
        <f>'CHAM CONG'!BO143</f>
        <v>30</v>
      </c>
      <c r="Q153" s="942">
        <f t="shared" si="40"/>
        <v>2.82</v>
      </c>
      <c r="R153" s="942">
        <f>'SAN LUONG'!DW145</f>
        <v>12.3</v>
      </c>
      <c r="S153" s="942">
        <f t="shared" si="33"/>
        <v>0.39</v>
      </c>
      <c r="T153" s="943">
        <f>'CHAM CONG'!BW143</f>
        <v>0</v>
      </c>
      <c r="U153" s="942">
        <f t="shared" si="41"/>
        <v>0</v>
      </c>
      <c r="V153" s="890">
        <f>'CHAM CONG'!BD143</f>
        <v>0</v>
      </c>
      <c r="W153" s="944">
        <f t="shared" si="34"/>
        <v>0</v>
      </c>
      <c r="X153" s="891">
        <f>'CHAM CONG'!BT143</f>
        <v>1</v>
      </c>
      <c r="Y153" s="881">
        <f t="shared" si="42"/>
        <v>1.1000000000000001</v>
      </c>
      <c r="Z153" s="892">
        <v>6.03</v>
      </c>
      <c r="AA153" s="942">
        <f t="shared" si="35"/>
        <v>1.71</v>
      </c>
      <c r="AB153" s="892">
        <v>6.03</v>
      </c>
      <c r="AC153" s="942">
        <f t="shared" si="43"/>
        <v>7.24</v>
      </c>
      <c r="AD153" s="892">
        <v>6.03</v>
      </c>
      <c r="AE153" s="942">
        <f t="shared" si="44"/>
        <v>4.3</v>
      </c>
      <c r="AF153" s="943" t="e">
        <f>#N/A</f>
        <v>#N/A</v>
      </c>
      <c r="AG153" s="893">
        <f t="shared" si="36"/>
        <v>31.3</v>
      </c>
      <c r="AH153" s="894"/>
      <c r="AI153" s="895">
        <v>18.309999999999999</v>
      </c>
      <c r="AJ153" s="791">
        <v>16.299999999999997</v>
      </c>
      <c r="AK153" s="896">
        <f t="shared" si="45"/>
        <v>2</v>
      </c>
      <c r="AL153" s="896"/>
      <c r="AS153" s="898"/>
    </row>
    <row r="154" spans="1:45" s="779" customFormat="1" ht="28.95" customHeight="1">
      <c r="A154" s="885">
        <v>138</v>
      </c>
      <c r="B154" s="886">
        <v>7</v>
      </c>
      <c r="C154" s="887" t="str">
        <f>'Tên thang 01-26'!E141</f>
        <v>រី អឿន</v>
      </c>
      <c r="D154" s="887" t="str">
        <f>'Tên thang 01-26'!F141</f>
        <v>RY OEUN</v>
      </c>
      <c r="E154" s="888">
        <v>263</v>
      </c>
      <c r="F154" s="889">
        <f>'SAN LUONG'!AP146*0.44</f>
        <v>0</v>
      </c>
      <c r="G154" s="889">
        <f t="shared" si="31"/>
        <v>0</v>
      </c>
      <c r="H154" s="889">
        <f>'SAN LUONG'!AO146*0.44</f>
        <v>316.36</v>
      </c>
      <c r="I154" s="889">
        <f t="shared" si="32"/>
        <v>5</v>
      </c>
      <c r="J154" s="889">
        <f>'SAN LUONG'!AV146*0.44</f>
        <v>0</v>
      </c>
      <c r="K154" s="889">
        <f t="shared" si="37"/>
        <v>0</v>
      </c>
      <c r="L154" s="889"/>
      <c r="M154" s="881">
        <f>'CHAM CONG'!BC144</f>
        <v>14</v>
      </c>
      <c r="N154" s="889">
        <f t="shared" si="38"/>
        <v>7.01</v>
      </c>
      <c r="O154" s="889">
        <f t="shared" si="39"/>
        <v>0.44</v>
      </c>
      <c r="P154" s="890">
        <f>'CHAM CONG'!BO144</f>
        <v>27</v>
      </c>
      <c r="Q154" s="942">
        <f t="shared" si="40"/>
        <v>2.54</v>
      </c>
      <c r="R154" s="942">
        <f>'SAN LUONG'!DW146</f>
        <v>30</v>
      </c>
      <c r="S154" s="942">
        <f t="shared" si="33"/>
        <v>0.94</v>
      </c>
      <c r="T154" s="943">
        <f>'CHAM CONG'!BW144</f>
        <v>0</v>
      </c>
      <c r="U154" s="942">
        <f t="shared" si="41"/>
        <v>0</v>
      </c>
      <c r="V154" s="890">
        <f>'CHAM CONG'!BD144</f>
        <v>0</v>
      </c>
      <c r="W154" s="944">
        <f t="shared" si="34"/>
        <v>0</v>
      </c>
      <c r="X154" s="891">
        <f>'CHAM CONG'!BT144</f>
        <v>1</v>
      </c>
      <c r="Y154" s="881">
        <f t="shared" si="42"/>
        <v>1.1000000000000001</v>
      </c>
      <c r="Z154" s="892">
        <v>6.03</v>
      </c>
      <c r="AA154" s="942">
        <f t="shared" si="35"/>
        <v>1.71</v>
      </c>
      <c r="AB154" s="892">
        <v>6.03</v>
      </c>
      <c r="AC154" s="942">
        <f t="shared" si="43"/>
        <v>7.24</v>
      </c>
      <c r="AD154" s="892">
        <v>6.03</v>
      </c>
      <c r="AE154" s="942">
        <f t="shared" si="44"/>
        <v>4.3</v>
      </c>
      <c r="AF154" s="943" t="e">
        <f>#N/A</f>
        <v>#N/A</v>
      </c>
      <c r="AG154" s="893">
        <f t="shared" si="36"/>
        <v>30.28</v>
      </c>
      <c r="AH154" s="894"/>
      <c r="AI154" s="895">
        <v>21.11</v>
      </c>
      <c r="AJ154" s="791">
        <v>19.100000000000001</v>
      </c>
      <c r="AK154" s="896">
        <f t="shared" si="45"/>
        <v>2</v>
      </c>
      <c r="AL154" s="896"/>
      <c r="AS154" s="898"/>
    </row>
    <row r="155" spans="1:45" s="779" customFormat="1" ht="28.95" customHeight="1">
      <c r="A155" s="885">
        <v>139</v>
      </c>
      <c r="B155" s="886">
        <v>7</v>
      </c>
      <c r="C155" s="887" t="str">
        <f>'Tên thang 01-26'!E142</f>
        <v>ប៊ុត សុគង់</v>
      </c>
      <c r="D155" s="887" t="str">
        <f>'Tên thang 01-26'!F142</f>
        <v>BUT SOKONG</v>
      </c>
      <c r="E155" s="888">
        <v>264</v>
      </c>
      <c r="F155" s="889">
        <f>'SAN LUONG'!AP147*0.44</f>
        <v>0</v>
      </c>
      <c r="G155" s="889">
        <f t="shared" si="31"/>
        <v>0</v>
      </c>
      <c r="H155" s="889">
        <f>'SAN LUONG'!AO147*0.44</f>
        <v>563.20000000000005</v>
      </c>
      <c r="I155" s="889">
        <f t="shared" si="32"/>
        <v>8.9</v>
      </c>
      <c r="J155" s="889">
        <f>'SAN LUONG'!AV147*0.44</f>
        <v>0</v>
      </c>
      <c r="K155" s="889">
        <f t="shared" si="37"/>
        <v>0</v>
      </c>
      <c r="L155" s="889"/>
      <c r="M155" s="881">
        <f>'CHAM CONG'!BC145</f>
        <v>16</v>
      </c>
      <c r="N155" s="889">
        <f t="shared" si="38"/>
        <v>8.01</v>
      </c>
      <c r="O155" s="889">
        <f t="shared" si="39"/>
        <v>0.5</v>
      </c>
      <c r="P155" s="890">
        <f>'CHAM CONG'!BO145</f>
        <v>30</v>
      </c>
      <c r="Q155" s="942">
        <f t="shared" si="40"/>
        <v>2.82</v>
      </c>
      <c r="R155" s="942">
        <f>'SAN LUONG'!DW147</f>
        <v>23.9</v>
      </c>
      <c r="S155" s="942">
        <f t="shared" si="33"/>
        <v>0.75</v>
      </c>
      <c r="T155" s="943">
        <f>'CHAM CONG'!BW145</f>
        <v>0</v>
      </c>
      <c r="U155" s="942">
        <f t="shared" si="41"/>
        <v>0</v>
      </c>
      <c r="V155" s="890">
        <f>'CHAM CONG'!BD145</f>
        <v>0</v>
      </c>
      <c r="W155" s="944">
        <f t="shared" si="34"/>
        <v>0</v>
      </c>
      <c r="X155" s="891">
        <f>'CHAM CONG'!BT145</f>
        <v>1</v>
      </c>
      <c r="Y155" s="881">
        <f t="shared" si="42"/>
        <v>1.1000000000000001</v>
      </c>
      <c r="Z155" s="892">
        <v>6.03</v>
      </c>
      <c r="AA155" s="942">
        <f t="shared" si="35"/>
        <v>1.71</v>
      </c>
      <c r="AB155" s="892">
        <v>6.03</v>
      </c>
      <c r="AC155" s="942">
        <f t="shared" si="43"/>
        <v>7.24</v>
      </c>
      <c r="AD155" s="892">
        <v>6.03</v>
      </c>
      <c r="AE155" s="942">
        <f t="shared" si="44"/>
        <v>4.3</v>
      </c>
      <c r="AF155" s="943" t="e">
        <f>#N/A</f>
        <v>#N/A</v>
      </c>
      <c r="AG155" s="893">
        <f t="shared" si="36"/>
        <v>35.33</v>
      </c>
      <c r="AH155" s="894"/>
      <c r="AI155" s="895">
        <v>11.88</v>
      </c>
      <c r="AJ155" s="791">
        <v>9.8699999999999992</v>
      </c>
      <c r="AK155" s="896">
        <f t="shared" si="45"/>
        <v>2</v>
      </c>
      <c r="AL155" s="896"/>
      <c r="AS155" s="898"/>
    </row>
    <row r="156" spans="1:45" s="779" customFormat="1" ht="28.95" customHeight="1">
      <c r="A156" s="885">
        <v>140</v>
      </c>
      <c r="B156" s="886">
        <v>7</v>
      </c>
      <c r="C156" s="887" t="str">
        <f>'Tên thang 01-26'!E143</f>
        <v>ឡាម វង្ស</v>
      </c>
      <c r="D156" s="887" t="str">
        <f>'Tên thang 01-26'!F143</f>
        <v>LAM VONG</v>
      </c>
      <c r="E156" s="888">
        <v>265</v>
      </c>
      <c r="F156" s="889">
        <f>'SAN LUONG'!AP148*0.44</f>
        <v>0</v>
      </c>
      <c r="G156" s="889">
        <f t="shared" si="31"/>
        <v>0</v>
      </c>
      <c r="H156" s="889">
        <f>'SAN LUONG'!AO148*0.44</f>
        <v>454.52</v>
      </c>
      <c r="I156" s="889">
        <f t="shared" si="32"/>
        <v>7.18</v>
      </c>
      <c r="J156" s="889">
        <f>'SAN LUONG'!AV148*0.44</f>
        <v>0</v>
      </c>
      <c r="K156" s="889">
        <f t="shared" si="37"/>
        <v>0</v>
      </c>
      <c r="L156" s="889"/>
      <c r="M156" s="881">
        <f>'CHAM CONG'!BC146</f>
        <v>15</v>
      </c>
      <c r="N156" s="889">
        <f t="shared" si="38"/>
        <v>7.51</v>
      </c>
      <c r="O156" s="889">
        <f t="shared" si="39"/>
        <v>0.47</v>
      </c>
      <c r="P156" s="890">
        <f>'CHAM CONG'!BO146</f>
        <v>26</v>
      </c>
      <c r="Q156" s="942">
        <f t="shared" si="40"/>
        <v>2.44</v>
      </c>
      <c r="R156" s="942">
        <f>'SAN LUONG'!DW148</f>
        <v>33.799999999999997</v>
      </c>
      <c r="S156" s="942">
        <f t="shared" si="33"/>
        <v>1.06</v>
      </c>
      <c r="T156" s="943">
        <f>'CHAM CONG'!BW146</f>
        <v>0</v>
      </c>
      <c r="U156" s="942">
        <f t="shared" si="41"/>
        <v>0</v>
      </c>
      <c r="V156" s="890">
        <f>'CHAM CONG'!BD146</f>
        <v>0</v>
      </c>
      <c r="W156" s="944">
        <f t="shared" si="34"/>
        <v>0</v>
      </c>
      <c r="X156" s="891">
        <f>'CHAM CONG'!BT146</f>
        <v>1</v>
      </c>
      <c r="Y156" s="881">
        <f t="shared" si="42"/>
        <v>1.1000000000000001</v>
      </c>
      <c r="Z156" s="892">
        <v>6.03</v>
      </c>
      <c r="AA156" s="942">
        <f t="shared" si="35"/>
        <v>1.71</v>
      </c>
      <c r="AB156" s="892">
        <v>6.03</v>
      </c>
      <c r="AC156" s="942">
        <f t="shared" si="43"/>
        <v>7.24</v>
      </c>
      <c r="AD156" s="892">
        <v>6.03</v>
      </c>
      <c r="AE156" s="942">
        <f t="shared" si="44"/>
        <v>4.3</v>
      </c>
      <c r="AF156" s="943" t="e">
        <f>#N/A</f>
        <v>#N/A</v>
      </c>
      <c r="AG156" s="893">
        <f t="shared" si="36"/>
        <v>33.01</v>
      </c>
      <c r="AH156" s="894"/>
      <c r="AI156" s="895">
        <v>20.67</v>
      </c>
      <c r="AJ156" s="791">
        <v>18.670000000000002</v>
      </c>
      <c r="AK156" s="896">
        <f t="shared" si="45"/>
        <v>2</v>
      </c>
      <c r="AL156" s="896"/>
      <c r="AS156" s="898"/>
    </row>
    <row r="157" spans="1:45" s="779" customFormat="1" ht="28.95" customHeight="1">
      <c r="A157" s="885">
        <v>141</v>
      </c>
      <c r="B157" s="886">
        <v>7</v>
      </c>
      <c r="C157" s="887" t="str">
        <f>'Tên thang 01-26'!E144</f>
        <v>លីម ធា</v>
      </c>
      <c r="D157" s="887" t="str">
        <f>'Tên thang 01-26'!F144</f>
        <v>LIM THEA</v>
      </c>
      <c r="E157" s="888">
        <v>266</v>
      </c>
      <c r="F157" s="889">
        <f>'SAN LUONG'!AP149*0.44</f>
        <v>0</v>
      </c>
      <c r="G157" s="889">
        <f t="shared" si="31"/>
        <v>0</v>
      </c>
      <c r="H157" s="889">
        <f>'SAN LUONG'!AO149*0.44</f>
        <v>421.52</v>
      </c>
      <c r="I157" s="889">
        <f t="shared" si="32"/>
        <v>6.66</v>
      </c>
      <c r="J157" s="889">
        <f>'SAN LUONG'!AV149*0.44</f>
        <v>0</v>
      </c>
      <c r="K157" s="889">
        <f t="shared" si="37"/>
        <v>0</v>
      </c>
      <c r="L157" s="889"/>
      <c r="M157" s="881">
        <f>'CHAM CONG'!BC147</f>
        <v>15</v>
      </c>
      <c r="N157" s="889">
        <f t="shared" si="38"/>
        <v>7.51</v>
      </c>
      <c r="O157" s="889">
        <f t="shared" si="39"/>
        <v>0.47</v>
      </c>
      <c r="P157" s="890">
        <f>'CHAM CONG'!BO147</f>
        <v>27</v>
      </c>
      <c r="Q157" s="942">
        <f t="shared" si="40"/>
        <v>2.54</v>
      </c>
      <c r="R157" s="942">
        <f>'SAN LUONG'!DW149</f>
        <v>33.900000000000006</v>
      </c>
      <c r="S157" s="942">
        <f t="shared" si="33"/>
        <v>1.06</v>
      </c>
      <c r="T157" s="943">
        <f>'CHAM CONG'!BW147</f>
        <v>0</v>
      </c>
      <c r="U157" s="942">
        <f t="shared" si="41"/>
        <v>0</v>
      </c>
      <c r="V157" s="890">
        <f>'CHAM CONG'!BD147</f>
        <v>0</v>
      </c>
      <c r="W157" s="944">
        <f t="shared" si="34"/>
        <v>0</v>
      </c>
      <c r="X157" s="891">
        <f>'CHAM CONG'!BT147</f>
        <v>1</v>
      </c>
      <c r="Y157" s="881">
        <f t="shared" si="42"/>
        <v>1.1000000000000001</v>
      </c>
      <c r="Z157" s="892">
        <v>6.03</v>
      </c>
      <c r="AA157" s="942">
        <f t="shared" si="35"/>
        <v>1.71</v>
      </c>
      <c r="AB157" s="892">
        <v>6.03</v>
      </c>
      <c r="AC157" s="942">
        <f t="shared" si="43"/>
        <v>7.24</v>
      </c>
      <c r="AD157" s="892">
        <v>6.03</v>
      </c>
      <c r="AE157" s="942">
        <f t="shared" si="44"/>
        <v>4.3</v>
      </c>
      <c r="AF157" s="943" t="e">
        <f>#N/A</f>
        <v>#N/A</v>
      </c>
      <c r="AG157" s="893">
        <f t="shared" si="36"/>
        <v>32.589999999999996</v>
      </c>
      <c r="AH157" s="894"/>
      <c r="AI157" s="895">
        <v>20.82</v>
      </c>
      <c r="AJ157" s="791">
        <v>18.810000000000002</v>
      </c>
      <c r="AK157" s="896">
        <f t="shared" si="45"/>
        <v>2</v>
      </c>
      <c r="AL157" s="896"/>
      <c r="AS157" s="898"/>
    </row>
    <row r="158" spans="1:45" s="779" customFormat="1" ht="28.95" customHeight="1">
      <c r="A158" s="885">
        <v>142</v>
      </c>
      <c r="B158" s="886">
        <v>7</v>
      </c>
      <c r="C158" s="887" t="str">
        <f>'Tên thang 01-26'!E145</f>
        <v>យ៉ុន ឆាយ</v>
      </c>
      <c r="D158" s="887" t="str">
        <f>'Tên thang 01-26'!F145</f>
        <v>YON CHHAY</v>
      </c>
      <c r="E158" s="888">
        <v>267</v>
      </c>
      <c r="F158" s="889">
        <f>'SAN LUONG'!AP150*0.44</f>
        <v>0</v>
      </c>
      <c r="G158" s="889">
        <f t="shared" si="31"/>
        <v>0</v>
      </c>
      <c r="H158" s="889">
        <f>'SAN LUONG'!AO150*0.44</f>
        <v>550.44000000000005</v>
      </c>
      <c r="I158" s="889">
        <f t="shared" si="32"/>
        <v>8.6999999999999993</v>
      </c>
      <c r="J158" s="889">
        <f>'SAN LUONG'!AV150*0.44</f>
        <v>0</v>
      </c>
      <c r="K158" s="889">
        <f t="shared" si="37"/>
        <v>0</v>
      </c>
      <c r="L158" s="889"/>
      <c r="M158" s="881">
        <f>'CHAM CONG'!BC148</f>
        <v>15</v>
      </c>
      <c r="N158" s="889">
        <f t="shared" si="38"/>
        <v>7.51</v>
      </c>
      <c r="O158" s="889">
        <f t="shared" si="39"/>
        <v>0.47</v>
      </c>
      <c r="P158" s="890">
        <f>'CHAM CONG'!BO148</f>
        <v>30</v>
      </c>
      <c r="Q158" s="942">
        <f t="shared" si="40"/>
        <v>2.82</v>
      </c>
      <c r="R158" s="942">
        <f>'SAN LUONG'!DW150</f>
        <v>54.099999999999994</v>
      </c>
      <c r="S158" s="942">
        <f t="shared" si="33"/>
        <v>1.69</v>
      </c>
      <c r="T158" s="943">
        <f>'CHAM CONG'!BW148</f>
        <v>0</v>
      </c>
      <c r="U158" s="942">
        <f t="shared" si="41"/>
        <v>0</v>
      </c>
      <c r="V158" s="890">
        <f>'CHAM CONG'!BD148</f>
        <v>0</v>
      </c>
      <c r="W158" s="944">
        <f t="shared" si="34"/>
        <v>0</v>
      </c>
      <c r="X158" s="891">
        <f>'CHAM CONG'!BT148</f>
        <v>1</v>
      </c>
      <c r="Y158" s="881">
        <f t="shared" si="42"/>
        <v>1.1000000000000001</v>
      </c>
      <c r="Z158" s="892">
        <v>6.03</v>
      </c>
      <c r="AA158" s="942">
        <f t="shared" si="35"/>
        <v>1.71</v>
      </c>
      <c r="AB158" s="892">
        <v>6.03</v>
      </c>
      <c r="AC158" s="942">
        <f t="shared" si="43"/>
        <v>7.24</v>
      </c>
      <c r="AD158" s="892">
        <v>6.03</v>
      </c>
      <c r="AE158" s="942">
        <f t="shared" si="44"/>
        <v>4.3</v>
      </c>
      <c r="AF158" s="943" t="e">
        <f>#N/A</f>
        <v>#N/A</v>
      </c>
      <c r="AG158" s="893">
        <f t="shared" si="36"/>
        <v>35.54</v>
      </c>
      <c r="AH158" s="894"/>
      <c r="AI158" s="895">
        <v>24.99</v>
      </c>
      <c r="AJ158" s="791">
        <v>22.99</v>
      </c>
      <c r="AK158" s="896">
        <f t="shared" si="45"/>
        <v>2</v>
      </c>
      <c r="AL158" s="896"/>
      <c r="AS158" s="898"/>
    </row>
    <row r="159" spans="1:45" s="779" customFormat="1" ht="28.95" customHeight="1">
      <c r="A159" s="885">
        <v>143</v>
      </c>
      <c r="B159" s="886">
        <v>7</v>
      </c>
      <c r="C159" s="887" t="str">
        <f>'Tên thang 01-26'!E146</f>
        <v>យ៉ាត សុឃីម</v>
      </c>
      <c r="D159" s="887" t="str">
        <f>'Tên thang 01-26'!F146</f>
        <v>YAT SOKHIM</v>
      </c>
      <c r="E159" s="888">
        <v>268</v>
      </c>
      <c r="F159" s="889">
        <f>'SAN LUONG'!AP151*0.44</f>
        <v>0</v>
      </c>
      <c r="G159" s="889">
        <f t="shared" si="31"/>
        <v>0</v>
      </c>
      <c r="H159" s="889">
        <f>'SAN LUONG'!AO151*0.44</f>
        <v>363.88</v>
      </c>
      <c r="I159" s="889">
        <f t="shared" si="32"/>
        <v>5.75</v>
      </c>
      <c r="J159" s="889">
        <f>'SAN LUONG'!AV151*0.44</f>
        <v>0</v>
      </c>
      <c r="K159" s="889">
        <f t="shared" si="37"/>
        <v>0</v>
      </c>
      <c r="L159" s="889"/>
      <c r="M159" s="881">
        <f>'CHAM CONG'!BC149</f>
        <v>13</v>
      </c>
      <c r="N159" s="889">
        <f t="shared" si="38"/>
        <v>6.51</v>
      </c>
      <c r="O159" s="889">
        <f t="shared" si="39"/>
        <v>0.41</v>
      </c>
      <c r="P159" s="890">
        <f>'CHAM CONG'!BO149</f>
        <v>0</v>
      </c>
      <c r="Q159" s="942">
        <f t="shared" si="40"/>
        <v>0</v>
      </c>
      <c r="R159" s="942">
        <f>'SAN LUONG'!DW151</f>
        <v>34.400000000000006</v>
      </c>
      <c r="S159" s="942">
        <f t="shared" si="33"/>
        <v>1.08</v>
      </c>
      <c r="T159" s="943">
        <f>'CHAM CONG'!BW149</f>
        <v>0</v>
      </c>
      <c r="U159" s="942">
        <f t="shared" si="41"/>
        <v>0</v>
      </c>
      <c r="V159" s="890">
        <f>'CHAM CONG'!BD149</f>
        <v>0</v>
      </c>
      <c r="W159" s="944">
        <f t="shared" si="34"/>
        <v>0</v>
      </c>
      <c r="X159" s="891">
        <f>'CHAM CONG'!BT149</f>
        <v>0</v>
      </c>
      <c r="Y159" s="881">
        <f t="shared" si="42"/>
        <v>0</v>
      </c>
      <c r="Z159" s="892">
        <v>6.03</v>
      </c>
      <c r="AA159" s="942">
        <f t="shared" si="35"/>
        <v>1.71</v>
      </c>
      <c r="AB159" s="892">
        <v>6.03</v>
      </c>
      <c r="AC159" s="942">
        <f t="shared" si="43"/>
        <v>7.24</v>
      </c>
      <c r="AD159" s="892">
        <v>6.03</v>
      </c>
      <c r="AE159" s="942">
        <f t="shared" si="44"/>
        <v>4.3</v>
      </c>
      <c r="AF159" s="943" t="e">
        <f>#N/A</f>
        <v>#N/A</v>
      </c>
      <c r="AG159" s="893">
        <f t="shared" si="36"/>
        <v>27</v>
      </c>
      <c r="AH159" s="894"/>
      <c r="AI159" s="895">
        <v>12.79</v>
      </c>
      <c r="AJ159" s="791">
        <v>11.4</v>
      </c>
      <c r="AK159" s="896">
        <f t="shared" si="45"/>
        <v>1</v>
      </c>
      <c r="AL159" s="896"/>
      <c r="AS159" s="898"/>
    </row>
    <row r="160" spans="1:45" s="779" customFormat="1" ht="28.95" customHeight="1">
      <c r="A160" s="885">
        <v>144</v>
      </c>
      <c r="B160" s="886">
        <v>7</v>
      </c>
      <c r="C160" s="887" t="str">
        <f>'Tên thang 01-26'!E147</f>
        <v>ឈន ប៊ន</v>
      </c>
      <c r="D160" s="887" t="str">
        <f>'Tên thang 01-26'!F147</f>
        <v>CHHON BORN</v>
      </c>
      <c r="E160" s="888">
        <v>269</v>
      </c>
      <c r="F160" s="889">
        <f>'SAN LUONG'!AP152*0.44</f>
        <v>0</v>
      </c>
      <c r="G160" s="889">
        <f t="shared" si="31"/>
        <v>0</v>
      </c>
      <c r="H160" s="889">
        <f>'SAN LUONG'!AO152*0.44</f>
        <v>563.64</v>
      </c>
      <c r="I160" s="889">
        <f t="shared" si="32"/>
        <v>8.91</v>
      </c>
      <c r="J160" s="889">
        <f>'SAN LUONG'!AV152*0.44</f>
        <v>0</v>
      </c>
      <c r="K160" s="889">
        <f t="shared" si="37"/>
        <v>0</v>
      </c>
      <c r="L160" s="889"/>
      <c r="M160" s="881">
        <f>'CHAM CONG'!BC150</f>
        <v>9</v>
      </c>
      <c r="N160" s="889">
        <f t="shared" si="38"/>
        <v>4.51</v>
      </c>
      <c r="O160" s="889">
        <f t="shared" si="39"/>
        <v>0.28000000000000003</v>
      </c>
      <c r="P160" s="890">
        <f>'CHAM CONG'!BO150</f>
        <v>0</v>
      </c>
      <c r="Q160" s="942">
        <f t="shared" si="40"/>
        <v>0</v>
      </c>
      <c r="R160" s="942">
        <f>'SAN LUONG'!DW152</f>
        <v>21</v>
      </c>
      <c r="S160" s="942">
        <f t="shared" si="33"/>
        <v>0.66</v>
      </c>
      <c r="T160" s="943">
        <f>'CHAM CONG'!BW150</f>
        <v>0</v>
      </c>
      <c r="U160" s="942">
        <f t="shared" si="41"/>
        <v>0</v>
      </c>
      <c r="V160" s="890">
        <f>'CHAM CONG'!BD150</f>
        <v>0</v>
      </c>
      <c r="W160" s="944">
        <f t="shared" si="34"/>
        <v>0</v>
      </c>
      <c r="X160" s="891">
        <f>'CHAM CONG'!BT150</f>
        <v>0</v>
      </c>
      <c r="Y160" s="881">
        <f t="shared" si="42"/>
        <v>0</v>
      </c>
      <c r="Z160" s="892">
        <v>6.03</v>
      </c>
      <c r="AA160" s="942">
        <f t="shared" si="35"/>
        <v>1.71</v>
      </c>
      <c r="AB160" s="892">
        <v>6.03</v>
      </c>
      <c r="AC160" s="942">
        <f t="shared" si="43"/>
        <v>7.24</v>
      </c>
      <c r="AD160" s="892">
        <v>6.03</v>
      </c>
      <c r="AE160" s="942">
        <f t="shared" si="44"/>
        <v>4.3</v>
      </c>
      <c r="AF160" s="943" t="e">
        <f>#N/A</f>
        <v>#N/A</v>
      </c>
      <c r="AG160" s="893">
        <f t="shared" si="36"/>
        <v>27.610000000000003</v>
      </c>
      <c r="AH160" s="894"/>
      <c r="AI160" s="895">
        <v>24.21</v>
      </c>
      <c r="AJ160" s="791">
        <v>22.830000000000005</v>
      </c>
      <c r="AK160" s="896">
        <f t="shared" si="45"/>
        <v>1</v>
      </c>
      <c r="AL160" s="896"/>
      <c r="AS160" s="898"/>
    </row>
    <row r="161" spans="1:45" s="779" customFormat="1" ht="28.95" customHeight="1">
      <c r="A161" s="885">
        <v>145</v>
      </c>
      <c r="B161" s="886">
        <v>7</v>
      </c>
      <c r="C161" s="887" t="str">
        <f>'Tên thang 01-26'!E148</f>
        <v>ចន អ៊ន់</v>
      </c>
      <c r="D161" s="887" t="str">
        <f>'Tên thang 01-26'!F148</f>
        <v>CHAN ON</v>
      </c>
      <c r="E161" s="888">
        <v>270</v>
      </c>
      <c r="F161" s="889">
        <f>'SAN LUONG'!AP153*0.44</f>
        <v>0</v>
      </c>
      <c r="G161" s="889">
        <f t="shared" si="31"/>
        <v>0</v>
      </c>
      <c r="H161" s="889">
        <f>'SAN LUONG'!AO153*0.44</f>
        <v>536.79999999999995</v>
      </c>
      <c r="I161" s="889">
        <f t="shared" si="32"/>
        <v>8.49</v>
      </c>
      <c r="J161" s="889">
        <f>'SAN LUONG'!AV153*0.44</f>
        <v>0</v>
      </c>
      <c r="K161" s="889">
        <f t="shared" si="37"/>
        <v>0</v>
      </c>
      <c r="L161" s="889"/>
      <c r="M161" s="881">
        <f>'CHAM CONG'!BC151</f>
        <v>10</v>
      </c>
      <c r="N161" s="889">
        <f t="shared" si="38"/>
        <v>5.01</v>
      </c>
      <c r="O161" s="889">
        <f t="shared" si="39"/>
        <v>0.31</v>
      </c>
      <c r="P161" s="890">
        <f>'CHAM CONG'!BO151</f>
        <v>0</v>
      </c>
      <c r="Q161" s="942">
        <f t="shared" si="40"/>
        <v>0</v>
      </c>
      <c r="R161" s="942">
        <f>'SAN LUONG'!DW153</f>
        <v>19.7</v>
      </c>
      <c r="S161" s="942">
        <f t="shared" si="33"/>
        <v>0.62</v>
      </c>
      <c r="T161" s="943">
        <f>'CHAM CONG'!BW151</f>
        <v>0</v>
      </c>
      <c r="U161" s="942">
        <f t="shared" si="41"/>
        <v>0</v>
      </c>
      <c r="V161" s="890">
        <f>'CHAM CONG'!BD151</f>
        <v>0</v>
      </c>
      <c r="W161" s="944">
        <f t="shared" si="34"/>
        <v>0</v>
      </c>
      <c r="X161" s="891">
        <f>'CHAM CONG'!BT151</f>
        <v>0</v>
      </c>
      <c r="Y161" s="881">
        <f t="shared" si="42"/>
        <v>0</v>
      </c>
      <c r="Z161" s="892">
        <v>6.03</v>
      </c>
      <c r="AA161" s="942">
        <f t="shared" si="35"/>
        <v>1.71</v>
      </c>
      <c r="AB161" s="892">
        <v>6.03</v>
      </c>
      <c r="AC161" s="942">
        <f t="shared" si="43"/>
        <v>7.24</v>
      </c>
      <c r="AD161" s="892">
        <v>6.03</v>
      </c>
      <c r="AE161" s="942">
        <f t="shared" si="44"/>
        <v>4.3</v>
      </c>
      <c r="AF161" s="943" t="e">
        <f>#N/A</f>
        <v>#N/A</v>
      </c>
      <c r="AG161" s="893">
        <f t="shared" si="36"/>
        <v>27.68</v>
      </c>
      <c r="AH161" s="894"/>
      <c r="AI161" s="895">
        <v>23.74</v>
      </c>
      <c r="AJ161" s="791">
        <v>21.740000000000002</v>
      </c>
      <c r="AK161" s="896">
        <f t="shared" si="45"/>
        <v>2</v>
      </c>
      <c r="AL161" s="896"/>
      <c r="AS161" s="898"/>
    </row>
    <row r="162" spans="1:45" s="779" customFormat="1" ht="28.95" customHeight="1">
      <c r="A162" s="885">
        <v>146</v>
      </c>
      <c r="B162" s="886">
        <v>7</v>
      </c>
      <c r="C162" s="887" t="str">
        <f>'Tên thang 01-26'!E149</f>
        <v>សែម ធឿន</v>
      </c>
      <c r="D162" s="887" t="str">
        <f>'Tên thang 01-26'!F149</f>
        <v>SEM THOEURN</v>
      </c>
      <c r="E162" s="888">
        <v>271</v>
      </c>
      <c r="F162" s="889">
        <f>'SAN LUONG'!AP154*0.44</f>
        <v>0</v>
      </c>
      <c r="G162" s="889">
        <f t="shared" si="31"/>
        <v>0</v>
      </c>
      <c r="H162" s="889">
        <f>'SAN LUONG'!AO154*0.44</f>
        <v>472.56</v>
      </c>
      <c r="I162" s="889">
        <f t="shared" si="32"/>
        <v>7.47</v>
      </c>
      <c r="J162" s="889">
        <f>'SAN LUONG'!AV154*0.44</f>
        <v>0</v>
      </c>
      <c r="K162" s="889">
        <f t="shared" si="37"/>
        <v>0</v>
      </c>
      <c r="L162" s="889"/>
      <c r="M162" s="881">
        <f>'CHAM CONG'!BC152</f>
        <v>14</v>
      </c>
      <c r="N162" s="889">
        <f t="shared" si="38"/>
        <v>7.01</v>
      </c>
      <c r="O162" s="889">
        <f t="shared" si="39"/>
        <v>0.44</v>
      </c>
      <c r="P162" s="890">
        <f>'CHAM CONG'!BO152</f>
        <v>27</v>
      </c>
      <c r="Q162" s="942">
        <f t="shared" si="40"/>
        <v>2.54</v>
      </c>
      <c r="R162" s="942">
        <f>'SAN LUONG'!DW154</f>
        <v>13.100000000000001</v>
      </c>
      <c r="S162" s="942">
        <f t="shared" si="33"/>
        <v>0.41</v>
      </c>
      <c r="T162" s="943">
        <f>'CHAM CONG'!BW152</f>
        <v>0</v>
      </c>
      <c r="U162" s="942">
        <f t="shared" si="41"/>
        <v>0</v>
      </c>
      <c r="V162" s="890">
        <f>'CHAM CONG'!BD152</f>
        <v>0</v>
      </c>
      <c r="W162" s="944">
        <f t="shared" si="34"/>
        <v>0</v>
      </c>
      <c r="X162" s="891">
        <f>'CHAM CONG'!BT152</f>
        <v>1</v>
      </c>
      <c r="Y162" s="881">
        <f t="shared" si="42"/>
        <v>1.1000000000000001</v>
      </c>
      <c r="Z162" s="892">
        <v>6.03</v>
      </c>
      <c r="AA162" s="942">
        <f t="shared" si="35"/>
        <v>1.71</v>
      </c>
      <c r="AB162" s="892">
        <v>6.03</v>
      </c>
      <c r="AC162" s="942">
        <f t="shared" si="43"/>
        <v>7.24</v>
      </c>
      <c r="AD162" s="892">
        <v>6.03</v>
      </c>
      <c r="AE162" s="942">
        <f t="shared" si="44"/>
        <v>4.3</v>
      </c>
      <c r="AF162" s="943" t="e">
        <f>#N/A</f>
        <v>#N/A</v>
      </c>
      <c r="AG162" s="893">
        <f t="shared" si="36"/>
        <v>32.220000000000006</v>
      </c>
      <c r="AH162" s="894"/>
      <c r="AI162" s="895">
        <v>24.85</v>
      </c>
      <c r="AJ162" s="791">
        <v>22.84</v>
      </c>
      <c r="AK162" s="896">
        <f t="shared" si="45"/>
        <v>2</v>
      </c>
      <c r="AL162" s="896"/>
      <c r="AS162" s="898"/>
    </row>
    <row r="163" spans="1:45" s="779" customFormat="1" ht="28.95" customHeight="1">
      <c r="A163" s="885">
        <v>147</v>
      </c>
      <c r="B163" s="886">
        <v>7</v>
      </c>
      <c r="C163" s="887" t="str">
        <f>'Tên thang 01-26'!E150</f>
        <v>ហ៊ាន ភ័ក្រ</v>
      </c>
      <c r="D163" s="887" t="str">
        <f>'Tên thang 01-26'!F150</f>
        <v>HEAN PHEAK</v>
      </c>
      <c r="E163" s="888">
        <v>272</v>
      </c>
      <c r="F163" s="889">
        <f>'SAN LUONG'!AP155*0.44</f>
        <v>0</v>
      </c>
      <c r="G163" s="889">
        <f t="shared" si="31"/>
        <v>0</v>
      </c>
      <c r="H163" s="889">
        <f>'SAN LUONG'!AO155*0.44</f>
        <v>711.04</v>
      </c>
      <c r="I163" s="889">
        <f t="shared" si="32"/>
        <v>11.24</v>
      </c>
      <c r="J163" s="889">
        <f>'SAN LUONG'!AV155*0.44</f>
        <v>0</v>
      </c>
      <c r="K163" s="889">
        <f t="shared" si="37"/>
        <v>0</v>
      </c>
      <c r="L163" s="889"/>
      <c r="M163" s="881">
        <f>'CHAM CONG'!BC153</f>
        <v>16</v>
      </c>
      <c r="N163" s="889">
        <f t="shared" si="38"/>
        <v>8.01</v>
      </c>
      <c r="O163" s="889">
        <f t="shared" si="39"/>
        <v>0.5</v>
      </c>
      <c r="P163" s="890">
        <f>'CHAM CONG'!BO153</f>
        <v>28</v>
      </c>
      <c r="Q163" s="942">
        <f t="shared" si="40"/>
        <v>2.63</v>
      </c>
      <c r="R163" s="942">
        <f>'SAN LUONG'!DW155</f>
        <v>50.1</v>
      </c>
      <c r="S163" s="942">
        <f t="shared" si="33"/>
        <v>1.57</v>
      </c>
      <c r="T163" s="943">
        <f>'CHAM CONG'!BW153</f>
        <v>0</v>
      </c>
      <c r="U163" s="942">
        <f t="shared" si="41"/>
        <v>0</v>
      </c>
      <c r="V163" s="890">
        <f>'CHAM CONG'!BD153</f>
        <v>0</v>
      </c>
      <c r="W163" s="944">
        <f t="shared" si="34"/>
        <v>0</v>
      </c>
      <c r="X163" s="891">
        <f>'CHAM CONG'!BT153</f>
        <v>1</v>
      </c>
      <c r="Y163" s="881">
        <f t="shared" si="42"/>
        <v>1.1000000000000001</v>
      </c>
      <c r="Z163" s="892">
        <v>6.03</v>
      </c>
      <c r="AA163" s="942">
        <f t="shared" si="35"/>
        <v>1.71</v>
      </c>
      <c r="AB163" s="892">
        <v>6.03</v>
      </c>
      <c r="AC163" s="942">
        <f t="shared" si="43"/>
        <v>7.24</v>
      </c>
      <c r="AD163" s="892">
        <v>6.03</v>
      </c>
      <c r="AE163" s="942">
        <f t="shared" si="44"/>
        <v>4.3</v>
      </c>
      <c r="AF163" s="943" t="e">
        <f>#N/A</f>
        <v>#N/A</v>
      </c>
      <c r="AG163" s="893">
        <f t="shared" si="36"/>
        <v>38.299999999999997</v>
      </c>
      <c r="AH163" s="894"/>
      <c r="AI163" s="895">
        <v>24.92</v>
      </c>
      <c r="AJ163" s="791">
        <v>22.29</v>
      </c>
      <c r="AK163" s="896">
        <f t="shared" si="45"/>
        <v>3</v>
      </c>
      <c r="AL163" s="896"/>
      <c r="AS163" s="898"/>
    </row>
    <row r="164" spans="1:45" s="779" customFormat="1" ht="28.95" customHeight="1">
      <c r="A164" s="885">
        <v>148</v>
      </c>
      <c r="B164" s="886">
        <v>7</v>
      </c>
      <c r="C164" s="887" t="str">
        <f>'Tên thang 01-26'!E151</f>
        <v>ឆ្លាមឆ្លាត សុខេន</v>
      </c>
      <c r="D164" s="887" t="str">
        <f>'Tên thang 01-26'!F151</f>
        <v>CHHLAMCHHAT SOKHEN</v>
      </c>
      <c r="E164" s="888">
        <v>273</v>
      </c>
      <c r="F164" s="889">
        <f>'SAN LUONG'!AP156*0.44</f>
        <v>0</v>
      </c>
      <c r="G164" s="889">
        <f t="shared" si="31"/>
        <v>0</v>
      </c>
      <c r="H164" s="889">
        <f>'SAN LUONG'!AO156*0.44</f>
        <v>583</v>
      </c>
      <c r="I164" s="889">
        <f t="shared" si="32"/>
        <v>9.2200000000000006</v>
      </c>
      <c r="J164" s="889">
        <f>'SAN LUONG'!AV156*0.44</f>
        <v>0</v>
      </c>
      <c r="K164" s="889">
        <f t="shared" si="37"/>
        <v>0</v>
      </c>
      <c r="L164" s="889"/>
      <c r="M164" s="881">
        <f>'CHAM CONG'!BC154</f>
        <v>16</v>
      </c>
      <c r="N164" s="889">
        <f t="shared" si="38"/>
        <v>8.01</v>
      </c>
      <c r="O164" s="889">
        <f t="shared" si="39"/>
        <v>0.5</v>
      </c>
      <c r="P164" s="890">
        <f>'CHAM CONG'!BO154</f>
        <v>29</v>
      </c>
      <c r="Q164" s="942">
        <f t="shared" si="40"/>
        <v>2.72</v>
      </c>
      <c r="R164" s="942">
        <f>'SAN LUONG'!DW156</f>
        <v>13</v>
      </c>
      <c r="S164" s="942">
        <f t="shared" si="33"/>
        <v>0.41</v>
      </c>
      <c r="T164" s="943">
        <f>'CHAM CONG'!BW154</f>
        <v>0</v>
      </c>
      <c r="U164" s="942">
        <f t="shared" si="41"/>
        <v>0</v>
      </c>
      <c r="V164" s="890">
        <f>'CHAM CONG'!BD154</f>
        <v>0</v>
      </c>
      <c r="W164" s="944">
        <f t="shared" si="34"/>
        <v>0</v>
      </c>
      <c r="X164" s="891">
        <f>'CHAM CONG'!BT154</f>
        <v>1</v>
      </c>
      <c r="Y164" s="881">
        <f t="shared" si="42"/>
        <v>1.1000000000000001</v>
      </c>
      <c r="Z164" s="892">
        <v>6.03</v>
      </c>
      <c r="AA164" s="942">
        <f t="shared" si="35"/>
        <v>1.71</v>
      </c>
      <c r="AB164" s="892">
        <v>6.03</v>
      </c>
      <c r="AC164" s="942">
        <f t="shared" si="43"/>
        <v>7.24</v>
      </c>
      <c r="AD164" s="892">
        <v>6.03</v>
      </c>
      <c r="AE164" s="942">
        <f t="shared" si="44"/>
        <v>4.3</v>
      </c>
      <c r="AF164" s="943" t="e">
        <f>#N/A</f>
        <v>#N/A</v>
      </c>
      <c r="AG164" s="893">
        <f t="shared" si="36"/>
        <v>35.21</v>
      </c>
      <c r="AH164" s="894"/>
      <c r="AI164" s="895">
        <v>21.98</v>
      </c>
      <c r="AJ164" s="791">
        <v>20.59</v>
      </c>
      <c r="AK164" s="896">
        <f t="shared" si="45"/>
        <v>1</v>
      </c>
      <c r="AL164" s="896"/>
      <c r="AS164" s="898"/>
    </row>
    <row r="165" spans="1:45" s="779" customFormat="1" ht="28.95" customHeight="1">
      <c r="A165" s="885">
        <v>149</v>
      </c>
      <c r="B165" s="886">
        <v>7</v>
      </c>
      <c r="C165" s="887" t="str">
        <f>'Tên thang 01-26'!E152</f>
        <v>ប៊ូ ស្រីណយ</v>
      </c>
      <c r="D165" s="887" t="str">
        <f>'Tên thang 01-26'!F152</f>
        <v>BOU SREYNOY</v>
      </c>
      <c r="E165" s="888">
        <v>274</v>
      </c>
      <c r="F165" s="889">
        <f>'SAN LUONG'!AP157*0.44</f>
        <v>0</v>
      </c>
      <c r="G165" s="889">
        <f t="shared" si="31"/>
        <v>0</v>
      </c>
      <c r="H165" s="889">
        <f>'SAN LUONG'!AO157*0.44</f>
        <v>449.68</v>
      </c>
      <c r="I165" s="889">
        <f t="shared" si="32"/>
        <v>7.11</v>
      </c>
      <c r="J165" s="889">
        <f>'SAN LUONG'!AV157*0.44</f>
        <v>0</v>
      </c>
      <c r="K165" s="889">
        <f t="shared" si="37"/>
        <v>0</v>
      </c>
      <c r="L165" s="889"/>
      <c r="M165" s="881">
        <f>'CHAM CONG'!BC155</f>
        <v>15</v>
      </c>
      <c r="N165" s="889">
        <f t="shared" si="38"/>
        <v>7.51</v>
      </c>
      <c r="O165" s="889">
        <f t="shared" si="39"/>
        <v>0.47</v>
      </c>
      <c r="P165" s="890">
        <f>'CHAM CONG'!BO155</f>
        <v>29</v>
      </c>
      <c r="Q165" s="942">
        <f t="shared" si="40"/>
        <v>2.72</v>
      </c>
      <c r="R165" s="942">
        <f>'SAN LUONG'!DW157</f>
        <v>13.4</v>
      </c>
      <c r="S165" s="942">
        <f t="shared" si="33"/>
        <v>0.42</v>
      </c>
      <c r="T165" s="943">
        <f>'CHAM CONG'!BW155</f>
        <v>0</v>
      </c>
      <c r="U165" s="942">
        <f t="shared" si="41"/>
        <v>0</v>
      </c>
      <c r="V165" s="890">
        <f>'CHAM CONG'!BD155</f>
        <v>0</v>
      </c>
      <c r="W165" s="944">
        <f t="shared" si="34"/>
        <v>0</v>
      </c>
      <c r="X165" s="891">
        <f>'CHAM CONG'!BT155</f>
        <v>1</v>
      </c>
      <c r="Y165" s="881">
        <f t="shared" si="42"/>
        <v>1.1000000000000001</v>
      </c>
      <c r="Z165" s="892">
        <v>6.03</v>
      </c>
      <c r="AA165" s="942">
        <f t="shared" si="35"/>
        <v>1.71</v>
      </c>
      <c r="AB165" s="892">
        <v>6.03</v>
      </c>
      <c r="AC165" s="942">
        <f t="shared" si="43"/>
        <v>7.24</v>
      </c>
      <c r="AD165" s="892">
        <v>6.03</v>
      </c>
      <c r="AE165" s="942">
        <f t="shared" si="44"/>
        <v>4.3</v>
      </c>
      <c r="AF165" s="943" t="e">
        <f>#N/A</f>
        <v>#N/A</v>
      </c>
      <c r="AG165" s="893">
        <f t="shared" si="36"/>
        <v>32.58</v>
      </c>
      <c r="AH165" s="894"/>
      <c r="AI165" s="895">
        <v>24.09</v>
      </c>
      <c r="AJ165" s="791">
        <v>22.080000000000002</v>
      </c>
      <c r="AK165" s="896">
        <f t="shared" si="45"/>
        <v>2</v>
      </c>
      <c r="AL165" s="896"/>
      <c r="AS165" s="898"/>
    </row>
    <row r="166" spans="1:45" s="779" customFormat="1" ht="28.95" customHeight="1">
      <c r="A166" s="885">
        <v>150</v>
      </c>
      <c r="B166" s="886">
        <v>7</v>
      </c>
      <c r="C166" s="887" t="str">
        <f>'Tên thang 01-26'!E153</f>
        <v>អ៊ីវ សាវុន</v>
      </c>
      <c r="D166" s="887" t="str">
        <f>'Tên thang 01-26'!F153</f>
        <v>IV SAVUN</v>
      </c>
      <c r="E166" s="888">
        <v>275</v>
      </c>
      <c r="F166" s="889">
        <f>'SAN LUONG'!AP158*0.44</f>
        <v>0</v>
      </c>
      <c r="G166" s="889">
        <f t="shared" si="31"/>
        <v>0</v>
      </c>
      <c r="H166" s="889">
        <f>'SAN LUONG'!AO158*0.44</f>
        <v>598.4</v>
      </c>
      <c r="I166" s="889">
        <f t="shared" si="32"/>
        <v>9.4600000000000009</v>
      </c>
      <c r="J166" s="889">
        <f>'SAN LUONG'!AV158*0.44</f>
        <v>0</v>
      </c>
      <c r="K166" s="889">
        <f t="shared" si="37"/>
        <v>0</v>
      </c>
      <c r="L166" s="889"/>
      <c r="M166" s="881">
        <f>'CHAM CONG'!BC156</f>
        <v>13</v>
      </c>
      <c r="N166" s="889">
        <f t="shared" si="38"/>
        <v>6.51</v>
      </c>
      <c r="O166" s="889">
        <f t="shared" si="39"/>
        <v>0.41</v>
      </c>
      <c r="P166" s="890">
        <f>'CHAM CONG'!BO156</f>
        <v>26</v>
      </c>
      <c r="Q166" s="942">
        <f t="shared" si="40"/>
        <v>2.44</v>
      </c>
      <c r="R166" s="942">
        <f>'SAN LUONG'!DW158</f>
        <v>15.3</v>
      </c>
      <c r="S166" s="942">
        <f t="shared" si="33"/>
        <v>0.48</v>
      </c>
      <c r="T166" s="943">
        <f>'CHAM CONG'!BW156</f>
        <v>0</v>
      </c>
      <c r="U166" s="942">
        <f t="shared" si="41"/>
        <v>0</v>
      </c>
      <c r="V166" s="890">
        <f>'CHAM CONG'!BD156</f>
        <v>0</v>
      </c>
      <c r="W166" s="944">
        <f t="shared" si="34"/>
        <v>0</v>
      </c>
      <c r="X166" s="891">
        <f>'CHAM CONG'!BT156</f>
        <v>1</v>
      </c>
      <c r="Y166" s="881">
        <f t="shared" si="42"/>
        <v>1.1000000000000001</v>
      </c>
      <c r="Z166" s="892">
        <v>6.03</v>
      </c>
      <c r="AA166" s="942">
        <f t="shared" si="35"/>
        <v>1.71</v>
      </c>
      <c r="AB166" s="892">
        <v>6.03</v>
      </c>
      <c r="AC166" s="942">
        <f t="shared" si="43"/>
        <v>7.24</v>
      </c>
      <c r="AD166" s="892">
        <v>6.03</v>
      </c>
      <c r="AE166" s="942">
        <f t="shared" si="44"/>
        <v>4.3</v>
      </c>
      <c r="AF166" s="943" t="e">
        <f>#N/A</f>
        <v>#N/A</v>
      </c>
      <c r="AG166" s="893">
        <f t="shared" si="36"/>
        <v>33.650000000000006</v>
      </c>
      <c r="AH166" s="894"/>
      <c r="AI166" s="895">
        <v>24.3</v>
      </c>
      <c r="AJ166" s="791">
        <v>22.3</v>
      </c>
      <c r="AK166" s="896">
        <f t="shared" si="45"/>
        <v>2</v>
      </c>
      <c r="AL166" s="896"/>
      <c r="AS166" s="898"/>
    </row>
    <row r="167" spans="1:45" s="779" customFormat="1" ht="28.95" customHeight="1">
      <c r="A167" s="885">
        <v>151</v>
      </c>
      <c r="B167" s="886">
        <v>7</v>
      </c>
      <c r="C167" s="887" t="str">
        <f>'Tên thang 01-26'!E154</f>
        <v>សាត គឹមសេង</v>
      </c>
      <c r="D167" s="887" t="str">
        <f>'Tên thang 01-26'!F154</f>
        <v>SAT KIMSENG</v>
      </c>
      <c r="E167" s="888">
        <v>276</v>
      </c>
      <c r="F167" s="889">
        <f>'SAN LUONG'!AP159*0.44</f>
        <v>0</v>
      </c>
      <c r="G167" s="889">
        <f t="shared" si="31"/>
        <v>0</v>
      </c>
      <c r="H167" s="889">
        <f>'SAN LUONG'!AO159*0.44</f>
        <v>555.28</v>
      </c>
      <c r="I167" s="889">
        <f t="shared" si="32"/>
        <v>8.7799999999999994</v>
      </c>
      <c r="J167" s="889">
        <f>'SAN LUONG'!AV159*0.44</f>
        <v>0</v>
      </c>
      <c r="K167" s="889">
        <f t="shared" si="37"/>
        <v>0</v>
      </c>
      <c r="L167" s="889"/>
      <c r="M167" s="881">
        <f>'CHAM CONG'!BC157</f>
        <v>15</v>
      </c>
      <c r="N167" s="889">
        <f t="shared" si="38"/>
        <v>7.51</v>
      </c>
      <c r="O167" s="889">
        <f t="shared" si="39"/>
        <v>0.47</v>
      </c>
      <c r="P167" s="890">
        <f>'CHAM CONG'!BO157</f>
        <v>28</v>
      </c>
      <c r="Q167" s="942">
        <f t="shared" si="40"/>
        <v>2.63</v>
      </c>
      <c r="R167" s="942">
        <f>'SAN LUONG'!DW159</f>
        <v>19.8</v>
      </c>
      <c r="S167" s="942">
        <f t="shared" si="33"/>
        <v>0.62</v>
      </c>
      <c r="T167" s="943">
        <f>'CHAM CONG'!BW157</f>
        <v>0</v>
      </c>
      <c r="U167" s="942">
        <f t="shared" si="41"/>
        <v>0</v>
      </c>
      <c r="V167" s="890">
        <f>'CHAM CONG'!BD157</f>
        <v>0</v>
      </c>
      <c r="W167" s="944">
        <f t="shared" si="34"/>
        <v>0</v>
      </c>
      <c r="X167" s="891">
        <f>'CHAM CONG'!BT157</f>
        <v>1</v>
      </c>
      <c r="Y167" s="881">
        <f t="shared" si="42"/>
        <v>1.1000000000000001</v>
      </c>
      <c r="Z167" s="892">
        <v>6.03</v>
      </c>
      <c r="AA167" s="942">
        <f t="shared" si="35"/>
        <v>1.71</v>
      </c>
      <c r="AB167" s="892">
        <v>6.03</v>
      </c>
      <c r="AC167" s="942">
        <f t="shared" si="43"/>
        <v>7.24</v>
      </c>
      <c r="AD167" s="892">
        <v>6.03</v>
      </c>
      <c r="AE167" s="942">
        <f t="shared" si="44"/>
        <v>4.3</v>
      </c>
      <c r="AF167" s="943" t="e">
        <f>#N/A</f>
        <v>#N/A</v>
      </c>
      <c r="AG167" s="893">
        <f t="shared" si="36"/>
        <v>34.36</v>
      </c>
      <c r="AH167" s="894"/>
      <c r="AI167" s="895">
        <v>23.02</v>
      </c>
      <c r="AJ167" s="791">
        <v>21.01</v>
      </c>
      <c r="AK167" s="896">
        <f t="shared" si="45"/>
        <v>2</v>
      </c>
      <c r="AL167" s="896"/>
      <c r="AS167" s="898"/>
    </row>
    <row r="168" spans="1:45" s="779" customFormat="1" ht="28.95" customHeight="1">
      <c r="A168" s="885">
        <v>152</v>
      </c>
      <c r="B168" s="886">
        <v>7</v>
      </c>
      <c r="C168" s="887" t="str">
        <f>'Tên thang 01-26'!E155</f>
        <v>ធី សៀងហេង</v>
      </c>
      <c r="D168" s="887" t="str">
        <f>'Tên thang 01-26'!F155</f>
        <v>THY SEANG HENG</v>
      </c>
      <c r="E168" s="888">
        <v>277</v>
      </c>
      <c r="F168" s="889">
        <f>'SAN LUONG'!AP160*0.44</f>
        <v>0</v>
      </c>
      <c r="G168" s="889">
        <f t="shared" si="31"/>
        <v>0</v>
      </c>
      <c r="H168" s="889">
        <f>'SAN LUONG'!AO160*0.44</f>
        <v>562.76</v>
      </c>
      <c r="I168" s="889">
        <f t="shared" si="32"/>
        <v>8.9</v>
      </c>
      <c r="J168" s="889">
        <f>'SAN LUONG'!AV160*0.44</f>
        <v>0</v>
      </c>
      <c r="K168" s="889">
        <f t="shared" si="37"/>
        <v>0</v>
      </c>
      <c r="L168" s="889"/>
      <c r="M168" s="881">
        <f>'CHAM CONG'!BC158</f>
        <v>15</v>
      </c>
      <c r="N168" s="889">
        <f t="shared" si="38"/>
        <v>7.51</v>
      </c>
      <c r="O168" s="889">
        <f t="shared" si="39"/>
        <v>0.47</v>
      </c>
      <c r="P168" s="890">
        <f>'CHAM CONG'!BO158</f>
        <v>28</v>
      </c>
      <c r="Q168" s="942">
        <f t="shared" si="40"/>
        <v>2.63</v>
      </c>
      <c r="R168" s="942">
        <f>'SAN LUONG'!DW160</f>
        <v>19.8</v>
      </c>
      <c r="S168" s="942">
        <f t="shared" si="33"/>
        <v>0.62</v>
      </c>
      <c r="T168" s="943">
        <f>'CHAM CONG'!BW158</f>
        <v>0</v>
      </c>
      <c r="U168" s="942">
        <f t="shared" si="41"/>
        <v>0</v>
      </c>
      <c r="V168" s="890">
        <f>'CHAM CONG'!BD158</f>
        <v>0</v>
      </c>
      <c r="W168" s="944">
        <f t="shared" si="34"/>
        <v>0</v>
      </c>
      <c r="X168" s="891">
        <f>'CHAM CONG'!BT158</f>
        <v>1</v>
      </c>
      <c r="Y168" s="881">
        <f t="shared" si="42"/>
        <v>1.1000000000000001</v>
      </c>
      <c r="Z168" s="892">
        <v>6.03</v>
      </c>
      <c r="AA168" s="942">
        <f t="shared" si="35"/>
        <v>1.71</v>
      </c>
      <c r="AB168" s="892">
        <v>6.03</v>
      </c>
      <c r="AC168" s="942">
        <f t="shared" si="43"/>
        <v>7.24</v>
      </c>
      <c r="AD168" s="892">
        <v>6.03</v>
      </c>
      <c r="AE168" s="942">
        <f t="shared" si="44"/>
        <v>4.3</v>
      </c>
      <c r="AF168" s="943" t="e">
        <f>#N/A</f>
        <v>#N/A</v>
      </c>
      <c r="AG168" s="893">
        <f t="shared" si="36"/>
        <v>34.479999999999997</v>
      </c>
      <c r="AH168" s="894"/>
      <c r="AI168" s="895">
        <v>23.49</v>
      </c>
      <c r="AJ168" s="791">
        <v>21.48</v>
      </c>
      <c r="AK168" s="896">
        <f t="shared" si="45"/>
        <v>2</v>
      </c>
      <c r="AL168" s="896"/>
      <c r="AS168" s="898"/>
    </row>
    <row r="169" spans="1:45" s="779" customFormat="1" ht="28.95" customHeight="1">
      <c r="A169" s="885">
        <v>153</v>
      </c>
      <c r="B169" s="886">
        <v>7</v>
      </c>
      <c r="C169" s="887" t="str">
        <f>'Tên thang 01-26'!E156</f>
        <v>វ៉ាត ចន្ធី</v>
      </c>
      <c r="D169" s="887" t="str">
        <f>'Tên thang 01-26'!F156</f>
        <v>VAT CHANTHY</v>
      </c>
      <c r="E169" s="888">
        <v>278</v>
      </c>
      <c r="F169" s="889">
        <f>'SAN LUONG'!AP161*0.44</f>
        <v>0</v>
      </c>
      <c r="G169" s="889">
        <f t="shared" si="31"/>
        <v>0</v>
      </c>
      <c r="H169" s="889">
        <f>'SAN LUONG'!AO161*0.44</f>
        <v>599.72</v>
      </c>
      <c r="I169" s="889">
        <f t="shared" si="32"/>
        <v>9.48</v>
      </c>
      <c r="J169" s="889">
        <f>'SAN LUONG'!AV161*0.44</f>
        <v>0</v>
      </c>
      <c r="K169" s="889">
        <f t="shared" si="37"/>
        <v>0</v>
      </c>
      <c r="L169" s="889"/>
      <c r="M169" s="881">
        <f>'CHAM CONG'!BC159</f>
        <v>16</v>
      </c>
      <c r="N169" s="889">
        <f t="shared" si="38"/>
        <v>8.01</v>
      </c>
      <c r="O169" s="889">
        <f t="shared" si="39"/>
        <v>0.5</v>
      </c>
      <c r="P169" s="890">
        <f>'CHAM CONG'!BO159</f>
        <v>30</v>
      </c>
      <c r="Q169" s="942">
        <f t="shared" si="40"/>
        <v>2.82</v>
      </c>
      <c r="R169" s="942">
        <f>'SAN LUONG'!DW161</f>
        <v>26.4</v>
      </c>
      <c r="S169" s="942">
        <f t="shared" si="33"/>
        <v>0.83</v>
      </c>
      <c r="T169" s="943">
        <f>'CHAM CONG'!BW159</f>
        <v>0</v>
      </c>
      <c r="U169" s="942">
        <f t="shared" si="41"/>
        <v>0</v>
      </c>
      <c r="V169" s="890">
        <f>'CHAM CONG'!BD159</f>
        <v>0</v>
      </c>
      <c r="W169" s="944">
        <f t="shared" si="34"/>
        <v>0</v>
      </c>
      <c r="X169" s="891">
        <f>'CHAM CONG'!BT159</f>
        <v>1</v>
      </c>
      <c r="Y169" s="881">
        <f t="shared" si="42"/>
        <v>1.1000000000000001</v>
      </c>
      <c r="Z169" s="892">
        <v>6.03</v>
      </c>
      <c r="AA169" s="942">
        <f t="shared" si="35"/>
        <v>1.71</v>
      </c>
      <c r="AB169" s="892">
        <v>6.03</v>
      </c>
      <c r="AC169" s="942">
        <f t="shared" si="43"/>
        <v>7.24</v>
      </c>
      <c r="AD169" s="892">
        <v>6.03</v>
      </c>
      <c r="AE169" s="942">
        <f t="shared" si="44"/>
        <v>4.3</v>
      </c>
      <c r="AF169" s="943" t="e">
        <f>#N/A</f>
        <v>#N/A</v>
      </c>
      <c r="AG169" s="893">
        <f t="shared" si="36"/>
        <v>35.99</v>
      </c>
      <c r="AH169" s="894"/>
      <c r="AI169" s="895">
        <v>22.93</v>
      </c>
      <c r="AJ169" s="791">
        <v>20.92</v>
      </c>
      <c r="AK169" s="896">
        <f t="shared" si="45"/>
        <v>2</v>
      </c>
      <c r="AL169" s="896"/>
      <c r="AS169" s="898"/>
    </row>
    <row r="170" spans="1:45" s="779" customFormat="1" ht="28.95" customHeight="1">
      <c r="A170" s="885">
        <v>154</v>
      </c>
      <c r="B170" s="886">
        <v>7</v>
      </c>
      <c r="C170" s="887" t="str">
        <f>'Tên thang 01-26'!E157</f>
        <v>តែ សុនាង</v>
      </c>
      <c r="D170" s="887" t="str">
        <f>'Tên thang 01-26'!F157</f>
        <v>TOE AONANG</v>
      </c>
      <c r="E170" s="888">
        <v>279</v>
      </c>
      <c r="F170" s="889">
        <f>'SAN LUONG'!AP162*0.44</f>
        <v>0</v>
      </c>
      <c r="G170" s="889">
        <f t="shared" si="31"/>
        <v>0</v>
      </c>
      <c r="H170" s="889">
        <f>'SAN LUONG'!AO162*0.44</f>
        <v>548.24</v>
      </c>
      <c r="I170" s="889">
        <f t="shared" si="32"/>
        <v>8.67</v>
      </c>
      <c r="J170" s="889">
        <f>'SAN LUONG'!AV162*0.44</f>
        <v>0</v>
      </c>
      <c r="K170" s="889">
        <f t="shared" si="37"/>
        <v>0</v>
      </c>
      <c r="L170" s="889"/>
      <c r="M170" s="881">
        <f>'CHAM CONG'!BC160</f>
        <v>14</v>
      </c>
      <c r="N170" s="889">
        <f t="shared" si="38"/>
        <v>7.01</v>
      </c>
      <c r="O170" s="889">
        <f t="shared" si="39"/>
        <v>0.44</v>
      </c>
      <c r="P170" s="890">
        <f>'CHAM CONG'!BO160</f>
        <v>28</v>
      </c>
      <c r="Q170" s="942">
        <f t="shared" si="40"/>
        <v>2.63</v>
      </c>
      <c r="R170" s="942">
        <f>'SAN LUONG'!DW162</f>
        <v>19.7</v>
      </c>
      <c r="S170" s="942">
        <f t="shared" si="33"/>
        <v>0.62</v>
      </c>
      <c r="T170" s="943">
        <f>'CHAM CONG'!BW160</f>
        <v>0</v>
      </c>
      <c r="U170" s="942">
        <f t="shared" si="41"/>
        <v>0</v>
      </c>
      <c r="V170" s="890">
        <f>'CHAM CONG'!BD160</f>
        <v>0</v>
      </c>
      <c r="W170" s="944">
        <f t="shared" si="34"/>
        <v>0</v>
      </c>
      <c r="X170" s="891">
        <f>'CHAM CONG'!BT160</f>
        <v>1</v>
      </c>
      <c r="Y170" s="881">
        <f t="shared" si="42"/>
        <v>1.1000000000000001</v>
      </c>
      <c r="Z170" s="892">
        <v>6.03</v>
      </c>
      <c r="AA170" s="942">
        <f t="shared" si="35"/>
        <v>1.71</v>
      </c>
      <c r="AB170" s="892">
        <v>6.03</v>
      </c>
      <c r="AC170" s="942">
        <f t="shared" si="43"/>
        <v>7.24</v>
      </c>
      <c r="AD170" s="892">
        <v>6.03</v>
      </c>
      <c r="AE170" s="942">
        <f t="shared" si="44"/>
        <v>4.3</v>
      </c>
      <c r="AF170" s="943" t="e">
        <f>#N/A</f>
        <v>#N/A</v>
      </c>
      <c r="AG170" s="893">
        <f t="shared" si="36"/>
        <v>33.720000000000006</v>
      </c>
      <c r="AH170" s="894"/>
      <c r="AI170" s="895">
        <v>21.38</v>
      </c>
      <c r="AJ170" s="791">
        <v>20</v>
      </c>
      <c r="AK170" s="896">
        <f t="shared" si="45"/>
        <v>1</v>
      </c>
      <c r="AL170" s="896"/>
      <c r="AS170" s="898"/>
    </row>
    <row r="171" spans="1:45" s="779" customFormat="1" ht="28.95" customHeight="1">
      <c r="A171" s="885">
        <v>155</v>
      </c>
      <c r="B171" s="886">
        <v>7</v>
      </c>
      <c r="C171" s="887" t="str">
        <f>'Tên thang 01-26'!E158</f>
        <v>យ៉ុន ឈីន</v>
      </c>
      <c r="D171" s="887" t="str">
        <f>'Tên thang 01-26'!F158</f>
        <v>YON CHHIN</v>
      </c>
      <c r="E171" s="888">
        <v>280</v>
      </c>
      <c r="F171" s="889">
        <f>'SAN LUONG'!AP163*0.44</f>
        <v>0</v>
      </c>
      <c r="G171" s="889">
        <f t="shared" si="31"/>
        <v>0</v>
      </c>
      <c r="H171" s="889">
        <f>'SAN LUONG'!AO163*0.44</f>
        <v>616</v>
      </c>
      <c r="I171" s="889">
        <f t="shared" si="32"/>
        <v>9.74</v>
      </c>
      <c r="J171" s="889">
        <f>'SAN LUONG'!AV163*0.44</f>
        <v>0</v>
      </c>
      <c r="K171" s="889">
        <f t="shared" si="37"/>
        <v>0</v>
      </c>
      <c r="L171" s="889"/>
      <c r="M171" s="881">
        <f>'CHAM CONG'!BC161</f>
        <v>15</v>
      </c>
      <c r="N171" s="889">
        <f t="shared" si="38"/>
        <v>7.51</v>
      </c>
      <c r="O171" s="889">
        <f t="shared" si="39"/>
        <v>0.47</v>
      </c>
      <c r="P171" s="890">
        <f>'CHAM CONG'!BO161</f>
        <v>27</v>
      </c>
      <c r="Q171" s="942">
        <f t="shared" si="40"/>
        <v>2.54</v>
      </c>
      <c r="R171" s="942">
        <f>'SAN LUONG'!DW163</f>
        <v>19.5</v>
      </c>
      <c r="S171" s="942">
        <f t="shared" si="33"/>
        <v>0.61</v>
      </c>
      <c r="T171" s="943">
        <f>'CHAM CONG'!BW161</f>
        <v>0</v>
      </c>
      <c r="U171" s="942">
        <f t="shared" si="41"/>
        <v>0</v>
      </c>
      <c r="V171" s="890">
        <f>'CHAM CONG'!BD161</f>
        <v>0</v>
      </c>
      <c r="W171" s="944">
        <f t="shared" si="34"/>
        <v>0</v>
      </c>
      <c r="X171" s="891">
        <f>'CHAM CONG'!BT161</f>
        <v>1</v>
      </c>
      <c r="Y171" s="881">
        <f t="shared" si="42"/>
        <v>1.1000000000000001</v>
      </c>
      <c r="Z171" s="892">
        <v>6.03</v>
      </c>
      <c r="AA171" s="942">
        <f t="shared" si="35"/>
        <v>1.71</v>
      </c>
      <c r="AB171" s="892">
        <v>6.03</v>
      </c>
      <c r="AC171" s="942">
        <f t="shared" si="43"/>
        <v>7.24</v>
      </c>
      <c r="AD171" s="892">
        <v>6.03</v>
      </c>
      <c r="AE171" s="942">
        <f t="shared" si="44"/>
        <v>4.3</v>
      </c>
      <c r="AF171" s="943" t="e">
        <f>#N/A</f>
        <v>#N/A</v>
      </c>
      <c r="AG171" s="893">
        <f t="shared" si="36"/>
        <v>35.22</v>
      </c>
      <c r="AH171" s="894"/>
      <c r="AI171" s="895">
        <v>22.88</v>
      </c>
      <c r="AJ171" s="791">
        <v>20.88</v>
      </c>
      <c r="AK171" s="896">
        <f t="shared" si="45"/>
        <v>2</v>
      </c>
      <c r="AL171" s="896"/>
      <c r="AS171" s="898"/>
    </row>
    <row r="172" spans="1:45" s="779" customFormat="1" ht="28.95" customHeight="1">
      <c r="A172" s="885">
        <v>156</v>
      </c>
      <c r="B172" s="886">
        <v>7</v>
      </c>
      <c r="C172" s="887" t="str">
        <f>'Tên thang 01-26'!E159</f>
        <v>ហេង សុខ​</v>
      </c>
      <c r="D172" s="887" t="str">
        <f>'Tên thang 01-26'!F159</f>
        <v>HENG SOK</v>
      </c>
      <c r="E172" s="888">
        <v>281</v>
      </c>
      <c r="F172" s="889">
        <f>'SAN LUONG'!AP164*0.44</f>
        <v>0</v>
      </c>
      <c r="G172" s="889">
        <f t="shared" si="31"/>
        <v>0</v>
      </c>
      <c r="H172" s="889">
        <f>'SAN LUONG'!AO164*0.44</f>
        <v>553.96</v>
      </c>
      <c r="I172" s="889">
        <f t="shared" si="32"/>
        <v>8.76</v>
      </c>
      <c r="J172" s="889">
        <f>'SAN LUONG'!AV164*0.44</f>
        <v>0</v>
      </c>
      <c r="K172" s="889">
        <f t="shared" si="37"/>
        <v>0</v>
      </c>
      <c r="L172" s="889"/>
      <c r="M172" s="881">
        <f>'CHAM CONG'!BC162</f>
        <v>16</v>
      </c>
      <c r="N172" s="889">
        <f t="shared" si="38"/>
        <v>8.01</v>
      </c>
      <c r="O172" s="889">
        <f t="shared" si="39"/>
        <v>0.5</v>
      </c>
      <c r="P172" s="890">
        <f>'CHAM CONG'!BO162</f>
        <v>28</v>
      </c>
      <c r="Q172" s="942">
        <f t="shared" si="40"/>
        <v>2.63</v>
      </c>
      <c r="R172" s="942">
        <f>'SAN LUONG'!DW164</f>
        <v>16.7</v>
      </c>
      <c r="S172" s="942">
        <f t="shared" si="33"/>
        <v>0.52</v>
      </c>
      <c r="T172" s="943">
        <f>'CHAM CONG'!BW162</f>
        <v>0</v>
      </c>
      <c r="U172" s="942">
        <f t="shared" si="41"/>
        <v>0</v>
      </c>
      <c r="V172" s="890">
        <f>'CHAM CONG'!BD162</f>
        <v>0</v>
      </c>
      <c r="W172" s="944">
        <f t="shared" si="34"/>
        <v>0</v>
      </c>
      <c r="X172" s="891">
        <f>'CHAM CONG'!BT162</f>
        <v>1</v>
      </c>
      <c r="Y172" s="881">
        <f t="shared" si="42"/>
        <v>1.1000000000000001</v>
      </c>
      <c r="Z172" s="892">
        <v>6.03</v>
      </c>
      <c r="AA172" s="942">
        <f t="shared" si="35"/>
        <v>1.71</v>
      </c>
      <c r="AB172" s="892">
        <v>6.03</v>
      </c>
      <c r="AC172" s="942">
        <f t="shared" si="43"/>
        <v>7.24</v>
      </c>
      <c r="AD172" s="892">
        <v>6.03</v>
      </c>
      <c r="AE172" s="942">
        <f t="shared" si="44"/>
        <v>4.3</v>
      </c>
      <c r="AF172" s="943" t="e">
        <f>#N/A</f>
        <v>#N/A</v>
      </c>
      <c r="AG172" s="893">
        <f t="shared" si="36"/>
        <v>34.769999999999996</v>
      </c>
      <c r="AH172" s="894"/>
      <c r="AI172" s="895">
        <v>19.53</v>
      </c>
      <c r="AJ172" s="791">
        <v>17.53</v>
      </c>
      <c r="AK172" s="896">
        <f t="shared" si="45"/>
        <v>2</v>
      </c>
      <c r="AL172" s="896"/>
      <c r="AS172" s="898"/>
    </row>
    <row r="173" spans="1:45" s="779" customFormat="1" ht="28.95" customHeight="1">
      <c r="A173" s="885">
        <v>157</v>
      </c>
      <c r="B173" s="886">
        <v>7</v>
      </c>
      <c r="C173" s="887" t="str">
        <f>'Tên thang 01-26'!E160</f>
        <v>មឿន រម្យ</v>
      </c>
      <c r="D173" s="887" t="str">
        <f>'Tên thang 01-26'!F160</f>
        <v>MOEUN RUM</v>
      </c>
      <c r="E173" s="888">
        <v>282</v>
      </c>
      <c r="F173" s="889">
        <f>'SAN LUONG'!AP165*0.44</f>
        <v>0</v>
      </c>
      <c r="G173" s="889">
        <f t="shared" si="31"/>
        <v>0</v>
      </c>
      <c r="H173" s="889">
        <f>'SAN LUONG'!AO165*0.44</f>
        <v>496.32</v>
      </c>
      <c r="I173" s="889">
        <f t="shared" si="32"/>
        <v>7.85</v>
      </c>
      <c r="J173" s="889">
        <f>'SAN LUONG'!AV165*0.44</f>
        <v>0</v>
      </c>
      <c r="K173" s="889">
        <f t="shared" si="37"/>
        <v>0</v>
      </c>
      <c r="L173" s="889"/>
      <c r="M173" s="881">
        <f>'CHAM CONG'!BC163</f>
        <v>16</v>
      </c>
      <c r="N173" s="889">
        <f t="shared" si="38"/>
        <v>8.01</v>
      </c>
      <c r="O173" s="889">
        <f t="shared" si="39"/>
        <v>0.5</v>
      </c>
      <c r="P173" s="890">
        <f>'CHAM CONG'!BO163</f>
        <v>28</v>
      </c>
      <c r="Q173" s="942">
        <f t="shared" si="40"/>
        <v>2.63</v>
      </c>
      <c r="R173" s="942">
        <f>'SAN LUONG'!DW165</f>
        <v>17.2</v>
      </c>
      <c r="S173" s="942">
        <f t="shared" si="33"/>
        <v>0.54</v>
      </c>
      <c r="T173" s="943">
        <f>'CHAM CONG'!BW163</f>
        <v>0</v>
      </c>
      <c r="U173" s="942">
        <f t="shared" si="41"/>
        <v>0</v>
      </c>
      <c r="V173" s="890">
        <f>'CHAM CONG'!BD163</f>
        <v>0</v>
      </c>
      <c r="W173" s="944">
        <f t="shared" si="34"/>
        <v>0</v>
      </c>
      <c r="X173" s="891">
        <f>'CHAM CONG'!BT163</f>
        <v>1</v>
      </c>
      <c r="Y173" s="881">
        <f t="shared" si="42"/>
        <v>1.1000000000000001</v>
      </c>
      <c r="Z173" s="892">
        <v>6.03</v>
      </c>
      <c r="AA173" s="942">
        <f t="shared" si="35"/>
        <v>1.71</v>
      </c>
      <c r="AB173" s="892">
        <v>6.03</v>
      </c>
      <c r="AC173" s="942">
        <f t="shared" si="43"/>
        <v>7.24</v>
      </c>
      <c r="AD173" s="892">
        <v>6.03</v>
      </c>
      <c r="AE173" s="942">
        <f t="shared" si="44"/>
        <v>4.3</v>
      </c>
      <c r="AF173" s="943" t="e">
        <f>#N/A</f>
        <v>#N/A</v>
      </c>
      <c r="AG173" s="893">
        <f t="shared" si="36"/>
        <v>33.880000000000003</v>
      </c>
      <c r="AH173" s="894"/>
      <c r="AI173" s="895">
        <v>19.28</v>
      </c>
      <c r="AJ173" s="791">
        <v>17.27</v>
      </c>
      <c r="AK173" s="896">
        <f t="shared" si="45"/>
        <v>2</v>
      </c>
      <c r="AL173" s="896"/>
      <c r="AS173" s="898"/>
    </row>
    <row r="174" spans="1:45" s="779" customFormat="1" ht="28.95" customHeight="1">
      <c r="A174" s="885">
        <v>158</v>
      </c>
      <c r="B174" s="886">
        <v>7</v>
      </c>
      <c r="C174" s="887" t="str">
        <f>'Tên thang 01-26'!E161</f>
        <v>សំ វិជ្ជា</v>
      </c>
      <c r="D174" s="887" t="str">
        <f>'Tên thang 01-26'!F161</f>
        <v>SAM VICHEA</v>
      </c>
      <c r="E174" s="888">
        <v>283</v>
      </c>
      <c r="F174" s="889">
        <f>'SAN LUONG'!AP166*0.44</f>
        <v>0</v>
      </c>
      <c r="G174" s="889">
        <f t="shared" si="31"/>
        <v>0</v>
      </c>
      <c r="H174" s="889">
        <f>'SAN LUONG'!AO166*0.44</f>
        <v>554.84</v>
      </c>
      <c r="I174" s="889">
        <f t="shared" si="32"/>
        <v>8.77</v>
      </c>
      <c r="J174" s="889">
        <f>'SAN LUONG'!AV166*0.44</f>
        <v>0</v>
      </c>
      <c r="K174" s="889">
        <f t="shared" si="37"/>
        <v>0</v>
      </c>
      <c r="L174" s="889"/>
      <c r="M174" s="881">
        <f>'CHAM CONG'!BC164</f>
        <v>16</v>
      </c>
      <c r="N174" s="889">
        <f t="shared" si="38"/>
        <v>8.01</v>
      </c>
      <c r="O174" s="889">
        <f t="shared" si="39"/>
        <v>0.5</v>
      </c>
      <c r="P174" s="890">
        <f>'CHAM CONG'!BO164</f>
        <v>30</v>
      </c>
      <c r="Q174" s="942">
        <f t="shared" si="40"/>
        <v>2.82</v>
      </c>
      <c r="R174" s="942">
        <f>'SAN LUONG'!DW166</f>
        <v>18.5</v>
      </c>
      <c r="S174" s="942">
        <f t="shared" si="33"/>
        <v>0.57999999999999996</v>
      </c>
      <c r="T174" s="943">
        <f>'CHAM CONG'!BW164</f>
        <v>0</v>
      </c>
      <c r="U174" s="942">
        <f t="shared" si="41"/>
        <v>0</v>
      </c>
      <c r="V174" s="890">
        <f>'CHAM CONG'!BD164</f>
        <v>0</v>
      </c>
      <c r="W174" s="944">
        <f t="shared" si="34"/>
        <v>0</v>
      </c>
      <c r="X174" s="891">
        <f>'CHAM CONG'!BT164</f>
        <v>1</v>
      </c>
      <c r="Y174" s="881">
        <f t="shared" si="42"/>
        <v>1.1000000000000001</v>
      </c>
      <c r="Z174" s="892">
        <v>6.03</v>
      </c>
      <c r="AA174" s="942">
        <f t="shared" si="35"/>
        <v>1.71</v>
      </c>
      <c r="AB174" s="892">
        <v>6.03</v>
      </c>
      <c r="AC174" s="942">
        <f t="shared" si="43"/>
        <v>7.24</v>
      </c>
      <c r="AD174" s="892">
        <v>6.03</v>
      </c>
      <c r="AE174" s="942">
        <f t="shared" si="44"/>
        <v>4.3</v>
      </c>
      <c r="AF174" s="943" t="e">
        <f>#N/A</f>
        <v>#N/A</v>
      </c>
      <c r="AG174" s="893">
        <f t="shared" si="36"/>
        <v>35.03</v>
      </c>
      <c r="AH174" s="894"/>
      <c r="AI174" s="895">
        <v>22.61</v>
      </c>
      <c r="AJ174" s="791">
        <v>20.610000000000003</v>
      </c>
      <c r="AK174" s="896">
        <f t="shared" si="45"/>
        <v>2</v>
      </c>
      <c r="AL174" s="896"/>
      <c r="AS174" s="898"/>
    </row>
    <row r="175" spans="1:45" s="779" customFormat="1" ht="28.95" customHeight="1">
      <c r="A175" s="885">
        <v>159</v>
      </c>
      <c r="B175" s="886">
        <v>7</v>
      </c>
      <c r="C175" s="887" t="str">
        <f>'Tên thang 01-26'!E162</f>
        <v>គង់ កៀន</v>
      </c>
      <c r="D175" s="887" t="str">
        <f>'Tên thang 01-26'!F162</f>
        <v>KONG KIEN</v>
      </c>
      <c r="E175" s="888">
        <v>284</v>
      </c>
      <c r="F175" s="889">
        <f>'SAN LUONG'!AP167*0.44</f>
        <v>0</v>
      </c>
      <c r="G175" s="889">
        <f t="shared" si="31"/>
        <v>0</v>
      </c>
      <c r="H175" s="889">
        <f>'SAN LUONG'!AO167*0.44</f>
        <v>674.08</v>
      </c>
      <c r="I175" s="889">
        <f t="shared" si="32"/>
        <v>10.66</v>
      </c>
      <c r="J175" s="889">
        <f>'SAN LUONG'!AV167*0.44</f>
        <v>0</v>
      </c>
      <c r="K175" s="889">
        <f t="shared" si="37"/>
        <v>0</v>
      </c>
      <c r="L175" s="889"/>
      <c r="M175" s="881">
        <f>'CHAM CONG'!BC165</f>
        <v>16</v>
      </c>
      <c r="N175" s="889">
        <f t="shared" si="38"/>
        <v>8.01</v>
      </c>
      <c r="O175" s="889">
        <f t="shared" si="39"/>
        <v>0.5</v>
      </c>
      <c r="P175" s="890">
        <f>'CHAM CONG'!BO165</f>
        <v>28</v>
      </c>
      <c r="Q175" s="942">
        <f t="shared" si="40"/>
        <v>2.63</v>
      </c>
      <c r="R175" s="942">
        <f>'SAN LUONG'!DW167</f>
        <v>20.7</v>
      </c>
      <c r="S175" s="942">
        <f t="shared" si="33"/>
        <v>0.65</v>
      </c>
      <c r="T175" s="943">
        <f>'CHAM CONG'!BW165</f>
        <v>0</v>
      </c>
      <c r="U175" s="942">
        <f t="shared" si="41"/>
        <v>0</v>
      </c>
      <c r="V175" s="890">
        <f>'CHAM CONG'!BD165</f>
        <v>0</v>
      </c>
      <c r="W175" s="944">
        <f t="shared" si="34"/>
        <v>0</v>
      </c>
      <c r="X175" s="891">
        <f>'CHAM CONG'!BT165</f>
        <v>1</v>
      </c>
      <c r="Y175" s="881">
        <f t="shared" si="42"/>
        <v>1.1000000000000001</v>
      </c>
      <c r="Z175" s="892">
        <v>6.03</v>
      </c>
      <c r="AA175" s="942">
        <f t="shared" si="35"/>
        <v>1.71</v>
      </c>
      <c r="AB175" s="892">
        <v>6.03</v>
      </c>
      <c r="AC175" s="942">
        <f t="shared" si="43"/>
        <v>7.24</v>
      </c>
      <c r="AD175" s="892">
        <v>6.03</v>
      </c>
      <c r="AE175" s="942">
        <f t="shared" si="44"/>
        <v>4.3</v>
      </c>
      <c r="AF175" s="943" t="e">
        <f>#N/A</f>
        <v>#N/A</v>
      </c>
      <c r="AG175" s="893">
        <f t="shared" si="36"/>
        <v>36.799999999999997</v>
      </c>
      <c r="AH175" s="894"/>
      <c r="AI175" s="895">
        <v>21.45</v>
      </c>
      <c r="AJ175" s="791">
        <v>19.430000000000003</v>
      </c>
      <c r="AK175" s="896">
        <f t="shared" si="45"/>
        <v>2</v>
      </c>
      <c r="AL175" s="896"/>
      <c r="AS175" s="898"/>
    </row>
    <row r="176" spans="1:45" s="779" customFormat="1" ht="28.95" customHeight="1">
      <c r="A176" s="885">
        <v>160</v>
      </c>
      <c r="B176" s="886">
        <v>7</v>
      </c>
      <c r="C176" s="887" t="str">
        <f>'Tên thang 01-26'!E163</f>
        <v>បាវ ប៊ន</v>
      </c>
      <c r="D176" s="887" t="str">
        <f>'Tên thang 01-26'!F163</f>
        <v>BAV BORN</v>
      </c>
      <c r="E176" s="888">
        <v>285</v>
      </c>
      <c r="F176" s="889">
        <f>'SAN LUONG'!AP168*0.44</f>
        <v>0</v>
      </c>
      <c r="G176" s="889">
        <f t="shared" si="31"/>
        <v>0</v>
      </c>
      <c r="H176" s="889">
        <f>'SAN LUONG'!AO168*0.44</f>
        <v>653.84</v>
      </c>
      <c r="I176" s="889">
        <f t="shared" si="32"/>
        <v>10.34</v>
      </c>
      <c r="J176" s="889">
        <f>'SAN LUONG'!AV168*0.44</f>
        <v>0</v>
      </c>
      <c r="K176" s="889">
        <f t="shared" si="37"/>
        <v>0</v>
      </c>
      <c r="L176" s="889"/>
      <c r="M176" s="881">
        <f>'CHAM CONG'!BC166</f>
        <v>16</v>
      </c>
      <c r="N176" s="889">
        <f t="shared" si="38"/>
        <v>8.01</v>
      </c>
      <c r="O176" s="889">
        <f t="shared" si="39"/>
        <v>0.5</v>
      </c>
      <c r="P176" s="890">
        <f>'CHAM CONG'!BO166</f>
        <v>28</v>
      </c>
      <c r="Q176" s="942">
        <f t="shared" si="40"/>
        <v>2.63</v>
      </c>
      <c r="R176" s="942">
        <f>'SAN LUONG'!DW168</f>
        <v>21.799999999999997</v>
      </c>
      <c r="S176" s="942">
        <f t="shared" si="33"/>
        <v>0.68</v>
      </c>
      <c r="T176" s="943">
        <f>'CHAM CONG'!BW166</f>
        <v>0</v>
      </c>
      <c r="U176" s="942">
        <f t="shared" si="41"/>
        <v>0</v>
      </c>
      <c r="V176" s="890">
        <f>'CHAM CONG'!BD166</f>
        <v>0</v>
      </c>
      <c r="W176" s="944">
        <f t="shared" si="34"/>
        <v>0</v>
      </c>
      <c r="X176" s="891">
        <f>'CHAM CONG'!BT166</f>
        <v>1</v>
      </c>
      <c r="Y176" s="881">
        <f t="shared" si="42"/>
        <v>1.1000000000000001</v>
      </c>
      <c r="Z176" s="892">
        <v>6.03</v>
      </c>
      <c r="AA176" s="942">
        <f t="shared" si="35"/>
        <v>1.71</v>
      </c>
      <c r="AB176" s="892">
        <v>6.03</v>
      </c>
      <c r="AC176" s="942">
        <f t="shared" si="43"/>
        <v>7.24</v>
      </c>
      <c r="AD176" s="892">
        <v>6.03</v>
      </c>
      <c r="AE176" s="942">
        <f t="shared" si="44"/>
        <v>4.3</v>
      </c>
      <c r="AF176" s="943" t="e">
        <f>#N/A</f>
        <v>#N/A</v>
      </c>
      <c r="AG176" s="893">
        <f t="shared" si="36"/>
        <v>36.51</v>
      </c>
      <c r="AH176" s="894"/>
      <c r="AI176" s="895">
        <v>24.44</v>
      </c>
      <c r="AJ176" s="791">
        <v>21.82</v>
      </c>
      <c r="AK176" s="896">
        <f t="shared" si="45"/>
        <v>3</v>
      </c>
      <c r="AL176" s="896"/>
      <c r="AS176" s="898"/>
    </row>
    <row r="177" spans="1:45" s="779" customFormat="1" ht="28.95" customHeight="1">
      <c r="A177" s="885">
        <v>161</v>
      </c>
      <c r="B177" s="886">
        <v>7</v>
      </c>
      <c r="C177" s="887" t="str">
        <f>'Tên thang 01-26'!E164</f>
        <v>ខុន ចំរ៉ុង</v>
      </c>
      <c r="D177" s="887" t="str">
        <f>'Tên thang 01-26'!F164</f>
        <v>KHUN CHAMRONG</v>
      </c>
      <c r="E177" s="888">
        <v>286</v>
      </c>
      <c r="F177" s="889">
        <f>'SAN LUONG'!AP169*0.44</f>
        <v>0</v>
      </c>
      <c r="G177" s="889">
        <f t="shared" si="31"/>
        <v>0</v>
      </c>
      <c r="H177" s="889">
        <f>'SAN LUONG'!AO169*0.44</f>
        <v>474.76</v>
      </c>
      <c r="I177" s="889">
        <f t="shared" si="32"/>
        <v>7.5</v>
      </c>
      <c r="J177" s="889">
        <f>'SAN LUONG'!AV169*0.44</f>
        <v>0</v>
      </c>
      <c r="K177" s="889">
        <f t="shared" si="37"/>
        <v>0</v>
      </c>
      <c r="L177" s="889"/>
      <c r="M177" s="881">
        <f>'CHAM CONG'!BC167</f>
        <v>15</v>
      </c>
      <c r="N177" s="889">
        <f t="shared" si="38"/>
        <v>7.51</v>
      </c>
      <c r="O177" s="889">
        <f t="shared" si="39"/>
        <v>0.47</v>
      </c>
      <c r="P177" s="890">
        <f>'CHAM CONG'!BO167</f>
        <v>29</v>
      </c>
      <c r="Q177" s="942">
        <f t="shared" si="40"/>
        <v>2.72</v>
      </c>
      <c r="R177" s="942">
        <f>'SAN LUONG'!DW169</f>
        <v>14.3</v>
      </c>
      <c r="S177" s="942">
        <f t="shared" si="33"/>
        <v>0.45</v>
      </c>
      <c r="T177" s="943">
        <f>'CHAM CONG'!BW167</f>
        <v>0</v>
      </c>
      <c r="U177" s="942">
        <f t="shared" si="41"/>
        <v>0</v>
      </c>
      <c r="V177" s="890">
        <f>'CHAM CONG'!BD167</f>
        <v>0</v>
      </c>
      <c r="W177" s="944">
        <f t="shared" si="34"/>
        <v>0</v>
      </c>
      <c r="X177" s="891">
        <f>'CHAM CONG'!BT167</f>
        <v>1</v>
      </c>
      <c r="Y177" s="881">
        <f t="shared" si="42"/>
        <v>1.1000000000000001</v>
      </c>
      <c r="Z177" s="892">
        <v>6.03</v>
      </c>
      <c r="AA177" s="942">
        <f t="shared" si="35"/>
        <v>1.71</v>
      </c>
      <c r="AB177" s="892">
        <v>6.03</v>
      </c>
      <c r="AC177" s="942">
        <f t="shared" si="43"/>
        <v>7.24</v>
      </c>
      <c r="AD177" s="892">
        <v>6.03</v>
      </c>
      <c r="AE177" s="942">
        <f t="shared" si="44"/>
        <v>4.3</v>
      </c>
      <c r="AF177" s="943" t="e">
        <f>#N/A</f>
        <v>#N/A</v>
      </c>
      <c r="AG177" s="893">
        <f t="shared" si="36"/>
        <v>33</v>
      </c>
      <c r="AH177" s="894"/>
      <c r="AI177" s="895">
        <v>19.43</v>
      </c>
      <c r="AJ177" s="791">
        <v>17.430000000000003</v>
      </c>
      <c r="AK177" s="896">
        <f t="shared" si="45"/>
        <v>2</v>
      </c>
      <c r="AL177" s="896"/>
      <c r="AS177" s="898"/>
    </row>
    <row r="178" spans="1:45" s="779" customFormat="1" ht="28.95" customHeight="1">
      <c r="A178" s="885">
        <v>162</v>
      </c>
      <c r="B178" s="886">
        <v>7</v>
      </c>
      <c r="C178" s="887" t="str">
        <f>'Tên thang 01-26'!E165</f>
        <v>សែម មុំ</v>
      </c>
      <c r="D178" s="887" t="str">
        <f>'Tên thang 01-26'!F165</f>
        <v>SEM MOM</v>
      </c>
      <c r="E178" s="888">
        <v>287</v>
      </c>
      <c r="F178" s="889">
        <f>'SAN LUONG'!AP170*0.44</f>
        <v>0</v>
      </c>
      <c r="G178" s="889">
        <f t="shared" si="31"/>
        <v>0</v>
      </c>
      <c r="H178" s="889">
        <f>'SAN LUONG'!AO170*0.44</f>
        <v>741.4</v>
      </c>
      <c r="I178" s="889">
        <f t="shared" si="32"/>
        <v>11.72</v>
      </c>
      <c r="J178" s="889">
        <f>'SAN LUONG'!AV170*0.44</f>
        <v>0</v>
      </c>
      <c r="K178" s="889">
        <f t="shared" si="37"/>
        <v>0</v>
      </c>
      <c r="L178" s="889"/>
      <c r="M178" s="881">
        <f>'CHAM CONG'!BC168</f>
        <v>14</v>
      </c>
      <c r="N178" s="889">
        <f t="shared" si="38"/>
        <v>7.01</v>
      </c>
      <c r="O178" s="889">
        <f t="shared" si="39"/>
        <v>0.44</v>
      </c>
      <c r="P178" s="890">
        <f>'CHAM CONG'!BO168</f>
        <v>29</v>
      </c>
      <c r="Q178" s="942">
        <f t="shared" si="40"/>
        <v>2.72</v>
      </c>
      <c r="R178" s="942">
        <f>'SAN LUONG'!DW170</f>
        <v>14.6</v>
      </c>
      <c r="S178" s="942">
        <f t="shared" si="33"/>
        <v>0.46</v>
      </c>
      <c r="T178" s="943">
        <f>'CHAM CONG'!BW168</f>
        <v>0</v>
      </c>
      <c r="U178" s="942">
        <f t="shared" si="41"/>
        <v>0</v>
      </c>
      <c r="V178" s="890">
        <f>'CHAM CONG'!BD168</f>
        <v>0</v>
      </c>
      <c r="W178" s="944">
        <f t="shared" si="34"/>
        <v>0</v>
      </c>
      <c r="X178" s="891">
        <f>'CHAM CONG'!BT168</f>
        <v>1</v>
      </c>
      <c r="Y178" s="881">
        <f t="shared" si="42"/>
        <v>1.1000000000000001</v>
      </c>
      <c r="Z178" s="892">
        <v>6.03</v>
      </c>
      <c r="AA178" s="942">
        <f t="shared" si="35"/>
        <v>1.71</v>
      </c>
      <c r="AB178" s="892">
        <v>6.03</v>
      </c>
      <c r="AC178" s="942">
        <f t="shared" si="43"/>
        <v>7.24</v>
      </c>
      <c r="AD178" s="892">
        <v>6.03</v>
      </c>
      <c r="AE178" s="942">
        <f t="shared" si="44"/>
        <v>4.3</v>
      </c>
      <c r="AF178" s="943" t="e">
        <f>#N/A</f>
        <v>#N/A</v>
      </c>
      <c r="AG178" s="893">
        <f t="shared" si="36"/>
        <v>36.699999999999996</v>
      </c>
      <c r="AH178" s="894"/>
      <c r="AI178" s="895">
        <v>25.15</v>
      </c>
      <c r="AJ178" s="791">
        <v>23.150000000000002</v>
      </c>
      <c r="AK178" s="896">
        <f t="shared" si="45"/>
        <v>2</v>
      </c>
      <c r="AL178" s="896"/>
      <c r="AS178" s="898"/>
    </row>
    <row r="179" spans="1:45" s="779" customFormat="1" ht="28.95" customHeight="1">
      <c r="A179" s="885">
        <v>163</v>
      </c>
      <c r="B179" s="886">
        <v>7</v>
      </c>
      <c r="C179" s="887" t="str">
        <f>'Tên thang 01-26'!E166</f>
        <v>ឈិត លាង</v>
      </c>
      <c r="D179" s="887" t="str">
        <f>'Tên thang 01-26'!F166</f>
        <v>CHHET LEANG</v>
      </c>
      <c r="E179" s="888">
        <v>288</v>
      </c>
      <c r="F179" s="889">
        <f>'SAN LUONG'!AP171*0.44</f>
        <v>0</v>
      </c>
      <c r="G179" s="889">
        <f t="shared" si="31"/>
        <v>0</v>
      </c>
      <c r="H179" s="889">
        <f>'SAN LUONG'!AO171*0.44</f>
        <v>545.16</v>
      </c>
      <c r="I179" s="889">
        <f t="shared" si="32"/>
        <v>8.6199999999999992</v>
      </c>
      <c r="J179" s="889">
        <f>'SAN LUONG'!AV171*0.44</f>
        <v>0</v>
      </c>
      <c r="K179" s="889">
        <f t="shared" si="37"/>
        <v>0</v>
      </c>
      <c r="L179" s="889"/>
      <c r="M179" s="881">
        <f>'CHAM CONG'!BC169</f>
        <v>14</v>
      </c>
      <c r="N179" s="889">
        <f t="shared" si="38"/>
        <v>7.01</v>
      </c>
      <c r="O179" s="889">
        <f t="shared" si="39"/>
        <v>0.44</v>
      </c>
      <c r="P179" s="890">
        <f>'CHAM CONG'!BO169</f>
        <v>26</v>
      </c>
      <c r="Q179" s="942">
        <f t="shared" si="40"/>
        <v>2.44</v>
      </c>
      <c r="R179" s="942">
        <f>'SAN LUONG'!DW171</f>
        <v>23.6</v>
      </c>
      <c r="S179" s="942">
        <f t="shared" si="33"/>
        <v>0.74</v>
      </c>
      <c r="T179" s="943">
        <f>'CHAM CONG'!BW169</f>
        <v>0</v>
      </c>
      <c r="U179" s="942">
        <f t="shared" si="41"/>
        <v>0</v>
      </c>
      <c r="V179" s="890">
        <f>'CHAM CONG'!BD169</f>
        <v>0</v>
      </c>
      <c r="W179" s="944">
        <f t="shared" si="34"/>
        <v>0</v>
      </c>
      <c r="X179" s="891">
        <f>'CHAM CONG'!BT169</f>
        <v>1</v>
      </c>
      <c r="Y179" s="881">
        <f t="shared" si="42"/>
        <v>1.1000000000000001</v>
      </c>
      <c r="Z179" s="892">
        <v>6.03</v>
      </c>
      <c r="AA179" s="942">
        <f t="shared" si="35"/>
        <v>1.71</v>
      </c>
      <c r="AB179" s="892">
        <v>6.03</v>
      </c>
      <c r="AC179" s="942">
        <f t="shared" si="43"/>
        <v>7.24</v>
      </c>
      <c r="AD179" s="892">
        <v>6.03</v>
      </c>
      <c r="AE179" s="942">
        <f t="shared" si="44"/>
        <v>4.3</v>
      </c>
      <c r="AF179" s="943" t="e">
        <f>#N/A</f>
        <v>#N/A</v>
      </c>
      <c r="AG179" s="893">
        <f t="shared" si="36"/>
        <v>33.6</v>
      </c>
      <c r="AH179" s="894"/>
      <c r="AI179" s="895">
        <v>22.09</v>
      </c>
      <c r="AJ179" s="791">
        <v>19.46</v>
      </c>
      <c r="AK179" s="896">
        <f t="shared" si="45"/>
        <v>3</v>
      </c>
      <c r="AL179" s="896"/>
      <c r="AS179" s="898"/>
    </row>
    <row r="180" spans="1:45" s="779" customFormat="1" ht="28.95" customHeight="1">
      <c r="A180" s="885">
        <v>164</v>
      </c>
      <c r="B180" s="886">
        <v>7</v>
      </c>
      <c r="C180" s="887" t="str">
        <f>'Tên thang 01-26'!E167</f>
        <v>ឡាម ពុំ</v>
      </c>
      <c r="D180" s="887" t="str">
        <f>'Tên thang 01-26'!F167</f>
        <v>LAM PUM</v>
      </c>
      <c r="E180" s="888">
        <v>289</v>
      </c>
      <c r="F180" s="889">
        <f>'SAN LUONG'!AP172*0.44</f>
        <v>0</v>
      </c>
      <c r="G180" s="889">
        <f t="shared" si="31"/>
        <v>0</v>
      </c>
      <c r="H180" s="889">
        <f>'SAN LUONG'!AO172*0.44</f>
        <v>542.96</v>
      </c>
      <c r="I180" s="889">
        <f t="shared" si="32"/>
        <v>8.58</v>
      </c>
      <c r="J180" s="889">
        <f>'SAN LUONG'!AV172*0.44</f>
        <v>0</v>
      </c>
      <c r="K180" s="889">
        <f t="shared" si="37"/>
        <v>0</v>
      </c>
      <c r="L180" s="889"/>
      <c r="M180" s="881">
        <f>'CHAM CONG'!BC170</f>
        <v>14</v>
      </c>
      <c r="N180" s="889">
        <f t="shared" si="38"/>
        <v>7.01</v>
      </c>
      <c r="O180" s="889">
        <f t="shared" si="39"/>
        <v>0.44</v>
      </c>
      <c r="P180" s="890">
        <f>'CHAM CONG'!BO170</f>
        <v>26</v>
      </c>
      <c r="Q180" s="942">
        <f t="shared" si="40"/>
        <v>2.44</v>
      </c>
      <c r="R180" s="942">
        <f>'SAN LUONG'!DW172</f>
        <v>24</v>
      </c>
      <c r="S180" s="942">
        <f t="shared" si="33"/>
        <v>0.75</v>
      </c>
      <c r="T180" s="943">
        <f>'CHAM CONG'!BW170</f>
        <v>0</v>
      </c>
      <c r="U180" s="942">
        <f t="shared" si="41"/>
        <v>0</v>
      </c>
      <c r="V180" s="890">
        <f>'CHAM CONG'!BD170</f>
        <v>0</v>
      </c>
      <c r="W180" s="944">
        <f t="shared" si="34"/>
        <v>0</v>
      </c>
      <c r="X180" s="891">
        <f>'CHAM CONG'!BT170</f>
        <v>1</v>
      </c>
      <c r="Y180" s="881">
        <f t="shared" si="42"/>
        <v>1.1000000000000001</v>
      </c>
      <c r="Z180" s="892">
        <v>6.03</v>
      </c>
      <c r="AA180" s="942">
        <f t="shared" si="35"/>
        <v>1.71</v>
      </c>
      <c r="AB180" s="892">
        <v>6.03</v>
      </c>
      <c r="AC180" s="942">
        <f t="shared" si="43"/>
        <v>7.24</v>
      </c>
      <c r="AD180" s="892">
        <v>6.03</v>
      </c>
      <c r="AE180" s="942">
        <f t="shared" si="44"/>
        <v>4.3</v>
      </c>
      <c r="AF180" s="943" t="e">
        <f>#N/A</f>
        <v>#N/A</v>
      </c>
      <c r="AG180" s="893">
        <f t="shared" si="36"/>
        <v>33.570000000000007</v>
      </c>
      <c r="AH180" s="894"/>
      <c r="AI180" s="895">
        <v>21.69</v>
      </c>
      <c r="AJ180" s="791">
        <v>19.060000000000002</v>
      </c>
      <c r="AK180" s="896">
        <f t="shared" si="45"/>
        <v>3</v>
      </c>
      <c r="AL180" s="896"/>
      <c r="AS180" s="898"/>
    </row>
    <row r="181" spans="1:45" s="779" customFormat="1" ht="28.95" customHeight="1">
      <c r="A181" s="885">
        <v>165</v>
      </c>
      <c r="B181" s="886">
        <v>7</v>
      </c>
      <c r="C181" s="887" t="str">
        <f>'Tên thang 01-26'!E168</f>
        <v>ភ័ក្រ ធិ</v>
      </c>
      <c r="D181" s="887" t="str">
        <f>'Tên thang 01-26'!F168</f>
        <v>PHEAK THIK</v>
      </c>
      <c r="E181" s="888">
        <v>290</v>
      </c>
      <c r="F181" s="889">
        <f>'SAN LUONG'!AP173*0.44</f>
        <v>0</v>
      </c>
      <c r="G181" s="889">
        <f t="shared" si="31"/>
        <v>0</v>
      </c>
      <c r="H181" s="889">
        <f>'SAN LUONG'!AO173*0.44</f>
        <v>535.48</v>
      </c>
      <c r="I181" s="889">
        <f t="shared" si="32"/>
        <v>8.4600000000000009</v>
      </c>
      <c r="J181" s="889">
        <f>'SAN LUONG'!AV173*0.44</f>
        <v>0</v>
      </c>
      <c r="K181" s="889">
        <f t="shared" si="37"/>
        <v>0</v>
      </c>
      <c r="L181" s="889"/>
      <c r="M181" s="881">
        <f>'CHAM CONG'!BC171</f>
        <v>14</v>
      </c>
      <c r="N181" s="889">
        <f t="shared" si="38"/>
        <v>7.01</v>
      </c>
      <c r="O181" s="889">
        <f t="shared" si="39"/>
        <v>0.44</v>
      </c>
      <c r="P181" s="890">
        <f>'CHAM CONG'!BO171</f>
        <v>0</v>
      </c>
      <c r="Q181" s="942">
        <f t="shared" si="40"/>
        <v>0</v>
      </c>
      <c r="R181" s="942">
        <f>'SAN LUONG'!DW173</f>
        <v>15.4</v>
      </c>
      <c r="S181" s="942">
        <f t="shared" si="33"/>
        <v>0.48</v>
      </c>
      <c r="T181" s="943">
        <f>'CHAM CONG'!BW171</f>
        <v>0</v>
      </c>
      <c r="U181" s="942">
        <f t="shared" si="41"/>
        <v>0</v>
      </c>
      <c r="V181" s="890">
        <f>'CHAM CONG'!BD171</f>
        <v>0</v>
      </c>
      <c r="W181" s="944">
        <f t="shared" si="34"/>
        <v>0</v>
      </c>
      <c r="X181" s="891">
        <f>'CHAM CONG'!BT171</f>
        <v>0</v>
      </c>
      <c r="Y181" s="881">
        <f t="shared" si="42"/>
        <v>0</v>
      </c>
      <c r="Z181" s="892">
        <v>6.03</v>
      </c>
      <c r="AA181" s="942">
        <f t="shared" si="35"/>
        <v>1.71</v>
      </c>
      <c r="AB181" s="892">
        <v>6.03</v>
      </c>
      <c r="AC181" s="942">
        <f t="shared" si="43"/>
        <v>7.24</v>
      </c>
      <c r="AD181" s="892">
        <v>6.03</v>
      </c>
      <c r="AE181" s="942">
        <f t="shared" si="44"/>
        <v>4.3</v>
      </c>
      <c r="AF181" s="943" t="e">
        <f>#N/A</f>
        <v>#N/A</v>
      </c>
      <c r="AG181" s="893">
        <f t="shared" si="36"/>
        <v>29.640000000000004</v>
      </c>
      <c r="AH181" s="894"/>
      <c r="AI181" s="895">
        <v>24.11</v>
      </c>
      <c r="AJ181" s="791">
        <v>22.1</v>
      </c>
      <c r="AK181" s="896">
        <f t="shared" si="45"/>
        <v>2</v>
      </c>
      <c r="AL181" s="896"/>
      <c r="AS181" s="898"/>
    </row>
    <row r="182" spans="1:45" s="779" customFormat="1" ht="28.95" customHeight="1">
      <c r="A182" s="885">
        <v>166</v>
      </c>
      <c r="B182" s="886">
        <v>7</v>
      </c>
      <c r="C182" s="887" t="str">
        <f>'Tên thang 01-26'!E169</f>
        <v>ជុំ មី</v>
      </c>
      <c r="D182" s="887" t="str">
        <f>'Tên thang 01-26'!F169</f>
        <v>CHUM ME</v>
      </c>
      <c r="E182" s="888">
        <v>291</v>
      </c>
      <c r="F182" s="889">
        <f>'SAN LUONG'!AP174*0.44</f>
        <v>0</v>
      </c>
      <c r="G182" s="889">
        <f t="shared" si="31"/>
        <v>0</v>
      </c>
      <c r="H182" s="889">
        <f>'SAN LUONG'!AO174*0.44</f>
        <v>505.56</v>
      </c>
      <c r="I182" s="889">
        <f t="shared" si="32"/>
        <v>7.99</v>
      </c>
      <c r="J182" s="889">
        <f>'SAN LUONG'!AV174*0.44</f>
        <v>0</v>
      </c>
      <c r="K182" s="889">
        <f t="shared" si="37"/>
        <v>0</v>
      </c>
      <c r="L182" s="889"/>
      <c r="M182" s="881">
        <f>'CHAM CONG'!BC172</f>
        <v>16</v>
      </c>
      <c r="N182" s="889">
        <f t="shared" si="38"/>
        <v>8.01</v>
      </c>
      <c r="O182" s="889">
        <f t="shared" si="39"/>
        <v>0.5</v>
      </c>
      <c r="P182" s="890">
        <f>'CHAM CONG'!BO172</f>
        <v>29</v>
      </c>
      <c r="Q182" s="942">
        <f t="shared" si="40"/>
        <v>2.72</v>
      </c>
      <c r="R182" s="942">
        <f>'SAN LUONG'!DW174</f>
        <v>24.8</v>
      </c>
      <c r="S182" s="942">
        <f t="shared" si="33"/>
        <v>0.78</v>
      </c>
      <c r="T182" s="943">
        <f>'CHAM CONG'!BW172</f>
        <v>0</v>
      </c>
      <c r="U182" s="942">
        <f t="shared" si="41"/>
        <v>0</v>
      </c>
      <c r="V182" s="890">
        <f>'CHAM CONG'!BD172</f>
        <v>0</v>
      </c>
      <c r="W182" s="944">
        <f t="shared" si="34"/>
        <v>0</v>
      </c>
      <c r="X182" s="891">
        <f>'CHAM CONG'!BT172</f>
        <v>1</v>
      </c>
      <c r="Y182" s="881">
        <f t="shared" si="42"/>
        <v>1.1000000000000001</v>
      </c>
      <c r="Z182" s="892">
        <v>6.03</v>
      </c>
      <c r="AA182" s="942">
        <f t="shared" si="35"/>
        <v>1.71</v>
      </c>
      <c r="AB182" s="892">
        <v>6.03</v>
      </c>
      <c r="AC182" s="942">
        <f t="shared" si="43"/>
        <v>7.24</v>
      </c>
      <c r="AD182" s="892">
        <v>6.03</v>
      </c>
      <c r="AE182" s="942">
        <f t="shared" si="44"/>
        <v>4.3</v>
      </c>
      <c r="AF182" s="943" t="e">
        <f>#N/A</f>
        <v>#N/A</v>
      </c>
      <c r="AG182" s="893">
        <f t="shared" si="36"/>
        <v>34.35</v>
      </c>
      <c r="AH182" s="894"/>
      <c r="AI182" s="895">
        <v>20.54</v>
      </c>
      <c r="AJ182" s="791">
        <v>19.78</v>
      </c>
      <c r="AK182" s="896">
        <f t="shared" si="45"/>
        <v>1</v>
      </c>
      <c r="AL182" s="896"/>
      <c r="AS182" s="898"/>
    </row>
    <row r="183" spans="1:45" s="779" customFormat="1" ht="28.95" customHeight="1">
      <c r="A183" s="885">
        <v>167</v>
      </c>
      <c r="B183" s="886"/>
      <c r="C183" s="887" t="str">
        <f>'Tên thang 01-26'!E170</f>
        <v>សៀក សិទ្ធ</v>
      </c>
      <c r="D183" s="887" t="str">
        <f>'Tên thang 01-26'!F170</f>
        <v>SIEK SITH</v>
      </c>
      <c r="E183" s="888">
        <v>292</v>
      </c>
      <c r="F183" s="889">
        <f>'SAN LUONG'!AP175*0.44</f>
        <v>0</v>
      </c>
      <c r="G183" s="889">
        <f t="shared" si="31"/>
        <v>0</v>
      </c>
      <c r="H183" s="889">
        <f>'SAN LUONG'!AO175*0.44</f>
        <v>515.24</v>
      </c>
      <c r="I183" s="889">
        <f t="shared" si="32"/>
        <v>8.14</v>
      </c>
      <c r="J183" s="889">
        <f>'SAN LUONG'!AV175*0.44</f>
        <v>0</v>
      </c>
      <c r="K183" s="889">
        <f t="shared" si="37"/>
        <v>0</v>
      </c>
      <c r="L183" s="889"/>
      <c r="M183" s="881">
        <f>'CHAM CONG'!BC173</f>
        <v>14</v>
      </c>
      <c r="N183" s="889">
        <f t="shared" si="38"/>
        <v>7.01</v>
      </c>
      <c r="O183" s="889">
        <f t="shared" si="39"/>
        <v>0.44</v>
      </c>
      <c r="P183" s="890">
        <f>'CHAM CONG'!BO173</f>
        <v>26</v>
      </c>
      <c r="Q183" s="942">
        <f t="shared" si="40"/>
        <v>2.44</v>
      </c>
      <c r="R183" s="942">
        <f>'SAN LUONG'!DW175</f>
        <v>29.7</v>
      </c>
      <c r="S183" s="942">
        <f t="shared" si="33"/>
        <v>0.93</v>
      </c>
      <c r="T183" s="943">
        <f>'CHAM CONG'!BW173</f>
        <v>0</v>
      </c>
      <c r="U183" s="942">
        <f t="shared" si="41"/>
        <v>0</v>
      </c>
      <c r="V183" s="890">
        <f>'CHAM CONG'!BD173</f>
        <v>0</v>
      </c>
      <c r="W183" s="944">
        <f t="shared" si="34"/>
        <v>0</v>
      </c>
      <c r="X183" s="891">
        <f>'CHAM CONG'!BT173</f>
        <v>1</v>
      </c>
      <c r="Y183" s="881">
        <f t="shared" si="42"/>
        <v>1.1000000000000001</v>
      </c>
      <c r="Z183" s="892">
        <v>6.03</v>
      </c>
      <c r="AA183" s="942">
        <f t="shared" si="35"/>
        <v>1.71</v>
      </c>
      <c r="AB183" s="892">
        <v>6.03</v>
      </c>
      <c r="AC183" s="942">
        <f t="shared" si="43"/>
        <v>7.24</v>
      </c>
      <c r="AD183" s="892">
        <v>6.03</v>
      </c>
      <c r="AE183" s="942">
        <f t="shared" si="44"/>
        <v>4.3</v>
      </c>
      <c r="AF183" s="943" t="e">
        <f>#N/A</f>
        <v>#N/A</v>
      </c>
      <c r="AG183" s="893">
        <f t="shared" si="36"/>
        <v>33.31</v>
      </c>
      <c r="AH183" s="894"/>
      <c r="AI183" s="895">
        <v>23.84</v>
      </c>
      <c r="AJ183" s="791">
        <v>21.840000000000003</v>
      </c>
      <c r="AK183" s="896">
        <f t="shared" si="45"/>
        <v>2</v>
      </c>
      <c r="AL183" s="896"/>
      <c r="AS183" s="898"/>
    </row>
    <row r="184" spans="1:45" s="779" customFormat="1" ht="27" customHeight="1">
      <c r="A184" s="885">
        <v>168</v>
      </c>
      <c r="B184" s="886"/>
      <c r="C184" s="887" t="str">
        <f>'Tên thang 01-26'!E171</f>
        <v>ណាក់ ស៊ាក</v>
      </c>
      <c r="D184" s="887" t="str">
        <f>'Tên thang 01-26'!F171</f>
        <v>NAK SEAK</v>
      </c>
      <c r="E184" s="888">
        <v>48</v>
      </c>
      <c r="F184" s="889">
        <f>'SAN LUONG'!AP178*0.44</f>
        <v>0</v>
      </c>
      <c r="G184" s="889">
        <f t="shared" si="31"/>
        <v>0</v>
      </c>
      <c r="H184" s="889">
        <f>'SAN LUONG'!AO178*0.44</f>
        <v>0</v>
      </c>
      <c r="I184" s="889">
        <f t="shared" si="32"/>
        <v>0</v>
      </c>
      <c r="J184" s="889">
        <f>'SAN LUONG'!AV178*0.44</f>
        <v>443.08</v>
      </c>
      <c r="K184" s="889">
        <f t="shared" si="37"/>
        <v>7.7</v>
      </c>
      <c r="L184" s="889"/>
      <c r="M184" s="881">
        <f>'CHAM CONG'!BC175</f>
        <v>15</v>
      </c>
      <c r="N184" s="889">
        <f t="shared" si="38"/>
        <v>7.51</v>
      </c>
      <c r="O184" s="889">
        <f t="shared" si="39"/>
        <v>0.47</v>
      </c>
      <c r="P184" s="890">
        <f>'CHAM CONG'!BO175</f>
        <v>26</v>
      </c>
      <c r="Q184" s="942">
        <f t="shared" si="40"/>
        <v>2.44</v>
      </c>
      <c r="R184" s="942">
        <f>'SAN LUONG'!DW178</f>
        <v>20.100000000000001</v>
      </c>
      <c r="S184" s="942">
        <f t="shared" si="33"/>
        <v>0.63</v>
      </c>
      <c r="T184" s="943">
        <f>'CHAM CONG'!BW175</f>
        <v>-20000</v>
      </c>
      <c r="U184" s="942">
        <f t="shared" si="41"/>
        <v>-0.63</v>
      </c>
      <c r="V184" s="890">
        <f>'CHAM CONG'!BD175</f>
        <v>0</v>
      </c>
      <c r="W184" s="944">
        <f t="shared" si="34"/>
        <v>0</v>
      </c>
      <c r="X184" s="891">
        <f>'CHAM CONG'!BT175</f>
        <v>1</v>
      </c>
      <c r="Y184" s="881">
        <f t="shared" si="42"/>
        <v>1.1000000000000001</v>
      </c>
      <c r="Z184" s="892">
        <v>6.03</v>
      </c>
      <c r="AA184" s="942">
        <f t="shared" si="35"/>
        <v>1.71</v>
      </c>
      <c r="AB184" s="892">
        <v>6.03</v>
      </c>
      <c r="AC184" s="942">
        <f t="shared" si="43"/>
        <v>7.24</v>
      </c>
      <c r="AD184" s="892">
        <v>6.03</v>
      </c>
      <c r="AE184" s="942">
        <f t="shared" si="44"/>
        <v>4.3</v>
      </c>
      <c r="AF184" s="943"/>
      <c r="AG184" s="893">
        <f t="shared" si="36"/>
        <v>32.47</v>
      </c>
      <c r="AH184" s="894"/>
      <c r="AI184" s="895">
        <v>23.67</v>
      </c>
      <c r="AJ184" s="791">
        <v>22.280000000000005</v>
      </c>
      <c r="AK184" s="896">
        <f t="shared" si="45"/>
        <v>1</v>
      </c>
      <c r="AL184" s="896"/>
      <c r="AS184" s="898"/>
    </row>
    <row r="185" spans="1:45" s="779" customFormat="1" ht="27" customHeight="1">
      <c r="A185" s="885">
        <v>169</v>
      </c>
      <c r="B185" s="886"/>
      <c r="C185" s="887" t="str">
        <f>'Tên thang 01-26'!E172</f>
        <v>ឈុន សុខឃឿន</v>
      </c>
      <c r="D185" s="887" t="str">
        <f>'Tên thang 01-26'!F172</f>
        <v>CHHUN SOKHOEUN</v>
      </c>
      <c r="E185" s="888">
        <v>49</v>
      </c>
      <c r="F185" s="889">
        <f>'SAN LUONG'!AP179*0.44</f>
        <v>0</v>
      </c>
      <c r="G185" s="889">
        <f t="shared" si="31"/>
        <v>0</v>
      </c>
      <c r="H185" s="889">
        <f>'SAN LUONG'!AO179*0.44</f>
        <v>0</v>
      </c>
      <c r="I185" s="889">
        <f t="shared" si="32"/>
        <v>0</v>
      </c>
      <c r="J185" s="889">
        <f>'SAN LUONG'!AV179*0.44</f>
        <v>452.76</v>
      </c>
      <c r="K185" s="889">
        <f t="shared" si="37"/>
        <v>7.87</v>
      </c>
      <c r="L185" s="889"/>
      <c r="M185" s="881">
        <f>'CHAM CONG'!BC176</f>
        <v>15</v>
      </c>
      <c r="N185" s="889">
        <f t="shared" si="38"/>
        <v>7.51</v>
      </c>
      <c r="O185" s="889">
        <f t="shared" si="39"/>
        <v>0.47</v>
      </c>
      <c r="P185" s="890">
        <f>'CHAM CONG'!BO176</f>
        <v>26</v>
      </c>
      <c r="Q185" s="942">
        <f t="shared" si="40"/>
        <v>2.44</v>
      </c>
      <c r="R185" s="942">
        <f>'SAN LUONG'!DW179</f>
        <v>19.399999999999999</v>
      </c>
      <c r="S185" s="942">
        <f t="shared" si="33"/>
        <v>0.61</v>
      </c>
      <c r="T185" s="943">
        <f>'CHAM CONG'!BW176</f>
        <v>0</v>
      </c>
      <c r="U185" s="942">
        <f t="shared" si="41"/>
        <v>0</v>
      </c>
      <c r="V185" s="890">
        <f>'CHAM CONG'!BD176</f>
        <v>0</v>
      </c>
      <c r="W185" s="944">
        <f t="shared" si="34"/>
        <v>0</v>
      </c>
      <c r="X185" s="891">
        <f>'CHAM CONG'!BT176</f>
        <v>1</v>
      </c>
      <c r="Y185" s="881">
        <f t="shared" si="42"/>
        <v>1.1000000000000001</v>
      </c>
      <c r="Z185" s="892">
        <v>6.03</v>
      </c>
      <c r="AA185" s="942">
        <f t="shared" si="35"/>
        <v>1.71</v>
      </c>
      <c r="AB185" s="892">
        <v>6.03</v>
      </c>
      <c r="AC185" s="942">
        <f t="shared" si="43"/>
        <v>7.24</v>
      </c>
      <c r="AD185" s="892">
        <v>6.03</v>
      </c>
      <c r="AE185" s="942">
        <f t="shared" si="44"/>
        <v>4.3</v>
      </c>
      <c r="AF185" s="943"/>
      <c r="AG185" s="893">
        <f t="shared" si="36"/>
        <v>33.25</v>
      </c>
      <c r="AH185" s="894"/>
      <c r="AI185" s="895">
        <v>24.21</v>
      </c>
      <c r="AJ185" s="791">
        <v>22.830000000000005</v>
      </c>
      <c r="AK185" s="896">
        <f t="shared" si="45"/>
        <v>1</v>
      </c>
      <c r="AL185" s="896"/>
      <c r="AS185" s="898"/>
    </row>
    <row r="186" spans="1:45" s="779" customFormat="1" ht="27" customHeight="1">
      <c r="A186" s="885">
        <v>170</v>
      </c>
      <c r="B186" s="886"/>
      <c r="C186" s="887" t="str">
        <f>'Tên thang 01-26'!E173</f>
        <v>កោ លីណា</v>
      </c>
      <c r="D186" s="887" t="str">
        <f>'Tên thang 01-26'!F173</f>
        <v>KOA LYNA</v>
      </c>
      <c r="E186" s="888">
        <v>50</v>
      </c>
      <c r="F186" s="889">
        <f>'SAN LUONG'!AP180*0.44</f>
        <v>0</v>
      </c>
      <c r="G186" s="889">
        <f t="shared" si="31"/>
        <v>0</v>
      </c>
      <c r="H186" s="889">
        <f>'SAN LUONG'!AO180*0.44</f>
        <v>0</v>
      </c>
      <c r="I186" s="889">
        <f t="shared" si="32"/>
        <v>0</v>
      </c>
      <c r="J186" s="889">
        <f>'SAN LUONG'!AV180*0.44</f>
        <v>634.48</v>
      </c>
      <c r="K186" s="889">
        <f t="shared" si="37"/>
        <v>11.02</v>
      </c>
      <c r="L186" s="889"/>
      <c r="M186" s="881">
        <f>'CHAM CONG'!BC177</f>
        <v>15</v>
      </c>
      <c r="N186" s="889">
        <f t="shared" si="38"/>
        <v>7.51</v>
      </c>
      <c r="O186" s="889">
        <f t="shared" si="39"/>
        <v>0.47</v>
      </c>
      <c r="P186" s="890">
        <f>'CHAM CONG'!BO177</f>
        <v>28</v>
      </c>
      <c r="Q186" s="942">
        <f t="shared" si="40"/>
        <v>2.63</v>
      </c>
      <c r="R186" s="942">
        <f>'SAN LUONG'!DW180</f>
        <v>16.3</v>
      </c>
      <c r="S186" s="942">
        <f t="shared" si="33"/>
        <v>0.51</v>
      </c>
      <c r="T186" s="943">
        <f>'CHAM CONG'!BW177</f>
        <v>0</v>
      </c>
      <c r="U186" s="942">
        <f t="shared" si="41"/>
        <v>0</v>
      </c>
      <c r="V186" s="890">
        <f>'CHAM CONG'!BD177</f>
        <v>1</v>
      </c>
      <c r="W186" s="944">
        <f t="shared" si="34"/>
        <v>0.53</v>
      </c>
      <c r="X186" s="891">
        <f>'CHAM CONG'!BT177</f>
        <v>1</v>
      </c>
      <c r="Y186" s="881">
        <f t="shared" si="42"/>
        <v>1.1000000000000001</v>
      </c>
      <c r="Z186" s="892">
        <v>6.03</v>
      </c>
      <c r="AA186" s="942">
        <f t="shared" si="35"/>
        <v>1.71</v>
      </c>
      <c r="AB186" s="892">
        <v>6.03</v>
      </c>
      <c r="AC186" s="942">
        <f t="shared" si="43"/>
        <v>7.24</v>
      </c>
      <c r="AD186" s="892">
        <v>6.03</v>
      </c>
      <c r="AE186" s="942">
        <f t="shared" si="44"/>
        <v>4.3</v>
      </c>
      <c r="AF186" s="943" t="e">
        <f>#N/A</f>
        <v>#N/A</v>
      </c>
      <c r="AG186" s="893">
        <f t="shared" si="36"/>
        <v>37.020000000000003</v>
      </c>
      <c r="AH186" s="894"/>
      <c r="AI186" s="895">
        <v>29.45</v>
      </c>
      <c r="AJ186" s="791">
        <v>27.450000000000006</v>
      </c>
      <c r="AK186" s="896">
        <f t="shared" si="45"/>
        <v>2</v>
      </c>
      <c r="AL186" s="896"/>
      <c r="AS186" s="898"/>
    </row>
    <row r="187" spans="1:45" s="779" customFormat="1" ht="27" customHeight="1">
      <c r="A187" s="885">
        <v>171</v>
      </c>
      <c r="B187" s="886"/>
      <c r="C187" s="887" t="str">
        <f>'Tên thang 01-26'!E174</f>
        <v>ទ្រី ចាន់ធូ</v>
      </c>
      <c r="D187" s="887" t="str">
        <f>'Tên thang 01-26'!F174</f>
        <v>TRY CHANTHOU</v>
      </c>
      <c r="E187" s="888">
        <v>51</v>
      </c>
      <c r="F187" s="889">
        <f>'SAN LUONG'!AP181*0.44</f>
        <v>0</v>
      </c>
      <c r="G187" s="889">
        <f t="shared" si="31"/>
        <v>0</v>
      </c>
      <c r="H187" s="889">
        <f>'SAN LUONG'!AO181*0.44</f>
        <v>0</v>
      </c>
      <c r="I187" s="889">
        <f t="shared" si="32"/>
        <v>0</v>
      </c>
      <c r="J187" s="889">
        <f>'SAN LUONG'!AV181*0.44</f>
        <v>629.64</v>
      </c>
      <c r="K187" s="889">
        <f t="shared" si="37"/>
        <v>10.94</v>
      </c>
      <c r="L187" s="889"/>
      <c r="M187" s="881">
        <f>'CHAM CONG'!BC178</f>
        <v>15</v>
      </c>
      <c r="N187" s="889">
        <f t="shared" si="38"/>
        <v>7.51</v>
      </c>
      <c r="O187" s="889">
        <f t="shared" si="39"/>
        <v>0.47</v>
      </c>
      <c r="P187" s="890">
        <f>'CHAM CONG'!BO178</f>
        <v>28</v>
      </c>
      <c r="Q187" s="942">
        <f t="shared" si="40"/>
        <v>2.63</v>
      </c>
      <c r="R187" s="942">
        <f>'SAN LUONG'!DW181</f>
        <v>16.399999999999999</v>
      </c>
      <c r="S187" s="942">
        <f t="shared" si="33"/>
        <v>0.51</v>
      </c>
      <c r="T187" s="943">
        <f>'CHAM CONG'!BW178</f>
        <v>0</v>
      </c>
      <c r="U187" s="942">
        <f t="shared" si="41"/>
        <v>0</v>
      </c>
      <c r="V187" s="890">
        <f>'CHAM CONG'!BD178</f>
        <v>0</v>
      </c>
      <c r="W187" s="944">
        <f t="shared" si="34"/>
        <v>0</v>
      </c>
      <c r="X187" s="891">
        <f>'CHAM CONG'!BT178</f>
        <v>1</v>
      </c>
      <c r="Y187" s="881">
        <f t="shared" si="42"/>
        <v>1.1000000000000001</v>
      </c>
      <c r="Z187" s="892">
        <v>6.03</v>
      </c>
      <c r="AA187" s="942">
        <f t="shared" si="35"/>
        <v>1.71</v>
      </c>
      <c r="AB187" s="892">
        <v>6.03</v>
      </c>
      <c r="AC187" s="942">
        <f t="shared" si="43"/>
        <v>7.24</v>
      </c>
      <c r="AD187" s="892">
        <v>6.03</v>
      </c>
      <c r="AE187" s="942">
        <f t="shared" si="44"/>
        <v>4.3</v>
      </c>
      <c r="AF187" s="943" t="e">
        <f>#N/A</f>
        <v>#N/A</v>
      </c>
      <c r="AG187" s="893">
        <f t="shared" si="36"/>
        <v>36.409999999999997</v>
      </c>
      <c r="AH187" s="894"/>
      <c r="AI187" s="895">
        <v>28.81</v>
      </c>
      <c r="AJ187" s="791">
        <v>26.810000000000006</v>
      </c>
      <c r="AK187" s="896">
        <f t="shared" si="45"/>
        <v>2</v>
      </c>
      <c r="AL187" s="896"/>
      <c r="AS187" s="898"/>
    </row>
    <row r="188" spans="1:45" s="779" customFormat="1" ht="27" customHeight="1">
      <c r="A188" s="885">
        <v>172</v>
      </c>
      <c r="B188" s="886"/>
      <c r="C188" s="887" t="str">
        <f>'Tên thang 01-26'!E175</f>
        <v>កេរ្ត៍​ ថ្លម</v>
      </c>
      <c r="D188" s="887" t="str">
        <f>'Tên thang 01-26'!F175</f>
        <v>KE THNORM</v>
      </c>
      <c r="E188" s="888">
        <v>52</v>
      </c>
      <c r="F188" s="889">
        <f>'SAN LUONG'!AP182*0.44</f>
        <v>0</v>
      </c>
      <c r="G188" s="889">
        <f t="shared" si="31"/>
        <v>0</v>
      </c>
      <c r="H188" s="889">
        <f>'SAN LUONG'!AO182*0.44</f>
        <v>0</v>
      </c>
      <c r="I188" s="889">
        <f t="shared" si="32"/>
        <v>0</v>
      </c>
      <c r="J188" s="889">
        <f>'SAN LUONG'!AV182*0.44</f>
        <v>360.36</v>
      </c>
      <c r="K188" s="889">
        <f t="shared" si="37"/>
        <v>6.26</v>
      </c>
      <c r="L188" s="889"/>
      <c r="M188" s="881">
        <f>'CHAM CONG'!BC179</f>
        <v>16</v>
      </c>
      <c r="N188" s="889">
        <f t="shared" si="38"/>
        <v>8.01</v>
      </c>
      <c r="O188" s="889">
        <f t="shared" si="39"/>
        <v>0.5</v>
      </c>
      <c r="P188" s="890">
        <f>'CHAM CONG'!BO179</f>
        <v>27</v>
      </c>
      <c r="Q188" s="942">
        <f t="shared" si="40"/>
        <v>2.54</v>
      </c>
      <c r="R188" s="942">
        <f>'SAN LUONG'!DW182</f>
        <v>38</v>
      </c>
      <c r="S188" s="942">
        <f t="shared" si="33"/>
        <v>1.19</v>
      </c>
      <c r="T188" s="943">
        <f>'CHAM CONG'!BW179</f>
        <v>-20000</v>
      </c>
      <c r="U188" s="942">
        <f t="shared" si="41"/>
        <v>-0.63</v>
      </c>
      <c r="V188" s="890">
        <f>'CHAM CONG'!BD179</f>
        <v>0</v>
      </c>
      <c r="W188" s="944">
        <f t="shared" si="34"/>
        <v>0</v>
      </c>
      <c r="X188" s="891">
        <f>'CHAM CONG'!BT179</f>
        <v>1</v>
      </c>
      <c r="Y188" s="881">
        <f t="shared" si="42"/>
        <v>1.1000000000000001</v>
      </c>
      <c r="Z188" s="892">
        <v>6.03</v>
      </c>
      <c r="AA188" s="942">
        <f t="shared" si="35"/>
        <v>1.71</v>
      </c>
      <c r="AB188" s="892">
        <v>6.03</v>
      </c>
      <c r="AC188" s="942">
        <f t="shared" si="43"/>
        <v>7.24</v>
      </c>
      <c r="AD188" s="892">
        <v>6.03</v>
      </c>
      <c r="AE188" s="942">
        <f t="shared" si="44"/>
        <v>4.3</v>
      </c>
      <c r="AF188" s="943" t="e">
        <f>#N/A</f>
        <v>#N/A</v>
      </c>
      <c r="AG188" s="893">
        <f t="shared" si="36"/>
        <v>32.22</v>
      </c>
      <c r="AH188" s="894"/>
      <c r="AI188" s="895">
        <v>6.51</v>
      </c>
      <c r="AJ188" s="791">
        <v>6.51</v>
      </c>
      <c r="AK188" s="896">
        <f t="shared" si="45"/>
        <v>0</v>
      </c>
      <c r="AL188" s="896"/>
      <c r="AS188" s="898"/>
    </row>
    <row r="189" spans="1:45" s="779" customFormat="1" ht="27" customHeight="1">
      <c r="A189" s="885">
        <v>173</v>
      </c>
      <c r="B189" s="886"/>
      <c r="C189" s="887" t="str">
        <f>'Tên thang 01-26'!E176</f>
        <v>សាយ សេង</v>
      </c>
      <c r="D189" s="887" t="str">
        <f>'Tên thang 01-26'!F176</f>
        <v>SAY SENG</v>
      </c>
      <c r="E189" s="888">
        <v>53</v>
      </c>
      <c r="F189" s="889">
        <f>'SAN LUONG'!AP183*0.44</f>
        <v>0</v>
      </c>
      <c r="G189" s="889">
        <f t="shared" si="31"/>
        <v>0</v>
      </c>
      <c r="H189" s="889">
        <f>'SAN LUONG'!AO183*0.44</f>
        <v>0</v>
      </c>
      <c r="I189" s="889">
        <f t="shared" si="32"/>
        <v>0</v>
      </c>
      <c r="J189" s="889">
        <f>'SAN LUONG'!AV183*0.44</f>
        <v>691.24</v>
      </c>
      <c r="K189" s="889">
        <f t="shared" si="37"/>
        <v>12.01</v>
      </c>
      <c r="L189" s="889"/>
      <c r="M189" s="881">
        <f>'CHAM CONG'!BC180</f>
        <v>16</v>
      </c>
      <c r="N189" s="889">
        <f t="shared" si="38"/>
        <v>8.01</v>
      </c>
      <c r="O189" s="889">
        <f t="shared" si="39"/>
        <v>0.5</v>
      </c>
      <c r="P189" s="890">
        <f>'CHAM CONG'!BO180</f>
        <v>28</v>
      </c>
      <c r="Q189" s="942">
        <f t="shared" si="40"/>
        <v>2.63</v>
      </c>
      <c r="R189" s="942">
        <f>'SAN LUONG'!DW183</f>
        <v>48.7</v>
      </c>
      <c r="S189" s="942">
        <f t="shared" si="33"/>
        <v>1.52</v>
      </c>
      <c r="T189" s="943">
        <f>'CHAM CONG'!BW180</f>
        <v>0</v>
      </c>
      <c r="U189" s="942">
        <f t="shared" si="41"/>
        <v>0</v>
      </c>
      <c r="V189" s="890">
        <f>'CHAM CONG'!BD180</f>
        <v>0</v>
      </c>
      <c r="W189" s="944">
        <f t="shared" si="34"/>
        <v>0</v>
      </c>
      <c r="X189" s="891">
        <f>'CHAM CONG'!BT180</f>
        <v>1</v>
      </c>
      <c r="Y189" s="881">
        <f t="shared" si="42"/>
        <v>1.1000000000000001</v>
      </c>
      <c r="Z189" s="892">
        <v>6.03</v>
      </c>
      <c r="AA189" s="942">
        <f t="shared" si="35"/>
        <v>1.71</v>
      </c>
      <c r="AB189" s="892">
        <v>6.03</v>
      </c>
      <c r="AC189" s="942">
        <f t="shared" si="43"/>
        <v>7.24</v>
      </c>
      <c r="AD189" s="892">
        <v>6.03</v>
      </c>
      <c r="AE189" s="942">
        <f t="shared" si="44"/>
        <v>4.3</v>
      </c>
      <c r="AF189" s="943" t="e">
        <f>#N/A</f>
        <v>#N/A</v>
      </c>
      <c r="AG189" s="893">
        <f t="shared" si="36"/>
        <v>39.019999999999996</v>
      </c>
      <c r="AH189" s="894"/>
      <c r="AI189" s="895">
        <v>30.57</v>
      </c>
      <c r="AJ189" s="791">
        <v>28.560000000000006</v>
      </c>
      <c r="AK189" s="896">
        <f t="shared" si="45"/>
        <v>2</v>
      </c>
      <c r="AL189" s="896"/>
      <c r="AS189" s="898"/>
    </row>
    <row r="190" spans="1:45" s="779" customFormat="1" ht="27" customHeight="1">
      <c r="A190" s="885">
        <v>174</v>
      </c>
      <c r="B190" s="886"/>
      <c r="C190" s="887" t="str">
        <f>'Tên thang 01-26'!E177</f>
        <v>ឃឿន ហែ</v>
      </c>
      <c r="D190" s="887" t="str">
        <f>'Tên thang 01-26'!F177</f>
        <v>KHOEUN HE</v>
      </c>
      <c r="E190" s="888">
        <v>54</v>
      </c>
      <c r="F190" s="889">
        <f>'SAN LUONG'!AP184*0.44</f>
        <v>0</v>
      </c>
      <c r="G190" s="889">
        <f t="shared" si="31"/>
        <v>0</v>
      </c>
      <c r="H190" s="889">
        <f>'SAN LUONG'!AO184*0.44</f>
        <v>0</v>
      </c>
      <c r="I190" s="889">
        <f t="shared" si="32"/>
        <v>0</v>
      </c>
      <c r="J190" s="889">
        <f>'SAN LUONG'!AV184*0.44</f>
        <v>837.32</v>
      </c>
      <c r="K190" s="889">
        <f t="shared" si="37"/>
        <v>14.55</v>
      </c>
      <c r="L190" s="889"/>
      <c r="M190" s="881">
        <f>'CHAM CONG'!BC181</f>
        <v>16</v>
      </c>
      <c r="N190" s="889">
        <f t="shared" si="38"/>
        <v>8.01</v>
      </c>
      <c r="O190" s="889">
        <f t="shared" si="39"/>
        <v>0.5</v>
      </c>
      <c r="P190" s="890">
        <f>'CHAM CONG'!BO181</f>
        <v>26</v>
      </c>
      <c r="Q190" s="942">
        <f t="shared" si="40"/>
        <v>2.44</v>
      </c>
      <c r="R190" s="942">
        <f>'SAN LUONG'!DW184</f>
        <v>38.4</v>
      </c>
      <c r="S190" s="942">
        <f t="shared" si="33"/>
        <v>1.2</v>
      </c>
      <c r="T190" s="943">
        <f>'CHAM CONG'!BW181</f>
        <v>0</v>
      </c>
      <c r="U190" s="942">
        <f t="shared" si="41"/>
        <v>0</v>
      </c>
      <c r="V190" s="890">
        <f>'CHAM CONG'!BD181</f>
        <v>2</v>
      </c>
      <c r="W190" s="944">
        <f t="shared" si="34"/>
        <v>1.06</v>
      </c>
      <c r="X190" s="891">
        <f>'CHAM CONG'!BT181</f>
        <v>1</v>
      </c>
      <c r="Y190" s="881">
        <f t="shared" si="42"/>
        <v>1.1000000000000001</v>
      </c>
      <c r="Z190" s="892">
        <v>6.03</v>
      </c>
      <c r="AA190" s="942">
        <f t="shared" si="35"/>
        <v>1.71</v>
      </c>
      <c r="AB190" s="892">
        <v>6.03</v>
      </c>
      <c r="AC190" s="942">
        <f t="shared" si="43"/>
        <v>7.24</v>
      </c>
      <c r="AD190" s="892">
        <v>6.03</v>
      </c>
      <c r="AE190" s="942">
        <f t="shared" si="44"/>
        <v>4.3</v>
      </c>
      <c r="AF190" s="943" t="e">
        <f>#N/A</f>
        <v>#N/A</v>
      </c>
      <c r="AG190" s="893">
        <f t="shared" si="36"/>
        <v>42.11</v>
      </c>
      <c r="AH190" s="894"/>
      <c r="AI190" s="895">
        <v>30.18</v>
      </c>
      <c r="AJ190" s="791">
        <v>28.170000000000005</v>
      </c>
      <c r="AK190" s="896">
        <f t="shared" si="45"/>
        <v>2</v>
      </c>
      <c r="AL190" s="896"/>
      <c r="AS190" s="898"/>
    </row>
    <row r="191" spans="1:45" s="779" customFormat="1" ht="27" customHeight="1">
      <c r="A191" s="885">
        <v>175</v>
      </c>
      <c r="B191" s="886"/>
      <c r="C191" s="887" t="str">
        <f>'Tên thang 01-26'!E178</f>
        <v>ប៉ឹង ថា</v>
      </c>
      <c r="D191" s="887" t="str">
        <f>'Tên thang 01-26'!F178</f>
        <v>POENG THA</v>
      </c>
      <c r="E191" s="888">
        <v>55</v>
      </c>
      <c r="F191" s="889">
        <f>'SAN LUONG'!AP185*0.44</f>
        <v>0</v>
      </c>
      <c r="G191" s="889">
        <f t="shared" si="31"/>
        <v>0</v>
      </c>
      <c r="H191" s="889">
        <f>'SAN LUONG'!AO185*0.44</f>
        <v>0</v>
      </c>
      <c r="I191" s="889">
        <f t="shared" si="32"/>
        <v>0</v>
      </c>
      <c r="J191" s="889">
        <f>'SAN LUONG'!AV185*0.44</f>
        <v>630.96</v>
      </c>
      <c r="K191" s="889">
        <f t="shared" si="37"/>
        <v>10.96</v>
      </c>
      <c r="L191" s="889"/>
      <c r="M191" s="881">
        <f>'CHAM CONG'!BC182</f>
        <v>14</v>
      </c>
      <c r="N191" s="889">
        <f t="shared" si="38"/>
        <v>7.01</v>
      </c>
      <c r="O191" s="889">
        <f t="shared" si="39"/>
        <v>0.44</v>
      </c>
      <c r="P191" s="890">
        <f>'CHAM CONG'!BO182</f>
        <v>26</v>
      </c>
      <c r="Q191" s="942">
        <f t="shared" si="40"/>
        <v>2.44</v>
      </c>
      <c r="R191" s="942">
        <f>'SAN LUONG'!DW185</f>
        <v>16.5</v>
      </c>
      <c r="S191" s="942">
        <f t="shared" si="33"/>
        <v>0.52</v>
      </c>
      <c r="T191" s="943">
        <f>'CHAM CONG'!BW182</f>
        <v>0</v>
      </c>
      <c r="U191" s="942">
        <f t="shared" si="41"/>
        <v>0</v>
      </c>
      <c r="V191" s="890">
        <f>'CHAM CONG'!BD182</f>
        <v>0</v>
      </c>
      <c r="W191" s="944">
        <f t="shared" si="34"/>
        <v>0</v>
      </c>
      <c r="X191" s="891">
        <f>'CHAM CONG'!BT182</f>
        <v>1</v>
      </c>
      <c r="Y191" s="881">
        <f t="shared" si="42"/>
        <v>1.1000000000000001</v>
      </c>
      <c r="Z191" s="892">
        <v>6.03</v>
      </c>
      <c r="AA191" s="942">
        <f t="shared" si="35"/>
        <v>1.71</v>
      </c>
      <c r="AB191" s="892">
        <v>6.03</v>
      </c>
      <c r="AC191" s="942">
        <f t="shared" si="43"/>
        <v>7.24</v>
      </c>
      <c r="AD191" s="892">
        <v>6.03</v>
      </c>
      <c r="AE191" s="942">
        <f t="shared" si="44"/>
        <v>4.3</v>
      </c>
      <c r="AF191" s="943" t="e">
        <f>#N/A</f>
        <v>#N/A</v>
      </c>
      <c r="AG191" s="893">
        <f t="shared" si="36"/>
        <v>35.72</v>
      </c>
      <c r="AH191" s="894"/>
      <c r="AI191" s="895">
        <v>28.67</v>
      </c>
      <c r="AJ191" s="791">
        <v>26.670000000000005</v>
      </c>
      <c r="AK191" s="896">
        <f t="shared" si="45"/>
        <v>2</v>
      </c>
      <c r="AL191" s="896"/>
      <c r="AS191" s="898"/>
    </row>
    <row r="192" spans="1:45" s="779" customFormat="1" ht="27" customHeight="1">
      <c r="A192" s="885">
        <v>176</v>
      </c>
      <c r="B192" s="886"/>
      <c r="C192" s="887" t="str">
        <f>'Tên thang 01-26'!E179</f>
        <v>កោ គង្គា</v>
      </c>
      <c r="D192" s="887" t="str">
        <f>'Tên thang 01-26'!F179</f>
        <v>KOR KONGKEA</v>
      </c>
      <c r="E192" s="888">
        <v>56</v>
      </c>
      <c r="F192" s="889">
        <f>'SAN LUONG'!AP186*0.44</f>
        <v>0</v>
      </c>
      <c r="G192" s="889">
        <f t="shared" si="31"/>
        <v>0</v>
      </c>
      <c r="H192" s="889">
        <f>'SAN LUONG'!AO186*0.44</f>
        <v>0</v>
      </c>
      <c r="I192" s="889">
        <f t="shared" si="32"/>
        <v>0</v>
      </c>
      <c r="J192" s="889">
        <f>'SAN LUONG'!AV186*0.44</f>
        <v>564.52</v>
      </c>
      <c r="K192" s="889">
        <f t="shared" si="37"/>
        <v>9.81</v>
      </c>
      <c r="L192" s="889"/>
      <c r="M192" s="881">
        <f>'CHAM CONG'!BC183</f>
        <v>15</v>
      </c>
      <c r="N192" s="889">
        <f t="shared" si="38"/>
        <v>7.51</v>
      </c>
      <c r="O192" s="889">
        <f t="shared" si="39"/>
        <v>0.47</v>
      </c>
      <c r="P192" s="890">
        <f>'CHAM CONG'!BO183</f>
        <v>28</v>
      </c>
      <c r="Q192" s="942">
        <f t="shared" si="40"/>
        <v>2.63</v>
      </c>
      <c r="R192" s="942">
        <f>'SAN LUONG'!DW186</f>
        <v>34.1</v>
      </c>
      <c r="S192" s="942">
        <f t="shared" si="33"/>
        <v>1.07</v>
      </c>
      <c r="T192" s="943">
        <f>'CHAM CONG'!BW183</f>
        <v>20000</v>
      </c>
      <c r="U192" s="942">
        <f t="shared" si="41"/>
        <v>0.63</v>
      </c>
      <c r="V192" s="890">
        <f>'CHAM CONG'!BD183</f>
        <v>0</v>
      </c>
      <c r="W192" s="944">
        <f t="shared" si="34"/>
        <v>0</v>
      </c>
      <c r="X192" s="891">
        <f>'CHAM CONG'!BT183</f>
        <v>1</v>
      </c>
      <c r="Y192" s="881">
        <f t="shared" si="42"/>
        <v>1.1000000000000001</v>
      </c>
      <c r="Z192" s="892">
        <v>6.03</v>
      </c>
      <c r="AA192" s="942">
        <f t="shared" ref="AA192:AA248" si="46">ROUND(Z192*$Z$15,2)</f>
        <v>1.7</v>
      </c>
      <c r="AB192" s="892">
        <v>6.03</v>
      </c>
      <c r="AC192" s="942">
        <f t="shared" si="43"/>
        <v>7.24</v>
      </c>
      <c r="AD192" s="892">
        <v>6.03</v>
      </c>
      <c r="AE192" s="942">
        <f t="shared" si="44"/>
        <v>4.3</v>
      </c>
      <c r="AF192" s="943" t="e">
        <f>#N/A</f>
        <v>#N/A</v>
      </c>
      <c r="AG192" s="893">
        <f t="shared" si="36"/>
        <v>36.46</v>
      </c>
      <c r="AH192" s="894"/>
      <c r="AI192" s="895">
        <v>27.93</v>
      </c>
      <c r="AJ192" s="791">
        <v>25.3</v>
      </c>
      <c r="AK192" s="896">
        <f t="shared" si="45"/>
        <v>3</v>
      </c>
      <c r="AL192" s="896"/>
      <c r="AS192" s="898"/>
    </row>
    <row r="193" spans="1:45" s="779" customFormat="1" ht="27" customHeight="1">
      <c r="A193" s="885">
        <v>177</v>
      </c>
      <c r="B193" s="886"/>
      <c r="C193" s="887" t="str">
        <f>'Tên thang 01-26'!E180</f>
        <v>សេង សីហា</v>
      </c>
      <c r="D193" s="887" t="str">
        <f>'Tên thang 01-26'!F180</f>
        <v>SENG SEYHA</v>
      </c>
      <c r="E193" s="888">
        <v>57</v>
      </c>
      <c r="F193" s="889">
        <f>'SAN LUONG'!AP187*0.44</f>
        <v>0</v>
      </c>
      <c r="G193" s="889">
        <f t="shared" si="31"/>
        <v>0</v>
      </c>
      <c r="H193" s="889">
        <f>'SAN LUONG'!AO187*0.44</f>
        <v>0</v>
      </c>
      <c r="I193" s="889">
        <f t="shared" si="32"/>
        <v>0</v>
      </c>
      <c r="J193" s="889">
        <f>'SAN LUONG'!AV187*0.44</f>
        <v>581.67999999999995</v>
      </c>
      <c r="K193" s="889">
        <f t="shared" si="37"/>
        <v>10.11</v>
      </c>
      <c r="L193" s="889"/>
      <c r="M193" s="881">
        <f>'CHAM CONG'!BC184</f>
        <v>14</v>
      </c>
      <c r="N193" s="889">
        <f t="shared" si="38"/>
        <v>7.01</v>
      </c>
      <c r="O193" s="889">
        <f t="shared" si="39"/>
        <v>0.44</v>
      </c>
      <c r="P193" s="890">
        <f>'CHAM CONG'!BO184</f>
        <v>26</v>
      </c>
      <c r="Q193" s="942">
        <f t="shared" si="40"/>
        <v>2.44</v>
      </c>
      <c r="R193" s="942">
        <f>'SAN LUONG'!DW187</f>
        <v>9.9</v>
      </c>
      <c r="S193" s="942">
        <f t="shared" si="33"/>
        <v>0.31</v>
      </c>
      <c r="T193" s="943">
        <f>'CHAM CONG'!BW184</f>
        <v>-20000</v>
      </c>
      <c r="U193" s="942">
        <f t="shared" si="41"/>
        <v>-0.63</v>
      </c>
      <c r="V193" s="890">
        <f>'CHAM CONG'!BD184</f>
        <v>0</v>
      </c>
      <c r="W193" s="944">
        <f t="shared" si="34"/>
        <v>0</v>
      </c>
      <c r="X193" s="891">
        <f>'CHAM CONG'!BT184</f>
        <v>1</v>
      </c>
      <c r="Y193" s="881">
        <f t="shared" si="42"/>
        <v>1.1000000000000001</v>
      </c>
      <c r="Z193" s="892">
        <v>6.03</v>
      </c>
      <c r="AA193" s="942">
        <f t="shared" si="46"/>
        <v>1.7</v>
      </c>
      <c r="AB193" s="892">
        <v>6.03</v>
      </c>
      <c r="AC193" s="942">
        <f t="shared" si="43"/>
        <v>7.24</v>
      </c>
      <c r="AD193" s="892">
        <v>6.03</v>
      </c>
      <c r="AE193" s="942">
        <f t="shared" si="44"/>
        <v>4.3</v>
      </c>
      <c r="AF193" s="943" t="e">
        <f>#N/A</f>
        <v>#N/A</v>
      </c>
      <c r="AG193" s="893">
        <f t="shared" si="36"/>
        <v>34.020000000000003</v>
      </c>
      <c r="AH193" s="894"/>
      <c r="AI193" s="895">
        <v>26.2</v>
      </c>
      <c r="AJ193" s="791">
        <v>24.200000000000006</v>
      </c>
      <c r="AK193" s="896">
        <f t="shared" si="45"/>
        <v>2</v>
      </c>
      <c r="AL193" s="896"/>
      <c r="AS193" s="898"/>
    </row>
    <row r="194" spans="1:45" s="779" customFormat="1" ht="27" customHeight="1">
      <c r="A194" s="885">
        <v>178</v>
      </c>
      <c r="B194" s="886"/>
      <c r="C194" s="887" t="str">
        <f>'Tên thang 01-26'!E181</f>
        <v>ថៃ លក្ខិណា</v>
      </c>
      <c r="D194" s="887" t="str">
        <f>'Tên thang 01-26'!F181</f>
        <v>THAI LEAKANA</v>
      </c>
      <c r="E194" s="888">
        <v>58</v>
      </c>
      <c r="F194" s="889">
        <f>'SAN LUONG'!AP188*0.44</f>
        <v>0</v>
      </c>
      <c r="G194" s="889">
        <f t="shared" si="31"/>
        <v>0</v>
      </c>
      <c r="H194" s="889">
        <f>'SAN LUONG'!AO188*0.44</f>
        <v>0</v>
      </c>
      <c r="I194" s="889">
        <f t="shared" si="32"/>
        <v>0</v>
      </c>
      <c r="J194" s="889">
        <f>'SAN LUONG'!AV188*0.44</f>
        <v>756.36</v>
      </c>
      <c r="K194" s="889">
        <f t="shared" si="37"/>
        <v>13.14</v>
      </c>
      <c r="L194" s="889"/>
      <c r="M194" s="881">
        <f>'CHAM CONG'!BC185</f>
        <v>15</v>
      </c>
      <c r="N194" s="889">
        <f t="shared" si="38"/>
        <v>7.51</v>
      </c>
      <c r="O194" s="889">
        <f t="shared" si="39"/>
        <v>0.47</v>
      </c>
      <c r="P194" s="890">
        <f>'CHAM CONG'!BO185</f>
        <v>29</v>
      </c>
      <c r="Q194" s="942">
        <f t="shared" si="40"/>
        <v>2.72</v>
      </c>
      <c r="R194" s="942">
        <f>'SAN LUONG'!DW188</f>
        <v>40.9</v>
      </c>
      <c r="S194" s="942">
        <f t="shared" si="33"/>
        <v>1.28</v>
      </c>
      <c r="T194" s="943">
        <f>'CHAM CONG'!BW185</f>
        <v>0</v>
      </c>
      <c r="U194" s="942">
        <f t="shared" si="41"/>
        <v>0</v>
      </c>
      <c r="V194" s="890">
        <f>'CHAM CONG'!BD185</f>
        <v>0</v>
      </c>
      <c r="W194" s="944">
        <f t="shared" si="34"/>
        <v>0</v>
      </c>
      <c r="X194" s="891">
        <f>'CHAM CONG'!BT185</f>
        <v>1</v>
      </c>
      <c r="Y194" s="881">
        <f t="shared" si="42"/>
        <v>1.1000000000000001</v>
      </c>
      <c r="Z194" s="892">
        <v>6.03</v>
      </c>
      <c r="AA194" s="942">
        <f t="shared" si="46"/>
        <v>1.7</v>
      </c>
      <c r="AB194" s="892">
        <v>6.03</v>
      </c>
      <c r="AC194" s="942">
        <f t="shared" si="43"/>
        <v>7.24</v>
      </c>
      <c r="AD194" s="892">
        <v>6.03</v>
      </c>
      <c r="AE194" s="942">
        <f t="shared" si="44"/>
        <v>4.3</v>
      </c>
      <c r="AF194" s="943" t="e">
        <f>#N/A</f>
        <v>#N/A</v>
      </c>
      <c r="AG194" s="893">
        <f t="shared" si="36"/>
        <v>39.46</v>
      </c>
      <c r="AH194" s="894"/>
      <c r="AI194" s="895">
        <v>27.9</v>
      </c>
      <c r="AJ194" s="791">
        <v>26.510000000000005</v>
      </c>
      <c r="AK194" s="896">
        <f t="shared" si="45"/>
        <v>1</v>
      </c>
      <c r="AL194" s="896"/>
      <c r="AS194" s="898"/>
    </row>
    <row r="195" spans="1:45" s="779" customFormat="1" ht="27" customHeight="1">
      <c r="A195" s="885">
        <v>179</v>
      </c>
      <c r="B195" s="886"/>
      <c r="C195" s="887" t="str">
        <f>'Tên thang 01-26'!E182</f>
        <v>ឈឿន សុខច័ន្ទ</v>
      </c>
      <c r="D195" s="887" t="str">
        <f>'Tên thang 01-26'!F182</f>
        <v>CHHOEUN SOKCHAN</v>
      </c>
      <c r="E195" s="888">
        <v>59</v>
      </c>
      <c r="F195" s="889">
        <f>'SAN LUONG'!AP189*0.44</f>
        <v>0</v>
      </c>
      <c r="G195" s="889">
        <f t="shared" si="31"/>
        <v>0</v>
      </c>
      <c r="H195" s="889">
        <f>'SAN LUONG'!AO189*0.44</f>
        <v>0</v>
      </c>
      <c r="I195" s="889">
        <f t="shared" si="32"/>
        <v>0</v>
      </c>
      <c r="J195" s="889">
        <f>'SAN LUONG'!AV189*0.44</f>
        <v>0</v>
      </c>
      <c r="K195" s="889">
        <f t="shared" si="37"/>
        <v>0</v>
      </c>
      <c r="L195" s="889"/>
      <c r="M195" s="881">
        <f>'CHAM CONG'!BC186</f>
        <v>0</v>
      </c>
      <c r="N195" s="889">
        <f t="shared" si="38"/>
        <v>0</v>
      </c>
      <c r="O195" s="889">
        <f t="shared" si="39"/>
        <v>0</v>
      </c>
      <c r="P195" s="890">
        <f>'CHAM CONG'!BO186</f>
        <v>0</v>
      </c>
      <c r="Q195" s="942">
        <f t="shared" si="40"/>
        <v>0</v>
      </c>
      <c r="R195" s="942">
        <f>'SAN LUONG'!DW189</f>
        <v>2.8</v>
      </c>
      <c r="S195" s="942">
        <f t="shared" si="33"/>
        <v>0.09</v>
      </c>
      <c r="T195" s="943">
        <f>'CHAM CONG'!BW186</f>
        <v>0</v>
      </c>
      <c r="U195" s="942">
        <f t="shared" si="41"/>
        <v>0</v>
      </c>
      <c r="V195" s="890">
        <f>'CHAM CONG'!BD186</f>
        <v>0</v>
      </c>
      <c r="W195" s="944">
        <f t="shared" si="34"/>
        <v>0</v>
      </c>
      <c r="X195" s="891">
        <f>'CHAM CONG'!BT186</f>
        <v>0</v>
      </c>
      <c r="Y195" s="881">
        <f t="shared" si="42"/>
        <v>0</v>
      </c>
      <c r="Z195" s="892">
        <v>6.03</v>
      </c>
      <c r="AA195" s="942">
        <f t="shared" si="46"/>
        <v>1.7</v>
      </c>
      <c r="AB195" s="892">
        <v>6.03</v>
      </c>
      <c r="AC195" s="942">
        <f t="shared" si="43"/>
        <v>7.24</v>
      </c>
      <c r="AD195" s="892">
        <v>6.03</v>
      </c>
      <c r="AE195" s="942">
        <f t="shared" si="44"/>
        <v>4.3</v>
      </c>
      <c r="AF195" s="943" t="e">
        <f>#N/A</f>
        <v>#N/A</v>
      </c>
      <c r="AG195" s="893">
        <f t="shared" si="36"/>
        <v>13.329999999999998</v>
      </c>
      <c r="AH195" s="894"/>
      <c r="AI195" s="895">
        <v>19.05</v>
      </c>
      <c r="AJ195" s="791">
        <v>17.059999999999999</v>
      </c>
      <c r="AK195" s="896">
        <f t="shared" si="45"/>
        <v>2</v>
      </c>
      <c r="AL195" s="896"/>
      <c r="AS195" s="898"/>
    </row>
    <row r="196" spans="1:45" s="779" customFormat="1" ht="27" customHeight="1">
      <c r="A196" s="885">
        <v>180</v>
      </c>
      <c r="B196" s="886"/>
      <c r="C196" s="887" t="str">
        <f>'Tên thang 01-26'!E183</f>
        <v>សុទ្ធ សានី</v>
      </c>
      <c r="D196" s="887" t="str">
        <f>'Tên thang 01-26'!F183</f>
        <v>SOTH SANY</v>
      </c>
      <c r="E196" s="888">
        <v>60</v>
      </c>
      <c r="F196" s="889">
        <f>'SAN LUONG'!AP190*0.44</f>
        <v>0</v>
      </c>
      <c r="G196" s="889">
        <f t="shared" si="31"/>
        <v>0</v>
      </c>
      <c r="H196" s="889">
        <f>'SAN LUONG'!AO190*0.44</f>
        <v>0</v>
      </c>
      <c r="I196" s="889">
        <f t="shared" si="32"/>
        <v>0</v>
      </c>
      <c r="J196" s="889">
        <f>'SAN LUONG'!AV190*0.44</f>
        <v>873.84</v>
      </c>
      <c r="K196" s="889">
        <f t="shared" si="37"/>
        <v>15.18</v>
      </c>
      <c r="L196" s="889"/>
      <c r="M196" s="881">
        <f>'CHAM CONG'!BC187</f>
        <v>16</v>
      </c>
      <c r="N196" s="889">
        <f t="shared" si="38"/>
        <v>8.01</v>
      </c>
      <c r="O196" s="889">
        <f t="shared" si="39"/>
        <v>0.5</v>
      </c>
      <c r="P196" s="890">
        <f>'CHAM CONG'!BO187</f>
        <v>0</v>
      </c>
      <c r="Q196" s="942">
        <f t="shared" si="40"/>
        <v>0</v>
      </c>
      <c r="R196" s="942">
        <f>'SAN LUONG'!DW190</f>
        <v>21.5</v>
      </c>
      <c r="S196" s="942">
        <f t="shared" si="33"/>
        <v>0.67</v>
      </c>
      <c r="T196" s="943">
        <f>'CHAM CONG'!BW187</f>
        <v>-20000</v>
      </c>
      <c r="U196" s="942">
        <f t="shared" si="41"/>
        <v>-0.63</v>
      </c>
      <c r="V196" s="890">
        <f>'CHAM CONG'!BD187</f>
        <v>2</v>
      </c>
      <c r="W196" s="944">
        <f t="shared" si="34"/>
        <v>1.06</v>
      </c>
      <c r="X196" s="891">
        <f>'CHAM CONG'!BT187</f>
        <v>0</v>
      </c>
      <c r="Y196" s="881">
        <f t="shared" si="42"/>
        <v>0</v>
      </c>
      <c r="Z196" s="892">
        <v>6.03</v>
      </c>
      <c r="AA196" s="942">
        <f t="shared" si="46"/>
        <v>1.7</v>
      </c>
      <c r="AB196" s="892">
        <v>6.03</v>
      </c>
      <c r="AC196" s="942">
        <f t="shared" si="43"/>
        <v>7.24</v>
      </c>
      <c r="AD196" s="892">
        <v>6.03</v>
      </c>
      <c r="AE196" s="942">
        <f t="shared" si="44"/>
        <v>4.3</v>
      </c>
      <c r="AF196" s="943" t="e">
        <f>#N/A</f>
        <v>#N/A</v>
      </c>
      <c r="AG196" s="893">
        <f t="shared" si="36"/>
        <v>38.03</v>
      </c>
      <c r="AH196" s="894"/>
      <c r="AI196" s="895">
        <v>23.09</v>
      </c>
      <c r="AJ196" s="791">
        <v>21.089999999999996</v>
      </c>
      <c r="AK196" s="896">
        <f t="shared" si="45"/>
        <v>2</v>
      </c>
      <c r="AL196" s="896"/>
      <c r="AS196" s="898"/>
    </row>
    <row r="197" spans="1:45" s="779" customFormat="1" ht="27" customHeight="1">
      <c r="A197" s="885">
        <v>181</v>
      </c>
      <c r="B197" s="886"/>
      <c r="C197" s="887" t="str">
        <f>'Tên thang 01-26'!E184</f>
        <v>យឿង សុខជាតិ</v>
      </c>
      <c r="D197" s="887" t="str">
        <f>'Tên thang 01-26'!F184</f>
        <v>YOEUNG SOCHEAT</v>
      </c>
      <c r="E197" s="888">
        <v>61</v>
      </c>
      <c r="F197" s="889">
        <f>'SAN LUONG'!AP191*0.44</f>
        <v>0</v>
      </c>
      <c r="G197" s="889">
        <f t="shared" si="31"/>
        <v>0</v>
      </c>
      <c r="H197" s="889">
        <f>'SAN LUONG'!AO191*0.44</f>
        <v>0</v>
      </c>
      <c r="I197" s="889">
        <f t="shared" si="32"/>
        <v>0</v>
      </c>
      <c r="J197" s="889">
        <f>'SAN LUONG'!AV191*0.44</f>
        <v>524.48</v>
      </c>
      <c r="K197" s="889">
        <f t="shared" si="37"/>
        <v>9.11</v>
      </c>
      <c r="L197" s="889"/>
      <c r="M197" s="881">
        <f>'CHAM CONG'!BC188</f>
        <v>16</v>
      </c>
      <c r="N197" s="889">
        <f t="shared" si="38"/>
        <v>8.01</v>
      </c>
      <c r="O197" s="889">
        <f t="shared" si="39"/>
        <v>0.5</v>
      </c>
      <c r="P197" s="890">
        <f>'CHAM CONG'!BO188</f>
        <v>29</v>
      </c>
      <c r="Q197" s="942">
        <f t="shared" si="40"/>
        <v>2.72</v>
      </c>
      <c r="R197" s="942">
        <f>'SAN LUONG'!DW191</f>
        <v>30</v>
      </c>
      <c r="S197" s="942">
        <f t="shared" si="33"/>
        <v>0.94</v>
      </c>
      <c r="T197" s="943">
        <f>'CHAM CONG'!BW188</f>
        <v>0</v>
      </c>
      <c r="U197" s="942">
        <f t="shared" si="41"/>
        <v>0</v>
      </c>
      <c r="V197" s="890">
        <f>'CHAM CONG'!BD188</f>
        <v>0</v>
      </c>
      <c r="W197" s="944">
        <f t="shared" si="34"/>
        <v>0</v>
      </c>
      <c r="X197" s="891">
        <f>'CHAM CONG'!BT188</f>
        <v>1</v>
      </c>
      <c r="Y197" s="881">
        <f t="shared" si="42"/>
        <v>1.1000000000000001</v>
      </c>
      <c r="Z197" s="892">
        <v>6.03</v>
      </c>
      <c r="AA197" s="942">
        <f t="shared" si="46"/>
        <v>1.7</v>
      </c>
      <c r="AB197" s="892">
        <v>6.03</v>
      </c>
      <c r="AC197" s="942">
        <f t="shared" si="43"/>
        <v>7.24</v>
      </c>
      <c r="AD197" s="892">
        <v>6.03</v>
      </c>
      <c r="AE197" s="942">
        <f t="shared" si="44"/>
        <v>4.3</v>
      </c>
      <c r="AF197" s="943" t="e">
        <f>#N/A</f>
        <v>#N/A</v>
      </c>
      <c r="AG197" s="893">
        <f t="shared" si="36"/>
        <v>35.619999999999997</v>
      </c>
      <c r="AH197" s="894"/>
      <c r="AI197" s="895">
        <v>29.7</v>
      </c>
      <c r="AJ197" s="791">
        <v>27.69</v>
      </c>
      <c r="AK197" s="896">
        <f t="shared" si="45"/>
        <v>2</v>
      </c>
      <c r="AL197" s="896"/>
      <c r="AS197" s="898"/>
    </row>
    <row r="198" spans="1:45" s="779" customFormat="1" ht="27" customHeight="1">
      <c r="A198" s="885">
        <v>182</v>
      </c>
      <c r="B198" s="886"/>
      <c r="C198" s="887" t="str">
        <f>'Tên thang 01-26'!E185</f>
        <v>ម៉ែន មឿន</v>
      </c>
      <c r="D198" s="887" t="str">
        <f>'Tên thang 01-26'!F185</f>
        <v>MEN MOEUN</v>
      </c>
      <c r="E198" s="888">
        <v>62</v>
      </c>
      <c r="F198" s="889">
        <f>'SAN LUONG'!AP192*0.44</f>
        <v>0</v>
      </c>
      <c r="G198" s="889">
        <f t="shared" si="31"/>
        <v>0</v>
      </c>
      <c r="H198" s="889">
        <f>'SAN LUONG'!AO192*0.44</f>
        <v>0</v>
      </c>
      <c r="I198" s="889">
        <f t="shared" si="32"/>
        <v>0</v>
      </c>
      <c r="J198" s="889">
        <f>'SAN LUONG'!AV192*0.44</f>
        <v>653.84</v>
      </c>
      <c r="K198" s="889">
        <f t="shared" si="37"/>
        <v>11.36</v>
      </c>
      <c r="L198" s="889"/>
      <c r="M198" s="881">
        <f>'CHAM CONG'!BC189</f>
        <v>14</v>
      </c>
      <c r="N198" s="889">
        <f t="shared" si="38"/>
        <v>7.01</v>
      </c>
      <c r="O198" s="889">
        <f t="shared" si="39"/>
        <v>0.44</v>
      </c>
      <c r="P198" s="890">
        <f>'CHAM CONG'!BO189</f>
        <v>27</v>
      </c>
      <c r="Q198" s="942">
        <f t="shared" si="40"/>
        <v>2.54</v>
      </c>
      <c r="R198" s="942">
        <f>'SAN LUONG'!DW192</f>
        <v>31.4</v>
      </c>
      <c r="S198" s="942">
        <f t="shared" si="33"/>
        <v>0.98</v>
      </c>
      <c r="T198" s="943">
        <f>'CHAM CONG'!BW189</f>
        <v>0</v>
      </c>
      <c r="U198" s="942">
        <f t="shared" si="41"/>
        <v>0</v>
      </c>
      <c r="V198" s="890">
        <f>'CHAM CONG'!BD189</f>
        <v>0</v>
      </c>
      <c r="W198" s="944">
        <f t="shared" si="34"/>
        <v>0</v>
      </c>
      <c r="X198" s="891">
        <f>'CHAM CONG'!BT189</f>
        <v>1</v>
      </c>
      <c r="Y198" s="881">
        <f t="shared" si="42"/>
        <v>1.1000000000000001</v>
      </c>
      <c r="Z198" s="892">
        <v>6.03</v>
      </c>
      <c r="AA198" s="942">
        <f t="shared" si="46"/>
        <v>1.7</v>
      </c>
      <c r="AB198" s="892">
        <v>6.03</v>
      </c>
      <c r="AC198" s="942">
        <f t="shared" si="43"/>
        <v>7.24</v>
      </c>
      <c r="AD198" s="892">
        <v>6.03</v>
      </c>
      <c r="AE198" s="942">
        <f t="shared" si="44"/>
        <v>4.3</v>
      </c>
      <c r="AF198" s="943" t="e">
        <f>#N/A</f>
        <v>#N/A</v>
      </c>
      <c r="AG198" s="893">
        <f t="shared" si="36"/>
        <v>36.669999999999995</v>
      </c>
      <c r="AH198" s="894"/>
      <c r="AI198" s="895">
        <v>30.51</v>
      </c>
      <c r="AJ198" s="791">
        <v>28.490000000000002</v>
      </c>
      <c r="AK198" s="896">
        <f t="shared" si="45"/>
        <v>2</v>
      </c>
      <c r="AL198" s="896"/>
      <c r="AS198" s="898"/>
    </row>
    <row r="199" spans="1:45" s="779" customFormat="1" ht="27" customHeight="1">
      <c r="A199" s="885">
        <v>183</v>
      </c>
      <c r="B199" s="886"/>
      <c r="C199" s="887" t="str">
        <f>'Tên thang 01-26'!E186</f>
        <v>យ៉ុង រី</v>
      </c>
      <c r="D199" s="887" t="str">
        <f>'Tên thang 01-26'!F186</f>
        <v>YONG RY</v>
      </c>
      <c r="E199" s="888">
        <v>63</v>
      </c>
      <c r="F199" s="889">
        <f>'SAN LUONG'!AP193*0.44</f>
        <v>0</v>
      </c>
      <c r="G199" s="889">
        <f t="shared" si="31"/>
        <v>0</v>
      </c>
      <c r="H199" s="889">
        <f>'SAN LUONG'!AO193*0.44</f>
        <v>0</v>
      </c>
      <c r="I199" s="889">
        <f t="shared" si="32"/>
        <v>0</v>
      </c>
      <c r="J199" s="889">
        <f>'SAN LUONG'!AV193*0.44</f>
        <v>593.12</v>
      </c>
      <c r="K199" s="889">
        <f t="shared" si="37"/>
        <v>10.3</v>
      </c>
      <c r="L199" s="889"/>
      <c r="M199" s="881">
        <f>'CHAM CONG'!BC190</f>
        <v>15</v>
      </c>
      <c r="N199" s="889">
        <f t="shared" si="38"/>
        <v>7.51</v>
      </c>
      <c r="O199" s="889">
        <f t="shared" si="39"/>
        <v>0.47</v>
      </c>
      <c r="P199" s="890">
        <f>'CHAM CONG'!BO190</f>
        <v>27</v>
      </c>
      <c r="Q199" s="942">
        <f t="shared" si="40"/>
        <v>2.54</v>
      </c>
      <c r="R199" s="942">
        <f>'SAN LUONG'!DW193</f>
        <v>19.5</v>
      </c>
      <c r="S199" s="942">
        <f t="shared" si="33"/>
        <v>0.61</v>
      </c>
      <c r="T199" s="943">
        <f>'CHAM CONG'!BW190</f>
        <v>0</v>
      </c>
      <c r="U199" s="942">
        <f t="shared" si="41"/>
        <v>0</v>
      </c>
      <c r="V199" s="890">
        <f>'CHAM CONG'!BD190</f>
        <v>1</v>
      </c>
      <c r="W199" s="944">
        <f t="shared" si="34"/>
        <v>0.53</v>
      </c>
      <c r="X199" s="891">
        <f>'CHAM CONG'!BT190</f>
        <v>1</v>
      </c>
      <c r="Y199" s="881">
        <f t="shared" si="42"/>
        <v>1.1000000000000001</v>
      </c>
      <c r="Z199" s="892">
        <v>6.03</v>
      </c>
      <c r="AA199" s="942">
        <f t="shared" si="46"/>
        <v>1.7</v>
      </c>
      <c r="AB199" s="892">
        <v>6.03</v>
      </c>
      <c r="AC199" s="942">
        <f t="shared" si="43"/>
        <v>7.24</v>
      </c>
      <c r="AD199" s="892">
        <v>6.03</v>
      </c>
      <c r="AE199" s="942">
        <f t="shared" si="44"/>
        <v>4.3</v>
      </c>
      <c r="AF199" s="943" t="e">
        <f>#N/A</f>
        <v>#N/A</v>
      </c>
      <c r="AG199" s="893">
        <f t="shared" si="36"/>
        <v>36.300000000000004</v>
      </c>
      <c r="AH199" s="894"/>
      <c r="AI199" s="895">
        <v>26.86</v>
      </c>
      <c r="AJ199" s="791">
        <v>25.480000000000004</v>
      </c>
      <c r="AK199" s="896">
        <f t="shared" si="45"/>
        <v>1</v>
      </c>
      <c r="AL199" s="896"/>
      <c r="AS199" s="898"/>
    </row>
    <row r="200" spans="1:45" s="779" customFormat="1" ht="27" customHeight="1">
      <c r="A200" s="885">
        <v>184</v>
      </c>
      <c r="B200" s="886"/>
      <c r="C200" s="887" t="str">
        <f>'Tên thang 01-26'!E187</f>
        <v>ហៃ អូន</v>
      </c>
      <c r="D200" s="887" t="str">
        <f>'Tên thang 01-26'!F187</f>
        <v>HAI ON</v>
      </c>
      <c r="E200" s="888">
        <v>64</v>
      </c>
      <c r="F200" s="889">
        <f>'SAN LUONG'!AP194*0.44</f>
        <v>0</v>
      </c>
      <c r="G200" s="889">
        <f t="shared" si="31"/>
        <v>0</v>
      </c>
      <c r="H200" s="889">
        <f>'SAN LUONG'!AO194*0.44</f>
        <v>0</v>
      </c>
      <c r="I200" s="889">
        <f t="shared" si="32"/>
        <v>0</v>
      </c>
      <c r="J200" s="889">
        <f>'SAN LUONG'!AV194*0.44</f>
        <v>608.96</v>
      </c>
      <c r="K200" s="889">
        <f t="shared" si="37"/>
        <v>10.58</v>
      </c>
      <c r="L200" s="889"/>
      <c r="M200" s="881">
        <f>'CHAM CONG'!BC191</f>
        <v>15</v>
      </c>
      <c r="N200" s="889">
        <f t="shared" si="38"/>
        <v>7.51</v>
      </c>
      <c r="O200" s="889">
        <f t="shared" si="39"/>
        <v>0.47</v>
      </c>
      <c r="P200" s="890">
        <f>'CHAM CONG'!BO191</f>
        <v>27</v>
      </c>
      <c r="Q200" s="942">
        <f t="shared" si="40"/>
        <v>2.54</v>
      </c>
      <c r="R200" s="942">
        <f>'SAN LUONG'!DW194</f>
        <v>21</v>
      </c>
      <c r="S200" s="942">
        <f t="shared" si="33"/>
        <v>0.66</v>
      </c>
      <c r="T200" s="943">
        <f>'CHAM CONG'!BW191</f>
        <v>0</v>
      </c>
      <c r="U200" s="942">
        <f t="shared" si="41"/>
        <v>0</v>
      </c>
      <c r="V200" s="890">
        <f>'CHAM CONG'!BD191</f>
        <v>0</v>
      </c>
      <c r="W200" s="944">
        <f t="shared" si="34"/>
        <v>0</v>
      </c>
      <c r="X200" s="891">
        <f>'CHAM CONG'!BT191</f>
        <v>1</v>
      </c>
      <c r="Y200" s="881">
        <f t="shared" si="42"/>
        <v>1.1000000000000001</v>
      </c>
      <c r="Z200" s="892">
        <v>6.03</v>
      </c>
      <c r="AA200" s="942">
        <f t="shared" si="46"/>
        <v>1.7</v>
      </c>
      <c r="AB200" s="892">
        <v>6.03</v>
      </c>
      <c r="AC200" s="942">
        <f t="shared" si="43"/>
        <v>7.24</v>
      </c>
      <c r="AD200" s="892">
        <v>6.03</v>
      </c>
      <c r="AE200" s="942">
        <f t="shared" si="44"/>
        <v>4.3</v>
      </c>
      <c r="AF200" s="943" t="e">
        <f>#N/A</f>
        <v>#N/A</v>
      </c>
      <c r="AG200" s="893">
        <f t="shared" si="36"/>
        <v>36.1</v>
      </c>
      <c r="AH200" s="894"/>
      <c r="AI200" s="895">
        <v>29.67</v>
      </c>
      <c r="AJ200" s="791">
        <v>27.660000000000007</v>
      </c>
      <c r="AK200" s="896">
        <f t="shared" si="45"/>
        <v>2</v>
      </c>
      <c r="AL200" s="896"/>
      <c r="AS200" s="898"/>
    </row>
    <row r="201" spans="1:45" s="779" customFormat="1" ht="27" customHeight="1">
      <c r="A201" s="885">
        <v>185</v>
      </c>
      <c r="B201" s="886"/>
      <c r="C201" s="887" t="str">
        <f>'Tên thang 01-26'!E188</f>
        <v>វ៉ាន់ គាត</v>
      </c>
      <c r="D201" s="887" t="str">
        <f>'Tên thang 01-26'!F188</f>
        <v>VANN KEAT</v>
      </c>
      <c r="E201" s="888">
        <v>65</v>
      </c>
      <c r="F201" s="889">
        <f>'SAN LUONG'!AP195*0.44</f>
        <v>0</v>
      </c>
      <c r="G201" s="889">
        <f t="shared" si="31"/>
        <v>0</v>
      </c>
      <c r="H201" s="889">
        <f>'SAN LUONG'!AO195*0.44</f>
        <v>0</v>
      </c>
      <c r="I201" s="889">
        <f t="shared" si="32"/>
        <v>0</v>
      </c>
      <c r="J201" s="889">
        <f>'SAN LUONG'!AV195*0.44</f>
        <v>900.68</v>
      </c>
      <c r="K201" s="889">
        <f t="shared" si="37"/>
        <v>15.65</v>
      </c>
      <c r="L201" s="889"/>
      <c r="M201" s="881">
        <f>'CHAM CONG'!BC192</f>
        <v>16</v>
      </c>
      <c r="N201" s="889">
        <f t="shared" si="38"/>
        <v>8.01</v>
      </c>
      <c r="O201" s="889">
        <f t="shared" si="39"/>
        <v>0.5</v>
      </c>
      <c r="P201" s="890">
        <f>'CHAM CONG'!BO192</f>
        <v>27</v>
      </c>
      <c r="Q201" s="942">
        <f t="shared" si="40"/>
        <v>2.54</v>
      </c>
      <c r="R201" s="942">
        <f>'SAN LUONG'!DW195</f>
        <v>36.799999999999997</v>
      </c>
      <c r="S201" s="942">
        <f t="shared" si="33"/>
        <v>1.1499999999999999</v>
      </c>
      <c r="T201" s="943">
        <f>'CHAM CONG'!BW192</f>
        <v>20000</v>
      </c>
      <c r="U201" s="942">
        <f t="shared" si="41"/>
        <v>0.63</v>
      </c>
      <c r="V201" s="890">
        <f>'CHAM CONG'!BD192</f>
        <v>2</v>
      </c>
      <c r="W201" s="944">
        <f t="shared" si="34"/>
        <v>1.06</v>
      </c>
      <c r="X201" s="891">
        <f>'CHAM CONG'!BT192</f>
        <v>1</v>
      </c>
      <c r="Y201" s="881">
        <f t="shared" si="42"/>
        <v>1.1000000000000001</v>
      </c>
      <c r="Z201" s="892">
        <v>6.03</v>
      </c>
      <c r="AA201" s="942">
        <f t="shared" si="46"/>
        <v>1.7</v>
      </c>
      <c r="AB201" s="892">
        <v>6.03</v>
      </c>
      <c r="AC201" s="942">
        <f t="shared" si="43"/>
        <v>7.24</v>
      </c>
      <c r="AD201" s="892">
        <v>6.03</v>
      </c>
      <c r="AE201" s="942">
        <f t="shared" si="44"/>
        <v>4.3</v>
      </c>
      <c r="AF201" s="943" t="e">
        <f>#N/A</f>
        <v>#N/A</v>
      </c>
      <c r="AG201" s="893">
        <f t="shared" si="36"/>
        <v>43.879999999999995</v>
      </c>
      <c r="AH201" s="894"/>
      <c r="AI201" s="895">
        <v>29.86</v>
      </c>
      <c r="AJ201" s="791">
        <v>27.860000000000007</v>
      </c>
      <c r="AK201" s="896">
        <f t="shared" si="45"/>
        <v>2</v>
      </c>
      <c r="AL201" s="896"/>
      <c r="AS201" s="898"/>
    </row>
    <row r="202" spans="1:45" s="779" customFormat="1" ht="27" customHeight="1">
      <c r="A202" s="885">
        <v>186</v>
      </c>
      <c r="B202" s="886"/>
      <c r="C202" s="887" t="str">
        <f>'Tên thang 01-26'!E189</f>
        <v>សេង សោភា</v>
      </c>
      <c r="D202" s="887" t="str">
        <f>'Tên thang 01-26'!F189</f>
        <v>SENG SOPHEA</v>
      </c>
      <c r="E202" s="888">
        <v>66</v>
      </c>
      <c r="F202" s="889">
        <f>'SAN LUONG'!AP196*0.44</f>
        <v>0</v>
      </c>
      <c r="G202" s="889">
        <f t="shared" si="31"/>
        <v>0</v>
      </c>
      <c r="H202" s="889">
        <f>'SAN LUONG'!AO196*0.44</f>
        <v>0</v>
      </c>
      <c r="I202" s="889">
        <f t="shared" si="32"/>
        <v>0</v>
      </c>
      <c r="J202" s="889">
        <f>'SAN LUONG'!AV196*0.44</f>
        <v>521.4</v>
      </c>
      <c r="K202" s="889">
        <f t="shared" si="37"/>
        <v>9.06</v>
      </c>
      <c r="L202" s="889"/>
      <c r="M202" s="881">
        <f>'CHAM CONG'!BC193</f>
        <v>15</v>
      </c>
      <c r="N202" s="889">
        <f t="shared" si="38"/>
        <v>7.51</v>
      </c>
      <c r="O202" s="889">
        <f t="shared" si="39"/>
        <v>0.47</v>
      </c>
      <c r="P202" s="890">
        <f>'CHAM CONG'!BO193</f>
        <v>0</v>
      </c>
      <c r="Q202" s="942">
        <f t="shared" si="40"/>
        <v>0</v>
      </c>
      <c r="R202" s="942">
        <f>'SAN LUONG'!DW196</f>
        <v>15.4</v>
      </c>
      <c r="S202" s="942">
        <f t="shared" si="33"/>
        <v>0.48</v>
      </c>
      <c r="T202" s="943">
        <f>'CHAM CONG'!BW193</f>
        <v>0</v>
      </c>
      <c r="U202" s="942">
        <f t="shared" si="41"/>
        <v>0</v>
      </c>
      <c r="V202" s="890">
        <f>'CHAM CONG'!BD193</f>
        <v>1</v>
      </c>
      <c r="W202" s="944">
        <f t="shared" si="34"/>
        <v>0.53</v>
      </c>
      <c r="X202" s="891">
        <f>'CHAM CONG'!BT193</f>
        <v>0</v>
      </c>
      <c r="Y202" s="881">
        <f t="shared" si="42"/>
        <v>0</v>
      </c>
      <c r="Z202" s="892">
        <v>6.03</v>
      </c>
      <c r="AA202" s="942">
        <f t="shared" si="46"/>
        <v>1.7</v>
      </c>
      <c r="AB202" s="892">
        <v>6.03</v>
      </c>
      <c r="AC202" s="942">
        <f t="shared" si="43"/>
        <v>7.24</v>
      </c>
      <c r="AD202" s="892">
        <v>6.03</v>
      </c>
      <c r="AE202" s="942">
        <f t="shared" si="44"/>
        <v>4.3</v>
      </c>
      <c r="AF202" s="943" t="e">
        <f>#N/A</f>
        <v>#N/A</v>
      </c>
      <c r="AG202" s="893">
        <f t="shared" si="36"/>
        <v>31.29</v>
      </c>
      <c r="AH202" s="894"/>
      <c r="AI202" s="895">
        <v>9.0299999999999994</v>
      </c>
      <c r="AJ202" s="791">
        <v>9.02</v>
      </c>
      <c r="AK202" s="896">
        <f t="shared" si="45"/>
        <v>0</v>
      </c>
      <c r="AL202" s="896"/>
      <c r="AS202" s="898"/>
    </row>
    <row r="203" spans="1:45" s="779" customFormat="1" ht="27" customHeight="1">
      <c r="A203" s="885">
        <v>187</v>
      </c>
      <c r="B203" s="886"/>
      <c r="C203" s="887" t="str">
        <f>'Tên thang 01-26'!E190</f>
        <v>ឃឿន សុក</v>
      </c>
      <c r="D203" s="887" t="str">
        <f>'Tên thang 01-26'!F190</f>
        <v>KHOEUN SOK</v>
      </c>
      <c r="E203" s="888">
        <v>67</v>
      </c>
      <c r="F203" s="889">
        <f>'SAN LUONG'!AP197*0.44</f>
        <v>0</v>
      </c>
      <c r="G203" s="889">
        <f t="shared" si="31"/>
        <v>0</v>
      </c>
      <c r="H203" s="889">
        <f>'SAN LUONG'!AO197*0.44</f>
        <v>0</v>
      </c>
      <c r="I203" s="889">
        <f t="shared" si="32"/>
        <v>0</v>
      </c>
      <c r="J203" s="889">
        <f>'SAN LUONG'!AV197*0.44</f>
        <v>578.6</v>
      </c>
      <c r="K203" s="889">
        <f t="shared" si="37"/>
        <v>10.050000000000001</v>
      </c>
      <c r="L203" s="889"/>
      <c r="M203" s="881">
        <f>'CHAM CONG'!BC194</f>
        <v>16</v>
      </c>
      <c r="N203" s="889">
        <f t="shared" si="38"/>
        <v>8.01</v>
      </c>
      <c r="O203" s="889">
        <f t="shared" si="39"/>
        <v>0.5</v>
      </c>
      <c r="P203" s="890">
        <f>'CHAM CONG'!BO194</f>
        <v>27</v>
      </c>
      <c r="Q203" s="942">
        <f t="shared" si="40"/>
        <v>2.54</v>
      </c>
      <c r="R203" s="942">
        <f>'SAN LUONG'!DW197</f>
        <v>18.5</v>
      </c>
      <c r="S203" s="942">
        <f t="shared" si="33"/>
        <v>0.57999999999999996</v>
      </c>
      <c r="T203" s="943">
        <f>'CHAM CONG'!BW194</f>
        <v>30000</v>
      </c>
      <c r="U203" s="942">
        <f t="shared" si="41"/>
        <v>0.94</v>
      </c>
      <c r="V203" s="890">
        <f>'CHAM CONG'!BD194</f>
        <v>0</v>
      </c>
      <c r="W203" s="944">
        <f t="shared" si="34"/>
        <v>0</v>
      </c>
      <c r="X203" s="891">
        <f>'CHAM CONG'!BT194</f>
        <v>1</v>
      </c>
      <c r="Y203" s="881">
        <f t="shared" si="42"/>
        <v>1.1000000000000001</v>
      </c>
      <c r="Z203" s="892">
        <v>6.03</v>
      </c>
      <c r="AA203" s="942">
        <f t="shared" si="46"/>
        <v>1.7</v>
      </c>
      <c r="AB203" s="892">
        <v>6.03</v>
      </c>
      <c r="AC203" s="942">
        <f t="shared" si="43"/>
        <v>7.24</v>
      </c>
      <c r="AD203" s="892">
        <v>6.03</v>
      </c>
      <c r="AE203" s="942">
        <f t="shared" si="44"/>
        <v>4.3</v>
      </c>
      <c r="AF203" s="943" t="e">
        <f>#N/A</f>
        <v>#N/A</v>
      </c>
      <c r="AG203" s="893">
        <f t="shared" si="36"/>
        <v>36.96</v>
      </c>
      <c r="AH203" s="894"/>
      <c r="AI203" s="895">
        <v>28.48</v>
      </c>
      <c r="AJ203" s="791">
        <v>26.480000000000004</v>
      </c>
      <c r="AK203" s="896">
        <f t="shared" si="45"/>
        <v>2</v>
      </c>
      <c r="AL203" s="896"/>
      <c r="AS203" s="898"/>
    </row>
    <row r="204" spans="1:45" s="779" customFormat="1" ht="27" customHeight="1">
      <c r="A204" s="885">
        <v>188</v>
      </c>
      <c r="B204" s="886"/>
      <c r="C204" s="887" t="str">
        <f>'Tên thang 01-26'!E191</f>
        <v>ណំ វ៉ាន់​ស៊ីង</v>
      </c>
      <c r="D204" s="887" t="str">
        <f>'Tên thang 01-26'!F191</f>
        <v>NOM VANSING</v>
      </c>
      <c r="E204" s="888">
        <v>68</v>
      </c>
      <c r="F204" s="889">
        <f>'SAN LUONG'!AP198*0.44</f>
        <v>0</v>
      </c>
      <c r="G204" s="889">
        <f t="shared" si="31"/>
        <v>0</v>
      </c>
      <c r="H204" s="889">
        <f>'SAN LUONG'!AO198*0.44</f>
        <v>0</v>
      </c>
      <c r="I204" s="889">
        <f t="shared" si="32"/>
        <v>0</v>
      </c>
      <c r="J204" s="889">
        <f>'SAN LUONG'!AV198*0.44</f>
        <v>542.52</v>
      </c>
      <c r="K204" s="889">
        <f t="shared" si="37"/>
        <v>9.42</v>
      </c>
      <c r="L204" s="889"/>
      <c r="M204" s="881">
        <f>'CHAM CONG'!BC195</f>
        <v>14</v>
      </c>
      <c r="N204" s="889">
        <f t="shared" si="38"/>
        <v>7.01</v>
      </c>
      <c r="O204" s="889">
        <f t="shared" si="39"/>
        <v>0.44</v>
      </c>
      <c r="P204" s="890">
        <f>'CHAM CONG'!BO195</f>
        <v>27</v>
      </c>
      <c r="Q204" s="942">
        <f t="shared" si="40"/>
        <v>2.54</v>
      </c>
      <c r="R204" s="942">
        <f>'SAN LUONG'!DW198</f>
        <v>17.600000000000001</v>
      </c>
      <c r="S204" s="942">
        <f t="shared" si="33"/>
        <v>0.55000000000000004</v>
      </c>
      <c r="T204" s="943">
        <f>'CHAM CONG'!BW195</f>
        <v>20000</v>
      </c>
      <c r="U204" s="942">
        <f t="shared" si="41"/>
        <v>0.63</v>
      </c>
      <c r="V204" s="890">
        <f>'CHAM CONG'!BD195</f>
        <v>0</v>
      </c>
      <c r="W204" s="944">
        <f t="shared" si="34"/>
        <v>0</v>
      </c>
      <c r="X204" s="891">
        <f>'CHAM CONG'!BT195</f>
        <v>1</v>
      </c>
      <c r="Y204" s="881">
        <f t="shared" si="42"/>
        <v>1.1000000000000001</v>
      </c>
      <c r="Z204" s="892">
        <v>6.03</v>
      </c>
      <c r="AA204" s="942">
        <f t="shared" si="46"/>
        <v>1.7</v>
      </c>
      <c r="AB204" s="892">
        <v>6.03</v>
      </c>
      <c r="AC204" s="942">
        <f t="shared" si="43"/>
        <v>7.24</v>
      </c>
      <c r="AD204" s="892">
        <v>6.03</v>
      </c>
      <c r="AE204" s="942">
        <f t="shared" si="44"/>
        <v>4.3</v>
      </c>
      <c r="AF204" s="943" t="e">
        <f>#N/A</f>
        <v>#N/A</v>
      </c>
      <c r="AG204" s="893">
        <f t="shared" si="36"/>
        <v>34.93</v>
      </c>
      <c r="AH204" s="894"/>
      <c r="AI204" s="895">
        <v>27.3</v>
      </c>
      <c r="AJ204" s="791">
        <v>25.290000000000006</v>
      </c>
      <c r="AK204" s="896">
        <f t="shared" si="45"/>
        <v>2</v>
      </c>
      <c r="AL204" s="896"/>
      <c r="AS204" s="898"/>
    </row>
    <row r="205" spans="1:45" s="779" customFormat="1" ht="27" customHeight="1">
      <c r="A205" s="885">
        <v>189</v>
      </c>
      <c r="B205" s="886"/>
      <c r="C205" s="887" t="str">
        <f>'Tên thang 01-26'!E192</f>
        <v>ដៀប ចាន់ណា</v>
      </c>
      <c r="D205" s="887" t="str">
        <f>'Tên thang 01-26'!F192</f>
        <v>DIEB CHANNA</v>
      </c>
      <c r="E205" s="888">
        <v>69</v>
      </c>
      <c r="F205" s="889">
        <f>'SAN LUONG'!AP199*0.44</f>
        <v>0</v>
      </c>
      <c r="G205" s="889">
        <f t="shared" si="31"/>
        <v>0</v>
      </c>
      <c r="H205" s="889">
        <f>'SAN LUONG'!AO199*0.44</f>
        <v>0</v>
      </c>
      <c r="I205" s="889">
        <f t="shared" si="32"/>
        <v>0</v>
      </c>
      <c r="J205" s="889">
        <f>'SAN LUONG'!AV199*0.44</f>
        <v>509.96</v>
      </c>
      <c r="K205" s="889">
        <f t="shared" si="37"/>
        <v>8.86</v>
      </c>
      <c r="L205" s="889"/>
      <c r="M205" s="881">
        <f>'CHAM CONG'!BC196</f>
        <v>15</v>
      </c>
      <c r="N205" s="889">
        <f t="shared" si="38"/>
        <v>7.51</v>
      </c>
      <c r="O205" s="889">
        <f t="shared" si="39"/>
        <v>0.47</v>
      </c>
      <c r="P205" s="890">
        <f>'CHAM CONG'!BO196</f>
        <v>27</v>
      </c>
      <c r="Q205" s="942">
        <f t="shared" si="40"/>
        <v>2.54</v>
      </c>
      <c r="R205" s="942">
        <f>'SAN LUONG'!DW199</f>
        <v>20.7</v>
      </c>
      <c r="S205" s="942">
        <f t="shared" si="33"/>
        <v>0.65</v>
      </c>
      <c r="T205" s="943">
        <f>'CHAM CONG'!BW196</f>
        <v>0</v>
      </c>
      <c r="U205" s="942">
        <f t="shared" si="41"/>
        <v>0</v>
      </c>
      <c r="V205" s="890">
        <f>'CHAM CONG'!BD196</f>
        <v>0</v>
      </c>
      <c r="W205" s="944">
        <f t="shared" si="34"/>
        <v>0</v>
      </c>
      <c r="X205" s="891">
        <f>'CHAM CONG'!BT196</f>
        <v>1</v>
      </c>
      <c r="Y205" s="881">
        <f t="shared" si="42"/>
        <v>1.1000000000000001</v>
      </c>
      <c r="Z205" s="892">
        <v>6.03</v>
      </c>
      <c r="AA205" s="942">
        <f t="shared" si="46"/>
        <v>1.7</v>
      </c>
      <c r="AB205" s="892">
        <v>6.03</v>
      </c>
      <c r="AC205" s="942">
        <f t="shared" si="43"/>
        <v>7.24</v>
      </c>
      <c r="AD205" s="892">
        <v>6.03</v>
      </c>
      <c r="AE205" s="942">
        <f t="shared" si="44"/>
        <v>4.3</v>
      </c>
      <c r="AF205" s="943" t="e">
        <f>#N/A</f>
        <v>#N/A</v>
      </c>
      <c r="AG205" s="893">
        <f t="shared" si="36"/>
        <v>34.369999999999997</v>
      </c>
      <c r="AH205" s="894"/>
      <c r="AI205" s="895">
        <v>27.49</v>
      </c>
      <c r="AJ205" s="791">
        <v>25.490000000000006</v>
      </c>
      <c r="AK205" s="896">
        <f t="shared" si="45"/>
        <v>2</v>
      </c>
      <c r="AL205" s="896"/>
      <c r="AS205" s="898"/>
    </row>
    <row r="206" spans="1:45" s="779" customFormat="1" ht="26.4" customHeight="1">
      <c r="A206" s="885">
        <v>190</v>
      </c>
      <c r="B206" s="886"/>
      <c r="C206" s="887" t="str">
        <f>'Tên thang 01-26'!E193</f>
        <v>ឆែម ឆាន</v>
      </c>
      <c r="D206" s="887" t="str">
        <f>'Tên thang 01-26'!F193</f>
        <v>CHHEM CHHAN</v>
      </c>
      <c r="E206" s="888">
        <v>70</v>
      </c>
      <c r="F206" s="889">
        <f>'SAN LUONG'!AP200*0.44</f>
        <v>0</v>
      </c>
      <c r="G206" s="889">
        <f t="shared" si="31"/>
        <v>0</v>
      </c>
      <c r="H206" s="889">
        <f>'SAN LUONG'!AO200*0.44</f>
        <v>0</v>
      </c>
      <c r="I206" s="889">
        <f t="shared" si="32"/>
        <v>0</v>
      </c>
      <c r="J206" s="889">
        <f>'SAN LUONG'!AV200*0.44</f>
        <v>709.72</v>
      </c>
      <c r="K206" s="889">
        <f t="shared" si="37"/>
        <v>12.33</v>
      </c>
      <c r="L206" s="889"/>
      <c r="M206" s="881">
        <f>'CHAM CONG'!BC197</f>
        <v>16</v>
      </c>
      <c r="N206" s="889">
        <f t="shared" si="38"/>
        <v>8.01</v>
      </c>
      <c r="O206" s="889">
        <f t="shared" si="39"/>
        <v>0.5</v>
      </c>
      <c r="P206" s="890">
        <f>'CHAM CONG'!BO197</f>
        <v>26</v>
      </c>
      <c r="Q206" s="942">
        <f t="shared" si="40"/>
        <v>2.44</v>
      </c>
      <c r="R206" s="942">
        <f>'SAN LUONG'!DW200</f>
        <v>18.3</v>
      </c>
      <c r="S206" s="942">
        <f t="shared" si="33"/>
        <v>0.56999999999999995</v>
      </c>
      <c r="T206" s="943">
        <f>'CHAM CONG'!BW197</f>
        <v>0</v>
      </c>
      <c r="U206" s="942">
        <f t="shared" si="41"/>
        <v>0</v>
      </c>
      <c r="V206" s="890">
        <f>'CHAM CONG'!BD197</f>
        <v>0</v>
      </c>
      <c r="W206" s="944">
        <f t="shared" si="34"/>
        <v>0</v>
      </c>
      <c r="X206" s="891">
        <f>'CHAM CONG'!BT197</f>
        <v>1</v>
      </c>
      <c r="Y206" s="881">
        <f t="shared" si="42"/>
        <v>1.1000000000000001</v>
      </c>
      <c r="Z206" s="892">
        <v>6.03</v>
      </c>
      <c r="AA206" s="942">
        <f t="shared" si="46"/>
        <v>1.7</v>
      </c>
      <c r="AB206" s="892">
        <v>6.03</v>
      </c>
      <c r="AC206" s="942">
        <f t="shared" si="43"/>
        <v>7.24</v>
      </c>
      <c r="AD206" s="892">
        <v>6.03</v>
      </c>
      <c r="AE206" s="942">
        <f t="shared" si="44"/>
        <v>4.3</v>
      </c>
      <c r="AF206" s="943" t="e">
        <f>#N/A</f>
        <v>#N/A</v>
      </c>
      <c r="AG206" s="893">
        <f t="shared" si="36"/>
        <v>38.190000000000005</v>
      </c>
      <c r="AH206" s="894"/>
      <c r="AI206" s="895">
        <v>18.920000000000002</v>
      </c>
      <c r="AJ206" s="791">
        <v>17.540000000000003</v>
      </c>
      <c r="AK206" s="896">
        <f t="shared" si="45"/>
        <v>1</v>
      </c>
      <c r="AL206" s="896"/>
      <c r="AS206" s="898"/>
    </row>
    <row r="207" spans="1:45" s="779" customFormat="1" ht="26.4" customHeight="1">
      <c r="A207" s="885">
        <v>191</v>
      </c>
      <c r="B207" s="886"/>
      <c r="C207" s="887" t="str">
        <f>'Tên thang 01-26'!E194</f>
        <v>ហៃ សុខវី</v>
      </c>
      <c r="D207" s="887" t="str">
        <f>'Tên thang 01-26'!F194</f>
        <v>HAY SOK VY</v>
      </c>
      <c r="E207" s="888">
        <v>71</v>
      </c>
      <c r="F207" s="889">
        <f>'SAN LUONG'!AP201*0.44</f>
        <v>0</v>
      </c>
      <c r="G207" s="889">
        <f t="shared" si="31"/>
        <v>0</v>
      </c>
      <c r="H207" s="889">
        <f>'SAN LUONG'!AO201*0.44</f>
        <v>0</v>
      </c>
      <c r="I207" s="889">
        <f t="shared" si="32"/>
        <v>0</v>
      </c>
      <c r="J207" s="889">
        <f>'SAN LUONG'!AV201*0.44</f>
        <v>695.64</v>
      </c>
      <c r="K207" s="889">
        <f t="shared" si="37"/>
        <v>12.09</v>
      </c>
      <c r="L207" s="889"/>
      <c r="M207" s="881">
        <f>'CHAM CONG'!BC198</f>
        <v>15</v>
      </c>
      <c r="N207" s="889">
        <f t="shared" si="38"/>
        <v>7.51</v>
      </c>
      <c r="O207" s="889">
        <f t="shared" si="39"/>
        <v>0.47</v>
      </c>
      <c r="P207" s="890">
        <f>'CHAM CONG'!BO198</f>
        <v>26</v>
      </c>
      <c r="Q207" s="942">
        <f t="shared" si="40"/>
        <v>2.44</v>
      </c>
      <c r="R207" s="942">
        <f>'SAN LUONG'!DW201</f>
        <v>14.3</v>
      </c>
      <c r="S207" s="942">
        <f t="shared" si="33"/>
        <v>0.45</v>
      </c>
      <c r="T207" s="943">
        <f>'CHAM CONG'!BW198</f>
        <v>20000</v>
      </c>
      <c r="U207" s="942">
        <f t="shared" si="41"/>
        <v>0.63</v>
      </c>
      <c r="V207" s="890">
        <f>'CHAM CONG'!BD198</f>
        <v>0</v>
      </c>
      <c r="W207" s="944">
        <f t="shared" si="34"/>
        <v>0</v>
      </c>
      <c r="X207" s="891">
        <f>'CHAM CONG'!BT198</f>
        <v>1</v>
      </c>
      <c r="Y207" s="881">
        <f t="shared" si="42"/>
        <v>1.1000000000000001</v>
      </c>
      <c r="Z207" s="892">
        <v>6.03</v>
      </c>
      <c r="AA207" s="942">
        <f t="shared" si="46"/>
        <v>1.7</v>
      </c>
      <c r="AB207" s="892">
        <v>6.03</v>
      </c>
      <c r="AC207" s="942">
        <f t="shared" si="43"/>
        <v>7.24</v>
      </c>
      <c r="AD207" s="892">
        <v>6.03</v>
      </c>
      <c r="AE207" s="942">
        <f t="shared" si="44"/>
        <v>4.3</v>
      </c>
      <c r="AF207" s="943" t="e">
        <f>#N/A</f>
        <v>#N/A</v>
      </c>
      <c r="AG207" s="893">
        <f t="shared" si="36"/>
        <v>37.93</v>
      </c>
      <c r="AH207" s="894"/>
      <c r="AI207" s="895">
        <v>31.66</v>
      </c>
      <c r="AJ207" s="791">
        <v>29.020000000000003</v>
      </c>
      <c r="AK207" s="896">
        <f t="shared" si="45"/>
        <v>3</v>
      </c>
      <c r="AL207" s="896"/>
      <c r="AS207" s="898"/>
    </row>
    <row r="208" spans="1:45" s="779" customFormat="1" ht="26.4" customHeight="1">
      <c r="A208" s="885">
        <v>192</v>
      </c>
      <c r="B208" s="886"/>
      <c r="C208" s="887" t="str">
        <f>'Tên thang 01-26'!E195</f>
        <v>ចយ សុខណា</v>
      </c>
      <c r="D208" s="887" t="str">
        <f>'Tên thang 01-26'!F195</f>
        <v>JOY SOKNA</v>
      </c>
      <c r="E208" s="888">
        <v>72</v>
      </c>
      <c r="F208" s="889">
        <f>'SAN LUONG'!AP202*0.44</f>
        <v>0</v>
      </c>
      <c r="G208" s="889">
        <f t="shared" si="31"/>
        <v>0</v>
      </c>
      <c r="H208" s="889">
        <f>'SAN LUONG'!AO202*0.44</f>
        <v>0</v>
      </c>
      <c r="I208" s="889">
        <f t="shared" si="32"/>
        <v>0</v>
      </c>
      <c r="J208" s="889">
        <f>'SAN LUONG'!AV202*0.44</f>
        <v>757.24</v>
      </c>
      <c r="K208" s="889">
        <f t="shared" si="37"/>
        <v>13.16</v>
      </c>
      <c r="L208" s="889"/>
      <c r="M208" s="881">
        <f>'CHAM CONG'!BC199</f>
        <v>16</v>
      </c>
      <c r="N208" s="889">
        <f t="shared" si="38"/>
        <v>8.01</v>
      </c>
      <c r="O208" s="889">
        <f t="shared" si="39"/>
        <v>0.5</v>
      </c>
      <c r="P208" s="890">
        <f>'CHAM CONG'!BO199</f>
        <v>27</v>
      </c>
      <c r="Q208" s="942">
        <f t="shared" si="40"/>
        <v>2.54</v>
      </c>
      <c r="R208" s="942">
        <f>'SAN LUONG'!DW202</f>
        <v>14.1</v>
      </c>
      <c r="S208" s="942">
        <f t="shared" si="33"/>
        <v>0.44</v>
      </c>
      <c r="T208" s="943">
        <f>'CHAM CONG'!BW199</f>
        <v>20000</v>
      </c>
      <c r="U208" s="942">
        <f t="shared" si="41"/>
        <v>0.63</v>
      </c>
      <c r="V208" s="890">
        <f>'CHAM CONG'!BD199</f>
        <v>0</v>
      </c>
      <c r="W208" s="944">
        <f t="shared" si="34"/>
        <v>0</v>
      </c>
      <c r="X208" s="891">
        <f>'CHAM CONG'!BT199</f>
        <v>1</v>
      </c>
      <c r="Y208" s="881">
        <f t="shared" si="42"/>
        <v>1.1000000000000001</v>
      </c>
      <c r="Z208" s="892">
        <v>6.03</v>
      </c>
      <c r="AA208" s="942">
        <f t="shared" si="46"/>
        <v>1.7</v>
      </c>
      <c r="AB208" s="892">
        <v>6.03</v>
      </c>
      <c r="AC208" s="942">
        <f t="shared" si="43"/>
        <v>7.24</v>
      </c>
      <c r="AD208" s="892">
        <v>6.03</v>
      </c>
      <c r="AE208" s="942">
        <f t="shared" si="44"/>
        <v>4.3</v>
      </c>
      <c r="AF208" s="943" t="e">
        <f>#N/A</f>
        <v>#N/A</v>
      </c>
      <c r="AG208" s="893">
        <f t="shared" si="36"/>
        <v>39.620000000000005</v>
      </c>
      <c r="AH208" s="894"/>
      <c r="AI208" s="895">
        <v>30.82</v>
      </c>
      <c r="AJ208" s="791">
        <v>28.180000000000007</v>
      </c>
      <c r="AK208" s="896">
        <f t="shared" si="45"/>
        <v>3</v>
      </c>
      <c r="AL208" s="896"/>
      <c r="AS208" s="898"/>
    </row>
    <row r="209" spans="1:45" s="779" customFormat="1" ht="26.4" customHeight="1">
      <c r="A209" s="885">
        <v>193</v>
      </c>
      <c r="B209" s="886"/>
      <c r="C209" s="887" t="str">
        <f>'Tên thang 01-26'!E196</f>
        <v>វៀត សុខេន</v>
      </c>
      <c r="D209" s="887" t="str">
        <f>'Tên thang 01-26'!F196</f>
        <v>VEAT SOKHEN</v>
      </c>
      <c r="E209" s="888">
        <v>73</v>
      </c>
      <c r="F209" s="889">
        <f>'SAN LUONG'!AP203*0.44</f>
        <v>0</v>
      </c>
      <c r="G209" s="889">
        <f t="shared" ref="G209:G272" si="47">ROUND((F209*$G$15)/31947,2)</f>
        <v>0</v>
      </c>
      <c r="H209" s="889">
        <f>'SAN LUONG'!AO203*0.44</f>
        <v>0</v>
      </c>
      <c r="I209" s="889">
        <f t="shared" ref="I209:I272" si="48">ROUND((H209*$I$15)/31947,2)</f>
        <v>0</v>
      </c>
      <c r="J209" s="889">
        <f>'SAN LUONG'!AV203*0.44</f>
        <v>597.52</v>
      </c>
      <c r="K209" s="889">
        <f t="shared" si="37"/>
        <v>10.38</v>
      </c>
      <c r="L209" s="889"/>
      <c r="M209" s="881">
        <f>'CHAM CONG'!BC200</f>
        <v>16</v>
      </c>
      <c r="N209" s="889">
        <f t="shared" si="38"/>
        <v>8.01</v>
      </c>
      <c r="O209" s="889">
        <f t="shared" si="39"/>
        <v>0.5</v>
      </c>
      <c r="P209" s="890">
        <f>'CHAM CONG'!BO200</f>
        <v>28</v>
      </c>
      <c r="Q209" s="942">
        <f t="shared" si="40"/>
        <v>2.63</v>
      </c>
      <c r="R209" s="942">
        <f>'SAN LUONG'!DW203</f>
        <v>71.5</v>
      </c>
      <c r="S209" s="942">
        <f t="shared" ref="S209:S272" si="49">ROUND(R209*1000/31947,2)</f>
        <v>2.2400000000000002</v>
      </c>
      <c r="T209" s="943">
        <f>'CHAM CONG'!BW200</f>
        <v>0</v>
      </c>
      <c r="U209" s="942">
        <f t="shared" si="41"/>
        <v>0</v>
      </c>
      <c r="V209" s="890">
        <f>'CHAM CONG'!BD200</f>
        <v>0</v>
      </c>
      <c r="W209" s="944">
        <f t="shared" ref="W209:W272" si="50">ROUND(V209*$V$15,2)</f>
        <v>0</v>
      </c>
      <c r="X209" s="891">
        <f>'CHAM CONG'!BT200</f>
        <v>1</v>
      </c>
      <c r="Y209" s="881">
        <f t="shared" si="42"/>
        <v>1.1000000000000001</v>
      </c>
      <c r="Z209" s="892">
        <v>6.03</v>
      </c>
      <c r="AA209" s="942">
        <f t="shared" si="46"/>
        <v>1.7</v>
      </c>
      <c r="AB209" s="892">
        <v>6.03</v>
      </c>
      <c r="AC209" s="942">
        <f t="shared" si="43"/>
        <v>7.24</v>
      </c>
      <c r="AD209" s="892">
        <v>6.03</v>
      </c>
      <c r="AE209" s="942">
        <f t="shared" si="44"/>
        <v>4.3</v>
      </c>
      <c r="AF209" s="943" t="e">
        <f>#N/A</f>
        <v>#N/A</v>
      </c>
      <c r="AG209" s="893">
        <f t="shared" ref="AG209:AG272" si="51">G209+I209+K209+N209+Q209+S209+U209+W209+Y209+AC209+AE209+O209+AA209</f>
        <v>38.1</v>
      </c>
      <c r="AH209" s="894"/>
      <c r="AI209" s="895">
        <v>32.94</v>
      </c>
      <c r="AJ209" s="791">
        <v>30.940000000000008</v>
      </c>
      <c r="AK209" s="896">
        <f t="shared" si="45"/>
        <v>2</v>
      </c>
      <c r="AL209" s="896"/>
      <c r="AS209" s="898"/>
    </row>
    <row r="210" spans="1:45" s="779" customFormat="1" ht="26.4" customHeight="1">
      <c r="A210" s="885">
        <v>194</v>
      </c>
      <c r="B210" s="886"/>
      <c r="C210" s="887" t="str">
        <f>'Tên thang 01-26'!E197</f>
        <v>រ៉ែម រ៉ុម</v>
      </c>
      <c r="D210" s="887" t="str">
        <f>'Tên thang 01-26'!F197</f>
        <v>REM ROM</v>
      </c>
      <c r="E210" s="888">
        <v>74</v>
      </c>
      <c r="F210" s="889">
        <f>'SAN LUONG'!AP204*0.44</f>
        <v>0</v>
      </c>
      <c r="G210" s="889">
        <f t="shared" si="47"/>
        <v>0</v>
      </c>
      <c r="H210" s="889">
        <f>'SAN LUONG'!AO204*0.44</f>
        <v>0</v>
      </c>
      <c r="I210" s="889">
        <f t="shared" si="48"/>
        <v>0</v>
      </c>
      <c r="J210" s="889">
        <f>'SAN LUONG'!AV204*0.44</f>
        <v>720.28</v>
      </c>
      <c r="K210" s="889">
        <f t="shared" ref="K210:K273" si="52">ROUND((J210*$K$15)/31947,2)</f>
        <v>12.51</v>
      </c>
      <c r="L210" s="889"/>
      <c r="M210" s="881">
        <f>'CHAM CONG'!BC201</f>
        <v>16</v>
      </c>
      <c r="N210" s="889">
        <f t="shared" ref="N210:N273" si="53">ROUND(M210*16000/31947,2)</f>
        <v>8.01</v>
      </c>
      <c r="O210" s="889">
        <f t="shared" ref="O210:O273" si="54">ROUND(M210*1000/31947,2)</f>
        <v>0.5</v>
      </c>
      <c r="P210" s="890">
        <f>'CHAM CONG'!BO201</f>
        <v>26</v>
      </c>
      <c r="Q210" s="942">
        <f t="shared" ref="Q210:Q273" si="55">ROUND(P210*0.0939,2)</f>
        <v>2.44</v>
      </c>
      <c r="R210" s="942">
        <f>'SAN LUONG'!DW204</f>
        <v>16</v>
      </c>
      <c r="S210" s="942">
        <f t="shared" si="49"/>
        <v>0.5</v>
      </c>
      <c r="T210" s="943">
        <f>'CHAM CONG'!BW201</f>
        <v>0</v>
      </c>
      <c r="U210" s="942">
        <f t="shared" ref="U210:U273" si="56">ROUND(T210/31947,2)</f>
        <v>0</v>
      </c>
      <c r="V210" s="890">
        <f>'CHAM CONG'!BD201</f>
        <v>0</v>
      </c>
      <c r="W210" s="944">
        <f t="shared" si="50"/>
        <v>0</v>
      </c>
      <c r="X210" s="891">
        <f>'CHAM CONG'!BT201</f>
        <v>1</v>
      </c>
      <c r="Y210" s="881">
        <f t="shared" ref="Y210:Y273" si="57">ROUND(X210*1.0956,1)</f>
        <v>1.1000000000000001</v>
      </c>
      <c r="Z210" s="892">
        <v>6.03</v>
      </c>
      <c r="AA210" s="942">
        <f t="shared" si="46"/>
        <v>1.7</v>
      </c>
      <c r="AB210" s="892">
        <v>6.03</v>
      </c>
      <c r="AC210" s="942">
        <f t="shared" ref="AC210:AC273" si="58">ROUND(AB210*$AB$15,2)</f>
        <v>7.24</v>
      </c>
      <c r="AD210" s="892">
        <v>6.03</v>
      </c>
      <c r="AE210" s="942">
        <f t="shared" ref="AE210:AE273" si="59">ROUND(AD210*$AD$15,2)</f>
        <v>4.3</v>
      </c>
      <c r="AF210" s="943" t="e">
        <f>#N/A</f>
        <v>#N/A</v>
      </c>
      <c r="AG210" s="893">
        <f t="shared" si="51"/>
        <v>38.300000000000004</v>
      </c>
      <c r="AH210" s="894"/>
      <c r="AI210" s="895">
        <v>30.58</v>
      </c>
      <c r="AJ210" s="791">
        <v>28.580000000000002</v>
      </c>
      <c r="AK210" s="896">
        <f t="shared" ref="AK210:AK273" si="60">ROUND(AI210-AJ210,0)</f>
        <v>2</v>
      </c>
      <c r="AL210" s="896"/>
      <c r="AS210" s="898"/>
    </row>
    <row r="211" spans="1:45" s="779" customFormat="1" ht="26.4" customHeight="1">
      <c r="A211" s="885">
        <v>195</v>
      </c>
      <c r="B211" s="886"/>
      <c r="C211" s="887" t="str">
        <f>'Tên thang 01-26'!E198</f>
        <v>ចយ សុខា</v>
      </c>
      <c r="D211" s="887" t="str">
        <f>'Tên thang 01-26'!F198</f>
        <v>CHORY SOKHA</v>
      </c>
      <c r="E211" s="888">
        <v>75</v>
      </c>
      <c r="F211" s="889">
        <f>'SAN LUONG'!AP205*0.44</f>
        <v>0</v>
      </c>
      <c r="G211" s="889">
        <f t="shared" si="47"/>
        <v>0</v>
      </c>
      <c r="H211" s="889">
        <f>'SAN LUONG'!AO205*0.44</f>
        <v>0</v>
      </c>
      <c r="I211" s="889">
        <f t="shared" si="48"/>
        <v>0</v>
      </c>
      <c r="J211" s="889">
        <f>'SAN LUONG'!AV205*0.44</f>
        <v>745.36</v>
      </c>
      <c r="K211" s="889">
        <f t="shared" si="52"/>
        <v>12.95</v>
      </c>
      <c r="L211" s="889"/>
      <c r="M211" s="881">
        <f>'CHAM CONG'!BC202</f>
        <v>16</v>
      </c>
      <c r="N211" s="889">
        <f t="shared" si="53"/>
        <v>8.01</v>
      </c>
      <c r="O211" s="889">
        <f t="shared" si="54"/>
        <v>0.5</v>
      </c>
      <c r="P211" s="890">
        <f>'CHAM CONG'!BO202</f>
        <v>26</v>
      </c>
      <c r="Q211" s="942">
        <f t="shared" si="55"/>
        <v>2.44</v>
      </c>
      <c r="R211" s="942">
        <f>'SAN LUONG'!DW205</f>
        <v>16.8</v>
      </c>
      <c r="S211" s="942">
        <f t="shared" si="49"/>
        <v>0.53</v>
      </c>
      <c r="T211" s="943">
        <f>'CHAM CONG'!BW202</f>
        <v>0</v>
      </c>
      <c r="U211" s="942">
        <f t="shared" si="56"/>
        <v>0</v>
      </c>
      <c r="V211" s="890">
        <f>'CHAM CONG'!BD202</f>
        <v>0</v>
      </c>
      <c r="W211" s="944">
        <f t="shared" si="50"/>
        <v>0</v>
      </c>
      <c r="X211" s="891">
        <f>'CHAM CONG'!BT202</f>
        <v>1</v>
      </c>
      <c r="Y211" s="881">
        <f t="shared" si="57"/>
        <v>1.1000000000000001</v>
      </c>
      <c r="Z211" s="892">
        <v>6.03</v>
      </c>
      <c r="AA211" s="942">
        <f t="shared" si="46"/>
        <v>1.7</v>
      </c>
      <c r="AB211" s="892">
        <v>6.03</v>
      </c>
      <c r="AC211" s="942">
        <f t="shared" si="58"/>
        <v>7.24</v>
      </c>
      <c r="AD211" s="892">
        <v>6.03</v>
      </c>
      <c r="AE211" s="942">
        <f t="shared" si="59"/>
        <v>4.3</v>
      </c>
      <c r="AF211" s="943" t="e">
        <f>#N/A</f>
        <v>#N/A</v>
      </c>
      <c r="AG211" s="893">
        <f t="shared" si="51"/>
        <v>38.770000000000003</v>
      </c>
      <c r="AH211" s="894"/>
      <c r="AI211" s="895">
        <v>29.36</v>
      </c>
      <c r="AJ211" s="791">
        <v>27.360000000000003</v>
      </c>
      <c r="AK211" s="896">
        <f t="shared" si="60"/>
        <v>2</v>
      </c>
      <c r="AL211" s="896"/>
      <c r="AS211" s="898"/>
    </row>
    <row r="212" spans="1:45" s="779" customFormat="1" ht="26.4" customHeight="1">
      <c r="A212" s="885">
        <v>196</v>
      </c>
      <c r="B212" s="886"/>
      <c r="C212" s="887" t="str">
        <f>'Tên thang 01-26'!E199</f>
        <v>ងិន ភា</v>
      </c>
      <c r="D212" s="887" t="str">
        <f>'Tên thang 01-26'!F199</f>
        <v>NGIN PHEA</v>
      </c>
      <c r="E212" s="888">
        <v>76</v>
      </c>
      <c r="F212" s="889">
        <f>'SAN LUONG'!AP206*0.44</f>
        <v>0</v>
      </c>
      <c r="G212" s="889">
        <f t="shared" si="47"/>
        <v>0</v>
      </c>
      <c r="H212" s="889">
        <f>'SAN LUONG'!AO206*0.44</f>
        <v>0</v>
      </c>
      <c r="I212" s="889">
        <f t="shared" si="48"/>
        <v>0</v>
      </c>
      <c r="J212" s="889">
        <f>'SAN LUONG'!AV206*0.44</f>
        <v>589.6</v>
      </c>
      <c r="K212" s="889">
        <f t="shared" si="52"/>
        <v>10.24</v>
      </c>
      <c r="L212" s="889"/>
      <c r="M212" s="881">
        <f>'CHAM CONG'!BC203</f>
        <v>15</v>
      </c>
      <c r="N212" s="889">
        <f t="shared" si="53"/>
        <v>7.51</v>
      </c>
      <c r="O212" s="889">
        <f t="shared" si="54"/>
        <v>0.47</v>
      </c>
      <c r="P212" s="890">
        <f>'CHAM CONG'!BO203</f>
        <v>28</v>
      </c>
      <c r="Q212" s="942">
        <f t="shared" si="55"/>
        <v>2.63</v>
      </c>
      <c r="R212" s="942">
        <f>'SAN LUONG'!DW206</f>
        <v>49.1</v>
      </c>
      <c r="S212" s="942">
        <f t="shared" si="49"/>
        <v>1.54</v>
      </c>
      <c r="T212" s="943">
        <f>'CHAM CONG'!BW203</f>
        <v>0</v>
      </c>
      <c r="U212" s="942">
        <f t="shared" si="56"/>
        <v>0</v>
      </c>
      <c r="V212" s="890">
        <f>'CHAM CONG'!BD203</f>
        <v>0</v>
      </c>
      <c r="W212" s="944">
        <f t="shared" si="50"/>
        <v>0</v>
      </c>
      <c r="X212" s="891">
        <f>'CHAM CONG'!BT203</f>
        <v>1</v>
      </c>
      <c r="Y212" s="881">
        <f t="shared" si="57"/>
        <v>1.1000000000000001</v>
      </c>
      <c r="Z212" s="892">
        <v>6.03</v>
      </c>
      <c r="AA212" s="942">
        <f t="shared" si="46"/>
        <v>1.7</v>
      </c>
      <c r="AB212" s="892">
        <v>6.03</v>
      </c>
      <c r="AC212" s="942">
        <f t="shared" si="58"/>
        <v>7.24</v>
      </c>
      <c r="AD212" s="892">
        <v>6.03</v>
      </c>
      <c r="AE212" s="942">
        <f t="shared" si="59"/>
        <v>4.3</v>
      </c>
      <c r="AF212" s="943" t="e">
        <f>#N/A</f>
        <v>#N/A</v>
      </c>
      <c r="AG212" s="893">
        <f t="shared" si="51"/>
        <v>36.729999999999997</v>
      </c>
      <c r="AH212" s="894"/>
      <c r="AI212" s="895">
        <v>25.95</v>
      </c>
      <c r="AJ212" s="791">
        <v>23.940000000000005</v>
      </c>
      <c r="AK212" s="896">
        <f t="shared" si="60"/>
        <v>2</v>
      </c>
      <c r="AL212" s="896"/>
      <c r="AS212" s="898"/>
    </row>
    <row r="213" spans="1:45" s="779" customFormat="1" ht="26.4" customHeight="1">
      <c r="A213" s="885">
        <v>197</v>
      </c>
      <c r="B213" s="886"/>
      <c r="C213" s="887" t="str">
        <f>'Tên thang 01-26'!E200</f>
        <v>ប៉ិល សុដា</v>
      </c>
      <c r="D213" s="887" t="str">
        <f>'Tên thang 01-26'!F200</f>
        <v>PEL SODA</v>
      </c>
      <c r="E213" s="888">
        <v>77</v>
      </c>
      <c r="F213" s="889">
        <f>'SAN LUONG'!AP207*0.44</f>
        <v>0</v>
      </c>
      <c r="G213" s="889">
        <f t="shared" si="47"/>
        <v>0</v>
      </c>
      <c r="H213" s="889">
        <f>'SAN LUONG'!AO207*0.44</f>
        <v>0</v>
      </c>
      <c r="I213" s="889">
        <f t="shared" si="48"/>
        <v>0</v>
      </c>
      <c r="J213" s="889">
        <f>'SAN LUONG'!AV207*0.44</f>
        <v>587.4</v>
      </c>
      <c r="K213" s="889">
        <f t="shared" si="52"/>
        <v>10.199999999999999</v>
      </c>
      <c r="L213" s="889"/>
      <c r="M213" s="881">
        <f>'CHAM CONG'!BC204</f>
        <v>14</v>
      </c>
      <c r="N213" s="889">
        <f t="shared" si="53"/>
        <v>7.01</v>
      </c>
      <c r="O213" s="889">
        <f t="shared" si="54"/>
        <v>0.44</v>
      </c>
      <c r="P213" s="890">
        <f>'CHAM CONG'!BO204</f>
        <v>27</v>
      </c>
      <c r="Q213" s="942">
        <f t="shared" si="55"/>
        <v>2.54</v>
      </c>
      <c r="R213" s="942">
        <f>'SAN LUONG'!DW207</f>
        <v>28.4</v>
      </c>
      <c r="S213" s="942">
        <f t="shared" si="49"/>
        <v>0.89</v>
      </c>
      <c r="T213" s="943">
        <f>'CHAM CONG'!BW204</f>
        <v>0</v>
      </c>
      <c r="U213" s="942">
        <f t="shared" si="56"/>
        <v>0</v>
      </c>
      <c r="V213" s="890">
        <f>'CHAM CONG'!BD204</f>
        <v>0</v>
      </c>
      <c r="W213" s="944">
        <f t="shared" si="50"/>
        <v>0</v>
      </c>
      <c r="X213" s="891">
        <f>'CHAM CONG'!BT204</f>
        <v>1</v>
      </c>
      <c r="Y213" s="881">
        <f t="shared" si="57"/>
        <v>1.1000000000000001</v>
      </c>
      <c r="Z213" s="892">
        <v>6.03</v>
      </c>
      <c r="AA213" s="942">
        <f t="shared" si="46"/>
        <v>1.7</v>
      </c>
      <c r="AB213" s="892">
        <v>6.03</v>
      </c>
      <c r="AC213" s="942">
        <f t="shared" si="58"/>
        <v>7.24</v>
      </c>
      <c r="AD213" s="892">
        <v>6.03</v>
      </c>
      <c r="AE213" s="942">
        <f t="shared" si="59"/>
        <v>4.3</v>
      </c>
      <c r="AF213" s="943" t="e">
        <f>#N/A</f>
        <v>#N/A</v>
      </c>
      <c r="AG213" s="893">
        <f t="shared" si="51"/>
        <v>35.42</v>
      </c>
      <c r="AH213" s="894"/>
      <c r="AI213" s="895">
        <v>27.42</v>
      </c>
      <c r="AJ213" s="791">
        <v>25.410000000000004</v>
      </c>
      <c r="AK213" s="896">
        <f t="shared" si="60"/>
        <v>2</v>
      </c>
      <c r="AL213" s="896"/>
      <c r="AS213" s="898"/>
    </row>
    <row r="214" spans="1:45" s="779" customFormat="1" ht="26.4" customHeight="1">
      <c r="A214" s="885">
        <v>198</v>
      </c>
      <c r="B214" s="886"/>
      <c r="C214" s="887" t="str">
        <f>'Tên thang 01-26'!E201</f>
        <v>ទ្រី​ សុខខី</v>
      </c>
      <c r="D214" s="887" t="str">
        <f>'Tên thang 01-26'!F201</f>
        <v>TRY SOKKHEY</v>
      </c>
      <c r="E214" s="888">
        <v>78</v>
      </c>
      <c r="F214" s="889">
        <f>'SAN LUONG'!AP208*0.44</f>
        <v>0</v>
      </c>
      <c r="G214" s="889">
        <f t="shared" si="47"/>
        <v>0</v>
      </c>
      <c r="H214" s="889">
        <f>'SAN LUONG'!AO208*0.44</f>
        <v>0</v>
      </c>
      <c r="I214" s="889">
        <f t="shared" si="48"/>
        <v>0</v>
      </c>
      <c r="J214" s="889">
        <f>'SAN LUONG'!AV208*0.44</f>
        <v>172.92</v>
      </c>
      <c r="K214" s="889">
        <f t="shared" si="52"/>
        <v>3</v>
      </c>
      <c r="L214" s="889"/>
      <c r="M214" s="881">
        <f>'CHAM CONG'!BC205</f>
        <v>2</v>
      </c>
      <c r="N214" s="889">
        <f t="shared" si="53"/>
        <v>1</v>
      </c>
      <c r="O214" s="889">
        <f t="shared" si="54"/>
        <v>0.06</v>
      </c>
      <c r="P214" s="890">
        <f>'CHAM CONG'!BO205</f>
        <v>0</v>
      </c>
      <c r="Q214" s="942">
        <f t="shared" si="55"/>
        <v>0</v>
      </c>
      <c r="R214" s="942">
        <f>'SAN LUONG'!DW208</f>
        <v>7.2</v>
      </c>
      <c r="S214" s="942">
        <f t="shared" si="49"/>
        <v>0.23</v>
      </c>
      <c r="T214" s="943">
        <f>'CHAM CONG'!BW205</f>
        <v>0</v>
      </c>
      <c r="U214" s="942">
        <f t="shared" si="56"/>
        <v>0</v>
      </c>
      <c r="V214" s="890">
        <f>'CHAM CONG'!BD205</f>
        <v>0</v>
      </c>
      <c r="W214" s="944">
        <f t="shared" si="50"/>
        <v>0</v>
      </c>
      <c r="X214" s="891">
        <f>'CHAM CONG'!BT205</f>
        <v>0</v>
      </c>
      <c r="Y214" s="881">
        <f t="shared" si="57"/>
        <v>0</v>
      </c>
      <c r="Z214" s="892">
        <v>6.03</v>
      </c>
      <c r="AA214" s="942">
        <f t="shared" si="46"/>
        <v>1.7</v>
      </c>
      <c r="AB214" s="892">
        <v>6.03</v>
      </c>
      <c r="AC214" s="942">
        <f t="shared" si="58"/>
        <v>7.24</v>
      </c>
      <c r="AD214" s="892">
        <v>6.03</v>
      </c>
      <c r="AE214" s="942">
        <f t="shared" si="59"/>
        <v>4.3</v>
      </c>
      <c r="AF214" s="943" t="e">
        <f>#N/A</f>
        <v>#N/A</v>
      </c>
      <c r="AG214" s="893">
        <f t="shared" si="51"/>
        <v>17.53</v>
      </c>
      <c r="AH214" s="894"/>
      <c r="AI214" s="895">
        <v>23.11</v>
      </c>
      <c r="AJ214" s="791">
        <v>21.1</v>
      </c>
      <c r="AK214" s="896">
        <f t="shared" si="60"/>
        <v>2</v>
      </c>
      <c r="AL214" s="896"/>
      <c r="AS214" s="898"/>
    </row>
    <row r="215" spans="1:45" s="779" customFormat="1" ht="26.4" customHeight="1">
      <c r="A215" s="885">
        <v>199</v>
      </c>
      <c r="B215" s="886"/>
      <c r="C215" s="887" t="str">
        <f>'Tên thang 01-26'!E202</f>
        <v>ដែង ស</v>
      </c>
      <c r="D215" s="887" t="str">
        <f>'Tên thang 01-26'!F202</f>
        <v>DENG SOR</v>
      </c>
      <c r="E215" s="888">
        <v>79</v>
      </c>
      <c r="F215" s="889">
        <f>'SAN LUONG'!AP209*0.44</f>
        <v>0</v>
      </c>
      <c r="G215" s="889">
        <f t="shared" si="47"/>
        <v>0</v>
      </c>
      <c r="H215" s="889">
        <f>'SAN LUONG'!AO209*0.44</f>
        <v>0</v>
      </c>
      <c r="I215" s="889">
        <f t="shared" si="48"/>
        <v>0</v>
      </c>
      <c r="J215" s="889">
        <f>'SAN LUONG'!AV209*0.44</f>
        <v>605.88</v>
      </c>
      <c r="K215" s="889">
        <f t="shared" si="52"/>
        <v>10.53</v>
      </c>
      <c r="L215" s="889"/>
      <c r="M215" s="881">
        <f>'CHAM CONG'!BC206</f>
        <v>15</v>
      </c>
      <c r="N215" s="889">
        <f t="shared" si="53"/>
        <v>7.51</v>
      </c>
      <c r="O215" s="889">
        <f t="shared" si="54"/>
        <v>0.47</v>
      </c>
      <c r="P215" s="890">
        <f>'CHAM CONG'!BO206</f>
        <v>26</v>
      </c>
      <c r="Q215" s="942">
        <f t="shared" si="55"/>
        <v>2.44</v>
      </c>
      <c r="R215" s="942">
        <f>'SAN LUONG'!DW209</f>
        <v>44.6</v>
      </c>
      <c r="S215" s="942">
        <f t="shared" si="49"/>
        <v>1.4</v>
      </c>
      <c r="T215" s="943">
        <f>'CHAM CONG'!BW206</f>
        <v>-20000</v>
      </c>
      <c r="U215" s="942">
        <f t="shared" si="56"/>
        <v>-0.63</v>
      </c>
      <c r="V215" s="890">
        <f>'CHAM CONG'!BD206</f>
        <v>0</v>
      </c>
      <c r="W215" s="944">
        <f t="shared" si="50"/>
        <v>0</v>
      </c>
      <c r="X215" s="891">
        <f>'CHAM CONG'!BT206</f>
        <v>1</v>
      </c>
      <c r="Y215" s="881">
        <f t="shared" si="57"/>
        <v>1.1000000000000001</v>
      </c>
      <c r="Z215" s="892">
        <v>6.03</v>
      </c>
      <c r="AA215" s="942">
        <f t="shared" si="46"/>
        <v>1.7</v>
      </c>
      <c r="AB215" s="892">
        <v>6.03</v>
      </c>
      <c r="AC215" s="942">
        <f t="shared" si="58"/>
        <v>7.24</v>
      </c>
      <c r="AD215" s="892">
        <v>6.03</v>
      </c>
      <c r="AE215" s="942">
        <f t="shared" si="59"/>
        <v>4.3</v>
      </c>
      <c r="AF215" s="943" t="e">
        <f>#N/A</f>
        <v>#N/A</v>
      </c>
      <c r="AG215" s="893">
        <f t="shared" si="51"/>
        <v>36.06</v>
      </c>
      <c r="AH215" s="894"/>
      <c r="AI215" s="895">
        <v>14.72</v>
      </c>
      <c r="AJ215" s="791">
        <v>12.7</v>
      </c>
      <c r="AK215" s="896">
        <f t="shared" si="60"/>
        <v>2</v>
      </c>
      <c r="AL215" s="896"/>
      <c r="AS215" s="898"/>
    </row>
    <row r="216" spans="1:45" s="779" customFormat="1" ht="26.4" customHeight="1">
      <c r="A216" s="885">
        <v>200</v>
      </c>
      <c r="B216" s="886"/>
      <c r="C216" s="887" t="str">
        <f>'Tên thang 01-26'!E203</f>
        <v>អ៊ុក រដ្ឋ</v>
      </c>
      <c r="D216" s="887" t="str">
        <f>'Tên thang 01-26'!F203</f>
        <v>UK ROTH</v>
      </c>
      <c r="E216" s="888">
        <v>80</v>
      </c>
      <c r="F216" s="889">
        <f>'SAN LUONG'!AP210*0.44</f>
        <v>0</v>
      </c>
      <c r="G216" s="889">
        <f t="shared" si="47"/>
        <v>0</v>
      </c>
      <c r="H216" s="889">
        <f>'SAN LUONG'!AO210*0.44</f>
        <v>0</v>
      </c>
      <c r="I216" s="889">
        <f t="shared" si="48"/>
        <v>0</v>
      </c>
      <c r="J216" s="889">
        <f>'SAN LUONG'!AV210*0.44</f>
        <v>747.12</v>
      </c>
      <c r="K216" s="889">
        <f t="shared" si="52"/>
        <v>12.98</v>
      </c>
      <c r="L216" s="889"/>
      <c r="M216" s="881">
        <f>'CHAM CONG'!BC207</f>
        <v>15</v>
      </c>
      <c r="N216" s="889">
        <f t="shared" si="53"/>
        <v>7.51</v>
      </c>
      <c r="O216" s="889">
        <f t="shared" si="54"/>
        <v>0.47</v>
      </c>
      <c r="P216" s="890">
        <f>'CHAM CONG'!BO207</f>
        <v>26</v>
      </c>
      <c r="Q216" s="942">
        <f t="shared" si="55"/>
        <v>2.44</v>
      </c>
      <c r="R216" s="942">
        <f>'SAN LUONG'!DW210</f>
        <v>20.3</v>
      </c>
      <c r="S216" s="942">
        <f t="shared" si="49"/>
        <v>0.64</v>
      </c>
      <c r="T216" s="943">
        <f>'CHAM CONG'!BW207</f>
        <v>0</v>
      </c>
      <c r="U216" s="942">
        <f t="shared" si="56"/>
        <v>0</v>
      </c>
      <c r="V216" s="890">
        <f>'CHAM CONG'!BD207</f>
        <v>0</v>
      </c>
      <c r="W216" s="944">
        <f t="shared" si="50"/>
        <v>0</v>
      </c>
      <c r="X216" s="891">
        <f>'CHAM CONG'!BT207</f>
        <v>1</v>
      </c>
      <c r="Y216" s="881">
        <f t="shared" si="57"/>
        <v>1.1000000000000001</v>
      </c>
      <c r="Z216" s="892">
        <v>6.03</v>
      </c>
      <c r="AA216" s="942">
        <f t="shared" si="46"/>
        <v>1.7</v>
      </c>
      <c r="AB216" s="892">
        <v>6.03</v>
      </c>
      <c r="AC216" s="942">
        <f t="shared" si="58"/>
        <v>7.24</v>
      </c>
      <c r="AD216" s="892">
        <v>6.03</v>
      </c>
      <c r="AE216" s="942">
        <f t="shared" si="59"/>
        <v>4.3</v>
      </c>
      <c r="AF216" s="943" t="e">
        <f>#N/A</f>
        <v>#N/A</v>
      </c>
      <c r="AG216" s="893">
        <f t="shared" si="51"/>
        <v>38.380000000000003</v>
      </c>
      <c r="AH216" s="894"/>
      <c r="AI216" s="895">
        <v>25.46</v>
      </c>
      <c r="AJ216" s="791">
        <v>23.460000000000008</v>
      </c>
      <c r="AK216" s="896">
        <f t="shared" si="60"/>
        <v>2</v>
      </c>
      <c r="AL216" s="896"/>
      <c r="AS216" s="898"/>
    </row>
    <row r="217" spans="1:45" s="779" customFormat="1" ht="26.4" customHeight="1">
      <c r="A217" s="885">
        <v>201</v>
      </c>
      <c r="B217" s="886"/>
      <c r="C217" s="887" t="str">
        <f>'Tên thang 01-26'!E204</f>
        <v>ដែង សន</v>
      </c>
      <c r="D217" s="887" t="str">
        <f>'Tên thang 01-26'!F204</f>
        <v>DENG SAN</v>
      </c>
      <c r="E217" s="888">
        <v>81</v>
      </c>
      <c r="F217" s="889">
        <f>'SAN LUONG'!AP211*0.44</f>
        <v>0</v>
      </c>
      <c r="G217" s="889">
        <f t="shared" si="47"/>
        <v>0</v>
      </c>
      <c r="H217" s="889">
        <f>'SAN LUONG'!AO211*0.44</f>
        <v>0</v>
      </c>
      <c r="I217" s="889">
        <f t="shared" si="48"/>
        <v>0</v>
      </c>
      <c r="J217" s="889">
        <f>'SAN LUONG'!AV211*0.44</f>
        <v>749.32</v>
      </c>
      <c r="K217" s="889">
        <f t="shared" si="52"/>
        <v>13.02</v>
      </c>
      <c r="L217" s="889"/>
      <c r="M217" s="881">
        <f>'CHAM CONG'!BC208</f>
        <v>15</v>
      </c>
      <c r="N217" s="889">
        <f t="shared" si="53"/>
        <v>7.51</v>
      </c>
      <c r="O217" s="889">
        <f t="shared" si="54"/>
        <v>0.47</v>
      </c>
      <c r="P217" s="890">
        <f>'CHAM CONG'!BO208</f>
        <v>26</v>
      </c>
      <c r="Q217" s="942">
        <f t="shared" si="55"/>
        <v>2.44</v>
      </c>
      <c r="R217" s="942">
        <f>'SAN LUONG'!DW211</f>
        <v>21.9</v>
      </c>
      <c r="S217" s="942">
        <f t="shared" si="49"/>
        <v>0.69</v>
      </c>
      <c r="T217" s="943">
        <f>'CHAM CONG'!BW208</f>
        <v>-20000</v>
      </c>
      <c r="U217" s="942">
        <f t="shared" si="56"/>
        <v>-0.63</v>
      </c>
      <c r="V217" s="890">
        <f>'CHAM CONG'!BD208</f>
        <v>0</v>
      </c>
      <c r="W217" s="944">
        <f t="shared" si="50"/>
        <v>0</v>
      </c>
      <c r="X217" s="891">
        <f>'CHAM CONG'!BT208</f>
        <v>1</v>
      </c>
      <c r="Y217" s="881">
        <f t="shared" si="57"/>
        <v>1.1000000000000001</v>
      </c>
      <c r="Z217" s="892">
        <v>6.03</v>
      </c>
      <c r="AA217" s="942">
        <f t="shared" si="46"/>
        <v>1.7</v>
      </c>
      <c r="AB217" s="892">
        <v>6.03</v>
      </c>
      <c r="AC217" s="942">
        <f t="shared" si="58"/>
        <v>7.24</v>
      </c>
      <c r="AD217" s="892">
        <v>6.03</v>
      </c>
      <c r="AE217" s="942">
        <f t="shared" si="59"/>
        <v>4.3</v>
      </c>
      <c r="AF217" s="943" t="e">
        <f>#N/A</f>
        <v>#N/A</v>
      </c>
      <c r="AG217" s="893">
        <f t="shared" si="51"/>
        <v>37.840000000000003</v>
      </c>
      <c r="AH217" s="894"/>
      <c r="AI217" s="895">
        <v>24.77</v>
      </c>
      <c r="AJ217" s="791">
        <v>22.760000000000005</v>
      </c>
      <c r="AK217" s="896">
        <f t="shared" si="60"/>
        <v>2</v>
      </c>
      <c r="AL217" s="896"/>
      <c r="AS217" s="898"/>
    </row>
    <row r="218" spans="1:45" s="779" customFormat="1" ht="26.4" customHeight="1">
      <c r="A218" s="885">
        <v>202</v>
      </c>
      <c r="B218" s="886"/>
      <c r="C218" s="887" t="str">
        <f>'Tên thang 01-26'!E205</f>
        <v>ញូន ស្រីខួច</v>
      </c>
      <c r="D218" s="887" t="str">
        <f>'Tên thang 01-26'!F205</f>
        <v>NHOUN SREYKHOUCH</v>
      </c>
      <c r="E218" s="888">
        <v>82</v>
      </c>
      <c r="F218" s="889">
        <f>'SAN LUONG'!AP212*0.44</f>
        <v>0</v>
      </c>
      <c r="G218" s="889">
        <f t="shared" si="47"/>
        <v>0</v>
      </c>
      <c r="H218" s="889">
        <f>'SAN LUONG'!AO212*0.44</f>
        <v>0</v>
      </c>
      <c r="I218" s="889">
        <f t="shared" si="48"/>
        <v>0</v>
      </c>
      <c r="J218" s="889">
        <f>'SAN LUONG'!AV212*0.44</f>
        <v>573.76</v>
      </c>
      <c r="K218" s="889">
        <f t="shared" si="52"/>
        <v>9.9700000000000006</v>
      </c>
      <c r="L218" s="889"/>
      <c r="M218" s="881">
        <f>'CHAM CONG'!BC209</f>
        <v>15</v>
      </c>
      <c r="N218" s="889">
        <f t="shared" si="53"/>
        <v>7.51</v>
      </c>
      <c r="O218" s="889">
        <f t="shared" si="54"/>
        <v>0.47</v>
      </c>
      <c r="P218" s="890">
        <f>'CHAM CONG'!BO209</f>
        <v>26</v>
      </c>
      <c r="Q218" s="942">
        <f t="shared" si="55"/>
        <v>2.44</v>
      </c>
      <c r="R218" s="942">
        <f>'SAN LUONG'!DW212</f>
        <v>47.5</v>
      </c>
      <c r="S218" s="942">
        <f t="shared" si="49"/>
        <v>1.49</v>
      </c>
      <c r="T218" s="943">
        <f>'CHAM CONG'!BW209</f>
        <v>0</v>
      </c>
      <c r="U218" s="942">
        <f t="shared" si="56"/>
        <v>0</v>
      </c>
      <c r="V218" s="890">
        <f>'CHAM CONG'!BD209</f>
        <v>0</v>
      </c>
      <c r="W218" s="944">
        <f t="shared" si="50"/>
        <v>0</v>
      </c>
      <c r="X218" s="891">
        <f>'CHAM CONG'!BT209</f>
        <v>1</v>
      </c>
      <c r="Y218" s="881">
        <f t="shared" si="57"/>
        <v>1.1000000000000001</v>
      </c>
      <c r="Z218" s="892">
        <v>6.03</v>
      </c>
      <c r="AA218" s="942">
        <f t="shared" si="46"/>
        <v>1.7</v>
      </c>
      <c r="AB218" s="892">
        <v>6.03</v>
      </c>
      <c r="AC218" s="942">
        <f t="shared" si="58"/>
        <v>7.24</v>
      </c>
      <c r="AD218" s="892">
        <v>6.03</v>
      </c>
      <c r="AE218" s="942">
        <f t="shared" si="59"/>
        <v>4.3</v>
      </c>
      <c r="AF218" s="943" t="e">
        <f>#N/A</f>
        <v>#N/A</v>
      </c>
      <c r="AG218" s="893">
        <f t="shared" si="51"/>
        <v>36.22</v>
      </c>
      <c r="AH218" s="894"/>
      <c r="AI218" s="895">
        <v>11.09</v>
      </c>
      <c r="AJ218" s="791">
        <v>9.09</v>
      </c>
      <c r="AK218" s="896">
        <f t="shared" si="60"/>
        <v>2</v>
      </c>
      <c r="AL218" s="896"/>
      <c r="AS218" s="898"/>
    </row>
    <row r="219" spans="1:45" s="779" customFormat="1" ht="26.4" customHeight="1">
      <c r="A219" s="885">
        <v>203</v>
      </c>
      <c r="B219" s="886"/>
      <c r="C219" s="887" t="str">
        <f>'Tên thang 01-26'!E206</f>
        <v>សេក សាមន់</v>
      </c>
      <c r="D219" s="887" t="str">
        <f>'Tên thang 01-26'!F206</f>
        <v>SEK SAMON</v>
      </c>
      <c r="E219" s="888">
        <v>83</v>
      </c>
      <c r="F219" s="889">
        <f>'SAN LUONG'!AP213*0.44</f>
        <v>0</v>
      </c>
      <c r="G219" s="889">
        <f t="shared" si="47"/>
        <v>0</v>
      </c>
      <c r="H219" s="889">
        <f>'SAN LUONG'!AO213*0.44</f>
        <v>0</v>
      </c>
      <c r="I219" s="889">
        <f t="shared" si="48"/>
        <v>0</v>
      </c>
      <c r="J219" s="889">
        <f>'SAN LUONG'!AV213*0.44</f>
        <v>609.4</v>
      </c>
      <c r="K219" s="889">
        <f t="shared" si="52"/>
        <v>10.59</v>
      </c>
      <c r="L219" s="889"/>
      <c r="M219" s="881">
        <f>'CHAM CONG'!BC210</f>
        <v>15</v>
      </c>
      <c r="N219" s="889">
        <f t="shared" si="53"/>
        <v>7.51</v>
      </c>
      <c r="O219" s="889">
        <f t="shared" si="54"/>
        <v>0.47</v>
      </c>
      <c r="P219" s="890">
        <f>'CHAM CONG'!BO210</f>
        <v>26</v>
      </c>
      <c r="Q219" s="942">
        <f t="shared" si="55"/>
        <v>2.44</v>
      </c>
      <c r="R219" s="942">
        <f>'SAN LUONG'!DW213</f>
        <v>20.8</v>
      </c>
      <c r="S219" s="942">
        <f t="shared" si="49"/>
        <v>0.65</v>
      </c>
      <c r="T219" s="943">
        <f>'CHAM CONG'!BW210</f>
        <v>0</v>
      </c>
      <c r="U219" s="942">
        <f t="shared" si="56"/>
        <v>0</v>
      </c>
      <c r="V219" s="890">
        <f>'CHAM CONG'!BD210</f>
        <v>0</v>
      </c>
      <c r="W219" s="944">
        <f t="shared" si="50"/>
        <v>0</v>
      </c>
      <c r="X219" s="891">
        <f>'CHAM CONG'!BT210</f>
        <v>1</v>
      </c>
      <c r="Y219" s="881">
        <f t="shared" si="57"/>
        <v>1.1000000000000001</v>
      </c>
      <c r="Z219" s="892">
        <v>6.03</v>
      </c>
      <c r="AA219" s="942">
        <f t="shared" si="46"/>
        <v>1.7</v>
      </c>
      <c r="AB219" s="892">
        <v>6.03</v>
      </c>
      <c r="AC219" s="942">
        <f t="shared" si="58"/>
        <v>7.24</v>
      </c>
      <c r="AD219" s="892">
        <v>6.03</v>
      </c>
      <c r="AE219" s="942">
        <f t="shared" si="59"/>
        <v>4.3</v>
      </c>
      <c r="AF219" s="943" t="e">
        <f>#N/A</f>
        <v>#N/A</v>
      </c>
      <c r="AG219" s="893">
        <f t="shared" si="51"/>
        <v>36</v>
      </c>
      <c r="AH219" s="894"/>
      <c r="AI219" s="895">
        <v>22.06</v>
      </c>
      <c r="AJ219" s="791">
        <v>21.560000000000002</v>
      </c>
      <c r="AK219" s="896">
        <f t="shared" si="60"/>
        <v>0</v>
      </c>
      <c r="AL219" s="896"/>
      <c r="AS219" s="898"/>
    </row>
    <row r="220" spans="1:45" s="779" customFormat="1" ht="26.4" customHeight="1">
      <c r="A220" s="885">
        <v>204</v>
      </c>
      <c r="B220" s="886"/>
      <c r="C220" s="887" t="str">
        <f>'Tên thang 01-26'!E207</f>
        <v>សាត ម៉េងហួង</v>
      </c>
      <c r="D220" s="887" t="str">
        <f>'Tên thang 01-26'!F207</f>
        <v>SAT MENGHOUR</v>
      </c>
      <c r="E220" s="888">
        <v>84</v>
      </c>
      <c r="F220" s="889">
        <f>'SAN LUONG'!AP214*0.44</f>
        <v>0</v>
      </c>
      <c r="G220" s="889">
        <f t="shared" si="47"/>
        <v>0</v>
      </c>
      <c r="H220" s="889">
        <f>'SAN LUONG'!AO214*0.44</f>
        <v>0</v>
      </c>
      <c r="I220" s="889">
        <f t="shared" si="48"/>
        <v>0</v>
      </c>
      <c r="J220" s="889">
        <f>'SAN LUONG'!AV214*0.44</f>
        <v>516.12</v>
      </c>
      <c r="K220" s="889">
        <f t="shared" si="52"/>
        <v>8.9700000000000006</v>
      </c>
      <c r="L220" s="889"/>
      <c r="M220" s="881">
        <f>'CHAM CONG'!BC211</f>
        <v>15</v>
      </c>
      <c r="N220" s="889">
        <f t="shared" si="53"/>
        <v>7.51</v>
      </c>
      <c r="O220" s="889">
        <f t="shared" si="54"/>
        <v>0.47</v>
      </c>
      <c r="P220" s="890">
        <f>'CHAM CONG'!BO211</f>
        <v>0</v>
      </c>
      <c r="Q220" s="942">
        <f t="shared" si="55"/>
        <v>0</v>
      </c>
      <c r="R220" s="942">
        <f>'SAN LUONG'!DW214</f>
        <v>15.8</v>
      </c>
      <c r="S220" s="942">
        <f t="shared" si="49"/>
        <v>0.49</v>
      </c>
      <c r="T220" s="943">
        <f>'CHAM CONG'!BW211</f>
        <v>20000</v>
      </c>
      <c r="U220" s="942">
        <f t="shared" si="56"/>
        <v>0.63</v>
      </c>
      <c r="V220" s="890">
        <f>'CHAM CONG'!BD211</f>
        <v>0</v>
      </c>
      <c r="W220" s="944">
        <f t="shared" si="50"/>
        <v>0</v>
      </c>
      <c r="X220" s="891">
        <f>'CHAM CONG'!BT211</f>
        <v>0</v>
      </c>
      <c r="Y220" s="881">
        <f t="shared" si="57"/>
        <v>0</v>
      </c>
      <c r="Z220" s="892">
        <v>6.03</v>
      </c>
      <c r="AA220" s="942">
        <f t="shared" si="46"/>
        <v>1.7</v>
      </c>
      <c r="AB220" s="892">
        <v>6.03</v>
      </c>
      <c r="AC220" s="942">
        <f t="shared" si="58"/>
        <v>7.24</v>
      </c>
      <c r="AD220" s="892">
        <v>6.03</v>
      </c>
      <c r="AE220" s="942">
        <f t="shared" si="59"/>
        <v>4.3</v>
      </c>
      <c r="AF220" s="943" t="e">
        <f>#N/A</f>
        <v>#N/A</v>
      </c>
      <c r="AG220" s="893">
        <f t="shared" si="51"/>
        <v>31.309999999999995</v>
      </c>
      <c r="AH220" s="894"/>
      <c r="AI220" s="895">
        <v>20.49</v>
      </c>
      <c r="AJ220" s="791">
        <v>18.490000000000002</v>
      </c>
      <c r="AK220" s="896">
        <f t="shared" si="60"/>
        <v>2</v>
      </c>
      <c r="AL220" s="896"/>
      <c r="AS220" s="898"/>
    </row>
    <row r="221" spans="1:45" s="779" customFormat="1" ht="26.4" customHeight="1">
      <c r="A221" s="885">
        <v>205</v>
      </c>
      <c r="B221" s="886"/>
      <c r="C221" s="887" t="str">
        <f>'Tên thang 01-26'!E208</f>
        <v>ខ្វាន់ ណាក់</v>
      </c>
      <c r="D221" s="887" t="str">
        <f>'Tên thang 01-26'!F208</f>
        <v>KHVANN NAK</v>
      </c>
      <c r="E221" s="888">
        <v>85</v>
      </c>
      <c r="F221" s="889">
        <f>'SAN LUONG'!AP215*0.44</f>
        <v>0</v>
      </c>
      <c r="G221" s="889">
        <f t="shared" si="47"/>
        <v>0</v>
      </c>
      <c r="H221" s="889">
        <f>'SAN LUONG'!AO215*0.44</f>
        <v>0</v>
      </c>
      <c r="I221" s="889">
        <f t="shared" si="48"/>
        <v>0</v>
      </c>
      <c r="J221" s="889">
        <f>'SAN LUONG'!AV215*0.44</f>
        <v>747.12</v>
      </c>
      <c r="K221" s="889">
        <f t="shared" si="52"/>
        <v>12.98</v>
      </c>
      <c r="L221" s="889"/>
      <c r="M221" s="881">
        <f>'CHAM CONG'!BC212</f>
        <v>16</v>
      </c>
      <c r="N221" s="889">
        <f t="shared" si="53"/>
        <v>8.01</v>
      </c>
      <c r="O221" s="889">
        <f t="shared" si="54"/>
        <v>0.5</v>
      </c>
      <c r="P221" s="890">
        <f>'CHAM CONG'!BO212</f>
        <v>28</v>
      </c>
      <c r="Q221" s="942">
        <f t="shared" si="55"/>
        <v>2.63</v>
      </c>
      <c r="R221" s="942">
        <f>'SAN LUONG'!DW215</f>
        <v>37</v>
      </c>
      <c r="S221" s="942">
        <f t="shared" si="49"/>
        <v>1.1599999999999999</v>
      </c>
      <c r="T221" s="943">
        <f>'CHAM CONG'!BW212</f>
        <v>-20000</v>
      </c>
      <c r="U221" s="942">
        <f t="shared" si="56"/>
        <v>-0.63</v>
      </c>
      <c r="V221" s="890">
        <f>'CHAM CONG'!BD212</f>
        <v>1</v>
      </c>
      <c r="W221" s="944">
        <f t="shared" si="50"/>
        <v>0.53</v>
      </c>
      <c r="X221" s="891">
        <f>'CHAM CONG'!BT212</f>
        <v>1</v>
      </c>
      <c r="Y221" s="881">
        <f t="shared" si="57"/>
        <v>1.1000000000000001</v>
      </c>
      <c r="Z221" s="892">
        <v>6.03</v>
      </c>
      <c r="AA221" s="942">
        <f t="shared" si="46"/>
        <v>1.7</v>
      </c>
      <c r="AB221" s="892">
        <v>6.03</v>
      </c>
      <c r="AC221" s="942">
        <f t="shared" si="58"/>
        <v>7.24</v>
      </c>
      <c r="AD221" s="892">
        <v>6.03</v>
      </c>
      <c r="AE221" s="942">
        <f t="shared" si="59"/>
        <v>4.3</v>
      </c>
      <c r="AF221" s="943" t="e">
        <f>#N/A</f>
        <v>#N/A</v>
      </c>
      <c r="AG221" s="893">
        <f t="shared" si="51"/>
        <v>39.520000000000003</v>
      </c>
      <c r="AH221" s="894"/>
      <c r="AI221" s="895">
        <v>30.71</v>
      </c>
      <c r="AJ221" s="791">
        <v>28.710000000000004</v>
      </c>
      <c r="AK221" s="896">
        <f t="shared" si="60"/>
        <v>2</v>
      </c>
      <c r="AL221" s="896"/>
      <c r="AS221" s="898"/>
    </row>
    <row r="222" spans="1:45" s="779" customFormat="1" ht="26.4" customHeight="1">
      <c r="A222" s="885">
        <v>206</v>
      </c>
      <c r="B222" s="886"/>
      <c r="C222" s="887" t="str">
        <f>'Tên thang 01-26'!E209</f>
        <v>ខា សឿន</v>
      </c>
      <c r="D222" s="887" t="str">
        <f>'Tên thang 01-26'!F209</f>
        <v>KHA SOEUN</v>
      </c>
      <c r="E222" s="888">
        <v>86</v>
      </c>
      <c r="F222" s="889">
        <f>'SAN LUONG'!AP216*0.44</f>
        <v>0</v>
      </c>
      <c r="G222" s="889">
        <f t="shared" si="47"/>
        <v>0</v>
      </c>
      <c r="H222" s="889">
        <f>'SAN LUONG'!AO216*0.44</f>
        <v>0</v>
      </c>
      <c r="I222" s="889">
        <f t="shared" si="48"/>
        <v>0</v>
      </c>
      <c r="J222" s="889">
        <f>'SAN LUONG'!AV216*0.44</f>
        <v>643.72</v>
      </c>
      <c r="K222" s="889">
        <f t="shared" si="52"/>
        <v>11.18</v>
      </c>
      <c r="L222" s="889"/>
      <c r="M222" s="881">
        <f>'CHAM CONG'!BC213</f>
        <v>16</v>
      </c>
      <c r="N222" s="889">
        <f t="shared" si="53"/>
        <v>8.01</v>
      </c>
      <c r="O222" s="889">
        <f t="shared" si="54"/>
        <v>0.5</v>
      </c>
      <c r="P222" s="890">
        <f>'CHAM CONG'!BO213</f>
        <v>26</v>
      </c>
      <c r="Q222" s="942">
        <f t="shared" si="55"/>
        <v>2.44</v>
      </c>
      <c r="R222" s="942">
        <f>'SAN LUONG'!DW216</f>
        <v>17.5</v>
      </c>
      <c r="S222" s="942">
        <f t="shared" si="49"/>
        <v>0.55000000000000004</v>
      </c>
      <c r="T222" s="943">
        <f>'CHAM CONG'!BW213</f>
        <v>0</v>
      </c>
      <c r="U222" s="942">
        <f t="shared" si="56"/>
        <v>0</v>
      </c>
      <c r="V222" s="890">
        <f>'CHAM CONG'!BD213</f>
        <v>0</v>
      </c>
      <c r="W222" s="944">
        <f t="shared" si="50"/>
        <v>0</v>
      </c>
      <c r="X222" s="891">
        <f>'CHAM CONG'!BT213</f>
        <v>1</v>
      </c>
      <c r="Y222" s="881">
        <f t="shared" si="57"/>
        <v>1.1000000000000001</v>
      </c>
      <c r="Z222" s="892">
        <v>6.03</v>
      </c>
      <c r="AA222" s="942">
        <f t="shared" si="46"/>
        <v>1.7</v>
      </c>
      <c r="AB222" s="892">
        <v>6.03</v>
      </c>
      <c r="AC222" s="942">
        <f t="shared" si="58"/>
        <v>7.24</v>
      </c>
      <c r="AD222" s="892">
        <v>6.03</v>
      </c>
      <c r="AE222" s="942">
        <f t="shared" si="59"/>
        <v>4.3</v>
      </c>
      <c r="AF222" s="943" t="e">
        <f>#N/A</f>
        <v>#N/A</v>
      </c>
      <c r="AG222" s="893">
        <f t="shared" si="51"/>
        <v>37.020000000000003</v>
      </c>
      <c r="AH222" s="894"/>
      <c r="AI222" s="895">
        <v>18.97</v>
      </c>
      <c r="AJ222" s="791">
        <v>16.970000000000002</v>
      </c>
      <c r="AK222" s="896">
        <f t="shared" si="60"/>
        <v>2</v>
      </c>
      <c r="AL222" s="896"/>
      <c r="AS222" s="898"/>
    </row>
    <row r="223" spans="1:45" s="779" customFormat="1" ht="26.4" customHeight="1">
      <c r="A223" s="885">
        <v>207</v>
      </c>
      <c r="B223" s="886"/>
      <c r="C223" s="887" t="str">
        <f>'Tên thang 01-26'!E210</f>
        <v>ឈូក ឆោម</v>
      </c>
      <c r="D223" s="887" t="str">
        <f>'Tên thang 01-26'!F210</f>
        <v>CHHOUK CHHAOM</v>
      </c>
      <c r="E223" s="888">
        <v>87</v>
      </c>
      <c r="F223" s="889">
        <f>'SAN LUONG'!AP217*0.44</f>
        <v>0</v>
      </c>
      <c r="G223" s="889">
        <f t="shared" si="47"/>
        <v>0</v>
      </c>
      <c r="H223" s="889">
        <f>'SAN LUONG'!AO217*0.44</f>
        <v>0</v>
      </c>
      <c r="I223" s="889">
        <f t="shared" si="48"/>
        <v>0</v>
      </c>
      <c r="J223" s="889">
        <f>'SAN LUONG'!AV217*0.44</f>
        <v>558.36</v>
      </c>
      <c r="K223" s="889">
        <f t="shared" si="52"/>
        <v>9.6999999999999993</v>
      </c>
      <c r="L223" s="889"/>
      <c r="M223" s="881">
        <f>'CHAM CONG'!BC214</f>
        <v>15</v>
      </c>
      <c r="N223" s="889">
        <f t="shared" si="53"/>
        <v>7.51</v>
      </c>
      <c r="O223" s="889">
        <f t="shared" si="54"/>
        <v>0.47</v>
      </c>
      <c r="P223" s="890">
        <f>'CHAM CONG'!BO214</f>
        <v>29</v>
      </c>
      <c r="Q223" s="942">
        <f t="shared" si="55"/>
        <v>2.72</v>
      </c>
      <c r="R223" s="942">
        <f>'SAN LUONG'!DW217</f>
        <v>31.2</v>
      </c>
      <c r="S223" s="942">
        <f t="shared" si="49"/>
        <v>0.98</v>
      </c>
      <c r="T223" s="943">
        <f>'CHAM CONG'!BW214</f>
        <v>0</v>
      </c>
      <c r="U223" s="942">
        <f t="shared" si="56"/>
        <v>0</v>
      </c>
      <c r="V223" s="890">
        <f>'CHAM CONG'!BD214</f>
        <v>1</v>
      </c>
      <c r="W223" s="944">
        <f t="shared" si="50"/>
        <v>0.53</v>
      </c>
      <c r="X223" s="891">
        <f>'CHAM CONG'!BT214</f>
        <v>1</v>
      </c>
      <c r="Y223" s="881">
        <f t="shared" si="57"/>
        <v>1.1000000000000001</v>
      </c>
      <c r="Z223" s="892">
        <v>6.03</v>
      </c>
      <c r="AA223" s="942">
        <f t="shared" si="46"/>
        <v>1.7</v>
      </c>
      <c r="AB223" s="892">
        <v>6.03</v>
      </c>
      <c r="AC223" s="942">
        <f t="shared" si="58"/>
        <v>7.24</v>
      </c>
      <c r="AD223" s="892">
        <v>6.03</v>
      </c>
      <c r="AE223" s="942">
        <f t="shared" si="59"/>
        <v>4.3</v>
      </c>
      <c r="AF223" s="943" t="e">
        <f>#N/A</f>
        <v>#N/A</v>
      </c>
      <c r="AG223" s="893">
        <f t="shared" si="51"/>
        <v>36.25</v>
      </c>
      <c r="AH223" s="894"/>
      <c r="AI223" s="895">
        <v>29.09</v>
      </c>
      <c r="AJ223" s="791">
        <v>27.090000000000007</v>
      </c>
      <c r="AK223" s="896">
        <f t="shared" si="60"/>
        <v>2</v>
      </c>
      <c r="AL223" s="896"/>
      <c r="AS223" s="898"/>
    </row>
    <row r="224" spans="1:45" s="779" customFormat="1" ht="26.4" customHeight="1">
      <c r="A224" s="885">
        <v>208</v>
      </c>
      <c r="B224" s="886"/>
      <c r="C224" s="887" t="str">
        <f>'Tên thang 01-26'!E211</f>
        <v>ឡា រ៉ាសែន</v>
      </c>
      <c r="D224" s="887" t="str">
        <f>'Tên thang 01-26'!F211</f>
        <v>LA RASAEN</v>
      </c>
      <c r="E224" s="888">
        <v>88</v>
      </c>
      <c r="F224" s="889">
        <f>'SAN LUONG'!AP218*0.44</f>
        <v>0</v>
      </c>
      <c r="G224" s="889">
        <f t="shared" si="47"/>
        <v>0</v>
      </c>
      <c r="H224" s="889">
        <f>'SAN LUONG'!AO218*0.44</f>
        <v>0</v>
      </c>
      <c r="I224" s="889">
        <f t="shared" si="48"/>
        <v>0</v>
      </c>
      <c r="J224" s="889">
        <f>'SAN LUONG'!AV218*0.44</f>
        <v>645.91999999999996</v>
      </c>
      <c r="K224" s="889">
        <f t="shared" si="52"/>
        <v>11.22</v>
      </c>
      <c r="L224" s="889"/>
      <c r="M224" s="881">
        <f>'CHAM CONG'!BC215</f>
        <v>16</v>
      </c>
      <c r="N224" s="889">
        <f t="shared" si="53"/>
        <v>8.01</v>
      </c>
      <c r="O224" s="889">
        <f t="shared" si="54"/>
        <v>0.5</v>
      </c>
      <c r="P224" s="890">
        <f>'CHAM CONG'!BO215</f>
        <v>27</v>
      </c>
      <c r="Q224" s="942">
        <f t="shared" si="55"/>
        <v>2.54</v>
      </c>
      <c r="R224" s="942">
        <f>'SAN LUONG'!DW218</f>
        <v>33.4</v>
      </c>
      <c r="S224" s="942">
        <f t="shared" si="49"/>
        <v>1.05</v>
      </c>
      <c r="T224" s="943">
        <f>'CHAM CONG'!BW215</f>
        <v>0</v>
      </c>
      <c r="U224" s="942">
        <f t="shared" si="56"/>
        <v>0</v>
      </c>
      <c r="V224" s="890">
        <f>'CHAM CONG'!BD215</f>
        <v>0</v>
      </c>
      <c r="W224" s="944">
        <f t="shared" si="50"/>
        <v>0</v>
      </c>
      <c r="X224" s="891">
        <f>'CHAM CONG'!BT215</f>
        <v>1</v>
      </c>
      <c r="Y224" s="881">
        <f t="shared" si="57"/>
        <v>1.1000000000000001</v>
      </c>
      <c r="Z224" s="892">
        <v>6.03</v>
      </c>
      <c r="AA224" s="942">
        <f t="shared" si="46"/>
        <v>1.7</v>
      </c>
      <c r="AB224" s="892">
        <v>6.03</v>
      </c>
      <c r="AC224" s="942">
        <f t="shared" si="58"/>
        <v>7.24</v>
      </c>
      <c r="AD224" s="892">
        <v>6.03</v>
      </c>
      <c r="AE224" s="942">
        <f t="shared" si="59"/>
        <v>4.3</v>
      </c>
      <c r="AF224" s="943" t="e">
        <f>#N/A</f>
        <v>#N/A</v>
      </c>
      <c r="AG224" s="893">
        <f t="shared" si="51"/>
        <v>37.660000000000004</v>
      </c>
      <c r="AH224" s="894"/>
      <c r="AI224" s="895">
        <v>22.84</v>
      </c>
      <c r="AJ224" s="791">
        <v>20.22</v>
      </c>
      <c r="AK224" s="896">
        <f t="shared" si="60"/>
        <v>3</v>
      </c>
      <c r="AL224" s="896"/>
      <c r="AS224" s="898"/>
    </row>
    <row r="225" spans="1:45" s="779" customFormat="1" ht="26.4" customHeight="1">
      <c r="A225" s="885">
        <v>209</v>
      </c>
      <c r="B225" s="886"/>
      <c r="C225" s="887" t="str">
        <f>'Tên thang 01-26'!E212</f>
        <v>អ៊ី សុខួច</v>
      </c>
      <c r="D225" s="887" t="str">
        <f>'Tên thang 01-26'!F212</f>
        <v>Y SOKHOUCH</v>
      </c>
      <c r="E225" s="888">
        <v>89</v>
      </c>
      <c r="F225" s="889">
        <f>'SAN LUONG'!AP219*0.44</f>
        <v>0</v>
      </c>
      <c r="G225" s="889">
        <f t="shared" si="47"/>
        <v>0</v>
      </c>
      <c r="H225" s="889">
        <f>'SAN LUONG'!AO219*0.44</f>
        <v>0</v>
      </c>
      <c r="I225" s="889">
        <f t="shared" si="48"/>
        <v>0</v>
      </c>
      <c r="J225" s="889">
        <f>'SAN LUONG'!AV219*0.44</f>
        <v>550.44000000000005</v>
      </c>
      <c r="K225" s="889">
        <f t="shared" si="52"/>
        <v>9.56</v>
      </c>
      <c r="L225" s="889"/>
      <c r="M225" s="881">
        <f>'CHAM CONG'!BC216</f>
        <v>15</v>
      </c>
      <c r="N225" s="889">
        <f t="shared" si="53"/>
        <v>7.51</v>
      </c>
      <c r="O225" s="889">
        <f t="shared" si="54"/>
        <v>0.47</v>
      </c>
      <c r="P225" s="890">
        <f>'CHAM CONG'!BO216</f>
        <v>26</v>
      </c>
      <c r="Q225" s="942">
        <f t="shared" si="55"/>
        <v>2.44</v>
      </c>
      <c r="R225" s="942">
        <f>'SAN LUONG'!DW219</f>
        <v>31.8</v>
      </c>
      <c r="S225" s="942">
        <f t="shared" si="49"/>
        <v>1</v>
      </c>
      <c r="T225" s="943">
        <f>'CHAM CONG'!BW216</f>
        <v>0</v>
      </c>
      <c r="U225" s="942">
        <f t="shared" si="56"/>
        <v>0</v>
      </c>
      <c r="V225" s="890">
        <f>'CHAM CONG'!BD216</f>
        <v>0</v>
      </c>
      <c r="W225" s="944">
        <f t="shared" si="50"/>
        <v>0</v>
      </c>
      <c r="X225" s="891">
        <f>'CHAM CONG'!BT216</f>
        <v>1</v>
      </c>
      <c r="Y225" s="881">
        <f t="shared" si="57"/>
        <v>1.1000000000000001</v>
      </c>
      <c r="Z225" s="892">
        <v>6.03</v>
      </c>
      <c r="AA225" s="942">
        <f t="shared" si="46"/>
        <v>1.7</v>
      </c>
      <c r="AB225" s="892">
        <v>6.03</v>
      </c>
      <c r="AC225" s="942">
        <f t="shared" si="58"/>
        <v>7.24</v>
      </c>
      <c r="AD225" s="892">
        <v>6.03</v>
      </c>
      <c r="AE225" s="942">
        <f t="shared" si="59"/>
        <v>4.3</v>
      </c>
      <c r="AF225" s="943" t="e">
        <f>#N/A</f>
        <v>#N/A</v>
      </c>
      <c r="AG225" s="893">
        <f t="shared" si="51"/>
        <v>35.32</v>
      </c>
      <c r="AH225" s="894"/>
      <c r="AI225" s="895">
        <v>25.45</v>
      </c>
      <c r="AJ225" s="791">
        <v>23.44</v>
      </c>
      <c r="AK225" s="896">
        <f t="shared" si="60"/>
        <v>2</v>
      </c>
      <c r="AL225" s="896"/>
      <c r="AS225" s="898"/>
    </row>
    <row r="226" spans="1:45" s="779" customFormat="1" ht="26.4" customHeight="1">
      <c r="A226" s="885">
        <v>210</v>
      </c>
      <c r="B226" s="886"/>
      <c r="C226" s="887" t="str">
        <f>'Tên thang 01-26'!E213</f>
        <v>សាំ សាន</v>
      </c>
      <c r="D226" s="887" t="str">
        <f>'Tên thang 01-26'!F213</f>
        <v>SOM SAN</v>
      </c>
      <c r="E226" s="888">
        <v>90</v>
      </c>
      <c r="F226" s="889">
        <f>'SAN LUONG'!AP220*0.44</f>
        <v>0</v>
      </c>
      <c r="G226" s="889">
        <f t="shared" si="47"/>
        <v>0</v>
      </c>
      <c r="H226" s="889">
        <f>'SAN LUONG'!AO220*0.44</f>
        <v>0</v>
      </c>
      <c r="I226" s="889">
        <f t="shared" si="48"/>
        <v>0</v>
      </c>
      <c r="J226" s="889">
        <f>'SAN LUONG'!AV220*0.44</f>
        <v>715</v>
      </c>
      <c r="K226" s="889">
        <f t="shared" si="52"/>
        <v>12.42</v>
      </c>
      <c r="L226" s="889"/>
      <c r="M226" s="881">
        <f>'CHAM CONG'!BC217</f>
        <v>15</v>
      </c>
      <c r="N226" s="889">
        <f t="shared" si="53"/>
        <v>7.51</v>
      </c>
      <c r="O226" s="889">
        <f t="shared" si="54"/>
        <v>0.47</v>
      </c>
      <c r="P226" s="890">
        <f>'CHAM CONG'!BO217</f>
        <v>29</v>
      </c>
      <c r="Q226" s="942">
        <f t="shared" si="55"/>
        <v>2.72</v>
      </c>
      <c r="R226" s="942">
        <f>'SAN LUONG'!DW220</f>
        <v>39.299999999999997</v>
      </c>
      <c r="S226" s="942">
        <f t="shared" si="49"/>
        <v>1.23</v>
      </c>
      <c r="T226" s="943">
        <f>'CHAM CONG'!BW217</f>
        <v>0</v>
      </c>
      <c r="U226" s="942">
        <f t="shared" si="56"/>
        <v>0</v>
      </c>
      <c r="V226" s="890">
        <f>'CHAM CONG'!BD217</f>
        <v>0</v>
      </c>
      <c r="W226" s="944">
        <f t="shared" si="50"/>
        <v>0</v>
      </c>
      <c r="X226" s="891">
        <f>'CHAM CONG'!BT217</f>
        <v>1</v>
      </c>
      <c r="Y226" s="881">
        <f t="shared" si="57"/>
        <v>1.1000000000000001</v>
      </c>
      <c r="Z226" s="892">
        <v>6.03</v>
      </c>
      <c r="AA226" s="942">
        <f t="shared" si="46"/>
        <v>1.7</v>
      </c>
      <c r="AB226" s="892">
        <v>6.03</v>
      </c>
      <c r="AC226" s="942">
        <f t="shared" si="58"/>
        <v>7.24</v>
      </c>
      <c r="AD226" s="892">
        <v>6.03</v>
      </c>
      <c r="AE226" s="942">
        <f t="shared" si="59"/>
        <v>4.3</v>
      </c>
      <c r="AF226" s="943" t="e">
        <f>#N/A</f>
        <v>#N/A</v>
      </c>
      <c r="AG226" s="893">
        <f t="shared" si="51"/>
        <v>38.69</v>
      </c>
      <c r="AH226" s="894"/>
      <c r="AI226" s="895">
        <v>31.95</v>
      </c>
      <c r="AJ226" s="791">
        <v>29.940000000000005</v>
      </c>
      <c r="AK226" s="896">
        <f t="shared" si="60"/>
        <v>2</v>
      </c>
      <c r="AL226" s="896"/>
      <c r="AS226" s="898"/>
    </row>
    <row r="227" spans="1:45" s="779" customFormat="1" ht="26.4" customHeight="1">
      <c r="A227" s="885">
        <v>211</v>
      </c>
      <c r="B227" s="886"/>
      <c r="C227" s="887" t="str">
        <f>'Tên thang 01-26'!E214</f>
        <v>សំអុន កាសេន</v>
      </c>
      <c r="D227" s="887" t="str">
        <f>'Tên thang 01-26'!F214</f>
        <v>SAMUN KASEN</v>
      </c>
      <c r="E227" s="888">
        <v>91</v>
      </c>
      <c r="F227" s="889">
        <f>'SAN LUONG'!AP221*0.44</f>
        <v>0</v>
      </c>
      <c r="G227" s="889">
        <f t="shared" si="47"/>
        <v>0</v>
      </c>
      <c r="H227" s="889">
        <f>'SAN LUONG'!AO221*0.44</f>
        <v>0</v>
      </c>
      <c r="I227" s="889">
        <f t="shared" si="48"/>
        <v>0</v>
      </c>
      <c r="J227" s="889">
        <f>'SAN LUONG'!AV221*0.44</f>
        <v>670.56000000000006</v>
      </c>
      <c r="K227" s="889">
        <f t="shared" si="52"/>
        <v>11.65</v>
      </c>
      <c r="L227" s="889"/>
      <c r="M227" s="881">
        <f>'CHAM CONG'!BC218</f>
        <v>16</v>
      </c>
      <c r="N227" s="889">
        <f t="shared" si="53"/>
        <v>8.01</v>
      </c>
      <c r="O227" s="889">
        <f t="shared" si="54"/>
        <v>0.5</v>
      </c>
      <c r="P227" s="890">
        <f>'CHAM CONG'!BO218</f>
        <v>30</v>
      </c>
      <c r="Q227" s="942">
        <f t="shared" si="55"/>
        <v>2.82</v>
      </c>
      <c r="R227" s="942">
        <f>'SAN LUONG'!DW221</f>
        <v>39</v>
      </c>
      <c r="S227" s="942">
        <f t="shared" si="49"/>
        <v>1.22</v>
      </c>
      <c r="T227" s="943">
        <f>'CHAM CONG'!BW218</f>
        <v>0</v>
      </c>
      <c r="U227" s="942">
        <f t="shared" si="56"/>
        <v>0</v>
      </c>
      <c r="V227" s="890">
        <f>'CHAM CONG'!BD218</f>
        <v>0</v>
      </c>
      <c r="W227" s="944">
        <f t="shared" si="50"/>
        <v>0</v>
      </c>
      <c r="X227" s="891">
        <f>'CHAM CONG'!BT218</f>
        <v>1</v>
      </c>
      <c r="Y227" s="881">
        <f t="shared" si="57"/>
        <v>1.1000000000000001</v>
      </c>
      <c r="Z227" s="892">
        <v>6.03</v>
      </c>
      <c r="AA227" s="942">
        <f t="shared" si="46"/>
        <v>1.7</v>
      </c>
      <c r="AB227" s="892">
        <v>6.03</v>
      </c>
      <c r="AC227" s="942">
        <f t="shared" si="58"/>
        <v>7.24</v>
      </c>
      <c r="AD227" s="892">
        <v>6.03</v>
      </c>
      <c r="AE227" s="942">
        <f t="shared" si="59"/>
        <v>4.3</v>
      </c>
      <c r="AF227" s="943" t="e">
        <f>#N/A</f>
        <v>#N/A</v>
      </c>
      <c r="AG227" s="893">
        <f t="shared" si="51"/>
        <v>38.54</v>
      </c>
      <c r="AH227" s="894"/>
      <c r="AI227" s="895">
        <v>30.2</v>
      </c>
      <c r="AJ227" s="791">
        <v>28.200000000000006</v>
      </c>
      <c r="AK227" s="896">
        <f t="shared" si="60"/>
        <v>2</v>
      </c>
      <c r="AL227" s="896"/>
      <c r="AS227" s="898"/>
    </row>
    <row r="228" spans="1:45" s="779" customFormat="1" ht="26.4" customHeight="1">
      <c r="A228" s="885">
        <v>212</v>
      </c>
      <c r="B228" s="886"/>
      <c r="C228" s="887" t="str">
        <f>'Tên thang 01-26'!E215</f>
        <v>ប៉ែន វី</v>
      </c>
      <c r="D228" s="887" t="str">
        <f>'Tên thang 01-26'!F215</f>
        <v>PEN VY</v>
      </c>
      <c r="E228" s="888">
        <v>92</v>
      </c>
      <c r="F228" s="889">
        <f>'SAN LUONG'!AP222*0.44</f>
        <v>0</v>
      </c>
      <c r="G228" s="889">
        <f t="shared" si="47"/>
        <v>0</v>
      </c>
      <c r="H228" s="889">
        <f>'SAN LUONG'!AO222*0.44</f>
        <v>0</v>
      </c>
      <c r="I228" s="889">
        <f t="shared" si="48"/>
        <v>0</v>
      </c>
      <c r="J228" s="889">
        <f>'SAN LUONG'!AV222*0.44</f>
        <v>762.08</v>
      </c>
      <c r="K228" s="889">
        <f t="shared" si="52"/>
        <v>13.24</v>
      </c>
      <c r="L228" s="889"/>
      <c r="M228" s="881">
        <f>'CHAM CONG'!BC219</f>
        <v>15</v>
      </c>
      <c r="N228" s="889">
        <f t="shared" si="53"/>
        <v>7.51</v>
      </c>
      <c r="O228" s="889">
        <f t="shared" si="54"/>
        <v>0.47</v>
      </c>
      <c r="P228" s="890">
        <f>'CHAM CONG'!BO219</f>
        <v>27</v>
      </c>
      <c r="Q228" s="942">
        <f t="shared" si="55"/>
        <v>2.54</v>
      </c>
      <c r="R228" s="942">
        <f>'SAN LUONG'!DW222</f>
        <v>47.3</v>
      </c>
      <c r="S228" s="942">
        <f t="shared" si="49"/>
        <v>1.48</v>
      </c>
      <c r="T228" s="943">
        <f>'CHAM CONG'!BW219</f>
        <v>20000</v>
      </c>
      <c r="U228" s="942">
        <f t="shared" si="56"/>
        <v>0.63</v>
      </c>
      <c r="V228" s="890">
        <f>'CHAM CONG'!BD219</f>
        <v>0</v>
      </c>
      <c r="W228" s="944">
        <f t="shared" si="50"/>
        <v>0</v>
      </c>
      <c r="X228" s="891">
        <f>'CHAM CONG'!BT219</f>
        <v>1</v>
      </c>
      <c r="Y228" s="881">
        <f t="shared" si="57"/>
        <v>1.1000000000000001</v>
      </c>
      <c r="Z228" s="892">
        <v>6.03</v>
      </c>
      <c r="AA228" s="942">
        <f t="shared" si="46"/>
        <v>1.7</v>
      </c>
      <c r="AB228" s="892">
        <v>6.03</v>
      </c>
      <c r="AC228" s="942">
        <f t="shared" si="58"/>
        <v>7.24</v>
      </c>
      <c r="AD228" s="892">
        <v>6.03</v>
      </c>
      <c r="AE228" s="942">
        <f t="shared" si="59"/>
        <v>4.3</v>
      </c>
      <c r="AF228" s="943" t="e">
        <f>#N/A</f>
        <v>#N/A</v>
      </c>
      <c r="AG228" s="893">
        <f t="shared" si="51"/>
        <v>40.21</v>
      </c>
      <c r="AH228" s="894"/>
      <c r="AI228" s="895">
        <v>6.47</v>
      </c>
      <c r="AJ228" s="791">
        <v>6.47</v>
      </c>
      <c r="AK228" s="896">
        <f t="shared" si="60"/>
        <v>0</v>
      </c>
      <c r="AL228" s="896"/>
      <c r="AS228" s="898"/>
    </row>
    <row r="229" spans="1:45" s="779" customFormat="1" ht="28.2" customHeight="1">
      <c r="A229" s="885">
        <v>213</v>
      </c>
      <c r="B229" s="886"/>
      <c r="C229" s="887" t="str">
        <f>'Tên thang 01-26'!E216</f>
        <v>លី​ ភៀត</v>
      </c>
      <c r="D229" s="887" t="str">
        <f>'Tên thang 01-26'!F216</f>
        <v>LY PHIET</v>
      </c>
      <c r="E229" s="888">
        <v>93</v>
      </c>
      <c r="F229" s="889">
        <f>'SAN LUONG'!AP223*0.44</f>
        <v>0</v>
      </c>
      <c r="G229" s="889">
        <f t="shared" si="47"/>
        <v>0</v>
      </c>
      <c r="H229" s="889">
        <f>'SAN LUONG'!AO223*0.44</f>
        <v>0</v>
      </c>
      <c r="I229" s="889">
        <f t="shared" si="48"/>
        <v>0</v>
      </c>
      <c r="J229" s="889">
        <f>'SAN LUONG'!AV223*0.44</f>
        <v>768.68</v>
      </c>
      <c r="K229" s="889">
        <f t="shared" si="52"/>
        <v>13.35</v>
      </c>
      <c r="L229" s="889"/>
      <c r="M229" s="881">
        <f>'CHAM CONG'!BC220</f>
        <v>16</v>
      </c>
      <c r="N229" s="889">
        <f t="shared" si="53"/>
        <v>8.01</v>
      </c>
      <c r="O229" s="889">
        <f t="shared" si="54"/>
        <v>0.5</v>
      </c>
      <c r="P229" s="890">
        <f>'CHAM CONG'!BO220</f>
        <v>28</v>
      </c>
      <c r="Q229" s="942">
        <f t="shared" si="55"/>
        <v>2.63</v>
      </c>
      <c r="R229" s="942">
        <f>'SAN LUONG'!DW223</f>
        <v>18.600000000000001</v>
      </c>
      <c r="S229" s="942">
        <f t="shared" si="49"/>
        <v>0.57999999999999996</v>
      </c>
      <c r="T229" s="943">
        <f>'CHAM CONG'!BW220</f>
        <v>0</v>
      </c>
      <c r="U229" s="942">
        <f t="shared" si="56"/>
        <v>0</v>
      </c>
      <c r="V229" s="890">
        <f>'CHAM CONG'!BD220</f>
        <v>0</v>
      </c>
      <c r="W229" s="944">
        <f t="shared" si="50"/>
        <v>0</v>
      </c>
      <c r="X229" s="891">
        <f>'CHAM CONG'!BT220</f>
        <v>1</v>
      </c>
      <c r="Y229" s="881">
        <f t="shared" si="57"/>
        <v>1.1000000000000001</v>
      </c>
      <c r="Z229" s="892">
        <v>6.03</v>
      </c>
      <c r="AA229" s="942">
        <f t="shared" si="46"/>
        <v>1.7</v>
      </c>
      <c r="AB229" s="892">
        <v>6.03</v>
      </c>
      <c r="AC229" s="942">
        <f t="shared" si="58"/>
        <v>7.24</v>
      </c>
      <c r="AD229" s="892">
        <v>6.03</v>
      </c>
      <c r="AE229" s="942">
        <f t="shared" si="59"/>
        <v>4.3</v>
      </c>
      <c r="AF229" s="943" t="e">
        <f>#N/A</f>
        <v>#N/A</v>
      </c>
      <c r="AG229" s="893">
        <f t="shared" si="51"/>
        <v>39.409999999999997</v>
      </c>
      <c r="AH229" s="894"/>
      <c r="AI229" s="895">
        <v>29.97</v>
      </c>
      <c r="AJ229" s="791">
        <v>27.960000000000004</v>
      </c>
      <c r="AK229" s="896">
        <f t="shared" si="60"/>
        <v>2</v>
      </c>
      <c r="AL229" s="896"/>
      <c r="AS229" s="898"/>
    </row>
    <row r="230" spans="1:45" s="779" customFormat="1" ht="28.2" customHeight="1">
      <c r="A230" s="885">
        <v>214</v>
      </c>
      <c r="B230" s="886"/>
      <c r="C230" s="887" t="str">
        <f>'Tên thang 01-26'!E217</f>
        <v>ហ៊ុយ ចយ</v>
      </c>
      <c r="D230" s="887" t="str">
        <f>'Tên thang 01-26'!F217</f>
        <v>HUY CHOY</v>
      </c>
      <c r="E230" s="888">
        <v>94</v>
      </c>
      <c r="F230" s="889">
        <f>'SAN LUONG'!AP224*0.44</f>
        <v>0</v>
      </c>
      <c r="G230" s="889">
        <f t="shared" si="47"/>
        <v>0</v>
      </c>
      <c r="H230" s="889">
        <f>'SAN LUONG'!AO224*0.44</f>
        <v>0</v>
      </c>
      <c r="I230" s="889">
        <f t="shared" si="48"/>
        <v>0</v>
      </c>
      <c r="J230" s="889">
        <f>'SAN LUONG'!AV224*0.44</f>
        <v>0</v>
      </c>
      <c r="K230" s="889">
        <f t="shared" si="52"/>
        <v>0</v>
      </c>
      <c r="L230" s="889"/>
      <c r="M230" s="881">
        <f>'CHAM CONG'!BC221</f>
        <v>0</v>
      </c>
      <c r="N230" s="889">
        <f t="shared" si="53"/>
        <v>0</v>
      </c>
      <c r="O230" s="889">
        <f t="shared" si="54"/>
        <v>0</v>
      </c>
      <c r="P230" s="890">
        <f>'CHAM CONG'!BO221</f>
        <v>0</v>
      </c>
      <c r="Q230" s="942">
        <f t="shared" si="55"/>
        <v>0</v>
      </c>
      <c r="R230" s="942">
        <f>'SAN LUONG'!DW224</f>
        <v>9.1999999999999993</v>
      </c>
      <c r="S230" s="942">
        <f t="shared" si="49"/>
        <v>0.28999999999999998</v>
      </c>
      <c r="T230" s="943">
        <f>'CHAM CONG'!BW221</f>
        <v>0</v>
      </c>
      <c r="U230" s="942">
        <f t="shared" si="56"/>
        <v>0</v>
      </c>
      <c r="V230" s="890">
        <f>'CHAM CONG'!BD221</f>
        <v>0</v>
      </c>
      <c r="W230" s="944">
        <f t="shared" si="50"/>
        <v>0</v>
      </c>
      <c r="X230" s="891">
        <f>'CHAM CONG'!BT221</f>
        <v>0</v>
      </c>
      <c r="Y230" s="881">
        <f t="shared" si="57"/>
        <v>0</v>
      </c>
      <c r="Z230" s="892">
        <v>6.03</v>
      </c>
      <c r="AA230" s="942">
        <f t="shared" si="46"/>
        <v>1.7</v>
      </c>
      <c r="AB230" s="892">
        <v>6.03</v>
      </c>
      <c r="AC230" s="942">
        <f t="shared" si="58"/>
        <v>7.24</v>
      </c>
      <c r="AD230" s="892">
        <v>6.03</v>
      </c>
      <c r="AE230" s="942">
        <f t="shared" si="59"/>
        <v>4.3</v>
      </c>
      <c r="AF230" s="943" t="e">
        <f>#N/A</f>
        <v>#N/A</v>
      </c>
      <c r="AG230" s="893">
        <f t="shared" si="51"/>
        <v>13.53</v>
      </c>
      <c r="AH230" s="894"/>
      <c r="AI230" s="895">
        <v>25.68</v>
      </c>
      <c r="AJ230" s="791">
        <v>23.67</v>
      </c>
      <c r="AK230" s="896">
        <f t="shared" si="60"/>
        <v>2</v>
      </c>
      <c r="AL230" s="896"/>
      <c r="AS230" s="898"/>
    </row>
    <row r="231" spans="1:45" s="779" customFormat="1" ht="28.2" customHeight="1">
      <c r="A231" s="885">
        <v>215</v>
      </c>
      <c r="B231" s="886"/>
      <c r="C231" s="887" t="str">
        <f>'Tên thang 01-26'!E218</f>
        <v>ឈាង ឆេន</v>
      </c>
      <c r="D231" s="887" t="str">
        <f>'Tên thang 01-26'!F218</f>
        <v>CHHEANG CHHEN</v>
      </c>
      <c r="E231" s="888">
        <v>95</v>
      </c>
      <c r="F231" s="889">
        <f>'SAN LUONG'!AP225*0.44</f>
        <v>0</v>
      </c>
      <c r="G231" s="889">
        <f t="shared" si="47"/>
        <v>0</v>
      </c>
      <c r="H231" s="889">
        <f>'SAN LUONG'!AO225*0.44</f>
        <v>0</v>
      </c>
      <c r="I231" s="889">
        <f t="shared" si="48"/>
        <v>0</v>
      </c>
      <c r="J231" s="889">
        <f>'SAN LUONG'!AV225*0.44</f>
        <v>773.96</v>
      </c>
      <c r="K231" s="889">
        <f t="shared" si="52"/>
        <v>13.45</v>
      </c>
      <c r="L231" s="889"/>
      <c r="M231" s="881">
        <f>'CHAM CONG'!BC222</f>
        <v>15</v>
      </c>
      <c r="N231" s="889">
        <f t="shared" si="53"/>
        <v>7.51</v>
      </c>
      <c r="O231" s="889">
        <f t="shared" si="54"/>
        <v>0.47</v>
      </c>
      <c r="P231" s="890">
        <f>'CHAM CONG'!BO222</f>
        <v>27</v>
      </c>
      <c r="Q231" s="942">
        <f t="shared" si="55"/>
        <v>2.54</v>
      </c>
      <c r="R231" s="942">
        <f>'SAN LUONG'!DW225</f>
        <v>19</v>
      </c>
      <c r="S231" s="942">
        <f t="shared" si="49"/>
        <v>0.59</v>
      </c>
      <c r="T231" s="943">
        <f>'CHAM CONG'!BW222</f>
        <v>-20000</v>
      </c>
      <c r="U231" s="942">
        <f t="shared" si="56"/>
        <v>-0.63</v>
      </c>
      <c r="V231" s="890">
        <f>'CHAM CONG'!BD222</f>
        <v>0</v>
      </c>
      <c r="W231" s="944">
        <f t="shared" si="50"/>
        <v>0</v>
      </c>
      <c r="X231" s="891">
        <f>'CHAM CONG'!BT222</f>
        <v>1</v>
      </c>
      <c r="Y231" s="881">
        <f t="shared" si="57"/>
        <v>1.1000000000000001</v>
      </c>
      <c r="Z231" s="892">
        <v>6.03</v>
      </c>
      <c r="AA231" s="942">
        <f t="shared" si="46"/>
        <v>1.7</v>
      </c>
      <c r="AB231" s="892">
        <v>6.03</v>
      </c>
      <c r="AC231" s="942">
        <f t="shared" si="58"/>
        <v>7.24</v>
      </c>
      <c r="AD231" s="892">
        <v>6.03</v>
      </c>
      <c r="AE231" s="942">
        <f t="shared" si="59"/>
        <v>4.3</v>
      </c>
      <c r="AF231" s="943" t="e">
        <f>#N/A</f>
        <v>#N/A</v>
      </c>
      <c r="AG231" s="893">
        <f t="shared" si="51"/>
        <v>38.270000000000003</v>
      </c>
      <c r="AH231" s="894"/>
      <c r="AI231" s="895">
        <v>26.19</v>
      </c>
      <c r="AJ231" s="791">
        <v>24.170000000000005</v>
      </c>
      <c r="AK231" s="896">
        <f t="shared" si="60"/>
        <v>2</v>
      </c>
      <c r="AL231" s="896"/>
      <c r="AS231" s="898"/>
    </row>
    <row r="232" spans="1:45" s="779" customFormat="1" ht="28.2" customHeight="1">
      <c r="A232" s="885">
        <v>216</v>
      </c>
      <c r="B232" s="886"/>
      <c r="C232" s="887" t="str">
        <f>'Tên thang 01-26'!E219</f>
        <v>ប៉ឹង តូច</v>
      </c>
      <c r="D232" s="887" t="str">
        <f>'Tên thang 01-26'!F219</f>
        <v>POENG TOUCH</v>
      </c>
      <c r="E232" s="888">
        <v>96</v>
      </c>
      <c r="F232" s="889">
        <f>'SAN LUONG'!AP226*0.44</f>
        <v>0</v>
      </c>
      <c r="G232" s="889">
        <f t="shared" si="47"/>
        <v>0</v>
      </c>
      <c r="H232" s="889">
        <f>'SAN LUONG'!AO226*0.44</f>
        <v>0</v>
      </c>
      <c r="I232" s="889">
        <f t="shared" si="48"/>
        <v>0</v>
      </c>
      <c r="J232" s="889">
        <f>'SAN LUONG'!AV226*0.44</f>
        <v>768.24</v>
      </c>
      <c r="K232" s="889">
        <f t="shared" si="52"/>
        <v>13.35</v>
      </c>
      <c r="L232" s="889"/>
      <c r="M232" s="881">
        <f>'CHAM CONG'!BC223</f>
        <v>15</v>
      </c>
      <c r="N232" s="889">
        <f t="shared" si="53"/>
        <v>7.51</v>
      </c>
      <c r="O232" s="889">
        <f t="shared" si="54"/>
        <v>0.47</v>
      </c>
      <c r="P232" s="890">
        <f>'CHAM CONG'!BO223</f>
        <v>28</v>
      </c>
      <c r="Q232" s="942">
        <f t="shared" si="55"/>
        <v>2.63</v>
      </c>
      <c r="R232" s="942">
        <f>'SAN LUONG'!DW226</f>
        <v>18.7</v>
      </c>
      <c r="S232" s="942">
        <f t="shared" si="49"/>
        <v>0.59</v>
      </c>
      <c r="T232" s="943">
        <f>'CHAM CONG'!BW223</f>
        <v>0</v>
      </c>
      <c r="U232" s="942">
        <f t="shared" si="56"/>
        <v>0</v>
      </c>
      <c r="V232" s="890">
        <f>'CHAM CONG'!BD223</f>
        <v>0</v>
      </c>
      <c r="W232" s="944">
        <f t="shared" si="50"/>
        <v>0</v>
      </c>
      <c r="X232" s="891">
        <f>'CHAM CONG'!BT223</f>
        <v>1</v>
      </c>
      <c r="Y232" s="881">
        <f t="shared" si="57"/>
        <v>1.1000000000000001</v>
      </c>
      <c r="Z232" s="892">
        <v>6.03</v>
      </c>
      <c r="AA232" s="942">
        <f t="shared" si="46"/>
        <v>1.7</v>
      </c>
      <c r="AB232" s="892">
        <v>6.03</v>
      </c>
      <c r="AC232" s="942">
        <f t="shared" si="58"/>
        <v>7.24</v>
      </c>
      <c r="AD232" s="892">
        <v>6.03</v>
      </c>
      <c r="AE232" s="942">
        <f t="shared" si="59"/>
        <v>4.3</v>
      </c>
      <c r="AF232" s="943" t="e">
        <f>#N/A</f>
        <v>#N/A</v>
      </c>
      <c r="AG232" s="893">
        <f t="shared" si="51"/>
        <v>38.89</v>
      </c>
      <c r="AH232" s="894"/>
      <c r="AI232" s="895">
        <v>32.03</v>
      </c>
      <c r="AJ232" s="791">
        <v>30.020000000000007</v>
      </c>
      <c r="AK232" s="896">
        <f t="shared" si="60"/>
        <v>2</v>
      </c>
      <c r="AL232" s="896"/>
      <c r="AS232" s="898"/>
    </row>
    <row r="233" spans="1:45" s="779" customFormat="1" ht="28.2" customHeight="1">
      <c r="A233" s="885">
        <v>217</v>
      </c>
      <c r="B233" s="886"/>
      <c r="C233" s="887" t="str">
        <f>'Tên thang 01-26'!E220</f>
        <v>ម៉ន ស៊ីន</v>
      </c>
      <c r="D233" s="887" t="str">
        <f>'Tên thang 01-26'!F220</f>
        <v>MORN SIN</v>
      </c>
      <c r="E233" s="888">
        <v>97</v>
      </c>
      <c r="F233" s="889">
        <f>'SAN LUONG'!AP227*0.44</f>
        <v>0</v>
      </c>
      <c r="G233" s="889">
        <f t="shared" si="47"/>
        <v>0</v>
      </c>
      <c r="H233" s="889">
        <f>'SAN LUONG'!AO227*0.44</f>
        <v>0</v>
      </c>
      <c r="I233" s="889">
        <f t="shared" si="48"/>
        <v>0</v>
      </c>
      <c r="J233" s="889">
        <f>'SAN LUONG'!AV227*0.44</f>
        <v>657.8</v>
      </c>
      <c r="K233" s="889">
        <f t="shared" si="52"/>
        <v>11.43</v>
      </c>
      <c r="L233" s="889"/>
      <c r="M233" s="881">
        <f>'CHAM CONG'!BC224</f>
        <v>15</v>
      </c>
      <c r="N233" s="889">
        <f t="shared" si="53"/>
        <v>7.51</v>
      </c>
      <c r="O233" s="889">
        <f t="shared" si="54"/>
        <v>0.47</v>
      </c>
      <c r="P233" s="890">
        <f>'CHAM CONG'!BO224</f>
        <v>27</v>
      </c>
      <c r="Q233" s="942">
        <f t="shared" si="55"/>
        <v>2.54</v>
      </c>
      <c r="R233" s="942">
        <f>'SAN LUONG'!DW227</f>
        <v>23.5</v>
      </c>
      <c r="S233" s="942">
        <f t="shared" si="49"/>
        <v>0.74</v>
      </c>
      <c r="T233" s="943">
        <f>'CHAM CONG'!BW224</f>
        <v>0</v>
      </c>
      <c r="U233" s="942">
        <f t="shared" si="56"/>
        <v>0</v>
      </c>
      <c r="V233" s="890">
        <f>'CHAM CONG'!BD224</f>
        <v>0</v>
      </c>
      <c r="W233" s="944">
        <f t="shared" si="50"/>
        <v>0</v>
      </c>
      <c r="X233" s="891">
        <f>'CHAM CONG'!BT224</f>
        <v>1</v>
      </c>
      <c r="Y233" s="881">
        <f t="shared" si="57"/>
        <v>1.1000000000000001</v>
      </c>
      <c r="Z233" s="892">
        <v>6.03</v>
      </c>
      <c r="AA233" s="942">
        <f t="shared" si="46"/>
        <v>1.7</v>
      </c>
      <c r="AB233" s="892">
        <v>6.03</v>
      </c>
      <c r="AC233" s="942">
        <f t="shared" si="58"/>
        <v>7.24</v>
      </c>
      <c r="AD233" s="892">
        <v>6.03</v>
      </c>
      <c r="AE233" s="942">
        <f t="shared" si="59"/>
        <v>4.3</v>
      </c>
      <c r="AF233" s="943" t="e">
        <f>#N/A</f>
        <v>#N/A</v>
      </c>
      <c r="AG233" s="893">
        <f t="shared" si="51"/>
        <v>37.029999999999994</v>
      </c>
      <c r="AH233" s="894"/>
      <c r="AI233" s="895">
        <v>28.75</v>
      </c>
      <c r="AJ233" s="791">
        <v>26.750000000000007</v>
      </c>
      <c r="AK233" s="896">
        <f t="shared" si="60"/>
        <v>2</v>
      </c>
      <c r="AL233" s="896"/>
      <c r="AS233" s="898"/>
    </row>
    <row r="234" spans="1:45" s="779" customFormat="1" ht="28.2" customHeight="1">
      <c r="A234" s="885">
        <v>218</v>
      </c>
      <c r="B234" s="886"/>
      <c r="C234" s="887" t="str">
        <f>'Tên thang 01-26'!E221</f>
        <v>យឿន យួន</v>
      </c>
      <c r="D234" s="887" t="str">
        <f>'Tên thang 01-26'!F221</f>
        <v>YOEUN YOUN</v>
      </c>
      <c r="E234" s="888">
        <v>98</v>
      </c>
      <c r="F234" s="889">
        <f>'SAN LUONG'!AP228*0.44</f>
        <v>0</v>
      </c>
      <c r="G234" s="889">
        <f t="shared" si="47"/>
        <v>0</v>
      </c>
      <c r="H234" s="889">
        <f>'SAN LUONG'!AO228*0.44</f>
        <v>0</v>
      </c>
      <c r="I234" s="889">
        <f t="shared" si="48"/>
        <v>0</v>
      </c>
      <c r="J234" s="889">
        <f>'SAN LUONG'!AV228*0.44</f>
        <v>751.08</v>
      </c>
      <c r="K234" s="889">
        <f t="shared" si="52"/>
        <v>13.05</v>
      </c>
      <c r="L234" s="889"/>
      <c r="M234" s="881">
        <f>'CHAM CONG'!BC225</f>
        <v>15</v>
      </c>
      <c r="N234" s="889">
        <f t="shared" si="53"/>
        <v>7.51</v>
      </c>
      <c r="O234" s="889">
        <f t="shared" si="54"/>
        <v>0.47</v>
      </c>
      <c r="P234" s="890">
        <f>'CHAM CONG'!BO225</f>
        <v>28</v>
      </c>
      <c r="Q234" s="942">
        <f t="shared" si="55"/>
        <v>2.63</v>
      </c>
      <c r="R234" s="942">
        <f>'SAN LUONG'!DW228</f>
        <v>18.7</v>
      </c>
      <c r="S234" s="942">
        <f t="shared" si="49"/>
        <v>0.59</v>
      </c>
      <c r="T234" s="943">
        <f>'CHAM CONG'!BW225</f>
        <v>0</v>
      </c>
      <c r="U234" s="942">
        <f t="shared" si="56"/>
        <v>0</v>
      </c>
      <c r="V234" s="890">
        <f>'CHAM CONG'!BD225</f>
        <v>0</v>
      </c>
      <c r="W234" s="944">
        <f t="shared" si="50"/>
        <v>0</v>
      </c>
      <c r="X234" s="891">
        <f>'CHAM CONG'!BT225</f>
        <v>1</v>
      </c>
      <c r="Y234" s="881">
        <f t="shared" si="57"/>
        <v>1.1000000000000001</v>
      </c>
      <c r="Z234" s="892">
        <v>6.03</v>
      </c>
      <c r="AA234" s="942">
        <f t="shared" si="46"/>
        <v>1.7</v>
      </c>
      <c r="AB234" s="892">
        <v>6.03</v>
      </c>
      <c r="AC234" s="942">
        <f t="shared" si="58"/>
        <v>7.24</v>
      </c>
      <c r="AD234" s="892">
        <v>6.03</v>
      </c>
      <c r="AE234" s="942">
        <f t="shared" si="59"/>
        <v>4.3</v>
      </c>
      <c r="AF234" s="943" t="e">
        <f>#N/A</f>
        <v>#N/A</v>
      </c>
      <c r="AG234" s="893">
        <f t="shared" si="51"/>
        <v>38.590000000000003</v>
      </c>
      <c r="AH234" s="894"/>
      <c r="AI234" s="895">
        <v>30.04</v>
      </c>
      <c r="AJ234" s="791">
        <v>28.040000000000006</v>
      </c>
      <c r="AK234" s="896">
        <f t="shared" si="60"/>
        <v>2</v>
      </c>
      <c r="AL234" s="896"/>
      <c r="AS234" s="898"/>
    </row>
    <row r="235" spans="1:45" s="779" customFormat="1" ht="28.2" customHeight="1">
      <c r="A235" s="885">
        <v>219</v>
      </c>
      <c r="B235" s="886"/>
      <c r="C235" s="887" t="str">
        <f>'Tên thang 01-26'!E222</f>
        <v>ណាក់ ញ៉ាញ់</v>
      </c>
      <c r="D235" s="887" t="str">
        <f>'Tên thang 01-26'!F222</f>
        <v>NAK NHANH</v>
      </c>
      <c r="E235" s="888">
        <v>99</v>
      </c>
      <c r="F235" s="889">
        <f>'SAN LUONG'!AP229*0.44</f>
        <v>0</v>
      </c>
      <c r="G235" s="889">
        <f t="shared" si="47"/>
        <v>0</v>
      </c>
      <c r="H235" s="889">
        <f>'SAN LUONG'!AO229*0.44</f>
        <v>0</v>
      </c>
      <c r="I235" s="889">
        <f t="shared" si="48"/>
        <v>0</v>
      </c>
      <c r="J235" s="889">
        <f>'SAN LUONG'!AV229*0.44</f>
        <v>618.20000000000005</v>
      </c>
      <c r="K235" s="889">
        <f t="shared" si="52"/>
        <v>10.74</v>
      </c>
      <c r="L235" s="889"/>
      <c r="M235" s="881">
        <f>'CHAM CONG'!BC226</f>
        <v>15</v>
      </c>
      <c r="N235" s="889">
        <f t="shared" si="53"/>
        <v>7.51</v>
      </c>
      <c r="O235" s="889">
        <f t="shared" si="54"/>
        <v>0.47</v>
      </c>
      <c r="P235" s="890">
        <f>'CHAM CONG'!BO226</f>
        <v>28</v>
      </c>
      <c r="Q235" s="942">
        <f t="shared" si="55"/>
        <v>2.63</v>
      </c>
      <c r="R235" s="942">
        <f>'SAN LUONG'!DW229</f>
        <v>13.6</v>
      </c>
      <c r="S235" s="942">
        <f t="shared" si="49"/>
        <v>0.43</v>
      </c>
      <c r="T235" s="943">
        <f>'CHAM CONG'!BW226</f>
        <v>0</v>
      </c>
      <c r="U235" s="942">
        <f t="shared" si="56"/>
        <v>0</v>
      </c>
      <c r="V235" s="890">
        <f>'CHAM CONG'!BD226</f>
        <v>1</v>
      </c>
      <c r="W235" s="944">
        <f t="shared" si="50"/>
        <v>0.53</v>
      </c>
      <c r="X235" s="891">
        <f>'CHAM CONG'!BT226</f>
        <v>1</v>
      </c>
      <c r="Y235" s="881">
        <f t="shared" si="57"/>
        <v>1.1000000000000001</v>
      </c>
      <c r="Z235" s="892">
        <v>6.03</v>
      </c>
      <c r="AA235" s="942">
        <f t="shared" si="46"/>
        <v>1.7</v>
      </c>
      <c r="AB235" s="892">
        <v>6.03</v>
      </c>
      <c r="AC235" s="942">
        <f t="shared" si="58"/>
        <v>7.24</v>
      </c>
      <c r="AD235" s="892">
        <v>6.03</v>
      </c>
      <c r="AE235" s="942">
        <f t="shared" si="59"/>
        <v>4.3</v>
      </c>
      <c r="AF235" s="943" t="e">
        <f>#N/A</f>
        <v>#N/A</v>
      </c>
      <c r="AG235" s="893">
        <f t="shared" si="51"/>
        <v>36.65</v>
      </c>
      <c r="AH235" s="894"/>
      <c r="AI235" s="895">
        <v>26.04</v>
      </c>
      <c r="AJ235" s="791">
        <v>24.660000000000004</v>
      </c>
      <c r="AK235" s="896">
        <f t="shared" si="60"/>
        <v>1</v>
      </c>
      <c r="AL235" s="896"/>
      <c r="AS235" s="898"/>
    </row>
    <row r="236" spans="1:45" s="779" customFormat="1" ht="28.2" customHeight="1">
      <c r="A236" s="885">
        <v>220</v>
      </c>
      <c r="B236" s="886"/>
      <c r="C236" s="887" t="str">
        <f>'Tên thang 01-26'!E223</f>
        <v>មាន រិទ្ធី</v>
      </c>
      <c r="D236" s="887" t="str">
        <f>'Tên thang 01-26'!F223</f>
        <v>MEAN RITHY</v>
      </c>
      <c r="E236" s="888">
        <v>100</v>
      </c>
      <c r="F236" s="889">
        <f>'SAN LUONG'!AP230*0.44</f>
        <v>0</v>
      </c>
      <c r="G236" s="889">
        <f t="shared" si="47"/>
        <v>0</v>
      </c>
      <c r="H236" s="889">
        <f>'SAN LUONG'!AO230*0.44</f>
        <v>0</v>
      </c>
      <c r="I236" s="889">
        <f t="shared" si="48"/>
        <v>0</v>
      </c>
      <c r="J236" s="889">
        <f>'SAN LUONG'!AV230*0.44</f>
        <v>722.48</v>
      </c>
      <c r="K236" s="889">
        <f t="shared" si="52"/>
        <v>12.55</v>
      </c>
      <c r="L236" s="889"/>
      <c r="M236" s="881">
        <f>'CHAM CONG'!BC227</f>
        <v>14</v>
      </c>
      <c r="N236" s="889">
        <f t="shared" si="53"/>
        <v>7.01</v>
      </c>
      <c r="O236" s="889">
        <f t="shared" si="54"/>
        <v>0.44</v>
      </c>
      <c r="P236" s="890">
        <f>'CHAM CONG'!BO227</f>
        <v>26</v>
      </c>
      <c r="Q236" s="942">
        <f t="shared" si="55"/>
        <v>2.44</v>
      </c>
      <c r="R236" s="942">
        <f>'SAN LUONG'!DW230</f>
        <v>23</v>
      </c>
      <c r="S236" s="942">
        <f t="shared" si="49"/>
        <v>0.72</v>
      </c>
      <c r="T236" s="943">
        <f>'CHAM CONG'!BW227</f>
        <v>0</v>
      </c>
      <c r="U236" s="942">
        <f t="shared" si="56"/>
        <v>0</v>
      </c>
      <c r="V236" s="890">
        <f>'CHAM CONG'!BD227</f>
        <v>0</v>
      </c>
      <c r="W236" s="944">
        <f t="shared" si="50"/>
        <v>0</v>
      </c>
      <c r="X236" s="891">
        <f>'CHAM CONG'!BT227</f>
        <v>1</v>
      </c>
      <c r="Y236" s="881">
        <f t="shared" si="57"/>
        <v>1.1000000000000001</v>
      </c>
      <c r="Z236" s="892">
        <v>6.03</v>
      </c>
      <c r="AA236" s="942">
        <f t="shared" si="46"/>
        <v>1.7</v>
      </c>
      <c r="AB236" s="892">
        <v>6.03</v>
      </c>
      <c r="AC236" s="942">
        <f t="shared" si="58"/>
        <v>7.24</v>
      </c>
      <c r="AD236" s="892">
        <v>6.03</v>
      </c>
      <c r="AE236" s="942">
        <f t="shared" si="59"/>
        <v>4.3</v>
      </c>
      <c r="AF236" s="943" t="e">
        <f>#N/A</f>
        <v>#N/A</v>
      </c>
      <c r="AG236" s="893">
        <f t="shared" si="51"/>
        <v>37.5</v>
      </c>
      <c r="AH236" s="894"/>
      <c r="AI236" s="895">
        <v>31.81</v>
      </c>
      <c r="AJ236" s="791">
        <v>29.800000000000004</v>
      </c>
      <c r="AK236" s="896">
        <f t="shared" si="60"/>
        <v>2</v>
      </c>
      <c r="AL236" s="896"/>
      <c r="AS236" s="898"/>
    </row>
    <row r="237" spans="1:45" s="779" customFormat="1" ht="28.2" customHeight="1">
      <c r="A237" s="885">
        <v>221</v>
      </c>
      <c r="B237" s="886"/>
      <c r="C237" s="887" t="str">
        <f>'Tên thang 01-26'!E224</f>
        <v>ក្រឹង រ៉ែម</v>
      </c>
      <c r="D237" s="887" t="str">
        <f>'Tên thang 01-26'!F224</f>
        <v>KROENG REM</v>
      </c>
      <c r="E237" s="888">
        <v>101</v>
      </c>
      <c r="F237" s="889">
        <f>'SAN LUONG'!AP231*0.44</f>
        <v>0</v>
      </c>
      <c r="G237" s="889">
        <f t="shared" si="47"/>
        <v>0</v>
      </c>
      <c r="H237" s="889">
        <f>'SAN LUONG'!AO231*0.44</f>
        <v>0</v>
      </c>
      <c r="I237" s="889">
        <f t="shared" si="48"/>
        <v>0</v>
      </c>
      <c r="J237" s="889">
        <f>'SAN LUONG'!AV231*0.44</f>
        <v>781.44</v>
      </c>
      <c r="K237" s="889">
        <f t="shared" si="52"/>
        <v>13.58</v>
      </c>
      <c r="L237" s="889"/>
      <c r="M237" s="881">
        <f>'CHAM CONG'!BC228</f>
        <v>15</v>
      </c>
      <c r="N237" s="889">
        <f t="shared" si="53"/>
        <v>7.51</v>
      </c>
      <c r="O237" s="889">
        <f t="shared" si="54"/>
        <v>0.47</v>
      </c>
      <c r="P237" s="890">
        <f>'CHAM CONG'!BO228</f>
        <v>29</v>
      </c>
      <c r="Q237" s="942">
        <f t="shared" si="55"/>
        <v>2.72</v>
      </c>
      <c r="R237" s="942">
        <f>'SAN LUONG'!DW231</f>
        <v>16.3</v>
      </c>
      <c r="S237" s="942">
        <f t="shared" si="49"/>
        <v>0.51</v>
      </c>
      <c r="T237" s="943">
        <f>'CHAM CONG'!BW228</f>
        <v>0</v>
      </c>
      <c r="U237" s="942">
        <f t="shared" si="56"/>
        <v>0</v>
      </c>
      <c r="V237" s="890">
        <f>'CHAM CONG'!BD228</f>
        <v>0</v>
      </c>
      <c r="W237" s="944">
        <f t="shared" si="50"/>
        <v>0</v>
      </c>
      <c r="X237" s="891">
        <f>'CHAM CONG'!BT228</f>
        <v>1</v>
      </c>
      <c r="Y237" s="881">
        <f t="shared" si="57"/>
        <v>1.1000000000000001</v>
      </c>
      <c r="Z237" s="892">
        <v>6.03</v>
      </c>
      <c r="AA237" s="942">
        <f t="shared" si="46"/>
        <v>1.7</v>
      </c>
      <c r="AB237" s="892">
        <v>6.03</v>
      </c>
      <c r="AC237" s="942">
        <f t="shared" si="58"/>
        <v>7.24</v>
      </c>
      <c r="AD237" s="892">
        <v>6.03</v>
      </c>
      <c r="AE237" s="942">
        <f t="shared" si="59"/>
        <v>4.3</v>
      </c>
      <c r="AF237" s="943" t="e">
        <f>#N/A</f>
        <v>#N/A</v>
      </c>
      <c r="AG237" s="893">
        <f t="shared" si="51"/>
        <v>39.130000000000003</v>
      </c>
      <c r="AH237" s="894"/>
      <c r="AI237" s="895">
        <v>29.58</v>
      </c>
      <c r="AJ237" s="791">
        <v>27.570000000000004</v>
      </c>
      <c r="AK237" s="896">
        <f t="shared" si="60"/>
        <v>2</v>
      </c>
      <c r="AL237" s="896"/>
      <c r="AS237" s="898"/>
    </row>
    <row r="238" spans="1:45" s="779" customFormat="1" ht="28.2" customHeight="1">
      <c r="A238" s="885">
        <v>222</v>
      </c>
      <c r="B238" s="886"/>
      <c r="C238" s="887" t="str">
        <f>'Tên thang 01-26'!E225</f>
        <v>អ៊ុក សុខគួន</v>
      </c>
      <c r="D238" s="887" t="str">
        <f>'Tên thang 01-26'!F225</f>
        <v>UK SOKOURN</v>
      </c>
      <c r="E238" s="888">
        <v>102</v>
      </c>
      <c r="F238" s="889">
        <f>'SAN LUONG'!AP232*0.44</f>
        <v>0</v>
      </c>
      <c r="G238" s="889">
        <f t="shared" si="47"/>
        <v>0</v>
      </c>
      <c r="H238" s="889">
        <f>'SAN LUONG'!AO232*0.44</f>
        <v>0</v>
      </c>
      <c r="I238" s="889">
        <f t="shared" si="48"/>
        <v>0</v>
      </c>
      <c r="J238" s="889">
        <f>'SAN LUONG'!AV232*0.44</f>
        <v>762.52</v>
      </c>
      <c r="K238" s="889">
        <f t="shared" si="52"/>
        <v>13.25</v>
      </c>
      <c r="L238" s="889"/>
      <c r="M238" s="881">
        <f>'CHAM CONG'!BC229</f>
        <v>14</v>
      </c>
      <c r="N238" s="889">
        <f t="shared" si="53"/>
        <v>7.01</v>
      </c>
      <c r="O238" s="889">
        <f t="shared" si="54"/>
        <v>0.44</v>
      </c>
      <c r="P238" s="890">
        <f>'CHAM CONG'!BO229</f>
        <v>26</v>
      </c>
      <c r="Q238" s="942">
        <f t="shared" si="55"/>
        <v>2.44</v>
      </c>
      <c r="R238" s="942">
        <f>'SAN LUONG'!DW232</f>
        <v>20.3</v>
      </c>
      <c r="S238" s="942">
        <f t="shared" si="49"/>
        <v>0.64</v>
      </c>
      <c r="T238" s="943">
        <f>'CHAM CONG'!BW229</f>
        <v>0</v>
      </c>
      <c r="U238" s="942">
        <f t="shared" si="56"/>
        <v>0</v>
      </c>
      <c r="V238" s="890">
        <f>'CHAM CONG'!BD229</f>
        <v>0</v>
      </c>
      <c r="W238" s="944">
        <f t="shared" si="50"/>
        <v>0</v>
      </c>
      <c r="X238" s="891">
        <f>'CHAM CONG'!BT229</f>
        <v>1</v>
      </c>
      <c r="Y238" s="881">
        <f t="shared" si="57"/>
        <v>1.1000000000000001</v>
      </c>
      <c r="Z238" s="892">
        <v>6.03</v>
      </c>
      <c r="AA238" s="942">
        <f t="shared" si="46"/>
        <v>1.7</v>
      </c>
      <c r="AB238" s="892">
        <v>6.03</v>
      </c>
      <c r="AC238" s="942">
        <f t="shared" si="58"/>
        <v>7.24</v>
      </c>
      <c r="AD238" s="892">
        <v>6.03</v>
      </c>
      <c r="AE238" s="942">
        <f t="shared" si="59"/>
        <v>4.3</v>
      </c>
      <c r="AF238" s="943" t="e">
        <f>#N/A</f>
        <v>#N/A</v>
      </c>
      <c r="AG238" s="893">
        <f t="shared" si="51"/>
        <v>38.119999999999997</v>
      </c>
      <c r="AH238" s="894"/>
      <c r="AI238" s="895">
        <v>32.33</v>
      </c>
      <c r="AJ238" s="791">
        <v>30.320000000000007</v>
      </c>
      <c r="AK238" s="896">
        <f t="shared" si="60"/>
        <v>2</v>
      </c>
      <c r="AL238" s="896"/>
      <c r="AS238" s="898"/>
    </row>
    <row r="239" spans="1:45" s="779" customFormat="1" ht="28.2" customHeight="1">
      <c r="A239" s="885">
        <v>223</v>
      </c>
      <c r="B239" s="886"/>
      <c r="C239" s="887" t="str">
        <f>'Tên thang 01-26'!E226</f>
        <v>ហ៊ាង ហេន</v>
      </c>
      <c r="D239" s="887" t="str">
        <f>'Tên thang 01-26'!F226</f>
        <v>HEANG HEN</v>
      </c>
      <c r="E239" s="888">
        <v>103</v>
      </c>
      <c r="F239" s="889">
        <f>'SAN LUONG'!AP233*0.44</f>
        <v>0</v>
      </c>
      <c r="G239" s="889">
        <f t="shared" si="47"/>
        <v>0</v>
      </c>
      <c r="H239" s="889">
        <f>'SAN LUONG'!AO233*0.44</f>
        <v>0</v>
      </c>
      <c r="I239" s="889">
        <f t="shared" si="48"/>
        <v>0</v>
      </c>
      <c r="J239" s="889">
        <f>'SAN LUONG'!AV233*0.44</f>
        <v>855.8</v>
      </c>
      <c r="K239" s="889">
        <f t="shared" si="52"/>
        <v>14.87</v>
      </c>
      <c r="L239" s="889"/>
      <c r="M239" s="881">
        <f>'CHAM CONG'!BC230</f>
        <v>15</v>
      </c>
      <c r="N239" s="889">
        <f t="shared" si="53"/>
        <v>7.51</v>
      </c>
      <c r="O239" s="889">
        <f t="shared" si="54"/>
        <v>0.47</v>
      </c>
      <c r="P239" s="890">
        <f>'CHAM CONG'!BO230</f>
        <v>29</v>
      </c>
      <c r="Q239" s="942">
        <f t="shared" si="55"/>
        <v>2.72</v>
      </c>
      <c r="R239" s="942">
        <f>'SAN LUONG'!DW233</f>
        <v>16.5</v>
      </c>
      <c r="S239" s="942">
        <f t="shared" si="49"/>
        <v>0.52</v>
      </c>
      <c r="T239" s="943">
        <f>'CHAM CONG'!BW230</f>
        <v>0</v>
      </c>
      <c r="U239" s="942">
        <f t="shared" si="56"/>
        <v>0</v>
      </c>
      <c r="V239" s="890">
        <f>'CHAM CONG'!BD230</f>
        <v>0</v>
      </c>
      <c r="W239" s="944">
        <f t="shared" si="50"/>
        <v>0</v>
      </c>
      <c r="X239" s="891">
        <f>'CHAM CONG'!BT230</f>
        <v>1</v>
      </c>
      <c r="Y239" s="881">
        <f t="shared" si="57"/>
        <v>1.1000000000000001</v>
      </c>
      <c r="Z239" s="892">
        <v>6.03</v>
      </c>
      <c r="AA239" s="942">
        <f t="shared" si="46"/>
        <v>1.7</v>
      </c>
      <c r="AB239" s="892">
        <v>6.03</v>
      </c>
      <c r="AC239" s="942">
        <f t="shared" si="58"/>
        <v>7.24</v>
      </c>
      <c r="AD239" s="892">
        <v>6.03</v>
      </c>
      <c r="AE239" s="942">
        <f t="shared" si="59"/>
        <v>4.3</v>
      </c>
      <c r="AF239" s="943" t="e">
        <f>#N/A</f>
        <v>#N/A</v>
      </c>
      <c r="AG239" s="893">
        <f t="shared" si="51"/>
        <v>40.43</v>
      </c>
      <c r="AH239" s="894"/>
      <c r="AI239" s="895">
        <v>30.15</v>
      </c>
      <c r="AJ239" s="791">
        <v>28.130000000000003</v>
      </c>
      <c r="AK239" s="896">
        <f t="shared" si="60"/>
        <v>2</v>
      </c>
      <c r="AL239" s="896"/>
      <c r="AS239" s="898"/>
    </row>
    <row r="240" spans="1:45" s="779" customFormat="1" ht="28.2" customHeight="1">
      <c r="A240" s="885">
        <v>224</v>
      </c>
      <c r="B240" s="886"/>
      <c r="C240" s="887" t="str">
        <f>'Tên thang 01-26'!E227</f>
        <v>ហួន យ៉េ</v>
      </c>
      <c r="D240" s="887" t="str">
        <f>'Tên thang 01-26'!F227</f>
        <v>HOURN YE</v>
      </c>
      <c r="E240" s="888">
        <v>104</v>
      </c>
      <c r="F240" s="889">
        <f>'SAN LUONG'!AP234*0.44</f>
        <v>0</v>
      </c>
      <c r="G240" s="889">
        <f t="shared" si="47"/>
        <v>0</v>
      </c>
      <c r="H240" s="889">
        <f>'SAN LUONG'!AO234*0.44</f>
        <v>0</v>
      </c>
      <c r="I240" s="889">
        <f t="shared" si="48"/>
        <v>0</v>
      </c>
      <c r="J240" s="889">
        <f>'SAN LUONG'!AV234*0.44</f>
        <v>663.96</v>
      </c>
      <c r="K240" s="889">
        <f t="shared" si="52"/>
        <v>11.53</v>
      </c>
      <c r="L240" s="889"/>
      <c r="M240" s="881">
        <f>'CHAM CONG'!BC231</f>
        <v>11</v>
      </c>
      <c r="N240" s="889">
        <f t="shared" si="53"/>
        <v>5.51</v>
      </c>
      <c r="O240" s="889">
        <f t="shared" si="54"/>
        <v>0.34</v>
      </c>
      <c r="P240" s="890">
        <f>'CHAM CONG'!BO231</f>
        <v>0</v>
      </c>
      <c r="Q240" s="942">
        <f t="shared" si="55"/>
        <v>0</v>
      </c>
      <c r="R240" s="942">
        <f>'SAN LUONG'!DW234</f>
        <v>14</v>
      </c>
      <c r="S240" s="942">
        <f t="shared" si="49"/>
        <v>0.44</v>
      </c>
      <c r="T240" s="943">
        <f>'CHAM CONG'!BW231</f>
        <v>0</v>
      </c>
      <c r="U240" s="942">
        <f t="shared" si="56"/>
        <v>0</v>
      </c>
      <c r="V240" s="890">
        <f>'CHAM CONG'!BD231</f>
        <v>0</v>
      </c>
      <c r="W240" s="944">
        <f t="shared" si="50"/>
        <v>0</v>
      </c>
      <c r="X240" s="891">
        <f>'CHAM CONG'!BT231</f>
        <v>0</v>
      </c>
      <c r="Y240" s="881">
        <f t="shared" si="57"/>
        <v>0</v>
      </c>
      <c r="Z240" s="892">
        <v>6.03</v>
      </c>
      <c r="AA240" s="942">
        <f t="shared" si="46"/>
        <v>1.7</v>
      </c>
      <c r="AB240" s="892">
        <v>6.03</v>
      </c>
      <c r="AC240" s="942">
        <f t="shared" si="58"/>
        <v>7.24</v>
      </c>
      <c r="AD240" s="892">
        <v>6.03</v>
      </c>
      <c r="AE240" s="942">
        <f t="shared" si="59"/>
        <v>4.3</v>
      </c>
      <c r="AF240" s="943" t="e">
        <f>#N/A</f>
        <v>#N/A</v>
      </c>
      <c r="AG240" s="893">
        <f t="shared" si="51"/>
        <v>31.06</v>
      </c>
      <c r="AH240" s="894"/>
      <c r="AI240" s="895">
        <v>28.81</v>
      </c>
      <c r="AJ240" s="791">
        <v>26.810000000000002</v>
      </c>
      <c r="AK240" s="896">
        <f t="shared" si="60"/>
        <v>2</v>
      </c>
      <c r="AL240" s="896"/>
      <c r="AS240" s="898"/>
    </row>
    <row r="241" spans="1:45" s="779" customFormat="1" ht="28.2" customHeight="1">
      <c r="A241" s="885">
        <v>225</v>
      </c>
      <c r="B241" s="886"/>
      <c r="C241" s="887" t="str">
        <f>'Tên thang 01-26'!E228</f>
        <v>លី ចិត្តត្រា</v>
      </c>
      <c r="D241" s="887" t="str">
        <f>'Tên thang 01-26'!F228</f>
        <v>LY CHITRA</v>
      </c>
      <c r="E241" s="888">
        <v>105</v>
      </c>
      <c r="F241" s="889">
        <f>'SAN LUONG'!AP235*0.44</f>
        <v>0</v>
      </c>
      <c r="G241" s="889">
        <f t="shared" si="47"/>
        <v>0</v>
      </c>
      <c r="H241" s="889">
        <f>'SAN LUONG'!AO235*0.44</f>
        <v>0</v>
      </c>
      <c r="I241" s="889">
        <f t="shared" si="48"/>
        <v>0</v>
      </c>
      <c r="J241" s="889">
        <f>'SAN LUONG'!AV235*0.44</f>
        <v>654.72</v>
      </c>
      <c r="K241" s="889">
        <f t="shared" si="52"/>
        <v>11.37</v>
      </c>
      <c r="L241" s="889"/>
      <c r="M241" s="881">
        <f>'CHAM CONG'!BC232</f>
        <v>15</v>
      </c>
      <c r="N241" s="889">
        <f t="shared" si="53"/>
        <v>7.51</v>
      </c>
      <c r="O241" s="889">
        <f t="shared" si="54"/>
        <v>0.47</v>
      </c>
      <c r="P241" s="890">
        <f>'CHAM CONG'!BO232</f>
        <v>28</v>
      </c>
      <c r="Q241" s="942">
        <f t="shared" si="55"/>
        <v>2.63</v>
      </c>
      <c r="R241" s="942">
        <f>'SAN LUONG'!DW235</f>
        <v>18.399999999999999</v>
      </c>
      <c r="S241" s="942">
        <f t="shared" si="49"/>
        <v>0.57999999999999996</v>
      </c>
      <c r="T241" s="943">
        <f>'CHAM CONG'!BW232</f>
        <v>0</v>
      </c>
      <c r="U241" s="942">
        <f t="shared" si="56"/>
        <v>0</v>
      </c>
      <c r="V241" s="890">
        <f>'CHAM CONG'!BD232</f>
        <v>0</v>
      </c>
      <c r="W241" s="944">
        <f t="shared" si="50"/>
        <v>0</v>
      </c>
      <c r="X241" s="891">
        <f>'CHAM CONG'!BT232</f>
        <v>1</v>
      </c>
      <c r="Y241" s="881">
        <f t="shared" si="57"/>
        <v>1.1000000000000001</v>
      </c>
      <c r="Z241" s="892">
        <v>6.03</v>
      </c>
      <c r="AA241" s="942">
        <f t="shared" si="46"/>
        <v>1.7</v>
      </c>
      <c r="AB241" s="892">
        <v>6.03</v>
      </c>
      <c r="AC241" s="942">
        <f t="shared" si="58"/>
        <v>7.24</v>
      </c>
      <c r="AD241" s="892">
        <v>6.03</v>
      </c>
      <c r="AE241" s="942">
        <f t="shared" si="59"/>
        <v>4.3</v>
      </c>
      <c r="AF241" s="943" t="e">
        <f>#N/A</f>
        <v>#N/A</v>
      </c>
      <c r="AG241" s="893">
        <f t="shared" si="51"/>
        <v>36.9</v>
      </c>
      <c r="AH241" s="894"/>
      <c r="AI241" s="895">
        <v>29.51</v>
      </c>
      <c r="AJ241" s="791">
        <v>27.500000000000004</v>
      </c>
      <c r="AK241" s="896">
        <f t="shared" si="60"/>
        <v>2</v>
      </c>
      <c r="AL241" s="896"/>
      <c r="AS241" s="898"/>
    </row>
    <row r="242" spans="1:45" s="779" customFormat="1" ht="28.2" customHeight="1">
      <c r="A242" s="885">
        <v>226</v>
      </c>
      <c r="B242" s="886"/>
      <c r="C242" s="887" t="str">
        <f>'Tên thang 01-26'!E229</f>
        <v>សល់ សុភី</v>
      </c>
      <c r="D242" s="887" t="str">
        <f>'Tên thang 01-26'!F229</f>
        <v>SAL SOPHY</v>
      </c>
      <c r="E242" s="888">
        <v>106</v>
      </c>
      <c r="F242" s="889">
        <f>'SAN LUONG'!AP236*0.44</f>
        <v>0</v>
      </c>
      <c r="G242" s="889">
        <f t="shared" si="47"/>
        <v>0</v>
      </c>
      <c r="H242" s="889">
        <f>'SAN LUONG'!AO236*0.44</f>
        <v>0</v>
      </c>
      <c r="I242" s="889">
        <f t="shared" si="48"/>
        <v>0</v>
      </c>
      <c r="J242" s="889">
        <f>'SAN LUONG'!AV236*0.44</f>
        <v>809.6</v>
      </c>
      <c r="K242" s="889">
        <f t="shared" si="52"/>
        <v>14.06</v>
      </c>
      <c r="L242" s="889"/>
      <c r="M242" s="881">
        <f>'CHAM CONG'!BC233</f>
        <v>15</v>
      </c>
      <c r="N242" s="889">
        <f t="shared" si="53"/>
        <v>7.51</v>
      </c>
      <c r="O242" s="889">
        <f t="shared" si="54"/>
        <v>0.47</v>
      </c>
      <c r="P242" s="890">
        <f>'CHAM CONG'!BO233</f>
        <v>26</v>
      </c>
      <c r="Q242" s="942">
        <f t="shared" si="55"/>
        <v>2.44</v>
      </c>
      <c r="R242" s="942">
        <f>'SAN LUONG'!DW236</f>
        <v>50.5</v>
      </c>
      <c r="S242" s="942">
        <f t="shared" si="49"/>
        <v>1.58</v>
      </c>
      <c r="T242" s="943">
        <f>'CHAM CONG'!BW233</f>
        <v>0</v>
      </c>
      <c r="U242" s="942">
        <f t="shared" si="56"/>
        <v>0</v>
      </c>
      <c r="V242" s="890">
        <f>'CHAM CONG'!BD233</f>
        <v>1</v>
      </c>
      <c r="W242" s="944">
        <f t="shared" si="50"/>
        <v>0.53</v>
      </c>
      <c r="X242" s="891">
        <f>'CHAM CONG'!BT233</f>
        <v>1</v>
      </c>
      <c r="Y242" s="881">
        <f t="shared" si="57"/>
        <v>1.1000000000000001</v>
      </c>
      <c r="Z242" s="892">
        <v>6.03</v>
      </c>
      <c r="AA242" s="942">
        <f t="shared" si="46"/>
        <v>1.7</v>
      </c>
      <c r="AB242" s="892">
        <v>6.03</v>
      </c>
      <c r="AC242" s="942">
        <f t="shared" si="58"/>
        <v>7.24</v>
      </c>
      <c r="AD242" s="892">
        <v>6.03</v>
      </c>
      <c r="AE242" s="942">
        <f t="shared" si="59"/>
        <v>4.3</v>
      </c>
      <c r="AF242" s="943" t="e">
        <f>#N/A</f>
        <v>#N/A</v>
      </c>
      <c r="AG242" s="893">
        <f t="shared" si="51"/>
        <v>40.930000000000007</v>
      </c>
      <c r="AH242" s="894"/>
      <c r="AI242" s="895">
        <v>29.1</v>
      </c>
      <c r="AJ242" s="791">
        <v>27.720000000000006</v>
      </c>
      <c r="AK242" s="896">
        <f t="shared" si="60"/>
        <v>1</v>
      </c>
      <c r="AL242" s="896"/>
      <c r="AS242" s="898"/>
    </row>
    <row r="243" spans="1:45" s="779" customFormat="1" ht="28.2" customHeight="1">
      <c r="A243" s="885">
        <v>227</v>
      </c>
      <c r="B243" s="886"/>
      <c r="C243" s="887" t="str">
        <f>'Tên thang 01-26'!E230</f>
        <v>ម៉ោន ហ៊ុំ</v>
      </c>
      <c r="D243" s="887" t="str">
        <f>'Tên thang 01-26'!F230</f>
        <v>MORN HUM</v>
      </c>
      <c r="E243" s="888">
        <v>107</v>
      </c>
      <c r="F243" s="889">
        <f>'SAN LUONG'!AP237*0.44</f>
        <v>0</v>
      </c>
      <c r="G243" s="889">
        <f t="shared" si="47"/>
        <v>0</v>
      </c>
      <c r="H243" s="889">
        <f>'SAN LUONG'!AO237*0.44</f>
        <v>0</v>
      </c>
      <c r="I243" s="889">
        <f t="shared" si="48"/>
        <v>0</v>
      </c>
      <c r="J243" s="889">
        <f>'SAN LUONG'!AV237*0.44</f>
        <v>748.44</v>
      </c>
      <c r="K243" s="889">
        <f t="shared" si="52"/>
        <v>13</v>
      </c>
      <c r="L243" s="889"/>
      <c r="M243" s="881">
        <f>'CHAM CONG'!BC234</f>
        <v>14</v>
      </c>
      <c r="N243" s="889">
        <f t="shared" si="53"/>
        <v>7.01</v>
      </c>
      <c r="O243" s="889">
        <f t="shared" si="54"/>
        <v>0.44</v>
      </c>
      <c r="P243" s="890">
        <f>'CHAM CONG'!BO234</f>
        <v>26</v>
      </c>
      <c r="Q243" s="942">
        <f t="shared" si="55"/>
        <v>2.44</v>
      </c>
      <c r="R243" s="942">
        <f>'SAN LUONG'!DW237</f>
        <v>23.6</v>
      </c>
      <c r="S243" s="942">
        <f t="shared" si="49"/>
        <v>0.74</v>
      </c>
      <c r="T243" s="943">
        <f>'CHAM CONG'!BW234</f>
        <v>20000</v>
      </c>
      <c r="U243" s="942">
        <f t="shared" si="56"/>
        <v>0.63</v>
      </c>
      <c r="V243" s="890">
        <f>'CHAM CONG'!BD234</f>
        <v>0</v>
      </c>
      <c r="W243" s="944">
        <f t="shared" si="50"/>
        <v>0</v>
      </c>
      <c r="X243" s="891">
        <f>'CHAM CONG'!BT234</f>
        <v>1</v>
      </c>
      <c r="Y243" s="881">
        <f t="shared" si="57"/>
        <v>1.1000000000000001</v>
      </c>
      <c r="Z243" s="892">
        <v>6.03</v>
      </c>
      <c r="AA243" s="942">
        <f t="shared" si="46"/>
        <v>1.7</v>
      </c>
      <c r="AB243" s="892">
        <v>6.03</v>
      </c>
      <c r="AC243" s="942">
        <f t="shared" si="58"/>
        <v>7.24</v>
      </c>
      <c r="AD243" s="892">
        <v>6.03</v>
      </c>
      <c r="AE243" s="942">
        <f t="shared" si="59"/>
        <v>4.3</v>
      </c>
      <c r="AF243" s="943" t="e">
        <f>#N/A</f>
        <v>#N/A</v>
      </c>
      <c r="AG243" s="893">
        <f t="shared" si="51"/>
        <v>38.599999999999994</v>
      </c>
      <c r="AH243" s="894"/>
      <c r="AI243" s="895">
        <v>30.98</v>
      </c>
      <c r="AJ243" s="791">
        <v>28.980000000000004</v>
      </c>
      <c r="AK243" s="896">
        <f t="shared" si="60"/>
        <v>2</v>
      </c>
      <c r="AL243" s="896"/>
      <c r="AS243" s="898"/>
    </row>
    <row r="244" spans="1:45" s="779" customFormat="1" ht="28.2" customHeight="1">
      <c r="A244" s="885">
        <v>228</v>
      </c>
      <c r="B244" s="886"/>
      <c r="C244" s="887" t="str">
        <f>'Tên thang 01-26'!E231</f>
        <v>លី សឹង</v>
      </c>
      <c r="D244" s="887" t="str">
        <f>'Tên thang 01-26'!F231</f>
        <v>LY SOENG</v>
      </c>
      <c r="E244" s="888">
        <v>108</v>
      </c>
      <c r="F244" s="889">
        <f>'SAN LUONG'!AP238*0.44</f>
        <v>0</v>
      </c>
      <c r="G244" s="889">
        <f t="shared" si="47"/>
        <v>0</v>
      </c>
      <c r="H244" s="889">
        <f>'SAN LUONG'!AO238*0.44</f>
        <v>0</v>
      </c>
      <c r="I244" s="889">
        <f t="shared" si="48"/>
        <v>0</v>
      </c>
      <c r="J244" s="889">
        <f>'SAN LUONG'!AV238*0.44</f>
        <v>999.24</v>
      </c>
      <c r="K244" s="889">
        <f t="shared" si="52"/>
        <v>17.36</v>
      </c>
      <c r="L244" s="889"/>
      <c r="M244" s="881">
        <f>'CHAM CONG'!BC235</f>
        <v>15</v>
      </c>
      <c r="N244" s="889">
        <f t="shared" si="53"/>
        <v>7.51</v>
      </c>
      <c r="O244" s="889">
        <f t="shared" si="54"/>
        <v>0.47</v>
      </c>
      <c r="P244" s="890">
        <f>'CHAM CONG'!BO235</f>
        <v>28</v>
      </c>
      <c r="Q244" s="942">
        <f t="shared" si="55"/>
        <v>2.63</v>
      </c>
      <c r="R244" s="942">
        <f>'SAN LUONG'!DW238</f>
        <v>18</v>
      </c>
      <c r="S244" s="942">
        <f t="shared" si="49"/>
        <v>0.56000000000000005</v>
      </c>
      <c r="T244" s="943">
        <f>'CHAM CONG'!BW235</f>
        <v>-20000</v>
      </c>
      <c r="U244" s="942">
        <f t="shared" si="56"/>
        <v>-0.63</v>
      </c>
      <c r="V244" s="890">
        <f>'CHAM CONG'!BD235</f>
        <v>0</v>
      </c>
      <c r="W244" s="944">
        <f t="shared" si="50"/>
        <v>0</v>
      </c>
      <c r="X244" s="891">
        <f>'CHAM CONG'!BT235</f>
        <v>1</v>
      </c>
      <c r="Y244" s="881">
        <f t="shared" si="57"/>
        <v>1.1000000000000001</v>
      </c>
      <c r="Z244" s="892">
        <v>6.03</v>
      </c>
      <c r="AA244" s="942">
        <f t="shared" si="46"/>
        <v>1.7</v>
      </c>
      <c r="AB244" s="892">
        <v>6.03</v>
      </c>
      <c r="AC244" s="942">
        <f t="shared" si="58"/>
        <v>7.24</v>
      </c>
      <c r="AD244" s="892">
        <v>6.03</v>
      </c>
      <c r="AE244" s="942">
        <f t="shared" si="59"/>
        <v>4.3</v>
      </c>
      <c r="AF244" s="943" t="e">
        <f>#N/A</f>
        <v>#N/A</v>
      </c>
      <c r="AG244" s="893">
        <f t="shared" si="51"/>
        <v>42.239999999999995</v>
      </c>
      <c r="AH244" s="894"/>
      <c r="AI244" s="895">
        <v>29.7</v>
      </c>
      <c r="AJ244" s="791">
        <v>27.700000000000006</v>
      </c>
      <c r="AK244" s="896">
        <f t="shared" si="60"/>
        <v>2</v>
      </c>
      <c r="AL244" s="896"/>
      <c r="AS244" s="898"/>
    </row>
    <row r="245" spans="1:45" s="779" customFormat="1" ht="28.2" customHeight="1">
      <c r="A245" s="885">
        <v>229</v>
      </c>
      <c r="B245" s="886"/>
      <c r="C245" s="887" t="str">
        <f>'Tên thang 01-26'!E232</f>
        <v>ងិន ម៉ុត</v>
      </c>
      <c r="D245" s="887" t="str">
        <f>'Tên thang 01-26'!F232</f>
        <v>NGIN MOT</v>
      </c>
      <c r="E245" s="888">
        <v>109</v>
      </c>
      <c r="F245" s="889">
        <f>'SAN LUONG'!AP239*0.44</f>
        <v>0</v>
      </c>
      <c r="G245" s="889">
        <f t="shared" si="47"/>
        <v>0</v>
      </c>
      <c r="H245" s="889">
        <f>'SAN LUONG'!AO239*0.44</f>
        <v>0</v>
      </c>
      <c r="I245" s="889">
        <f t="shared" si="48"/>
        <v>0</v>
      </c>
      <c r="J245" s="889">
        <f>'SAN LUONG'!AV239*0.44</f>
        <v>815.76</v>
      </c>
      <c r="K245" s="889">
        <f t="shared" si="52"/>
        <v>14.17</v>
      </c>
      <c r="L245" s="889"/>
      <c r="M245" s="881">
        <f>'CHAM CONG'!BC236</f>
        <v>13</v>
      </c>
      <c r="N245" s="889">
        <f t="shared" si="53"/>
        <v>6.51</v>
      </c>
      <c r="O245" s="889">
        <f t="shared" si="54"/>
        <v>0.41</v>
      </c>
      <c r="P245" s="890">
        <f>'CHAM CONG'!BO236</f>
        <v>0</v>
      </c>
      <c r="Q245" s="942">
        <f t="shared" si="55"/>
        <v>0</v>
      </c>
      <c r="R245" s="942">
        <f>'SAN LUONG'!DW239</f>
        <v>15.1</v>
      </c>
      <c r="S245" s="942">
        <f t="shared" si="49"/>
        <v>0.47</v>
      </c>
      <c r="T245" s="943">
        <f>'CHAM CONG'!BW236</f>
        <v>-20000</v>
      </c>
      <c r="U245" s="942">
        <f t="shared" si="56"/>
        <v>-0.63</v>
      </c>
      <c r="V245" s="890">
        <f>'CHAM CONG'!BD236</f>
        <v>0</v>
      </c>
      <c r="W245" s="944">
        <f t="shared" si="50"/>
        <v>0</v>
      </c>
      <c r="X245" s="891">
        <f>'CHAM CONG'!BT236</f>
        <v>0</v>
      </c>
      <c r="Y245" s="881">
        <f t="shared" si="57"/>
        <v>0</v>
      </c>
      <c r="Z245" s="892">
        <v>6.03</v>
      </c>
      <c r="AA245" s="942">
        <f t="shared" si="46"/>
        <v>1.7</v>
      </c>
      <c r="AB245" s="892">
        <v>6.03</v>
      </c>
      <c r="AC245" s="942">
        <f t="shared" si="58"/>
        <v>7.24</v>
      </c>
      <c r="AD245" s="892">
        <v>6.03</v>
      </c>
      <c r="AE245" s="942">
        <f t="shared" si="59"/>
        <v>4.3</v>
      </c>
      <c r="AF245" s="943" t="e">
        <f>#N/A</f>
        <v>#N/A</v>
      </c>
      <c r="AG245" s="893">
        <f t="shared" si="51"/>
        <v>34.169999999999995</v>
      </c>
      <c r="AH245" s="894"/>
      <c r="AI245" s="895">
        <v>23.35</v>
      </c>
      <c r="AJ245" s="791">
        <v>21.980000000000004</v>
      </c>
      <c r="AK245" s="896">
        <f t="shared" si="60"/>
        <v>1</v>
      </c>
      <c r="AL245" s="896"/>
      <c r="AS245" s="898"/>
    </row>
    <row r="246" spans="1:45" s="779" customFormat="1" ht="28.2" customHeight="1">
      <c r="A246" s="885">
        <v>230</v>
      </c>
      <c r="B246" s="886"/>
      <c r="C246" s="887" t="str">
        <f>'Tên thang 01-26'!E233</f>
        <v>វ៉ន សុភី</v>
      </c>
      <c r="D246" s="887" t="str">
        <f>'Tên thang 01-26'!F233</f>
        <v>VORN SOPHY</v>
      </c>
      <c r="E246" s="888">
        <v>110</v>
      </c>
      <c r="F246" s="889">
        <f>'SAN LUONG'!AP240*0.44</f>
        <v>0</v>
      </c>
      <c r="G246" s="889">
        <f t="shared" si="47"/>
        <v>0</v>
      </c>
      <c r="H246" s="889">
        <f>'SAN LUONG'!AO240*0.44</f>
        <v>0</v>
      </c>
      <c r="I246" s="889">
        <f t="shared" si="48"/>
        <v>0</v>
      </c>
      <c r="J246" s="889">
        <f>'SAN LUONG'!AV240*0.44</f>
        <v>691.24</v>
      </c>
      <c r="K246" s="889">
        <f t="shared" si="52"/>
        <v>12.01</v>
      </c>
      <c r="L246" s="889"/>
      <c r="M246" s="881">
        <f>'CHAM CONG'!BC237</f>
        <v>12</v>
      </c>
      <c r="N246" s="889">
        <f t="shared" si="53"/>
        <v>6.01</v>
      </c>
      <c r="O246" s="889">
        <f t="shared" si="54"/>
        <v>0.38</v>
      </c>
      <c r="P246" s="890">
        <f>'CHAM CONG'!BO237</f>
        <v>0</v>
      </c>
      <c r="Q246" s="942">
        <f t="shared" si="55"/>
        <v>0</v>
      </c>
      <c r="R246" s="942">
        <f>'SAN LUONG'!DW240</f>
        <v>15.3</v>
      </c>
      <c r="S246" s="942">
        <f t="shared" si="49"/>
        <v>0.48</v>
      </c>
      <c r="T246" s="943">
        <f>'CHAM CONG'!BW237</f>
        <v>-20000</v>
      </c>
      <c r="U246" s="942">
        <f t="shared" si="56"/>
        <v>-0.63</v>
      </c>
      <c r="V246" s="890">
        <f>'CHAM CONG'!BD237</f>
        <v>0</v>
      </c>
      <c r="W246" s="944">
        <f t="shared" si="50"/>
        <v>0</v>
      </c>
      <c r="X246" s="891">
        <f>'CHAM CONG'!BT237</f>
        <v>0</v>
      </c>
      <c r="Y246" s="881">
        <f t="shared" si="57"/>
        <v>0</v>
      </c>
      <c r="Z246" s="892">
        <v>6.03</v>
      </c>
      <c r="AA246" s="942">
        <f t="shared" si="46"/>
        <v>1.7</v>
      </c>
      <c r="AB246" s="892">
        <v>6.03</v>
      </c>
      <c r="AC246" s="942">
        <f t="shared" si="58"/>
        <v>7.24</v>
      </c>
      <c r="AD246" s="892">
        <v>6.03</v>
      </c>
      <c r="AE246" s="942">
        <f t="shared" si="59"/>
        <v>4.3</v>
      </c>
      <c r="AF246" s="943" t="e">
        <f>#N/A</f>
        <v>#N/A</v>
      </c>
      <c r="AG246" s="893">
        <f t="shared" si="51"/>
        <v>31.49</v>
      </c>
      <c r="AH246" s="894"/>
      <c r="AI246" s="895">
        <v>27.52</v>
      </c>
      <c r="AJ246" s="791">
        <v>26.150000000000002</v>
      </c>
      <c r="AK246" s="896">
        <f t="shared" si="60"/>
        <v>1</v>
      </c>
      <c r="AL246" s="896"/>
      <c r="AS246" s="898"/>
    </row>
    <row r="247" spans="1:45" s="779" customFormat="1" ht="28.2" customHeight="1">
      <c r="A247" s="885">
        <v>231</v>
      </c>
      <c r="B247" s="886"/>
      <c r="C247" s="887" t="str">
        <f>'Tên thang 01-26'!E234</f>
        <v>កោ វុទ្ធី</v>
      </c>
      <c r="D247" s="887" t="str">
        <f>'Tên thang 01-26'!F234</f>
        <v>KOR VUTHY</v>
      </c>
      <c r="E247" s="888">
        <v>111</v>
      </c>
      <c r="F247" s="889">
        <f>'SAN LUONG'!AP241*0.44</f>
        <v>0</v>
      </c>
      <c r="G247" s="889">
        <f t="shared" si="47"/>
        <v>0</v>
      </c>
      <c r="H247" s="889">
        <f>'SAN LUONG'!AO241*0.44</f>
        <v>0</v>
      </c>
      <c r="I247" s="889">
        <f t="shared" si="48"/>
        <v>0</v>
      </c>
      <c r="J247" s="889">
        <f>'SAN LUONG'!AV241*0.44</f>
        <v>775.28</v>
      </c>
      <c r="K247" s="889">
        <f t="shared" si="52"/>
        <v>13.47</v>
      </c>
      <c r="L247" s="889"/>
      <c r="M247" s="881">
        <f>'CHAM CONG'!BC238</f>
        <v>14</v>
      </c>
      <c r="N247" s="889">
        <f t="shared" si="53"/>
        <v>7.01</v>
      </c>
      <c r="O247" s="889">
        <f t="shared" si="54"/>
        <v>0.44</v>
      </c>
      <c r="P247" s="890">
        <f>'CHAM CONG'!BO238</f>
        <v>0</v>
      </c>
      <c r="Q247" s="942">
        <f t="shared" si="55"/>
        <v>0</v>
      </c>
      <c r="R247" s="942">
        <f>'SAN LUONG'!DW241</f>
        <v>15.7</v>
      </c>
      <c r="S247" s="942">
        <f t="shared" si="49"/>
        <v>0.49</v>
      </c>
      <c r="T247" s="943">
        <f>'CHAM CONG'!BW238</f>
        <v>-20000</v>
      </c>
      <c r="U247" s="942">
        <f t="shared" si="56"/>
        <v>-0.63</v>
      </c>
      <c r="V247" s="890">
        <f>'CHAM CONG'!BD238</f>
        <v>0</v>
      </c>
      <c r="W247" s="944">
        <f t="shared" si="50"/>
        <v>0</v>
      </c>
      <c r="X247" s="891">
        <f>'CHAM CONG'!BT238</f>
        <v>0</v>
      </c>
      <c r="Y247" s="881">
        <f t="shared" si="57"/>
        <v>0</v>
      </c>
      <c r="Z247" s="892">
        <v>6.03</v>
      </c>
      <c r="AA247" s="942">
        <f t="shared" si="46"/>
        <v>1.7</v>
      </c>
      <c r="AB247" s="892">
        <v>6.03</v>
      </c>
      <c r="AC247" s="942">
        <f t="shared" si="58"/>
        <v>7.24</v>
      </c>
      <c r="AD247" s="892">
        <v>6.03</v>
      </c>
      <c r="AE247" s="942">
        <f t="shared" si="59"/>
        <v>4.3</v>
      </c>
      <c r="AF247" s="943" t="e">
        <f>#N/A</f>
        <v>#N/A</v>
      </c>
      <c r="AG247" s="893">
        <f t="shared" si="51"/>
        <v>34.020000000000003</v>
      </c>
      <c r="AH247" s="894"/>
      <c r="AI247" s="895">
        <v>27.75</v>
      </c>
      <c r="AJ247" s="791">
        <v>25.750000000000004</v>
      </c>
      <c r="AK247" s="896">
        <f t="shared" si="60"/>
        <v>2</v>
      </c>
      <c r="AL247" s="896"/>
      <c r="AS247" s="898"/>
    </row>
    <row r="248" spans="1:45" s="779" customFormat="1" ht="28.2" customHeight="1">
      <c r="A248" s="885">
        <v>232</v>
      </c>
      <c r="B248" s="886"/>
      <c r="C248" s="887" t="str">
        <f>'Tên thang 01-26'!E235</f>
        <v>ហាយ សុភី</v>
      </c>
      <c r="D248" s="887" t="str">
        <f>'Tên thang 01-26'!F235</f>
        <v>HAY SOPHY</v>
      </c>
      <c r="E248" s="888">
        <v>112</v>
      </c>
      <c r="F248" s="889">
        <f>'SAN LUONG'!AP242*0.44</f>
        <v>0</v>
      </c>
      <c r="G248" s="889">
        <f t="shared" si="47"/>
        <v>0</v>
      </c>
      <c r="H248" s="889">
        <f>'SAN LUONG'!AO242*0.44</f>
        <v>0</v>
      </c>
      <c r="I248" s="889">
        <f t="shared" si="48"/>
        <v>0</v>
      </c>
      <c r="J248" s="889">
        <f>'SAN LUONG'!AV242*0.44</f>
        <v>761.2</v>
      </c>
      <c r="K248" s="889">
        <f t="shared" si="52"/>
        <v>13.22</v>
      </c>
      <c r="L248" s="889"/>
      <c r="M248" s="881">
        <f>'CHAM CONG'!BC239</f>
        <v>15</v>
      </c>
      <c r="N248" s="889">
        <f t="shared" si="53"/>
        <v>7.51</v>
      </c>
      <c r="O248" s="889">
        <f t="shared" si="54"/>
        <v>0.47</v>
      </c>
      <c r="P248" s="890">
        <f>'CHAM CONG'!BO239</f>
        <v>26</v>
      </c>
      <c r="Q248" s="942">
        <f t="shared" si="55"/>
        <v>2.44</v>
      </c>
      <c r="R248" s="942">
        <f>'SAN LUONG'!DW242</f>
        <v>16.7</v>
      </c>
      <c r="S248" s="942">
        <f t="shared" si="49"/>
        <v>0.52</v>
      </c>
      <c r="T248" s="943">
        <f>'CHAM CONG'!BW239</f>
        <v>-20000</v>
      </c>
      <c r="U248" s="942">
        <f t="shared" si="56"/>
        <v>-0.63</v>
      </c>
      <c r="V248" s="890">
        <f>'CHAM CONG'!BD239</f>
        <v>0</v>
      </c>
      <c r="W248" s="944">
        <f t="shared" si="50"/>
        <v>0</v>
      </c>
      <c r="X248" s="891">
        <f>'CHAM CONG'!BT239</f>
        <v>1</v>
      </c>
      <c r="Y248" s="881">
        <f t="shared" si="57"/>
        <v>1.1000000000000001</v>
      </c>
      <c r="Z248" s="892">
        <v>6.03</v>
      </c>
      <c r="AA248" s="942">
        <f t="shared" si="46"/>
        <v>1.7</v>
      </c>
      <c r="AB248" s="892">
        <v>6.03</v>
      </c>
      <c r="AC248" s="942">
        <f t="shared" si="58"/>
        <v>7.24</v>
      </c>
      <c r="AD248" s="892">
        <v>6.03</v>
      </c>
      <c r="AE248" s="942">
        <f t="shared" si="59"/>
        <v>4.3</v>
      </c>
      <c r="AF248" s="943" t="e">
        <f>#N/A</f>
        <v>#N/A</v>
      </c>
      <c r="AG248" s="893">
        <f t="shared" si="51"/>
        <v>37.870000000000005</v>
      </c>
      <c r="AH248" s="894"/>
      <c r="AI248" s="895">
        <v>25.98</v>
      </c>
      <c r="AJ248" s="791">
        <v>23.990000000000002</v>
      </c>
      <c r="AK248" s="896">
        <f t="shared" si="60"/>
        <v>2</v>
      </c>
      <c r="AL248" s="896"/>
      <c r="AS248" s="898"/>
    </row>
    <row r="249" spans="1:45" s="779" customFormat="1" ht="28.2" customHeight="1">
      <c r="A249" s="885">
        <v>233</v>
      </c>
      <c r="B249" s="886"/>
      <c r="C249" s="887" t="str">
        <f>'Tên thang 01-26'!E236</f>
        <v>សែ ពីពី</v>
      </c>
      <c r="D249" s="887" t="str">
        <f>'Tên thang 01-26'!F236</f>
        <v>SE PIPY</v>
      </c>
      <c r="E249" s="888">
        <v>113</v>
      </c>
      <c r="F249" s="889">
        <f>'SAN LUONG'!AP243*0.44</f>
        <v>0</v>
      </c>
      <c r="G249" s="889">
        <f t="shared" si="47"/>
        <v>0</v>
      </c>
      <c r="H249" s="889">
        <f>'SAN LUONG'!AO243*0.44</f>
        <v>0</v>
      </c>
      <c r="I249" s="889">
        <f t="shared" si="48"/>
        <v>0</v>
      </c>
      <c r="J249" s="889">
        <f>'SAN LUONG'!AV243*0.44</f>
        <v>804.76</v>
      </c>
      <c r="K249" s="889">
        <f t="shared" si="52"/>
        <v>13.98</v>
      </c>
      <c r="L249" s="889"/>
      <c r="M249" s="881">
        <f>'CHAM CONG'!BC240</f>
        <v>15</v>
      </c>
      <c r="N249" s="889">
        <f t="shared" si="53"/>
        <v>7.51</v>
      </c>
      <c r="O249" s="889">
        <f t="shared" si="54"/>
        <v>0.47</v>
      </c>
      <c r="P249" s="890">
        <f>'CHAM CONG'!BO240</f>
        <v>26</v>
      </c>
      <c r="Q249" s="942">
        <f t="shared" si="55"/>
        <v>2.44</v>
      </c>
      <c r="R249" s="942">
        <f>'SAN LUONG'!DW243</f>
        <v>16.3</v>
      </c>
      <c r="S249" s="942">
        <f t="shared" si="49"/>
        <v>0.51</v>
      </c>
      <c r="T249" s="943">
        <f>'CHAM CONG'!BW240</f>
        <v>0</v>
      </c>
      <c r="U249" s="942">
        <f t="shared" si="56"/>
        <v>0</v>
      </c>
      <c r="V249" s="890">
        <f>'CHAM CONG'!BD240</f>
        <v>0</v>
      </c>
      <c r="W249" s="944">
        <f t="shared" si="50"/>
        <v>0</v>
      </c>
      <c r="X249" s="891">
        <f>'CHAM CONG'!BT240</f>
        <v>1</v>
      </c>
      <c r="Y249" s="881">
        <f t="shared" si="57"/>
        <v>1.1000000000000001</v>
      </c>
      <c r="Z249" s="892">
        <v>6.03</v>
      </c>
      <c r="AA249" s="942">
        <f t="shared" ref="AA249:AA268" si="61">ROUND(Z249*$Z$15,2)</f>
        <v>1.7</v>
      </c>
      <c r="AB249" s="892">
        <v>6.03</v>
      </c>
      <c r="AC249" s="942">
        <f t="shared" si="58"/>
        <v>7.24</v>
      </c>
      <c r="AD249" s="892">
        <v>6.03</v>
      </c>
      <c r="AE249" s="942">
        <f t="shared" si="59"/>
        <v>4.3</v>
      </c>
      <c r="AF249" s="943" t="e">
        <f>#N/A</f>
        <v>#N/A</v>
      </c>
      <c r="AG249" s="893">
        <f t="shared" si="51"/>
        <v>39.250000000000007</v>
      </c>
      <c r="AH249" s="894"/>
      <c r="AI249" s="895">
        <v>26.22</v>
      </c>
      <c r="AJ249" s="791">
        <v>24.220000000000002</v>
      </c>
      <c r="AK249" s="896">
        <f t="shared" si="60"/>
        <v>2</v>
      </c>
      <c r="AL249" s="896"/>
      <c r="AS249" s="898"/>
    </row>
    <row r="250" spans="1:45" s="779" customFormat="1" ht="28.2" customHeight="1">
      <c r="A250" s="885">
        <v>234</v>
      </c>
      <c r="B250" s="886"/>
      <c r="C250" s="887" t="str">
        <f>'Tên thang 01-26'!E237</f>
        <v>ឈីវ ភាត</v>
      </c>
      <c r="D250" s="887" t="str">
        <f>'Tên thang 01-26'!F237</f>
        <v>CHHIV PHEAT</v>
      </c>
      <c r="E250" s="888">
        <v>114</v>
      </c>
      <c r="F250" s="889">
        <f>'SAN LUONG'!AP244*0.44</f>
        <v>0</v>
      </c>
      <c r="G250" s="889">
        <f t="shared" si="47"/>
        <v>0</v>
      </c>
      <c r="H250" s="889">
        <f>'SAN LUONG'!AO244*0.44</f>
        <v>0</v>
      </c>
      <c r="I250" s="889">
        <f t="shared" si="48"/>
        <v>0</v>
      </c>
      <c r="J250" s="889">
        <f>'SAN LUONG'!AV244*0.44</f>
        <v>745.8</v>
      </c>
      <c r="K250" s="889">
        <f t="shared" si="52"/>
        <v>12.96</v>
      </c>
      <c r="L250" s="889"/>
      <c r="M250" s="881">
        <f>'CHAM CONG'!BC241</f>
        <v>16</v>
      </c>
      <c r="N250" s="889">
        <f t="shared" si="53"/>
        <v>8.01</v>
      </c>
      <c r="O250" s="889">
        <f t="shared" si="54"/>
        <v>0.5</v>
      </c>
      <c r="P250" s="890">
        <f>'CHAM CONG'!BO241</f>
        <v>28</v>
      </c>
      <c r="Q250" s="942">
        <f t="shared" si="55"/>
        <v>2.63</v>
      </c>
      <c r="R250" s="942">
        <f>'SAN LUONG'!DW244</f>
        <v>24.3</v>
      </c>
      <c r="S250" s="942">
        <f t="shared" si="49"/>
        <v>0.76</v>
      </c>
      <c r="T250" s="943">
        <f>'CHAM CONG'!BW241</f>
        <v>0</v>
      </c>
      <c r="U250" s="942">
        <f t="shared" si="56"/>
        <v>0</v>
      </c>
      <c r="V250" s="890">
        <f>'CHAM CONG'!BD241</f>
        <v>0</v>
      </c>
      <c r="W250" s="944">
        <f t="shared" si="50"/>
        <v>0</v>
      </c>
      <c r="X250" s="891">
        <f>'CHAM CONG'!BT241</f>
        <v>1</v>
      </c>
      <c r="Y250" s="881">
        <f t="shared" si="57"/>
        <v>1.1000000000000001</v>
      </c>
      <c r="Z250" s="892">
        <v>6.03</v>
      </c>
      <c r="AA250" s="942">
        <f t="shared" si="61"/>
        <v>1.7</v>
      </c>
      <c r="AB250" s="892">
        <v>6.03</v>
      </c>
      <c r="AC250" s="942">
        <f t="shared" si="58"/>
        <v>7.24</v>
      </c>
      <c r="AD250" s="892">
        <v>6.03</v>
      </c>
      <c r="AE250" s="942">
        <f t="shared" si="59"/>
        <v>4.3</v>
      </c>
      <c r="AF250" s="943" t="e">
        <f>#N/A</f>
        <v>#N/A</v>
      </c>
      <c r="AG250" s="893">
        <f t="shared" si="51"/>
        <v>39.200000000000003</v>
      </c>
      <c r="AH250" s="894"/>
      <c r="AI250" s="895">
        <v>29.06</v>
      </c>
      <c r="AJ250" s="791">
        <v>27.060000000000006</v>
      </c>
      <c r="AK250" s="896">
        <f t="shared" si="60"/>
        <v>2</v>
      </c>
      <c r="AL250" s="896"/>
      <c r="AS250" s="898"/>
    </row>
    <row r="251" spans="1:45" s="779" customFormat="1" ht="28.2" customHeight="1">
      <c r="A251" s="885">
        <v>235</v>
      </c>
      <c r="B251" s="886"/>
      <c r="C251" s="887" t="str">
        <f>'Tên thang 01-26'!E238</f>
        <v>សុខ ណេ</v>
      </c>
      <c r="D251" s="887" t="str">
        <f>'Tên thang 01-26'!F238</f>
        <v>SOK NE</v>
      </c>
      <c r="E251" s="888">
        <v>115</v>
      </c>
      <c r="F251" s="889">
        <f>'SAN LUONG'!AP245*0.44</f>
        <v>0</v>
      </c>
      <c r="G251" s="889">
        <f t="shared" si="47"/>
        <v>0</v>
      </c>
      <c r="H251" s="889">
        <f>'SAN LUONG'!AO245*0.44</f>
        <v>0</v>
      </c>
      <c r="I251" s="889">
        <f t="shared" si="48"/>
        <v>0</v>
      </c>
      <c r="J251" s="889">
        <f>'SAN LUONG'!AV245*0.44</f>
        <v>817.08</v>
      </c>
      <c r="K251" s="889">
        <f t="shared" si="52"/>
        <v>14.19</v>
      </c>
      <c r="L251" s="889"/>
      <c r="M251" s="881">
        <f>'CHAM CONG'!BC242</f>
        <v>15</v>
      </c>
      <c r="N251" s="889">
        <f t="shared" si="53"/>
        <v>7.51</v>
      </c>
      <c r="O251" s="889">
        <f t="shared" si="54"/>
        <v>0.47</v>
      </c>
      <c r="P251" s="890">
        <f>'CHAM CONG'!BO242</f>
        <v>28</v>
      </c>
      <c r="Q251" s="942">
        <f t="shared" si="55"/>
        <v>2.63</v>
      </c>
      <c r="R251" s="942">
        <f>'SAN LUONG'!DW245</f>
        <v>29.9</v>
      </c>
      <c r="S251" s="942">
        <f t="shared" si="49"/>
        <v>0.94</v>
      </c>
      <c r="T251" s="943">
        <f>'CHAM CONG'!BW242</f>
        <v>20000</v>
      </c>
      <c r="U251" s="942">
        <f t="shared" si="56"/>
        <v>0.63</v>
      </c>
      <c r="V251" s="890">
        <f>'CHAM CONG'!BD242</f>
        <v>0</v>
      </c>
      <c r="W251" s="944">
        <f t="shared" si="50"/>
        <v>0</v>
      </c>
      <c r="X251" s="891">
        <f>'CHAM CONG'!BT242</f>
        <v>1</v>
      </c>
      <c r="Y251" s="881">
        <f t="shared" si="57"/>
        <v>1.1000000000000001</v>
      </c>
      <c r="Z251" s="892">
        <v>6.03</v>
      </c>
      <c r="AA251" s="942">
        <f t="shared" si="61"/>
        <v>1.7</v>
      </c>
      <c r="AB251" s="892">
        <v>6.03</v>
      </c>
      <c r="AC251" s="942">
        <f t="shared" si="58"/>
        <v>7.24</v>
      </c>
      <c r="AD251" s="892">
        <v>6.03</v>
      </c>
      <c r="AE251" s="942">
        <f t="shared" si="59"/>
        <v>4.3</v>
      </c>
      <c r="AF251" s="943" t="e">
        <f>#N/A</f>
        <v>#N/A</v>
      </c>
      <c r="AG251" s="893">
        <f t="shared" si="51"/>
        <v>40.71</v>
      </c>
      <c r="AH251" s="894"/>
      <c r="AI251" s="895">
        <v>28.72</v>
      </c>
      <c r="AJ251" s="791">
        <v>27.350000000000009</v>
      </c>
      <c r="AK251" s="896">
        <f t="shared" si="60"/>
        <v>1</v>
      </c>
      <c r="AL251" s="896"/>
      <c r="AS251" s="898"/>
    </row>
    <row r="252" spans="1:45" s="779" customFormat="1" ht="28.2" customHeight="1">
      <c r="A252" s="885">
        <v>236</v>
      </c>
      <c r="B252" s="886"/>
      <c r="C252" s="887" t="str">
        <f>'Tên thang 01-26'!E239</f>
        <v>កាន់ សុគីន</v>
      </c>
      <c r="D252" s="887" t="str">
        <f>'Tên thang 01-26'!F239</f>
        <v>KAN SOKIN</v>
      </c>
      <c r="E252" s="888">
        <v>116</v>
      </c>
      <c r="F252" s="889">
        <f>'SAN LUONG'!AP246*0.44</f>
        <v>0</v>
      </c>
      <c r="G252" s="889">
        <f t="shared" si="47"/>
        <v>0</v>
      </c>
      <c r="H252" s="889">
        <f>'SAN LUONG'!AO246*0.44</f>
        <v>0</v>
      </c>
      <c r="I252" s="889">
        <f t="shared" si="48"/>
        <v>0</v>
      </c>
      <c r="J252" s="889">
        <f>'SAN LUONG'!AV246*0.44</f>
        <v>775.72</v>
      </c>
      <c r="K252" s="889">
        <f t="shared" si="52"/>
        <v>13.48</v>
      </c>
      <c r="L252" s="889"/>
      <c r="M252" s="881">
        <f>'CHAM CONG'!BC243</f>
        <v>15</v>
      </c>
      <c r="N252" s="889">
        <f t="shared" si="53"/>
        <v>7.51</v>
      </c>
      <c r="O252" s="889">
        <f t="shared" si="54"/>
        <v>0.47</v>
      </c>
      <c r="P252" s="890">
        <f>'CHAM CONG'!BO243</f>
        <v>28</v>
      </c>
      <c r="Q252" s="942">
        <f t="shared" si="55"/>
        <v>2.63</v>
      </c>
      <c r="R252" s="942">
        <f>'SAN LUONG'!DW246</f>
        <v>24.9</v>
      </c>
      <c r="S252" s="942">
        <f t="shared" si="49"/>
        <v>0.78</v>
      </c>
      <c r="T252" s="943">
        <f>'CHAM CONG'!BW243</f>
        <v>0</v>
      </c>
      <c r="U252" s="942">
        <f t="shared" si="56"/>
        <v>0</v>
      </c>
      <c r="V252" s="890">
        <f>'CHAM CONG'!BD243</f>
        <v>0</v>
      </c>
      <c r="W252" s="944">
        <f t="shared" si="50"/>
        <v>0</v>
      </c>
      <c r="X252" s="891">
        <f>'CHAM CONG'!BT243</f>
        <v>1</v>
      </c>
      <c r="Y252" s="881">
        <f t="shared" si="57"/>
        <v>1.1000000000000001</v>
      </c>
      <c r="Z252" s="892">
        <v>6.03</v>
      </c>
      <c r="AA252" s="942">
        <f t="shared" si="61"/>
        <v>1.7</v>
      </c>
      <c r="AB252" s="892">
        <v>6.03</v>
      </c>
      <c r="AC252" s="942">
        <f t="shared" si="58"/>
        <v>7.24</v>
      </c>
      <c r="AD252" s="892">
        <v>6.03</v>
      </c>
      <c r="AE252" s="942">
        <f t="shared" si="59"/>
        <v>4.3</v>
      </c>
      <c r="AF252" s="943" t="e">
        <f>#N/A</f>
        <v>#N/A</v>
      </c>
      <c r="AG252" s="893">
        <f t="shared" si="51"/>
        <v>39.21</v>
      </c>
      <c r="AH252" s="894"/>
      <c r="AI252" s="895">
        <v>30.1</v>
      </c>
      <c r="AJ252" s="791">
        <v>28.090000000000007</v>
      </c>
      <c r="AK252" s="896">
        <f t="shared" si="60"/>
        <v>2</v>
      </c>
      <c r="AL252" s="896"/>
      <c r="AS252" s="898"/>
    </row>
    <row r="253" spans="1:45" s="779" customFormat="1" ht="28.2" customHeight="1">
      <c r="A253" s="885">
        <v>237</v>
      </c>
      <c r="B253" s="886"/>
      <c r="C253" s="887" t="str">
        <f>'Tên thang 01-26'!E240</f>
        <v>ដែង តូច</v>
      </c>
      <c r="D253" s="887" t="str">
        <f>'Tên thang 01-26'!F240</f>
        <v>DENG TOUCH</v>
      </c>
      <c r="E253" s="888">
        <v>117</v>
      </c>
      <c r="F253" s="889">
        <f>'SAN LUONG'!AP247*0.44</f>
        <v>0</v>
      </c>
      <c r="G253" s="889">
        <f t="shared" si="47"/>
        <v>0</v>
      </c>
      <c r="H253" s="889">
        <f>'SAN LUONG'!AO247*0.44</f>
        <v>0</v>
      </c>
      <c r="I253" s="889">
        <f t="shared" si="48"/>
        <v>0</v>
      </c>
      <c r="J253" s="889">
        <f>'SAN LUONG'!AV247*0.44</f>
        <v>606.32000000000005</v>
      </c>
      <c r="K253" s="889">
        <f t="shared" si="52"/>
        <v>10.53</v>
      </c>
      <c r="L253" s="889"/>
      <c r="M253" s="881">
        <f>'CHAM CONG'!BC244</f>
        <v>15</v>
      </c>
      <c r="N253" s="889">
        <f t="shared" si="53"/>
        <v>7.51</v>
      </c>
      <c r="O253" s="889">
        <f t="shared" si="54"/>
        <v>0.47</v>
      </c>
      <c r="P253" s="890">
        <f>'CHAM CONG'!BO244</f>
        <v>28</v>
      </c>
      <c r="Q253" s="942">
        <f t="shared" si="55"/>
        <v>2.63</v>
      </c>
      <c r="R253" s="942">
        <f>'SAN LUONG'!DW247</f>
        <v>13.6</v>
      </c>
      <c r="S253" s="942">
        <f t="shared" si="49"/>
        <v>0.43</v>
      </c>
      <c r="T253" s="943">
        <f>'CHAM CONG'!BW244</f>
        <v>0</v>
      </c>
      <c r="U253" s="942">
        <f t="shared" si="56"/>
        <v>0</v>
      </c>
      <c r="V253" s="890">
        <f>'CHAM CONG'!BD244</f>
        <v>1</v>
      </c>
      <c r="W253" s="944">
        <f t="shared" si="50"/>
        <v>0.53</v>
      </c>
      <c r="X253" s="891">
        <f>'CHAM CONG'!BT244</f>
        <v>1</v>
      </c>
      <c r="Y253" s="881">
        <f t="shared" si="57"/>
        <v>1.1000000000000001</v>
      </c>
      <c r="Z253" s="892">
        <v>6.03</v>
      </c>
      <c r="AA253" s="942">
        <f t="shared" si="61"/>
        <v>1.7</v>
      </c>
      <c r="AB253" s="892">
        <v>6.03</v>
      </c>
      <c r="AC253" s="942">
        <f t="shared" si="58"/>
        <v>7.24</v>
      </c>
      <c r="AD253" s="892">
        <v>6.03</v>
      </c>
      <c r="AE253" s="942">
        <f t="shared" si="59"/>
        <v>4.3</v>
      </c>
      <c r="AF253" s="943" t="e">
        <f>#N/A</f>
        <v>#N/A</v>
      </c>
      <c r="AG253" s="893">
        <f t="shared" si="51"/>
        <v>36.44</v>
      </c>
      <c r="AH253" s="894"/>
      <c r="AI253" s="895">
        <v>24.75</v>
      </c>
      <c r="AJ253" s="791">
        <v>23.370000000000005</v>
      </c>
      <c r="AK253" s="896">
        <f t="shared" si="60"/>
        <v>1</v>
      </c>
      <c r="AL253" s="896"/>
      <c r="AS253" s="898"/>
    </row>
    <row r="254" spans="1:45" s="779" customFormat="1" ht="28.2" customHeight="1">
      <c r="A254" s="885">
        <v>238</v>
      </c>
      <c r="B254" s="886"/>
      <c r="C254" s="887" t="str">
        <f>'Tên thang 01-26'!E241</f>
        <v>ហេត គឹមលីង</v>
      </c>
      <c r="D254" s="887" t="str">
        <f>'Tên thang 01-26'!F241</f>
        <v>HET KIMLING</v>
      </c>
      <c r="E254" s="888">
        <v>118</v>
      </c>
      <c r="F254" s="889">
        <f>'SAN LUONG'!AP248*0.44</f>
        <v>0</v>
      </c>
      <c r="G254" s="889">
        <f t="shared" si="47"/>
        <v>0</v>
      </c>
      <c r="H254" s="889">
        <f>'SAN LUONG'!AO248*0.44</f>
        <v>0</v>
      </c>
      <c r="I254" s="889">
        <f t="shared" si="48"/>
        <v>0</v>
      </c>
      <c r="J254" s="889">
        <f>'SAN LUONG'!AV248*0.44</f>
        <v>754.16</v>
      </c>
      <c r="K254" s="889">
        <f t="shared" si="52"/>
        <v>13.1</v>
      </c>
      <c r="L254" s="889"/>
      <c r="M254" s="881">
        <f>'CHAM CONG'!BC245</f>
        <v>15</v>
      </c>
      <c r="N254" s="889">
        <f t="shared" si="53"/>
        <v>7.51</v>
      </c>
      <c r="O254" s="889">
        <f t="shared" si="54"/>
        <v>0.47</v>
      </c>
      <c r="P254" s="890">
        <f>'CHAM CONG'!BO245</f>
        <v>27</v>
      </c>
      <c r="Q254" s="942">
        <f t="shared" si="55"/>
        <v>2.54</v>
      </c>
      <c r="R254" s="942">
        <f>'SAN LUONG'!DW248</f>
        <v>48</v>
      </c>
      <c r="S254" s="942">
        <f t="shared" si="49"/>
        <v>1.5</v>
      </c>
      <c r="T254" s="943">
        <f>'CHAM CONG'!BW245</f>
        <v>0</v>
      </c>
      <c r="U254" s="942">
        <f t="shared" si="56"/>
        <v>0</v>
      </c>
      <c r="V254" s="890">
        <f>'CHAM CONG'!BD245</f>
        <v>0</v>
      </c>
      <c r="W254" s="944">
        <f t="shared" si="50"/>
        <v>0</v>
      </c>
      <c r="X254" s="891">
        <f>'CHAM CONG'!BT245</f>
        <v>1</v>
      </c>
      <c r="Y254" s="881">
        <f t="shared" si="57"/>
        <v>1.1000000000000001</v>
      </c>
      <c r="Z254" s="892">
        <v>6.03</v>
      </c>
      <c r="AA254" s="942">
        <f t="shared" si="61"/>
        <v>1.7</v>
      </c>
      <c r="AB254" s="892">
        <v>6.03</v>
      </c>
      <c r="AC254" s="942">
        <f t="shared" si="58"/>
        <v>7.24</v>
      </c>
      <c r="AD254" s="892">
        <v>6.03</v>
      </c>
      <c r="AE254" s="942">
        <f t="shared" si="59"/>
        <v>4.3</v>
      </c>
      <c r="AF254" s="943" t="e">
        <f>#N/A</f>
        <v>#N/A</v>
      </c>
      <c r="AG254" s="893">
        <f t="shared" si="51"/>
        <v>39.46</v>
      </c>
      <c r="AH254" s="894"/>
      <c r="AI254" s="895">
        <v>2.62</v>
      </c>
      <c r="AJ254" s="791">
        <v>0.62</v>
      </c>
      <c r="AK254" s="896">
        <f t="shared" si="60"/>
        <v>2</v>
      </c>
      <c r="AL254" s="896"/>
      <c r="AS254" s="898"/>
    </row>
    <row r="255" spans="1:45" s="779" customFormat="1" ht="28.2" customHeight="1">
      <c r="A255" s="885">
        <v>239</v>
      </c>
      <c r="B255" s="886"/>
      <c r="C255" s="887" t="str">
        <f>'Tên thang 01-26'!E242</f>
        <v>យៀត សុជឿន</v>
      </c>
      <c r="D255" s="887" t="str">
        <f>'Tên thang 01-26'!F242</f>
        <v>YIET SOCHOEUN</v>
      </c>
      <c r="E255" s="888">
        <v>119</v>
      </c>
      <c r="F255" s="889">
        <f>'SAN LUONG'!AP249*0.44</f>
        <v>0</v>
      </c>
      <c r="G255" s="889">
        <f t="shared" si="47"/>
        <v>0</v>
      </c>
      <c r="H255" s="889">
        <f>'SAN LUONG'!AO249*0.44</f>
        <v>0</v>
      </c>
      <c r="I255" s="889">
        <f t="shared" si="48"/>
        <v>0</v>
      </c>
      <c r="J255" s="889">
        <f>'SAN LUONG'!AV249*0.44</f>
        <v>628.32000000000005</v>
      </c>
      <c r="K255" s="889">
        <f t="shared" si="52"/>
        <v>10.92</v>
      </c>
      <c r="L255" s="889"/>
      <c r="M255" s="881">
        <f>'CHAM CONG'!BC246</f>
        <v>15</v>
      </c>
      <c r="N255" s="889">
        <f t="shared" si="53"/>
        <v>7.51</v>
      </c>
      <c r="O255" s="889">
        <f t="shared" si="54"/>
        <v>0.47</v>
      </c>
      <c r="P255" s="890">
        <f>'CHAM CONG'!BO246</f>
        <v>29</v>
      </c>
      <c r="Q255" s="942">
        <f t="shared" si="55"/>
        <v>2.72</v>
      </c>
      <c r="R255" s="942">
        <f>'SAN LUONG'!DW249</f>
        <v>37.700000000000003</v>
      </c>
      <c r="S255" s="942">
        <f t="shared" si="49"/>
        <v>1.18</v>
      </c>
      <c r="T255" s="943">
        <f>'CHAM CONG'!BW246</f>
        <v>0</v>
      </c>
      <c r="U255" s="942">
        <f t="shared" si="56"/>
        <v>0</v>
      </c>
      <c r="V255" s="890">
        <f>'CHAM CONG'!BD246</f>
        <v>0</v>
      </c>
      <c r="W255" s="944">
        <f t="shared" si="50"/>
        <v>0</v>
      </c>
      <c r="X255" s="891">
        <f>'CHAM CONG'!BT246</f>
        <v>1</v>
      </c>
      <c r="Y255" s="881">
        <f t="shared" si="57"/>
        <v>1.1000000000000001</v>
      </c>
      <c r="Z255" s="892">
        <v>6.03</v>
      </c>
      <c r="AA255" s="942">
        <f t="shared" si="61"/>
        <v>1.7</v>
      </c>
      <c r="AB255" s="892">
        <v>6.03</v>
      </c>
      <c r="AC255" s="942">
        <f t="shared" si="58"/>
        <v>7.24</v>
      </c>
      <c r="AD255" s="892">
        <v>6.03</v>
      </c>
      <c r="AE255" s="942">
        <f t="shared" si="59"/>
        <v>4.3</v>
      </c>
      <c r="AF255" s="943" t="e">
        <f>#N/A</f>
        <v>#N/A</v>
      </c>
      <c r="AG255" s="893">
        <f t="shared" si="51"/>
        <v>37.14</v>
      </c>
      <c r="AH255" s="894"/>
      <c r="AI255" s="895">
        <v>31.75</v>
      </c>
      <c r="AJ255" s="791">
        <v>29.120000000000005</v>
      </c>
      <c r="AK255" s="896">
        <f t="shared" si="60"/>
        <v>3</v>
      </c>
      <c r="AL255" s="896"/>
      <c r="AS255" s="898"/>
    </row>
    <row r="256" spans="1:45" s="779" customFormat="1" ht="28.2" customHeight="1">
      <c r="A256" s="885">
        <v>240</v>
      </c>
      <c r="B256" s="886"/>
      <c r="C256" s="887" t="str">
        <f>'Tên thang 01-26'!E243</f>
        <v>ឈីវ ផល</v>
      </c>
      <c r="D256" s="887" t="str">
        <f>'Tên thang 01-26'!F243</f>
        <v>CHHIV PHALL</v>
      </c>
      <c r="E256" s="888">
        <v>120</v>
      </c>
      <c r="F256" s="889">
        <f>'SAN LUONG'!AP250*0.44</f>
        <v>0</v>
      </c>
      <c r="G256" s="889">
        <f t="shared" si="47"/>
        <v>0</v>
      </c>
      <c r="H256" s="889">
        <f>'SAN LUONG'!AO250*0.44</f>
        <v>0</v>
      </c>
      <c r="I256" s="889">
        <f t="shared" si="48"/>
        <v>0</v>
      </c>
      <c r="J256" s="889">
        <f>'SAN LUONG'!AV250*0.44</f>
        <v>744.04</v>
      </c>
      <c r="K256" s="889">
        <f t="shared" si="52"/>
        <v>12.93</v>
      </c>
      <c r="L256" s="889"/>
      <c r="M256" s="881">
        <f>'CHAM CONG'!BC247</f>
        <v>16</v>
      </c>
      <c r="N256" s="889">
        <f t="shared" si="53"/>
        <v>8.01</v>
      </c>
      <c r="O256" s="889">
        <f t="shared" si="54"/>
        <v>0.5</v>
      </c>
      <c r="P256" s="890">
        <f>'CHAM CONG'!BO247</f>
        <v>29</v>
      </c>
      <c r="Q256" s="942">
        <f t="shared" si="55"/>
        <v>2.72</v>
      </c>
      <c r="R256" s="942">
        <f>'SAN LUONG'!DW250</f>
        <v>32</v>
      </c>
      <c r="S256" s="942">
        <f t="shared" si="49"/>
        <v>1</v>
      </c>
      <c r="T256" s="943">
        <f>'CHAM CONG'!BW247</f>
        <v>0</v>
      </c>
      <c r="U256" s="942">
        <f t="shared" si="56"/>
        <v>0</v>
      </c>
      <c r="V256" s="890">
        <f>'CHAM CONG'!BD247</f>
        <v>0</v>
      </c>
      <c r="W256" s="944">
        <f t="shared" si="50"/>
        <v>0</v>
      </c>
      <c r="X256" s="891">
        <f>'CHAM CONG'!BT247</f>
        <v>1</v>
      </c>
      <c r="Y256" s="881">
        <f t="shared" si="57"/>
        <v>1.1000000000000001</v>
      </c>
      <c r="Z256" s="892">
        <v>6.03</v>
      </c>
      <c r="AA256" s="942">
        <f t="shared" si="61"/>
        <v>1.7</v>
      </c>
      <c r="AB256" s="892">
        <v>6.03</v>
      </c>
      <c r="AC256" s="942">
        <f t="shared" si="58"/>
        <v>7.24</v>
      </c>
      <c r="AD256" s="892">
        <v>6.03</v>
      </c>
      <c r="AE256" s="942">
        <f t="shared" si="59"/>
        <v>4.3</v>
      </c>
      <c r="AF256" s="943" t="e">
        <f>#N/A</f>
        <v>#N/A</v>
      </c>
      <c r="AG256" s="893">
        <f t="shared" si="51"/>
        <v>39.5</v>
      </c>
      <c r="AH256" s="894"/>
      <c r="AI256" s="895">
        <v>28.12</v>
      </c>
      <c r="AJ256" s="791">
        <v>26.110000000000003</v>
      </c>
      <c r="AK256" s="896">
        <f t="shared" si="60"/>
        <v>2</v>
      </c>
      <c r="AL256" s="896"/>
      <c r="AS256" s="898"/>
    </row>
    <row r="257" spans="1:45" s="779" customFormat="1" ht="28.2" customHeight="1">
      <c r="A257" s="885">
        <v>241</v>
      </c>
      <c r="B257" s="886"/>
      <c r="C257" s="887" t="str">
        <f>'Tên thang 01-26'!E244</f>
        <v>កែវ សុខគង់</v>
      </c>
      <c r="D257" s="887" t="str">
        <f>'Tên thang 01-26'!F244</f>
        <v>KEO SOKONG</v>
      </c>
      <c r="E257" s="888">
        <v>121</v>
      </c>
      <c r="F257" s="889">
        <f>'SAN LUONG'!AP251*0.44</f>
        <v>0</v>
      </c>
      <c r="G257" s="889">
        <f t="shared" si="47"/>
        <v>0</v>
      </c>
      <c r="H257" s="889">
        <f>'SAN LUONG'!AO251*0.44</f>
        <v>0</v>
      </c>
      <c r="I257" s="889">
        <f t="shared" si="48"/>
        <v>0</v>
      </c>
      <c r="J257" s="889">
        <f>'SAN LUONG'!AV251*0.44</f>
        <v>782.32</v>
      </c>
      <c r="K257" s="889">
        <f t="shared" si="52"/>
        <v>13.59</v>
      </c>
      <c r="L257" s="889"/>
      <c r="M257" s="881">
        <f>'CHAM CONG'!BC248</f>
        <v>15</v>
      </c>
      <c r="N257" s="889">
        <f t="shared" si="53"/>
        <v>7.51</v>
      </c>
      <c r="O257" s="889">
        <f t="shared" si="54"/>
        <v>0.47</v>
      </c>
      <c r="P257" s="890">
        <f>'CHAM CONG'!BO248</f>
        <v>27</v>
      </c>
      <c r="Q257" s="942">
        <f t="shared" si="55"/>
        <v>2.54</v>
      </c>
      <c r="R257" s="942">
        <f>'SAN LUONG'!DW251</f>
        <v>15.4</v>
      </c>
      <c r="S257" s="942">
        <f t="shared" si="49"/>
        <v>0.48</v>
      </c>
      <c r="T257" s="943">
        <f>'CHAM CONG'!BW248</f>
        <v>0</v>
      </c>
      <c r="U257" s="942">
        <f t="shared" si="56"/>
        <v>0</v>
      </c>
      <c r="V257" s="890">
        <f>'CHAM CONG'!BD248</f>
        <v>0</v>
      </c>
      <c r="W257" s="944">
        <f t="shared" si="50"/>
        <v>0</v>
      </c>
      <c r="X257" s="891">
        <f>'CHAM CONG'!BT248</f>
        <v>1</v>
      </c>
      <c r="Y257" s="881">
        <f t="shared" si="57"/>
        <v>1.1000000000000001</v>
      </c>
      <c r="Z257" s="892">
        <v>6.03</v>
      </c>
      <c r="AA257" s="942">
        <f t="shared" si="61"/>
        <v>1.7</v>
      </c>
      <c r="AB257" s="892">
        <v>6.03</v>
      </c>
      <c r="AC257" s="942">
        <f t="shared" si="58"/>
        <v>7.24</v>
      </c>
      <c r="AD257" s="892">
        <v>6.03</v>
      </c>
      <c r="AE257" s="942">
        <f t="shared" si="59"/>
        <v>4.3</v>
      </c>
      <c r="AF257" s="943" t="e">
        <f>#N/A</f>
        <v>#N/A</v>
      </c>
      <c r="AG257" s="893">
        <f t="shared" si="51"/>
        <v>38.93</v>
      </c>
      <c r="AH257" s="894"/>
      <c r="AI257" s="895">
        <v>29.64</v>
      </c>
      <c r="AJ257" s="791">
        <v>27.630000000000006</v>
      </c>
      <c r="AK257" s="896">
        <f t="shared" si="60"/>
        <v>2</v>
      </c>
      <c r="AL257" s="896"/>
      <c r="AS257" s="898"/>
    </row>
    <row r="258" spans="1:45" s="779" customFormat="1" ht="28.2" customHeight="1">
      <c r="A258" s="885">
        <v>242</v>
      </c>
      <c r="B258" s="886"/>
      <c r="C258" s="887" t="str">
        <f>'Tên thang 01-26'!E245</f>
        <v>បូ បូត</v>
      </c>
      <c r="D258" s="887" t="str">
        <f>'Tên thang 01-26'!F245</f>
        <v>BO BOUT</v>
      </c>
      <c r="E258" s="888">
        <v>122</v>
      </c>
      <c r="F258" s="889">
        <f>'SAN LUONG'!AP252*0.44</f>
        <v>0</v>
      </c>
      <c r="G258" s="889">
        <f t="shared" si="47"/>
        <v>0</v>
      </c>
      <c r="H258" s="889">
        <f>'SAN LUONG'!AO252*0.44</f>
        <v>0</v>
      </c>
      <c r="I258" s="889">
        <f t="shared" si="48"/>
        <v>0</v>
      </c>
      <c r="J258" s="889">
        <f>'SAN LUONG'!AV252*0.44</f>
        <v>1114.96</v>
      </c>
      <c r="K258" s="889">
        <f t="shared" si="52"/>
        <v>19.37</v>
      </c>
      <c r="L258" s="889"/>
      <c r="M258" s="881">
        <f>'CHAM CONG'!BC249</f>
        <v>16</v>
      </c>
      <c r="N258" s="889">
        <f t="shared" si="53"/>
        <v>8.01</v>
      </c>
      <c r="O258" s="889">
        <f t="shared" si="54"/>
        <v>0.5</v>
      </c>
      <c r="P258" s="890">
        <f>'CHAM CONG'!BO249</f>
        <v>29</v>
      </c>
      <c r="Q258" s="942">
        <f t="shared" si="55"/>
        <v>2.72</v>
      </c>
      <c r="R258" s="942">
        <f>'SAN LUONG'!DW252</f>
        <v>78.099999999999994</v>
      </c>
      <c r="S258" s="942">
        <f t="shared" si="49"/>
        <v>2.44</v>
      </c>
      <c r="T258" s="943">
        <f>'CHAM CONG'!BW249</f>
        <v>-20000</v>
      </c>
      <c r="U258" s="942">
        <f t="shared" si="56"/>
        <v>-0.63</v>
      </c>
      <c r="V258" s="890">
        <f>'CHAM CONG'!BD249</f>
        <v>1</v>
      </c>
      <c r="W258" s="944">
        <f t="shared" si="50"/>
        <v>0.53</v>
      </c>
      <c r="X258" s="891">
        <f>'CHAM CONG'!BT249</f>
        <v>1</v>
      </c>
      <c r="Y258" s="881">
        <f t="shared" si="57"/>
        <v>1.1000000000000001</v>
      </c>
      <c r="Z258" s="892">
        <v>6.03</v>
      </c>
      <c r="AA258" s="942">
        <f t="shared" si="61"/>
        <v>1.7</v>
      </c>
      <c r="AB258" s="892">
        <v>6.03</v>
      </c>
      <c r="AC258" s="942">
        <f t="shared" si="58"/>
        <v>7.24</v>
      </c>
      <c r="AD258" s="892">
        <v>6.03</v>
      </c>
      <c r="AE258" s="942">
        <f t="shared" si="59"/>
        <v>4.3</v>
      </c>
      <c r="AF258" s="943" t="e">
        <f>#N/A</f>
        <v>#N/A</v>
      </c>
      <c r="AG258" s="893">
        <f t="shared" si="51"/>
        <v>47.28</v>
      </c>
      <c r="AH258" s="894"/>
      <c r="AI258" s="895">
        <v>4.8600000000000003</v>
      </c>
      <c r="AJ258" s="791">
        <v>3.03</v>
      </c>
      <c r="AK258" s="896">
        <f t="shared" si="60"/>
        <v>2</v>
      </c>
      <c r="AL258" s="896"/>
      <c r="AS258" s="898"/>
    </row>
    <row r="259" spans="1:45" s="779" customFormat="1" ht="28.2" customHeight="1">
      <c r="A259" s="885">
        <v>243</v>
      </c>
      <c r="B259" s="886"/>
      <c r="C259" s="887" t="str">
        <f>'Tên thang 01-26'!E246</f>
        <v>ធា ចាន់</v>
      </c>
      <c r="D259" s="887" t="str">
        <f>'Tên thang 01-26'!F246</f>
        <v>THEA CHANN</v>
      </c>
      <c r="E259" s="888">
        <v>123</v>
      </c>
      <c r="F259" s="889">
        <f>'SAN LUONG'!AP253*0.44</f>
        <v>0</v>
      </c>
      <c r="G259" s="889">
        <f t="shared" si="47"/>
        <v>0</v>
      </c>
      <c r="H259" s="889">
        <f>'SAN LUONG'!AO253*0.44</f>
        <v>0</v>
      </c>
      <c r="I259" s="889">
        <f t="shared" si="48"/>
        <v>0</v>
      </c>
      <c r="J259" s="889">
        <f>'SAN LUONG'!AV253*0.44</f>
        <v>434.28000000000003</v>
      </c>
      <c r="K259" s="889">
        <f t="shared" si="52"/>
        <v>7.54</v>
      </c>
      <c r="L259" s="889"/>
      <c r="M259" s="881">
        <f>'CHAM CONG'!BC250</f>
        <v>11</v>
      </c>
      <c r="N259" s="889">
        <f t="shared" si="53"/>
        <v>5.51</v>
      </c>
      <c r="O259" s="889">
        <f t="shared" si="54"/>
        <v>0.34</v>
      </c>
      <c r="P259" s="890">
        <f>'CHAM CONG'!BO250</f>
        <v>0</v>
      </c>
      <c r="Q259" s="942">
        <f t="shared" si="55"/>
        <v>0</v>
      </c>
      <c r="R259" s="942">
        <f>'SAN LUONG'!DW253</f>
        <v>28.8</v>
      </c>
      <c r="S259" s="942">
        <f t="shared" si="49"/>
        <v>0.9</v>
      </c>
      <c r="T259" s="943">
        <f>'CHAM CONG'!BW250</f>
        <v>0</v>
      </c>
      <c r="U259" s="942">
        <f t="shared" si="56"/>
        <v>0</v>
      </c>
      <c r="V259" s="890">
        <f>'CHAM CONG'!BD250</f>
        <v>0</v>
      </c>
      <c r="W259" s="944">
        <f t="shared" si="50"/>
        <v>0</v>
      </c>
      <c r="X259" s="891">
        <f>'CHAM CONG'!BT250</f>
        <v>0</v>
      </c>
      <c r="Y259" s="881">
        <f t="shared" si="57"/>
        <v>0</v>
      </c>
      <c r="Z259" s="892">
        <v>6.03</v>
      </c>
      <c r="AA259" s="942">
        <f t="shared" si="61"/>
        <v>1.7</v>
      </c>
      <c r="AB259" s="892">
        <v>6.03</v>
      </c>
      <c r="AC259" s="942">
        <f t="shared" si="58"/>
        <v>7.24</v>
      </c>
      <c r="AD259" s="892">
        <v>6.03</v>
      </c>
      <c r="AE259" s="942">
        <f t="shared" si="59"/>
        <v>4.3</v>
      </c>
      <c r="AF259" s="943" t="e">
        <f>#N/A</f>
        <v>#N/A</v>
      </c>
      <c r="AG259" s="893">
        <f t="shared" si="51"/>
        <v>27.53</v>
      </c>
      <c r="AH259" s="894"/>
      <c r="AI259" s="895">
        <v>27.47</v>
      </c>
      <c r="AJ259" s="791">
        <v>25.470000000000002</v>
      </c>
      <c r="AK259" s="896">
        <f t="shared" si="60"/>
        <v>2</v>
      </c>
      <c r="AL259" s="896"/>
      <c r="AS259" s="898"/>
    </row>
    <row r="260" spans="1:45" s="779" customFormat="1" ht="28.2" customHeight="1">
      <c r="A260" s="885">
        <v>244</v>
      </c>
      <c r="B260" s="886"/>
      <c r="C260" s="887" t="str">
        <f>'Tên thang 01-26'!E247</f>
        <v>គីន ចន្ថា</v>
      </c>
      <c r="D260" s="887" t="str">
        <f>'Tên thang 01-26'!F247</f>
        <v>KIN CHANTHA</v>
      </c>
      <c r="E260" s="888">
        <v>124</v>
      </c>
      <c r="F260" s="889">
        <f>'SAN LUONG'!AP254*0.44</f>
        <v>0</v>
      </c>
      <c r="G260" s="889">
        <f t="shared" si="47"/>
        <v>0</v>
      </c>
      <c r="H260" s="889">
        <f>'SAN LUONG'!AO254*0.44</f>
        <v>0</v>
      </c>
      <c r="I260" s="889">
        <f t="shared" si="48"/>
        <v>0</v>
      </c>
      <c r="J260" s="889">
        <f>'SAN LUONG'!AV254*0.44</f>
        <v>673.2</v>
      </c>
      <c r="K260" s="889">
        <f t="shared" si="52"/>
        <v>11.7</v>
      </c>
      <c r="L260" s="889"/>
      <c r="M260" s="881">
        <f>'CHAM CONG'!BC251</f>
        <v>13</v>
      </c>
      <c r="N260" s="889">
        <f t="shared" si="53"/>
        <v>6.51</v>
      </c>
      <c r="O260" s="889">
        <f t="shared" si="54"/>
        <v>0.41</v>
      </c>
      <c r="P260" s="890">
        <f>'CHAM CONG'!BO251</f>
        <v>0</v>
      </c>
      <c r="Q260" s="942">
        <f t="shared" si="55"/>
        <v>0</v>
      </c>
      <c r="R260" s="942">
        <f>'SAN LUONG'!DW254</f>
        <v>11.1</v>
      </c>
      <c r="S260" s="942">
        <f t="shared" si="49"/>
        <v>0.35</v>
      </c>
      <c r="T260" s="943">
        <f>'CHAM CONG'!BW251</f>
        <v>0</v>
      </c>
      <c r="U260" s="942">
        <f t="shared" si="56"/>
        <v>0</v>
      </c>
      <c r="V260" s="890">
        <f>'CHAM CONG'!BD251</f>
        <v>0</v>
      </c>
      <c r="W260" s="944">
        <f t="shared" si="50"/>
        <v>0</v>
      </c>
      <c r="X260" s="891">
        <f>'CHAM CONG'!BT251</f>
        <v>0</v>
      </c>
      <c r="Y260" s="881">
        <f t="shared" si="57"/>
        <v>0</v>
      </c>
      <c r="Z260" s="892">
        <v>6.03</v>
      </c>
      <c r="AA260" s="942">
        <f t="shared" si="61"/>
        <v>1.7</v>
      </c>
      <c r="AB260" s="892">
        <v>6.03</v>
      </c>
      <c r="AC260" s="942">
        <f t="shared" si="58"/>
        <v>7.24</v>
      </c>
      <c r="AD260" s="892">
        <v>6.03</v>
      </c>
      <c r="AE260" s="942">
        <f t="shared" si="59"/>
        <v>4.3</v>
      </c>
      <c r="AF260" s="943" t="e">
        <f>#N/A</f>
        <v>#N/A</v>
      </c>
      <c r="AG260" s="893">
        <f t="shared" si="51"/>
        <v>32.210000000000008</v>
      </c>
      <c r="AH260" s="894"/>
      <c r="AI260" s="895">
        <v>26.41</v>
      </c>
      <c r="AJ260" s="791">
        <v>24.41</v>
      </c>
      <c r="AK260" s="896">
        <f t="shared" si="60"/>
        <v>2</v>
      </c>
      <c r="AL260" s="896"/>
      <c r="AS260" s="898"/>
    </row>
    <row r="261" spans="1:45" s="779" customFormat="1" ht="28.2" customHeight="1">
      <c r="A261" s="885">
        <v>245</v>
      </c>
      <c r="B261" s="886"/>
      <c r="C261" s="887" t="str">
        <f>'Tên thang 01-26'!E248</f>
        <v>តូច លីម</v>
      </c>
      <c r="D261" s="887" t="str">
        <f>'Tên thang 01-26'!F248</f>
        <v>TOUCH LIM</v>
      </c>
      <c r="E261" s="888">
        <v>125</v>
      </c>
      <c r="F261" s="889">
        <f>'SAN LUONG'!AP255*0.44</f>
        <v>0</v>
      </c>
      <c r="G261" s="889">
        <f t="shared" si="47"/>
        <v>0</v>
      </c>
      <c r="H261" s="889">
        <f>'SAN LUONG'!AO255*0.44</f>
        <v>0</v>
      </c>
      <c r="I261" s="889">
        <f t="shared" si="48"/>
        <v>0</v>
      </c>
      <c r="J261" s="889">
        <f>'SAN LUONG'!AV255*0.44</f>
        <v>733.04</v>
      </c>
      <c r="K261" s="889">
        <f t="shared" si="52"/>
        <v>12.73</v>
      </c>
      <c r="L261" s="889"/>
      <c r="M261" s="881">
        <f>'CHAM CONG'!BC252</f>
        <v>14</v>
      </c>
      <c r="N261" s="889">
        <f t="shared" si="53"/>
        <v>7.01</v>
      </c>
      <c r="O261" s="889">
        <f t="shared" si="54"/>
        <v>0.44</v>
      </c>
      <c r="P261" s="890">
        <f>'CHAM CONG'!BO252</f>
        <v>26</v>
      </c>
      <c r="Q261" s="942">
        <f t="shared" si="55"/>
        <v>2.44</v>
      </c>
      <c r="R261" s="942">
        <f>'SAN LUONG'!DW255</f>
        <v>13.2</v>
      </c>
      <c r="S261" s="942">
        <f t="shared" si="49"/>
        <v>0.41</v>
      </c>
      <c r="T261" s="943">
        <f>'CHAM CONG'!BW252</f>
        <v>0</v>
      </c>
      <c r="U261" s="942">
        <f t="shared" si="56"/>
        <v>0</v>
      </c>
      <c r="V261" s="890">
        <f>'CHAM CONG'!BD252</f>
        <v>0</v>
      </c>
      <c r="W261" s="944">
        <f t="shared" si="50"/>
        <v>0</v>
      </c>
      <c r="X261" s="891">
        <f>'CHAM CONG'!BT252</f>
        <v>1</v>
      </c>
      <c r="Y261" s="881">
        <f t="shared" si="57"/>
        <v>1.1000000000000001</v>
      </c>
      <c r="Z261" s="892">
        <v>6.03</v>
      </c>
      <c r="AA261" s="942">
        <f t="shared" si="61"/>
        <v>1.7</v>
      </c>
      <c r="AB261" s="892">
        <v>6.03</v>
      </c>
      <c r="AC261" s="942">
        <f t="shared" si="58"/>
        <v>7.24</v>
      </c>
      <c r="AD261" s="892">
        <v>6.03</v>
      </c>
      <c r="AE261" s="942">
        <f t="shared" si="59"/>
        <v>4.3</v>
      </c>
      <c r="AF261" s="943" t="e">
        <f>#N/A</f>
        <v>#N/A</v>
      </c>
      <c r="AG261" s="893">
        <f t="shared" si="51"/>
        <v>37.370000000000005</v>
      </c>
      <c r="AH261" s="894"/>
      <c r="AI261" s="895">
        <v>29.63</v>
      </c>
      <c r="AJ261" s="791">
        <v>27.620000000000005</v>
      </c>
      <c r="AK261" s="896">
        <f t="shared" si="60"/>
        <v>2</v>
      </c>
      <c r="AL261" s="896"/>
      <c r="AS261" s="898"/>
    </row>
    <row r="262" spans="1:45" s="779" customFormat="1" ht="28.2" customHeight="1">
      <c r="A262" s="885">
        <v>246</v>
      </c>
      <c r="B262" s="886"/>
      <c r="C262" s="887" t="str">
        <f>'Tên thang 01-26'!E249</f>
        <v>ស្រឿន ស្រីហាន់</v>
      </c>
      <c r="D262" s="887" t="str">
        <f>'Tên thang 01-26'!F249</f>
        <v>SROEUN SREYHANN</v>
      </c>
      <c r="E262" s="888">
        <v>126</v>
      </c>
      <c r="F262" s="889">
        <f>'SAN LUONG'!AP256*0.44</f>
        <v>0</v>
      </c>
      <c r="G262" s="889">
        <f t="shared" si="47"/>
        <v>0</v>
      </c>
      <c r="H262" s="889">
        <f>'SAN LUONG'!AO256*0.44</f>
        <v>0</v>
      </c>
      <c r="I262" s="889">
        <f t="shared" si="48"/>
        <v>0</v>
      </c>
      <c r="J262" s="889">
        <f>'SAN LUONG'!AV256*0.44</f>
        <v>799.04</v>
      </c>
      <c r="K262" s="889">
        <f t="shared" si="52"/>
        <v>13.88</v>
      </c>
      <c r="L262" s="889"/>
      <c r="M262" s="881">
        <f>'CHAM CONG'!BC253</f>
        <v>14</v>
      </c>
      <c r="N262" s="889">
        <f t="shared" si="53"/>
        <v>7.01</v>
      </c>
      <c r="O262" s="889">
        <f t="shared" si="54"/>
        <v>0.44</v>
      </c>
      <c r="P262" s="890">
        <f>'CHAM CONG'!BO253</f>
        <v>0</v>
      </c>
      <c r="Q262" s="942">
        <f t="shared" si="55"/>
        <v>0</v>
      </c>
      <c r="R262" s="942">
        <f>'SAN LUONG'!DW256</f>
        <v>55</v>
      </c>
      <c r="S262" s="942">
        <f t="shared" si="49"/>
        <v>1.72</v>
      </c>
      <c r="T262" s="943">
        <f>'CHAM CONG'!BW253</f>
        <v>0</v>
      </c>
      <c r="U262" s="942">
        <f t="shared" si="56"/>
        <v>0</v>
      </c>
      <c r="V262" s="890">
        <f>'CHAM CONG'!BD253</f>
        <v>1</v>
      </c>
      <c r="W262" s="944">
        <f t="shared" si="50"/>
        <v>0.53</v>
      </c>
      <c r="X262" s="891">
        <f>'CHAM CONG'!BT253</f>
        <v>0</v>
      </c>
      <c r="Y262" s="881">
        <f t="shared" si="57"/>
        <v>0</v>
      </c>
      <c r="Z262" s="892">
        <v>6.03</v>
      </c>
      <c r="AA262" s="942">
        <f t="shared" si="61"/>
        <v>1.7</v>
      </c>
      <c r="AB262" s="892">
        <v>6.03</v>
      </c>
      <c r="AC262" s="942">
        <f t="shared" si="58"/>
        <v>7.24</v>
      </c>
      <c r="AD262" s="892">
        <v>6.03</v>
      </c>
      <c r="AE262" s="942">
        <f t="shared" si="59"/>
        <v>4.3</v>
      </c>
      <c r="AF262" s="943" t="e">
        <f>#N/A</f>
        <v>#N/A</v>
      </c>
      <c r="AG262" s="893">
        <f t="shared" si="51"/>
        <v>36.82</v>
      </c>
      <c r="AH262" s="894"/>
      <c r="AI262" s="895">
        <v>31.38</v>
      </c>
      <c r="AJ262" s="791">
        <v>29.380000000000003</v>
      </c>
      <c r="AK262" s="896">
        <f t="shared" si="60"/>
        <v>2</v>
      </c>
      <c r="AL262" s="896"/>
      <c r="AS262" s="898"/>
    </row>
    <row r="263" spans="1:45" s="779" customFormat="1" ht="28.2" customHeight="1">
      <c r="A263" s="885">
        <v>247</v>
      </c>
      <c r="B263" s="886"/>
      <c r="C263" s="887" t="str">
        <f>'Tên thang 01-26'!E250</f>
        <v>ហង់ យ៉ាត់</v>
      </c>
      <c r="D263" s="887" t="str">
        <f>'Tên thang 01-26'!F250</f>
        <v>HANG YATH</v>
      </c>
      <c r="E263" s="888">
        <v>127</v>
      </c>
      <c r="F263" s="889">
        <f>'SAN LUONG'!AP257*0.44</f>
        <v>0</v>
      </c>
      <c r="G263" s="889">
        <f t="shared" si="47"/>
        <v>0</v>
      </c>
      <c r="H263" s="889">
        <f>'SAN LUONG'!AO257*0.44</f>
        <v>0</v>
      </c>
      <c r="I263" s="889">
        <f t="shared" si="48"/>
        <v>0</v>
      </c>
      <c r="J263" s="889">
        <f>'SAN LUONG'!AV257*0.44</f>
        <v>799.92</v>
      </c>
      <c r="K263" s="889">
        <f t="shared" si="52"/>
        <v>13.9</v>
      </c>
      <c r="L263" s="889"/>
      <c r="M263" s="881">
        <f>'CHAM CONG'!BC254</f>
        <v>15</v>
      </c>
      <c r="N263" s="889">
        <f t="shared" si="53"/>
        <v>7.51</v>
      </c>
      <c r="O263" s="889">
        <f t="shared" si="54"/>
        <v>0.47</v>
      </c>
      <c r="P263" s="890">
        <f>'CHAM CONG'!BO254</f>
        <v>27</v>
      </c>
      <c r="Q263" s="942">
        <f t="shared" si="55"/>
        <v>2.54</v>
      </c>
      <c r="R263" s="942">
        <f>'SAN LUONG'!DW257</f>
        <v>72.3</v>
      </c>
      <c r="S263" s="942">
        <f t="shared" si="49"/>
        <v>2.2599999999999998</v>
      </c>
      <c r="T263" s="943">
        <f>'CHAM CONG'!BW254</f>
        <v>20000</v>
      </c>
      <c r="U263" s="942">
        <f t="shared" si="56"/>
        <v>0.63</v>
      </c>
      <c r="V263" s="890">
        <f>'CHAM CONG'!BD254</f>
        <v>1</v>
      </c>
      <c r="W263" s="944">
        <f t="shared" si="50"/>
        <v>0.53</v>
      </c>
      <c r="X263" s="891">
        <f>'CHAM CONG'!BT254</f>
        <v>1</v>
      </c>
      <c r="Y263" s="881">
        <f t="shared" si="57"/>
        <v>1.1000000000000001</v>
      </c>
      <c r="Z263" s="892">
        <v>6.03</v>
      </c>
      <c r="AA263" s="942">
        <f t="shared" si="61"/>
        <v>1.7</v>
      </c>
      <c r="AB263" s="892">
        <v>6.03</v>
      </c>
      <c r="AC263" s="942">
        <f t="shared" si="58"/>
        <v>7.24</v>
      </c>
      <c r="AD263" s="892">
        <v>6.03</v>
      </c>
      <c r="AE263" s="942">
        <f t="shared" si="59"/>
        <v>4.3</v>
      </c>
      <c r="AF263" s="943" t="e">
        <f>#N/A</f>
        <v>#N/A</v>
      </c>
      <c r="AG263" s="893">
        <f t="shared" si="51"/>
        <v>42.18</v>
      </c>
      <c r="AH263" s="894"/>
      <c r="AI263" s="895">
        <v>30.99</v>
      </c>
      <c r="AJ263" s="791">
        <v>28.360000000000003</v>
      </c>
      <c r="AK263" s="896">
        <f t="shared" si="60"/>
        <v>3</v>
      </c>
      <c r="AL263" s="896"/>
      <c r="AS263" s="898"/>
    </row>
    <row r="264" spans="1:45" s="779" customFormat="1" ht="28.2" customHeight="1">
      <c r="A264" s="885">
        <v>248</v>
      </c>
      <c r="B264" s="886"/>
      <c r="C264" s="887" t="str">
        <f>'Tên thang 01-26'!E251</f>
        <v>សែម សាមេន</v>
      </c>
      <c r="D264" s="887" t="str">
        <f>'Tên thang 01-26'!F251</f>
        <v>SEM SAMEN</v>
      </c>
      <c r="E264" s="888">
        <v>128</v>
      </c>
      <c r="F264" s="889">
        <f>'SAN LUONG'!AP258*0.44</f>
        <v>0</v>
      </c>
      <c r="G264" s="889">
        <f t="shared" si="47"/>
        <v>0</v>
      </c>
      <c r="H264" s="889">
        <f>'SAN LUONG'!AO258*0.44</f>
        <v>0</v>
      </c>
      <c r="I264" s="889">
        <f t="shared" si="48"/>
        <v>0</v>
      </c>
      <c r="J264" s="889">
        <f>'SAN LUONG'!AV258*0.44</f>
        <v>581.67999999999995</v>
      </c>
      <c r="K264" s="889">
        <f t="shared" si="52"/>
        <v>10.11</v>
      </c>
      <c r="L264" s="889"/>
      <c r="M264" s="881">
        <f>'CHAM CONG'!BC255</f>
        <v>15</v>
      </c>
      <c r="N264" s="889">
        <f t="shared" si="53"/>
        <v>7.51</v>
      </c>
      <c r="O264" s="889">
        <f t="shared" si="54"/>
        <v>0.47</v>
      </c>
      <c r="P264" s="890">
        <f>'CHAM CONG'!BO255</f>
        <v>27</v>
      </c>
      <c r="Q264" s="942">
        <f t="shared" si="55"/>
        <v>2.54</v>
      </c>
      <c r="R264" s="942">
        <f>'SAN LUONG'!DW258</f>
        <v>25.5</v>
      </c>
      <c r="S264" s="942">
        <f t="shared" si="49"/>
        <v>0.8</v>
      </c>
      <c r="T264" s="943">
        <f>'CHAM CONG'!BW255</f>
        <v>-20000</v>
      </c>
      <c r="U264" s="942">
        <f t="shared" si="56"/>
        <v>-0.63</v>
      </c>
      <c r="V264" s="890">
        <f>'CHAM CONG'!BD255</f>
        <v>0</v>
      </c>
      <c r="W264" s="944">
        <f t="shared" si="50"/>
        <v>0</v>
      </c>
      <c r="X264" s="891">
        <f>'CHAM CONG'!BT255</f>
        <v>1</v>
      </c>
      <c r="Y264" s="881">
        <f t="shared" si="57"/>
        <v>1.1000000000000001</v>
      </c>
      <c r="Z264" s="892">
        <v>6.03</v>
      </c>
      <c r="AA264" s="942">
        <f t="shared" si="61"/>
        <v>1.7</v>
      </c>
      <c r="AB264" s="892">
        <v>6.03</v>
      </c>
      <c r="AC264" s="942">
        <f t="shared" si="58"/>
        <v>7.24</v>
      </c>
      <c r="AD264" s="892">
        <v>6.03</v>
      </c>
      <c r="AE264" s="942">
        <f t="shared" si="59"/>
        <v>4.3</v>
      </c>
      <c r="AF264" s="943" t="e">
        <f>#N/A</f>
        <v>#N/A</v>
      </c>
      <c r="AG264" s="893">
        <f t="shared" si="51"/>
        <v>35.14</v>
      </c>
      <c r="AH264" s="894"/>
      <c r="AI264" s="895">
        <v>27.32</v>
      </c>
      <c r="AJ264" s="791">
        <v>25.320000000000004</v>
      </c>
      <c r="AK264" s="896">
        <f t="shared" si="60"/>
        <v>2</v>
      </c>
      <c r="AL264" s="896"/>
      <c r="AS264" s="898"/>
    </row>
    <row r="265" spans="1:45" s="779" customFormat="1" ht="28.2" customHeight="1">
      <c r="A265" s="885">
        <v>249</v>
      </c>
      <c r="B265" s="886"/>
      <c r="C265" s="887" t="str">
        <f>'Tên thang 01-26'!E252</f>
        <v>ជី ឆេងលាង</v>
      </c>
      <c r="D265" s="887" t="str">
        <f>'Tên thang 01-26'!F252</f>
        <v>CHY CHHENGLENG</v>
      </c>
      <c r="E265" s="888">
        <v>129</v>
      </c>
      <c r="F265" s="889">
        <f>'SAN LUONG'!AP259*0.44</f>
        <v>0</v>
      </c>
      <c r="G265" s="889">
        <f t="shared" si="47"/>
        <v>0</v>
      </c>
      <c r="H265" s="889">
        <f>'SAN LUONG'!AO259*0.44</f>
        <v>0</v>
      </c>
      <c r="I265" s="889">
        <f t="shared" si="48"/>
        <v>0</v>
      </c>
      <c r="J265" s="889">
        <f>'SAN LUONG'!AV259*0.44</f>
        <v>669.68</v>
      </c>
      <c r="K265" s="889">
        <f t="shared" si="52"/>
        <v>11.63</v>
      </c>
      <c r="L265" s="889"/>
      <c r="M265" s="881">
        <f>'CHAM CONG'!BC256</f>
        <v>13</v>
      </c>
      <c r="N265" s="889">
        <f t="shared" si="53"/>
        <v>6.51</v>
      </c>
      <c r="O265" s="889">
        <f t="shared" si="54"/>
        <v>0.41</v>
      </c>
      <c r="P265" s="890">
        <f>'CHAM CONG'!BO256</f>
        <v>0</v>
      </c>
      <c r="Q265" s="942">
        <f t="shared" si="55"/>
        <v>0</v>
      </c>
      <c r="R265" s="942">
        <f>'SAN LUONG'!DW259</f>
        <v>55</v>
      </c>
      <c r="S265" s="942">
        <f t="shared" si="49"/>
        <v>1.72</v>
      </c>
      <c r="T265" s="943">
        <f>'CHAM CONG'!BW256</f>
        <v>0</v>
      </c>
      <c r="U265" s="942">
        <f t="shared" si="56"/>
        <v>0</v>
      </c>
      <c r="V265" s="890">
        <f>'CHAM CONG'!BD256</f>
        <v>1</v>
      </c>
      <c r="W265" s="944">
        <f t="shared" si="50"/>
        <v>0.53</v>
      </c>
      <c r="X265" s="891">
        <f>'CHAM CONG'!BT256</f>
        <v>0</v>
      </c>
      <c r="Y265" s="881">
        <f t="shared" si="57"/>
        <v>0</v>
      </c>
      <c r="Z265" s="892">
        <v>6.03</v>
      </c>
      <c r="AA265" s="942">
        <f t="shared" si="61"/>
        <v>1.7</v>
      </c>
      <c r="AB265" s="892">
        <v>6.03</v>
      </c>
      <c r="AC265" s="942">
        <f t="shared" si="58"/>
        <v>7.24</v>
      </c>
      <c r="AD265" s="892">
        <v>6.03</v>
      </c>
      <c r="AE265" s="942">
        <f t="shared" si="59"/>
        <v>4.3</v>
      </c>
      <c r="AF265" s="943" t="e">
        <f>#N/A</f>
        <v>#N/A</v>
      </c>
      <c r="AG265" s="893">
        <f t="shared" si="51"/>
        <v>34.040000000000006</v>
      </c>
      <c r="AH265" s="894"/>
      <c r="AI265" s="895">
        <v>31.82</v>
      </c>
      <c r="AJ265" s="791">
        <v>29.820000000000004</v>
      </c>
      <c r="AK265" s="896">
        <f t="shared" si="60"/>
        <v>2</v>
      </c>
      <c r="AL265" s="896"/>
      <c r="AS265" s="898"/>
    </row>
    <row r="266" spans="1:45" s="779" customFormat="1" ht="28.2" customHeight="1">
      <c r="A266" s="885">
        <v>250</v>
      </c>
      <c r="B266" s="886"/>
      <c r="C266" s="887" t="str">
        <f>'Tên thang 01-26'!E253</f>
        <v>ភឿន សុផល់</v>
      </c>
      <c r="D266" s="887" t="str">
        <f>'Tên thang 01-26'!F253</f>
        <v>PHOEUN SOPHAL</v>
      </c>
      <c r="E266" s="888">
        <v>130</v>
      </c>
      <c r="F266" s="889">
        <f>'SAN LUONG'!AP260*0.44</f>
        <v>0</v>
      </c>
      <c r="G266" s="889">
        <f t="shared" si="47"/>
        <v>0</v>
      </c>
      <c r="H266" s="889">
        <f>'SAN LUONG'!AO260*0.44</f>
        <v>0</v>
      </c>
      <c r="I266" s="889">
        <f t="shared" si="48"/>
        <v>0</v>
      </c>
      <c r="J266" s="889">
        <f>'SAN LUONG'!AV260*0.44</f>
        <v>500.72</v>
      </c>
      <c r="K266" s="889">
        <f t="shared" si="52"/>
        <v>8.6999999999999993</v>
      </c>
      <c r="L266" s="889"/>
      <c r="M266" s="881">
        <f>'CHAM CONG'!BC257</f>
        <v>14</v>
      </c>
      <c r="N266" s="889">
        <f t="shared" si="53"/>
        <v>7.01</v>
      </c>
      <c r="O266" s="889">
        <f t="shared" si="54"/>
        <v>0.44</v>
      </c>
      <c r="P266" s="890">
        <f>'CHAM CONG'!BO257</f>
        <v>0</v>
      </c>
      <c r="Q266" s="942">
        <f t="shared" si="55"/>
        <v>0</v>
      </c>
      <c r="R266" s="942">
        <f>'SAN LUONG'!DW260</f>
        <v>42.5</v>
      </c>
      <c r="S266" s="942">
        <f t="shared" si="49"/>
        <v>1.33</v>
      </c>
      <c r="T266" s="943">
        <f>'CHAM CONG'!BW257</f>
        <v>0</v>
      </c>
      <c r="U266" s="942">
        <f t="shared" si="56"/>
        <v>0</v>
      </c>
      <c r="V266" s="890">
        <f>'CHAM CONG'!BD257</f>
        <v>0</v>
      </c>
      <c r="W266" s="944">
        <f t="shared" si="50"/>
        <v>0</v>
      </c>
      <c r="X266" s="891">
        <f>'CHAM CONG'!BT257</f>
        <v>0</v>
      </c>
      <c r="Y266" s="881">
        <f t="shared" si="57"/>
        <v>0</v>
      </c>
      <c r="Z266" s="892">
        <v>6.03</v>
      </c>
      <c r="AA266" s="942">
        <f t="shared" si="61"/>
        <v>1.7</v>
      </c>
      <c r="AB266" s="892">
        <v>6.03</v>
      </c>
      <c r="AC266" s="942">
        <f t="shared" si="58"/>
        <v>7.24</v>
      </c>
      <c r="AD266" s="892">
        <v>6.03</v>
      </c>
      <c r="AE266" s="942">
        <f t="shared" si="59"/>
        <v>4.3</v>
      </c>
      <c r="AF266" s="943" t="e">
        <f>#N/A</f>
        <v>#N/A</v>
      </c>
      <c r="AG266" s="893">
        <f t="shared" si="51"/>
        <v>30.720000000000002</v>
      </c>
      <c r="AH266" s="894"/>
      <c r="AI266" s="895">
        <v>23.01</v>
      </c>
      <c r="AJ266" s="791">
        <v>21</v>
      </c>
      <c r="AK266" s="896">
        <f t="shared" si="60"/>
        <v>2</v>
      </c>
      <c r="AL266" s="896"/>
      <c r="AS266" s="898"/>
    </row>
    <row r="267" spans="1:45" s="779" customFormat="1" ht="28.2" customHeight="1">
      <c r="A267" s="885">
        <v>251</v>
      </c>
      <c r="B267" s="886"/>
      <c r="C267" s="887" t="str">
        <f>'Tên thang 01-26'!E254</f>
        <v>លន លៀម</v>
      </c>
      <c r="D267" s="887" t="str">
        <f>'Tên thang 01-26'!F254</f>
        <v>LON LEAM</v>
      </c>
      <c r="E267" s="888">
        <v>131</v>
      </c>
      <c r="F267" s="889">
        <f>'SAN LUONG'!AP261*0.44</f>
        <v>0</v>
      </c>
      <c r="G267" s="889">
        <f t="shared" si="47"/>
        <v>0</v>
      </c>
      <c r="H267" s="889">
        <f>'SAN LUONG'!AO261*0.44</f>
        <v>0</v>
      </c>
      <c r="I267" s="889">
        <f t="shared" si="48"/>
        <v>0</v>
      </c>
      <c r="J267" s="889">
        <f>'SAN LUONG'!AV261*0.44</f>
        <v>395.12</v>
      </c>
      <c r="K267" s="889">
        <f t="shared" si="52"/>
        <v>6.86</v>
      </c>
      <c r="L267" s="889"/>
      <c r="M267" s="881">
        <f>'CHAM CONG'!BC258</f>
        <v>9</v>
      </c>
      <c r="N267" s="889">
        <f t="shared" si="53"/>
        <v>4.51</v>
      </c>
      <c r="O267" s="889">
        <f t="shared" si="54"/>
        <v>0.28000000000000003</v>
      </c>
      <c r="P267" s="890">
        <f>'CHAM CONG'!BO258</f>
        <v>0</v>
      </c>
      <c r="Q267" s="942">
        <f t="shared" si="55"/>
        <v>0</v>
      </c>
      <c r="R267" s="942">
        <f>'SAN LUONG'!DW261</f>
        <v>31.3</v>
      </c>
      <c r="S267" s="942">
        <f t="shared" si="49"/>
        <v>0.98</v>
      </c>
      <c r="T267" s="943">
        <f>'CHAM CONG'!BW258</f>
        <v>0</v>
      </c>
      <c r="U267" s="942">
        <f t="shared" si="56"/>
        <v>0</v>
      </c>
      <c r="V267" s="890">
        <f>'CHAM CONG'!BD258</f>
        <v>0</v>
      </c>
      <c r="W267" s="944">
        <f t="shared" si="50"/>
        <v>0</v>
      </c>
      <c r="X267" s="891">
        <f>'CHAM CONG'!BT258</f>
        <v>0</v>
      </c>
      <c r="Y267" s="881">
        <f t="shared" si="57"/>
        <v>0</v>
      </c>
      <c r="Z267" s="892">
        <v>6.03</v>
      </c>
      <c r="AA267" s="942">
        <f t="shared" si="61"/>
        <v>1.7</v>
      </c>
      <c r="AB267" s="892">
        <v>6.03</v>
      </c>
      <c r="AC267" s="942">
        <f t="shared" si="58"/>
        <v>7.24</v>
      </c>
      <c r="AD267" s="892">
        <v>6.03</v>
      </c>
      <c r="AE267" s="942">
        <f t="shared" si="59"/>
        <v>4.3</v>
      </c>
      <c r="AF267" s="943" t="e">
        <f>#N/A</f>
        <v>#N/A</v>
      </c>
      <c r="AG267" s="893">
        <f t="shared" si="51"/>
        <v>25.870000000000005</v>
      </c>
      <c r="AH267" s="894"/>
      <c r="AI267" s="895">
        <v>23.25</v>
      </c>
      <c r="AJ267" s="791">
        <v>21.240000000000006</v>
      </c>
      <c r="AK267" s="896">
        <f t="shared" si="60"/>
        <v>2</v>
      </c>
      <c r="AL267" s="896"/>
      <c r="AS267" s="898"/>
    </row>
    <row r="268" spans="1:45" s="779" customFormat="1" ht="28.2" customHeight="1">
      <c r="A268" s="885">
        <v>252</v>
      </c>
      <c r="B268" s="886"/>
      <c r="C268" s="887" t="str">
        <f>'Tên thang 01-26'!E255</f>
        <v>ចាន់ ណារ៉ុង</v>
      </c>
      <c r="D268" s="887" t="str">
        <f>'Tên thang 01-26'!F255</f>
        <v>CHAN NARONG</v>
      </c>
      <c r="E268" s="888">
        <v>132</v>
      </c>
      <c r="F268" s="889">
        <f>'SAN LUONG'!AP262*0.44</f>
        <v>0</v>
      </c>
      <c r="G268" s="889">
        <f t="shared" si="47"/>
        <v>0</v>
      </c>
      <c r="H268" s="889">
        <f>'SAN LUONG'!AO262*0.44</f>
        <v>0</v>
      </c>
      <c r="I268" s="889">
        <f t="shared" si="48"/>
        <v>0</v>
      </c>
      <c r="J268" s="889">
        <f>'SAN LUONG'!AV262*0.44</f>
        <v>650.32000000000005</v>
      </c>
      <c r="K268" s="889">
        <f t="shared" si="52"/>
        <v>11.3</v>
      </c>
      <c r="L268" s="889"/>
      <c r="M268" s="881">
        <f>'CHAM CONG'!BC259</f>
        <v>13</v>
      </c>
      <c r="N268" s="889">
        <f t="shared" si="53"/>
        <v>6.51</v>
      </c>
      <c r="O268" s="889">
        <f t="shared" si="54"/>
        <v>0.41</v>
      </c>
      <c r="P268" s="890">
        <f>'CHAM CONG'!BO259</f>
        <v>27</v>
      </c>
      <c r="Q268" s="942">
        <f t="shared" si="55"/>
        <v>2.54</v>
      </c>
      <c r="R268" s="942">
        <f>'SAN LUONG'!DW262</f>
        <v>70</v>
      </c>
      <c r="S268" s="942">
        <f t="shared" si="49"/>
        <v>2.19</v>
      </c>
      <c r="T268" s="943">
        <f>'CHAM CONG'!BW259</f>
        <v>0</v>
      </c>
      <c r="U268" s="942">
        <f t="shared" si="56"/>
        <v>0</v>
      </c>
      <c r="V268" s="890">
        <f>'CHAM CONG'!BD259</f>
        <v>1</v>
      </c>
      <c r="W268" s="944">
        <f t="shared" si="50"/>
        <v>0.53</v>
      </c>
      <c r="X268" s="891">
        <f>'CHAM CONG'!BT259</f>
        <v>1</v>
      </c>
      <c r="Y268" s="881">
        <f t="shared" si="57"/>
        <v>1.1000000000000001</v>
      </c>
      <c r="Z268" s="892">
        <v>6.03</v>
      </c>
      <c r="AA268" s="942">
        <f t="shared" si="61"/>
        <v>1.7</v>
      </c>
      <c r="AB268" s="892">
        <v>6.03</v>
      </c>
      <c r="AC268" s="942">
        <f t="shared" si="58"/>
        <v>7.24</v>
      </c>
      <c r="AD268" s="892">
        <v>6.03</v>
      </c>
      <c r="AE268" s="942">
        <f t="shared" si="59"/>
        <v>4.3</v>
      </c>
      <c r="AF268" s="943" t="e">
        <f>#N/A</f>
        <v>#N/A</v>
      </c>
      <c r="AG268" s="893">
        <f t="shared" si="51"/>
        <v>37.82</v>
      </c>
      <c r="AH268" s="894"/>
      <c r="AI268" s="895">
        <v>30.05</v>
      </c>
      <c r="AJ268" s="791">
        <v>28.040000000000003</v>
      </c>
      <c r="AK268" s="896">
        <f t="shared" si="60"/>
        <v>2</v>
      </c>
      <c r="AL268" s="896"/>
      <c r="AS268" s="898"/>
    </row>
    <row r="269" spans="1:45" s="779" customFormat="1" ht="28.2" customHeight="1">
      <c r="A269" s="885">
        <v>253</v>
      </c>
      <c r="B269" s="886"/>
      <c r="C269" s="887" t="str">
        <f>'Tên thang 01-26'!E256</f>
        <v>ង៉ា អ៊ាត</v>
      </c>
      <c r="D269" s="887" t="str">
        <f>'Tên thang 01-26'!F256</f>
        <v>NGAR EAT</v>
      </c>
      <c r="E269" s="888">
        <v>133</v>
      </c>
      <c r="F269" s="889">
        <f>'SAN LUONG'!AP263*0.44</f>
        <v>0</v>
      </c>
      <c r="G269" s="889">
        <f t="shared" si="47"/>
        <v>0</v>
      </c>
      <c r="H269" s="889">
        <f>'SAN LUONG'!AO263*0.44</f>
        <v>0</v>
      </c>
      <c r="I269" s="889">
        <f t="shared" si="48"/>
        <v>0</v>
      </c>
      <c r="J269" s="889">
        <f>'SAN LUONG'!AV263*0.44</f>
        <v>667.48</v>
      </c>
      <c r="K269" s="889">
        <f t="shared" si="52"/>
        <v>11.6</v>
      </c>
      <c r="L269" s="889"/>
      <c r="M269" s="881">
        <f>'CHAM CONG'!BC260</f>
        <v>13</v>
      </c>
      <c r="N269" s="889">
        <f t="shared" si="53"/>
        <v>6.51</v>
      </c>
      <c r="O269" s="889">
        <f t="shared" si="54"/>
        <v>0.41</v>
      </c>
      <c r="P269" s="890">
        <f>'CHAM CONG'!BO260</f>
        <v>26</v>
      </c>
      <c r="Q269" s="942">
        <f t="shared" si="55"/>
        <v>2.44</v>
      </c>
      <c r="R269" s="942">
        <f>'SAN LUONG'!DW263</f>
        <v>76.8</v>
      </c>
      <c r="S269" s="942">
        <f t="shared" si="49"/>
        <v>2.4</v>
      </c>
      <c r="T269" s="943">
        <f>'CHAM CONG'!BW260</f>
        <v>0</v>
      </c>
      <c r="U269" s="942">
        <f t="shared" si="56"/>
        <v>0</v>
      </c>
      <c r="V269" s="890">
        <f>'CHAM CONG'!BD260</f>
        <v>1</v>
      </c>
      <c r="W269" s="944">
        <f t="shared" si="50"/>
        <v>0.53</v>
      </c>
      <c r="X269" s="891">
        <f>'CHAM CONG'!BT260</f>
        <v>1</v>
      </c>
      <c r="Y269" s="881">
        <f t="shared" si="57"/>
        <v>1.1000000000000001</v>
      </c>
      <c r="Z269" s="892">
        <v>6.03</v>
      </c>
      <c r="AA269" s="942">
        <f t="shared" ref="AA269:AA322" si="62">ROUND(Z269*$Z$15,2)</f>
        <v>1.7</v>
      </c>
      <c r="AB269" s="892">
        <v>6.03</v>
      </c>
      <c r="AC269" s="942">
        <f t="shared" si="58"/>
        <v>7.24</v>
      </c>
      <c r="AD269" s="892">
        <v>6.03</v>
      </c>
      <c r="AE269" s="942">
        <f t="shared" si="59"/>
        <v>4.3</v>
      </c>
      <c r="AF269" s="943" t="e">
        <f>#N/A</f>
        <v>#N/A</v>
      </c>
      <c r="AG269" s="893">
        <f t="shared" si="51"/>
        <v>38.229999999999997</v>
      </c>
      <c r="AH269" s="894"/>
      <c r="AI269" s="895">
        <v>31.71</v>
      </c>
      <c r="AJ269" s="791">
        <v>29.700000000000003</v>
      </c>
      <c r="AK269" s="896">
        <f t="shared" si="60"/>
        <v>2</v>
      </c>
      <c r="AL269" s="896"/>
      <c r="AS269" s="898"/>
    </row>
    <row r="270" spans="1:45" s="779" customFormat="1" ht="28.2" customHeight="1">
      <c r="A270" s="885">
        <v>254</v>
      </c>
      <c r="B270" s="886"/>
      <c r="C270" s="887" t="str">
        <f>'Tên thang 01-26'!E257</f>
        <v>ហង់ ស៊ីយាន</v>
      </c>
      <c r="D270" s="887" t="str">
        <f>'Tên thang 01-26'!F257</f>
        <v>HONG SIYEAN</v>
      </c>
      <c r="E270" s="888">
        <v>134</v>
      </c>
      <c r="F270" s="889">
        <f>'SAN LUONG'!AP264*0.44</f>
        <v>0</v>
      </c>
      <c r="G270" s="889">
        <f t="shared" si="47"/>
        <v>0</v>
      </c>
      <c r="H270" s="889">
        <f>'SAN LUONG'!AO264*0.44</f>
        <v>0</v>
      </c>
      <c r="I270" s="889">
        <f t="shared" si="48"/>
        <v>0</v>
      </c>
      <c r="J270" s="889">
        <f>'SAN LUONG'!AV264*0.44</f>
        <v>719.84</v>
      </c>
      <c r="K270" s="889">
        <f t="shared" si="52"/>
        <v>12.51</v>
      </c>
      <c r="L270" s="889"/>
      <c r="M270" s="881">
        <f>'CHAM CONG'!BC261</f>
        <v>15</v>
      </c>
      <c r="N270" s="889">
        <f t="shared" si="53"/>
        <v>7.51</v>
      </c>
      <c r="O270" s="889">
        <f t="shared" si="54"/>
        <v>0.47</v>
      </c>
      <c r="P270" s="890">
        <f>'CHAM CONG'!BO261</f>
        <v>27</v>
      </c>
      <c r="Q270" s="942">
        <f t="shared" si="55"/>
        <v>2.54</v>
      </c>
      <c r="R270" s="942">
        <f>'SAN LUONG'!DW264</f>
        <v>34.299999999999997</v>
      </c>
      <c r="S270" s="942">
        <f t="shared" si="49"/>
        <v>1.07</v>
      </c>
      <c r="T270" s="943">
        <f>'CHAM CONG'!BW261</f>
        <v>0</v>
      </c>
      <c r="U270" s="942">
        <f t="shared" si="56"/>
        <v>0</v>
      </c>
      <c r="V270" s="890">
        <f>'CHAM CONG'!BD261</f>
        <v>1</v>
      </c>
      <c r="W270" s="944">
        <f t="shared" si="50"/>
        <v>0.53</v>
      </c>
      <c r="X270" s="891">
        <f>'CHAM CONG'!BT261</f>
        <v>1</v>
      </c>
      <c r="Y270" s="881">
        <f t="shared" si="57"/>
        <v>1.1000000000000001</v>
      </c>
      <c r="Z270" s="892">
        <v>6.03</v>
      </c>
      <c r="AA270" s="942">
        <f t="shared" si="62"/>
        <v>1.7</v>
      </c>
      <c r="AB270" s="892">
        <v>6.03</v>
      </c>
      <c r="AC270" s="942">
        <f t="shared" si="58"/>
        <v>7.24</v>
      </c>
      <c r="AD270" s="892">
        <v>6.03</v>
      </c>
      <c r="AE270" s="942">
        <f t="shared" si="59"/>
        <v>4.3</v>
      </c>
      <c r="AF270" s="943" t="e">
        <f>#N/A</f>
        <v>#N/A</v>
      </c>
      <c r="AG270" s="893">
        <f t="shared" si="51"/>
        <v>38.97</v>
      </c>
      <c r="AH270" s="894"/>
      <c r="AI270" s="895">
        <v>27.4</v>
      </c>
      <c r="AJ270" s="791">
        <v>24.770000000000003</v>
      </c>
      <c r="AK270" s="896">
        <f t="shared" si="60"/>
        <v>3</v>
      </c>
      <c r="AL270" s="896"/>
      <c r="AS270" s="898"/>
    </row>
    <row r="271" spans="1:45" s="779" customFormat="1" ht="28.2" customHeight="1">
      <c r="A271" s="885">
        <v>255</v>
      </c>
      <c r="B271" s="886"/>
      <c r="C271" s="887" t="str">
        <f>'Tên thang 01-26'!E258</f>
        <v>បួ សុខជា</v>
      </c>
      <c r="D271" s="887" t="str">
        <f>'Tên thang 01-26'!F258</f>
        <v>BOUR SOKCHEA</v>
      </c>
      <c r="E271" s="888">
        <v>135</v>
      </c>
      <c r="F271" s="889">
        <f>'SAN LUONG'!AP265*0.44</f>
        <v>0</v>
      </c>
      <c r="G271" s="889">
        <f t="shared" si="47"/>
        <v>0</v>
      </c>
      <c r="H271" s="889">
        <f>'SAN LUONG'!AO265*0.44</f>
        <v>0</v>
      </c>
      <c r="I271" s="889">
        <f t="shared" si="48"/>
        <v>0</v>
      </c>
      <c r="J271" s="889">
        <f>'SAN LUONG'!AV265*0.44</f>
        <v>787.6</v>
      </c>
      <c r="K271" s="889">
        <f t="shared" si="52"/>
        <v>13.68</v>
      </c>
      <c r="L271" s="889"/>
      <c r="M271" s="881">
        <f>'CHAM CONG'!BC262</f>
        <v>16</v>
      </c>
      <c r="N271" s="889">
        <f t="shared" si="53"/>
        <v>8.01</v>
      </c>
      <c r="O271" s="889">
        <f t="shared" si="54"/>
        <v>0.5</v>
      </c>
      <c r="P271" s="890">
        <f>'CHAM CONG'!BO262</f>
        <v>28</v>
      </c>
      <c r="Q271" s="942">
        <f t="shared" si="55"/>
        <v>2.63</v>
      </c>
      <c r="R271" s="942">
        <f>'SAN LUONG'!DW265</f>
        <v>34</v>
      </c>
      <c r="S271" s="942">
        <f t="shared" si="49"/>
        <v>1.06</v>
      </c>
      <c r="T271" s="943">
        <f>'CHAM CONG'!BW262</f>
        <v>0</v>
      </c>
      <c r="U271" s="942">
        <f t="shared" si="56"/>
        <v>0</v>
      </c>
      <c r="V271" s="890">
        <f>'CHAM CONG'!BD262</f>
        <v>0</v>
      </c>
      <c r="W271" s="944">
        <f t="shared" si="50"/>
        <v>0</v>
      </c>
      <c r="X271" s="891">
        <f>'CHAM CONG'!BT262</f>
        <v>1</v>
      </c>
      <c r="Y271" s="881">
        <f t="shared" si="57"/>
        <v>1.1000000000000001</v>
      </c>
      <c r="Z271" s="892">
        <v>6.03</v>
      </c>
      <c r="AA271" s="942">
        <f t="shared" si="62"/>
        <v>1.7</v>
      </c>
      <c r="AB271" s="892">
        <v>6.03</v>
      </c>
      <c r="AC271" s="942">
        <f t="shared" si="58"/>
        <v>7.24</v>
      </c>
      <c r="AD271" s="892">
        <v>6.03</v>
      </c>
      <c r="AE271" s="942">
        <f t="shared" si="59"/>
        <v>4.3</v>
      </c>
      <c r="AF271" s="943" t="e">
        <f>#N/A</f>
        <v>#N/A</v>
      </c>
      <c r="AG271" s="893">
        <f t="shared" si="51"/>
        <v>40.22</v>
      </c>
      <c r="AH271" s="894"/>
      <c r="AI271" s="895">
        <v>30.39</v>
      </c>
      <c r="AJ271" s="791">
        <v>28.390000000000004</v>
      </c>
      <c r="AK271" s="896">
        <f t="shared" si="60"/>
        <v>2</v>
      </c>
      <c r="AL271" s="896"/>
      <c r="AS271" s="898"/>
    </row>
    <row r="272" spans="1:45" s="779" customFormat="1" ht="28.2" customHeight="1">
      <c r="A272" s="885">
        <v>256</v>
      </c>
      <c r="B272" s="886"/>
      <c r="C272" s="887" t="str">
        <f>'Tên thang 01-26'!E259</f>
        <v>ឃឹម ធឿន</v>
      </c>
      <c r="D272" s="887" t="str">
        <f>'Tên thang 01-26'!F259</f>
        <v>KHOEM THOEUN</v>
      </c>
      <c r="E272" s="888">
        <v>136</v>
      </c>
      <c r="F272" s="889">
        <f>'SAN LUONG'!AP266*0.44</f>
        <v>0</v>
      </c>
      <c r="G272" s="889">
        <f t="shared" si="47"/>
        <v>0</v>
      </c>
      <c r="H272" s="889">
        <f>'SAN LUONG'!AO266*0.44</f>
        <v>0</v>
      </c>
      <c r="I272" s="889">
        <f t="shared" si="48"/>
        <v>0</v>
      </c>
      <c r="J272" s="889">
        <f>'SAN LUONG'!AV266*0.44</f>
        <v>0</v>
      </c>
      <c r="K272" s="889">
        <f t="shared" si="52"/>
        <v>0</v>
      </c>
      <c r="L272" s="889"/>
      <c r="M272" s="881">
        <f>'CHAM CONG'!BC263</f>
        <v>0</v>
      </c>
      <c r="N272" s="889">
        <f t="shared" si="53"/>
        <v>0</v>
      </c>
      <c r="O272" s="889">
        <f t="shared" si="54"/>
        <v>0</v>
      </c>
      <c r="P272" s="890">
        <f>'CHAM CONG'!BO263</f>
        <v>0</v>
      </c>
      <c r="Q272" s="942">
        <f t="shared" si="55"/>
        <v>0</v>
      </c>
      <c r="R272" s="942">
        <f>'SAN LUONG'!DW266</f>
        <v>10.3</v>
      </c>
      <c r="S272" s="942">
        <f t="shared" si="49"/>
        <v>0.32</v>
      </c>
      <c r="T272" s="943">
        <f>'CHAM CONG'!BW263</f>
        <v>0</v>
      </c>
      <c r="U272" s="942">
        <f t="shared" si="56"/>
        <v>0</v>
      </c>
      <c r="V272" s="890">
        <f>'CHAM CONG'!BD263</f>
        <v>0</v>
      </c>
      <c r="W272" s="944">
        <f t="shared" si="50"/>
        <v>0</v>
      </c>
      <c r="X272" s="891">
        <f>'CHAM CONG'!BT263</f>
        <v>0</v>
      </c>
      <c r="Y272" s="881">
        <f t="shared" si="57"/>
        <v>0</v>
      </c>
      <c r="Z272" s="892">
        <v>6.03</v>
      </c>
      <c r="AA272" s="942">
        <f t="shared" si="62"/>
        <v>1.7</v>
      </c>
      <c r="AB272" s="892">
        <v>6.03</v>
      </c>
      <c r="AC272" s="942">
        <f t="shared" si="58"/>
        <v>7.24</v>
      </c>
      <c r="AD272" s="892">
        <v>6.03</v>
      </c>
      <c r="AE272" s="942">
        <f t="shared" si="59"/>
        <v>4.3</v>
      </c>
      <c r="AF272" s="943" t="e">
        <f>#N/A</f>
        <v>#N/A</v>
      </c>
      <c r="AG272" s="893">
        <f t="shared" si="51"/>
        <v>13.559999999999999</v>
      </c>
      <c r="AH272" s="894"/>
      <c r="AI272" s="895">
        <v>25.96</v>
      </c>
      <c r="AJ272" s="791">
        <v>24.570000000000004</v>
      </c>
      <c r="AK272" s="896">
        <f t="shared" si="60"/>
        <v>1</v>
      </c>
      <c r="AL272" s="896"/>
      <c r="AS272" s="898"/>
    </row>
    <row r="273" spans="1:45" s="779" customFormat="1" ht="25.2" customHeight="1">
      <c r="A273" s="885">
        <v>257</v>
      </c>
      <c r="B273" s="886"/>
      <c r="C273" s="887" t="str">
        <f>'Tên thang 01-26'!E260</f>
        <v>ហន ហាយ</v>
      </c>
      <c r="D273" s="887" t="str">
        <f>'Tên thang 01-26'!F260</f>
        <v>HORN HAY</v>
      </c>
      <c r="E273" s="888">
        <v>215</v>
      </c>
      <c r="F273" s="889">
        <f>'SAN LUONG'!AP267*0.44</f>
        <v>626.12</v>
      </c>
      <c r="G273" s="889">
        <f t="shared" ref="G273:G336" si="63">ROUND((F273*$G$15)/31947,2)</f>
        <v>8.92</v>
      </c>
      <c r="H273" s="889">
        <f>'SAN LUONG'!AO267*0.44</f>
        <v>0</v>
      </c>
      <c r="I273" s="889">
        <f t="shared" ref="I273:I336" si="64">ROUND((H273*$I$15)/31947,2)</f>
        <v>0</v>
      </c>
      <c r="J273" s="889">
        <f>'SAN LUONG'!AV267*0.44</f>
        <v>298.32</v>
      </c>
      <c r="K273" s="889">
        <f t="shared" si="52"/>
        <v>5.18</v>
      </c>
      <c r="L273" s="889"/>
      <c r="M273" s="881">
        <f>'CHAM CONG'!BC264</f>
        <v>15</v>
      </c>
      <c r="N273" s="889">
        <f t="shared" si="53"/>
        <v>7.51</v>
      </c>
      <c r="O273" s="889">
        <f t="shared" si="54"/>
        <v>0.47</v>
      </c>
      <c r="P273" s="890">
        <f>'CHAM CONG'!BO264</f>
        <v>27</v>
      </c>
      <c r="Q273" s="942">
        <f t="shared" si="55"/>
        <v>2.54</v>
      </c>
      <c r="R273" s="942">
        <f>'SAN LUONG'!DW267</f>
        <v>12</v>
      </c>
      <c r="S273" s="942">
        <f t="shared" ref="S273:S336" si="65">ROUND(R273*1000/31947,2)</f>
        <v>0.38</v>
      </c>
      <c r="T273" s="943">
        <f>'CHAM CONG'!BW264</f>
        <v>0</v>
      </c>
      <c r="U273" s="942">
        <f t="shared" si="56"/>
        <v>0</v>
      </c>
      <c r="V273" s="890">
        <f>'CHAM CONG'!BD264</f>
        <v>1</v>
      </c>
      <c r="W273" s="944">
        <f t="shared" ref="W273:W336" si="66">ROUND(V273*$V$15,2)</f>
        <v>0.53</v>
      </c>
      <c r="X273" s="891">
        <f>'CHAM CONG'!BT264</f>
        <v>1</v>
      </c>
      <c r="Y273" s="881">
        <f t="shared" si="57"/>
        <v>1.1000000000000001</v>
      </c>
      <c r="Z273" s="892">
        <v>6.03</v>
      </c>
      <c r="AA273" s="942">
        <f t="shared" si="62"/>
        <v>1.7</v>
      </c>
      <c r="AB273" s="892">
        <v>6.03</v>
      </c>
      <c r="AC273" s="942">
        <f t="shared" si="58"/>
        <v>7.24</v>
      </c>
      <c r="AD273" s="892">
        <v>6.03</v>
      </c>
      <c r="AE273" s="942">
        <f t="shared" si="59"/>
        <v>4.3</v>
      </c>
      <c r="AF273" s="943" t="e">
        <f>#N/A</f>
        <v>#N/A</v>
      </c>
      <c r="AG273" s="893">
        <f t="shared" ref="AG273:AG336" si="67">G273+I273+K273+N273+Q273+S273+U273+W273+Y273+AC273+AE273+O273+AA273</f>
        <v>39.869999999999997</v>
      </c>
      <c r="AH273" s="894"/>
      <c r="AI273" s="895">
        <v>30.12</v>
      </c>
      <c r="AJ273" s="791">
        <v>28.100000000000005</v>
      </c>
      <c r="AK273" s="896">
        <f t="shared" si="60"/>
        <v>2</v>
      </c>
      <c r="AL273" s="896"/>
      <c r="AS273" s="898"/>
    </row>
    <row r="274" spans="1:45" s="779" customFormat="1" ht="25.2" customHeight="1">
      <c r="A274" s="885">
        <v>258</v>
      </c>
      <c r="B274" s="886"/>
      <c r="C274" s="887" t="str">
        <f>'Tên thang 01-26'!E261</f>
        <v>លាង ផា</v>
      </c>
      <c r="D274" s="887" t="str">
        <f>'Tên thang 01-26'!F261</f>
        <v>LEANG PHA</v>
      </c>
      <c r="E274" s="888">
        <v>216</v>
      </c>
      <c r="F274" s="889">
        <f>'SAN LUONG'!AP268*0.44</f>
        <v>753.28</v>
      </c>
      <c r="G274" s="889">
        <f t="shared" si="63"/>
        <v>10.73</v>
      </c>
      <c r="H274" s="889">
        <f>'SAN LUONG'!AO268*0.44</f>
        <v>0</v>
      </c>
      <c r="I274" s="889">
        <f t="shared" si="64"/>
        <v>0</v>
      </c>
      <c r="J274" s="889">
        <f>'SAN LUONG'!AV268*0.44</f>
        <v>258.28000000000003</v>
      </c>
      <c r="K274" s="889">
        <f t="shared" ref="K274:K337" si="68">ROUND((J274*$K$15)/31947,2)</f>
        <v>4.49</v>
      </c>
      <c r="L274" s="889"/>
      <c r="M274" s="881">
        <f>'CHAM CONG'!BC265</f>
        <v>16</v>
      </c>
      <c r="N274" s="889">
        <f t="shared" ref="N274:N337" si="69">ROUND(M274*16000/31947,2)</f>
        <v>8.01</v>
      </c>
      <c r="O274" s="889">
        <f t="shared" ref="O274:O337" si="70">ROUND(M274*1000/31947,2)</f>
        <v>0.5</v>
      </c>
      <c r="P274" s="890">
        <f>'CHAM CONG'!BO265</f>
        <v>26</v>
      </c>
      <c r="Q274" s="942">
        <f t="shared" ref="Q274:Q337" si="71">ROUND(P274*0.0939,2)</f>
        <v>2.44</v>
      </c>
      <c r="R274" s="942">
        <f>'SAN LUONG'!DW268</f>
        <v>7.9</v>
      </c>
      <c r="S274" s="942">
        <f t="shared" si="65"/>
        <v>0.25</v>
      </c>
      <c r="T274" s="943">
        <f>'CHAM CONG'!BW265</f>
        <v>0</v>
      </c>
      <c r="U274" s="942">
        <f t="shared" ref="U274:U337" si="72">ROUND(T274/31947,2)</f>
        <v>0</v>
      </c>
      <c r="V274" s="890">
        <f>'CHAM CONG'!BD265</f>
        <v>1</v>
      </c>
      <c r="W274" s="944">
        <f t="shared" si="66"/>
        <v>0.53</v>
      </c>
      <c r="X274" s="891">
        <f>'CHAM CONG'!BT265</f>
        <v>1</v>
      </c>
      <c r="Y274" s="881">
        <f t="shared" ref="Y274:Y337" si="73">ROUND(X274*1.0956,1)</f>
        <v>1.1000000000000001</v>
      </c>
      <c r="Z274" s="892">
        <v>6.03</v>
      </c>
      <c r="AA274" s="942">
        <f t="shared" si="62"/>
        <v>1.7</v>
      </c>
      <c r="AB274" s="892">
        <v>6.03</v>
      </c>
      <c r="AC274" s="942">
        <f t="shared" ref="AC274:AC337" si="74">ROUND(AB274*$AB$15,2)</f>
        <v>7.24</v>
      </c>
      <c r="AD274" s="892">
        <v>6.03</v>
      </c>
      <c r="AE274" s="942">
        <f t="shared" ref="AE274:AE337" si="75">ROUND(AD274*$AD$15,2)</f>
        <v>4.3</v>
      </c>
      <c r="AF274" s="943" t="e">
        <f>#N/A</f>
        <v>#N/A</v>
      </c>
      <c r="AG274" s="893">
        <f t="shared" si="67"/>
        <v>41.290000000000006</v>
      </c>
      <c r="AH274" s="894"/>
      <c r="AI274" s="895">
        <v>26.36</v>
      </c>
      <c r="AJ274" s="791">
        <v>24.36</v>
      </c>
      <c r="AK274" s="896">
        <f t="shared" ref="AK274:AK337" si="76">ROUND(AI274-AJ274,0)</f>
        <v>2</v>
      </c>
      <c r="AL274" s="896"/>
      <c r="AS274" s="898"/>
    </row>
    <row r="275" spans="1:45" s="779" customFormat="1" ht="25.2" customHeight="1">
      <c r="A275" s="885">
        <v>259</v>
      </c>
      <c r="B275" s="886"/>
      <c r="C275" s="887" t="str">
        <f>'Tên thang 01-26'!E262</f>
        <v>អ៊ឹម ចាន់ណា</v>
      </c>
      <c r="D275" s="887" t="str">
        <f>'Tên thang 01-26'!F262</f>
        <v>OEM CHANNA</v>
      </c>
      <c r="E275" s="888">
        <v>217</v>
      </c>
      <c r="F275" s="889">
        <f>'SAN LUONG'!AP269*0.44</f>
        <v>776.16</v>
      </c>
      <c r="G275" s="889">
        <f t="shared" si="63"/>
        <v>11.05</v>
      </c>
      <c r="H275" s="889">
        <f>'SAN LUONG'!AO269*0.44</f>
        <v>0</v>
      </c>
      <c r="I275" s="889">
        <f t="shared" si="64"/>
        <v>0</v>
      </c>
      <c r="J275" s="889">
        <f>'SAN LUONG'!AV269*0.44</f>
        <v>220</v>
      </c>
      <c r="K275" s="889">
        <f t="shared" si="68"/>
        <v>3.82</v>
      </c>
      <c r="L275" s="889"/>
      <c r="M275" s="881">
        <f>'CHAM CONG'!BC266</f>
        <v>16</v>
      </c>
      <c r="N275" s="889">
        <f t="shared" si="69"/>
        <v>8.01</v>
      </c>
      <c r="O275" s="889">
        <f t="shared" si="70"/>
        <v>0.5</v>
      </c>
      <c r="P275" s="890">
        <f>'CHAM CONG'!BO266</f>
        <v>28</v>
      </c>
      <c r="Q275" s="942">
        <f t="shared" si="71"/>
        <v>2.63</v>
      </c>
      <c r="R275" s="942">
        <f>'SAN LUONG'!DW269</f>
        <v>8.1</v>
      </c>
      <c r="S275" s="942">
        <f t="shared" si="65"/>
        <v>0.25</v>
      </c>
      <c r="T275" s="943">
        <f>'CHAM CONG'!BW266</f>
        <v>0</v>
      </c>
      <c r="U275" s="942">
        <f t="shared" si="72"/>
        <v>0</v>
      </c>
      <c r="V275" s="890">
        <f>'CHAM CONG'!BD266</f>
        <v>1</v>
      </c>
      <c r="W275" s="944">
        <f t="shared" si="66"/>
        <v>0.53</v>
      </c>
      <c r="X275" s="891">
        <f>'CHAM CONG'!BT266</f>
        <v>1</v>
      </c>
      <c r="Y275" s="881">
        <f t="shared" si="73"/>
        <v>1.1000000000000001</v>
      </c>
      <c r="Z275" s="892">
        <v>6.03</v>
      </c>
      <c r="AA275" s="942">
        <f t="shared" si="62"/>
        <v>1.7</v>
      </c>
      <c r="AB275" s="892">
        <v>6.03</v>
      </c>
      <c r="AC275" s="942">
        <f t="shared" si="74"/>
        <v>7.24</v>
      </c>
      <c r="AD275" s="892">
        <v>6.03</v>
      </c>
      <c r="AE275" s="942">
        <f t="shared" si="75"/>
        <v>4.3</v>
      </c>
      <c r="AF275" s="943" t="e">
        <f>#N/A</f>
        <v>#N/A</v>
      </c>
      <c r="AG275" s="893">
        <f t="shared" si="67"/>
        <v>41.13</v>
      </c>
      <c r="AH275" s="894"/>
      <c r="AI275" s="895">
        <v>29.03</v>
      </c>
      <c r="AJ275" s="791">
        <v>26.400000000000002</v>
      </c>
      <c r="AK275" s="896">
        <f t="shared" si="76"/>
        <v>3</v>
      </c>
      <c r="AL275" s="896"/>
      <c r="AS275" s="898"/>
    </row>
    <row r="276" spans="1:45" s="779" customFormat="1" ht="25.2" customHeight="1">
      <c r="A276" s="885">
        <v>260</v>
      </c>
      <c r="B276" s="886"/>
      <c r="C276" s="887" t="str">
        <f>'Tên thang 01-26'!E263</f>
        <v>អៀង វី</v>
      </c>
      <c r="D276" s="887" t="str">
        <f>'Tên thang 01-26'!F263</f>
        <v>EANG VY</v>
      </c>
      <c r="E276" s="888">
        <v>218</v>
      </c>
      <c r="F276" s="889">
        <f>'SAN LUONG'!AP270*0.44</f>
        <v>817.52</v>
      </c>
      <c r="G276" s="889">
        <f t="shared" si="63"/>
        <v>11.64</v>
      </c>
      <c r="H276" s="889">
        <f>'SAN LUONG'!AO270*0.44</f>
        <v>0</v>
      </c>
      <c r="I276" s="889">
        <f t="shared" si="64"/>
        <v>0</v>
      </c>
      <c r="J276" s="889">
        <f>'SAN LUONG'!AV270*0.44</f>
        <v>269.72000000000003</v>
      </c>
      <c r="K276" s="889">
        <f t="shared" si="68"/>
        <v>4.6900000000000004</v>
      </c>
      <c r="L276" s="889"/>
      <c r="M276" s="881">
        <f>'CHAM CONG'!BC267</f>
        <v>15</v>
      </c>
      <c r="N276" s="889">
        <f t="shared" si="69"/>
        <v>7.51</v>
      </c>
      <c r="O276" s="889">
        <f t="shared" si="70"/>
        <v>0.47</v>
      </c>
      <c r="P276" s="890">
        <f>'CHAM CONG'!BO267</f>
        <v>28</v>
      </c>
      <c r="Q276" s="942">
        <f t="shared" si="71"/>
        <v>2.63</v>
      </c>
      <c r="R276" s="942">
        <f>'SAN LUONG'!DW270</f>
        <v>14.4</v>
      </c>
      <c r="S276" s="942">
        <f t="shared" si="65"/>
        <v>0.45</v>
      </c>
      <c r="T276" s="943">
        <f>'CHAM CONG'!BW267</f>
        <v>0</v>
      </c>
      <c r="U276" s="942">
        <f t="shared" si="72"/>
        <v>0</v>
      </c>
      <c r="V276" s="890">
        <f>'CHAM CONG'!BD267</f>
        <v>2</v>
      </c>
      <c r="W276" s="944">
        <f t="shared" si="66"/>
        <v>1.06</v>
      </c>
      <c r="X276" s="891">
        <f>'CHAM CONG'!BT267</f>
        <v>1</v>
      </c>
      <c r="Y276" s="881">
        <f t="shared" si="73"/>
        <v>1.1000000000000001</v>
      </c>
      <c r="Z276" s="892">
        <v>6.03</v>
      </c>
      <c r="AA276" s="942">
        <f t="shared" si="62"/>
        <v>1.7</v>
      </c>
      <c r="AB276" s="892">
        <v>6.03</v>
      </c>
      <c r="AC276" s="942">
        <f t="shared" si="74"/>
        <v>7.24</v>
      </c>
      <c r="AD276" s="892">
        <v>6.03</v>
      </c>
      <c r="AE276" s="942">
        <f t="shared" si="75"/>
        <v>4.3</v>
      </c>
      <c r="AF276" s="943" t="e">
        <f>#N/A</f>
        <v>#N/A</v>
      </c>
      <c r="AG276" s="893">
        <f t="shared" si="67"/>
        <v>42.79</v>
      </c>
      <c r="AH276" s="894"/>
      <c r="AI276" s="895">
        <v>30.82</v>
      </c>
      <c r="AJ276" s="791">
        <v>28.810000000000006</v>
      </c>
      <c r="AK276" s="896">
        <f t="shared" si="76"/>
        <v>2</v>
      </c>
      <c r="AL276" s="896"/>
      <c r="AS276" s="898"/>
    </row>
    <row r="277" spans="1:45" s="779" customFormat="1" ht="25.2" customHeight="1">
      <c r="A277" s="885">
        <v>261</v>
      </c>
      <c r="B277" s="886"/>
      <c r="C277" s="887" t="str">
        <f>'Tên thang 01-26'!E264</f>
        <v>បុន បួត</v>
      </c>
      <c r="D277" s="887" t="str">
        <f>'Tên thang 01-26'!F264</f>
        <v>BON BUOT</v>
      </c>
      <c r="E277" s="888">
        <v>219</v>
      </c>
      <c r="F277" s="889">
        <f>'SAN LUONG'!AP271*0.44</f>
        <v>580.79999999999995</v>
      </c>
      <c r="G277" s="889">
        <f t="shared" si="63"/>
        <v>8.27</v>
      </c>
      <c r="H277" s="889">
        <f>'SAN LUONG'!AO271*0.44</f>
        <v>0</v>
      </c>
      <c r="I277" s="889">
        <f t="shared" si="64"/>
        <v>0</v>
      </c>
      <c r="J277" s="889">
        <f>'SAN LUONG'!AV271*0.44</f>
        <v>270.60000000000002</v>
      </c>
      <c r="K277" s="889">
        <f t="shared" si="68"/>
        <v>4.7</v>
      </c>
      <c r="L277" s="889"/>
      <c r="M277" s="881">
        <f>'CHAM CONG'!BC268</f>
        <v>12</v>
      </c>
      <c r="N277" s="889">
        <f t="shared" si="69"/>
        <v>6.01</v>
      </c>
      <c r="O277" s="889">
        <f t="shared" si="70"/>
        <v>0.38</v>
      </c>
      <c r="P277" s="890">
        <f>'CHAM CONG'!BO268</f>
        <v>0</v>
      </c>
      <c r="Q277" s="942">
        <f t="shared" si="71"/>
        <v>0</v>
      </c>
      <c r="R277" s="942">
        <f>'SAN LUONG'!DW271</f>
        <v>8.6999999999999993</v>
      </c>
      <c r="S277" s="942">
        <f t="shared" si="65"/>
        <v>0.27</v>
      </c>
      <c r="T277" s="943">
        <f>'CHAM CONG'!BW268</f>
        <v>0</v>
      </c>
      <c r="U277" s="942">
        <f t="shared" si="72"/>
        <v>0</v>
      </c>
      <c r="V277" s="890">
        <f>'CHAM CONG'!BD268</f>
        <v>0</v>
      </c>
      <c r="W277" s="944">
        <f t="shared" si="66"/>
        <v>0</v>
      </c>
      <c r="X277" s="891">
        <f>'CHAM CONG'!BT268</f>
        <v>0</v>
      </c>
      <c r="Y277" s="881">
        <f t="shared" si="73"/>
        <v>0</v>
      </c>
      <c r="Z277" s="892">
        <v>6.03</v>
      </c>
      <c r="AA277" s="942">
        <f t="shared" si="62"/>
        <v>1.7</v>
      </c>
      <c r="AB277" s="892">
        <v>6.03</v>
      </c>
      <c r="AC277" s="942">
        <f t="shared" si="74"/>
        <v>7.24</v>
      </c>
      <c r="AD277" s="892">
        <v>6.03</v>
      </c>
      <c r="AE277" s="942">
        <f t="shared" si="75"/>
        <v>4.3</v>
      </c>
      <c r="AF277" s="943" t="e">
        <f>#N/A</f>
        <v>#N/A</v>
      </c>
      <c r="AG277" s="893">
        <f t="shared" si="67"/>
        <v>32.869999999999997</v>
      </c>
      <c r="AH277" s="894"/>
      <c r="AI277" s="895">
        <v>30.12</v>
      </c>
      <c r="AJ277" s="791">
        <v>28.12</v>
      </c>
      <c r="AK277" s="896">
        <f t="shared" si="76"/>
        <v>2</v>
      </c>
      <c r="AL277" s="896"/>
      <c r="AS277" s="898"/>
    </row>
    <row r="278" spans="1:45" s="779" customFormat="1" ht="25.2" customHeight="1">
      <c r="A278" s="885">
        <v>262</v>
      </c>
      <c r="B278" s="886"/>
      <c r="C278" s="887" t="str">
        <f>'Tên thang 01-26'!E265</f>
        <v>អ៊ួន ខ្មិក</v>
      </c>
      <c r="D278" s="887" t="str">
        <f>'Tên thang 01-26'!F265</f>
        <v>OUN KHMEK</v>
      </c>
      <c r="E278" s="888">
        <v>220</v>
      </c>
      <c r="F278" s="889">
        <f>'SAN LUONG'!AP272*0.44</f>
        <v>720.72</v>
      </c>
      <c r="G278" s="889">
        <f t="shared" si="63"/>
        <v>10.26</v>
      </c>
      <c r="H278" s="889">
        <f>'SAN LUONG'!AO272*0.44</f>
        <v>0</v>
      </c>
      <c r="I278" s="889">
        <f t="shared" si="64"/>
        <v>0</v>
      </c>
      <c r="J278" s="889">
        <f>'SAN LUONG'!AV272*0.44</f>
        <v>252.12</v>
      </c>
      <c r="K278" s="889">
        <f t="shared" si="68"/>
        <v>4.38</v>
      </c>
      <c r="L278" s="889"/>
      <c r="M278" s="881">
        <f>'CHAM CONG'!BC269</f>
        <v>12</v>
      </c>
      <c r="N278" s="889">
        <f t="shared" si="69"/>
        <v>6.01</v>
      </c>
      <c r="O278" s="889">
        <f t="shared" si="70"/>
        <v>0.38</v>
      </c>
      <c r="P278" s="890">
        <f>'CHAM CONG'!BO269</f>
        <v>0</v>
      </c>
      <c r="Q278" s="942">
        <f t="shared" si="71"/>
        <v>0</v>
      </c>
      <c r="R278" s="942">
        <f>'SAN LUONG'!DW272</f>
        <v>6.4</v>
      </c>
      <c r="S278" s="942">
        <f t="shared" si="65"/>
        <v>0.2</v>
      </c>
      <c r="T278" s="943">
        <f>'CHAM CONG'!BW269</f>
        <v>0</v>
      </c>
      <c r="U278" s="942">
        <f t="shared" si="72"/>
        <v>0</v>
      </c>
      <c r="V278" s="890">
        <f>'CHAM CONG'!BD269</f>
        <v>2</v>
      </c>
      <c r="W278" s="944">
        <f t="shared" si="66"/>
        <v>1.06</v>
      </c>
      <c r="X278" s="891">
        <f>'CHAM CONG'!BT269</f>
        <v>0</v>
      </c>
      <c r="Y278" s="881">
        <f t="shared" si="73"/>
        <v>0</v>
      </c>
      <c r="Z278" s="892">
        <v>6.03</v>
      </c>
      <c r="AA278" s="942">
        <f t="shared" si="62"/>
        <v>1.7</v>
      </c>
      <c r="AB278" s="892">
        <v>6.03</v>
      </c>
      <c r="AC278" s="942">
        <f t="shared" si="74"/>
        <v>7.24</v>
      </c>
      <c r="AD278" s="892">
        <v>6.03</v>
      </c>
      <c r="AE278" s="942">
        <f t="shared" si="75"/>
        <v>4.3</v>
      </c>
      <c r="AF278" s="943" t="e">
        <f>#N/A</f>
        <v>#N/A</v>
      </c>
      <c r="AG278" s="893">
        <f t="shared" si="67"/>
        <v>35.53</v>
      </c>
      <c r="AH278" s="894"/>
      <c r="AI278" s="895">
        <v>22.17</v>
      </c>
      <c r="AJ278" s="791">
        <v>20.18</v>
      </c>
      <c r="AK278" s="896">
        <f t="shared" si="76"/>
        <v>2</v>
      </c>
      <c r="AL278" s="896"/>
      <c r="AS278" s="898"/>
    </row>
    <row r="279" spans="1:45" s="779" customFormat="1" ht="25.2" customHeight="1">
      <c r="A279" s="885">
        <v>263</v>
      </c>
      <c r="B279" s="886"/>
      <c r="C279" s="887" t="str">
        <f>'Tên thang 01-26'!E266</f>
        <v>ឡាញ់ រ៉ុម</v>
      </c>
      <c r="D279" s="887" t="str">
        <f>'Tên thang 01-26'!F266</f>
        <v>LANG ROM</v>
      </c>
      <c r="E279" s="888">
        <v>221</v>
      </c>
      <c r="F279" s="889">
        <f>'SAN LUONG'!AP273*0.44</f>
        <v>845.68</v>
      </c>
      <c r="G279" s="889">
        <f t="shared" si="63"/>
        <v>12.04</v>
      </c>
      <c r="H279" s="889">
        <f>'SAN LUONG'!AO273*0.44</f>
        <v>0</v>
      </c>
      <c r="I279" s="889">
        <f t="shared" si="64"/>
        <v>0</v>
      </c>
      <c r="J279" s="889">
        <f>'SAN LUONG'!AV273*0.44</f>
        <v>296.12</v>
      </c>
      <c r="K279" s="889">
        <f t="shared" si="68"/>
        <v>5.14</v>
      </c>
      <c r="L279" s="889"/>
      <c r="M279" s="881">
        <f>'CHAM CONG'!BC270</f>
        <v>15</v>
      </c>
      <c r="N279" s="889">
        <f t="shared" si="69"/>
        <v>7.51</v>
      </c>
      <c r="O279" s="889">
        <f t="shared" si="70"/>
        <v>0.47</v>
      </c>
      <c r="P279" s="890">
        <f>'CHAM CONG'!BO270</f>
        <v>29</v>
      </c>
      <c r="Q279" s="942">
        <f t="shared" si="71"/>
        <v>2.72</v>
      </c>
      <c r="R279" s="942">
        <f>'SAN LUONG'!DW273</f>
        <v>15.5</v>
      </c>
      <c r="S279" s="942">
        <f t="shared" si="65"/>
        <v>0.49</v>
      </c>
      <c r="T279" s="943">
        <f>'CHAM CONG'!BW270</f>
        <v>0</v>
      </c>
      <c r="U279" s="942">
        <f t="shared" si="72"/>
        <v>0</v>
      </c>
      <c r="V279" s="890">
        <f>'CHAM CONG'!BD270</f>
        <v>2</v>
      </c>
      <c r="W279" s="944">
        <f t="shared" si="66"/>
        <v>1.06</v>
      </c>
      <c r="X279" s="891">
        <f>'CHAM CONG'!BT270</f>
        <v>1</v>
      </c>
      <c r="Y279" s="881">
        <f t="shared" si="73"/>
        <v>1.1000000000000001</v>
      </c>
      <c r="Z279" s="892">
        <v>6.03</v>
      </c>
      <c r="AA279" s="942">
        <f t="shared" si="62"/>
        <v>1.7</v>
      </c>
      <c r="AB279" s="892">
        <v>6.03</v>
      </c>
      <c r="AC279" s="942">
        <f t="shared" si="74"/>
        <v>7.24</v>
      </c>
      <c r="AD279" s="892">
        <v>6.03</v>
      </c>
      <c r="AE279" s="942">
        <f t="shared" si="75"/>
        <v>4.3</v>
      </c>
      <c r="AF279" s="943" t="e">
        <f>#N/A</f>
        <v>#N/A</v>
      </c>
      <c r="AG279" s="893">
        <f t="shared" si="67"/>
        <v>43.769999999999996</v>
      </c>
      <c r="AH279" s="894"/>
      <c r="AI279" s="895">
        <v>31.94</v>
      </c>
      <c r="AJ279" s="791">
        <v>30.560000000000006</v>
      </c>
      <c r="AK279" s="896">
        <f t="shared" si="76"/>
        <v>1</v>
      </c>
      <c r="AL279" s="896"/>
      <c r="AS279" s="898"/>
    </row>
    <row r="280" spans="1:45" s="779" customFormat="1" ht="25.2" customHeight="1">
      <c r="A280" s="885">
        <v>264</v>
      </c>
      <c r="B280" s="886"/>
      <c r="C280" s="887" t="str">
        <f>'Tên thang 01-26'!E267</f>
        <v>ឡាញ់ លី</v>
      </c>
      <c r="D280" s="887" t="str">
        <f>'Tên thang 01-26'!F267</f>
        <v>LANH LY</v>
      </c>
      <c r="E280" s="888">
        <v>222</v>
      </c>
      <c r="F280" s="889">
        <f>'SAN LUONG'!AP274*0.44</f>
        <v>847</v>
      </c>
      <c r="G280" s="889">
        <f t="shared" si="63"/>
        <v>12.06</v>
      </c>
      <c r="H280" s="889">
        <f>'SAN LUONG'!AO274*0.44</f>
        <v>0</v>
      </c>
      <c r="I280" s="889">
        <f t="shared" si="64"/>
        <v>0</v>
      </c>
      <c r="J280" s="889">
        <f>'SAN LUONG'!AV274*0.44</f>
        <v>224.84</v>
      </c>
      <c r="K280" s="889">
        <f t="shared" si="68"/>
        <v>3.91</v>
      </c>
      <c r="L280" s="889"/>
      <c r="M280" s="881">
        <f>'CHAM CONG'!BC271</f>
        <v>15</v>
      </c>
      <c r="N280" s="889">
        <f t="shared" si="69"/>
        <v>7.51</v>
      </c>
      <c r="O280" s="889">
        <f t="shared" si="70"/>
        <v>0.47</v>
      </c>
      <c r="P280" s="890">
        <f>'CHAM CONG'!BO271</f>
        <v>29</v>
      </c>
      <c r="Q280" s="942">
        <f t="shared" si="71"/>
        <v>2.72</v>
      </c>
      <c r="R280" s="942">
        <f>'SAN LUONG'!DW274</f>
        <v>14.2</v>
      </c>
      <c r="S280" s="942">
        <f t="shared" si="65"/>
        <v>0.44</v>
      </c>
      <c r="T280" s="943">
        <f>'CHAM CONG'!BW271</f>
        <v>0</v>
      </c>
      <c r="U280" s="942">
        <f t="shared" si="72"/>
        <v>0</v>
      </c>
      <c r="V280" s="890">
        <f>'CHAM CONG'!BD271</f>
        <v>1</v>
      </c>
      <c r="W280" s="944">
        <f t="shared" si="66"/>
        <v>0.53</v>
      </c>
      <c r="X280" s="891">
        <f>'CHAM CONG'!BT271</f>
        <v>1</v>
      </c>
      <c r="Y280" s="881">
        <f t="shared" si="73"/>
        <v>1.1000000000000001</v>
      </c>
      <c r="Z280" s="892">
        <v>6.03</v>
      </c>
      <c r="AA280" s="942">
        <f t="shared" si="62"/>
        <v>1.7</v>
      </c>
      <c r="AB280" s="892">
        <v>6.03</v>
      </c>
      <c r="AC280" s="942">
        <f t="shared" si="74"/>
        <v>7.24</v>
      </c>
      <c r="AD280" s="892">
        <v>6.03</v>
      </c>
      <c r="AE280" s="942">
        <f t="shared" si="75"/>
        <v>4.3</v>
      </c>
      <c r="AF280" s="943" t="e">
        <f>#N/A</f>
        <v>#N/A</v>
      </c>
      <c r="AG280" s="893">
        <f t="shared" si="67"/>
        <v>41.980000000000004</v>
      </c>
      <c r="AH280" s="894"/>
      <c r="AI280" s="895">
        <v>33.979999999999997</v>
      </c>
      <c r="AJ280" s="791">
        <v>31.980000000000004</v>
      </c>
      <c r="AK280" s="896">
        <f t="shared" si="76"/>
        <v>2</v>
      </c>
      <c r="AL280" s="896"/>
      <c r="AS280" s="898"/>
    </row>
    <row r="281" spans="1:45" s="779" customFormat="1" ht="25.2" customHeight="1">
      <c r="A281" s="885">
        <v>265</v>
      </c>
      <c r="B281" s="886"/>
      <c r="C281" s="887" t="str">
        <f>'Tên thang 01-26'!E268</f>
        <v>ប៊ិន យ៉ូត</v>
      </c>
      <c r="D281" s="887" t="str">
        <f>'Tên thang 01-26'!F268</f>
        <v>BIN YOUT</v>
      </c>
      <c r="E281" s="888">
        <v>223</v>
      </c>
      <c r="F281" s="889">
        <f>'SAN LUONG'!AP275*0.44</f>
        <v>728.2</v>
      </c>
      <c r="G281" s="889">
        <f t="shared" si="63"/>
        <v>10.37</v>
      </c>
      <c r="H281" s="889">
        <f>'SAN LUONG'!AO275*0.44</f>
        <v>0</v>
      </c>
      <c r="I281" s="889">
        <f t="shared" si="64"/>
        <v>0</v>
      </c>
      <c r="J281" s="889">
        <f>'SAN LUONG'!AV275*0.44</f>
        <v>213.84</v>
      </c>
      <c r="K281" s="889">
        <f t="shared" si="68"/>
        <v>3.71</v>
      </c>
      <c r="L281" s="889"/>
      <c r="M281" s="881">
        <f>'CHAM CONG'!BC272</f>
        <v>15</v>
      </c>
      <c r="N281" s="889">
        <f t="shared" si="69"/>
        <v>7.51</v>
      </c>
      <c r="O281" s="889">
        <f t="shared" si="70"/>
        <v>0.47</v>
      </c>
      <c r="P281" s="890">
        <f>'CHAM CONG'!BO272</f>
        <v>28</v>
      </c>
      <c r="Q281" s="942">
        <f t="shared" si="71"/>
        <v>2.63</v>
      </c>
      <c r="R281" s="942">
        <f>'SAN LUONG'!DW275</f>
        <v>7.8</v>
      </c>
      <c r="S281" s="942">
        <f t="shared" si="65"/>
        <v>0.24</v>
      </c>
      <c r="T281" s="943">
        <f>'CHAM CONG'!BW272</f>
        <v>0</v>
      </c>
      <c r="U281" s="942">
        <f t="shared" si="72"/>
        <v>0</v>
      </c>
      <c r="V281" s="890">
        <f>'CHAM CONG'!BD272</f>
        <v>1</v>
      </c>
      <c r="W281" s="944">
        <f t="shared" si="66"/>
        <v>0.53</v>
      </c>
      <c r="X281" s="891">
        <f>'CHAM CONG'!BT272</f>
        <v>1</v>
      </c>
      <c r="Y281" s="881">
        <f t="shared" si="73"/>
        <v>1.1000000000000001</v>
      </c>
      <c r="Z281" s="892">
        <v>6.03</v>
      </c>
      <c r="AA281" s="942">
        <f t="shared" si="62"/>
        <v>1.7</v>
      </c>
      <c r="AB281" s="892">
        <v>6.03</v>
      </c>
      <c r="AC281" s="942">
        <f t="shared" si="74"/>
        <v>7.24</v>
      </c>
      <c r="AD281" s="892">
        <v>6.03</v>
      </c>
      <c r="AE281" s="942">
        <f t="shared" si="75"/>
        <v>4.3</v>
      </c>
      <c r="AF281" s="943" t="e">
        <f>#N/A</f>
        <v>#N/A</v>
      </c>
      <c r="AG281" s="893">
        <f t="shared" si="67"/>
        <v>39.799999999999997</v>
      </c>
      <c r="AH281" s="894"/>
      <c r="AI281" s="895">
        <v>28.19</v>
      </c>
      <c r="AJ281" s="791">
        <v>26.810000000000009</v>
      </c>
      <c r="AK281" s="896">
        <f t="shared" si="76"/>
        <v>1</v>
      </c>
      <c r="AL281" s="896"/>
      <c r="AS281" s="898"/>
    </row>
    <row r="282" spans="1:45" s="779" customFormat="1" ht="25.2" customHeight="1">
      <c r="A282" s="885">
        <v>266</v>
      </c>
      <c r="B282" s="886"/>
      <c r="C282" s="887" t="str">
        <f>'Tên thang 01-26'!E269</f>
        <v>ជ្រឹម សាត</v>
      </c>
      <c r="D282" s="887" t="str">
        <f>'Tên thang 01-26'!F269</f>
        <v>CHRIM SATH</v>
      </c>
      <c r="E282" s="888">
        <v>224</v>
      </c>
      <c r="F282" s="889">
        <f>'SAN LUONG'!AP276*0.44</f>
        <v>649</v>
      </c>
      <c r="G282" s="889">
        <f t="shared" si="63"/>
        <v>9.24</v>
      </c>
      <c r="H282" s="889">
        <f>'SAN LUONG'!AO276*0.44</f>
        <v>0</v>
      </c>
      <c r="I282" s="889">
        <f t="shared" si="64"/>
        <v>0</v>
      </c>
      <c r="J282" s="889">
        <f>'SAN LUONG'!AV276*0.44</f>
        <v>261.8</v>
      </c>
      <c r="K282" s="889">
        <f t="shared" si="68"/>
        <v>4.55</v>
      </c>
      <c r="L282" s="889"/>
      <c r="M282" s="881">
        <f>'CHAM CONG'!BC273</f>
        <v>15</v>
      </c>
      <c r="N282" s="889">
        <f t="shared" si="69"/>
        <v>7.51</v>
      </c>
      <c r="O282" s="889">
        <f t="shared" si="70"/>
        <v>0.47</v>
      </c>
      <c r="P282" s="890">
        <f>'CHAM CONG'!BO273</f>
        <v>28</v>
      </c>
      <c r="Q282" s="942">
        <f t="shared" si="71"/>
        <v>2.63</v>
      </c>
      <c r="R282" s="942">
        <f>'SAN LUONG'!DW276</f>
        <v>7.5</v>
      </c>
      <c r="S282" s="942">
        <f t="shared" si="65"/>
        <v>0.23</v>
      </c>
      <c r="T282" s="943">
        <f>'CHAM CONG'!BW273</f>
        <v>0</v>
      </c>
      <c r="U282" s="942">
        <f t="shared" si="72"/>
        <v>0</v>
      </c>
      <c r="V282" s="890">
        <f>'CHAM CONG'!BD273</f>
        <v>1</v>
      </c>
      <c r="W282" s="944">
        <f t="shared" si="66"/>
        <v>0.53</v>
      </c>
      <c r="X282" s="891">
        <f>'CHAM CONG'!BT273</f>
        <v>1</v>
      </c>
      <c r="Y282" s="881">
        <f t="shared" si="73"/>
        <v>1.1000000000000001</v>
      </c>
      <c r="Z282" s="892">
        <v>6.03</v>
      </c>
      <c r="AA282" s="942">
        <f t="shared" si="62"/>
        <v>1.7</v>
      </c>
      <c r="AB282" s="892">
        <v>6.03</v>
      </c>
      <c r="AC282" s="942">
        <f t="shared" si="74"/>
        <v>7.24</v>
      </c>
      <c r="AD282" s="892">
        <v>6.03</v>
      </c>
      <c r="AE282" s="942">
        <f t="shared" si="75"/>
        <v>4.3</v>
      </c>
      <c r="AF282" s="943" t="e">
        <f>#N/A</f>
        <v>#N/A</v>
      </c>
      <c r="AG282" s="893">
        <f t="shared" si="67"/>
        <v>39.5</v>
      </c>
      <c r="AH282" s="894"/>
      <c r="AI282" s="895">
        <v>30.61</v>
      </c>
      <c r="AJ282" s="791">
        <v>27.980000000000008</v>
      </c>
      <c r="AK282" s="896">
        <f t="shared" si="76"/>
        <v>3</v>
      </c>
      <c r="AL282" s="896"/>
      <c r="AS282" s="898"/>
    </row>
    <row r="283" spans="1:45" s="779" customFormat="1" ht="25.2" customHeight="1">
      <c r="A283" s="885">
        <v>267</v>
      </c>
      <c r="B283" s="886"/>
      <c r="C283" s="887" t="str">
        <f>'Tên thang 01-26'!E270</f>
        <v>មិក ម៉ាច</v>
      </c>
      <c r="D283" s="887" t="str">
        <f>'Tên thang 01-26'!F270</f>
        <v>MIK MACH</v>
      </c>
      <c r="E283" s="888">
        <v>225</v>
      </c>
      <c r="F283" s="889">
        <f>'SAN LUONG'!AP277*0.44</f>
        <v>695.2</v>
      </c>
      <c r="G283" s="889">
        <f t="shared" si="63"/>
        <v>9.9</v>
      </c>
      <c r="H283" s="889">
        <f>'SAN LUONG'!AO277*0.44</f>
        <v>0</v>
      </c>
      <c r="I283" s="889">
        <f t="shared" si="64"/>
        <v>0</v>
      </c>
      <c r="J283" s="889">
        <f>'SAN LUONG'!AV277*0.44</f>
        <v>322.95999999999998</v>
      </c>
      <c r="K283" s="889">
        <f t="shared" si="68"/>
        <v>5.61</v>
      </c>
      <c r="L283" s="889"/>
      <c r="M283" s="881">
        <f>'CHAM CONG'!BC274</f>
        <v>15</v>
      </c>
      <c r="N283" s="889">
        <f t="shared" si="69"/>
        <v>7.51</v>
      </c>
      <c r="O283" s="889">
        <f t="shared" si="70"/>
        <v>0.47</v>
      </c>
      <c r="P283" s="890">
        <f>'CHAM CONG'!BO274</f>
        <v>27</v>
      </c>
      <c r="Q283" s="942">
        <f t="shared" si="71"/>
        <v>2.54</v>
      </c>
      <c r="R283" s="942">
        <f>'SAN LUONG'!DW277</f>
        <v>8.9</v>
      </c>
      <c r="S283" s="942">
        <f t="shared" si="65"/>
        <v>0.28000000000000003</v>
      </c>
      <c r="T283" s="943">
        <f>'CHAM CONG'!BW274</f>
        <v>0</v>
      </c>
      <c r="U283" s="942">
        <f t="shared" si="72"/>
        <v>0</v>
      </c>
      <c r="V283" s="890">
        <f>'CHAM CONG'!BD274</f>
        <v>1</v>
      </c>
      <c r="W283" s="944">
        <f t="shared" si="66"/>
        <v>0.53</v>
      </c>
      <c r="X283" s="891">
        <f>'CHAM CONG'!BT274</f>
        <v>1</v>
      </c>
      <c r="Y283" s="881">
        <f t="shared" si="73"/>
        <v>1.1000000000000001</v>
      </c>
      <c r="Z283" s="892">
        <v>6.03</v>
      </c>
      <c r="AA283" s="942">
        <f t="shared" si="62"/>
        <v>1.7</v>
      </c>
      <c r="AB283" s="892">
        <v>6.03</v>
      </c>
      <c r="AC283" s="942">
        <f t="shared" si="74"/>
        <v>7.24</v>
      </c>
      <c r="AD283" s="892">
        <v>6.03</v>
      </c>
      <c r="AE283" s="942">
        <f t="shared" si="75"/>
        <v>4.3</v>
      </c>
      <c r="AF283" s="943" t="e">
        <f>#N/A</f>
        <v>#N/A</v>
      </c>
      <c r="AG283" s="893">
        <f t="shared" si="67"/>
        <v>41.180000000000007</v>
      </c>
      <c r="AH283" s="894"/>
      <c r="AI283" s="895">
        <v>30.93</v>
      </c>
      <c r="AJ283" s="791">
        <v>28.92</v>
      </c>
      <c r="AK283" s="896">
        <f t="shared" si="76"/>
        <v>2</v>
      </c>
      <c r="AL283" s="896"/>
      <c r="AS283" s="898"/>
    </row>
    <row r="284" spans="1:45" s="779" customFormat="1" ht="25.2" customHeight="1">
      <c r="A284" s="885">
        <v>268</v>
      </c>
      <c r="B284" s="886"/>
      <c r="C284" s="887" t="str">
        <f>'Tên thang 01-26'!E271</f>
        <v>សៃ ឆាយា</v>
      </c>
      <c r="D284" s="887" t="str">
        <f>'Tên thang 01-26'!F271</f>
        <v>SAI CHHAYA</v>
      </c>
      <c r="E284" s="888">
        <v>226</v>
      </c>
      <c r="F284" s="889">
        <f>'SAN LUONG'!AP278*0.44</f>
        <v>681.56000000000006</v>
      </c>
      <c r="G284" s="889">
        <f t="shared" si="63"/>
        <v>9.7100000000000009</v>
      </c>
      <c r="H284" s="889">
        <f>'SAN LUONG'!AO278*0.44</f>
        <v>0</v>
      </c>
      <c r="I284" s="889">
        <f t="shared" si="64"/>
        <v>0</v>
      </c>
      <c r="J284" s="889">
        <f>'SAN LUONG'!AV278*0.44</f>
        <v>174.24</v>
      </c>
      <c r="K284" s="889">
        <f t="shared" si="68"/>
        <v>3.03</v>
      </c>
      <c r="L284" s="889"/>
      <c r="M284" s="881">
        <f>'CHAM CONG'!BC275</f>
        <v>14</v>
      </c>
      <c r="N284" s="889">
        <f t="shared" si="69"/>
        <v>7.01</v>
      </c>
      <c r="O284" s="889">
        <f t="shared" si="70"/>
        <v>0.44</v>
      </c>
      <c r="P284" s="890">
        <f>'CHAM CONG'!BO275</f>
        <v>26</v>
      </c>
      <c r="Q284" s="942">
        <f t="shared" si="71"/>
        <v>2.44</v>
      </c>
      <c r="R284" s="942">
        <f>'SAN LUONG'!DW278</f>
        <v>8.6</v>
      </c>
      <c r="S284" s="942">
        <f t="shared" si="65"/>
        <v>0.27</v>
      </c>
      <c r="T284" s="943">
        <f>'CHAM CONG'!BW275</f>
        <v>0</v>
      </c>
      <c r="U284" s="942">
        <f t="shared" si="72"/>
        <v>0</v>
      </c>
      <c r="V284" s="890">
        <f>'CHAM CONG'!BD275</f>
        <v>0</v>
      </c>
      <c r="W284" s="944">
        <f t="shared" si="66"/>
        <v>0</v>
      </c>
      <c r="X284" s="891">
        <f>'CHAM CONG'!BT275</f>
        <v>1</v>
      </c>
      <c r="Y284" s="881">
        <f t="shared" si="73"/>
        <v>1.1000000000000001</v>
      </c>
      <c r="Z284" s="892">
        <v>6.03</v>
      </c>
      <c r="AA284" s="942">
        <f t="shared" si="62"/>
        <v>1.7</v>
      </c>
      <c r="AB284" s="892">
        <v>6.03</v>
      </c>
      <c r="AC284" s="942">
        <f t="shared" si="74"/>
        <v>7.24</v>
      </c>
      <c r="AD284" s="892">
        <v>6.03</v>
      </c>
      <c r="AE284" s="942">
        <f t="shared" si="75"/>
        <v>4.3</v>
      </c>
      <c r="AF284" s="943" t="e">
        <f>#N/A</f>
        <v>#N/A</v>
      </c>
      <c r="AG284" s="893">
        <f t="shared" si="67"/>
        <v>37.24</v>
      </c>
      <c r="AH284" s="894"/>
      <c r="AI284" s="895">
        <v>27.87</v>
      </c>
      <c r="AJ284" s="791">
        <v>25.87</v>
      </c>
      <c r="AK284" s="896">
        <f t="shared" si="76"/>
        <v>2</v>
      </c>
      <c r="AL284" s="896"/>
      <c r="AS284" s="898"/>
    </row>
    <row r="285" spans="1:45" s="779" customFormat="1" ht="25.2" customHeight="1">
      <c r="A285" s="885">
        <v>269</v>
      </c>
      <c r="B285" s="886"/>
      <c r="C285" s="887" t="str">
        <f>'Tên thang 01-26'!E272</f>
        <v>ធី ភិរក្ស</v>
      </c>
      <c r="D285" s="887" t="str">
        <f>'Tên thang 01-26'!F272</f>
        <v>THY PHY REAK</v>
      </c>
      <c r="E285" s="888">
        <v>227</v>
      </c>
      <c r="F285" s="889">
        <f>'SAN LUONG'!AP279*0.44</f>
        <v>919.16</v>
      </c>
      <c r="G285" s="889">
        <f t="shared" si="63"/>
        <v>13.09</v>
      </c>
      <c r="H285" s="889">
        <f>'SAN LUONG'!AO279*0.44</f>
        <v>0</v>
      </c>
      <c r="I285" s="889">
        <f t="shared" si="64"/>
        <v>0</v>
      </c>
      <c r="J285" s="889">
        <f>'SAN LUONG'!AV279*0.44</f>
        <v>293.04000000000002</v>
      </c>
      <c r="K285" s="889">
        <f t="shared" si="68"/>
        <v>5.09</v>
      </c>
      <c r="L285" s="889"/>
      <c r="M285" s="881">
        <f>'CHAM CONG'!BC276</f>
        <v>16</v>
      </c>
      <c r="N285" s="889">
        <f t="shared" si="69"/>
        <v>8.01</v>
      </c>
      <c r="O285" s="889">
        <f t="shared" si="70"/>
        <v>0.5</v>
      </c>
      <c r="P285" s="890">
        <f>'CHAM CONG'!BO276</f>
        <v>29</v>
      </c>
      <c r="Q285" s="942">
        <f t="shared" si="71"/>
        <v>2.72</v>
      </c>
      <c r="R285" s="942">
        <f>'SAN LUONG'!DW279</f>
        <v>9.5</v>
      </c>
      <c r="S285" s="942">
        <f t="shared" si="65"/>
        <v>0.3</v>
      </c>
      <c r="T285" s="943">
        <f>'CHAM CONG'!BW276</f>
        <v>0</v>
      </c>
      <c r="U285" s="942">
        <f t="shared" si="72"/>
        <v>0</v>
      </c>
      <c r="V285" s="890">
        <f>'CHAM CONG'!BD276</f>
        <v>1</v>
      </c>
      <c r="W285" s="944">
        <f t="shared" si="66"/>
        <v>0.53</v>
      </c>
      <c r="X285" s="891">
        <f>'CHAM CONG'!BT276</f>
        <v>1</v>
      </c>
      <c r="Y285" s="881">
        <f t="shared" si="73"/>
        <v>1.1000000000000001</v>
      </c>
      <c r="Z285" s="892">
        <v>6.03</v>
      </c>
      <c r="AA285" s="942">
        <f t="shared" si="62"/>
        <v>1.7</v>
      </c>
      <c r="AB285" s="892">
        <v>6.03</v>
      </c>
      <c r="AC285" s="942">
        <f t="shared" si="74"/>
        <v>7.24</v>
      </c>
      <c r="AD285" s="892">
        <v>6.03</v>
      </c>
      <c r="AE285" s="942">
        <f t="shared" si="75"/>
        <v>4.3</v>
      </c>
      <c r="AF285" s="943" t="e">
        <f>#N/A</f>
        <v>#N/A</v>
      </c>
      <c r="AG285" s="893">
        <f t="shared" si="67"/>
        <v>44.58</v>
      </c>
      <c r="AH285" s="894"/>
      <c r="AI285" s="895">
        <v>32.369999999999997</v>
      </c>
      <c r="AJ285" s="791">
        <v>30.360000000000007</v>
      </c>
      <c r="AK285" s="896">
        <f t="shared" si="76"/>
        <v>2</v>
      </c>
      <c r="AL285" s="896"/>
      <c r="AS285" s="898"/>
    </row>
    <row r="286" spans="1:45" s="779" customFormat="1" ht="25.2" customHeight="1">
      <c r="A286" s="885">
        <v>270</v>
      </c>
      <c r="B286" s="886"/>
      <c r="C286" s="887" t="str">
        <f>'Tên thang 01-26'!E273</f>
        <v>ភី ភ័ក្រ</v>
      </c>
      <c r="D286" s="887" t="str">
        <f>'Tên thang 01-26'!F273</f>
        <v>PHY PHAEK</v>
      </c>
      <c r="E286" s="888">
        <v>228</v>
      </c>
      <c r="F286" s="889">
        <f>'SAN LUONG'!AP280*0.44</f>
        <v>897.16</v>
      </c>
      <c r="G286" s="889">
        <f t="shared" si="63"/>
        <v>12.78</v>
      </c>
      <c r="H286" s="889">
        <f>'SAN LUONG'!AO280*0.44</f>
        <v>0</v>
      </c>
      <c r="I286" s="889">
        <f t="shared" si="64"/>
        <v>0</v>
      </c>
      <c r="J286" s="889">
        <f>'SAN LUONG'!AV280*0.44</f>
        <v>278.08</v>
      </c>
      <c r="K286" s="889">
        <f t="shared" si="68"/>
        <v>4.83</v>
      </c>
      <c r="L286" s="889"/>
      <c r="M286" s="881">
        <f>'CHAM CONG'!BC277</f>
        <v>16</v>
      </c>
      <c r="N286" s="889">
        <f t="shared" si="69"/>
        <v>8.01</v>
      </c>
      <c r="O286" s="889">
        <f t="shared" si="70"/>
        <v>0.5</v>
      </c>
      <c r="P286" s="890">
        <f>'CHAM CONG'!BO277</f>
        <v>29</v>
      </c>
      <c r="Q286" s="942">
        <f t="shared" si="71"/>
        <v>2.72</v>
      </c>
      <c r="R286" s="942">
        <f>'SAN LUONG'!DW280</f>
        <v>8.6999999999999993</v>
      </c>
      <c r="S286" s="942">
        <f t="shared" si="65"/>
        <v>0.27</v>
      </c>
      <c r="T286" s="943">
        <f>'CHAM CONG'!BW277</f>
        <v>0</v>
      </c>
      <c r="U286" s="942">
        <f t="shared" si="72"/>
        <v>0</v>
      </c>
      <c r="V286" s="890">
        <f>'CHAM CONG'!BD277</f>
        <v>1</v>
      </c>
      <c r="W286" s="944">
        <f t="shared" si="66"/>
        <v>0.53</v>
      </c>
      <c r="X286" s="891">
        <f>'CHAM CONG'!BT277</f>
        <v>1</v>
      </c>
      <c r="Y286" s="881">
        <f t="shared" si="73"/>
        <v>1.1000000000000001</v>
      </c>
      <c r="Z286" s="892">
        <v>6.03</v>
      </c>
      <c r="AA286" s="942">
        <f t="shared" si="62"/>
        <v>1.7</v>
      </c>
      <c r="AB286" s="892">
        <v>6.03</v>
      </c>
      <c r="AC286" s="942">
        <f t="shared" si="74"/>
        <v>7.24</v>
      </c>
      <c r="AD286" s="892">
        <v>6.03</v>
      </c>
      <c r="AE286" s="942">
        <f t="shared" si="75"/>
        <v>4.3</v>
      </c>
      <c r="AF286" s="943" t="e">
        <f>#N/A</f>
        <v>#N/A</v>
      </c>
      <c r="AG286" s="893">
        <f t="shared" si="67"/>
        <v>43.98</v>
      </c>
      <c r="AH286" s="894"/>
      <c r="AI286" s="895">
        <v>31.94</v>
      </c>
      <c r="AJ286" s="791">
        <v>29.940000000000005</v>
      </c>
      <c r="AK286" s="896">
        <f t="shared" si="76"/>
        <v>2</v>
      </c>
      <c r="AL286" s="896"/>
      <c r="AS286" s="898"/>
    </row>
    <row r="287" spans="1:45" s="779" customFormat="1" ht="25.2" customHeight="1">
      <c r="A287" s="885">
        <v>271</v>
      </c>
      <c r="B287" s="886"/>
      <c r="C287" s="887" t="str">
        <f>'Tên thang 01-26'!E274</f>
        <v>ឈួន ធី</v>
      </c>
      <c r="D287" s="887" t="str">
        <f>'Tên thang 01-26'!F274</f>
        <v>CHHUON THY</v>
      </c>
      <c r="E287" s="888">
        <v>229</v>
      </c>
      <c r="F287" s="889">
        <f>'SAN LUONG'!AP281*0.44</f>
        <v>636.67999999999995</v>
      </c>
      <c r="G287" s="889">
        <f t="shared" si="63"/>
        <v>9.07</v>
      </c>
      <c r="H287" s="889">
        <f>'SAN LUONG'!AO281*0.44</f>
        <v>0</v>
      </c>
      <c r="I287" s="889">
        <f t="shared" si="64"/>
        <v>0</v>
      </c>
      <c r="J287" s="889">
        <f>'SAN LUONG'!AV281*0.44</f>
        <v>267.52</v>
      </c>
      <c r="K287" s="889">
        <f t="shared" si="68"/>
        <v>4.6500000000000004</v>
      </c>
      <c r="L287" s="889"/>
      <c r="M287" s="881">
        <f>'CHAM CONG'!BC278</f>
        <v>14</v>
      </c>
      <c r="N287" s="889">
        <f t="shared" si="69"/>
        <v>7.01</v>
      </c>
      <c r="O287" s="889">
        <f t="shared" si="70"/>
        <v>0.44</v>
      </c>
      <c r="P287" s="890">
        <f>'CHAM CONG'!BO278</f>
        <v>27</v>
      </c>
      <c r="Q287" s="942">
        <f t="shared" si="71"/>
        <v>2.54</v>
      </c>
      <c r="R287" s="942">
        <f>'SAN LUONG'!DW281</f>
        <v>12.1</v>
      </c>
      <c r="S287" s="942">
        <f t="shared" si="65"/>
        <v>0.38</v>
      </c>
      <c r="T287" s="943">
        <f>'CHAM CONG'!BW278</f>
        <v>20000</v>
      </c>
      <c r="U287" s="942">
        <f t="shared" si="72"/>
        <v>0.63</v>
      </c>
      <c r="V287" s="890">
        <f>'CHAM CONG'!BD278</f>
        <v>0</v>
      </c>
      <c r="W287" s="944">
        <f t="shared" si="66"/>
        <v>0</v>
      </c>
      <c r="X287" s="891">
        <f>'CHAM CONG'!BT278</f>
        <v>1</v>
      </c>
      <c r="Y287" s="881">
        <f t="shared" si="73"/>
        <v>1.1000000000000001</v>
      </c>
      <c r="Z287" s="892">
        <v>6.03</v>
      </c>
      <c r="AA287" s="942">
        <f t="shared" si="62"/>
        <v>1.7</v>
      </c>
      <c r="AB287" s="892">
        <v>6.03</v>
      </c>
      <c r="AC287" s="942">
        <f t="shared" si="74"/>
        <v>7.24</v>
      </c>
      <c r="AD287" s="892">
        <v>6.03</v>
      </c>
      <c r="AE287" s="942">
        <f t="shared" si="75"/>
        <v>4.3</v>
      </c>
      <c r="AF287" s="943" t="e">
        <f>#N/A</f>
        <v>#N/A</v>
      </c>
      <c r="AG287" s="893">
        <f t="shared" si="67"/>
        <v>39.059999999999995</v>
      </c>
      <c r="AH287" s="894"/>
      <c r="AI287" s="895">
        <v>29.51</v>
      </c>
      <c r="AJ287" s="791">
        <v>27.51</v>
      </c>
      <c r="AK287" s="896">
        <f t="shared" si="76"/>
        <v>2</v>
      </c>
      <c r="AL287" s="896"/>
      <c r="AS287" s="898"/>
    </row>
    <row r="288" spans="1:45" s="779" customFormat="1" ht="25.2" customHeight="1">
      <c r="A288" s="885">
        <v>272</v>
      </c>
      <c r="B288" s="886"/>
      <c r="C288" s="887" t="str">
        <f>'Tên thang 01-26'!E275</f>
        <v>អ៊ាង ឈីន</v>
      </c>
      <c r="D288" s="887" t="str">
        <f>'Tên thang 01-26'!F275</f>
        <v>EANG CHHIN</v>
      </c>
      <c r="E288" s="888">
        <v>230</v>
      </c>
      <c r="F288" s="889">
        <f>'SAN LUONG'!AP282*0.44</f>
        <v>597.96</v>
      </c>
      <c r="G288" s="889">
        <f t="shared" si="63"/>
        <v>8.52</v>
      </c>
      <c r="H288" s="889">
        <f>'SAN LUONG'!AO282*0.44</f>
        <v>0</v>
      </c>
      <c r="I288" s="889">
        <f t="shared" si="64"/>
        <v>0</v>
      </c>
      <c r="J288" s="889">
        <f>'SAN LUONG'!AV282*0.44</f>
        <v>295.24</v>
      </c>
      <c r="K288" s="889">
        <f t="shared" si="68"/>
        <v>5.13</v>
      </c>
      <c r="L288" s="889"/>
      <c r="M288" s="881">
        <f>'CHAM CONG'!BC279</f>
        <v>15</v>
      </c>
      <c r="N288" s="889">
        <f t="shared" si="69"/>
        <v>7.51</v>
      </c>
      <c r="O288" s="889">
        <f t="shared" si="70"/>
        <v>0.47</v>
      </c>
      <c r="P288" s="890">
        <f>'CHAM CONG'!BO279</f>
        <v>28</v>
      </c>
      <c r="Q288" s="942">
        <f t="shared" si="71"/>
        <v>2.63</v>
      </c>
      <c r="R288" s="942">
        <f>'SAN LUONG'!DW282</f>
        <v>21.9</v>
      </c>
      <c r="S288" s="942">
        <f t="shared" si="65"/>
        <v>0.69</v>
      </c>
      <c r="T288" s="943">
        <f>'CHAM CONG'!BW279</f>
        <v>-20000</v>
      </c>
      <c r="U288" s="942">
        <f t="shared" si="72"/>
        <v>-0.63</v>
      </c>
      <c r="V288" s="890">
        <f>'CHAM CONG'!BD279</f>
        <v>1</v>
      </c>
      <c r="W288" s="944">
        <f t="shared" si="66"/>
        <v>0.53</v>
      </c>
      <c r="X288" s="891">
        <f>'CHAM CONG'!BT279</f>
        <v>1</v>
      </c>
      <c r="Y288" s="881">
        <f t="shared" si="73"/>
        <v>1.1000000000000001</v>
      </c>
      <c r="Z288" s="892">
        <v>6.03</v>
      </c>
      <c r="AA288" s="942">
        <f t="shared" si="62"/>
        <v>1.7</v>
      </c>
      <c r="AB288" s="892">
        <v>6.03</v>
      </c>
      <c r="AC288" s="942">
        <f t="shared" si="74"/>
        <v>7.24</v>
      </c>
      <c r="AD288" s="892">
        <v>6.03</v>
      </c>
      <c r="AE288" s="942">
        <f t="shared" si="75"/>
        <v>4.3</v>
      </c>
      <c r="AF288" s="943" t="e">
        <f>#N/A</f>
        <v>#N/A</v>
      </c>
      <c r="AG288" s="893">
        <f t="shared" si="67"/>
        <v>39.19</v>
      </c>
      <c r="AH288" s="894"/>
      <c r="AI288" s="895">
        <v>27.5</v>
      </c>
      <c r="AJ288" s="791">
        <v>25.500000000000004</v>
      </c>
      <c r="AK288" s="896">
        <f t="shared" si="76"/>
        <v>2</v>
      </c>
      <c r="AL288" s="896"/>
      <c r="AS288" s="898"/>
    </row>
    <row r="289" spans="1:45" s="779" customFormat="1" ht="25.2" customHeight="1">
      <c r="A289" s="885">
        <v>273</v>
      </c>
      <c r="B289" s="886"/>
      <c r="C289" s="887" t="str">
        <f>'Tên thang 01-26'!E276</f>
        <v>លី គី</v>
      </c>
      <c r="D289" s="887" t="str">
        <f>'Tên thang 01-26'!F276</f>
        <v>LY KY</v>
      </c>
      <c r="E289" s="888">
        <v>231</v>
      </c>
      <c r="F289" s="889">
        <f>'SAN LUONG'!AP283*0.44</f>
        <v>565.4</v>
      </c>
      <c r="G289" s="889">
        <f t="shared" si="63"/>
        <v>8.0500000000000007</v>
      </c>
      <c r="H289" s="889">
        <f>'SAN LUONG'!AO283*0.44</f>
        <v>0</v>
      </c>
      <c r="I289" s="889">
        <f t="shared" si="64"/>
        <v>0</v>
      </c>
      <c r="J289" s="889">
        <f>'SAN LUONG'!AV283*0.44</f>
        <v>134.64000000000001</v>
      </c>
      <c r="K289" s="889">
        <f t="shared" si="68"/>
        <v>2.34</v>
      </c>
      <c r="L289" s="889"/>
      <c r="M289" s="881">
        <f>'CHAM CONG'!BC280</f>
        <v>15</v>
      </c>
      <c r="N289" s="889">
        <f t="shared" si="69"/>
        <v>7.51</v>
      </c>
      <c r="O289" s="889">
        <f t="shared" si="70"/>
        <v>0.47</v>
      </c>
      <c r="P289" s="890">
        <f>'CHAM CONG'!BO280</f>
        <v>29</v>
      </c>
      <c r="Q289" s="942">
        <f t="shared" si="71"/>
        <v>2.72</v>
      </c>
      <c r="R289" s="942">
        <f>'SAN LUONG'!DW283</f>
        <v>8.6</v>
      </c>
      <c r="S289" s="942">
        <f t="shared" si="65"/>
        <v>0.27</v>
      </c>
      <c r="T289" s="943">
        <f>'CHAM CONG'!BW280</f>
        <v>-20000</v>
      </c>
      <c r="U289" s="942">
        <f t="shared" si="72"/>
        <v>-0.63</v>
      </c>
      <c r="V289" s="890">
        <f>'CHAM CONG'!BD280</f>
        <v>1</v>
      </c>
      <c r="W289" s="944">
        <f t="shared" si="66"/>
        <v>0.53</v>
      </c>
      <c r="X289" s="891">
        <f>'CHAM CONG'!BT280</f>
        <v>1</v>
      </c>
      <c r="Y289" s="881">
        <f t="shared" si="73"/>
        <v>1.1000000000000001</v>
      </c>
      <c r="Z289" s="892">
        <v>6.03</v>
      </c>
      <c r="AA289" s="942">
        <f t="shared" si="62"/>
        <v>1.7</v>
      </c>
      <c r="AB289" s="892">
        <v>6.03</v>
      </c>
      <c r="AC289" s="942">
        <f t="shared" si="74"/>
        <v>7.24</v>
      </c>
      <c r="AD289" s="892">
        <v>6.03</v>
      </c>
      <c r="AE289" s="942">
        <f t="shared" si="75"/>
        <v>4.3</v>
      </c>
      <c r="AF289" s="943" t="e">
        <f>#N/A</f>
        <v>#N/A</v>
      </c>
      <c r="AG289" s="893">
        <f t="shared" si="67"/>
        <v>35.6</v>
      </c>
      <c r="AH289" s="894"/>
      <c r="AI289" s="895">
        <v>28.54</v>
      </c>
      <c r="AJ289" s="791">
        <v>26.530000000000005</v>
      </c>
      <c r="AK289" s="896">
        <f t="shared" si="76"/>
        <v>2</v>
      </c>
      <c r="AL289" s="896"/>
      <c r="AS289" s="898"/>
    </row>
    <row r="290" spans="1:45" s="779" customFormat="1" ht="25.2" customHeight="1">
      <c r="A290" s="885">
        <v>274</v>
      </c>
      <c r="B290" s="886"/>
      <c r="C290" s="887" t="str">
        <f>'Tên thang 01-26'!E277</f>
        <v>សឿង ថេង</v>
      </c>
      <c r="D290" s="887" t="str">
        <f>'Tên thang 01-26'!F277</f>
        <v>SOEUNG THENG</v>
      </c>
      <c r="E290" s="888">
        <v>232</v>
      </c>
      <c r="F290" s="889">
        <f>'SAN LUONG'!AP284*0.44</f>
        <v>734.8</v>
      </c>
      <c r="G290" s="889">
        <f t="shared" si="63"/>
        <v>10.47</v>
      </c>
      <c r="H290" s="889">
        <f>'SAN LUONG'!AO284*0.44</f>
        <v>0</v>
      </c>
      <c r="I290" s="889">
        <f t="shared" si="64"/>
        <v>0</v>
      </c>
      <c r="J290" s="889">
        <f>'SAN LUONG'!AV284*0.44</f>
        <v>314.16000000000003</v>
      </c>
      <c r="K290" s="889">
        <f t="shared" si="68"/>
        <v>5.46</v>
      </c>
      <c r="L290" s="889"/>
      <c r="M290" s="881">
        <f>'CHAM CONG'!BC281</f>
        <v>15</v>
      </c>
      <c r="N290" s="889">
        <f t="shared" si="69"/>
        <v>7.51</v>
      </c>
      <c r="O290" s="889">
        <f t="shared" si="70"/>
        <v>0.47</v>
      </c>
      <c r="P290" s="890">
        <f>'CHAM CONG'!BO281</f>
        <v>28</v>
      </c>
      <c r="Q290" s="942">
        <f t="shared" si="71"/>
        <v>2.63</v>
      </c>
      <c r="R290" s="942">
        <f>'SAN LUONG'!DW284</f>
        <v>13.6</v>
      </c>
      <c r="S290" s="942">
        <f t="shared" si="65"/>
        <v>0.43</v>
      </c>
      <c r="T290" s="943">
        <f>'CHAM CONG'!BW281</f>
        <v>0</v>
      </c>
      <c r="U290" s="942">
        <f t="shared" si="72"/>
        <v>0</v>
      </c>
      <c r="V290" s="890">
        <f>'CHAM CONG'!BD281</f>
        <v>1</v>
      </c>
      <c r="W290" s="944">
        <f t="shared" si="66"/>
        <v>0.53</v>
      </c>
      <c r="X290" s="891">
        <f>'CHAM CONG'!BT281</f>
        <v>1</v>
      </c>
      <c r="Y290" s="881">
        <f t="shared" si="73"/>
        <v>1.1000000000000001</v>
      </c>
      <c r="Z290" s="892">
        <v>6.03</v>
      </c>
      <c r="AA290" s="942">
        <f t="shared" si="62"/>
        <v>1.7</v>
      </c>
      <c r="AB290" s="892">
        <v>6.03</v>
      </c>
      <c r="AC290" s="942">
        <f t="shared" si="74"/>
        <v>7.24</v>
      </c>
      <c r="AD290" s="892">
        <v>6.03</v>
      </c>
      <c r="AE290" s="942">
        <f t="shared" si="75"/>
        <v>4.3</v>
      </c>
      <c r="AF290" s="943" t="e">
        <f>#N/A</f>
        <v>#N/A</v>
      </c>
      <c r="AG290" s="893">
        <f t="shared" si="67"/>
        <v>41.839999999999996</v>
      </c>
      <c r="AH290" s="894"/>
      <c r="AI290" s="895">
        <v>28.91</v>
      </c>
      <c r="AJ290" s="791">
        <v>26.270000000000003</v>
      </c>
      <c r="AK290" s="896">
        <f t="shared" si="76"/>
        <v>3</v>
      </c>
      <c r="AL290" s="896"/>
      <c r="AS290" s="898"/>
    </row>
    <row r="291" spans="1:45" s="779" customFormat="1" ht="25.2" customHeight="1">
      <c r="A291" s="885">
        <v>275</v>
      </c>
      <c r="B291" s="886"/>
      <c r="C291" s="887" t="str">
        <f>'Tên thang 01-26'!E278</f>
        <v>សឿន ចាន់</v>
      </c>
      <c r="D291" s="887" t="str">
        <f>'Tên thang 01-26'!F278</f>
        <v>SOEUN CHAN</v>
      </c>
      <c r="E291" s="888">
        <v>233</v>
      </c>
      <c r="F291" s="889">
        <f>'SAN LUONG'!AP285*0.44</f>
        <v>1034</v>
      </c>
      <c r="G291" s="889">
        <f t="shared" si="63"/>
        <v>14.73</v>
      </c>
      <c r="H291" s="889">
        <f>'SAN LUONG'!AO285*0.44</f>
        <v>0</v>
      </c>
      <c r="I291" s="889">
        <f t="shared" si="64"/>
        <v>0</v>
      </c>
      <c r="J291" s="889">
        <f>'SAN LUONG'!AV285*0.44</f>
        <v>0</v>
      </c>
      <c r="K291" s="889">
        <f t="shared" si="68"/>
        <v>0</v>
      </c>
      <c r="L291" s="889"/>
      <c r="M291" s="881">
        <f>'CHAM CONG'!BC282</f>
        <v>15</v>
      </c>
      <c r="N291" s="889">
        <f t="shared" si="69"/>
        <v>7.51</v>
      </c>
      <c r="O291" s="889">
        <f t="shared" si="70"/>
        <v>0.47</v>
      </c>
      <c r="P291" s="890">
        <f>'CHAM CONG'!BO282</f>
        <v>28</v>
      </c>
      <c r="Q291" s="942">
        <f t="shared" si="71"/>
        <v>2.63</v>
      </c>
      <c r="R291" s="942">
        <f>'SAN LUONG'!DW285</f>
        <v>10.5</v>
      </c>
      <c r="S291" s="942">
        <f t="shared" si="65"/>
        <v>0.33</v>
      </c>
      <c r="T291" s="943">
        <f>'CHAM CONG'!BW282</f>
        <v>20000</v>
      </c>
      <c r="U291" s="942">
        <f t="shared" si="72"/>
        <v>0.63</v>
      </c>
      <c r="V291" s="890">
        <f>'CHAM CONG'!BD282</f>
        <v>2</v>
      </c>
      <c r="W291" s="944">
        <f t="shared" si="66"/>
        <v>1.06</v>
      </c>
      <c r="X291" s="891">
        <f>'CHAM CONG'!BT282</f>
        <v>1</v>
      </c>
      <c r="Y291" s="881">
        <f t="shared" si="73"/>
        <v>1.1000000000000001</v>
      </c>
      <c r="Z291" s="892">
        <v>6.03</v>
      </c>
      <c r="AA291" s="942">
        <f t="shared" si="62"/>
        <v>1.7</v>
      </c>
      <c r="AB291" s="892">
        <v>6.03</v>
      </c>
      <c r="AC291" s="942">
        <f t="shared" si="74"/>
        <v>7.24</v>
      </c>
      <c r="AD291" s="892">
        <v>6.03</v>
      </c>
      <c r="AE291" s="942">
        <f t="shared" si="75"/>
        <v>4.3</v>
      </c>
      <c r="AF291" s="943" t="e">
        <f>#N/A</f>
        <v>#N/A</v>
      </c>
      <c r="AG291" s="893">
        <f t="shared" si="67"/>
        <v>41.699999999999996</v>
      </c>
      <c r="AH291" s="894"/>
      <c r="AI291" s="895">
        <v>29.86</v>
      </c>
      <c r="AJ291" s="791">
        <v>27.860000000000003</v>
      </c>
      <c r="AK291" s="896">
        <f t="shared" si="76"/>
        <v>2</v>
      </c>
      <c r="AL291" s="896"/>
      <c r="AS291" s="898"/>
    </row>
    <row r="292" spans="1:45" s="779" customFormat="1" ht="25.2" customHeight="1">
      <c r="A292" s="885">
        <v>276</v>
      </c>
      <c r="B292" s="886"/>
      <c r="C292" s="887" t="str">
        <f>'Tên thang 01-26'!E279</f>
        <v>ពយ នីន</v>
      </c>
      <c r="D292" s="887" t="str">
        <f>'Tên thang 01-26'!F279</f>
        <v>POY NIN</v>
      </c>
      <c r="E292" s="888">
        <v>234</v>
      </c>
      <c r="F292" s="889">
        <f>'SAN LUONG'!AP286*0.44</f>
        <v>971.08</v>
      </c>
      <c r="G292" s="889">
        <f t="shared" si="63"/>
        <v>13.83</v>
      </c>
      <c r="H292" s="889">
        <f>'SAN LUONG'!AO286*0.44</f>
        <v>0</v>
      </c>
      <c r="I292" s="889">
        <f t="shared" si="64"/>
        <v>0</v>
      </c>
      <c r="J292" s="889">
        <f>'SAN LUONG'!AV286*0.44</f>
        <v>0</v>
      </c>
      <c r="K292" s="889">
        <f t="shared" si="68"/>
        <v>0</v>
      </c>
      <c r="L292" s="889"/>
      <c r="M292" s="881">
        <f>'CHAM CONG'!BC283</f>
        <v>15</v>
      </c>
      <c r="N292" s="889">
        <f t="shared" si="69"/>
        <v>7.51</v>
      </c>
      <c r="O292" s="889">
        <f t="shared" si="70"/>
        <v>0.47</v>
      </c>
      <c r="P292" s="890">
        <f>'CHAM CONG'!BO283</f>
        <v>28</v>
      </c>
      <c r="Q292" s="942">
        <f t="shared" si="71"/>
        <v>2.63</v>
      </c>
      <c r="R292" s="942">
        <f>'SAN LUONG'!DW286</f>
        <v>6.4</v>
      </c>
      <c r="S292" s="942">
        <f t="shared" si="65"/>
        <v>0.2</v>
      </c>
      <c r="T292" s="943">
        <f>'CHAM CONG'!BW283</f>
        <v>0</v>
      </c>
      <c r="U292" s="942">
        <f t="shared" si="72"/>
        <v>0</v>
      </c>
      <c r="V292" s="890">
        <f>'CHAM CONG'!BD283</f>
        <v>1</v>
      </c>
      <c r="W292" s="944">
        <f t="shared" si="66"/>
        <v>0.53</v>
      </c>
      <c r="X292" s="891">
        <f>'CHAM CONG'!BT283</f>
        <v>1</v>
      </c>
      <c r="Y292" s="881">
        <f t="shared" si="73"/>
        <v>1.1000000000000001</v>
      </c>
      <c r="Z292" s="892">
        <v>6.03</v>
      </c>
      <c r="AA292" s="942">
        <f t="shared" si="62"/>
        <v>1.7</v>
      </c>
      <c r="AB292" s="892">
        <v>6.03</v>
      </c>
      <c r="AC292" s="942">
        <f t="shared" si="74"/>
        <v>7.24</v>
      </c>
      <c r="AD292" s="892">
        <v>6.03</v>
      </c>
      <c r="AE292" s="942">
        <f t="shared" si="75"/>
        <v>4.3</v>
      </c>
      <c r="AF292" s="943" t="e">
        <f>#N/A</f>
        <v>#N/A</v>
      </c>
      <c r="AG292" s="893">
        <f t="shared" si="67"/>
        <v>39.51</v>
      </c>
      <c r="AH292" s="894"/>
      <c r="AI292" s="895">
        <v>28.58</v>
      </c>
      <c r="AJ292" s="791">
        <v>26.580000000000002</v>
      </c>
      <c r="AK292" s="896">
        <f t="shared" si="76"/>
        <v>2</v>
      </c>
      <c r="AL292" s="896"/>
      <c r="AS292" s="898"/>
    </row>
    <row r="293" spans="1:45" s="779" customFormat="1" ht="25.2" customHeight="1">
      <c r="A293" s="885">
        <v>277</v>
      </c>
      <c r="B293" s="886"/>
      <c r="C293" s="887" t="str">
        <f>'Tên thang 01-26'!E280</f>
        <v>សោម ច័ន្ធសុភា</v>
      </c>
      <c r="D293" s="887" t="str">
        <f>'Tên thang 01-26'!F280</f>
        <v>SAOM CHAN SOPHEA</v>
      </c>
      <c r="E293" s="888">
        <v>235</v>
      </c>
      <c r="F293" s="889">
        <f>'SAN LUONG'!AP287*0.44</f>
        <v>913</v>
      </c>
      <c r="G293" s="889">
        <f t="shared" si="63"/>
        <v>13</v>
      </c>
      <c r="H293" s="889">
        <f>'SAN LUONG'!AO287*0.44</f>
        <v>0</v>
      </c>
      <c r="I293" s="889">
        <f t="shared" si="64"/>
        <v>0</v>
      </c>
      <c r="J293" s="889">
        <f>'SAN LUONG'!AV287*0.44</f>
        <v>0</v>
      </c>
      <c r="K293" s="889">
        <f t="shared" si="68"/>
        <v>0</v>
      </c>
      <c r="L293" s="889"/>
      <c r="M293" s="881">
        <f>'CHAM CONG'!BC284</f>
        <v>15</v>
      </c>
      <c r="N293" s="889">
        <f t="shared" si="69"/>
        <v>7.51</v>
      </c>
      <c r="O293" s="889">
        <f t="shared" si="70"/>
        <v>0.47</v>
      </c>
      <c r="P293" s="890">
        <f>'CHAM CONG'!BO284</f>
        <v>29</v>
      </c>
      <c r="Q293" s="942">
        <f t="shared" si="71"/>
        <v>2.72</v>
      </c>
      <c r="R293" s="942">
        <f>'SAN LUONG'!DW287</f>
        <v>14.9</v>
      </c>
      <c r="S293" s="942">
        <f t="shared" si="65"/>
        <v>0.47</v>
      </c>
      <c r="T293" s="943">
        <f>'CHAM CONG'!BW284</f>
        <v>0</v>
      </c>
      <c r="U293" s="942">
        <f t="shared" si="72"/>
        <v>0</v>
      </c>
      <c r="V293" s="890">
        <f>'CHAM CONG'!BD284</f>
        <v>2</v>
      </c>
      <c r="W293" s="944">
        <f t="shared" si="66"/>
        <v>1.06</v>
      </c>
      <c r="X293" s="891">
        <f>'CHAM CONG'!BT284</f>
        <v>1</v>
      </c>
      <c r="Y293" s="881">
        <f t="shared" si="73"/>
        <v>1.1000000000000001</v>
      </c>
      <c r="Z293" s="892">
        <v>6.03</v>
      </c>
      <c r="AA293" s="942">
        <f t="shared" si="62"/>
        <v>1.7</v>
      </c>
      <c r="AB293" s="892">
        <v>6.03</v>
      </c>
      <c r="AC293" s="942">
        <f t="shared" si="74"/>
        <v>7.24</v>
      </c>
      <c r="AD293" s="892">
        <v>6.03</v>
      </c>
      <c r="AE293" s="942">
        <f t="shared" si="75"/>
        <v>4.3</v>
      </c>
      <c r="AF293" s="943" t="e">
        <f>#N/A</f>
        <v>#N/A</v>
      </c>
      <c r="AG293" s="893">
        <f t="shared" si="67"/>
        <v>39.569999999999993</v>
      </c>
      <c r="AH293" s="894"/>
      <c r="AI293" s="895">
        <v>27.06</v>
      </c>
      <c r="AJ293" s="791">
        <v>25.050000000000004</v>
      </c>
      <c r="AK293" s="896">
        <f t="shared" si="76"/>
        <v>2</v>
      </c>
      <c r="AL293" s="896"/>
      <c r="AS293" s="898"/>
    </row>
    <row r="294" spans="1:45" s="779" customFormat="1" ht="25.2" customHeight="1">
      <c r="A294" s="885">
        <v>278</v>
      </c>
      <c r="B294" s="886"/>
      <c r="C294" s="887" t="str">
        <f>'Tên thang 01-26'!E281</f>
        <v>គង់ សុផាន</v>
      </c>
      <c r="D294" s="887" t="str">
        <f>'Tên thang 01-26'!F281</f>
        <v>KONG SOPHAN</v>
      </c>
      <c r="E294" s="888">
        <v>236</v>
      </c>
      <c r="F294" s="889">
        <f>'SAN LUONG'!AP288*0.44</f>
        <v>893.2</v>
      </c>
      <c r="G294" s="889">
        <f t="shared" si="63"/>
        <v>12.72</v>
      </c>
      <c r="H294" s="889">
        <f>'SAN LUONG'!AO288*0.44</f>
        <v>0</v>
      </c>
      <c r="I294" s="889">
        <f t="shared" si="64"/>
        <v>0</v>
      </c>
      <c r="J294" s="889">
        <f>'SAN LUONG'!AV288*0.44</f>
        <v>0</v>
      </c>
      <c r="K294" s="889">
        <f t="shared" si="68"/>
        <v>0</v>
      </c>
      <c r="L294" s="889"/>
      <c r="M294" s="881">
        <f>'CHAM CONG'!BC285</f>
        <v>15</v>
      </c>
      <c r="N294" s="889">
        <f t="shared" si="69"/>
        <v>7.51</v>
      </c>
      <c r="O294" s="889">
        <f t="shared" si="70"/>
        <v>0.47</v>
      </c>
      <c r="P294" s="890">
        <f>'CHAM CONG'!BO285</f>
        <v>29</v>
      </c>
      <c r="Q294" s="942">
        <f t="shared" si="71"/>
        <v>2.72</v>
      </c>
      <c r="R294" s="942">
        <f>'SAN LUONG'!DW288</f>
        <v>10.5</v>
      </c>
      <c r="S294" s="942">
        <f t="shared" si="65"/>
        <v>0.33</v>
      </c>
      <c r="T294" s="943">
        <f>'CHAM CONG'!BW285</f>
        <v>20000</v>
      </c>
      <c r="U294" s="942">
        <f t="shared" si="72"/>
        <v>0.63</v>
      </c>
      <c r="V294" s="890">
        <f>'CHAM CONG'!BD285</f>
        <v>2</v>
      </c>
      <c r="W294" s="944">
        <f t="shared" si="66"/>
        <v>1.06</v>
      </c>
      <c r="X294" s="891">
        <f>'CHAM CONG'!BT285</f>
        <v>1</v>
      </c>
      <c r="Y294" s="881">
        <f t="shared" si="73"/>
        <v>1.1000000000000001</v>
      </c>
      <c r="Z294" s="892">
        <v>6.03</v>
      </c>
      <c r="AA294" s="942">
        <f t="shared" si="62"/>
        <v>1.7</v>
      </c>
      <c r="AB294" s="892">
        <v>6.03</v>
      </c>
      <c r="AC294" s="942">
        <f t="shared" si="74"/>
        <v>7.24</v>
      </c>
      <c r="AD294" s="892">
        <v>6.03</v>
      </c>
      <c r="AE294" s="942">
        <f t="shared" si="75"/>
        <v>4.3</v>
      </c>
      <c r="AF294" s="943" t="e">
        <f>#N/A</f>
        <v>#N/A</v>
      </c>
      <c r="AG294" s="893">
        <f t="shared" si="67"/>
        <v>39.779999999999994</v>
      </c>
      <c r="AH294" s="894"/>
      <c r="AI294" s="895">
        <v>27.02</v>
      </c>
      <c r="AJ294" s="791">
        <v>25.010000000000005</v>
      </c>
      <c r="AK294" s="896">
        <f t="shared" si="76"/>
        <v>2</v>
      </c>
      <c r="AL294" s="896"/>
      <c r="AS294" s="898"/>
    </row>
    <row r="295" spans="1:45" s="779" customFormat="1" ht="25.2" customHeight="1">
      <c r="A295" s="885">
        <v>279</v>
      </c>
      <c r="B295" s="886"/>
      <c r="C295" s="887" t="str">
        <f>'Tên thang 01-26'!E282</f>
        <v>ពាង ដែន</v>
      </c>
      <c r="D295" s="887" t="str">
        <f>'Tên thang 01-26'!F282</f>
        <v>PEANG DEN</v>
      </c>
      <c r="E295" s="888">
        <v>237</v>
      </c>
      <c r="F295" s="889">
        <f>'SAN LUONG'!AP289*0.44</f>
        <v>872.96</v>
      </c>
      <c r="G295" s="889">
        <f t="shared" si="63"/>
        <v>12.43</v>
      </c>
      <c r="H295" s="889">
        <f>'SAN LUONG'!AO289*0.44</f>
        <v>0</v>
      </c>
      <c r="I295" s="889">
        <f t="shared" si="64"/>
        <v>0</v>
      </c>
      <c r="J295" s="889">
        <f>'SAN LUONG'!AV289*0.44</f>
        <v>0</v>
      </c>
      <c r="K295" s="889">
        <f t="shared" si="68"/>
        <v>0</v>
      </c>
      <c r="L295" s="889"/>
      <c r="M295" s="881">
        <f>'CHAM CONG'!BC286</f>
        <v>13</v>
      </c>
      <c r="N295" s="889">
        <f t="shared" si="69"/>
        <v>6.51</v>
      </c>
      <c r="O295" s="889">
        <f t="shared" si="70"/>
        <v>0.41</v>
      </c>
      <c r="P295" s="890">
        <f>'CHAM CONG'!BO286</f>
        <v>0</v>
      </c>
      <c r="Q295" s="942">
        <f t="shared" si="71"/>
        <v>0</v>
      </c>
      <c r="R295" s="942">
        <f>'SAN LUONG'!DW289</f>
        <v>6</v>
      </c>
      <c r="S295" s="942">
        <f t="shared" si="65"/>
        <v>0.19</v>
      </c>
      <c r="T295" s="943">
        <f>'CHAM CONG'!BW286</f>
        <v>0</v>
      </c>
      <c r="U295" s="942">
        <f t="shared" si="72"/>
        <v>0</v>
      </c>
      <c r="V295" s="890">
        <f>'CHAM CONG'!BD286</f>
        <v>2</v>
      </c>
      <c r="W295" s="944">
        <f t="shared" si="66"/>
        <v>1.06</v>
      </c>
      <c r="X295" s="891">
        <f>'CHAM CONG'!BT286</f>
        <v>0</v>
      </c>
      <c r="Y295" s="881">
        <f t="shared" si="73"/>
        <v>0</v>
      </c>
      <c r="Z295" s="892">
        <v>6.03</v>
      </c>
      <c r="AA295" s="942">
        <f t="shared" si="62"/>
        <v>1.7</v>
      </c>
      <c r="AB295" s="892">
        <v>6.03</v>
      </c>
      <c r="AC295" s="942">
        <f t="shared" si="74"/>
        <v>7.24</v>
      </c>
      <c r="AD295" s="892">
        <v>6.03</v>
      </c>
      <c r="AE295" s="942">
        <f t="shared" si="75"/>
        <v>4.3</v>
      </c>
      <c r="AF295" s="943" t="e">
        <f>#N/A</f>
        <v>#N/A</v>
      </c>
      <c r="AG295" s="893">
        <f t="shared" si="67"/>
        <v>33.840000000000003</v>
      </c>
      <c r="AH295" s="894"/>
      <c r="AI295" s="895">
        <v>18.13</v>
      </c>
      <c r="AJ295" s="791">
        <v>16.760000000000002</v>
      </c>
      <c r="AK295" s="896">
        <f t="shared" si="76"/>
        <v>1</v>
      </c>
      <c r="AL295" s="896"/>
      <c r="AS295" s="898"/>
    </row>
    <row r="296" spans="1:45" s="779" customFormat="1" ht="25.2" customHeight="1">
      <c r="A296" s="885">
        <v>280</v>
      </c>
      <c r="B296" s="886"/>
      <c r="C296" s="887" t="str">
        <f>'Tên thang 01-26'!E283</f>
        <v>ពៅ ផាត</v>
      </c>
      <c r="D296" s="887" t="str">
        <f>'Tên thang 01-26'!F283</f>
        <v>POV PHAT</v>
      </c>
      <c r="E296" s="888">
        <v>238</v>
      </c>
      <c r="F296" s="889">
        <f>'SAN LUONG'!AP290*0.44</f>
        <v>876.92</v>
      </c>
      <c r="G296" s="889">
        <f t="shared" si="63"/>
        <v>12.49</v>
      </c>
      <c r="H296" s="889">
        <f>'SAN LUONG'!AO290*0.44</f>
        <v>0</v>
      </c>
      <c r="I296" s="889">
        <f t="shared" si="64"/>
        <v>0</v>
      </c>
      <c r="J296" s="889">
        <f>'SAN LUONG'!AV290*0.44</f>
        <v>0</v>
      </c>
      <c r="K296" s="889">
        <f t="shared" si="68"/>
        <v>0</v>
      </c>
      <c r="L296" s="889"/>
      <c r="M296" s="881">
        <f>'CHAM CONG'!BC287</f>
        <v>16</v>
      </c>
      <c r="N296" s="889">
        <f t="shared" si="69"/>
        <v>8.01</v>
      </c>
      <c r="O296" s="889">
        <f t="shared" si="70"/>
        <v>0.5</v>
      </c>
      <c r="P296" s="890">
        <f>'CHAM CONG'!BO287</f>
        <v>28</v>
      </c>
      <c r="Q296" s="942">
        <f t="shared" si="71"/>
        <v>2.63</v>
      </c>
      <c r="R296" s="942">
        <f>'SAN LUONG'!DW290</f>
        <v>6.7</v>
      </c>
      <c r="S296" s="942">
        <f t="shared" si="65"/>
        <v>0.21</v>
      </c>
      <c r="T296" s="943">
        <f>'CHAM CONG'!BW287</f>
        <v>0</v>
      </c>
      <c r="U296" s="942">
        <f t="shared" si="72"/>
        <v>0</v>
      </c>
      <c r="V296" s="890">
        <f>'CHAM CONG'!BD287</f>
        <v>2</v>
      </c>
      <c r="W296" s="944">
        <f t="shared" si="66"/>
        <v>1.06</v>
      </c>
      <c r="X296" s="891">
        <f>'CHAM CONG'!BT287</f>
        <v>1</v>
      </c>
      <c r="Y296" s="881">
        <f t="shared" si="73"/>
        <v>1.1000000000000001</v>
      </c>
      <c r="Z296" s="892">
        <v>6.03</v>
      </c>
      <c r="AA296" s="942">
        <f t="shared" si="62"/>
        <v>1.7</v>
      </c>
      <c r="AB296" s="892">
        <v>6.03</v>
      </c>
      <c r="AC296" s="942">
        <f t="shared" si="74"/>
        <v>7.24</v>
      </c>
      <c r="AD296" s="892">
        <v>6.03</v>
      </c>
      <c r="AE296" s="942">
        <f t="shared" si="75"/>
        <v>4.3</v>
      </c>
      <c r="AF296" s="943" t="e">
        <f>#N/A</f>
        <v>#N/A</v>
      </c>
      <c r="AG296" s="893">
        <f t="shared" si="67"/>
        <v>39.24</v>
      </c>
      <c r="AH296" s="894"/>
      <c r="AI296" s="895">
        <v>25.55</v>
      </c>
      <c r="AJ296" s="791">
        <v>24.160000000000004</v>
      </c>
      <c r="AK296" s="896">
        <f t="shared" si="76"/>
        <v>1</v>
      </c>
      <c r="AL296" s="896"/>
      <c r="AS296" s="898"/>
    </row>
    <row r="297" spans="1:45" s="779" customFormat="1" ht="25.2" customHeight="1">
      <c r="A297" s="885">
        <v>281</v>
      </c>
      <c r="B297" s="886"/>
      <c r="C297" s="887" t="str">
        <f>'Tên thang 01-26'!E284</f>
        <v>តុត យាង</v>
      </c>
      <c r="D297" s="887" t="str">
        <f>'Tên thang 01-26'!F284</f>
        <v>TOT YEANG</v>
      </c>
      <c r="E297" s="888">
        <v>239</v>
      </c>
      <c r="F297" s="889">
        <f>'SAN LUONG'!AP291*0.44</f>
        <v>983.84</v>
      </c>
      <c r="G297" s="889">
        <f t="shared" si="63"/>
        <v>14.01</v>
      </c>
      <c r="H297" s="889">
        <f>'SAN LUONG'!AO291*0.44</f>
        <v>0</v>
      </c>
      <c r="I297" s="889">
        <f t="shared" si="64"/>
        <v>0</v>
      </c>
      <c r="J297" s="889">
        <f>'SAN LUONG'!AV291*0.44</f>
        <v>0</v>
      </c>
      <c r="K297" s="889">
        <f t="shared" si="68"/>
        <v>0</v>
      </c>
      <c r="L297" s="889"/>
      <c r="M297" s="881">
        <f>'CHAM CONG'!BC288</f>
        <v>16</v>
      </c>
      <c r="N297" s="889">
        <f t="shared" si="69"/>
        <v>8.01</v>
      </c>
      <c r="O297" s="889">
        <f t="shared" si="70"/>
        <v>0.5</v>
      </c>
      <c r="P297" s="890">
        <f>'CHAM CONG'!BO288</f>
        <v>29</v>
      </c>
      <c r="Q297" s="942">
        <f t="shared" si="71"/>
        <v>2.72</v>
      </c>
      <c r="R297" s="942">
        <f>'SAN LUONG'!DW291</f>
        <v>10.5</v>
      </c>
      <c r="S297" s="942">
        <f t="shared" si="65"/>
        <v>0.33</v>
      </c>
      <c r="T297" s="943">
        <f>'CHAM CONG'!BW288</f>
        <v>0</v>
      </c>
      <c r="U297" s="942">
        <f t="shared" si="72"/>
        <v>0</v>
      </c>
      <c r="V297" s="890">
        <f>'CHAM CONG'!BD288</f>
        <v>2</v>
      </c>
      <c r="W297" s="944">
        <f t="shared" si="66"/>
        <v>1.06</v>
      </c>
      <c r="X297" s="891">
        <f>'CHAM CONG'!BT288</f>
        <v>1</v>
      </c>
      <c r="Y297" s="881">
        <f t="shared" si="73"/>
        <v>1.1000000000000001</v>
      </c>
      <c r="Z297" s="892">
        <v>6.03</v>
      </c>
      <c r="AA297" s="942">
        <f t="shared" si="62"/>
        <v>1.7</v>
      </c>
      <c r="AB297" s="892">
        <v>6.03</v>
      </c>
      <c r="AC297" s="942">
        <f t="shared" si="74"/>
        <v>7.24</v>
      </c>
      <c r="AD297" s="892">
        <v>6.03</v>
      </c>
      <c r="AE297" s="942">
        <f t="shared" si="75"/>
        <v>4.3</v>
      </c>
      <c r="AF297" s="943" t="e">
        <f>#N/A</f>
        <v>#N/A</v>
      </c>
      <c r="AG297" s="893">
        <f t="shared" si="67"/>
        <v>40.97</v>
      </c>
      <c r="AH297" s="894"/>
      <c r="AI297" s="895">
        <v>23.76</v>
      </c>
      <c r="AJ297" s="791">
        <v>22.380000000000006</v>
      </c>
      <c r="AK297" s="896">
        <f t="shared" si="76"/>
        <v>1</v>
      </c>
      <c r="AL297" s="896"/>
      <c r="AS297" s="898"/>
    </row>
    <row r="298" spans="1:45" s="779" customFormat="1" ht="25.2" customHeight="1">
      <c r="A298" s="885">
        <v>282</v>
      </c>
      <c r="B298" s="886"/>
      <c r="C298" s="887" t="str">
        <f>'Tên thang 01-26'!E285</f>
        <v>ថន សាន</v>
      </c>
      <c r="D298" s="887" t="str">
        <f>'Tên thang 01-26'!F285</f>
        <v>THAN SAN</v>
      </c>
      <c r="E298" s="888">
        <v>240</v>
      </c>
      <c r="F298" s="889">
        <f>'SAN LUONG'!AP292*0.44</f>
        <v>751.96</v>
      </c>
      <c r="G298" s="889">
        <f t="shared" si="63"/>
        <v>10.71</v>
      </c>
      <c r="H298" s="889">
        <f>'SAN LUONG'!AO292*0.44</f>
        <v>0</v>
      </c>
      <c r="I298" s="889">
        <f t="shared" si="64"/>
        <v>0</v>
      </c>
      <c r="J298" s="889">
        <f>'SAN LUONG'!AV292*0.44</f>
        <v>0</v>
      </c>
      <c r="K298" s="889">
        <f t="shared" si="68"/>
        <v>0</v>
      </c>
      <c r="L298" s="889"/>
      <c r="M298" s="881">
        <f>'CHAM CONG'!BC289</f>
        <v>14</v>
      </c>
      <c r="N298" s="889">
        <f t="shared" si="69"/>
        <v>7.01</v>
      </c>
      <c r="O298" s="889">
        <f t="shared" si="70"/>
        <v>0.44</v>
      </c>
      <c r="P298" s="890">
        <f>'CHAM CONG'!BO289</f>
        <v>27</v>
      </c>
      <c r="Q298" s="942">
        <f t="shared" si="71"/>
        <v>2.54</v>
      </c>
      <c r="R298" s="942">
        <f>'SAN LUONG'!DW292</f>
        <v>10</v>
      </c>
      <c r="S298" s="942">
        <f t="shared" si="65"/>
        <v>0.31</v>
      </c>
      <c r="T298" s="943">
        <f>'CHAM CONG'!BW289</f>
        <v>0</v>
      </c>
      <c r="U298" s="942">
        <f t="shared" si="72"/>
        <v>0</v>
      </c>
      <c r="V298" s="890">
        <f>'CHAM CONG'!BD289</f>
        <v>0</v>
      </c>
      <c r="W298" s="944">
        <f t="shared" si="66"/>
        <v>0</v>
      </c>
      <c r="X298" s="891">
        <f>'CHAM CONG'!BT289</f>
        <v>1</v>
      </c>
      <c r="Y298" s="881">
        <f t="shared" si="73"/>
        <v>1.1000000000000001</v>
      </c>
      <c r="Z298" s="892">
        <v>6.03</v>
      </c>
      <c r="AA298" s="942">
        <f t="shared" si="62"/>
        <v>1.7</v>
      </c>
      <c r="AB298" s="892">
        <v>6.03</v>
      </c>
      <c r="AC298" s="942">
        <f t="shared" si="74"/>
        <v>7.24</v>
      </c>
      <c r="AD298" s="892">
        <v>6.03</v>
      </c>
      <c r="AE298" s="942">
        <f t="shared" si="75"/>
        <v>4.3</v>
      </c>
      <c r="AF298" s="943" t="e">
        <f>#N/A</f>
        <v>#N/A</v>
      </c>
      <c r="AG298" s="893">
        <f t="shared" si="67"/>
        <v>35.349999999999994</v>
      </c>
      <c r="AH298" s="894"/>
      <c r="AI298" s="895">
        <v>24.96</v>
      </c>
      <c r="AJ298" s="791">
        <v>22.960000000000008</v>
      </c>
      <c r="AK298" s="896">
        <f t="shared" si="76"/>
        <v>2</v>
      </c>
      <c r="AL298" s="896"/>
      <c r="AS298" s="898"/>
    </row>
    <row r="299" spans="1:45" s="779" customFormat="1" ht="25.2" customHeight="1">
      <c r="A299" s="885">
        <v>283</v>
      </c>
      <c r="B299" s="886"/>
      <c r="C299" s="887" t="str">
        <f>'Tên thang 01-26'!E286</f>
        <v>គឿន សុខអន</v>
      </c>
      <c r="D299" s="887" t="str">
        <f>'Tên thang 01-26'!F286</f>
        <v>KOEUN SOH ON</v>
      </c>
      <c r="E299" s="888">
        <v>241</v>
      </c>
      <c r="F299" s="889">
        <f>'SAN LUONG'!AP293*0.44</f>
        <v>364.76</v>
      </c>
      <c r="G299" s="889">
        <f t="shared" si="63"/>
        <v>5.2</v>
      </c>
      <c r="H299" s="889">
        <f>'SAN LUONG'!AO293*0.44</f>
        <v>0</v>
      </c>
      <c r="I299" s="889">
        <f t="shared" si="64"/>
        <v>0</v>
      </c>
      <c r="J299" s="889">
        <f>'SAN LUONG'!AV293*0.44</f>
        <v>469.48</v>
      </c>
      <c r="K299" s="889">
        <f t="shared" si="68"/>
        <v>8.16</v>
      </c>
      <c r="L299" s="889"/>
      <c r="M299" s="881">
        <f>'CHAM CONG'!BC290</f>
        <v>16</v>
      </c>
      <c r="N299" s="889">
        <f t="shared" si="69"/>
        <v>8.01</v>
      </c>
      <c r="O299" s="889">
        <f t="shared" si="70"/>
        <v>0.5</v>
      </c>
      <c r="P299" s="890">
        <f>'CHAM CONG'!BO290</f>
        <v>27</v>
      </c>
      <c r="Q299" s="942">
        <f t="shared" si="71"/>
        <v>2.54</v>
      </c>
      <c r="R299" s="942">
        <f>'SAN LUONG'!DW293</f>
        <v>10.9</v>
      </c>
      <c r="S299" s="942">
        <f t="shared" si="65"/>
        <v>0.34</v>
      </c>
      <c r="T299" s="943">
        <f>'CHAM CONG'!BW290</f>
        <v>0</v>
      </c>
      <c r="U299" s="942">
        <f t="shared" si="72"/>
        <v>0</v>
      </c>
      <c r="V299" s="890">
        <f>'CHAM CONG'!BD290</f>
        <v>1</v>
      </c>
      <c r="W299" s="944">
        <f t="shared" si="66"/>
        <v>0.53</v>
      </c>
      <c r="X299" s="891">
        <f>'CHAM CONG'!BT290</f>
        <v>1</v>
      </c>
      <c r="Y299" s="881">
        <f t="shared" si="73"/>
        <v>1.1000000000000001</v>
      </c>
      <c r="Z299" s="892">
        <v>6.03</v>
      </c>
      <c r="AA299" s="942">
        <f t="shared" si="62"/>
        <v>1.7</v>
      </c>
      <c r="AB299" s="892">
        <v>6.03</v>
      </c>
      <c r="AC299" s="942">
        <f t="shared" si="74"/>
        <v>7.24</v>
      </c>
      <c r="AD299" s="892">
        <v>6.03</v>
      </c>
      <c r="AE299" s="942">
        <f t="shared" si="75"/>
        <v>4.3</v>
      </c>
      <c r="AF299" s="943" t="e">
        <f>#N/A</f>
        <v>#N/A</v>
      </c>
      <c r="AG299" s="893">
        <f t="shared" si="67"/>
        <v>39.619999999999997</v>
      </c>
      <c r="AH299" s="894"/>
      <c r="AI299" s="895">
        <v>27.57</v>
      </c>
      <c r="AJ299" s="791">
        <v>25.560000000000002</v>
      </c>
      <c r="AK299" s="896">
        <f t="shared" si="76"/>
        <v>2</v>
      </c>
      <c r="AL299" s="896"/>
      <c r="AS299" s="898"/>
    </row>
    <row r="300" spans="1:45" s="779" customFormat="1" ht="25.2" customHeight="1">
      <c r="A300" s="885">
        <v>284</v>
      </c>
      <c r="B300" s="886"/>
      <c r="C300" s="887" t="str">
        <f>'Tên thang 01-26'!E287</f>
        <v>ជិន ជឿន</v>
      </c>
      <c r="D300" s="887" t="str">
        <f>'Tên thang 01-26'!F287</f>
        <v>CHIN CHOEUNG</v>
      </c>
      <c r="E300" s="888">
        <v>242</v>
      </c>
      <c r="F300" s="889">
        <f>'SAN LUONG'!AP294*0.44</f>
        <v>409.64</v>
      </c>
      <c r="G300" s="889">
        <f t="shared" si="63"/>
        <v>5.83</v>
      </c>
      <c r="H300" s="889">
        <f>'SAN LUONG'!AO294*0.44</f>
        <v>0</v>
      </c>
      <c r="I300" s="889">
        <f t="shared" si="64"/>
        <v>0</v>
      </c>
      <c r="J300" s="889">
        <f>'SAN LUONG'!AV294*0.44</f>
        <v>464.64</v>
      </c>
      <c r="K300" s="889">
        <f t="shared" si="68"/>
        <v>8.07</v>
      </c>
      <c r="L300" s="889"/>
      <c r="M300" s="881">
        <f>'CHAM CONG'!BC291</f>
        <v>16</v>
      </c>
      <c r="N300" s="889">
        <f t="shared" si="69"/>
        <v>8.01</v>
      </c>
      <c r="O300" s="889">
        <f t="shared" si="70"/>
        <v>0.5</v>
      </c>
      <c r="P300" s="890">
        <f>'CHAM CONG'!BO291</f>
        <v>27</v>
      </c>
      <c r="Q300" s="942">
        <f t="shared" si="71"/>
        <v>2.54</v>
      </c>
      <c r="R300" s="942">
        <f>'SAN LUONG'!DW294</f>
        <v>15.6</v>
      </c>
      <c r="S300" s="942">
        <f t="shared" si="65"/>
        <v>0.49</v>
      </c>
      <c r="T300" s="943">
        <f>'CHAM CONG'!BW291</f>
        <v>0</v>
      </c>
      <c r="U300" s="942">
        <f t="shared" si="72"/>
        <v>0</v>
      </c>
      <c r="V300" s="890">
        <f>'CHAM CONG'!BD291</f>
        <v>1</v>
      </c>
      <c r="W300" s="944">
        <f t="shared" si="66"/>
        <v>0.53</v>
      </c>
      <c r="X300" s="891">
        <f>'CHAM CONG'!BT291</f>
        <v>1</v>
      </c>
      <c r="Y300" s="881">
        <f t="shared" si="73"/>
        <v>1.1000000000000001</v>
      </c>
      <c r="Z300" s="892">
        <v>6.03</v>
      </c>
      <c r="AA300" s="942">
        <f t="shared" si="62"/>
        <v>1.7</v>
      </c>
      <c r="AB300" s="892">
        <v>6.03</v>
      </c>
      <c r="AC300" s="942">
        <f t="shared" si="74"/>
        <v>7.24</v>
      </c>
      <c r="AD300" s="892">
        <v>6.03</v>
      </c>
      <c r="AE300" s="942">
        <f t="shared" si="75"/>
        <v>4.3</v>
      </c>
      <c r="AF300" s="943" t="e">
        <f>#N/A</f>
        <v>#N/A</v>
      </c>
      <c r="AG300" s="893">
        <f t="shared" si="67"/>
        <v>40.31</v>
      </c>
      <c r="AH300" s="894"/>
      <c r="AI300" s="895">
        <v>27.51</v>
      </c>
      <c r="AJ300" s="791">
        <v>25.510000000000005</v>
      </c>
      <c r="AK300" s="896">
        <f t="shared" si="76"/>
        <v>2</v>
      </c>
      <c r="AL300" s="896"/>
      <c r="AS300" s="898"/>
    </row>
    <row r="301" spans="1:45" s="779" customFormat="1" ht="25.2" customHeight="1">
      <c r="A301" s="885">
        <v>285</v>
      </c>
      <c r="B301" s="886"/>
      <c r="C301" s="887" t="str">
        <f>'Tên thang 01-26'!E288</f>
        <v>កុង នេត្រា</v>
      </c>
      <c r="D301" s="887" t="str">
        <f>'Tên thang 01-26'!F288</f>
        <v>KONG NETRA</v>
      </c>
      <c r="E301" s="888">
        <v>243</v>
      </c>
      <c r="F301" s="889">
        <f>'SAN LUONG'!AP295*0.44</f>
        <v>364.76</v>
      </c>
      <c r="G301" s="889">
        <f t="shared" si="63"/>
        <v>5.2</v>
      </c>
      <c r="H301" s="889">
        <f>'SAN LUONG'!AO295*0.44</f>
        <v>0</v>
      </c>
      <c r="I301" s="889">
        <f t="shared" si="64"/>
        <v>0</v>
      </c>
      <c r="J301" s="889">
        <f>'SAN LUONG'!AV295*0.44</f>
        <v>584.32000000000005</v>
      </c>
      <c r="K301" s="889">
        <f t="shared" si="68"/>
        <v>10.15</v>
      </c>
      <c r="L301" s="889"/>
      <c r="M301" s="881">
        <f>'CHAM CONG'!BC292</f>
        <v>14</v>
      </c>
      <c r="N301" s="889">
        <f t="shared" si="69"/>
        <v>7.01</v>
      </c>
      <c r="O301" s="889">
        <f t="shared" si="70"/>
        <v>0.44</v>
      </c>
      <c r="P301" s="890">
        <f>'CHAM CONG'!BO292</f>
        <v>27</v>
      </c>
      <c r="Q301" s="942">
        <f t="shared" si="71"/>
        <v>2.54</v>
      </c>
      <c r="R301" s="942">
        <f>'SAN LUONG'!DW295</f>
        <v>6.1</v>
      </c>
      <c r="S301" s="942">
        <f t="shared" si="65"/>
        <v>0.19</v>
      </c>
      <c r="T301" s="943">
        <f>'CHAM CONG'!BW292</f>
        <v>0</v>
      </c>
      <c r="U301" s="942">
        <f t="shared" si="72"/>
        <v>0</v>
      </c>
      <c r="V301" s="890">
        <f>'CHAM CONG'!BD292</f>
        <v>2</v>
      </c>
      <c r="W301" s="944">
        <f t="shared" si="66"/>
        <v>1.06</v>
      </c>
      <c r="X301" s="891">
        <f>'CHAM CONG'!BT292</f>
        <v>1</v>
      </c>
      <c r="Y301" s="881">
        <f t="shared" si="73"/>
        <v>1.1000000000000001</v>
      </c>
      <c r="Z301" s="892">
        <v>6.03</v>
      </c>
      <c r="AA301" s="942">
        <f t="shared" si="62"/>
        <v>1.7</v>
      </c>
      <c r="AB301" s="892">
        <v>6.03</v>
      </c>
      <c r="AC301" s="942">
        <f t="shared" si="74"/>
        <v>7.24</v>
      </c>
      <c r="AD301" s="892">
        <v>6.03</v>
      </c>
      <c r="AE301" s="942">
        <f t="shared" si="75"/>
        <v>4.3</v>
      </c>
      <c r="AF301" s="943" t="e">
        <f>#N/A</f>
        <v>#N/A</v>
      </c>
      <c r="AG301" s="893">
        <f t="shared" si="67"/>
        <v>40.93</v>
      </c>
      <c r="AH301" s="894"/>
      <c r="AI301" s="895">
        <v>25.69</v>
      </c>
      <c r="AJ301" s="791">
        <v>23.700000000000003</v>
      </c>
      <c r="AK301" s="896">
        <f t="shared" si="76"/>
        <v>2</v>
      </c>
      <c r="AL301" s="896"/>
      <c r="AS301" s="898"/>
    </row>
    <row r="302" spans="1:45" s="779" customFormat="1" ht="25.2" customHeight="1">
      <c r="A302" s="885">
        <v>286</v>
      </c>
      <c r="B302" s="886"/>
      <c r="C302" s="887" t="str">
        <f>'Tên thang 01-26'!E289</f>
        <v>យាង យេង</v>
      </c>
      <c r="D302" s="887" t="str">
        <f>'Tên thang 01-26'!F289</f>
        <v>YEANG YENG</v>
      </c>
      <c r="E302" s="888">
        <v>244</v>
      </c>
      <c r="F302" s="889">
        <f>'SAN LUONG'!AP296*0.44</f>
        <v>322.52</v>
      </c>
      <c r="G302" s="889">
        <f t="shared" si="63"/>
        <v>4.59</v>
      </c>
      <c r="H302" s="889">
        <f>'SAN LUONG'!AO296*0.44</f>
        <v>0</v>
      </c>
      <c r="I302" s="889">
        <f t="shared" si="64"/>
        <v>0</v>
      </c>
      <c r="J302" s="889">
        <f>'SAN LUONG'!AV296*0.44</f>
        <v>576.84</v>
      </c>
      <c r="K302" s="889">
        <f t="shared" si="68"/>
        <v>10.02</v>
      </c>
      <c r="L302" s="889"/>
      <c r="M302" s="881">
        <f>'CHAM CONG'!BC293</f>
        <v>15</v>
      </c>
      <c r="N302" s="889">
        <f t="shared" si="69"/>
        <v>7.51</v>
      </c>
      <c r="O302" s="889">
        <f t="shared" si="70"/>
        <v>0.47</v>
      </c>
      <c r="P302" s="890">
        <f>'CHAM CONG'!BO293</f>
        <v>29</v>
      </c>
      <c r="Q302" s="942">
        <f t="shared" si="71"/>
        <v>2.72</v>
      </c>
      <c r="R302" s="942">
        <f>'SAN LUONG'!DW296</f>
        <v>16.899999999999999</v>
      </c>
      <c r="S302" s="942">
        <f t="shared" si="65"/>
        <v>0.53</v>
      </c>
      <c r="T302" s="943">
        <f>'CHAM CONG'!BW293</f>
        <v>20000</v>
      </c>
      <c r="U302" s="942">
        <f t="shared" si="72"/>
        <v>0.63</v>
      </c>
      <c r="V302" s="890">
        <f>'CHAM CONG'!BD293</f>
        <v>0</v>
      </c>
      <c r="W302" s="944">
        <f t="shared" si="66"/>
        <v>0</v>
      </c>
      <c r="X302" s="891">
        <f>'CHAM CONG'!BT293</f>
        <v>1</v>
      </c>
      <c r="Y302" s="881">
        <f t="shared" si="73"/>
        <v>1.1000000000000001</v>
      </c>
      <c r="Z302" s="892">
        <v>6.03</v>
      </c>
      <c r="AA302" s="942">
        <f t="shared" si="62"/>
        <v>1.7</v>
      </c>
      <c r="AB302" s="892">
        <v>6.03</v>
      </c>
      <c r="AC302" s="942">
        <f t="shared" si="74"/>
        <v>7.24</v>
      </c>
      <c r="AD302" s="892">
        <v>6.03</v>
      </c>
      <c r="AE302" s="942">
        <f t="shared" si="75"/>
        <v>4.3</v>
      </c>
      <c r="AF302" s="943" t="e">
        <f>#N/A</f>
        <v>#N/A</v>
      </c>
      <c r="AG302" s="893">
        <f t="shared" si="67"/>
        <v>40.809999999999995</v>
      </c>
      <c r="AH302" s="894"/>
      <c r="AI302" s="895">
        <v>32.81</v>
      </c>
      <c r="AJ302" s="791">
        <v>30.170000000000005</v>
      </c>
      <c r="AK302" s="896">
        <f t="shared" si="76"/>
        <v>3</v>
      </c>
      <c r="AL302" s="896"/>
      <c r="AS302" s="898"/>
    </row>
    <row r="303" spans="1:45" s="779" customFormat="1" ht="25.2" customHeight="1">
      <c r="A303" s="885">
        <v>287</v>
      </c>
      <c r="B303" s="886"/>
      <c r="C303" s="887" t="str">
        <f>'Tên thang 01-26'!E290</f>
        <v>សេង​ ធឿ</v>
      </c>
      <c r="D303" s="887" t="str">
        <f>'Tên thang 01-26'!F290</f>
        <v>SENG THOEU</v>
      </c>
      <c r="E303" s="888">
        <v>245</v>
      </c>
      <c r="F303" s="889">
        <f>'SAN LUONG'!AP297*0.44</f>
        <v>251.68</v>
      </c>
      <c r="G303" s="889">
        <f t="shared" si="63"/>
        <v>3.58</v>
      </c>
      <c r="H303" s="889">
        <f>'SAN LUONG'!AO297*0.44</f>
        <v>0</v>
      </c>
      <c r="I303" s="889">
        <f t="shared" si="64"/>
        <v>0</v>
      </c>
      <c r="J303" s="889">
        <f>'SAN LUONG'!AV297*0.44</f>
        <v>315.04000000000002</v>
      </c>
      <c r="K303" s="889">
        <f t="shared" si="68"/>
        <v>5.47</v>
      </c>
      <c r="L303" s="889"/>
      <c r="M303" s="881">
        <f>'CHAM CONG'!BC294</f>
        <v>10</v>
      </c>
      <c r="N303" s="889">
        <f t="shared" si="69"/>
        <v>5.01</v>
      </c>
      <c r="O303" s="889">
        <f t="shared" si="70"/>
        <v>0.31</v>
      </c>
      <c r="P303" s="890">
        <f>'CHAM CONG'!BO294</f>
        <v>0</v>
      </c>
      <c r="Q303" s="942">
        <f t="shared" si="71"/>
        <v>0</v>
      </c>
      <c r="R303" s="942">
        <f>'SAN LUONG'!DW297</f>
        <v>8.3000000000000007</v>
      </c>
      <c r="S303" s="942">
        <f t="shared" si="65"/>
        <v>0.26</v>
      </c>
      <c r="T303" s="943">
        <f>'CHAM CONG'!BW294</f>
        <v>0</v>
      </c>
      <c r="U303" s="942">
        <f t="shared" si="72"/>
        <v>0</v>
      </c>
      <c r="V303" s="890">
        <f>'CHAM CONG'!BD294</f>
        <v>0</v>
      </c>
      <c r="W303" s="944">
        <f t="shared" si="66"/>
        <v>0</v>
      </c>
      <c r="X303" s="891">
        <f>'CHAM CONG'!BT294</f>
        <v>0</v>
      </c>
      <c r="Y303" s="881">
        <f t="shared" si="73"/>
        <v>0</v>
      </c>
      <c r="Z303" s="892">
        <v>6.03</v>
      </c>
      <c r="AA303" s="942">
        <f t="shared" si="62"/>
        <v>1.7</v>
      </c>
      <c r="AB303" s="892">
        <v>6.03</v>
      </c>
      <c r="AC303" s="942">
        <f t="shared" si="74"/>
        <v>7.24</v>
      </c>
      <c r="AD303" s="892">
        <v>6.03</v>
      </c>
      <c r="AE303" s="942">
        <f t="shared" si="75"/>
        <v>4.3</v>
      </c>
      <c r="AF303" s="943" t="e">
        <f>#N/A</f>
        <v>#N/A</v>
      </c>
      <c r="AG303" s="893">
        <f t="shared" si="67"/>
        <v>27.87</v>
      </c>
      <c r="AH303" s="894"/>
      <c r="AI303" s="895">
        <v>34.25</v>
      </c>
      <c r="AJ303" s="791">
        <v>32.26</v>
      </c>
      <c r="AK303" s="896">
        <f t="shared" si="76"/>
        <v>2</v>
      </c>
      <c r="AL303" s="896"/>
      <c r="AS303" s="898"/>
    </row>
    <row r="304" spans="1:45" s="779" customFormat="1" ht="25.2" customHeight="1">
      <c r="A304" s="885">
        <v>288</v>
      </c>
      <c r="B304" s="886"/>
      <c r="C304" s="887" t="str">
        <f>'Tên thang 01-26'!E291</f>
        <v>យ៉ាំ ឡត</v>
      </c>
      <c r="D304" s="887" t="str">
        <f>'Tên thang 01-26'!F291</f>
        <v>YAM LOTH</v>
      </c>
      <c r="E304" s="888">
        <v>246</v>
      </c>
      <c r="F304" s="889">
        <f>'SAN LUONG'!AP298*0.44</f>
        <v>419.32</v>
      </c>
      <c r="G304" s="889">
        <f t="shared" si="63"/>
        <v>5.97</v>
      </c>
      <c r="H304" s="889">
        <f>'SAN LUONG'!AO298*0.44</f>
        <v>0</v>
      </c>
      <c r="I304" s="889">
        <f t="shared" si="64"/>
        <v>0</v>
      </c>
      <c r="J304" s="889">
        <f>'SAN LUONG'!AV298*0.44</f>
        <v>630.96</v>
      </c>
      <c r="K304" s="889">
        <f t="shared" si="68"/>
        <v>10.96</v>
      </c>
      <c r="L304" s="889"/>
      <c r="M304" s="881">
        <f>'CHAM CONG'!BC295</f>
        <v>15</v>
      </c>
      <c r="N304" s="889">
        <f t="shared" si="69"/>
        <v>7.51</v>
      </c>
      <c r="O304" s="889">
        <f t="shared" si="70"/>
        <v>0.47</v>
      </c>
      <c r="P304" s="890">
        <f>'CHAM CONG'!BO295</f>
        <v>29</v>
      </c>
      <c r="Q304" s="942">
        <f t="shared" si="71"/>
        <v>2.72</v>
      </c>
      <c r="R304" s="942">
        <f>'SAN LUONG'!DW298</f>
        <v>17.399999999999999</v>
      </c>
      <c r="S304" s="942">
        <f t="shared" si="65"/>
        <v>0.54</v>
      </c>
      <c r="T304" s="943">
        <f>'CHAM CONG'!BW295</f>
        <v>0</v>
      </c>
      <c r="U304" s="942">
        <f t="shared" si="72"/>
        <v>0</v>
      </c>
      <c r="V304" s="890">
        <f>'CHAM CONG'!BD295</f>
        <v>1</v>
      </c>
      <c r="W304" s="944">
        <f t="shared" si="66"/>
        <v>0.53</v>
      </c>
      <c r="X304" s="891">
        <f>'CHAM CONG'!BT295</f>
        <v>1</v>
      </c>
      <c r="Y304" s="881">
        <f t="shared" si="73"/>
        <v>1.1000000000000001</v>
      </c>
      <c r="Z304" s="892">
        <v>6.03</v>
      </c>
      <c r="AA304" s="942">
        <f t="shared" si="62"/>
        <v>1.7</v>
      </c>
      <c r="AB304" s="892">
        <v>6.03</v>
      </c>
      <c r="AC304" s="942">
        <f t="shared" si="74"/>
        <v>7.24</v>
      </c>
      <c r="AD304" s="892">
        <v>6.03</v>
      </c>
      <c r="AE304" s="942">
        <f t="shared" si="75"/>
        <v>4.3</v>
      </c>
      <c r="AF304" s="943" t="e">
        <f>#N/A</f>
        <v>#N/A</v>
      </c>
      <c r="AG304" s="893">
        <f t="shared" si="67"/>
        <v>43.04</v>
      </c>
      <c r="AH304" s="894"/>
      <c r="AI304" s="895">
        <v>33.6</v>
      </c>
      <c r="AJ304" s="791">
        <v>31.600000000000005</v>
      </c>
      <c r="AK304" s="896">
        <f t="shared" si="76"/>
        <v>2</v>
      </c>
      <c r="AL304" s="896"/>
      <c r="AS304" s="898"/>
    </row>
    <row r="305" spans="1:45" s="779" customFormat="1" ht="25.2" customHeight="1">
      <c r="A305" s="885">
        <v>289</v>
      </c>
      <c r="B305" s="886"/>
      <c r="C305" s="887" t="str">
        <f>'Tên thang 01-26'!E292</f>
        <v>វី ភក្កី</v>
      </c>
      <c r="D305" s="887" t="str">
        <f>'Tên thang 01-26'!F292</f>
        <v>VY PHEAKDEY</v>
      </c>
      <c r="E305" s="888">
        <v>247</v>
      </c>
      <c r="F305" s="889">
        <f>'SAN LUONG'!AP299*0.44</f>
        <v>397.32</v>
      </c>
      <c r="G305" s="889">
        <f t="shared" si="63"/>
        <v>5.66</v>
      </c>
      <c r="H305" s="889">
        <f>'SAN LUONG'!AO299*0.44</f>
        <v>0</v>
      </c>
      <c r="I305" s="889">
        <f t="shared" si="64"/>
        <v>0</v>
      </c>
      <c r="J305" s="889">
        <f>'SAN LUONG'!AV299*0.44</f>
        <v>590.04</v>
      </c>
      <c r="K305" s="889">
        <f t="shared" si="68"/>
        <v>10.25</v>
      </c>
      <c r="L305" s="889"/>
      <c r="M305" s="881">
        <f>'CHAM CONG'!BC296</f>
        <v>15</v>
      </c>
      <c r="N305" s="889">
        <f t="shared" si="69"/>
        <v>7.51</v>
      </c>
      <c r="O305" s="889">
        <f t="shared" si="70"/>
        <v>0.47</v>
      </c>
      <c r="P305" s="890">
        <f>'CHAM CONG'!BO296</f>
        <v>29</v>
      </c>
      <c r="Q305" s="942">
        <f t="shared" si="71"/>
        <v>2.72</v>
      </c>
      <c r="R305" s="942">
        <f>'SAN LUONG'!DW299</f>
        <v>11.9</v>
      </c>
      <c r="S305" s="942">
        <f t="shared" si="65"/>
        <v>0.37</v>
      </c>
      <c r="T305" s="943">
        <f>'CHAM CONG'!BW296</f>
        <v>0</v>
      </c>
      <c r="U305" s="942">
        <f t="shared" si="72"/>
        <v>0</v>
      </c>
      <c r="V305" s="890">
        <f>'CHAM CONG'!BD296</f>
        <v>2</v>
      </c>
      <c r="W305" s="944">
        <f t="shared" si="66"/>
        <v>1.06</v>
      </c>
      <c r="X305" s="891">
        <f>'CHAM CONG'!BT296</f>
        <v>1</v>
      </c>
      <c r="Y305" s="881">
        <f t="shared" si="73"/>
        <v>1.1000000000000001</v>
      </c>
      <c r="Z305" s="892">
        <v>6.03</v>
      </c>
      <c r="AA305" s="942">
        <f t="shared" si="62"/>
        <v>1.7</v>
      </c>
      <c r="AB305" s="892">
        <v>6.03</v>
      </c>
      <c r="AC305" s="942">
        <f t="shared" si="74"/>
        <v>7.24</v>
      </c>
      <c r="AD305" s="892">
        <v>6.03</v>
      </c>
      <c r="AE305" s="942">
        <f t="shared" si="75"/>
        <v>4.3</v>
      </c>
      <c r="AF305" s="943" t="e">
        <f>#N/A</f>
        <v>#N/A</v>
      </c>
      <c r="AG305" s="893">
        <f t="shared" si="67"/>
        <v>42.38</v>
      </c>
      <c r="AH305" s="894"/>
      <c r="AI305" s="895">
        <v>19.91</v>
      </c>
      <c r="AJ305" s="791">
        <v>18.54</v>
      </c>
      <c r="AK305" s="896">
        <f t="shared" si="76"/>
        <v>1</v>
      </c>
      <c r="AL305" s="896"/>
      <c r="AS305" s="898"/>
    </row>
    <row r="306" spans="1:45" s="779" customFormat="1" ht="25.2" customHeight="1">
      <c r="A306" s="885">
        <v>290</v>
      </c>
      <c r="B306" s="886"/>
      <c r="C306" s="887" t="str">
        <f>'Tên thang 01-26'!E293</f>
        <v>ហាប់ វឿ</v>
      </c>
      <c r="D306" s="887" t="str">
        <f>'Tên thang 01-26'!F293</f>
        <v>HAB VOR</v>
      </c>
      <c r="E306" s="888">
        <v>248</v>
      </c>
      <c r="F306" s="889">
        <f>'SAN LUONG'!AP300*0.44</f>
        <v>374.44</v>
      </c>
      <c r="G306" s="889">
        <f t="shared" si="63"/>
        <v>5.33</v>
      </c>
      <c r="H306" s="889">
        <f>'SAN LUONG'!AO300*0.44</f>
        <v>0</v>
      </c>
      <c r="I306" s="889">
        <f t="shared" si="64"/>
        <v>0</v>
      </c>
      <c r="J306" s="889">
        <f>'SAN LUONG'!AV300*0.44</f>
        <v>539</v>
      </c>
      <c r="K306" s="889">
        <f t="shared" si="68"/>
        <v>9.36</v>
      </c>
      <c r="L306" s="889"/>
      <c r="M306" s="881">
        <f>'CHAM CONG'!BC297</f>
        <v>15</v>
      </c>
      <c r="N306" s="889">
        <f t="shared" si="69"/>
        <v>7.51</v>
      </c>
      <c r="O306" s="889">
        <f t="shared" si="70"/>
        <v>0.47</v>
      </c>
      <c r="P306" s="890">
        <f>'CHAM CONG'!BO297</f>
        <v>28</v>
      </c>
      <c r="Q306" s="942">
        <f t="shared" si="71"/>
        <v>2.63</v>
      </c>
      <c r="R306" s="942">
        <f>'SAN LUONG'!DW300</f>
        <v>12</v>
      </c>
      <c r="S306" s="942">
        <f t="shared" si="65"/>
        <v>0.38</v>
      </c>
      <c r="T306" s="943">
        <f>'CHAM CONG'!BW297</f>
        <v>20000</v>
      </c>
      <c r="U306" s="942">
        <f t="shared" si="72"/>
        <v>0.63</v>
      </c>
      <c r="V306" s="890">
        <f>'CHAM CONG'!BD297</f>
        <v>0</v>
      </c>
      <c r="W306" s="944">
        <f t="shared" si="66"/>
        <v>0</v>
      </c>
      <c r="X306" s="891">
        <f>'CHAM CONG'!BT297</f>
        <v>1</v>
      </c>
      <c r="Y306" s="881">
        <f t="shared" si="73"/>
        <v>1.1000000000000001</v>
      </c>
      <c r="Z306" s="892">
        <v>6.03</v>
      </c>
      <c r="AA306" s="942">
        <f t="shared" si="62"/>
        <v>1.7</v>
      </c>
      <c r="AB306" s="892">
        <v>6.03</v>
      </c>
      <c r="AC306" s="942">
        <f t="shared" si="74"/>
        <v>7.24</v>
      </c>
      <c r="AD306" s="892">
        <v>6.03</v>
      </c>
      <c r="AE306" s="942">
        <f t="shared" si="75"/>
        <v>4.3</v>
      </c>
      <c r="AF306" s="943" t="e">
        <f>#N/A</f>
        <v>#N/A</v>
      </c>
      <c r="AG306" s="893">
        <f t="shared" si="67"/>
        <v>40.65</v>
      </c>
      <c r="AH306" s="894"/>
      <c r="AI306" s="895">
        <v>30.64</v>
      </c>
      <c r="AJ306" s="791">
        <v>28.64</v>
      </c>
      <c r="AK306" s="896">
        <f t="shared" si="76"/>
        <v>2</v>
      </c>
      <c r="AL306" s="896"/>
      <c r="AS306" s="898"/>
    </row>
    <row r="307" spans="1:45" s="779" customFormat="1" ht="25.2" customHeight="1">
      <c r="A307" s="885">
        <v>291</v>
      </c>
      <c r="B307" s="886"/>
      <c r="C307" s="887" t="str">
        <f>'Tên thang 01-26'!E294</f>
        <v>ឃុន សុខខៃ</v>
      </c>
      <c r="D307" s="887" t="str">
        <f>'Tên thang 01-26'!F294</f>
        <v>KHOEN SOKKHEY</v>
      </c>
      <c r="E307" s="888">
        <v>249</v>
      </c>
      <c r="F307" s="889">
        <f>'SAN LUONG'!AP301*0.44</f>
        <v>418.88</v>
      </c>
      <c r="G307" s="889">
        <f t="shared" si="63"/>
        <v>5.97</v>
      </c>
      <c r="H307" s="889">
        <f>'SAN LUONG'!AO301*0.44</f>
        <v>0</v>
      </c>
      <c r="I307" s="889">
        <f t="shared" si="64"/>
        <v>0</v>
      </c>
      <c r="J307" s="889">
        <f>'SAN LUONG'!AV301*0.44</f>
        <v>773.52</v>
      </c>
      <c r="K307" s="889">
        <f t="shared" si="68"/>
        <v>13.44</v>
      </c>
      <c r="L307" s="889"/>
      <c r="M307" s="881">
        <f>'CHAM CONG'!BC298</f>
        <v>15</v>
      </c>
      <c r="N307" s="889">
        <f t="shared" si="69"/>
        <v>7.51</v>
      </c>
      <c r="O307" s="889">
        <f t="shared" si="70"/>
        <v>0.47</v>
      </c>
      <c r="P307" s="890">
        <f>'CHAM CONG'!BO298</f>
        <v>29</v>
      </c>
      <c r="Q307" s="942">
        <f t="shared" si="71"/>
        <v>2.72</v>
      </c>
      <c r="R307" s="942">
        <f>'SAN LUONG'!DW301</f>
        <v>7.5</v>
      </c>
      <c r="S307" s="942">
        <f t="shared" si="65"/>
        <v>0.23</v>
      </c>
      <c r="T307" s="943">
        <f>'CHAM CONG'!BW298</f>
        <v>0</v>
      </c>
      <c r="U307" s="942">
        <f t="shared" si="72"/>
        <v>0</v>
      </c>
      <c r="V307" s="890">
        <f>'CHAM CONG'!BD298</f>
        <v>2</v>
      </c>
      <c r="W307" s="944">
        <f t="shared" si="66"/>
        <v>1.06</v>
      </c>
      <c r="X307" s="891">
        <f>'CHAM CONG'!BT298</f>
        <v>1</v>
      </c>
      <c r="Y307" s="881">
        <f t="shared" si="73"/>
        <v>1.1000000000000001</v>
      </c>
      <c r="Z307" s="892">
        <v>6.03</v>
      </c>
      <c r="AA307" s="942">
        <f t="shared" si="62"/>
        <v>1.7</v>
      </c>
      <c r="AB307" s="892">
        <v>6.03</v>
      </c>
      <c r="AC307" s="942">
        <f t="shared" si="74"/>
        <v>7.24</v>
      </c>
      <c r="AD307" s="892">
        <v>6.03</v>
      </c>
      <c r="AE307" s="942">
        <f t="shared" si="75"/>
        <v>4.3</v>
      </c>
      <c r="AF307" s="943" t="e">
        <f>#N/A</f>
        <v>#N/A</v>
      </c>
      <c r="AG307" s="893">
        <f t="shared" si="67"/>
        <v>45.74</v>
      </c>
      <c r="AH307" s="894"/>
      <c r="AI307" s="895">
        <v>35.47</v>
      </c>
      <c r="AJ307" s="791">
        <v>32.830000000000005</v>
      </c>
      <c r="AK307" s="896">
        <f t="shared" si="76"/>
        <v>3</v>
      </c>
      <c r="AL307" s="896"/>
      <c r="AS307" s="898"/>
    </row>
    <row r="308" spans="1:45" s="779" customFormat="1" ht="25.2" customHeight="1">
      <c r="A308" s="885">
        <v>292</v>
      </c>
      <c r="B308" s="886"/>
      <c r="C308" s="887" t="str">
        <f>'Tên thang 01-26'!E295</f>
        <v>ហាន គឹមហុង</v>
      </c>
      <c r="D308" s="887" t="str">
        <f>'Tên thang 01-26'!F295</f>
        <v>HEAN KIMHONG</v>
      </c>
      <c r="E308" s="888">
        <v>250</v>
      </c>
      <c r="F308" s="889">
        <f>'SAN LUONG'!AP302*0.44</f>
        <v>388.08</v>
      </c>
      <c r="G308" s="889">
        <f t="shared" si="63"/>
        <v>5.53</v>
      </c>
      <c r="H308" s="889">
        <f>'SAN LUONG'!AO302*0.44</f>
        <v>0</v>
      </c>
      <c r="I308" s="889">
        <f t="shared" si="64"/>
        <v>0</v>
      </c>
      <c r="J308" s="889">
        <f>'SAN LUONG'!AV302*0.44</f>
        <v>365.2</v>
      </c>
      <c r="K308" s="889">
        <f t="shared" si="68"/>
        <v>6.34</v>
      </c>
      <c r="L308" s="889"/>
      <c r="M308" s="881">
        <f>'CHAM CONG'!BC299</f>
        <v>12</v>
      </c>
      <c r="N308" s="889">
        <f t="shared" si="69"/>
        <v>6.01</v>
      </c>
      <c r="O308" s="889">
        <f t="shared" si="70"/>
        <v>0.38</v>
      </c>
      <c r="P308" s="890">
        <f>'CHAM CONG'!BO299</f>
        <v>0</v>
      </c>
      <c r="Q308" s="942">
        <f t="shared" si="71"/>
        <v>0</v>
      </c>
      <c r="R308" s="942">
        <f>'SAN LUONG'!DW302</f>
        <v>6.7</v>
      </c>
      <c r="S308" s="942">
        <f t="shared" si="65"/>
        <v>0.21</v>
      </c>
      <c r="T308" s="943">
        <f>'CHAM CONG'!BW299</f>
        <v>0</v>
      </c>
      <c r="U308" s="942">
        <f t="shared" si="72"/>
        <v>0</v>
      </c>
      <c r="V308" s="890">
        <f>'CHAM CONG'!BD299</f>
        <v>0</v>
      </c>
      <c r="W308" s="944">
        <f t="shared" si="66"/>
        <v>0</v>
      </c>
      <c r="X308" s="891">
        <f>'CHAM CONG'!BT299</f>
        <v>0</v>
      </c>
      <c r="Y308" s="881">
        <f t="shared" si="73"/>
        <v>0</v>
      </c>
      <c r="Z308" s="892">
        <v>6.03</v>
      </c>
      <c r="AA308" s="942">
        <f t="shared" si="62"/>
        <v>1.7</v>
      </c>
      <c r="AB308" s="892">
        <v>6.03</v>
      </c>
      <c r="AC308" s="942">
        <f t="shared" si="74"/>
        <v>7.24</v>
      </c>
      <c r="AD308" s="892">
        <v>6.03</v>
      </c>
      <c r="AE308" s="942">
        <f t="shared" si="75"/>
        <v>4.3</v>
      </c>
      <c r="AF308" s="943" t="e">
        <f>#N/A</f>
        <v>#N/A</v>
      </c>
      <c r="AG308" s="893">
        <f t="shared" si="67"/>
        <v>31.710000000000004</v>
      </c>
      <c r="AH308" s="894"/>
      <c r="AI308" s="895">
        <v>28.17</v>
      </c>
      <c r="AJ308" s="791">
        <v>27.420000000000005</v>
      </c>
      <c r="AK308" s="896">
        <f t="shared" si="76"/>
        <v>1</v>
      </c>
      <c r="AL308" s="896"/>
      <c r="AS308" s="898"/>
    </row>
    <row r="309" spans="1:45" s="779" customFormat="1" ht="25.2" customHeight="1">
      <c r="A309" s="885">
        <v>293</v>
      </c>
      <c r="B309" s="886"/>
      <c r="C309" s="887" t="str">
        <f>'Tên thang 01-26'!E296</f>
        <v>ឃាន ជាង</v>
      </c>
      <c r="D309" s="887" t="str">
        <f>'Tên thang 01-26'!F296</f>
        <v>KHEAN CHIENG</v>
      </c>
      <c r="E309" s="888">
        <v>499</v>
      </c>
      <c r="F309" s="889">
        <f>'SAN LUONG'!AP303*0.44</f>
        <v>348.04</v>
      </c>
      <c r="G309" s="889">
        <f t="shared" si="63"/>
        <v>4.96</v>
      </c>
      <c r="H309" s="889">
        <f>'SAN LUONG'!AO303*0.44</f>
        <v>0</v>
      </c>
      <c r="I309" s="889">
        <f t="shared" si="64"/>
        <v>0</v>
      </c>
      <c r="J309" s="889">
        <f>'SAN LUONG'!AV303*0.44</f>
        <v>438.24</v>
      </c>
      <c r="K309" s="889">
        <f t="shared" si="68"/>
        <v>7.61</v>
      </c>
      <c r="L309" s="889"/>
      <c r="M309" s="881">
        <f>'CHAM CONG'!BC300</f>
        <v>9</v>
      </c>
      <c r="N309" s="889">
        <f t="shared" si="69"/>
        <v>4.51</v>
      </c>
      <c r="O309" s="889">
        <f t="shared" si="70"/>
        <v>0.28000000000000003</v>
      </c>
      <c r="P309" s="890">
        <f>'CHAM CONG'!BO300</f>
        <v>0</v>
      </c>
      <c r="Q309" s="942">
        <f t="shared" si="71"/>
        <v>0</v>
      </c>
      <c r="R309" s="942">
        <f>'SAN LUONG'!DW303</f>
        <v>9.5</v>
      </c>
      <c r="S309" s="942">
        <f t="shared" si="65"/>
        <v>0.3</v>
      </c>
      <c r="T309" s="943">
        <f>'CHAM CONG'!BW300</f>
        <v>0</v>
      </c>
      <c r="U309" s="942">
        <f t="shared" si="72"/>
        <v>0</v>
      </c>
      <c r="V309" s="890">
        <f>'CHAM CONG'!BD300</f>
        <v>1</v>
      </c>
      <c r="W309" s="944">
        <f t="shared" si="66"/>
        <v>0.53</v>
      </c>
      <c r="X309" s="891">
        <f>'CHAM CONG'!BT300</f>
        <v>0</v>
      </c>
      <c r="Y309" s="881">
        <f t="shared" si="73"/>
        <v>0</v>
      </c>
      <c r="Z309" s="892">
        <v>6.03</v>
      </c>
      <c r="AA309" s="942">
        <f t="shared" si="62"/>
        <v>1.7</v>
      </c>
      <c r="AB309" s="892">
        <v>6.03</v>
      </c>
      <c r="AC309" s="942">
        <f t="shared" si="74"/>
        <v>7.24</v>
      </c>
      <c r="AD309" s="892">
        <v>6.03</v>
      </c>
      <c r="AE309" s="942">
        <f t="shared" si="75"/>
        <v>4.3</v>
      </c>
      <c r="AF309" s="943" t="e">
        <f>#N/A</f>
        <v>#N/A</v>
      </c>
      <c r="AG309" s="893">
        <f t="shared" si="67"/>
        <v>31.43</v>
      </c>
      <c r="AH309" s="894"/>
      <c r="AI309" s="895">
        <v>32.79</v>
      </c>
      <c r="AJ309" s="791">
        <v>30.17</v>
      </c>
      <c r="AK309" s="896">
        <f t="shared" si="76"/>
        <v>3</v>
      </c>
      <c r="AL309" s="896"/>
      <c r="AS309" s="898"/>
    </row>
    <row r="310" spans="1:45" s="779" customFormat="1" ht="25.2" customHeight="1">
      <c r="A310" s="885">
        <v>294</v>
      </c>
      <c r="B310" s="886"/>
      <c r="C310" s="887" t="str">
        <f>'Tên thang 01-26'!E297</f>
        <v>ឃន សាវី</v>
      </c>
      <c r="D310" s="887" t="str">
        <f>'Tên thang 01-26'!F297</f>
        <v>KHORN SAVY</v>
      </c>
      <c r="E310" s="888">
        <v>500</v>
      </c>
      <c r="F310" s="889">
        <f>'SAN LUONG'!AP304*0.44</f>
        <v>290.39999999999998</v>
      </c>
      <c r="G310" s="889">
        <f t="shared" si="63"/>
        <v>4.1399999999999997</v>
      </c>
      <c r="H310" s="889">
        <f>'SAN LUONG'!AO304*0.44</f>
        <v>0</v>
      </c>
      <c r="I310" s="889">
        <f t="shared" si="64"/>
        <v>0</v>
      </c>
      <c r="J310" s="889">
        <f>'SAN LUONG'!AV304*0.44</f>
        <v>480.04</v>
      </c>
      <c r="K310" s="889">
        <f t="shared" si="68"/>
        <v>8.34</v>
      </c>
      <c r="L310" s="889"/>
      <c r="M310" s="881">
        <f>'CHAM CONG'!BC301</f>
        <v>8</v>
      </c>
      <c r="N310" s="889">
        <f>ROUND(M310*16000/31947,2)+0.91</f>
        <v>4.92</v>
      </c>
      <c r="O310" s="889">
        <f>ROUND(M310*1000/31947,2)-0.19</f>
        <v>0.06</v>
      </c>
      <c r="P310" s="890">
        <f>'CHAM CONG'!BO301</f>
        <v>0</v>
      </c>
      <c r="Q310" s="942">
        <f t="shared" si="71"/>
        <v>0</v>
      </c>
      <c r="R310" s="942">
        <f>'SAN LUONG'!DW304</f>
        <v>23.4</v>
      </c>
      <c r="S310" s="942">
        <f t="shared" si="65"/>
        <v>0.73</v>
      </c>
      <c r="T310" s="943">
        <f>'CHAM CONG'!BW301</f>
        <v>-20000</v>
      </c>
      <c r="U310" s="942">
        <f t="shared" si="72"/>
        <v>-0.63</v>
      </c>
      <c r="V310" s="890">
        <f>'CHAM CONG'!BD301</f>
        <v>0</v>
      </c>
      <c r="W310" s="944">
        <f t="shared" si="66"/>
        <v>0</v>
      </c>
      <c r="X310" s="891">
        <f>'CHAM CONG'!BT301</f>
        <v>0</v>
      </c>
      <c r="Y310" s="881">
        <f t="shared" si="73"/>
        <v>0</v>
      </c>
      <c r="Z310" s="892">
        <v>6.03</v>
      </c>
      <c r="AA310" s="942">
        <f t="shared" si="62"/>
        <v>1.7</v>
      </c>
      <c r="AB310" s="892">
        <v>6.03</v>
      </c>
      <c r="AC310" s="942">
        <f t="shared" si="74"/>
        <v>7.24</v>
      </c>
      <c r="AD310" s="892">
        <v>6.03</v>
      </c>
      <c r="AE310" s="942">
        <f t="shared" si="75"/>
        <v>4.3</v>
      </c>
      <c r="AF310" s="943" t="e">
        <f>#N/A</f>
        <v>#N/A</v>
      </c>
      <c r="AG310" s="893">
        <f t="shared" si="67"/>
        <v>30.8</v>
      </c>
      <c r="AH310" s="894"/>
      <c r="AI310" s="895">
        <v>32.659999999999997</v>
      </c>
      <c r="AJ310" s="791">
        <v>30.660000000000004</v>
      </c>
      <c r="AK310" s="896">
        <f t="shared" si="76"/>
        <v>2</v>
      </c>
      <c r="AL310" s="896"/>
      <c r="AS310" s="898"/>
    </row>
    <row r="311" spans="1:45" s="779" customFormat="1" ht="25.2" customHeight="1">
      <c r="A311" s="885">
        <v>295</v>
      </c>
      <c r="B311" s="886"/>
      <c r="C311" s="887" t="str">
        <f>'Tên thang 01-26'!E298</f>
        <v>ផាវ ផាន់</v>
      </c>
      <c r="D311" s="887" t="str">
        <f>'Tên thang 01-26'!F298</f>
        <v>PHAV PHANN</v>
      </c>
      <c r="E311" s="888">
        <v>501</v>
      </c>
      <c r="F311" s="889">
        <f>'SAN LUONG'!AP305*0.44</f>
        <v>365.2</v>
      </c>
      <c r="G311" s="889">
        <f t="shared" si="63"/>
        <v>5.2</v>
      </c>
      <c r="H311" s="889">
        <f>'SAN LUONG'!AO305*0.44</f>
        <v>0</v>
      </c>
      <c r="I311" s="889">
        <f t="shared" si="64"/>
        <v>0</v>
      </c>
      <c r="J311" s="889">
        <f>'SAN LUONG'!AV305*0.44</f>
        <v>609.84</v>
      </c>
      <c r="K311" s="889">
        <f t="shared" si="68"/>
        <v>10.59</v>
      </c>
      <c r="L311" s="889"/>
      <c r="M311" s="881">
        <f>'CHAM CONG'!BC302</f>
        <v>15</v>
      </c>
      <c r="N311" s="889">
        <f t="shared" si="69"/>
        <v>7.51</v>
      </c>
      <c r="O311" s="889">
        <f t="shared" si="70"/>
        <v>0.47</v>
      </c>
      <c r="P311" s="890">
        <f>'CHAM CONG'!BO302</f>
        <v>29</v>
      </c>
      <c r="Q311" s="942">
        <f t="shared" si="71"/>
        <v>2.72</v>
      </c>
      <c r="R311" s="942">
        <f>'SAN LUONG'!DW305</f>
        <v>16</v>
      </c>
      <c r="S311" s="942">
        <f t="shared" si="65"/>
        <v>0.5</v>
      </c>
      <c r="T311" s="943">
        <f>'CHAM CONG'!BW302</f>
        <v>0</v>
      </c>
      <c r="U311" s="942">
        <f t="shared" si="72"/>
        <v>0</v>
      </c>
      <c r="V311" s="890">
        <f>'CHAM CONG'!BD302</f>
        <v>1</v>
      </c>
      <c r="W311" s="944">
        <f t="shared" si="66"/>
        <v>0.53</v>
      </c>
      <c r="X311" s="891">
        <f>'CHAM CONG'!BT302</f>
        <v>1</v>
      </c>
      <c r="Y311" s="881">
        <f t="shared" si="73"/>
        <v>1.1000000000000001</v>
      </c>
      <c r="Z311" s="892">
        <v>6.03</v>
      </c>
      <c r="AA311" s="942">
        <f t="shared" si="62"/>
        <v>1.7</v>
      </c>
      <c r="AB311" s="892">
        <v>6.03</v>
      </c>
      <c r="AC311" s="942">
        <f t="shared" si="74"/>
        <v>7.24</v>
      </c>
      <c r="AD311" s="892">
        <v>6.03</v>
      </c>
      <c r="AE311" s="942">
        <f t="shared" si="75"/>
        <v>4.3</v>
      </c>
      <c r="AF311" s="943" t="e">
        <f>#N/A</f>
        <v>#N/A</v>
      </c>
      <c r="AG311" s="893">
        <f t="shared" si="67"/>
        <v>41.86</v>
      </c>
      <c r="AH311" s="894"/>
      <c r="AI311" s="895">
        <v>31.25</v>
      </c>
      <c r="AJ311" s="791">
        <v>29.860000000000007</v>
      </c>
      <c r="AK311" s="896">
        <f t="shared" si="76"/>
        <v>1</v>
      </c>
      <c r="AL311" s="896"/>
      <c r="AS311" s="898"/>
    </row>
    <row r="312" spans="1:45" s="779" customFormat="1" ht="25.2" customHeight="1">
      <c r="A312" s="885">
        <v>296</v>
      </c>
      <c r="B312" s="886"/>
      <c r="C312" s="887" t="str">
        <f>'Tên thang 01-26'!E299</f>
        <v>ជិន សីឡា</v>
      </c>
      <c r="D312" s="887" t="str">
        <f>'Tên thang 01-26'!F299</f>
        <v>CHIN SEYLA</v>
      </c>
      <c r="E312" s="888">
        <v>502</v>
      </c>
      <c r="F312" s="889">
        <f>'SAN LUONG'!AP306*0.44</f>
        <v>387.2</v>
      </c>
      <c r="G312" s="889">
        <f t="shared" si="63"/>
        <v>5.51</v>
      </c>
      <c r="H312" s="889">
        <f>'SAN LUONG'!AO306*0.44</f>
        <v>0</v>
      </c>
      <c r="I312" s="889">
        <f t="shared" si="64"/>
        <v>0</v>
      </c>
      <c r="J312" s="889">
        <f>'SAN LUONG'!AV306*0.44</f>
        <v>414.48</v>
      </c>
      <c r="K312" s="889">
        <f t="shared" si="68"/>
        <v>7.2</v>
      </c>
      <c r="L312" s="889"/>
      <c r="M312" s="881">
        <f>'CHAM CONG'!BC303</f>
        <v>12</v>
      </c>
      <c r="N312" s="889">
        <f t="shared" si="69"/>
        <v>6.01</v>
      </c>
      <c r="O312" s="889">
        <f t="shared" si="70"/>
        <v>0.38</v>
      </c>
      <c r="P312" s="890">
        <f>'CHAM CONG'!BO303</f>
        <v>26</v>
      </c>
      <c r="Q312" s="942">
        <f t="shared" si="71"/>
        <v>2.44</v>
      </c>
      <c r="R312" s="942">
        <f>'SAN LUONG'!DW306</f>
        <v>20</v>
      </c>
      <c r="S312" s="942">
        <f t="shared" si="65"/>
        <v>0.63</v>
      </c>
      <c r="T312" s="943">
        <f>'CHAM CONG'!BW303</f>
        <v>0</v>
      </c>
      <c r="U312" s="942">
        <f t="shared" si="72"/>
        <v>0</v>
      </c>
      <c r="V312" s="890">
        <f>'CHAM CONG'!BD303</f>
        <v>1</v>
      </c>
      <c r="W312" s="944">
        <f t="shared" si="66"/>
        <v>0.53</v>
      </c>
      <c r="X312" s="891">
        <f>'CHAM CONG'!BT303</f>
        <v>1</v>
      </c>
      <c r="Y312" s="881">
        <f t="shared" si="73"/>
        <v>1.1000000000000001</v>
      </c>
      <c r="Z312" s="892">
        <v>6.03</v>
      </c>
      <c r="AA312" s="942">
        <f t="shared" si="62"/>
        <v>1.7</v>
      </c>
      <c r="AB312" s="892">
        <v>6.03</v>
      </c>
      <c r="AC312" s="942">
        <f t="shared" si="74"/>
        <v>7.24</v>
      </c>
      <c r="AD312" s="892">
        <v>6.03</v>
      </c>
      <c r="AE312" s="942">
        <f t="shared" si="75"/>
        <v>4.3</v>
      </c>
      <c r="AF312" s="943" t="e">
        <f>#N/A</f>
        <v>#N/A</v>
      </c>
      <c r="AG312" s="893">
        <f t="shared" si="67"/>
        <v>37.040000000000006</v>
      </c>
      <c r="AH312" s="894"/>
      <c r="AI312" s="895">
        <v>34.229999999999997</v>
      </c>
      <c r="AJ312" s="791">
        <v>32.21</v>
      </c>
      <c r="AK312" s="896">
        <f t="shared" si="76"/>
        <v>2</v>
      </c>
      <c r="AL312" s="896"/>
      <c r="AS312" s="898"/>
    </row>
    <row r="313" spans="1:45" s="779" customFormat="1" ht="25.2" customHeight="1">
      <c r="A313" s="885">
        <v>297</v>
      </c>
      <c r="B313" s="886"/>
      <c r="C313" s="887" t="str">
        <f>'Tên thang 01-26'!E300</f>
        <v>ជិន ឡូត</v>
      </c>
      <c r="D313" s="887" t="str">
        <f>'Tên thang 01-26'!F300</f>
        <v>CHIN LOT</v>
      </c>
      <c r="E313" s="888">
        <v>503</v>
      </c>
      <c r="F313" s="889">
        <f>'SAN LUONG'!AP307*0.44</f>
        <v>405.24</v>
      </c>
      <c r="G313" s="889">
        <f t="shared" si="63"/>
        <v>5.77</v>
      </c>
      <c r="H313" s="889">
        <f>'SAN LUONG'!AO307*0.44</f>
        <v>0</v>
      </c>
      <c r="I313" s="889">
        <f t="shared" si="64"/>
        <v>0</v>
      </c>
      <c r="J313" s="889">
        <f>'SAN LUONG'!AV307*0.44</f>
        <v>472.56</v>
      </c>
      <c r="K313" s="889">
        <f t="shared" si="68"/>
        <v>8.2100000000000009</v>
      </c>
      <c r="L313" s="889"/>
      <c r="M313" s="881">
        <f>'CHAM CONG'!BC304</f>
        <v>13</v>
      </c>
      <c r="N313" s="889">
        <f t="shared" si="69"/>
        <v>6.51</v>
      </c>
      <c r="O313" s="889">
        <f t="shared" si="70"/>
        <v>0.41</v>
      </c>
      <c r="P313" s="890">
        <f>'CHAM CONG'!BO304</f>
        <v>27</v>
      </c>
      <c r="Q313" s="942">
        <f t="shared" si="71"/>
        <v>2.54</v>
      </c>
      <c r="R313" s="942">
        <f>'SAN LUONG'!DW307</f>
        <v>17.100000000000001</v>
      </c>
      <c r="S313" s="942">
        <f t="shared" si="65"/>
        <v>0.54</v>
      </c>
      <c r="T313" s="943">
        <f>'CHAM CONG'!BW304</f>
        <v>-20000</v>
      </c>
      <c r="U313" s="942">
        <f t="shared" si="72"/>
        <v>-0.63</v>
      </c>
      <c r="V313" s="890">
        <f>'CHAM CONG'!BD304</f>
        <v>1</v>
      </c>
      <c r="W313" s="944">
        <f t="shared" si="66"/>
        <v>0.53</v>
      </c>
      <c r="X313" s="891">
        <f>'CHAM CONG'!BT304</f>
        <v>1</v>
      </c>
      <c r="Y313" s="881">
        <f t="shared" si="73"/>
        <v>1.1000000000000001</v>
      </c>
      <c r="Z313" s="892">
        <v>6.03</v>
      </c>
      <c r="AA313" s="942">
        <f t="shared" si="62"/>
        <v>1.7</v>
      </c>
      <c r="AB313" s="892">
        <v>6.03</v>
      </c>
      <c r="AC313" s="942">
        <f t="shared" si="74"/>
        <v>7.24</v>
      </c>
      <c r="AD313" s="892">
        <v>6.03</v>
      </c>
      <c r="AE313" s="942">
        <f t="shared" si="75"/>
        <v>4.3</v>
      </c>
      <c r="AF313" s="943" t="e">
        <f>#N/A</f>
        <v>#N/A</v>
      </c>
      <c r="AG313" s="893">
        <f t="shared" si="67"/>
        <v>38.22</v>
      </c>
      <c r="AH313" s="894"/>
      <c r="AI313" s="895">
        <v>32.520000000000003</v>
      </c>
      <c r="AJ313" s="791">
        <v>31.150000000000006</v>
      </c>
      <c r="AK313" s="896">
        <f t="shared" si="76"/>
        <v>1</v>
      </c>
      <c r="AL313" s="896"/>
      <c r="AS313" s="898"/>
    </row>
    <row r="314" spans="1:45" s="779" customFormat="1" ht="25.2" customHeight="1">
      <c r="A314" s="885">
        <v>298</v>
      </c>
      <c r="B314" s="886"/>
      <c r="C314" s="887" t="str">
        <f>'Tên thang 01-26'!E301</f>
        <v>អឿង សុឃាក់</v>
      </c>
      <c r="D314" s="887" t="str">
        <f>'Tên thang 01-26'!F301</f>
        <v>EURNG SOKEAK</v>
      </c>
      <c r="E314" s="888">
        <v>504</v>
      </c>
      <c r="F314" s="889">
        <f>'SAN LUONG'!AP308*0.44</f>
        <v>455.4</v>
      </c>
      <c r="G314" s="889">
        <f t="shared" si="63"/>
        <v>6.49</v>
      </c>
      <c r="H314" s="889">
        <f>'SAN LUONG'!AO308*0.44</f>
        <v>0</v>
      </c>
      <c r="I314" s="889">
        <f t="shared" si="64"/>
        <v>0</v>
      </c>
      <c r="J314" s="889">
        <f>'SAN LUONG'!AV308*0.44</f>
        <v>666.6</v>
      </c>
      <c r="K314" s="889">
        <f t="shared" si="68"/>
        <v>11.58</v>
      </c>
      <c r="L314" s="889"/>
      <c r="M314" s="881">
        <f>'CHAM CONG'!BC305</f>
        <v>15</v>
      </c>
      <c r="N314" s="889">
        <f t="shared" si="69"/>
        <v>7.51</v>
      </c>
      <c r="O314" s="889">
        <f t="shared" si="70"/>
        <v>0.47</v>
      </c>
      <c r="P314" s="890">
        <f>'CHAM CONG'!BO305</f>
        <v>0</v>
      </c>
      <c r="Q314" s="942">
        <f t="shared" si="71"/>
        <v>0</v>
      </c>
      <c r="R314" s="942">
        <f>'SAN LUONG'!DW308</f>
        <v>12.5</v>
      </c>
      <c r="S314" s="942">
        <f t="shared" si="65"/>
        <v>0.39</v>
      </c>
      <c r="T314" s="943">
        <f>'CHAM CONG'!BW305</f>
        <v>0</v>
      </c>
      <c r="U314" s="942">
        <f t="shared" si="72"/>
        <v>0</v>
      </c>
      <c r="V314" s="890">
        <f>'CHAM CONG'!BD305</f>
        <v>2</v>
      </c>
      <c r="W314" s="944">
        <f t="shared" si="66"/>
        <v>1.06</v>
      </c>
      <c r="X314" s="891">
        <f>'CHAM CONG'!BT305</f>
        <v>0</v>
      </c>
      <c r="Y314" s="881">
        <f t="shared" si="73"/>
        <v>0</v>
      </c>
      <c r="Z314" s="892">
        <v>6.03</v>
      </c>
      <c r="AA314" s="942">
        <f t="shared" si="62"/>
        <v>1.7</v>
      </c>
      <c r="AB314" s="892">
        <v>6.03</v>
      </c>
      <c r="AC314" s="942">
        <f t="shared" si="74"/>
        <v>7.24</v>
      </c>
      <c r="AD314" s="892">
        <v>6.03</v>
      </c>
      <c r="AE314" s="942">
        <f t="shared" si="75"/>
        <v>4.3</v>
      </c>
      <c r="AF314" s="943" t="e">
        <f>#N/A</f>
        <v>#N/A</v>
      </c>
      <c r="AG314" s="893">
        <f t="shared" si="67"/>
        <v>40.739999999999995</v>
      </c>
      <c r="AH314" s="894"/>
      <c r="AI314" s="895">
        <v>32.33</v>
      </c>
      <c r="AJ314" s="791">
        <v>30.330000000000005</v>
      </c>
      <c r="AK314" s="896">
        <f t="shared" si="76"/>
        <v>2</v>
      </c>
      <c r="AL314" s="896"/>
      <c r="AS314" s="898"/>
    </row>
    <row r="315" spans="1:45" s="779" customFormat="1" ht="25.2" customHeight="1">
      <c r="A315" s="885">
        <v>299</v>
      </c>
      <c r="B315" s="886"/>
      <c r="C315" s="887" t="str">
        <f>'Tên thang 01-26'!E302</f>
        <v>ឡន លី</v>
      </c>
      <c r="D315" s="887" t="str">
        <f>'Tên thang 01-26'!F302</f>
        <v>LORN LY</v>
      </c>
      <c r="E315" s="888">
        <v>505</v>
      </c>
      <c r="F315" s="889">
        <f>'SAN LUONG'!AP309*0.44</f>
        <v>386.76</v>
      </c>
      <c r="G315" s="889">
        <f t="shared" si="63"/>
        <v>5.51</v>
      </c>
      <c r="H315" s="889">
        <f>'SAN LUONG'!AO309*0.44</f>
        <v>0</v>
      </c>
      <c r="I315" s="889">
        <f t="shared" si="64"/>
        <v>0</v>
      </c>
      <c r="J315" s="889">
        <f>'SAN LUONG'!AV309*0.44</f>
        <v>441.32</v>
      </c>
      <c r="K315" s="889">
        <f t="shared" si="68"/>
        <v>7.67</v>
      </c>
      <c r="L315" s="889"/>
      <c r="M315" s="881">
        <f>'CHAM CONG'!BC306</f>
        <v>12</v>
      </c>
      <c r="N315" s="889">
        <f t="shared" si="69"/>
        <v>6.01</v>
      </c>
      <c r="O315" s="889">
        <f t="shared" si="70"/>
        <v>0.38</v>
      </c>
      <c r="P315" s="890">
        <f>'CHAM CONG'!BO306</f>
        <v>0</v>
      </c>
      <c r="Q315" s="942">
        <f t="shared" si="71"/>
        <v>0</v>
      </c>
      <c r="R315" s="942">
        <f>'SAN LUONG'!DW309</f>
        <v>10.6</v>
      </c>
      <c r="S315" s="942">
        <f t="shared" si="65"/>
        <v>0.33</v>
      </c>
      <c r="T315" s="943">
        <f>'CHAM CONG'!BW306</f>
        <v>20000</v>
      </c>
      <c r="U315" s="942">
        <f t="shared" si="72"/>
        <v>0.63</v>
      </c>
      <c r="V315" s="890">
        <f>'CHAM CONG'!BD306</f>
        <v>0</v>
      </c>
      <c r="W315" s="944">
        <f t="shared" si="66"/>
        <v>0</v>
      </c>
      <c r="X315" s="891">
        <f>'CHAM CONG'!BT306</f>
        <v>0</v>
      </c>
      <c r="Y315" s="881">
        <f t="shared" si="73"/>
        <v>0</v>
      </c>
      <c r="Z315" s="892">
        <v>6.03</v>
      </c>
      <c r="AA315" s="942">
        <f t="shared" si="62"/>
        <v>1.7</v>
      </c>
      <c r="AB315" s="892">
        <v>6.03</v>
      </c>
      <c r="AC315" s="942">
        <f t="shared" si="74"/>
        <v>7.24</v>
      </c>
      <c r="AD315" s="892">
        <v>6.03</v>
      </c>
      <c r="AE315" s="942">
        <f t="shared" si="75"/>
        <v>4.3</v>
      </c>
      <c r="AF315" s="943" t="e">
        <f>#N/A</f>
        <v>#N/A</v>
      </c>
      <c r="AG315" s="893">
        <f t="shared" si="67"/>
        <v>33.769999999999996</v>
      </c>
      <c r="AH315" s="894"/>
      <c r="AI315" s="895">
        <v>34.44</v>
      </c>
      <c r="AJ315" s="791">
        <v>32.44</v>
      </c>
      <c r="AK315" s="896">
        <f t="shared" si="76"/>
        <v>2</v>
      </c>
      <c r="AL315" s="896"/>
      <c r="AS315" s="898"/>
    </row>
    <row r="316" spans="1:45" s="779" customFormat="1" ht="25.2" customHeight="1">
      <c r="A316" s="885">
        <v>300</v>
      </c>
      <c r="B316" s="886"/>
      <c r="C316" s="887" t="str">
        <f>'Tên thang 01-26'!E303</f>
        <v>ឃួន លា</v>
      </c>
      <c r="D316" s="887" t="str">
        <f>'Tên thang 01-26'!F303</f>
        <v>KHUN LEA</v>
      </c>
      <c r="E316" s="888">
        <v>506</v>
      </c>
      <c r="F316" s="889">
        <f>'SAN LUONG'!AP310*0.44</f>
        <v>362.56</v>
      </c>
      <c r="G316" s="889">
        <f t="shared" si="63"/>
        <v>5.16</v>
      </c>
      <c r="H316" s="889">
        <f>'SAN LUONG'!AO310*0.44</f>
        <v>0</v>
      </c>
      <c r="I316" s="889">
        <f t="shared" si="64"/>
        <v>0</v>
      </c>
      <c r="J316" s="889">
        <f>'SAN LUONG'!AV310*0.44</f>
        <v>569.79999999999995</v>
      </c>
      <c r="K316" s="889">
        <f t="shared" si="68"/>
        <v>9.9</v>
      </c>
      <c r="L316" s="889"/>
      <c r="M316" s="881">
        <f>'CHAM CONG'!BC307</f>
        <v>15</v>
      </c>
      <c r="N316" s="889">
        <f t="shared" si="69"/>
        <v>7.51</v>
      </c>
      <c r="O316" s="889">
        <f t="shared" si="70"/>
        <v>0.47</v>
      </c>
      <c r="P316" s="890">
        <f>'CHAM CONG'!BO307</f>
        <v>28</v>
      </c>
      <c r="Q316" s="942">
        <f t="shared" si="71"/>
        <v>2.63</v>
      </c>
      <c r="R316" s="942">
        <f>'SAN LUONG'!DW310</f>
        <v>8.1</v>
      </c>
      <c r="S316" s="942">
        <f t="shared" si="65"/>
        <v>0.25</v>
      </c>
      <c r="T316" s="943">
        <f>'CHAM CONG'!BW307</f>
        <v>0</v>
      </c>
      <c r="U316" s="942">
        <f t="shared" si="72"/>
        <v>0</v>
      </c>
      <c r="V316" s="890">
        <f>'CHAM CONG'!BD307</f>
        <v>2</v>
      </c>
      <c r="W316" s="944">
        <f t="shared" si="66"/>
        <v>1.06</v>
      </c>
      <c r="X316" s="891">
        <f>'CHAM CONG'!BT307</f>
        <v>1</v>
      </c>
      <c r="Y316" s="881">
        <f t="shared" si="73"/>
        <v>1.1000000000000001</v>
      </c>
      <c r="Z316" s="892">
        <v>6.03</v>
      </c>
      <c r="AA316" s="942">
        <f t="shared" si="62"/>
        <v>1.7</v>
      </c>
      <c r="AB316" s="892">
        <v>6.03</v>
      </c>
      <c r="AC316" s="942">
        <f t="shared" si="74"/>
        <v>7.24</v>
      </c>
      <c r="AD316" s="892">
        <v>6.03</v>
      </c>
      <c r="AE316" s="942">
        <f t="shared" si="75"/>
        <v>4.3</v>
      </c>
      <c r="AF316" s="943" t="e">
        <f>#N/A</f>
        <v>#N/A</v>
      </c>
      <c r="AG316" s="893">
        <f t="shared" si="67"/>
        <v>41.32</v>
      </c>
      <c r="AH316" s="894"/>
      <c r="AI316" s="895">
        <v>31</v>
      </c>
      <c r="AJ316" s="791">
        <v>28.990000000000006</v>
      </c>
      <c r="AK316" s="896">
        <f t="shared" si="76"/>
        <v>2</v>
      </c>
      <c r="AL316" s="896"/>
      <c r="AS316" s="898"/>
    </row>
    <row r="317" spans="1:45" s="779" customFormat="1" ht="25.2" customHeight="1">
      <c r="A317" s="885">
        <v>301</v>
      </c>
      <c r="B317" s="886"/>
      <c r="C317" s="887" t="str">
        <f>'Tên thang 01-26'!E304</f>
        <v>ញាន សំបុក</v>
      </c>
      <c r="D317" s="887" t="str">
        <f>'Tên thang 01-26'!F304</f>
        <v>NHAN SAMBOK</v>
      </c>
      <c r="E317" s="888">
        <v>507</v>
      </c>
      <c r="F317" s="889">
        <f>'SAN LUONG'!AP311*0.44</f>
        <v>343.2</v>
      </c>
      <c r="G317" s="889">
        <f t="shared" si="63"/>
        <v>4.8899999999999997</v>
      </c>
      <c r="H317" s="889">
        <f>'SAN LUONG'!AO311*0.44</f>
        <v>0</v>
      </c>
      <c r="I317" s="889">
        <f t="shared" si="64"/>
        <v>0</v>
      </c>
      <c r="J317" s="889">
        <f>'SAN LUONG'!AV311*0.44</f>
        <v>523.16</v>
      </c>
      <c r="K317" s="889">
        <f t="shared" si="68"/>
        <v>9.09</v>
      </c>
      <c r="L317" s="889"/>
      <c r="M317" s="881">
        <f>'CHAM CONG'!BC308</f>
        <v>15</v>
      </c>
      <c r="N317" s="889">
        <f t="shared" si="69"/>
        <v>7.51</v>
      </c>
      <c r="O317" s="889">
        <f t="shared" si="70"/>
        <v>0.47</v>
      </c>
      <c r="P317" s="890">
        <f>'CHAM CONG'!BO308</f>
        <v>28</v>
      </c>
      <c r="Q317" s="942">
        <f t="shared" si="71"/>
        <v>2.63</v>
      </c>
      <c r="R317" s="942">
        <f>'SAN LUONG'!DW311</f>
        <v>8.1999999999999993</v>
      </c>
      <c r="S317" s="942">
        <f t="shared" si="65"/>
        <v>0.26</v>
      </c>
      <c r="T317" s="943">
        <f>'CHAM CONG'!BW308</f>
        <v>0</v>
      </c>
      <c r="U317" s="942">
        <f t="shared" si="72"/>
        <v>0</v>
      </c>
      <c r="V317" s="890">
        <f>'CHAM CONG'!BD308</f>
        <v>2</v>
      </c>
      <c r="W317" s="944">
        <f t="shared" si="66"/>
        <v>1.06</v>
      </c>
      <c r="X317" s="891">
        <f>'CHAM CONG'!BT308</f>
        <v>1</v>
      </c>
      <c r="Y317" s="881">
        <f t="shared" si="73"/>
        <v>1.1000000000000001</v>
      </c>
      <c r="Z317" s="892">
        <v>6.03</v>
      </c>
      <c r="AA317" s="942">
        <f t="shared" si="62"/>
        <v>1.7</v>
      </c>
      <c r="AB317" s="892">
        <v>6.03</v>
      </c>
      <c r="AC317" s="942">
        <f t="shared" si="74"/>
        <v>7.24</v>
      </c>
      <c r="AD317" s="892">
        <v>6.03</v>
      </c>
      <c r="AE317" s="942">
        <f t="shared" si="75"/>
        <v>4.3</v>
      </c>
      <c r="AF317" s="943" t="e">
        <f>#N/A</f>
        <v>#N/A</v>
      </c>
      <c r="AG317" s="893">
        <f t="shared" si="67"/>
        <v>40.25</v>
      </c>
      <c r="AH317" s="894"/>
      <c r="AI317" s="895">
        <v>30.76</v>
      </c>
      <c r="AJ317" s="791">
        <v>28.760000000000005</v>
      </c>
      <c r="AK317" s="896">
        <f t="shared" si="76"/>
        <v>2</v>
      </c>
      <c r="AL317" s="896"/>
      <c r="AS317" s="898"/>
    </row>
    <row r="318" spans="1:45" s="779" customFormat="1" ht="25.2" customHeight="1">
      <c r="A318" s="885">
        <v>302</v>
      </c>
      <c r="B318" s="886"/>
      <c r="C318" s="887" t="str">
        <f>'Tên thang 01-26'!E305</f>
        <v>ឆាង លាស</v>
      </c>
      <c r="D318" s="887" t="str">
        <f>'Tên thang 01-26'!F305</f>
        <v>CHHANG LEAS</v>
      </c>
      <c r="E318" s="888">
        <v>508</v>
      </c>
      <c r="F318" s="889">
        <f>'SAN LUONG'!AP312*0.44</f>
        <v>367.4</v>
      </c>
      <c r="G318" s="889">
        <f t="shared" si="63"/>
        <v>5.23</v>
      </c>
      <c r="H318" s="889">
        <f>'SAN LUONG'!AO312*0.44</f>
        <v>0</v>
      </c>
      <c r="I318" s="889">
        <f t="shared" si="64"/>
        <v>0</v>
      </c>
      <c r="J318" s="889">
        <f>'SAN LUONG'!AV312*0.44</f>
        <v>537.24</v>
      </c>
      <c r="K318" s="889">
        <f t="shared" si="68"/>
        <v>9.33</v>
      </c>
      <c r="L318" s="889"/>
      <c r="M318" s="881">
        <f>'CHAM CONG'!BC309</f>
        <v>15</v>
      </c>
      <c r="N318" s="889">
        <f t="shared" si="69"/>
        <v>7.51</v>
      </c>
      <c r="O318" s="889">
        <f t="shared" si="70"/>
        <v>0.47</v>
      </c>
      <c r="P318" s="890">
        <f>'CHAM CONG'!BO309</f>
        <v>27</v>
      </c>
      <c r="Q318" s="942">
        <f t="shared" si="71"/>
        <v>2.54</v>
      </c>
      <c r="R318" s="942">
        <f>'SAN LUONG'!DW312</f>
        <v>11</v>
      </c>
      <c r="S318" s="942">
        <f t="shared" si="65"/>
        <v>0.34</v>
      </c>
      <c r="T318" s="943">
        <f>'CHAM CONG'!BW309</f>
        <v>0</v>
      </c>
      <c r="U318" s="942">
        <f t="shared" si="72"/>
        <v>0</v>
      </c>
      <c r="V318" s="890">
        <f>'CHAM CONG'!BD309</f>
        <v>0</v>
      </c>
      <c r="W318" s="944">
        <f t="shared" si="66"/>
        <v>0</v>
      </c>
      <c r="X318" s="891">
        <f>'CHAM CONG'!BT309</f>
        <v>1</v>
      </c>
      <c r="Y318" s="881">
        <f t="shared" si="73"/>
        <v>1.1000000000000001</v>
      </c>
      <c r="Z318" s="892">
        <v>6.03</v>
      </c>
      <c r="AA318" s="942">
        <f t="shared" si="62"/>
        <v>1.7</v>
      </c>
      <c r="AB318" s="892">
        <v>6.03</v>
      </c>
      <c r="AC318" s="942">
        <f t="shared" si="74"/>
        <v>7.24</v>
      </c>
      <c r="AD318" s="892">
        <v>6.03</v>
      </c>
      <c r="AE318" s="942">
        <f t="shared" si="75"/>
        <v>4.3</v>
      </c>
      <c r="AF318" s="943" t="e">
        <f>#N/A</f>
        <v>#N/A</v>
      </c>
      <c r="AG318" s="893">
        <f t="shared" si="67"/>
        <v>39.76</v>
      </c>
      <c r="AH318" s="894"/>
      <c r="AI318" s="895">
        <v>25.66</v>
      </c>
      <c r="AJ318" s="791">
        <v>23.66</v>
      </c>
      <c r="AK318" s="896">
        <f t="shared" si="76"/>
        <v>2</v>
      </c>
      <c r="AL318" s="896"/>
      <c r="AS318" s="898"/>
    </row>
    <row r="319" spans="1:45" s="779" customFormat="1" ht="25.2" customHeight="1">
      <c r="A319" s="885">
        <v>303</v>
      </c>
      <c r="B319" s="886"/>
      <c r="C319" s="887" t="str">
        <f>'Tên thang 01-26'!E306</f>
        <v>ឆែម ភាព</v>
      </c>
      <c r="D319" s="887" t="str">
        <f>'Tên thang 01-26'!F306</f>
        <v>CHHEM PHEAP</v>
      </c>
      <c r="E319" s="888">
        <v>509</v>
      </c>
      <c r="F319" s="889">
        <f>'SAN LUONG'!AP313*0.44</f>
        <v>377.52</v>
      </c>
      <c r="G319" s="889">
        <f t="shared" si="63"/>
        <v>5.38</v>
      </c>
      <c r="H319" s="889">
        <f>'SAN LUONG'!AO313*0.44</f>
        <v>0</v>
      </c>
      <c r="I319" s="889">
        <f t="shared" si="64"/>
        <v>0</v>
      </c>
      <c r="J319" s="889">
        <f>'SAN LUONG'!AV313*0.44</f>
        <v>474.32</v>
      </c>
      <c r="K319" s="889">
        <f t="shared" si="68"/>
        <v>8.24</v>
      </c>
      <c r="L319" s="889"/>
      <c r="M319" s="881">
        <f>'CHAM CONG'!BC310</f>
        <v>16</v>
      </c>
      <c r="N319" s="889">
        <f t="shared" si="69"/>
        <v>8.01</v>
      </c>
      <c r="O319" s="889">
        <f t="shared" si="70"/>
        <v>0.5</v>
      </c>
      <c r="P319" s="890">
        <f>'CHAM CONG'!BO310</f>
        <v>30</v>
      </c>
      <c r="Q319" s="942">
        <f t="shared" si="71"/>
        <v>2.82</v>
      </c>
      <c r="R319" s="942">
        <f>'SAN LUONG'!DW313</f>
        <v>14.1</v>
      </c>
      <c r="S319" s="942">
        <f t="shared" si="65"/>
        <v>0.44</v>
      </c>
      <c r="T319" s="943">
        <f>'CHAM CONG'!BW310</f>
        <v>0</v>
      </c>
      <c r="U319" s="942">
        <f t="shared" si="72"/>
        <v>0</v>
      </c>
      <c r="V319" s="890">
        <f>'CHAM CONG'!BD310</f>
        <v>0</v>
      </c>
      <c r="W319" s="944">
        <f t="shared" si="66"/>
        <v>0</v>
      </c>
      <c r="X319" s="891">
        <f>'CHAM CONG'!BT310</f>
        <v>1</v>
      </c>
      <c r="Y319" s="881">
        <f t="shared" si="73"/>
        <v>1.1000000000000001</v>
      </c>
      <c r="Z319" s="892">
        <v>6.03</v>
      </c>
      <c r="AA319" s="942">
        <f t="shared" si="62"/>
        <v>1.7</v>
      </c>
      <c r="AB319" s="892">
        <v>6.03</v>
      </c>
      <c r="AC319" s="942">
        <f t="shared" si="74"/>
        <v>7.24</v>
      </c>
      <c r="AD319" s="892">
        <v>6.03</v>
      </c>
      <c r="AE319" s="942">
        <f t="shared" si="75"/>
        <v>4.3</v>
      </c>
      <c r="AF319" s="943" t="e">
        <f>#N/A</f>
        <v>#N/A</v>
      </c>
      <c r="AG319" s="893">
        <f t="shared" si="67"/>
        <v>39.730000000000004</v>
      </c>
      <c r="AH319" s="894"/>
      <c r="AI319" s="895">
        <v>27.93</v>
      </c>
      <c r="AJ319" s="791">
        <v>25.930000000000003</v>
      </c>
      <c r="AK319" s="896">
        <f t="shared" si="76"/>
        <v>2</v>
      </c>
      <c r="AL319" s="896"/>
      <c r="AS319" s="898"/>
    </row>
    <row r="320" spans="1:45" s="779" customFormat="1" ht="25.2" customHeight="1">
      <c r="A320" s="885">
        <v>304</v>
      </c>
      <c r="B320" s="886"/>
      <c r="C320" s="887" t="str">
        <f>'Tên thang 01-26'!E307</f>
        <v>ចាន់ រស់</v>
      </c>
      <c r="D320" s="887" t="str">
        <f>'Tên thang 01-26'!F307</f>
        <v>CHAN ROS</v>
      </c>
      <c r="E320" s="888">
        <v>510</v>
      </c>
      <c r="F320" s="889">
        <f>'SAN LUONG'!AP314*0.44</f>
        <v>371.36</v>
      </c>
      <c r="G320" s="889">
        <f t="shared" si="63"/>
        <v>5.29</v>
      </c>
      <c r="H320" s="889">
        <f>'SAN LUONG'!AO314*0.44</f>
        <v>0</v>
      </c>
      <c r="I320" s="889">
        <f t="shared" si="64"/>
        <v>0</v>
      </c>
      <c r="J320" s="889">
        <f>'SAN LUONG'!AV314*0.44-0.2</f>
        <v>584.12</v>
      </c>
      <c r="K320" s="889">
        <f>ROUND((J320*$K$15)/31947,2)+0.02</f>
        <v>10.17</v>
      </c>
      <c r="L320" s="889"/>
      <c r="M320" s="881">
        <f>'CHAM CONG'!BC311</f>
        <v>14</v>
      </c>
      <c r="N320" s="889">
        <f t="shared" si="69"/>
        <v>7.01</v>
      </c>
      <c r="O320" s="889">
        <f t="shared" si="70"/>
        <v>0.44</v>
      </c>
      <c r="P320" s="890">
        <f>'CHAM CONG'!BO311</f>
        <v>26</v>
      </c>
      <c r="Q320" s="942">
        <f t="shared" si="71"/>
        <v>2.44</v>
      </c>
      <c r="R320" s="942">
        <f>'SAN LUONG'!DW314</f>
        <v>6.8</v>
      </c>
      <c r="S320" s="942">
        <f t="shared" si="65"/>
        <v>0.21</v>
      </c>
      <c r="T320" s="943">
        <f>'CHAM CONG'!BW311</f>
        <v>0</v>
      </c>
      <c r="U320" s="942">
        <f t="shared" si="72"/>
        <v>0</v>
      </c>
      <c r="V320" s="890">
        <f>'CHAM CONG'!BD311</f>
        <v>1</v>
      </c>
      <c r="W320" s="944">
        <f t="shared" si="66"/>
        <v>0.53</v>
      </c>
      <c r="X320" s="891">
        <f>'CHAM CONG'!BT311</f>
        <v>1</v>
      </c>
      <c r="Y320" s="881">
        <f t="shared" si="73"/>
        <v>1.1000000000000001</v>
      </c>
      <c r="Z320" s="892">
        <v>6.03</v>
      </c>
      <c r="AA320" s="942">
        <f t="shared" si="62"/>
        <v>1.7</v>
      </c>
      <c r="AB320" s="892">
        <v>6.03</v>
      </c>
      <c r="AC320" s="942">
        <f t="shared" si="74"/>
        <v>7.24</v>
      </c>
      <c r="AD320" s="892">
        <v>6.03</v>
      </c>
      <c r="AE320" s="942">
        <f t="shared" si="75"/>
        <v>4.3</v>
      </c>
      <c r="AF320" s="943" t="e">
        <f>#N/A</f>
        <v>#N/A</v>
      </c>
      <c r="AG320" s="893">
        <f t="shared" si="67"/>
        <v>40.43</v>
      </c>
      <c r="AH320" s="894"/>
      <c r="AI320" s="895">
        <v>29.67</v>
      </c>
      <c r="AJ320" s="791">
        <v>27.650000000000009</v>
      </c>
      <c r="AK320" s="896">
        <f t="shared" si="76"/>
        <v>2</v>
      </c>
      <c r="AL320" s="896"/>
      <c r="AS320" s="898"/>
    </row>
    <row r="321" spans="1:45" s="779" customFormat="1" ht="28.95" customHeight="1">
      <c r="A321" s="885">
        <v>305</v>
      </c>
      <c r="B321" s="886"/>
      <c r="C321" s="887" t="str">
        <f>'Tên thang 01-26'!E308</f>
        <v>សួស ថេ</v>
      </c>
      <c r="D321" s="887" t="str">
        <f>'Tên thang 01-26'!F308</f>
        <v>SOUS THE</v>
      </c>
      <c r="E321" s="888">
        <v>344</v>
      </c>
      <c r="F321" s="889">
        <f>'SAN LUONG'!AP317*0.44</f>
        <v>534.16</v>
      </c>
      <c r="G321" s="889">
        <f t="shared" si="63"/>
        <v>7.61</v>
      </c>
      <c r="H321" s="889">
        <f>'SAN LUONG'!AO317*0.44</f>
        <v>183.92</v>
      </c>
      <c r="I321" s="889">
        <f t="shared" si="64"/>
        <v>2.91</v>
      </c>
      <c r="J321" s="889">
        <f>'SAN LUONG'!AV317*0.44</f>
        <v>0</v>
      </c>
      <c r="K321" s="889">
        <f t="shared" si="68"/>
        <v>0</v>
      </c>
      <c r="L321" s="889"/>
      <c r="M321" s="881">
        <f>'CHAM CONG'!BC314</f>
        <v>15</v>
      </c>
      <c r="N321" s="889">
        <f t="shared" si="69"/>
        <v>7.51</v>
      </c>
      <c r="O321" s="889">
        <f t="shared" si="70"/>
        <v>0.47</v>
      </c>
      <c r="P321" s="890">
        <f>'CHAM CONG'!BO314</f>
        <v>29</v>
      </c>
      <c r="Q321" s="942">
        <f t="shared" si="71"/>
        <v>2.72</v>
      </c>
      <c r="R321" s="942">
        <f>'SAN LUONG'!DW317</f>
        <v>17.100000000000001</v>
      </c>
      <c r="S321" s="942">
        <f t="shared" si="65"/>
        <v>0.54</v>
      </c>
      <c r="T321" s="943">
        <f>'CHAM CONG'!BW314</f>
        <v>0</v>
      </c>
      <c r="U321" s="942">
        <f t="shared" si="72"/>
        <v>0</v>
      </c>
      <c r="V321" s="890">
        <f>'CHAM CONG'!BD314</f>
        <v>5</v>
      </c>
      <c r="W321" s="944">
        <f t="shared" si="66"/>
        <v>2.66</v>
      </c>
      <c r="X321" s="891">
        <f>'CHAM CONG'!BT314</f>
        <v>1</v>
      </c>
      <c r="Y321" s="881">
        <f t="shared" si="73"/>
        <v>1.1000000000000001</v>
      </c>
      <c r="Z321" s="892">
        <v>6.03</v>
      </c>
      <c r="AA321" s="942">
        <f t="shared" si="62"/>
        <v>1.7</v>
      </c>
      <c r="AB321" s="892">
        <v>6.03</v>
      </c>
      <c r="AC321" s="942">
        <f t="shared" si="74"/>
        <v>7.24</v>
      </c>
      <c r="AD321" s="892">
        <v>6.03</v>
      </c>
      <c r="AE321" s="942">
        <f t="shared" si="75"/>
        <v>4.3</v>
      </c>
      <c r="AF321" s="943" t="e">
        <f>#N/A</f>
        <v>#N/A</v>
      </c>
      <c r="AG321" s="893">
        <f t="shared" si="67"/>
        <v>38.76</v>
      </c>
      <c r="AH321" s="894"/>
      <c r="AI321" s="895">
        <v>29.63</v>
      </c>
      <c r="AJ321" s="791">
        <v>26.210000000000004</v>
      </c>
      <c r="AK321" s="896">
        <f t="shared" si="76"/>
        <v>3</v>
      </c>
      <c r="AL321" s="896"/>
      <c r="AS321" s="898"/>
    </row>
    <row r="322" spans="1:45" s="779" customFormat="1" ht="28.95" customHeight="1">
      <c r="A322" s="885">
        <v>306</v>
      </c>
      <c r="B322" s="886"/>
      <c r="C322" s="887" t="str">
        <f>'Tên thang 01-26'!E309</f>
        <v>ហំ គា</v>
      </c>
      <c r="D322" s="887" t="str">
        <f>'Tên thang 01-26'!F309</f>
        <v>HOM KEA</v>
      </c>
      <c r="E322" s="888">
        <v>345</v>
      </c>
      <c r="F322" s="889">
        <f>'SAN LUONG'!AP318*0.44</f>
        <v>476.52</v>
      </c>
      <c r="G322" s="889">
        <f t="shared" si="63"/>
        <v>6.79</v>
      </c>
      <c r="H322" s="889">
        <f>'SAN LUONG'!AO318*0.44</f>
        <v>171.16</v>
      </c>
      <c r="I322" s="889">
        <f t="shared" si="64"/>
        <v>2.71</v>
      </c>
      <c r="J322" s="889">
        <f>'SAN LUONG'!AV318*0.44</f>
        <v>0</v>
      </c>
      <c r="K322" s="889">
        <f t="shared" si="68"/>
        <v>0</v>
      </c>
      <c r="L322" s="889"/>
      <c r="M322" s="881">
        <f>'CHAM CONG'!BC315</f>
        <v>14</v>
      </c>
      <c r="N322" s="889">
        <f t="shared" si="69"/>
        <v>7.01</v>
      </c>
      <c r="O322" s="889">
        <f t="shared" si="70"/>
        <v>0.44</v>
      </c>
      <c r="P322" s="890">
        <f>'CHAM CONG'!BO315</f>
        <v>27</v>
      </c>
      <c r="Q322" s="942">
        <f t="shared" si="71"/>
        <v>2.54</v>
      </c>
      <c r="R322" s="942">
        <f>'SAN LUONG'!DW318</f>
        <v>14</v>
      </c>
      <c r="S322" s="942">
        <f t="shared" si="65"/>
        <v>0.44</v>
      </c>
      <c r="T322" s="943">
        <f>'CHAM CONG'!BW315</f>
        <v>0</v>
      </c>
      <c r="U322" s="942">
        <f t="shared" si="72"/>
        <v>0</v>
      </c>
      <c r="V322" s="890">
        <f>'CHAM CONG'!BD315</f>
        <v>3</v>
      </c>
      <c r="W322" s="944">
        <f t="shared" si="66"/>
        <v>1.6</v>
      </c>
      <c r="X322" s="891">
        <f>'CHAM CONG'!BT315</f>
        <v>1</v>
      </c>
      <c r="Y322" s="881">
        <f t="shared" si="73"/>
        <v>1.1000000000000001</v>
      </c>
      <c r="Z322" s="892">
        <v>6.03</v>
      </c>
      <c r="AA322" s="942">
        <f t="shared" si="62"/>
        <v>1.7</v>
      </c>
      <c r="AB322" s="892">
        <v>6.03</v>
      </c>
      <c r="AC322" s="942">
        <f t="shared" si="74"/>
        <v>7.24</v>
      </c>
      <c r="AD322" s="892">
        <v>6.03</v>
      </c>
      <c r="AE322" s="942">
        <f t="shared" si="75"/>
        <v>4.3</v>
      </c>
      <c r="AF322" s="943" t="e">
        <f>#N/A</f>
        <v>#N/A</v>
      </c>
      <c r="AG322" s="893">
        <f t="shared" si="67"/>
        <v>35.869999999999997</v>
      </c>
      <c r="AH322" s="894"/>
      <c r="AI322" s="895">
        <v>28.26</v>
      </c>
      <c r="AJ322" s="791">
        <v>24.840000000000003</v>
      </c>
      <c r="AK322" s="896">
        <f t="shared" si="76"/>
        <v>3</v>
      </c>
      <c r="AL322" s="896"/>
      <c r="AS322" s="898"/>
    </row>
    <row r="323" spans="1:45" s="779" customFormat="1" ht="28.95" customHeight="1">
      <c r="A323" s="885">
        <v>307</v>
      </c>
      <c r="B323" s="886"/>
      <c r="C323" s="887" t="str">
        <f>'Tên thang 01-26'!E310</f>
        <v>លី ភាក់</v>
      </c>
      <c r="D323" s="887" t="str">
        <f>'Tên thang 01-26'!F310</f>
        <v>LY PHEAK</v>
      </c>
      <c r="E323" s="888">
        <v>346</v>
      </c>
      <c r="F323" s="889">
        <f>'SAN LUONG'!AP319*0.44</f>
        <v>544.72</v>
      </c>
      <c r="G323" s="889">
        <f t="shared" si="63"/>
        <v>7.76</v>
      </c>
      <c r="H323" s="889">
        <f>'SAN LUONG'!AO319*0.44</f>
        <v>186.56</v>
      </c>
      <c r="I323" s="889">
        <f t="shared" si="64"/>
        <v>2.95</v>
      </c>
      <c r="J323" s="889">
        <f>'SAN LUONG'!AV319*0.44</f>
        <v>0</v>
      </c>
      <c r="K323" s="889">
        <f t="shared" si="68"/>
        <v>0</v>
      </c>
      <c r="L323" s="889"/>
      <c r="M323" s="881">
        <f>'CHAM CONG'!BC316</f>
        <v>15</v>
      </c>
      <c r="N323" s="889">
        <f t="shared" si="69"/>
        <v>7.51</v>
      </c>
      <c r="O323" s="889">
        <f t="shared" si="70"/>
        <v>0.47</v>
      </c>
      <c r="P323" s="890">
        <f>'CHAM CONG'!BO316</f>
        <v>29</v>
      </c>
      <c r="Q323" s="942">
        <f t="shared" si="71"/>
        <v>2.72</v>
      </c>
      <c r="R323" s="942">
        <f>'SAN LUONG'!DW319</f>
        <v>11.1</v>
      </c>
      <c r="S323" s="942">
        <f t="shared" si="65"/>
        <v>0.35</v>
      </c>
      <c r="T323" s="943">
        <f>'CHAM CONG'!BW316</f>
        <v>0</v>
      </c>
      <c r="U323" s="942">
        <f t="shared" si="72"/>
        <v>0</v>
      </c>
      <c r="V323" s="890">
        <f>'CHAM CONG'!BD316</f>
        <v>4</v>
      </c>
      <c r="W323" s="944">
        <f t="shared" si="66"/>
        <v>2.13</v>
      </c>
      <c r="X323" s="891">
        <f>'CHAM CONG'!BT316</f>
        <v>1</v>
      </c>
      <c r="Y323" s="881">
        <f t="shared" si="73"/>
        <v>1.1000000000000001</v>
      </c>
      <c r="Z323" s="892">
        <v>6.03</v>
      </c>
      <c r="AA323" s="942">
        <f t="shared" ref="AA323:AA347" si="77">ROUND(Z323*$Z$15,2)</f>
        <v>1.7</v>
      </c>
      <c r="AB323" s="892">
        <v>6.03</v>
      </c>
      <c r="AC323" s="942">
        <f t="shared" si="74"/>
        <v>7.24</v>
      </c>
      <c r="AD323" s="892">
        <v>6.03</v>
      </c>
      <c r="AE323" s="942">
        <f t="shared" si="75"/>
        <v>4.3</v>
      </c>
      <c r="AF323" s="943" t="e">
        <f>#N/A</f>
        <v>#N/A</v>
      </c>
      <c r="AG323" s="893">
        <f t="shared" si="67"/>
        <v>38.229999999999997</v>
      </c>
      <c r="AH323" s="894"/>
      <c r="AI323" s="895">
        <v>30.29</v>
      </c>
      <c r="AJ323" s="791">
        <v>26.240000000000002</v>
      </c>
      <c r="AK323" s="896">
        <f t="shared" si="76"/>
        <v>4</v>
      </c>
      <c r="AL323" s="896"/>
      <c r="AS323" s="898"/>
    </row>
    <row r="324" spans="1:45" s="779" customFormat="1" ht="28.95" customHeight="1">
      <c r="A324" s="885">
        <v>308</v>
      </c>
      <c r="B324" s="886"/>
      <c r="C324" s="887" t="str">
        <f>'Tên thang 01-26'!E311</f>
        <v>រ៉ុន​ ម៉ៃ</v>
      </c>
      <c r="D324" s="887" t="str">
        <f>'Tên thang 01-26'!F311</f>
        <v>RON MAY</v>
      </c>
      <c r="E324" s="888">
        <v>347</v>
      </c>
      <c r="F324" s="889">
        <f>'SAN LUONG'!AP320*0.44</f>
        <v>551.32000000000005</v>
      </c>
      <c r="G324" s="889">
        <f t="shared" si="63"/>
        <v>7.85</v>
      </c>
      <c r="H324" s="889">
        <f>'SAN LUONG'!AO320*0.44</f>
        <v>161.47999999999999</v>
      </c>
      <c r="I324" s="889">
        <f t="shared" si="64"/>
        <v>2.5499999999999998</v>
      </c>
      <c r="J324" s="889">
        <f>'SAN LUONG'!AV320*0.44</f>
        <v>0</v>
      </c>
      <c r="K324" s="889">
        <f t="shared" si="68"/>
        <v>0</v>
      </c>
      <c r="L324" s="889"/>
      <c r="M324" s="881">
        <f>'CHAM CONG'!BC317</f>
        <v>15</v>
      </c>
      <c r="N324" s="889">
        <f t="shared" si="69"/>
        <v>7.51</v>
      </c>
      <c r="O324" s="889">
        <f t="shared" si="70"/>
        <v>0.47</v>
      </c>
      <c r="P324" s="890">
        <f>'CHAM CONG'!BO317</f>
        <v>29</v>
      </c>
      <c r="Q324" s="942">
        <f t="shared" si="71"/>
        <v>2.72</v>
      </c>
      <c r="R324" s="942">
        <f>'SAN LUONG'!DW320</f>
        <v>14.7</v>
      </c>
      <c r="S324" s="942">
        <f t="shared" si="65"/>
        <v>0.46</v>
      </c>
      <c r="T324" s="943">
        <f>'CHAM CONG'!BW317</f>
        <v>0</v>
      </c>
      <c r="U324" s="942">
        <f t="shared" si="72"/>
        <v>0</v>
      </c>
      <c r="V324" s="890">
        <f>'CHAM CONG'!BD317</f>
        <v>2</v>
      </c>
      <c r="W324" s="944">
        <f t="shared" si="66"/>
        <v>1.06</v>
      </c>
      <c r="X324" s="891">
        <f>'CHAM CONG'!BT317</f>
        <v>1</v>
      </c>
      <c r="Y324" s="881">
        <f t="shared" si="73"/>
        <v>1.1000000000000001</v>
      </c>
      <c r="Z324" s="892">
        <v>6.03</v>
      </c>
      <c r="AA324" s="942">
        <f t="shared" si="77"/>
        <v>1.7</v>
      </c>
      <c r="AB324" s="892">
        <v>6.03</v>
      </c>
      <c r="AC324" s="942">
        <f t="shared" si="74"/>
        <v>7.24</v>
      </c>
      <c r="AD324" s="892">
        <v>6.03</v>
      </c>
      <c r="AE324" s="942">
        <f t="shared" si="75"/>
        <v>4.3</v>
      </c>
      <c r="AF324" s="943" t="e">
        <f>#N/A</f>
        <v>#N/A</v>
      </c>
      <c r="AG324" s="893">
        <f t="shared" si="67"/>
        <v>36.959999999999994</v>
      </c>
      <c r="AH324" s="894"/>
      <c r="AI324" s="895">
        <v>28.7</v>
      </c>
      <c r="AJ324" s="791">
        <v>25.27</v>
      </c>
      <c r="AK324" s="896">
        <f t="shared" si="76"/>
        <v>3</v>
      </c>
      <c r="AL324" s="896"/>
      <c r="AS324" s="898"/>
    </row>
    <row r="325" spans="1:45" s="779" customFormat="1" ht="28.95" customHeight="1">
      <c r="A325" s="885">
        <v>309</v>
      </c>
      <c r="B325" s="886"/>
      <c r="C325" s="887" t="str">
        <f>'Tên thang 01-26'!E312</f>
        <v>ហួត ហ៊ាញ</v>
      </c>
      <c r="D325" s="887" t="str">
        <f>'Tên thang 01-26'!F312</f>
        <v>HUOT HEANH</v>
      </c>
      <c r="E325" s="888">
        <v>348</v>
      </c>
      <c r="F325" s="889">
        <f>'SAN LUONG'!AP321*0.44</f>
        <v>542.08000000000004</v>
      </c>
      <c r="G325" s="889">
        <f t="shared" si="63"/>
        <v>7.72</v>
      </c>
      <c r="H325" s="889">
        <f>'SAN LUONG'!AO321*0.44</f>
        <v>149.6</v>
      </c>
      <c r="I325" s="889">
        <f t="shared" si="64"/>
        <v>2.36</v>
      </c>
      <c r="J325" s="889">
        <f>'SAN LUONG'!AV321*0.44</f>
        <v>0</v>
      </c>
      <c r="K325" s="889">
        <f t="shared" si="68"/>
        <v>0</v>
      </c>
      <c r="L325" s="889"/>
      <c r="M325" s="881">
        <f>'CHAM CONG'!BC318</f>
        <v>15</v>
      </c>
      <c r="N325" s="889">
        <f t="shared" si="69"/>
        <v>7.51</v>
      </c>
      <c r="O325" s="889">
        <f t="shared" si="70"/>
        <v>0.47</v>
      </c>
      <c r="P325" s="890">
        <f>'CHAM CONG'!BO318</f>
        <v>28</v>
      </c>
      <c r="Q325" s="942">
        <f t="shared" si="71"/>
        <v>2.63</v>
      </c>
      <c r="R325" s="942">
        <f>'SAN LUONG'!DW321</f>
        <v>8.1</v>
      </c>
      <c r="S325" s="942">
        <f t="shared" si="65"/>
        <v>0.25</v>
      </c>
      <c r="T325" s="943">
        <f>'CHAM CONG'!BW318</f>
        <v>0</v>
      </c>
      <c r="U325" s="942">
        <f t="shared" si="72"/>
        <v>0</v>
      </c>
      <c r="V325" s="890">
        <f>'CHAM CONG'!BD318</f>
        <v>1</v>
      </c>
      <c r="W325" s="944">
        <f t="shared" si="66"/>
        <v>0.53</v>
      </c>
      <c r="X325" s="891">
        <f>'CHAM CONG'!BT318</f>
        <v>1</v>
      </c>
      <c r="Y325" s="881">
        <f t="shared" si="73"/>
        <v>1.1000000000000001</v>
      </c>
      <c r="Z325" s="892">
        <v>6.03</v>
      </c>
      <c r="AA325" s="942">
        <f t="shared" si="77"/>
        <v>1.7</v>
      </c>
      <c r="AB325" s="892">
        <v>6.03</v>
      </c>
      <c r="AC325" s="942">
        <f t="shared" si="74"/>
        <v>7.24</v>
      </c>
      <c r="AD325" s="892">
        <v>6.03</v>
      </c>
      <c r="AE325" s="942">
        <f t="shared" si="75"/>
        <v>4.3</v>
      </c>
      <c r="AF325" s="943" t="e">
        <f>#N/A</f>
        <v>#N/A</v>
      </c>
      <c r="AG325" s="893">
        <f t="shared" si="67"/>
        <v>35.81</v>
      </c>
      <c r="AH325" s="894"/>
      <c r="AI325" s="895">
        <v>29.65</v>
      </c>
      <c r="AJ325" s="791">
        <v>26.230000000000004</v>
      </c>
      <c r="AK325" s="896">
        <f t="shared" si="76"/>
        <v>3</v>
      </c>
      <c r="AL325" s="896"/>
      <c r="AS325" s="898"/>
    </row>
    <row r="326" spans="1:45" s="779" customFormat="1" ht="28.95" customHeight="1">
      <c r="A326" s="885">
        <v>310</v>
      </c>
      <c r="B326" s="886"/>
      <c r="C326" s="887" t="str">
        <f>'Tên thang 01-26'!E313</f>
        <v>ថាន់ ណារី</v>
      </c>
      <c r="D326" s="887" t="str">
        <f>'Tên thang 01-26'!F313</f>
        <v>THANN NARY</v>
      </c>
      <c r="E326" s="888">
        <v>349</v>
      </c>
      <c r="F326" s="889">
        <f>'SAN LUONG'!AP322*0.44</f>
        <v>551.32000000000005</v>
      </c>
      <c r="G326" s="889">
        <f t="shared" si="63"/>
        <v>7.85</v>
      </c>
      <c r="H326" s="889">
        <f>'SAN LUONG'!AO322*0.44</f>
        <v>146.52000000000001</v>
      </c>
      <c r="I326" s="889">
        <f t="shared" si="64"/>
        <v>2.3199999999999998</v>
      </c>
      <c r="J326" s="889">
        <f>'SAN LUONG'!AV322*0.44</f>
        <v>0</v>
      </c>
      <c r="K326" s="889">
        <f t="shared" si="68"/>
        <v>0</v>
      </c>
      <c r="L326" s="889"/>
      <c r="M326" s="881">
        <f>'CHAM CONG'!BC319</f>
        <v>15</v>
      </c>
      <c r="N326" s="889">
        <f t="shared" si="69"/>
        <v>7.51</v>
      </c>
      <c r="O326" s="889">
        <f t="shared" si="70"/>
        <v>0.47</v>
      </c>
      <c r="P326" s="890">
        <f>'CHAM CONG'!BO319</f>
        <v>28</v>
      </c>
      <c r="Q326" s="942">
        <f t="shared" si="71"/>
        <v>2.63</v>
      </c>
      <c r="R326" s="942">
        <f>'SAN LUONG'!DW322</f>
        <v>7.6</v>
      </c>
      <c r="S326" s="942">
        <f t="shared" si="65"/>
        <v>0.24</v>
      </c>
      <c r="T326" s="943">
        <f>'CHAM CONG'!BW319</f>
        <v>0</v>
      </c>
      <c r="U326" s="942">
        <f t="shared" si="72"/>
        <v>0</v>
      </c>
      <c r="V326" s="890">
        <f>'CHAM CONG'!BD319</f>
        <v>1</v>
      </c>
      <c r="W326" s="944">
        <f t="shared" si="66"/>
        <v>0.53</v>
      </c>
      <c r="X326" s="891">
        <f>'CHAM CONG'!BT319</f>
        <v>1</v>
      </c>
      <c r="Y326" s="881">
        <f t="shared" si="73"/>
        <v>1.1000000000000001</v>
      </c>
      <c r="Z326" s="892">
        <v>6.03</v>
      </c>
      <c r="AA326" s="942">
        <f t="shared" si="77"/>
        <v>1.7</v>
      </c>
      <c r="AB326" s="892">
        <v>6.03</v>
      </c>
      <c r="AC326" s="942">
        <f t="shared" si="74"/>
        <v>7.24</v>
      </c>
      <c r="AD326" s="892">
        <v>6.03</v>
      </c>
      <c r="AE326" s="942">
        <f t="shared" si="75"/>
        <v>4.3</v>
      </c>
      <c r="AF326" s="943" t="e">
        <f>#N/A</f>
        <v>#N/A</v>
      </c>
      <c r="AG326" s="893">
        <f t="shared" si="67"/>
        <v>35.89</v>
      </c>
      <c r="AH326" s="894"/>
      <c r="AI326" s="895">
        <v>29.33</v>
      </c>
      <c r="AJ326" s="791">
        <v>25.920000000000005</v>
      </c>
      <c r="AK326" s="896">
        <f t="shared" si="76"/>
        <v>3</v>
      </c>
      <c r="AL326" s="896"/>
      <c r="AS326" s="898"/>
    </row>
    <row r="327" spans="1:45" s="779" customFormat="1" ht="28.95" customHeight="1">
      <c r="A327" s="885">
        <v>311</v>
      </c>
      <c r="B327" s="886"/>
      <c r="C327" s="887" t="str">
        <f>'Tên thang 01-26'!E314</f>
        <v>ហ៊ី សុន</v>
      </c>
      <c r="D327" s="887" t="str">
        <f>'Tên thang 01-26'!F314</f>
        <v>HY SON</v>
      </c>
      <c r="E327" s="888">
        <v>350</v>
      </c>
      <c r="F327" s="889">
        <f>'SAN LUONG'!AP323*0.44</f>
        <v>873.84</v>
      </c>
      <c r="G327" s="889">
        <f t="shared" si="63"/>
        <v>12.45</v>
      </c>
      <c r="H327" s="889">
        <f>'SAN LUONG'!AO323*0.44</f>
        <v>0</v>
      </c>
      <c r="I327" s="889">
        <f t="shared" si="64"/>
        <v>0</v>
      </c>
      <c r="J327" s="889">
        <f>'SAN LUONG'!AV323*0.44</f>
        <v>0</v>
      </c>
      <c r="K327" s="889">
        <f t="shared" si="68"/>
        <v>0</v>
      </c>
      <c r="L327" s="889"/>
      <c r="M327" s="881">
        <f>'CHAM CONG'!BC320</f>
        <v>15</v>
      </c>
      <c r="N327" s="889">
        <f t="shared" si="69"/>
        <v>7.51</v>
      </c>
      <c r="O327" s="889">
        <f t="shared" si="70"/>
        <v>0.47</v>
      </c>
      <c r="P327" s="890">
        <f>'CHAM CONG'!BO320</f>
        <v>28</v>
      </c>
      <c r="Q327" s="942">
        <f t="shared" si="71"/>
        <v>2.63</v>
      </c>
      <c r="R327" s="942">
        <f>'SAN LUONG'!DW323</f>
        <v>15.1</v>
      </c>
      <c r="S327" s="942">
        <f t="shared" si="65"/>
        <v>0.47</v>
      </c>
      <c r="T327" s="943">
        <f>'CHAM CONG'!BW320</f>
        <v>0</v>
      </c>
      <c r="U327" s="942">
        <f t="shared" si="72"/>
        <v>0</v>
      </c>
      <c r="V327" s="890">
        <f>'CHAM CONG'!BD320</f>
        <v>4</v>
      </c>
      <c r="W327" s="944">
        <f t="shared" si="66"/>
        <v>2.13</v>
      </c>
      <c r="X327" s="891">
        <f>'CHAM CONG'!BT320</f>
        <v>1</v>
      </c>
      <c r="Y327" s="881">
        <f t="shared" si="73"/>
        <v>1.1000000000000001</v>
      </c>
      <c r="Z327" s="892">
        <v>6.03</v>
      </c>
      <c r="AA327" s="942">
        <f t="shared" si="77"/>
        <v>1.7</v>
      </c>
      <c r="AB327" s="892">
        <v>6.03</v>
      </c>
      <c r="AC327" s="942">
        <f t="shared" si="74"/>
        <v>7.24</v>
      </c>
      <c r="AD327" s="892">
        <v>6.03</v>
      </c>
      <c r="AE327" s="942">
        <f t="shared" si="75"/>
        <v>4.3</v>
      </c>
      <c r="AF327" s="943" t="e">
        <f>#N/A</f>
        <v>#N/A</v>
      </c>
      <c r="AG327" s="893">
        <f t="shared" si="67"/>
        <v>40</v>
      </c>
      <c r="AH327" s="894"/>
      <c r="AI327" s="895">
        <v>31.31</v>
      </c>
      <c r="AJ327" s="791">
        <v>27.43</v>
      </c>
      <c r="AK327" s="896">
        <f t="shared" si="76"/>
        <v>4</v>
      </c>
      <c r="AL327" s="896"/>
      <c r="AS327" s="898"/>
    </row>
    <row r="328" spans="1:45" s="779" customFormat="1" ht="28.95" customHeight="1">
      <c r="A328" s="885">
        <v>312</v>
      </c>
      <c r="B328" s="886"/>
      <c r="C328" s="887" t="str">
        <f>'Tên thang 01-26'!E315</f>
        <v>ហោ នាង</v>
      </c>
      <c r="D328" s="887" t="str">
        <f>'Tên thang 01-26'!F315</f>
        <v>HAO NEANG</v>
      </c>
      <c r="E328" s="888">
        <v>351</v>
      </c>
      <c r="F328" s="889">
        <f>'SAN LUONG'!AP324*0.44</f>
        <v>900.68</v>
      </c>
      <c r="G328" s="889">
        <f t="shared" si="63"/>
        <v>12.83</v>
      </c>
      <c r="H328" s="889">
        <f>'SAN LUONG'!AO324*0.44</f>
        <v>0</v>
      </c>
      <c r="I328" s="889">
        <f t="shared" si="64"/>
        <v>0</v>
      </c>
      <c r="J328" s="889">
        <f>'SAN LUONG'!AV324*0.44</f>
        <v>0</v>
      </c>
      <c r="K328" s="889">
        <f t="shared" si="68"/>
        <v>0</v>
      </c>
      <c r="L328" s="889"/>
      <c r="M328" s="881">
        <f>'CHAM CONG'!BC321</f>
        <v>15</v>
      </c>
      <c r="N328" s="889">
        <f t="shared" si="69"/>
        <v>7.51</v>
      </c>
      <c r="O328" s="889">
        <f t="shared" si="70"/>
        <v>0.47</v>
      </c>
      <c r="P328" s="890">
        <f>'CHAM CONG'!BO321</f>
        <v>28</v>
      </c>
      <c r="Q328" s="942">
        <f t="shared" si="71"/>
        <v>2.63</v>
      </c>
      <c r="R328" s="942">
        <f>'SAN LUONG'!DW324</f>
        <v>15.4</v>
      </c>
      <c r="S328" s="942">
        <f t="shared" si="65"/>
        <v>0.48</v>
      </c>
      <c r="T328" s="943">
        <f>'CHAM CONG'!BW321</f>
        <v>0</v>
      </c>
      <c r="U328" s="942">
        <f t="shared" si="72"/>
        <v>0</v>
      </c>
      <c r="V328" s="890">
        <f>'CHAM CONG'!BD321</f>
        <v>4</v>
      </c>
      <c r="W328" s="944">
        <f t="shared" si="66"/>
        <v>2.13</v>
      </c>
      <c r="X328" s="891">
        <f>'CHAM CONG'!BT321</f>
        <v>1</v>
      </c>
      <c r="Y328" s="881">
        <f t="shared" si="73"/>
        <v>1.1000000000000001</v>
      </c>
      <c r="Z328" s="892">
        <v>6.03</v>
      </c>
      <c r="AA328" s="942">
        <f t="shared" si="77"/>
        <v>1.7</v>
      </c>
      <c r="AB328" s="892">
        <v>6.03</v>
      </c>
      <c r="AC328" s="942">
        <f t="shared" si="74"/>
        <v>7.24</v>
      </c>
      <c r="AD328" s="892">
        <v>6.03</v>
      </c>
      <c r="AE328" s="942">
        <f t="shared" si="75"/>
        <v>4.3</v>
      </c>
      <c r="AF328" s="943" t="e">
        <f>#N/A</f>
        <v>#N/A</v>
      </c>
      <c r="AG328" s="893">
        <f t="shared" si="67"/>
        <v>40.39</v>
      </c>
      <c r="AH328" s="894"/>
      <c r="AI328" s="895">
        <v>31.07</v>
      </c>
      <c r="AJ328" s="791">
        <v>27.19</v>
      </c>
      <c r="AK328" s="896">
        <f t="shared" si="76"/>
        <v>4</v>
      </c>
      <c r="AL328" s="896"/>
      <c r="AS328" s="898"/>
    </row>
    <row r="329" spans="1:45" s="779" customFormat="1" ht="28.95" customHeight="1">
      <c r="A329" s="885">
        <v>313</v>
      </c>
      <c r="B329" s="886"/>
      <c r="C329" s="887" t="str">
        <f>'Tên thang 01-26'!E316</f>
        <v>ប៉ិន ប៉ីន</v>
      </c>
      <c r="D329" s="887" t="str">
        <f>'Tên thang 01-26'!F316</f>
        <v>BIN BEN</v>
      </c>
      <c r="E329" s="888">
        <v>352</v>
      </c>
      <c r="F329" s="889">
        <f>'SAN LUONG'!AP325*0.44</f>
        <v>876.92</v>
      </c>
      <c r="G329" s="889">
        <f t="shared" si="63"/>
        <v>12.49</v>
      </c>
      <c r="H329" s="889">
        <f>'SAN LUONG'!AO325*0.44</f>
        <v>0</v>
      </c>
      <c r="I329" s="889">
        <f t="shared" si="64"/>
        <v>0</v>
      </c>
      <c r="J329" s="889">
        <f>'SAN LUONG'!AV325*0.44</f>
        <v>0</v>
      </c>
      <c r="K329" s="889">
        <f t="shared" si="68"/>
        <v>0</v>
      </c>
      <c r="L329" s="889"/>
      <c r="M329" s="881">
        <f>'CHAM CONG'!BC322</f>
        <v>15</v>
      </c>
      <c r="N329" s="889">
        <f t="shared" si="69"/>
        <v>7.51</v>
      </c>
      <c r="O329" s="889">
        <f t="shared" si="70"/>
        <v>0.47</v>
      </c>
      <c r="P329" s="890">
        <f>'CHAM CONG'!BO322</f>
        <v>29</v>
      </c>
      <c r="Q329" s="942">
        <f t="shared" si="71"/>
        <v>2.72</v>
      </c>
      <c r="R329" s="942">
        <f>'SAN LUONG'!DW325</f>
        <v>16.600000000000001</v>
      </c>
      <c r="S329" s="942">
        <f t="shared" si="65"/>
        <v>0.52</v>
      </c>
      <c r="T329" s="943">
        <f>'CHAM CONG'!BW322</f>
        <v>0</v>
      </c>
      <c r="U329" s="942">
        <f t="shared" si="72"/>
        <v>0</v>
      </c>
      <c r="V329" s="890">
        <f>'CHAM CONG'!BD322</f>
        <v>4</v>
      </c>
      <c r="W329" s="944">
        <f t="shared" si="66"/>
        <v>2.13</v>
      </c>
      <c r="X329" s="891">
        <f>'CHAM CONG'!BT322</f>
        <v>1</v>
      </c>
      <c r="Y329" s="881">
        <f t="shared" si="73"/>
        <v>1.1000000000000001</v>
      </c>
      <c r="Z329" s="892">
        <v>6.03</v>
      </c>
      <c r="AA329" s="942">
        <f t="shared" si="77"/>
        <v>1.7</v>
      </c>
      <c r="AB329" s="892">
        <v>6.03</v>
      </c>
      <c r="AC329" s="942">
        <f t="shared" si="74"/>
        <v>7.24</v>
      </c>
      <c r="AD329" s="892">
        <v>6.03</v>
      </c>
      <c r="AE329" s="942">
        <f t="shared" si="75"/>
        <v>4.3</v>
      </c>
      <c r="AF329" s="943" t="e">
        <f>#N/A</f>
        <v>#N/A</v>
      </c>
      <c r="AG329" s="893">
        <f t="shared" si="67"/>
        <v>40.18</v>
      </c>
      <c r="AH329" s="894"/>
      <c r="AI329" s="895">
        <v>28.29</v>
      </c>
      <c r="AJ329" s="791">
        <v>24.4</v>
      </c>
      <c r="AK329" s="896">
        <f t="shared" si="76"/>
        <v>4</v>
      </c>
      <c r="AL329" s="896"/>
      <c r="AS329" s="898"/>
    </row>
    <row r="330" spans="1:45" s="779" customFormat="1" ht="28.95" customHeight="1">
      <c r="A330" s="885">
        <v>314</v>
      </c>
      <c r="B330" s="886"/>
      <c r="C330" s="887" t="str">
        <f>'Tên thang 01-26'!E317</f>
        <v>ហង់ ទីន</v>
      </c>
      <c r="D330" s="887" t="str">
        <f>'Tên thang 01-26'!F317</f>
        <v>HANG TIN</v>
      </c>
      <c r="E330" s="888">
        <v>353</v>
      </c>
      <c r="F330" s="889">
        <f>'SAN LUONG'!AP326*0.44</f>
        <v>934.12</v>
      </c>
      <c r="G330" s="889">
        <f t="shared" si="63"/>
        <v>13.3</v>
      </c>
      <c r="H330" s="889">
        <f>'SAN LUONG'!AO326*0.44</f>
        <v>0</v>
      </c>
      <c r="I330" s="889">
        <f t="shared" si="64"/>
        <v>0</v>
      </c>
      <c r="J330" s="889">
        <f>'SAN LUONG'!AV326*0.44</f>
        <v>0</v>
      </c>
      <c r="K330" s="889">
        <f t="shared" si="68"/>
        <v>0</v>
      </c>
      <c r="L330" s="889"/>
      <c r="M330" s="881">
        <f>'CHAM CONG'!BC323</f>
        <v>15</v>
      </c>
      <c r="N330" s="889">
        <f t="shared" si="69"/>
        <v>7.51</v>
      </c>
      <c r="O330" s="889">
        <f t="shared" si="70"/>
        <v>0.47</v>
      </c>
      <c r="P330" s="890">
        <f>'CHAM CONG'!BO323</f>
        <v>28</v>
      </c>
      <c r="Q330" s="942">
        <f t="shared" si="71"/>
        <v>2.63</v>
      </c>
      <c r="R330" s="942">
        <f>'SAN LUONG'!DW326</f>
        <v>29.6</v>
      </c>
      <c r="S330" s="942">
        <f t="shared" si="65"/>
        <v>0.93</v>
      </c>
      <c r="T330" s="943">
        <f>'CHAM CONG'!BW323</f>
        <v>0</v>
      </c>
      <c r="U330" s="942">
        <f t="shared" si="72"/>
        <v>0</v>
      </c>
      <c r="V330" s="890">
        <f>'CHAM CONG'!BD323</f>
        <v>3</v>
      </c>
      <c r="W330" s="944">
        <f t="shared" si="66"/>
        <v>1.6</v>
      </c>
      <c r="X330" s="891">
        <f>'CHAM CONG'!BT323</f>
        <v>1</v>
      </c>
      <c r="Y330" s="881">
        <f t="shared" si="73"/>
        <v>1.1000000000000001</v>
      </c>
      <c r="Z330" s="892">
        <v>6.03</v>
      </c>
      <c r="AA330" s="942">
        <f t="shared" si="77"/>
        <v>1.7</v>
      </c>
      <c r="AB330" s="892">
        <v>6.03</v>
      </c>
      <c r="AC330" s="942">
        <f t="shared" si="74"/>
        <v>7.24</v>
      </c>
      <c r="AD330" s="892">
        <v>6.03</v>
      </c>
      <c r="AE330" s="942">
        <f t="shared" si="75"/>
        <v>4.3</v>
      </c>
      <c r="AF330" s="943" t="e">
        <f>#N/A</f>
        <v>#N/A</v>
      </c>
      <c r="AG330" s="893">
        <f t="shared" si="67"/>
        <v>40.78</v>
      </c>
      <c r="AH330" s="894"/>
      <c r="AI330" s="895">
        <v>31.53</v>
      </c>
      <c r="AJ330" s="791">
        <v>27.64</v>
      </c>
      <c r="AK330" s="896">
        <f t="shared" si="76"/>
        <v>4</v>
      </c>
      <c r="AL330" s="896"/>
      <c r="AS330" s="898"/>
    </row>
    <row r="331" spans="1:45" s="779" customFormat="1" ht="28.95" customHeight="1">
      <c r="A331" s="885">
        <v>315</v>
      </c>
      <c r="B331" s="886"/>
      <c r="C331" s="887" t="str">
        <f>'Tên thang 01-26'!E318</f>
        <v>ខឿន ខេន</v>
      </c>
      <c r="D331" s="887" t="str">
        <f>'Tên thang 01-26'!F318</f>
        <v>KHOEUN KHEN</v>
      </c>
      <c r="E331" s="888">
        <v>354</v>
      </c>
      <c r="F331" s="889">
        <f>'SAN LUONG'!AP327*0.44</f>
        <v>795.08</v>
      </c>
      <c r="G331" s="889">
        <f t="shared" si="63"/>
        <v>11.32</v>
      </c>
      <c r="H331" s="889">
        <f>'SAN LUONG'!AO327*0.44</f>
        <v>0</v>
      </c>
      <c r="I331" s="889">
        <f t="shared" si="64"/>
        <v>0</v>
      </c>
      <c r="J331" s="889">
        <f>'SAN LUONG'!AV327*0.44</f>
        <v>0</v>
      </c>
      <c r="K331" s="889">
        <f t="shared" si="68"/>
        <v>0</v>
      </c>
      <c r="L331" s="889"/>
      <c r="M331" s="881">
        <f>'CHAM CONG'!BC324</f>
        <v>15</v>
      </c>
      <c r="N331" s="889">
        <f t="shared" si="69"/>
        <v>7.51</v>
      </c>
      <c r="O331" s="889">
        <f t="shared" si="70"/>
        <v>0.47</v>
      </c>
      <c r="P331" s="890">
        <f>'CHAM CONG'!BO324</f>
        <v>28</v>
      </c>
      <c r="Q331" s="942">
        <f t="shared" si="71"/>
        <v>2.63</v>
      </c>
      <c r="R331" s="942">
        <f>'SAN LUONG'!DW327</f>
        <v>12.2</v>
      </c>
      <c r="S331" s="942">
        <f t="shared" si="65"/>
        <v>0.38</v>
      </c>
      <c r="T331" s="943">
        <f>'CHAM CONG'!BW324</f>
        <v>0</v>
      </c>
      <c r="U331" s="942">
        <f t="shared" si="72"/>
        <v>0</v>
      </c>
      <c r="V331" s="890">
        <f>'CHAM CONG'!BD324</f>
        <v>3</v>
      </c>
      <c r="W331" s="944">
        <f t="shared" si="66"/>
        <v>1.6</v>
      </c>
      <c r="X331" s="891">
        <f>'CHAM CONG'!BT324</f>
        <v>1</v>
      </c>
      <c r="Y331" s="881">
        <f t="shared" si="73"/>
        <v>1.1000000000000001</v>
      </c>
      <c r="Z331" s="892">
        <v>6.03</v>
      </c>
      <c r="AA331" s="942">
        <f t="shared" si="77"/>
        <v>1.7</v>
      </c>
      <c r="AB331" s="892">
        <v>6.03</v>
      </c>
      <c r="AC331" s="942">
        <f t="shared" si="74"/>
        <v>7.24</v>
      </c>
      <c r="AD331" s="892">
        <v>6.03</v>
      </c>
      <c r="AE331" s="942">
        <f t="shared" si="75"/>
        <v>4.3</v>
      </c>
      <c r="AF331" s="943" t="e">
        <f>#N/A</f>
        <v>#N/A</v>
      </c>
      <c r="AG331" s="893">
        <f t="shared" si="67"/>
        <v>38.25</v>
      </c>
      <c r="AH331" s="894"/>
      <c r="AI331" s="895">
        <v>32.479999999999997</v>
      </c>
      <c r="AJ331" s="791">
        <v>28.590000000000003</v>
      </c>
      <c r="AK331" s="896">
        <f t="shared" si="76"/>
        <v>4</v>
      </c>
      <c r="AL331" s="896"/>
      <c r="AS331" s="898"/>
    </row>
    <row r="332" spans="1:45" s="779" customFormat="1" ht="28.95" customHeight="1">
      <c r="A332" s="885">
        <v>316</v>
      </c>
      <c r="B332" s="886"/>
      <c r="C332" s="887" t="str">
        <f>'Tên thang 01-26'!E319</f>
        <v>យ៉ុង កាញ់</v>
      </c>
      <c r="D332" s="887" t="str">
        <f>'Tên thang 01-26'!F319</f>
        <v>YONG KANH</v>
      </c>
      <c r="E332" s="888">
        <v>355</v>
      </c>
      <c r="F332" s="889">
        <f>'SAN LUONG'!AP328*0.44</f>
        <v>751.52</v>
      </c>
      <c r="G332" s="889">
        <f t="shared" si="63"/>
        <v>10.7</v>
      </c>
      <c r="H332" s="889">
        <f>'SAN LUONG'!AO328*0.44</f>
        <v>0</v>
      </c>
      <c r="I332" s="889">
        <f t="shared" si="64"/>
        <v>0</v>
      </c>
      <c r="J332" s="889">
        <f>'SAN LUONG'!AV328*0.44</f>
        <v>0</v>
      </c>
      <c r="K332" s="889">
        <f t="shared" si="68"/>
        <v>0</v>
      </c>
      <c r="L332" s="889"/>
      <c r="M332" s="881">
        <f>'CHAM CONG'!BC325</f>
        <v>16</v>
      </c>
      <c r="N332" s="889">
        <f t="shared" si="69"/>
        <v>8.01</v>
      </c>
      <c r="O332" s="889">
        <f t="shared" si="70"/>
        <v>0.5</v>
      </c>
      <c r="P332" s="890">
        <f>'CHAM CONG'!BO325</f>
        <v>29</v>
      </c>
      <c r="Q332" s="942">
        <f t="shared" si="71"/>
        <v>2.72</v>
      </c>
      <c r="R332" s="942">
        <f>'SAN LUONG'!DW328</f>
        <v>11.2</v>
      </c>
      <c r="S332" s="942">
        <f t="shared" si="65"/>
        <v>0.35</v>
      </c>
      <c r="T332" s="943">
        <f>'CHAM CONG'!BW325</f>
        <v>0</v>
      </c>
      <c r="U332" s="942">
        <f t="shared" si="72"/>
        <v>0</v>
      </c>
      <c r="V332" s="890">
        <f>'CHAM CONG'!BD325</f>
        <v>2</v>
      </c>
      <c r="W332" s="944">
        <f t="shared" si="66"/>
        <v>1.06</v>
      </c>
      <c r="X332" s="891">
        <f>'CHAM CONG'!BT325</f>
        <v>1</v>
      </c>
      <c r="Y332" s="881">
        <f t="shared" si="73"/>
        <v>1.1000000000000001</v>
      </c>
      <c r="Z332" s="892">
        <v>6.03</v>
      </c>
      <c r="AA332" s="942">
        <f t="shared" si="77"/>
        <v>1.7</v>
      </c>
      <c r="AB332" s="892">
        <v>6.03</v>
      </c>
      <c r="AC332" s="942">
        <f t="shared" si="74"/>
        <v>7.24</v>
      </c>
      <c r="AD332" s="892">
        <v>6.03</v>
      </c>
      <c r="AE332" s="942">
        <f t="shared" si="75"/>
        <v>4.3</v>
      </c>
      <c r="AF332" s="943" t="e">
        <f>#N/A</f>
        <v>#N/A</v>
      </c>
      <c r="AG332" s="893">
        <f t="shared" si="67"/>
        <v>37.68</v>
      </c>
      <c r="AH332" s="894"/>
      <c r="AI332" s="895">
        <v>31.22</v>
      </c>
      <c r="AJ332" s="791">
        <v>26.700000000000003</v>
      </c>
      <c r="AK332" s="896">
        <f t="shared" si="76"/>
        <v>5</v>
      </c>
      <c r="AL332" s="896"/>
      <c r="AS332" s="898"/>
    </row>
    <row r="333" spans="1:45" s="779" customFormat="1" ht="28.95" customHeight="1">
      <c r="A333" s="885">
        <v>317</v>
      </c>
      <c r="B333" s="886"/>
      <c r="C333" s="887" t="str">
        <f>'Tên thang 01-26'!E320</f>
        <v>ញ៉ិប អេន</v>
      </c>
      <c r="D333" s="887" t="str">
        <f>'Tên thang 01-26'!F320</f>
        <v>NHIB EN</v>
      </c>
      <c r="E333" s="888">
        <v>356</v>
      </c>
      <c r="F333" s="889">
        <f>'SAN LUONG'!AP329*0.44</f>
        <v>788.48</v>
      </c>
      <c r="G333" s="889">
        <f t="shared" si="63"/>
        <v>11.23</v>
      </c>
      <c r="H333" s="889">
        <f>'SAN LUONG'!AO329*0.44</f>
        <v>0</v>
      </c>
      <c r="I333" s="889">
        <f t="shared" si="64"/>
        <v>0</v>
      </c>
      <c r="J333" s="889">
        <f>'SAN LUONG'!AV329*0.44</f>
        <v>0</v>
      </c>
      <c r="K333" s="889">
        <f t="shared" si="68"/>
        <v>0</v>
      </c>
      <c r="L333" s="889"/>
      <c r="M333" s="881">
        <f>'CHAM CONG'!BC326</f>
        <v>14</v>
      </c>
      <c r="N333" s="889">
        <f t="shared" si="69"/>
        <v>7.01</v>
      </c>
      <c r="O333" s="889">
        <f t="shared" si="70"/>
        <v>0.44</v>
      </c>
      <c r="P333" s="890">
        <f>'CHAM CONG'!BO326</f>
        <v>27</v>
      </c>
      <c r="Q333" s="942">
        <f t="shared" si="71"/>
        <v>2.54</v>
      </c>
      <c r="R333" s="942">
        <f>'SAN LUONG'!DW329</f>
        <v>18.8</v>
      </c>
      <c r="S333" s="942">
        <f t="shared" si="65"/>
        <v>0.59</v>
      </c>
      <c r="T333" s="943">
        <f>'CHAM CONG'!BW326</f>
        <v>0</v>
      </c>
      <c r="U333" s="942">
        <f t="shared" si="72"/>
        <v>0</v>
      </c>
      <c r="V333" s="890">
        <f>'CHAM CONG'!BD326</f>
        <v>5</v>
      </c>
      <c r="W333" s="944">
        <f t="shared" si="66"/>
        <v>2.66</v>
      </c>
      <c r="X333" s="891">
        <f>'CHAM CONG'!BT326</f>
        <v>1</v>
      </c>
      <c r="Y333" s="881">
        <f t="shared" si="73"/>
        <v>1.1000000000000001</v>
      </c>
      <c r="Z333" s="892">
        <v>6.03</v>
      </c>
      <c r="AA333" s="942">
        <f t="shared" si="77"/>
        <v>1.7</v>
      </c>
      <c r="AB333" s="892">
        <v>6.03</v>
      </c>
      <c r="AC333" s="942">
        <f t="shared" si="74"/>
        <v>7.24</v>
      </c>
      <c r="AD333" s="892">
        <v>6.03</v>
      </c>
      <c r="AE333" s="942">
        <f t="shared" si="75"/>
        <v>4.3</v>
      </c>
      <c r="AF333" s="943" t="e">
        <f>#N/A</f>
        <v>#N/A</v>
      </c>
      <c r="AG333" s="893">
        <f t="shared" si="67"/>
        <v>38.81</v>
      </c>
      <c r="AH333" s="894"/>
      <c r="AI333" s="895">
        <v>31.8</v>
      </c>
      <c r="AJ333" s="791">
        <v>27.9</v>
      </c>
      <c r="AK333" s="896">
        <f t="shared" si="76"/>
        <v>4</v>
      </c>
      <c r="AL333" s="896"/>
      <c r="AS333" s="898"/>
    </row>
    <row r="334" spans="1:45" s="779" customFormat="1" ht="28.95" customHeight="1">
      <c r="A334" s="885">
        <v>318</v>
      </c>
      <c r="B334" s="886"/>
      <c r="C334" s="887" t="str">
        <f>'Tên thang 01-26'!E321</f>
        <v>ងិន យុត</v>
      </c>
      <c r="D334" s="887" t="str">
        <f>'Tên thang 01-26'!F321</f>
        <v>NGIN YUT</v>
      </c>
      <c r="E334" s="888">
        <v>357</v>
      </c>
      <c r="F334" s="889">
        <f>'SAN LUONG'!AP330*0.44</f>
        <v>913.88</v>
      </c>
      <c r="G334" s="889">
        <f t="shared" si="63"/>
        <v>13.02</v>
      </c>
      <c r="H334" s="889">
        <f>'SAN LUONG'!AO330*0.44</f>
        <v>0</v>
      </c>
      <c r="I334" s="889">
        <f t="shared" si="64"/>
        <v>0</v>
      </c>
      <c r="J334" s="889">
        <f>'SAN LUONG'!AV330*0.44</f>
        <v>0</v>
      </c>
      <c r="K334" s="889">
        <f t="shared" si="68"/>
        <v>0</v>
      </c>
      <c r="L334" s="889"/>
      <c r="M334" s="881">
        <f>'CHAM CONG'!BC327</f>
        <v>16</v>
      </c>
      <c r="N334" s="889">
        <f t="shared" si="69"/>
        <v>8.01</v>
      </c>
      <c r="O334" s="889">
        <f t="shared" si="70"/>
        <v>0.5</v>
      </c>
      <c r="P334" s="890">
        <f>'CHAM CONG'!BO327</f>
        <v>30</v>
      </c>
      <c r="Q334" s="942">
        <f t="shared" si="71"/>
        <v>2.82</v>
      </c>
      <c r="R334" s="942">
        <f>'SAN LUONG'!DW330</f>
        <v>9.6999999999999993</v>
      </c>
      <c r="S334" s="942">
        <f t="shared" si="65"/>
        <v>0.3</v>
      </c>
      <c r="T334" s="943">
        <f>'CHAM CONG'!BW327</f>
        <v>0</v>
      </c>
      <c r="U334" s="942">
        <f t="shared" si="72"/>
        <v>0</v>
      </c>
      <c r="V334" s="890">
        <f>'CHAM CONG'!BD327</f>
        <v>5</v>
      </c>
      <c r="W334" s="944">
        <f t="shared" si="66"/>
        <v>2.66</v>
      </c>
      <c r="X334" s="891">
        <f>'CHAM CONG'!BT327</f>
        <v>1</v>
      </c>
      <c r="Y334" s="881">
        <f t="shared" si="73"/>
        <v>1.1000000000000001</v>
      </c>
      <c r="Z334" s="892">
        <v>6.03</v>
      </c>
      <c r="AA334" s="942">
        <f t="shared" si="77"/>
        <v>1.7</v>
      </c>
      <c r="AB334" s="892">
        <v>6.03</v>
      </c>
      <c r="AC334" s="942">
        <f t="shared" si="74"/>
        <v>7.24</v>
      </c>
      <c r="AD334" s="892">
        <v>6.03</v>
      </c>
      <c r="AE334" s="942">
        <f t="shared" si="75"/>
        <v>4.3</v>
      </c>
      <c r="AF334" s="943" t="e">
        <f>#N/A</f>
        <v>#N/A</v>
      </c>
      <c r="AG334" s="893">
        <f t="shared" si="67"/>
        <v>41.650000000000006</v>
      </c>
      <c r="AH334" s="894"/>
      <c r="AI334" s="895">
        <v>30.83</v>
      </c>
      <c r="AJ334" s="791">
        <v>26.94</v>
      </c>
      <c r="AK334" s="896">
        <f t="shared" si="76"/>
        <v>4</v>
      </c>
      <c r="AL334" s="896"/>
      <c r="AS334" s="898"/>
    </row>
    <row r="335" spans="1:45" s="779" customFormat="1" ht="28.95" customHeight="1">
      <c r="A335" s="885">
        <v>319</v>
      </c>
      <c r="B335" s="886"/>
      <c r="C335" s="887" t="str">
        <f>'Tên thang 01-26'!E322</f>
        <v>ឃួន ឃីម</v>
      </c>
      <c r="D335" s="887" t="str">
        <f>'Tên thang 01-26'!F322</f>
        <v>KHOUN KHIM</v>
      </c>
      <c r="E335" s="888">
        <v>358</v>
      </c>
      <c r="F335" s="889">
        <f>'SAN LUONG'!AP331*0.44</f>
        <v>885.72</v>
      </c>
      <c r="G335" s="889">
        <f t="shared" si="63"/>
        <v>12.61</v>
      </c>
      <c r="H335" s="889">
        <f>'SAN LUONG'!AO331*0.44</f>
        <v>0</v>
      </c>
      <c r="I335" s="889">
        <f t="shared" si="64"/>
        <v>0</v>
      </c>
      <c r="J335" s="889">
        <f>'SAN LUONG'!AV331*0.44</f>
        <v>0</v>
      </c>
      <c r="K335" s="889">
        <f t="shared" si="68"/>
        <v>0</v>
      </c>
      <c r="L335" s="889"/>
      <c r="M335" s="881">
        <f>'CHAM CONG'!BC328</f>
        <v>16</v>
      </c>
      <c r="N335" s="889">
        <f t="shared" si="69"/>
        <v>8.01</v>
      </c>
      <c r="O335" s="889">
        <f t="shared" si="70"/>
        <v>0.5</v>
      </c>
      <c r="P335" s="890">
        <f>'CHAM CONG'!BO328</f>
        <v>31</v>
      </c>
      <c r="Q335" s="942">
        <f t="shared" si="71"/>
        <v>2.91</v>
      </c>
      <c r="R335" s="942">
        <f>'SAN LUONG'!DW331</f>
        <v>10.4</v>
      </c>
      <c r="S335" s="942">
        <f t="shared" si="65"/>
        <v>0.33</v>
      </c>
      <c r="T335" s="943">
        <f>'CHAM CONG'!BW328</f>
        <v>0</v>
      </c>
      <c r="U335" s="942">
        <f t="shared" si="72"/>
        <v>0</v>
      </c>
      <c r="V335" s="890">
        <f>'CHAM CONG'!BD328</f>
        <v>5</v>
      </c>
      <c r="W335" s="944">
        <f t="shared" si="66"/>
        <v>2.66</v>
      </c>
      <c r="X335" s="891">
        <f>'CHAM CONG'!BT328</f>
        <v>1</v>
      </c>
      <c r="Y335" s="881">
        <f t="shared" si="73"/>
        <v>1.1000000000000001</v>
      </c>
      <c r="Z335" s="892">
        <v>6.03</v>
      </c>
      <c r="AA335" s="942">
        <f t="shared" si="77"/>
        <v>1.7</v>
      </c>
      <c r="AB335" s="892">
        <v>6.03</v>
      </c>
      <c r="AC335" s="942">
        <f t="shared" si="74"/>
        <v>7.24</v>
      </c>
      <c r="AD335" s="892">
        <v>6.03</v>
      </c>
      <c r="AE335" s="942">
        <f t="shared" si="75"/>
        <v>4.3</v>
      </c>
      <c r="AF335" s="943" t="e">
        <f>#N/A</f>
        <v>#N/A</v>
      </c>
      <c r="AG335" s="893">
        <f t="shared" si="67"/>
        <v>41.36</v>
      </c>
      <c r="AH335" s="894"/>
      <c r="AI335" s="895">
        <v>30.15</v>
      </c>
      <c r="AJ335" s="791">
        <v>26.27</v>
      </c>
      <c r="AK335" s="896">
        <f t="shared" si="76"/>
        <v>4</v>
      </c>
      <c r="AL335" s="896"/>
      <c r="AS335" s="898"/>
    </row>
    <row r="336" spans="1:45" s="779" customFormat="1" ht="28.95" customHeight="1">
      <c r="A336" s="885">
        <v>320</v>
      </c>
      <c r="B336" s="886"/>
      <c r="C336" s="887" t="str">
        <f>'Tên thang 01-26'!E323</f>
        <v>រីម យ៉ុម</v>
      </c>
      <c r="D336" s="887" t="str">
        <f>'Tên thang 01-26'!F323</f>
        <v>RIM YOM</v>
      </c>
      <c r="E336" s="888">
        <v>359</v>
      </c>
      <c r="F336" s="889">
        <f>'SAN LUONG'!AP332*0.44</f>
        <v>737.44</v>
      </c>
      <c r="G336" s="889">
        <f t="shared" si="63"/>
        <v>10.5</v>
      </c>
      <c r="H336" s="889">
        <f>'SAN LUONG'!AO332*0.44</f>
        <v>0</v>
      </c>
      <c r="I336" s="889">
        <f t="shared" si="64"/>
        <v>0</v>
      </c>
      <c r="J336" s="889">
        <f>'SAN LUONG'!AV332*0.44</f>
        <v>0</v>
      </c>
      <c r="K336" s="889">
        <f t="shared" si="68"/>
        <v>0</v>
      </c>
      <c r="L336" s="889"/>
      <c r="M336" s="881">
        <f>'CHAM CONG'!BC329</f>
        <v>14</v>
      </c>
      <c r="N336" s="889">
        <f t="shared" si="69"/>
        <v>7.01</v>
      </c>
      <c r="O336" s="889">
        <f t="shared" si="70"/>
        <v>0.44</v>
      </c>
      <c r="P336" s="890">
        <f>'CHAM CONG'!BO329</f>
        <v>26</v>
      </c>
      <c r="Q336" s="942">
        <f t="shared" si="71"/>
        <v>2.44</v>
      </c>
      <c r="R336" s="942">
        <f>'SAN LUONG'!DW332</f>
        <v>12.4</v>
      </c>
      <c r="S336" s="942">
        <f t="shared" si="65"/>
        <v>0.39</v>
      </c>
      <c r="T336" s="943">
        <f>'CHAM CONG'!BW329</f>
        <v>0</v>
      </c>
      <c r="U336" s="942">
        <f t="shared" si="72"/>
        <v>0</v>
      </c>
      <c r="V336" s="890">
        <f>'CHAM CONG'!BD329</f>
        <v>4</v>
      </c>
      <c r="W336" s="944">
        <f t="shared" si="66"/>
        <v>2.13</v>
      </c>
      <c r="X336" s="891">
        <f>'CHAM CONG'!BT329</f>
        <v>1</v>
      </c>
      <c r="Y336" s="881">
        <f t="shared" si="73"/>
        <v>1.1000000000000001</v>
      </c>
      <c r="Z336" s="892">
        <v>6.03</v>
      </c>
      <c r="AA336" s="942">
        <f t="shared" si="77"/>
        <v>1.7</v>
      </c>
      <c r="AB336" s="892">
        <v>6.03</v>
      </c>
      <c r="AC336" s="942">
        <f t="shared" si="74"/>
        <v>7.24</v>
      </c>
      <c r="AD336" s="892">
        <v>6.03</v>
      </c>
      <c r="AE336" s="942">
        <f t="shared" si="75"/>
        <v>4.3</v>
      </c>
      <c r="AF336" s="943" t="e">
        <f>#N/A</f>
        <v>#N/A</v>
      </c>
      <c r="AG336" s="893">
        <f t="shared" si="67"/>
        <v>37.25</v>
      </c>
      <c r="AH336" s="894"/>
      <c r="AI336" s="895">
        <v>28.33</v>
      </c>
      <c r="AJ336" s="791">
        <v>24.45</v>
      </c>
      <c r="AK336" s="896">
        <f t="shared" si="76"/>
        <v>4</v>
      </c>
      <c r="AL336" s="896"/>
      <c r="AS336" s="898"/>
    </row>
    <row r="337" spans="1:45" s="779" customFormat="1" ht="28.95" customHeight="1">
      <c r="A337" s="885">
        <v>321</v>
      </c>
      <c r="B337" s="886"/>
      <c r="C337" s="887" t="str">
        <f>'Tên thang 01-26'!E324</f>
        <v>ហឿន សារ៉េ</v>
      </c>
      <c r="D337" s="887" t="str">
        <f>'Tên thang 01-26'!F324</f>
        <v>HOEUN SAREN</v>
      </c>
      <c r="E337" s="888">
        <v>360</v>
      </c>
      <c r="F337" s="889">
        <f>'SAN LUONG'!AP333*0.44</f>
        <v>660</v>
      </c>
      <c r="G337" s="889">
        <f t="shared" ref="G337:G400" si="78">ROUND((F337*$G$15)/31947,2)</f>
        <v>9.4</v>
      </c>
      <c r="H337" s="889">
        <f>'SAN LUONG'!AO333*0.44</f>
        <v>0</v>
      </c>
      <c r="I337" s="889">
        <f t="shared" ref="I337:I400" si="79">ROUND((H337*$I$15)/31947,2)</f>
        <v>0</v>
      </c>
      <c r="J337" s="889">
        <f>'SAN LUONG'!AV333*0.44</f>
        <v>0</v>
      </c>
      <c r="K337" s="889">
        <f t="shared" si="68"/>
        <v>0</v>
      </c>
      <c r="L337" s="889"/>
      <c r="M337" s="881">
        <f>'CHAM CONG'!BC330</f>
        <v>15</v>
      </c>
      <c r="N337" s="889">
        <f t="shared" si="69"/>
        <v>7.51</v>
      </c>
      <c r="O337" s="889">
        <f t="shared" si="70"/>
        <v>0.47</v>
      </c>
      <c r="P337" s="890">
        <f>'CHAM CONG'!BO330</f>
        <v>28</v>
      </c>
      <c r="Q337" s="942">
        <f t="shared" si="71"/>
        <v>2.63</v>
      </c>
      <c r="R337" s="942">
        <f>'SAN LUONG'!DW333</f>
        <v>12.9</v>
      </c>
      <c r="S337" s="942">
        <f t="shared" ref="S337:S400" si="80">ROUND(R337*1000/31947,2)</f>
        <v>0.4</v>
      </c>
      <c r="T337" s="943">
        <f>'CHAM CONG'!BW330</f>
        <v>0</v>
      </c>
      <c r="U337" s="942">
        <f t="shared" si="72"/>
        <v>0</v>
      </c>
      <c r="V337" s="890">
        <f>'CHAM CONG'!BD330</f>
        <v>2</v>
      </c>
      <c r="W337" s="944">
        <f t="shared" ref="W337:W400" si="81">ROUND(V337*$V$15,2)</f>
        <v>1.06</v>
      </c>
      <c r="X337" s="891">
        <f>'CHAM CONG'!BT330</f>
        <v>1</v>
      </c>
      <c r="Y337" s="881">
        <f t="shared" si="73"/>
        <v>1.1000000000000001</v>
      </c>
      <c r="Z337" s="892">
        <v>6.03</v>
      </c>
      <c r="AA337" s="942">
        <f t="shared" si="77"/>
        <v>1.7</v>
      </c>
      <c r="AB337" s="892">
        <v>6.03</v>
      </c>
      <c r="AC337" s="942">
        <f t="shared" si="74"/>
        <v>7.24</v>
      </c>
      <c r="AD337" s="892">
        <v>6.03</v>
      </c>
      <c r="AE337" s="942">
        <f t="shared" si="75"/>
        <v>4.3</v>
      </c>
      <c r="AF337" s="943" t="e">
        <f>#N/A</f>
        <v>#N/A</v>
      </c>
      <c r="AG337" s="893">
        <f t="shared" ref="AG337:AG400" si="82">G337+I337+K337+N337+Q337+S337+U337+W337+Y337+AC337+AE337+O337+AA337</f>
        <v>35.809999999999995</v>
      </c>
      <c r="AH337" s="894"/>
      <c r="AI337" s="895">
        <v>27.1</v>
      </c>
      <c r="AJ337" s="791">
        <v>24.47</v>
      </c>
      <c r="AK337" s="896">
        <f t="shared" si="76"/>
        <v>3</v>
      </c>
      <c r="AL337" s="896"/>
      <c r="AS337" s="898"/>
    </row>
    <row r="338" spans="1:45" s="779" customFormat="1" ht="28.95" customHeight="1">
      <c r="A338" s="885">
        <v>322</v>
      </c>
      <c r="B338" s="886"/>
      <c r="C338" s="887" t="str">
        <f>'Tên thang 01-26'!E325</f>
        <v>វន តាត</v>
      </c>
      <c r="D338" s="887" t="str">
        <f>'Tên thang 01-26'!F325</f>
        <v>VON TATH</v>
      </c>
      <c r="E338" s="888">
        <v>361</v>
      </c>
      <c r="F338" s="889">
        <f>'SAN LUONG'!AP334*0.44</f>
        <v>600.16</v>
      </c>
      <c r="G338" s="889">
        <f t="shared" si="78"/>
        <v>8.5500000000000007</v>
      </c>
      <c r="H338" s="889">
        <f>'SAN LUONG'!AO334*0.44</f>
        <v>0</v>
      </c>
      <c r="I338" s="889">
        <f t="shared" si="79"/>
        <v>0</v>
      </c>
      <c r="J338" s="889">
        <f>'SAN LUONG'!AV334*0.44</f>
        <v>0</v>
      </c>
      <c r="K338" s="889">
        <f t="shared" ref="K338:K401" si="83">ROUND((J338*$K$15)/31947,2)</f>
        <v>0</v>
      </c>
      <c r="L338" s="889"/>
      <c r="M338" s="881">
        <f>'CHAM CONG'!BC331</f>
        <v>15</v>
      </c>
      <c r="N338" s="889">
        <f t="shared" ref="N338:N401" si="84">ROUND(M338*16000/31947,2)</f>
        <v>7.51</v>
      </c>
      <c r="O338" s="889">
        <f t="shared" ref="O338:O401" si="85">ROUND(M338*1000/31947,2)</f>
        <v>0.47</v>
      </c>
      <c r="P338" s="890">
        <f>'CHAM CONG'!BO331</f>
        <v>28</v>
      </c>
      <c r="Q338" s="942">
        <f t="shared" ref="Q338:Q401" si="86">ROUND(P338*0.0939,2)</f>
        <v>2.63</v>
      </c>
      <c r="R338" s="942">
        <f>'SAN LUONG'!DW334</f>
        <v>13.9</v>
      </c>
      <c r="S338" s="942">
        <f t="shared" si="80"/>
        <v>0.44</v>
      </c>
      <c r="T338" s="943">
        <f>'CHAM CONG'!BW331</f>
        <v>0</v>
      </c>
      <c r="U338" s="942">
        <f t="shared" ref="U338:U401" si="87">ROUND(T338/31947,2)</f>
        <v>0</v>
      </c>
      <c r="V338" s="890">
        <f>'CHAM CONG'!BD331</f>
        <v>3</v>
      </c>
      <c r="W338" s="944">
        <f t="shared" si="81"/>
        <v>1.6</v>
      </c>
      <c r="X338" s="891">
        <f>'CHAM CONG'!BT331</f>
        <v>1</v>
      </c>
      <c r="Y338" s="881">
        <f t="shared" ref="Y338:Y401" si="88">ROUND(X338*1.0956,1)</f>
        <v>1.1000000000000001</v>
      </c>
      <c r="Z338" s="892">
        <v>6.03</v>
      </c>
      <c r="AA338" s="942">
        <f t="shared" si="77"/>
        <v>1.7</v>
      </c>
      <c r="AB338" s="892">
        <v>6.03</v>
      </c>
      <c r="AC338" s="942">
        <f t="shared" ref="AC338:AC401" si="89">ROUND(AB338*$AB$15,2)</f>
        <v>7.24</v>
      </c>
      <c r="AD338" s="892">
        <v>6.03</v>
      </c>
      <c r="AE338" s="942">
        <f t="shared" ref="AE338:AE401" si="90">ROUND(AD338*$AD$15,2)</f>
        <v>4.3</v>
      </c>
      <c r="AF338" s="943" t="e">
        <f>#N/A</f>
        <v>#N/A</v>
      </c>
      <c r="AG338" s="893">
        <f t="shared" si="82"/>
        <v>35.540000000000006</v>
      </c>
      <c r="AH338" s="894"/>
      <c r="AI338" s="895">
        <v>25.43</v>
      </c>
      <c r="AJ338" s="791">
        <v>21.55</v>
      </c>
      <c r="AK338" s="896">
        <f t="shared" ref="AK338:AK401" si="91">ROUND(AI338-AJ338,0)</f>
        <v>4</v>
      </c>
      <c r="AL338" s="896"/>
      <c r="AS338" s="898"/>
    </row>
    <row r="339" spans="1:45" s="779" customFormat="1" ht="28.95" customHeight="1">
      <c r="A339" s="885">
        <v>323</v>
      </c>
      <c r="B339" s="886"/>
      <c r="C339" s="887" t="str">
        <f>'Tên thang 01-26'!E326</f>
        <v>គួន រ៉ាល់</v>
      </c>
      <c r="D339" s="887" t="str">
        <f>'Tên thang 01-26'!F326</f>
        <v>KUON RAL</v>
      </c>
      <c r="E339" s="888">
        <v>362</v>
      </c>
      <c r="F339" s="889">
        <f>'SAN LUONG'!AP335*0.44</f>
        <v>425.92</v>
      </c>
      <c r="G339" s="889">
        <f t="shared" si="78"/>
        <v>6.07</v>
      </c>
      <c r="H339" s="889">
        <f>'SAN LUONG'!AO335*0.44</f>
        <v>230.56</v>
      </c>
      <c r="I339" s="889">
        <f t="shared" si="79"/>
        <v>3.64</v>
      </c>
      <c r="J339" s="889">
        <f>'SAN LUONG'!AV335*0.44</f>
        <v>0</v>
      </c>
      <c r="K339" s="889">
        <f t="shared" si="83"/>
        <v>0</v>
      </c>
      <c r="L339" s="889"/>
      <c r="M339" s="881">
        <f>'CHAM CONG'!BC332</f>
        <v>15</v>
      </c>
      <c r="N339" s="889">
        <f t="shared" si="84"/>
        <v>7.51</v>
      </c>
      <c r="O339" s="889">
        <f t="shared" si="85"/>
        <v>0.47</v>
      </c>
      <c r="P339" s="890">
        <f>'CHAM CONG'!BO332</f>
        <v>0</v>
      </c>
      <c r="Q339" s="942">
        <f t="shared" si="86"/>
        <v>0</v>
      </c>
      <c r="R339" s="942">
        <f>'SAN LUONG'!DW335</f>
        <v>15.6</v>
      </c>
      <c r="S339" s="942">
        <f t="shared" si="80"/>
        <v>0.49</v>
      </c>
      <c r="T339" s="943">
        <f>'CHAM CONG'!BW332</f>
        <v>0</v>
      </c>
      <c r="U339" s="942">
        <f t="shared" si="87"/>
        <v>0</v>
      </c>
      <c r="V339" s="890">
        <f>'CHAM CONG'!BD332</f>
        <v>2</v>
      </c>
      <c r="W339" s="944">
        <f t="shared" si="81"/>
        <v>1.06</v>
      </c>
      <c r="X339" s="891">
        <f>'CHAM CONG'!BT332</f>
        <v>0</v>
      </c>
      <c r="Y339" s="881">
        <f t="shared" si="88"/>
        <v>0</v>
      </c>
      <c r="Z339" s="892">
        <v>6.03</v>
      </c>
      <c r="AA339" s="942">
        <f t="shared" si="77"/>
        <v>1.7</v>
      </c>
      <c r="AB339" s="892">
        <v>6.03</v>
      </c>
      <c r="AC339" s="942">
        <f t="shared" si="89"/>
        <v>7.24</v>
      </c>
      <c r="AD339" s="892">
        <v>6.03</v>
      </c>
      <c r="AE339" s="942">
        <f t="shared" si="90"/>
        <v>4.3</v>
      </c>
      <c r="AF339" s="943" t="e">
        <f>#N/A</f>
        <v>#N/A</v>
      </c>
      <c r="AG339" s="893">
        <f t="shared" si="82"/>
        <v>32.479999999999997</v>
      </c>
      <c r="AH339" s="894"/>
      <c r="AI339" s="895">
        <v>24.88</v>
      </c>
      <c r="AJ339" s="791">
        <v>21.470000000000002</v>
      </c>
      <c r="AK339" s="896">
        <f t="shared" si="91"/>
        <v>3</v>
      </c>
      <c r="AL339" s="896"/>
      <c r="AS339" s="898"/>
    </row>
    <row r="340" spans="1:45" s="779" customFormat="1" ht="28.95" customHeight="1">
      <c r="A340" s="885">
        <v>324</v>
      </c>
      <c r="B340" s="886"/>
      <c r="C340" s="887" t="str">
        <f>'Tên thang 01-26'!E327</f>
        <v>ឃុន ស៊ីសា</v>
      </c>
      <c r="D340" s="887" t="str">
        <f>'Tên thang 01-26'!F327</f>
        <v>KHOUNSY SA</v>
      </c>
      <c r="E340" s="888">
        <v>363</v>
      </c>
      <c r="F340" s="889">
        <f>'SAN LUONG'!AP336*0.44</f>
        <v>316.36</v>
      </c>
      <c r="G340" s="889">
        <f t="shared" si="78"/>
        <v>4.51</v>
      </c>
      <c r="H340" s="889">
        <f>'SAN LUONG'!AO336*0.44</f>
        <v>392.48</v>
      </c>
      <c r="I340" s="889">
        <f t="shared" si="79"/>
        <v>6.2</v>
      </c>
      <c r="J340" s="889">
        <f>'SAN LUONG'!AV336*0.44</f>
        <v>0</v>
      </c>
      <c r="K340" s="889">
        <f t="shared" si="83"/>
        <v>0</v>
      </c>
      <c r="L340" s="889"/>
      <c r="M340" s="881">
        <f>'CHAM CONG'!BC333</f>
        <v>13</v>
      </c>
      <c r="N340" s="889">
        <f t="shared" si="84"/>
        <v>6.51</v>
      </c>
      <c r="O340" s="889">
        <f t="shared" si="85"/>
        <v>0.41</v>
      </c>
      <c r="P340" s="890">
        <f>'CHAM CONG'!BO333</f>
        <v>26</v>
      </c>
      <c r="Q340" s="942">
        <f t="shared" si="86"/>
        <v>2.44</v>
      </c>
      <c r="R340" s="942">
        <f>'SAN LUONG'!DW336</f>
        <v>18.2</v>
      </c>
      <c r="S340" s="942">
        <f t="shared" si="80"/>
        <v>0.56999999999999995</v>
      </c>
      <c r="T340" s="943">
        <f>'CHAM CONG'!BW333</f>
        <v>0</v>
      </c>
      <c r="U340" s="942">
        <f t="shared" si="87"/>
        <v>0</v>
      </c>
      <c r="V340" s="890">
        <f>'CHAM CONG'!BD333</f>
        <v>4</v>
      </c>
      <c r="W340" s="944">
        <f t="shared" si="81"/>
        <v>2.13</v>
      </c>
      <c r="X340" s="891">
        <f>'CHAM CONG'!BT333</f>
        <v>1</v>
      </c>
      <c r="Y340" s="881">
        <f t="shared" si="88"/>
        <v>1.1000000000000001</v>
      </c>
      <c r="Z340" s="892">
        <v>6.03</v>
      </c>
      <c r="AA340" s="942">
        <f t="shared" si="77"/>
        <v>1.7</v>
      </c>
      <c r="AB340" s="892">
        <v>6.03</v>
      </c>
      <c r="AC340" s="942">
        <f t="shared" si="89"/>
        <v>7.24</v>
      </c>
      <c r="AD340" s="892">
        <v>6.03</v>
      </c>
      <c r="AE340" s="942">
        <f t="shared" si="90"/>
        <v>4.3</v>
      </c>
      <c r="AF340" s="943" t="e">
        <f>#N/A</f>
        <v>#N/A</v>
      </c>
      <c r="AG340" s="893">
        <f t="shared" si="82"/>
        <v>37.11</v>
      </c>
      <c r="AH340" s="894"/>
      <c r="AI340" s="895">
        <v>28.65</v>
      </c>
      <c r="AJ340" s="791">
        <v>25.23</v>
      </c>
      <c r="AK340" s="896">
        <f t="shared" si="91"/>
        <v>3</v>
      </c>
      <c r="AL340" s="896"/>
      <c r="AS340" s="898"/>
    </row>
    <row r="341" spans="1:45" s="779" customFormat="1" ht="28.95" customHeight="1">
      <c r="A341" s="885">
        <v>325</v>
      </c>
      <c r="B341" s="886"/>
      <c r="C341" s="887" t="str">
        <f>'Tên thang 01-26'!E328</f>
        <v>អៀម យ៉េន</v>
      </c>
      <c r="D341" s="887" t="str">
        <f>'Tên thang 01-26'!F328</f>
        <v>EAM YEN</v>
      </c>
      <c r="E341" s="888">
        <v>364</v>
      </c>
      <c r="F341" s="889">
        <f>'SAN LUONG'!AP337*0.44</f>
        <v>330</v>
      </c>
      <c r="G341" s="889">
        <f t="shared" si="78"/>
        <v>4.7</v>
      </c>
      <c r="H341" s="889">
        <f>'SAN LUONG'!AO337*0.44</f>
        <v>377.52</v>
      </c>
      <c r="I341" s="889">
        <f t="shared" si="79"/>
        <v>5.97</v>
      </c>
      <c r="J341" s="889">
        <f>'SAN LUONG'!AV337*0.44</f>
        <v>0</v>
      </c>
      <c r="K341" s="889">
        <f t="shared" si="83"/>
        <v>0</v>
      </c>
      <c r="L341" s="889"/>
      <c r="M341" s="881">
        <f>'CHAM CONG'!BC334</f>
        <v>13</v>
      </c>
      <c r="N341" s="889">
        <f t="shared" si="84"/>
        <v>6.51</v>
      </c>
      <c r="O341" s="889">
        <f t="shared" si="85"/>
        <v>0.41</v>
      </c>
      <c r="P341" s="890">
        <f>'CHAM CONG'!BO334</f>
        <v>26</v>
      </c>
      <c r="Q341" s="942">
        <f t="shared" si="86"/>
        <v>2.44</v>
      </c>
      <c r="R341" s="942">
        <f>'SAN LUONG'!DW337</f>
        <v>18.399999999999999</v>
      </c>
      <c r="S341" s="942">
        <f t="shared" si="80"/>
        <v>0.57999999999999996</v>
      </c>
      <c r="T341" s="943">
        <f>'CHAM CONG'!BW334</f>
        <v>0</v>
      </c>
      <c r="U341" s="942">
        <f t="shared" si="87"/>
        <v>0</v>
      </c>
      <c r="V341" s="890">
        <f>'CHAM CONG'!BD334</f>
        <v>3</v>
      </c>
      <c r="W341" s="944">
        <f t="shared" si="81"/>
        <v>1.6</v>
      </c>
      <c r="X341" s="891">
        <f>'CHAM CONG'!BT334</f>
        <v>1</v>
      </c>
      <c r="Y341" s="881">
        <f t="shared" si="88"/>
        <v>1.1000000000000001</v>
      </c>
      <c r="Z341" s="892">
        <v>6.03</v>
      </c>
      <c r="AA341" s="942">
        <f t="shared" si="77"/>
        <v>1.7</v>
      </c>
      <c r="AB341" s="892">
        <v>6.03</v>
      </c>
      <c r="AC341" s="942">
        <f t="shared" si="89"/>
        <v>7.24</v>
      </c>
      <c r="AD341" s="892">
        <v>6.03</v>
      </c>
      <c r="AE341" s="942">
        <f t="shared" si="90"/>
        <v>4.3</v>
      </c>
      <c r="AF341" s="943" t="e">
        <f>#N/A</f>
        <v>#N/A</v>
      </c>
      <c r="AG341" s="893">
        <f t="shared" si="82"/>
        <v>36.549999999999997</v>
      </c>
      <c r="AH341" s="894"/>
      <c r="AI341" s="895">
        <v>27.51</v>
      </c>
      <c r="AJ341" s="791">
        <v>24.72</v>
      </c>
      <c r="AK341" s="896">
        <f t="shared" si="91"/>
        <v>3</v>
      </c>
      <c r="AL341" s="896"/>
      <c r="AS341" s="898"/>
    </row>
    <row r="342" spans="1:45" s="779" customFormat="1" ht="28.95" customHeight="1">
      <c r="A342" s="885">
        <v>326</v>
      </c>
      <c r="B342" s="886"/>
      <c r="C342" s="887" t="str">
        <f>'Tên thang 01-26'!E329</f>
        <v>លាន ស៊ីដា</v>
      </c>
      <c r="D342" s="887" t="str">
        <f>'Tên thang 01-26'!F329</f>
        <v>LEAN SIDA</v>
      </c>
      <c r="E342" s="888">
        <v>365</v>
      </c>
      <c r="F342" s="889">
        <f>'SAN LUONG'!AP338*0.44</f>
        <v>506</v>
      </c>
      <c r="G342" s="889">
        <f t="shared" si="78"/>
        <v>7.21</v>
      </c>
      <c r="H342" s="889">
        <f>'SAN LUONG'!AO338*0.44</f>
        <v>259.60000000000002</v>
      </c>
      <c r="I342" s="889">
        <f t="shared" si="79"/>
        <v>4.0999999999999996</v>
      </c>
      <c r="J342" s="889">
        <f>'SAN LUONG'!AV338*0.44</f>
        <v>0</v>
      </c>
      <c r="K342" s="889">
        <f t="shared" si="83"/>
        <v>0</v>
      </c>
      <c r="L342" s="889"/>
      <c r="M342" s="881">
        <f>'CHAM CONG'!BC335</f>
        <v>16</v>
      </c>
      <c r="N342" s="889">
        <f t="shared" si="84"/>
        <v>8.01</v>
      </c>
      <c r="O342" s="889">
        <f t="shared" si="85"/>
        <v>0.5</v>
      </c>
      <c r="P342" s="890">
        <f>'CHAM CONG'!BO335</f>
        <v>31</v>
      </c>
      <c r="Q342" s="942">
        <f t="shared" si="86"/>
        <v>2.91</v>
      </c>
      <c r="R342" s="942">
        <f>'SAN LUONG'!DW338</f>
        <v>26.1</v>
      </c>
      <c r="S342" s="942">
        <f t="shared" si="80"/>
        <v>0.82</v>
      </c>
      <c r="T342" s="943">
        <f>'CHAM CONG'!BW335</f>
        <v>0</v>
      </c>
      <c r="U342" s="942">
        <f t="shared" si="87"/>
        <v>0</v>
      </c>
      <c r="V342" s="890">
        <f>'CHAM CONG'!BD335</f>
        <v>5</v>
      </c>
      <c r="W342" s="944">
        <f t="shared" si="81"/>
        <v>2.66</v>
      </c>
      <c r="X342" s="891">
        <f>'CHAM CONG'!BT335</f>
        <v>1</v>
      </c>
      <c r="Y342" s="881">
        <f t="shared" si="88"/>
        <v>1.1000000000000001</v>
      </c>
      <c r="Z342" s="892">
        <v>6.03</v>
      </c>
      <c r="AA342" s="942">
        <f t="shared" si="77"/>
        <v>1.7</v>
      </c>
      <c r="AB342" s="892">
        <v>6.03</v>
      </c>
      <c r="AC342" s="942">
        <f t="shared" si="89"/>
        <v>7.24</v>
      </c>
      <c r="AD342" s="892">
        <v>6.03</v>
      </c>
      <c r="AE342" s="942">
        <f t="shared" si="90"/>
        <v>4.3</v>
      </c>
      <c r="AF342" s="943" t="e">
        <f>#N/A</f>
        <v>#N/A</v>
      </c>
      <c r="AG342" s="893">
        <f t="shared" si="82"/>
        <v>40.550000000000004</v>
      </c>
      <c r="AH342" s="894"/>
      <c r="AI342" s="895">
        <v>31.59</v>
      </c>
      <c r="AJ342" s="791">
        <v>28.179999999999996</v>
      </c>
      <c r="AK342" s="896">
        <f t="shared" si="91"/>
        <v>3</v>
      </c>
      <c r="AL342" s="896"/>
      <c r="AS342" s="898"/>
    </row>
    <row r="343" spans="1:45" s="779" customFormat="1" ht="28.95" customHeight="1">
      <c r="A343" s="885">
        <v>327</v>
      </c>
      <c r="B343" s="886"/>
      <c r="C343" s="887" t="str">
        <f>'Tên thang 01-26'!E330</f>
        <v>គីន ធី</v>
      </c>
      <c r="D343" s="887" t="str">
        <f>'Tên thang 01-26'!F330</f>
        <v>KIN THY</v>
      </c>
      <c r="E343" s="888">
        <v>366</v>
      </c>
      <c r="F343" s="889">
        <f>'SAN LUONG'!AP339*0.44</f>
        <v>562.76</v>
      </c>
      <c r="G343" s="889">
        <f t="shared" si="78"/>
        <v>8.02</v>
      </c>
      <c r="H343" s="889">
        <f>'SAN LUONG'!AO339*0.44</f>
        <v>208.56</v>
      </c>
      <c r="I343" s="889">
        <f t="shared" si="79"/>
        <v>3.3</v>
      </c>
      <c r="J343" s="889">
        <f>'SAN LUONG'!AV339*0.44</f>
        <v>0</v>
      </c>
      <c r="K343" s="889">
        <f t="shared" si="83"/>
        <v>0</v>
      </c>
      <c r="L343" s="889"/>
      <c r="M343" s="881">
        <f>'CHAM CONG'!BC336</f>
        <v>15</v>
      </c>
      <c r="N343" s="889">
        <f t="shared" si="84"/>
        <v>7.51</v>
      </c>
      <c r="O343" s="889">
        <f t="shared" si="85"/>
        <v>0.47</v>
      </c>
      <c r="P343" s="890">
        <f>'CHAM CONG'!BO336</f>
        <v>28</v>
      </c>
      <c r="Q343" s="942">
        <f t="shared" si="86"/>
        <v>2.63</v>
      </c>
      <c r="R343" s="942">
        <f>'SAN LUONG'!DW339</f>
        <v>14.2</v>
      </c>
      <c r="S343" s="942">
        <f t="shared" si="80"/>
        <v>0.44</v>
      </c>
      <c r="T343" s="943">
        <f>'CHAM CONG'!BW336</f>
        <v>0</v>
      </c>
      <c r="U343" s="942">
        <f t="shared" si="87"/>
        <v>0</v>
      </c>
      <c r="V343" s="890">
        <f>'CHAM CONG'!BD336</f>
        <v>3</v>
      </c>
      <c r="W343" s="944">
        <f t="shared" si="81"/>
        <v>1.6</v>
      </c>
      <c r="X343" s="891">
        <f>'CHAM CONG'!BT336</f>
        <v>1</v>
      </c>
      <c r="Y343" s="881">
        <f t="shared" si="88"/>
        <v>1.1000000000000001</v>
      </c>
      <c r="Z343" s="892">
        <v>6.03</v>
      </c>
      <c r="AA343" s="942">
        <f t="shared" si="77"/>
        <v>1.7</v>
      </c>
      <c r="AB343" s="892">
        <v>6.03</v>
      </c>
      <c r="AC343" s="942">
        <f t="shared" si="89"/>
        <v>7.24</v>
      </c>
      <c r="AD343" s="892">
        <v>6.03</v>
      </c>
      <c r="AE343" s="942">
        <f t="shared" si="90"/>
        <v>4.3</v>
      </c>
      <c r="AF343" s="943" t="e">
        <f>#N/A</f>
        <v>#N/A</v>
      </c>
      <c r="AG343" s="893">
        <f t="shared" si="82"/>
        <v>38.31</v>
      </c>
      <c r="AH343" s="894"/>
      <c r="AI343" s="895">
        <v>28.24</v>
      </c>
      <c r="AJ343" s="791">
        <v>24.200000000000003</v>
      </c>
      <c r="AK343" s="896">
        <f t="shared" si="91"/>
        <v>4</v>
      </c>
      <c r="AL343" s="896"/>
      <c r="AS343" s="898"/>
    </row>
    <row r="344" spans="1:45" s="779" customFormat="1" ht="28.95" customHeight="1">
      <c r="A344" s="885">
        <v>328</v>
      </c>
      <c r="B344" s="886"/>
      <c r="C344" s="887" t="str">
        <f>'Tên thang 01-26'!E331</f>
        <v>ខ្វាន់ ឡាត់</v>
      </c>
      <c r="D344" s="887" t="str">
        <f>'Tên thang 01-26'!F331</f>
        <v>KHVAN LATH</v>
      </c>
      <c r="E344" s="888">
        <v>367</v>
      </c>
      <c r="F344" s="889">
        <f>'SAN LUONG'!AP340*0.44</f>
        <v>481.36</v>
      </c>
      <c r="G344" s="889">
        <f t="shared" si="78"/>
        <v>6.86</v>
      </c>
      <c r="H344" s="889">
        <f>'SAN LUONG'!AO340*0.44</f>
        <v>276.32</v>
      </c>
      <c r="I344" s="889">
        <f t="shared" si="79"/>
        <v>4.37</v>
      </c>
      <c r="J344" s="889">
        <f>'SAN LUONG'!AV340*0.44</f>
        <v>0</v>
      </c>
      <c r="K344" s="889">
        <f t="shared" si="83"/>
        <v>0</v>
      </c>
      <c r="L344" s="889"/>
      <c r="M344" s="881">
        <f>'CHAM CONG'!BC337</f>
        <v>15</v>
      </c>
      <c r="N344" s="889">
        <f t="shared" si="84"/>
        <v>7.51</v>
      </c>
      <c r="O344" s="889">
        <f t="shared" si="85"/>
        <v>0.47</v>
      </c>
      <c r="P344" s="890">
        <f>'CHAM CONG'!BO337</f>
        <v>29</v>
      </c>
      <c r="Q344" s="942">
        <f t="shared" si="86"/>
        <v>2.72</v>
      </c>
      <c r="R344" s="942">
        <f>'SAN LUONG'!DW340</f>
        <v>18.7</v>
      </c>
      <c r="S344" s="942">
        <f t="shared" si="80"/>
        <v>0.59</v>
      </c>
      <c r="T344" s="943">
        <f>'CHAM CONG'!BW337</f>
        <v>0</v>
      </c>
      <c r="U344" s="942">
        <f t="shared" si="87"/>
        <v>0</v>
      </c>
      <c r="V344" s="890">
        <f>'CHAM CONG'!BD337</f>
        <v>3</v>
      </c>
      <c r="W344" s="944">
        <f t="shared" si="81"/>
        <v>1.6</v>
      </c>
      <c r="X344" s="891">
        <f>'CHAM CONG'!BT337</f>
        <v>1</v>
      </c>
      <c r="Y344" s="881">
        <f t="shared" si="88"/>
        <v>1.1000000000000001</v>
      </c>
      <c r="Z344" s="892">
        <v>6.03</v>
      </c>
      <c r="AA344" s="942">
        <f t="shared" si="77"/>
        <v>1.7</v>
      </c>
      <c r="AB344" s="892">
        <v>6.03</v>
      </c>
      <c r="AC344" s="942">
        <f t="shared" si="89"/>
        <v>7.24</v>
      </c>
      <c r="AD344" s="892">
        <v>6.03</v>
      </c>
      <c r="AE344" s="942">
        <f t="shared" si="90"/>
        <v>4.3</v>
      </c>
      <c r="AF344" s="943" t="e">
        <f>#N/A</f>
        <v>#N/A</v>
      </c>
      <c r="AG344" s="893">
        <f t="shared" si="82"/>
        <v>38.46</v>
      </c>
      <c r="AH344" s="894"/>
      <c r="AI344" s="895">
        <v>31.88</v>
      </c>
      <c r="AJ344" s="791">
        <v>28.46</v>
      </c>
      <c r="AK344" s="896">
        <f t="shared" si="91"/>
        <v>3</v>
      </c>
      <c r="AL344" s="896"/>
      <c r="AS344" s="898"/>
    </row>
    <row r="345" spans="1:45" s="779" customFormat="1" ht="28.95" customHeight="1">
      <c r="A345" s="885">
        <v>329</v>
      </c>
      <c r="B345" s="886"/>
      <c r="C345" s="887" t="str">
        <f>'Tên thang 01-26'!E332</f>
        <v>ងី វីន</v>
      </c>
      <c r="D345" s="887" t="str">
        <f>'Tên thang 01-26'!F332</f>
        <v>NGY VIN</v>
      </c>
      <c r="E345" s="888">
        <v>368</v>
      </c>
      <c r="F345" s="889">
        <f>'SAN LUONG'!AP341*0.44</f>
        <v>437.36</v>
      </c>
      <c r="G345" s="889">
        <f t="shared" si="78"/>
        <v>6.23</v>
      </c>
      <c r="H345" s="889">
        <f>'SAN LUONG'!AO341*0.44</f>
        <v>230.12</v>
      </c>
      <c r="I345" s="889">
        <f t="shared" si="79"/>
        <v>3.64</v>
      </c>
      <c r="J345" s="889">
        <f>'SAN LUONG'!AV341*0.44</f>
        <v>0</v>
      </c>
      <c r="K345" s="889">
        <f t="shared" si="83"/>
        <v>0</v>
      </c>
      <c r="L345" s="889"/>
      <c r="M345" s="881">
        <f>'CHAM CONG'!BC338</f>
        <v>15</v>
      </c>
      <c r="N345" s="889">
        <f t="shared" si="84"/>
        <v>7.51</v>
      </c>
      <c r="O345" s="889">
        <f t="shared" si="85"/>
        <v>0.47</v>
      </c>
      <c r="P345" s="890">
        <f>'CHAM CONG'!BO338</f>
        <v>29</v>
      </c>
      <c r="Q345" s="942">
        <f t="shared" si="86"/>
        <v>2.72</v>
      </c>
      <c r="R345" s="942">
        <f>'SAN LUONG'!DW341</f>
        <v>17.600000000000001</v>
      </c>
      <c r="S345" s="942">
        <f t="shared" si="80"/>
        <v>0.55000000000000004</v>
      </c>
      <c r="T345" s="943">
        <f>'CHAM CONG'!BW338</f>
        <v>0</v>
      </c>
      <c r="U345" s="942">
        <f t="shared" si="87"/>
        <v>0</v>
      </c>
      <c r="V345" s="890">
        <f>'CHAM CONG'!BD338</f>
        <v>4</v>
      </c>
      <c r="W345" s="944">
        <f t="shared" si="81"/>
        <v>2.13</v>
      </c>
      <c r="X345" s="891">
        <f>'CHAM CONG'!BT338</f>
        <v>1</v>
      </c>
      <c r="Y345" s="881">
        <f t="shared" si="88"/>
        <v>1.1000000000000001</v>
      </c>
      <c r="Z345" s="892">
        <v>6.03</v>
      </c>
      <c r="AA345" s="942">
        <f t="shared" si="77"/>
        <v>1.7</v>
      </c>
      <c r="AB345" s="892">
        <v>6.03</v>
      </c>
      <c r="AC345" s="942">
        <f t="shared" si="89"/>
        <v>7.24</v>
      </c>
      <c r="AD345" s="892">
        <v>6.03</v>
      </c>
      <c r="AE345" s="942">
        <f t="shared" si="90"/>
        <v>4.3</v>
      </c>
      <c r="AF345" s="943" t="e">
        <f>#N/A</f>
        <v>#N/A</v>
      </c>
      <c r="AG345" s="893">
        <f t="shared" si="82"/>
        <v>37.590000000000003</v>
      </c>
      <c r="AH345" s="894"/>
      <c r="AI345" s="895">
        <v>27.61</v>
      </c>
      <c r="AJ345" s="791">
        <v>24.189999999999998</v>
      </c>
      <c r="AK345" s="896">
        <f t="shared" si="91"/>
        <v>3</v>
      </c>
      <c r="AL345" s="896"/>
      <c r="AS345" s="898"/>
    </row>
    <row r="346" spans="1:45" s="779" customFormat="1" ht="28.95" customHeight="1">
      <c r="A346" s="885">
        <v>330</v>
      </c>
      <c r="B346" s="886"/>
      <c r="C346" s="887" t="str">
        <f>'Tên thang 01-26'!E333</f>
        <v>ឆេង ផល្លា</v>
      </c>
      <c r="D346" s="887" t="str">
        <f>'Tên thang 01-26'!F333</f>
        <v>CHHENG PHALLA</v>
      </c>
      <c r="E346" s="888">
        <v>369</v>
      </c>
      <c r="F346" s="889">
        <f>'SAN LUONG'!AP342*0.44</f>
        <v>469.92</v>
      </c>
      <c r="G346" s="889">
        <f t="shared" si="78"/>
        <v>6.69</v>
      </c>
      <c r="H346" s="889">
        <f>'SAN LUONG'!AO342*0.44</f>
        <v>292.60000000000002</v>
      </c>
      <c r="I346" s="889">
        <f t="shared" si="79"/>
        <v>4.63</v>
      </c>
      <c r="J346" s="889">
        <f>'SAN LUONG'!AV342*0.44</f>
        <v>0</v>
      </c>
      <c r="K346" s="889">
        <f t="shared" si="83"/>
        <v>0</v>
      </c>
      <c r="L346" s="889"/>
      <c r="M346" s="881">
        <f>'CHAM CONG'!BC339</f>
        <v>15</v>
      </c>
      <c r="N346" s="889">
        <f t="shared" si="84"/>
        <v>7.51</v>
      </c>
      <c r="O346" s="889">
        <f t="shared" si="85"/>
        <v>0.47</v>
      </c>
      <c r="P346" s="890">
        <f>'CHAM CONG'!BO339</f>
        <v>28</v>
      </c>
      <c r="Q346" s="942">
        <f t="shared" si="86"/>
        <v>2.63</v>
      </c>
      <c r="R346" s="942">
        <f>'SAN LUONG'!DW342</f>
        <v>6.2</v>
      </c>
      <c r="S346" s="942">
        <f t="shared" si="80"/>
        <v>0.19</v>
      </c>
      <c r="T346" s="943">
        <f>'CHAM CONG'!BW339</f>
        <v>0</v>
      </c>
      <c r="U346" s="942">
        <f t="shared" si="87"/>
        <v>0</v>
      </c>
      <c r="V346" s="890">
        <f>'CHAM CONG'!BD339</f>
        <v>3</v>
      </c>
      <c r="W346" s="944">
        <f t="shared" si="81"/>
        <v>1.6</v>
      </c>
      <c r="X346" s="891">
        <f>'CHAM CONG'!BT339</f>
        <v>1</v>
      </c>
      <c r="Y346" s="881">
        <f t="shared" si="88"/>
        <v>1.1000000000000001</v>
      </c>
      <c r="Z346" s="892">
        <v>6.03</v>
      </c>
      <c r="AA346" s="942">
        <f t="shared" si="77"/>
        <v>1.7</v>
      </c>
      <c r="AB346" s="892">
        <v>6.03</v>
      </c>
      <c r="AC346" s="942">
        <f t="shared" si="89"/>
        <v>7.24</v>
      </c>
      <c r="AD346" s="892">
        <v>6.03</v>
      </c>
      <c r="AE346" s="942">
        <f t="shared" si="90"/>
        <v>4.3</v>
      </c>
      <c r="AF346" s="943" t="e">
        <f>#N/A</f>
        <v>#N/A</v>
      </c>
      <c r="AG346" s="893">
        <f t="shared" si="82"/>
        <v>38.06</v>
      </c>
      <c r="AH346" s="894"/>
      <c r="AI346" s="895">
        <v>25.46</v>
      </c>
      <c r="AJ346" s="791">
        <v>22.05</v>
      </c>
      <c r="AK346" s="896">
        <f t="shared" si="91"/>
        <v>3</v>
      </c>
      <c r="AL346" s="896"/>
      <c r="AS346" s="898"/>
    </row>
    <row r="347" spans="1:45" s="779" customFormat="1" ht="28.95" customHeight="1">
      <c r="A347" s="885">
        <v>331</v>
      </c>
      <c r="B347" s="886"/>
      <c r="C347" s="887" t="str">
        <f>'Tên thang 01-26'!E334</f>
        <v>ហោន វាសនា</v>
      </c>
      <c r="D347" s="887" t="str">
        <f>'Tên thang 01-26'!F334</f>
        <v>HORN VEASNA</v>
      </c>
      <c r="E347" s="888">
        <v>370</v>
      </c>
      <c r="F347" s="889">
        <f>'SAN LUONG'!AP343*0.44</f>
        <v>395.56</v>
      </c>
      <c r="G347" s="889">
        <f t="shared" si="78"/>
        <v>5.63</v>
      </c>
      <c r="H347" s="889">
        <f>'SAN LUONG'!AO343*0.44</f>
        <v>293.04000000000002</v>
      </c>
      <c r="I347" s="889">
        <f t="shared" si="79"/>
        <v>4.63</v>
      </c>
      <c r="J347" s="889">
        <f>'SAN LUONG'!AV343*0.44</f>
        <v>0</v>
      </c>
      <c r="K347" s="889">
        <f t="shared" si="83"/>
        <v>0</v>
      </c>
      <c r="L347" s="889"/>
      <c r="M347" s="881">
        <f>'CHAM CONG'!BC340</f>
        <v>15</v>
      </c>
      <c r="N347" s="889">
        <f t="shared" si="84"/>
        <v>7.51</v>
      </c>
      <c r="O347" s="889">
        <f t="shared" si="85"/>
        <v>0.47</v>
      </c>
      <c r="P347" s="890">
        <f>'CHAM CONG'!BO340</f>
        <v>28</v>
      </c>
      <c r="Q347" s="942">
        <f t="shared" si="86"/>
        <v>2.63</v>
      </c>
      <c r="R347" s="942">
        <f>'SAN LUONG'!DW343</f>
        <v>7.4</v>
      </c>
      <c r="S347" s="942">
        <f t="shared" si="80"/>
        <v>0.23</v>
      </c>
      <c r="T347" s="943">
        <f>'CHAM CONG'!BW340</f>
        <v>0</v>
      </c>
      <c r="U347" s="942">
        <f t="shared" si="87"/>
        <v>0</v>
      </c>
      <c r="V347" s="890">
        <f>'CHAM CONG'!BD340</f>
        <v>3</v>
      </c>
      <c r="W347" s="944">
        <f t="shared" si="81"/>
        <v>1.6</v>
      </c>
      <c r="X347" s="891">
        <f>'CHAM CONG'!BT340</f>
        <v>1</v>
      </c>
      <c r="Y347" s="881">
        <f t="shared" si="88"/>
        <v>1.1000000000000001</v>
      </c>
      <c r="Z347" s="892">
        <v>6.03</v>
      </c>
      <c r="AA347" s="942">
        <f t="shared" si="77"/>
        <v>1.7</v>
      </c>
      <c r="AB347" s="892">
        <v>6.03</v>
      </c>
      <c r="AC347" s="942">
        <f t="shared" si="89"/>
        <v>7.24</v>
      </c>
      <c r="AD347" s="892">
        <v>6.03</v>
      </c>
      <c r="AE347" s="942">
        <f t="shared" si="90"/>
        <v>4.3</v>
      </c>
      <c r="AF347" s="943" t="e">
        <f>#N/A</f>
        <v>#N/A</v>
      </c>
      <c r="AG347" s="893">
        <f t="shared" si="82"/>
        <v>37.04</v>
      </c>
      <c r="AH347" s="894"/>
      <c r="AI347" s="895">
        <v>26.36</v>
      </c>
      <c r="AJ347" s="791">
        <v>22.94</v>
      </c>
      <c r="AK347" s="896">
        <f t="shared" si="91"/>
        <v>3</v>
      </c>
      <c r="AL347" s="896"/>
      <c r="AS347" s="898"/>
    </row>
    <row r="348" spans="1:45" s="779" customFormat="1" ht="28.95" customHeight="1">
      <c r="A348" s="885">
        <v>332</v>
      </c>
      <c r="B348" s="886"/>
      <c r="C348" s="887" t="str">
        <f>'Tên thang 01-26'!E335</f>
        <v>ឡាម ហេង</v>
      </c>
      <c r="D348" s="887" t="str">
        <f>'Tên thang 01-26'!F335</f>
        <v>LAM HENG</v>
      </c>
      <c r="E348" s="888">
        <v>371</v>
      </c>
      <c r="F348" s="889">
        <f>'SAN LUONG'!AP344*0.44</f>
        <v>355.52</v>
      </c>
      <c r="G348" s="889">
        <f t="shared" si="78"/>
        <v>5.0599999999999996</v>
      </c>
      <c r="H348" s="889">
        <f>'SAN LUONG'!AO344*0.44</f>
        <v>171.6</v>
      </c>
      <c r="I348" s="889">
        <f t="shared" si="79"/>
        <v>2.71</v>
      </c>
      <c r="J348" s="889">
        <f>'SAN LUONG'!AV344*0.44</f>
        <v>0</v>
      </c>
      <c r="K348" s="889">
        <f t="shared" si="83"/>
        <v>0</v>
      </c>
      <c r="L348" s="889"/>
      <c r="M348" s="881">
        <f>'CHAM CONG'!BC341</f>
        <v>13</v>
      </c>
      <c r="N348" s="889">
        <f t="shared" si="84"/>
        <v>6.51</v>
      </c>
      <c r="O348" s="889">
        <f t="shared" si="85"/>
        <v>0.41</v>
      </c>
      <c r="P348" s="890">
        <f>'CHAM CONG'!BO341</f>
        <v>0</v>
      </c>
      <c r="Q348" s="942">
        <f t="shared" si="86"/>
        <v>0</v>
      </c>
      <c r="R348" s="942">
        <f>'SAN LUONG'!DW344</f>
        <v>9.8000000000000007</v>
      </c>
      <c r="S348" s="942">
        <f t="shared" si="80"/>
        <v>0.31</v>
      </c>
      <c r="T348" s="943">
        <f>'CHAM CONG'!BW341</f>
        <v>0</v>
      </c>
      <c r="U348" s="942">
        <f t="shared" si="87"/>
        <v>0</v>
      </c>
      <c r="V348" s="890">
        <f>'CHAM CONG'!BD341</f>
        <v>2</v>
      </c>
      <c r="W348" s="944">
        <f t="shared" si="81"/>
        <v>1.06</v>
      </c>
      <c r="X348" s="891">
        <f>'CHAM CONG'!BT341</f>
        <v>0</v>
      </c>
      <c r="Y348" s="881">
        <f t="shared" si="88"/>
        <v>0</v>
      </c>
      <c r="Z348" s="892">
        <v>6.03</v>
      </c>
      <c r="AA348" s="942">
        <f t="shared" ref="AA348:AA364" si="92">ROUND(Z348*$Z$15,2)</f>
        <v>1.7</v>
      </c>
      <c r="AB348" s="892">
        <v>6.03</v>
      </c>
      <c r="AC348" s="942">
        <f t="shared" si="89"/>
        <v>7.24</v>
      </c>
      <c r="AD348" s="892">
        <v>6.03</v>
      </c>
      <c r="AE348" s="942">
        <f t="shared" si="90"/>
        <v>4.3</v>
      </c>
      <c r="AF348" s="943" t="e">
        <f>#N/A</f>
        <v>#N/A</v>
      </c>
      <c r="AG348" s="893">
        <f t="shared" si="82"/>
        <v>29.3</v>
      </c>
      <c r="AH348" s="894"/>
      <c r="AI348" s="895">
        <v>26.16</v>
      </c>
      <c r="AJ348" s="791">
        <v>22.740000000000002</v>
      </c>
      <c r="AK348" s="896">
        <f t="shared" si="91"/>
        <v>3</v>
      </c>
      <c r="AL348" s="896"/>
      <c r="AS348" s="898"/>
    </row>
    <row r="349" spans="1:45" s="779" customFormat="1" ht="28.95" customHeight="1">
      <c r="A349" s="885">
        <v>333</v>
      </c>
      <c r="B349" s="886"/>
      <c r="C349" s="887" t="str">
        <f>'Tên thang 01-26'!E336</f>
        <v>សឿន ចំរើន</v>
      </c>
      <c r="D349" s="887" t="str">
        <f>'Tên thang 01-26'!F336</f>
        <v>SOEUN CHAMRAEUN</v>
      </c>
      <c r="E349" s="888">
        <v>372</v>
      </c>
      <c r="F349" s="889">
        <f>'SAN LUONG'!AP345*0.44</f>
        <v>391.6</v>
      </c>
      <c r="G349" s="889">
        <f t="shared" si="78"/>
        <v>5.58</v>
      </c>
      <c r="H349" s="889">
        <f>'SAN LUONG'!AO345*0.44</f>
        <v>166.76</v>
      </c>
      <c r="I349" s="889">
        <f t="shared" si="79"/>
        <v>2.64</v>
      </c>
      <c r="J349" s="889">
        <f>'SAN LUONG'!AV345*0.44</f>
        <v>0</v>
      </c>
      <c r="K349" s="889">
        <f t="shared" si="83"/>
        <v>0</v>
      </c>
      <c r="L349" s="889"/>
      <c r="M349" s="881">
        <f>'CHAM CONG'!BC342</f>
        <v>15</v>
      </c>
      <c r="N349" s="889">
        <f t="shared" si="84"/>
        <v>7.51</v>
      </c>
      <c r="O349" s="889">
        <f t="shared" si="85"/>
        <v>0.47</v>
      </c>
      <c r="P349" s="890">
        <f>'CHAM CONG'!BO342</f>
        <v>28</v>
      </c>
      <c r="Q349" s="942">
        <f t="shared" si="86"/>
        <v>2.63</v>
      </c>
      <c r="R349" s="942">
        <f>'SAN LUONG'!DW345</f>
        <v>16.2</v>
      </c>
      <c r="S349" s="942">
        <f t="shared" si="80"/>
        <v>0.51</v>
      </c>
      <c r="T349" s="943">
        <f>'CHAM CONG'!BW342</f>
        <v>0</v>
      </c>
      <c r="U349" s="942">
        <f t="shared" si="87"/>
        <v>0</v>
      </c>
      <c r="V349" s="890">
        <f>'CHAM CONG'!BD342</f>
        <v>4</v>
      </c>
      <c r="W349" s="944">
        <f t="shared" si="81"/>
        <v>2.13</v>
      </c>
      <c r="X349" s="891">
        <f>'CHAM CONG'!BT342</f>
        <v>1</v>
      </c>
      <c r="Y349" s="881">
        <f t="shared" si="88"/>
        <v>1.1000000000000001</v>
      </c>
      <c r="Z349" s="892">
        <v>6.03</v>
      </c>
      <c r="AA349" s="942">
        <f t="shared" si="92"/>
        <v>1.7</v>
      </c>
      <c r="AB349" s="892">
        <v>6.03</v>
      </c>
      <c r="AC349" s="942">
        <f t="shared" si="89"/>
        <v>7.24</v>
      </c>
      <c r="AD349" s="892">
        <v>6.03</v>
      </c>
      <c r="AE349" s="942">
        <f t="shared" si="90"/>
        <v>4.3</v>
      </c>
      <c r="AF349" s="943" t="e">
        <f>#N/A</f>
        <v>#N/A</v>
      </c>
      <c r="AG349" s="893">
        <f t="shared" si="82"/>
        <v>35.81</v>
      </c>
      <c r="AH349" s="894"/>
      <c r="AI349" s="895">
        <v>30.77</v>
      </c>
      <c r="AJ349" s="791">
        <v>26.720000000000002</v>
      </c>
      <c r="AK349" s="896">
        <f t="shared" si="91"/>
        <v>4</v>
      </c>
      <c r="AL349" s="896"/>
      <c r="AS349" s="898"/>
    </row>
    <row r="350" spans="1:45" s="779" customFormat="1" ht="28.95" customHeight="1">
      <c r="A350" s="885">
        <v>334</v>
      </c>
      <c r="B350" s="886"/>
      <c r="C350" s="887" t="str">
        <f>'Tên thang 01-26'!E337</f>
        <v>ខា ខន</v>
      </c>
      <c r="D350" s="887" t="str">
        <f>'Tên thang 01-26'!F337</f>
        <v>KHA KHORN</v>
      </c>
      <c r="E350" s="888">
        <v>373</v>
      </c>
      <c r="F350" s="889">
        <f>'SAN LUONG'!AP346*0.44</f>
        <v>350.68</v>
      </c>
      <c r="G350" s="889">
        <f t="shared" si="78"/>
        <v>4.99</v>
      </c>
      <c r="H350" s="889">
        <f>'SAN LUONG'!AO346*0.44</f>
        <v>197.56</v>
      </c>
      <c r="I350" s="889">
        <f t="shared" si="79"/>
        <v>3.12</v>
      </c>
      <c r="J350" s="889">
        <f>'SAN LUONG'!AV346*0.44</f>
        <v>0</v>
      </c>
      <c r="K350" s="889">
        <f t="shared" si="83"/>
        <v>0</v>
      </c>
      <c r="L350" s="889"/>
      <c r="M350" s="881">
        <f>'CHAM CONG'!BC343</f>
        <v>14</v>
      </c>
      <c r="N350" s="889">
        <f t="shared" si="84"/>
        <v>7.01</v>
      </c>
      <c r="O350" s="889">
        <f t="shared" si="85"/>
        <v>0.44</v>
      </c>
      <c r="P350" s="890">
        <f>'CHAM CONG'!BO343</f>
        <v>26</v>
      </c>
      <c r="Q350" s="942">
        <f t="shared" si="86"/>
        <v>2.44</v>
      </c>
      <c r="R350" s="942">
        <f>'SAN LUONG'!DW346</f>
        <v>9.5</v>
      </c>
      <c r="S350" s="942">
        <f t="shared" si="80"/>
        <v>0.3</v>
      </c>
      <c r="T350" s="943">
        <f>'CHAM CONG'!BW343</f>
        <v>0</v>
      </c>
      <c r="U350" s="942">
        <f t="shared" si="87"/>
        <v>0</v>
      </c>
      <c r="V350" s="890">
        <f>'CHAM CONG'!BD343</f>
        <v>4</v>
      </c>
      <c r="W350" s="944">
        <f t="shared" si="81"/>
        <v>2.13</v>
      </c>
      <c r="X350" s="891">
        <f>'CHAM CONG'!BT343</f>
        <v>1</v>
      </c>
      <c r="Y350" s="881">
        <f t="shared" si="88"/>
        <v>1.1000000000000001</v>
      </c>
      <c r="Z350" s="892">
        <v>6.03</v>
      </c>
      <c r="AA350" s="942">
        <f t="shared" si="92"/>
        <v>1.7</v>
      </c>
      <c r="AB350" s="892">
        <v>6.03</v>
      </c>
      <c r="AC350" s="942">
        <f t="shared" si="89"/>
        <v>7.24</v>
      </c>
      <c r="AD350" s="892">
        <v>6.03</v>
      </c>
      <c r="AE350" s="942">
        <f t="shared" si="90"/>
        <v>4.3</v>
      </c>
      <c r="AF350" s="943" t="e">
        <f>#N/A</f>
        <v>#N/A</v>
      </c>
      <c r="AG350" s="893">
        <f t="shared" si="82"/>
        <v>34.769999999999996</v>
      </c>
      <c r="AH350" s="894"/>
      <c r="AI350" s="895">
        <v>27.94</v>
      </c>
      <c r="AJ350" s="791">
        <v>24.51</v>
      </c>
      <c r="AK350" s="896">
        <f t="shared" si="91"/>
        <v>3</v>
      </c>
      <c r="AL350" s="896"/>
      <c r="AS350" s="898"/>
    </row>
    <row r="351" spans="1:45" s="779" customFormat="1" ht="28.95" customHeight="1">
      <c r="A351" s="885">
        <v>335</v>
      </c>
      <c r="B351" s="886"/>
      <c r="C351" s="887" t="str">
        <f>'Tên thang 01-26'!E338</f>
        <v>ជុំ ជាតិ</v>
      </c>
      <c r="D351" s="887" t="str">
        <f>'Tên thang 01-26'!F338</f>
        <v>CHUM CHEAT</v>
      </c>
      <c r="E351" s="888">
        <v>374</v>
      </c>
      <c r="F351" s="889">
        <f>'SAN LUONG'!AP347*0.44</f>
        <v>428.56</v>
      </c>
      <c r="G351" s="889">
        <f t="shared" si="78"/>
        <v>6.1</v>
      </c>
      <c r="H351" s="889">
        <f>'SAN LUONG'!AO347*0.44</f>
        <v>275.44</v>
      </c>
      <c r="I351" s="889">
        <f t="shared" si="79"/>
        <v>4.3499999999999996</v>
      </c>
      <c r="J351" s="889">
        <f>'SAN LUONG'!AV347*0.44</f>
        <v>0</v>
      </c>
      <c r="K351" s="889">
        <f t="shared" si="83"/>
        <v>0</v>
      </c>
      <c r="L351" s="889"/>
      <c r="M351" s="881">
        <f>'CHAM CONG'!BC344</f>
        <v>14</v>
      </c>
      <c r="N351" s="889">
        <f t="shared" si="84"/>
        <v>7.01</v>
      </c>
      <c r="O351" s="889">
        <f t="shared" si="85"/>
        <v>0.44</v>
      </c>
      <c r="P351" s="890">
        <f>'CHAM CONG'!BO344</f>
        <v>27</v>
      </c>
      <c r="Q351" s="942">
        <f t="shared" si="86"/>
        <v>2.54</v>
      </c>
      <c r="R351" s="942">
        <f>'SAN LUONG'!DW347</f>
        <v>4.9000000000000004</v>
      </c>
      <c r="S351" s="942">
        <f t="shared" si="80"/>
        <v>0.15</v>
      </c>
      <c r="T351" s="943">
        <f>'CHAM CONG'!BW344</f>
        <v>0</v>
      </c>
      <c r="U351" s="942">
        <f t="shared" si="87"/>
        <v>0</v>
      </c>
      <c r="V351" s="890">
        <f>'CHAM CONG'!BD344</f>
        <v>5</v>
      </c>
      <c r="W351" s="944">
        <f t="shared" si="81"/>
        <v>2.66</v>
      </c>
      <c r="X351" s="891">
        <f>'CHAM CONG'!BT344</f>
        <v>1</v>
      </c>
      <c r="Y351" s="881">
        <f t="shared" si="88"/>
        <v>1.1000000000000001</v>
      </c>
      <c r="Z351" s="892">
        <v>6.03</v>
      </c>
      <c r="AA351" s="942">
        <f t="shared" si="92"/>
        <v>1.7</v>
      </c>
      <c r="AB351" s="892">
        <v>6.03</v>
      </c>
      <c r="AC351" s="942">
        <f t="shared" si="89"/>
        <v>7.24</v>
      </c>
      <c r="AD351" s="892">
        <v>6.03</v>
      </c>
      <c r="AE351" s="942">
        <f t="shared" si="90"/>
        <v>4.3</v>
      </c>
      <c r="AF351" s="943" t="e">
        <f>#N/A</f>
        <v>#N/A</v>
      </c>
      <c r="AG351" s="893">
        <f t="shared" si="82"/>
        <v>37.589999999999996</v>
      </c>
      <c r="AH351" s="894"/>
      <c r="AI351" s="895">
        <v>26.83</v>
      </c>
      <c r="AJ351" s="791">
        <v>24.03</v>
      </c>
      <c r="AK351" s="896">
        <f t="shared" si="91"/>
        <v>3</v>
      </c>
      <c r="AL351" s="896"/>
      <c r="AS351" s="898"/>
    </row>
    <row r="352" spans="1:45" s="779" customFormat="1" ht="28.95" customHeight="1">
      <c r="A352" s="885">
        <v>336</v>
      </c>
      <c r="B352" s="886"/>
      <c r="C352" s="887" t="str">
        <f>'Tên thang 01-26'!E339</f>
        <v>គឿន ភាក់</v>
      </c>
      <c r="D352" s="887" t="str">
        <f>'Tên thang 01-26'!F339</f>
        <v>KOEUN PHEAK</v>
      </c>
      <c r="E352" s="888">
        <v>375</v>
      </c>
      <c r="F352" s="889">
        <f>'SAN LUONG'!AP348*0.44</f>
        <v>453.2</v>
      </c>
      <c r="G352" s="889">
        <f t="shared" si="78"/>
        <v>6.45</v>
      </c>
      <c r="H352" s="889">
        <f>'SAN LUONG'!AO348*0.44</f>
        <v>215.16</v>
      </c>
      <c r="I352" s="889">
        <f t="shared" si="79"/>
        <v>3.4</v>
      </c>
      <c r="J352" s="889">
        <f>'SAN LUONG'!AV348*0.44</f>
        <v>0</v>
      </c>
      <c r="K352" s="889">
        <f t="shared" si="83"/>
        <v>0</v>
      </c>
      <c r="L352" s="889"/>
      <c r="M352" s="881">
        <f>'CHAM CONG'!BC345</f>
        <v>15</v>
      </c>
      <c r="N352" s="889">
        <f t="shared" si="84"/>
        <v>7.51</v>
      </c>
      <c r="O352" s="889">
        <f t="shared" si="85"/>
        <v>0.47</v>
      </c>
      <c r="P352" s="890">
        <f>'CHAM CONG'!BO345</f>
        <v>28</v>
      </c>
      <c r="Q352" s="942">
        <f t="shared" si="86"/>
        <v>2.63</v>
      </c>
      <c r="R352" s="942">
        <f>'SAN LUONG'!DW348</f>
        <v>8.4</v>
      </c>
      <c r="S352" s="942">
        <f t="shared" si="80"/>
        <v>0.26</v>
      </c>
      <c r="T352" s="943">
        <f>'CHAM CONG'!BW345</f>
        <v>0</v>
      </c>
      <c r="U352" s="942">
        <f t="shared" si="87"/>
        <v>0</v>
      </c>
      <c r="V352" s="890">
        <f>'CHAM CONG'!BD345</f>
        <v>4</v>
      </c>
      <c r="W352" s="944">
        <f t="shared" si="81"/>
        <v>2.13</v>
      </c>
      <c r="X352" s="891">
        <f>'CHAM CONG'!BT345</f>
        <v>1</v>
      </c>
      <c r="Y352" s="881">
        <f t="shared" si="88"/>
        <v>1.1000000000000001</v>
      </c>
      <c r="Z352" s="892">
        <v>6.03</v>
      </c>
      <c r="AA352" s="942">
        <f t="shared" si="92"/>
        <v>1.7</v>
      </c>
      <c r="AB352" s="892">
        <v>6.03</v>
      </c>
      <c r="AC352" s="942">
        <f t="shared" si="89"/>
        <v>7.24</v>
      </c>
      <c r="AD352" s="892">
        <v>6.03</v>
      </c>
      <c r="AE352" s="942">
        <f t="shared" si="90"/>
        <v>4.3</v>
      </c>
      <c r="AF352" s="943" t="e">
        <f>#N/A</f>
        <v>#N/A</v>
      </c>
      <c r="AG352" s="893">
        <f t="shared" si="82"/>
        <v>37.19</v>
      </c>
      <c r="AH352" s="894"/>
      <c r="AI352" s="895">
        <v>24.03</v>
      </c>
      <c r="AJ352" s="791">
        <v>20.62</v>
      </c>
      <c r="AK352" s="896">
        <f t="shared" si="91"/>
        <v>3</v>
      </c>
      <c r="AL352" s="896"/>
      <c r="AS352" s="898"/>
    </row>
    <row r="353" spans="1:45" s="779" customFormat="1" ht="28.95" customHeight="1">
      <c r="A353" s="885">
        <v>337</v>
      </c>
      <c r="B353" s="886"/>
      <c r="C353" s="887" t="str">
        <f>'Tên thang 01-26'!E340</f>
        <v>ផាក់ វ៉ង់</v>
      </c>
      <c r="D353" s="887" t="str">
        <f>'Tên thang 01-26'!F340</f>
        <v>PHAK VORNG</v>
      </c>
      <c r="E353" s="888">
        <v>376</v>
      </c>
      <c r="F353" s="889">
        <f>'SAN LUONG'!AP349*0.44</f>
        <v>337.92</v>
      </c>
      <c r="G353" s="889">
        <f t="shared" si="78"/>
        <v>4.8099999999999996</v>
      </c>
      <c r="H353" s="889">
        <f>'SAN LUONG'!AO349*0.44</f>
        <v>118.8</v>
      </c>
      <c r="I353" s="889">
        <f t="shared" si="79"/>
        <v>1.88</v>
      </c>
      <c r="J353" s="889">
        <f>'SAN LUONG'!AV349*0.44</f>
        <v>0</v>
      </c>
      <c r="K353" s="889">
        <f t="shared" si="83"/>
        <v>0</v>
      </c>
      <c r="L353" s="889"/>
      <c r="M353" s="881">
        <f>'CHAM CONG'!BC346</f>
        <v>15</v>
      </c>
      <c r="N353" s="889">
        <f t="shared" si="84"/>
        <v>7.51</v>
      </c>
      <c r="O353" s="889">
        <f t="shared" si="85"/>
        <v>0.47</v>
      </c>
      <c r="P353" s="890">
        <f>'CHAM CONG'!BO346</f>
        <v>0</v>
      </c>
      <c r="Q353" s="942">
        <f t="shared" si="86"/>
        <v>0</v>
      </c>
      <c r="R353" s="942">
        <f>'SAN LUONG'!DW349</f>
        <v>6.1</v>
      </c>
      <c r="S353" s="942">
        <f t="shared" si="80"/>
        <v>0.19</v>
      </c>
      <c r="T353" s="943">
        <f>'CHAM CONG'!BW346</f>
        <v>0</v>
      </c>
      <c r="U353" s="942">
        <f t="shared" si="87"/>
        <v>0</v>
      </c>
      <c r="V353" s="890">
        <f>'CHAM CONG'!BD346</f>
        <v>1</v>
      </c>
      <c r="W353" s="944">
        <f t="shared" si="81"/>
        <v>0.53</v>
      </c>
      <c r="X353" s="891">
        <f>'CHAM CONG'!BT346</f>
        <v>0</v>
      </c>
      <c r="Y353" s="881">
        <f t="shared" si="88"/>
        <v>0</v>
      </c>
      <c r="Z353" s="892">
        <v>6.03</v>
      </c>
      <c r="AA353" s="942">
        <f t="shared" si="92"/>
        <v>1.7</v>
      </c>
      <c r="AB353" s="892">
        <v>6.03</v>
      </c>
      <c r="AC353" s="942">
        <f t="shared" si="89"/>
        <v>7.24</v>
      </c>
      <c r="AD353" s="892">
        <v>6.03</v>
      </c>
      <c r="AE353" s="942">
        <f t="shared" si="90"/>
        <v>4.3</v>
      </c>
      <c r="AF353" s="943" t="e">
        <f>#N/A</f>
        <v>#N/A</v>
      </c>
      <c r="AG353" s="893">
        <f t="shared" si="82"/>
        <v>28.629999999999995</v>
      </c>
      <c r="AH353" s="894"/>
      <c r="AI353" s="895">
        <v>20.39</v>
      </c>
      <c r="AJ353" s="791">
        <v>16.350000000000001</v>
      </c>
      <c r="AK353" s="896">
        <f t="shared" si="91"/>
        <v>4</v>
      </c>
      <c r="AL353" s="896"/>
      <c r="AS353" s="898"/>
    </row>
    <row r="354" spans="1:45" s="779" customFormat="1" ht="28.95" customHeight="1">
      <c r="A354" s="885">
        <v>338</v>
      </c>
      <c r="B354" s="886"/>
      <c r="C354" s="887" t="str">
        <f>'Tên thang 01-26'!E341</f>
        <v>ហោន លីដា</v>
      </c>
      <c r="D354" s="887" t="str">
        <f>'Tên thang 01-26'!F341</f>
        <v>HORN LIDA</v>
      </c>
      <c r="E354" s="888">
        <v>377</v>
      </c>
      <c r="F354" s="889">
        <f>'SAN LUONG'!AP350*0.44</f>
        <v>474.32</v>
      </c>
      <c r="G354" s="889">
        <f t="shared" si="78"/>
        <v>6.76</v>
      </c>
      <c r="H354" s="889">
        <f>'SAN LUONG'!AO350*0.44</f>
        <v>195.36</v>
      </c>
      <c r="I354" s="889">
        <f t="shared" si="79"/>
        <v>3.09</v>
      </c>
      <c r="J354" s="889">
        <f>'SAN LUONG'!AV350*0.44</f>
        <v>0</v>
      </c>
      <c r="K354" s="889">
        <f t="shared" si="83"/>
        <v>0</v>
      </c>
      <c r="L354" s="889"/>
      <c r="M354" s="881">
        <f>'CHAM CONG'!BC347</f>
        <v>14</v>
      </c>
      <c r="N354" s="889">
        <f t="shared" si="84"/>
        <v>7.01</v>
      </c>
      <c r="O354" s="889">
        <f t="shared" si="85"/>
        <v>0.44</v>
      </c>
      <c r="P354" s="890">
        <f>'CHAM CONG'!BO347</f>
        <v>26</v>
      </c>
      <c r="Q354" s="942">
        <f t="shared" si="86"/>
        <v>2.44</v>
      </c>
      <c r="R354" s="942">
        <f>'SAN LUONG'!DW350</f>
        <v>4.2</v>
      </c>
      <c r="S354" s="942">
        <f t="shared" si="80"/>
        <v>0.13</v>
      </c>
      <c r="T354" s="943">
        <f>'CHAM CONG'!BW347</f>
        <v>0</v>
      </c>
      <c r="U354" s="942">
        <f t="shared" si="87"/>
        <v>0</v>
      </c>
      <c r="V354" s="890">
        <f>'CHAM CONG'!BD347</f>
        <v>3</v>
      </c>
      <c r="W354" s="944">
        <f t="shared" si="81"/>
        <v>1.6</v>
      </c>
      <c r="X354" s="891">
        <f>'CHAM CONG'!BT347</f>
        <v>1</v>
      </c>
      <c r="Y354" s="881">
        <f t="shared" si="88"/>
        <v>1.1000000000000001</v>
      </c>
      <c r="Z354" s="892">
        <v>6.03</v>
      </c>
      <c r="AA354" s="942">
        <f t="shared" si="92"/>
        <v>1.7</v>
      </c>
      <c r="AB354" s="892">
        <v>6.03</v>
      </c>
      <c r="AC354" s="942">
        <f t="shared" si="89"/>
        <v>7.24</v>
      </c>
      <c r="AD354" s="892">
        <v>6.03</v>
      </c>
      <c r="AE354" s="942">
        <f t="shared" si="90"/>
        <v>4.3</v>
      </c>
      <c r="AF354" s="943" t="e">
        <f>#N/A</f>
        <v>#N/A</v>
      </c>
      <c r="AG354" s="893">
        <f t="shared" si="82"/>
        <v>35.81</v>
      </c>
      <c r="AH354" s="894"/>
      <c r="AI354" s="895">
        <v>29.59</v>
      </c>
      <c r="AJ354" s="791">
        <v>26.16</v>
      </c>
      <c r="AK354" s="896">
        <f t="shared" si="91"/>
        <v>3</v>
      </c>
      <c r="AL354" s="896"/>
      <c r="AS354" s="898"/>
    </row>
    <row r="355" spans="1:45" s="779" customFormat="1" ht="28.95" customHeight="1">
      <c r="A355" s="885">
        <v>339</v>
      </c>
      <c r="B355" s="886"/>
      <c r="C355" s="887" t="str">
        <f>'Tên thang 01-26'!E342</f>
        <v>ផល អេ</v>
      </c>
      <c r="D355" s="887" t="str">
        <f>'Tên thang 01-26'!F342</f>
        <v>PHAL E</v>
      </c>
      <c r="E355" s="888">
        <v>378</v>
      </c>
      <c r="F355" s="889">
        <f>'SAN LUONG'!AP351*0.44</f>
        <v>410.52</v>
      </c>
      <c r="G355" s="889">
        <f t="shared" si="78"/>
        <v>5.85</v>
      </c>
      <c r="H355" s="889">
        <f>'SAN LUONG'!AO351*0.44</f>
        <v>257.39999999999998</v>
      </c>
      <c r="I355" s="889">
        <f t="shared" si="79"/>
        <v>4.07</v>
      </c>
      <c r="J355" s="889">
        <f>'SAN LUONG'!AV351*0.44</f>
        <v>0</v>
      </c>
      <c r="K355" s="889">
        <f t="shared" si="83"/>
        <v>0</v>
      </c>
      <c r="L355" s="889"/>
      <c r="M355" s="881">
        <f>'CHAM CONG'!BC348</f>
        <v>15</v>
      </c>
      <c r="N355" s="889">
        <f t="shared" si="84"/>
        <v>7.51</v>
      </c>
      <c r="O355" s="889">
        <f t="shared" si="85"/>
        <v>0.47</v>
      </c>
      <c r="P355" s="890">
        <f>'CHAM CONG'!BO348</f>
        <v>29</v>
      </c>
      <c r="Q355" s="942">
        <f t="shared" si="86"/>
        <v>2.72</v>
      </c>
      <c r="R355" s="942">
        <f>'SAN LUONG'!DW351</f>
        <v>9.8000000000000007</v>
      </c>
      <c r="S355" s="942">
        <f t="shared" si="80"/>
        <v>0.31</v>
      </c>
      <c r="T355" s="943">
        <f>'CHAM CONG'!BW348</f>
        <v>0</v>
      </c>
      <c r="U355" s="942">
        <f t="shared" si="87"/>
        <v>0</v>
      </c>
      <c r="V355" s="890">
        <f>'CHAM CONG'!BD348</f>
        <v>4</v>
      </c>
      <c r="W355" s="944">
        <f t="shared" si="81"/>
        <v>2.13</v>
      </c>
      <c r="X355" s="891">
        <f>'CHAM CONG'!BT348</f>
        <v>1</v>
      </c>
      <c r="Y355" s="881">
        <f t="shared" si="88"/>
        <v>1.1000000000000001</v>
      </c>
      <c r="Z355" s="892">
        <v>6.03</v>
      </c>
      <c r="AA355" s="942">
        <f t="shared" si="92"/>
        <v>1.7</v>
      </c>
      <c r="AB355" s="892">
        <v>6.03</v>
      </c>
      <c r="AC355" s="942">
        <f t="shared" si="89"/>
        <v>7.24</v>
      </c>
      <c r="AD355" s="892">
        <v>6.03</v>
      </c>
      <c r="AE355" s="942">
        <f t="shared" si="90"/>
        <v>4.3</v>
      </c>
      <c r="AF355" s="943" t="e">
        <f>#N/A</f>
        <v>#N/A</v>
      </c>
      <c r="AG355" s="893">
        <f t="shared" si="82"/>
        <v>37.4</v>
      </c>
      <c r="AH355" s="894"/>
      <c r="AI355" s="895">
        <v>24.58</v>
      </c>
      <c r="AJ355" s="791">
        <v>22.410000000000004</v>
      </c>
      <c r="AK355" s="896">
        <f t="shared" si="91"/>
        <v>2</v>
      </c>
      <c r="AL355" s="896"/>
      <c r="AS355" s="898"/>
    </row>
    <row r="356" spans="1:45" s="779" customFormat="1" ht="28.95" customHeight="1">
      <c r="A356" s="885">
        <v>340</v>
      </c>
      <c r="B356" s="886"/>
      <c r="C356" s="887" t="str">
        <f>'Tên thang 01-26'!E343</f>
        <v>ខឹង យ៉ាត់</v>
      </c>
      <c r="D356" s="887" t="str">
        <f>'Tên thang 01-26'!F343</f>
        <v>KHING YATH</v>
      </c>
      <c r="E356" s="888">
        <v>379</v>
      </c>
      <c r="F356" s="889">
        <f>'SAN LUONG'!AP352*0.44</f>
        <v>402.6</v>
      </c>
      <c r="G356" s="889">
        <f t="shared" si="78"/>
        <v>5.73</v>
      </c>
      <c r="H356" s="889">
        <f>'SAN LUONG'!AO352*0.44</f>
        <v>224.84</v>
      </c>
      <c r="I356" s="889">
        <f t="shared" si="79"/>
        <v>3.55</v>
      </c>
      <c r="J356" s="889">
        <f>'SAN LUONG'!AV352*0.44</f>
        <v>0</v>
      </c>
      <c r="K356" s="889">
        <f t="shared" si="83"/>
        <v>0</v>
      </c>
      <c r="L356" s="889"/>
      <c r="M356" s="881">
        <f>'CHAM CONG'!BC349</f>
        <v>15</v>
      </c>
      <c r="N356" s="889">
        <f t="shared" si="84"/>
        <v>7.51</v>
      </c>
      <c r="O356" s="889">
        <f t="shared" si="85"/>
        <v>0.47</v>
      </c>
      <c r="P356" s="890">
        <f>'CHAM CONG'!BO349</f>
        <v>29</v>
      </c>
      <c r="Q356" s="942">
        <f t="shared" si="86"/>
        <v>2.72</v>
      </c>
      <c r="R356" s="942">
        <f>'SAN LUONG'!DW352</f>
        <v>8.9</v>
      </c>
      <c r="S356" s="942">
        <f t="shared" si="80"/>
        <v>0.28000000000000003</v>
      </c>
      <c r="T356" s="943">
        <f>'CHAM CONG'!BW349</f>
        <v>0</v>
      </c>
      <c r="U356" s="942">
        <f t="shared" si="87"/>
        <v>0</v>
      </c>
      <c r="V356" s="890">
        <f>'CHAM CONG'!BD349</f>
        <v>2</v>
      </c>
      <c r="W356" s="944">
        <f t="shared" si="81"/>
        <v>1.06</v>
      </c>
      <c r="X356" s="891">
        <f>'CHAM CONG'!BT349</f>
        <v>1</v>
      </c>
      <c r="Y356" s="881">
        <f t="shared" si="88"/>
        <v>1.1000000000000001</v>
      </c>
      <c r="Z356" s="892">
        <v>6.03</v>
      </c>
      <c r="AA356" s="942">
        <f t="shared" si="92"/>
        <v>1.7</v>
      </c>
      <c r="AB356" s="892">
        <v>6.03</v>
      </c>
      <c r="AC356" s="942">
        <f t="shared" si="89"/>
        <v>7.24</v>
      </c>
      <c r="AD356" s="892">
        <v>6.03</v>
      </c>
      <c r="AE356" s="942">
        <f t="shared" si="90"/>
        <v>4.3</v>
      </c>
      <c r="AF356" s="943" t="e">
        <f>#N/A</f>
        <v>#N/A</v>
      </c>
      <c r="AG356" s="893">
        <f t="shared" si="82"/>
        <v>35.659999999999997</v>
      </c>
      <c r="AH356" s="894"/>
      <c r="AI356" s="895">
        <v>25.38</v>
      </c>
      <c r="AJ356" s="791">
        <v>22.6</v>
      </c>
      <c r="AK356" s="896">
        <f t="shared" si="91"/>
        <v>3</v>
      </c>
      <c r="AL356" s="896"/>
      <c r="AS356" s="898"/>
    </row>
    <row r="357" spans="1:45" s="779" customFormat="1" ht="28.95" customHeight="1">
      <c r="A357" s="885">
        <v>341</v>
      </c>
      <c r="B357" s="886"/>
      <c r="C357" s="887" t="str">
        <f>'Tên thang 01-26'!E344</f>
        <v>ថា ស្រីអែម</v>
      </c>
      <c r="D357" s="887" t="str">
        <f>'Tên thang 01-26'!F344</f>
        <v>THA SREY EM</v>
      </c>
      <c r="E357" s="888">
        <v>380</v>
      </c>
      <c r="F357" s="889">
        <f>'SAN LUONG'!AP353*0.44</f>
        <v>498.52</v>
      </c>
      <c r="G357" s="889">
        <f t="shared" si="78"/>
        <v>7.1</v>
      </c>
      <c r="H357" s="889">
        <f>'SAN LUONG'!AO353*0.44</f>
        <v>177.32</v>
      </c>
      <c r="I357" s="889">
        <f t="shared" si="79"/>
        <v>2.8</v>
      </c>
      <c r="J357" s="889">
        <f>'SAN LUONG'!AV353*0.44</f>
        <v>0</v>
      </c>
      <c r="K357" s="889">
        <f t="shared" si="83"/>
        <v>0</v>
      </c>
      <c r="L357" s="889"/>
      <c r="M357" s="881">
        <f>'CHAM CONG'!BC350</f>
        <v>16</v>
      </c>
      <c r="N357" s="889">
        <f t="shared" si="84"/>
        <v>8.01</v>
      </c>
      <c r="O357" s="889">
        <f t="shared" si="85"/>
        <v>0.5</v>
      </c>
      <c r="P357" s="890">
        <f>'CHAM CONG'!BO350</f>
        <v>29</v>
      </c>
      <c r="Q357" s="942">
        <f t="shared" si="86"/>
        <v>2.72</v>
      </c>
      <c r="R357" s="942">
        <f>'SAN LUONG'!DW353</f>
        <v>19.399999999999999</v>
      </c>
      <c r="S357" s="942">
        <f t="shared" si="80"/>
        <v>0.61</v>
      </c>
      <c r="T357" s="943">
        <f>'CHAM CONG'!BW350</f>
        <v>0</v>
      </c>
      <c r="U357" s="942">
        <f t="shared" si="87"/>
        <v>0</v>
      </c>
      <c r="V357" s="890">
        <f>'CHAM CONG'!BD350</f>
        <v>5</v>
      </c>
      <c r="W357" s="944">
        <f t="shared" si="81"/>
        <v>2.66</v>
      </c>
      <c r="X357" s="891">
        <f>'CHAM CONG'!BT350</f>
        <v>1</v>
      </c>
      <c r="Y357" s="881">
        <f t="shared" si="88"/>
        <v>1.1000000000000001</v>
      </c>
      <c r="Z357" s="892">
        <v>6.03</v>
      </c>
      <c r="AA357" s="942">
        <f t="shared" si="92"/>
        <v>1.7</v>
      </c>
      <c r="AB357" s="892">
        <v>6.03</v>
      </c>
      <c r="AC357" s="942">
        <f t="shared" si="89"/>
        <v>7.24</v>
      </c>
      <c r="AD357" s="892">
        <v>6.03</v>
      </c>
      <c r="AE357" s="942">
        <f t="shared" si="90"/>
        <v>4.3</v>
      </c>
      <c r="AF357" s="943" t="e">
        <f>#N/A</f>
        <v>#N/A</v>
      </c>
      <c r="AG357" s="893">
        <f t="shared" si="82"/>
        <v>38.739999999999995</v>
      </c>
      <c r="AH357" s="894"/>
      <c r="AI357" s="895">
        <v>29.02</v>
      </c>
      <c r="AJ357" s="791">
        <v>25.6</v>
      </c>
      <c r="AK357" s="896">
        <f t="shared" si="91"/>
        <v>3</v>
      </c>
      <c r="AL357" s="896"/>
      <c r="AS357" s="898"/>
    </row>
    <row r="358" spans="1:45" s="779" customFormat="1" ht="28.95" customHeight="1">
      <c r="A358" s="885">
        <v>342</v>
      </c>
      <c r="B358" s="886"/>
      <c r="C358" s="887" t="str">
        <f>'Tên thang 01-26'!E345</f>
        <v>ឆាន ណាន់</v>
      </c>
      <c r="D358" s="887" t="str">
        <f>'Tên thang 01-26'!F345</f>
        <v>CHHAN NANN</v>
      </c>
      <c r="E358" s="888">
        <v>381</v>
      </c>
      <c r="F358" s="889">
        <f>'SAN LUONG'!AP354*0.44</f>
        <v>445.28000000000003</v>
      </c>
      <c r="G358" s="889">
        <f t="shared" si="78"/>
        <v>6.34</v>
      </c>
      <c r="H358" s="889">
        <f>'SAN LUONG'!AO354*0.44</f>
        <v>194.04</v>
      </c>
      <c r="I358" s="889">
        <f t="shared" si="79"/>
        <v>3.07</v>
      </c>
      <c r="J358" s="889">
        <f>'SAN LUONG'!AV354*0.44</f>
        <v>0</v>
      </c>
      <c r="K358" s="889">
        <f t="shared" si="83"/>
        <v>0</v>
      </c>
      <c r="L358" s="889"/>
      <c r="M358" s="881">
        <f>'CHAM CONG'!BC351</f>
        <v>16</v>
      </c>
      <c r="N358" s="889">
        <f t="shared" si="84"/>
        <v>8.01</v>
      </c>
      <c r="O358" s="889">
        <f t="shared" si="85"/>
        <v>0.5</v>
      </c>
      <c r="P358" s="890">
        <f>'CHAM CONG'!BO351</f>
        <v>30</v>
      </c>
      <c r="Q358" s="942">
        <f t="shared" si="86"/>
        <v>2.82</v>
      </c>
      <c r="R358" s="942">
        <f>'SAN LUONG'!DW354</f>
        <v>7.8</v>
      </c>
      <c r="S358" s="942">
        <f t="shared" si="80"/>
        <v>0.24</v>
      </c>
      <c r="T358" s="943">
        <f>'CHAM CONG'!BW351</f>
        <v>0</v>
      </c>
      <c r="U358" s="942">
        <f t="shared" si="87"/>
        <v>0</v>
      </c>
      <c r="V358" s="890">
        <f>'CHAM CONG'!BD351</f>
        <v>3</v>
      </c>
      <c r="W358" s="944">
        <f t="shared" si="81"/>
        <v>1.6</v>
      </c>
      <c r="X358" s="891">
        <f>'CHAM CONG'!BT351</f>
        <v>1</v>
      </c>
      <c r="Y358" s="881">
        <f t="shared" si="88"/>
        <v>1.1000000000000001</v>
      </c>
      <c r="Z358" s="892">
        <v>6.03</v>
      </c>
      <c r="AA358" s="942">
        <f t="shared" si="92"/>
        <v>1.7</v>
      </c>
      <c r="AB358" s="892">
        <v>6.03</v>
      </c>
      <c r="AC358" s="942">
        <f t="shared" si="89"/>
        <v>7.24</v>
      </c>
      <c r="AD358" s="892">
        <v>6.03</v>
      </c>
      <c r="AE358" s="942">
        <f t="shared" si="90"/>
        <v>4.3</v>
      </c>
      <c r="AF358" s="943" t="e">
        <f>#N/A</f>
        <v>#N/A</v>
      </c>
      <c r="AG358" s="893">
        <f t="shared" si="82"/>
        <v>36.92</v>
      </c>
      <c r="AH358" s="894"/>
      <c r="AI358" s="895">
        <v>27.51</v>
      </c>
      <c r="AJ358" s="791">
        <v>24.71</v>
      </c>
      <c r="AK358" s="896">
        <f t="shared" si="91"/>
        <v>3</v>
      </c>
      <c r="AL358" s="896"/>
      <c r="AS358" s="898"/>
    </row>
    <row r="359" spans="1:45" s="779" customFormat="1" ht="28.95" customHeight="1">
      <c r="A359" s="885">
        <v>343</v>
      </c>
      <c r="B359" s="886"/>
      <c r="C359" s="887" t="str">
        <f>'Tên thang 01-26'!E346</f>
        <v>គន នឿន</v>
      </c>
      <c r="D359" s="887" t="str">
        <f>'Tên thang 01-26'!F346</f>
        <v>KON NOEUN</v>
      </c>
      <c r="E359" s="888">
        <v>382</v>
      </c>
      <c r="F359" s="889">
        <f>'SAN LUONG'!AP355*0.44</f>
        <v>473.88</v>
      </c>
      <c r="G359" s="889">
        <f t="shared" si="78"/>
        <v>6.75</v>
      </c>
      <c r="H359" s="889">
        <f>'SAN LUONG'!AO355*0.44</f>
        <v>221.76</v>
      </c>
      <c r="I359" s="889">
        <f t="shared" si="79"/>
        <v>3.51</v>
      </c>
      <c r="J359" s="889">
        <f>'SAN LUONG'!AV355*0.44</f>
        <v>0</v>
      </c>
      <c r="K359" s="889">
        <f t="shared" si="83"/>
        <v>0</v>
      </c>
      <c r="L359" s="889"/>
      <c r="M359" s="881">
        <f>'CHAM CONG'!BC352</f>
        <v>16</v>
      </c>
      <c r="N359" s="889">
        <f t="shared" si="84"/>
        <v>8.01</v>
      </c>
      <c r="O359" s="889">
        <f t="shared" si="85"/>
        <v>0.5</v>
      </c>
      <c r="P359" s="890">
        <f>'CHAM CONG'!BO352</f>
        <v>30</v>
      </c>
      <c r="Q359" s="942">
        <f t="shared" si="86"/>
        <v>2.82</v>
      </c>
      <c r="R359" s="942">
        <f>'SAN LUONG'!DW355</f>
        <v>7.9</v>
      </c>
      <c r="S359" s="942">
        <f t="shared" si="80"/>
        <v>0.25</v>
      </c>
      <c r="T359" s="943">
        <f>'CHAM CONG'!BW352</f>
        <v>0</v>
      </c>
      <c r="U359" s="942">
        <f t="shared" si="87"/>
        <v>0</v>
      </c>
      <c r="V359" s="890">
        <f>'CHAM CONG'!BD352</f>
        <v>3</v>
      </c>
      <c r="W359" s="944">
        <f t="shared" si="81"/>
        <v>1.6</v>
      </c>
      <c r="X359" s="891">
        <f>'CHAM CONG'!BT352</f>
        <v>1</v>
      </c>
      <c r="Y359" s="881">
        <f t="shared" si="88"/>
        <v>1.1000000000000001</v>
      </c>
      <c r="Z359" s="892">
        <v>6.03</v>
      </c>
      <c r="AA359" s="942">
        <f t="shared" si="92"/>
        <v>1.7</v>
      </c>
      <c r="AB359" s="892">
        <v>6.03</v>
      </c>
      <c r="AC359" s="942">
        <f t="shared" si="89"/>
        <v>7.24</v>
      </c>
      <c r="AD359" s="892">
        <v>6.03</v>
      </c>
      <c r="AE359" s="942">
        <f t="shared" si="90"/>
        <v>4.3</v>
      </c>
      <c r="AF359" s="943" t="e">
        <f>#N/A</f>
        <v>#N/A</v>
      </c>
      <c r="AG359" s="893">
        <f t="shared" si="82"/>
        <v>37.78</v>
      </c>
      <c r="AH359" s="894"/>
      <c r="AI359" s="895">
        <v>19.11</v>
      </c>
      <c r="AJ359" s="791">
        <v>15.690000000000001</v>
      </c>
      <c r="AK359" s="896">
        <f t="shared" si="91"/>
        <v>3</v>
      </c>
      <c r="AL359" s="896"/>
      <c r="AS359" s="898"/>
    </row>
    <row r="360" spans="1:45" s="779" customFormat="1" ht="28.95" customHeight="1">
      <c r="A360" s="885">
        <v>344</v>
      </c>
      <c r="B360" s="886"/>
      <c r="C360" s="887" t="str">
        <f>'Tên thang 01-26'!E347</f>
        <v>ណាន ពន្លក</v>
      </c>
      <c r="D360" s="887" t="str">
        <f>'Tên thang 01-26'!F347</f>
        <v>NAN POLORK</v>
      </c>
      <c r="E360" s="888">
        <v>383</v>
      </c>
      <c r="F360" s="889">
        <f>'SAN LUONG'!AP356*0.44</f>
        <v>486.64</v>
      </c>
      <c r="G360" s="889">
        <f t="shared" si="78"/>
        <v>6.93</v>
      </c>
      <c r="H360" s="889">
        <f>'SAN LUONG'!AO356*0.44</f>
        <v>238.92</v>
      </c>
      <c r="I360" s="889">
        <f t="shared" si="79"/>
        <v>3.78</v>
      </c>
      <c r="J360" s="889">
        <f>'SAN LUONG'!AV356*0.44</f>
        <v>0</v>
      </c>
      <c r="K360" s="889">
        <f t="shared" si="83"/>
        <v>0</v>
      </c>
      <c r="L360" s="889"/>
      <c r="M360" s="881">
        <f>'CHAM CONG'!BC353</f>
        <v>16</v>
      </c>
      <c r="N360" s="889">
        <f t="shared" si="84"/>
        <v>8.01</v>
      </c>
      <c r="O360" s="889">
        <f t="shared" si="85"/>
        <v>0.5</v>
      </c>
      <c r="P360" s="890">
        <f>'CHAM CONG'!BO353</f>
        <v>30</v>
      </c>
      <c r="Q360" s="942">
        <f t="shared" si="86"/>
        <v>2.82</v>
      </c>
      <c r="R360" s="942">
        <f>'SAN LUONG'!DW356</f>
        <v>13.9</v>
      </c>
      <c r="S360" s="942">
        <f t="shared" si="80"/>
        <v>0.44</v>
      </c>
      <c r="T360" s="943">
        <f>'CHAM CONG'!BW353</f>
        <v>0</v>
      </c>
      <c r="U360" s="942">
        <f t="shared" si="87"/>
        <v>0</v>
      </c>
      <c r="V360" s="890">
        <f>'CHAM CONG'!BD353</f>
        <v>3</v>
      </c>
      <c r="W360" s="944">
        <f t="shared" si="81"/>
        <v>1.6</v>
      </c>
      <c r="X360" s="891">
        <f>'CHAM CONG'!BT353</f>
        <v>1</v>
      </c>
      <c r="Y360" s="881">
        <f t="shared" si="88"/>
        <v>1.1000000000000001</v>
      </c>
      <c r="Z360" s="892">
        <v>6.03</v>
      </c>
      <c r="AA360" s="942">
        <f t="shared" si="92"/>
        <v>1.7</v>
      </c>
      <c r="AB360" s="892">
        <v>6.03</v>
      </c>
      <c r="AC360" s="942">
        <f t="shared" si="89"/>
        <v>7.24</v>
      </c>
      <c r="AD360" s="892">
        <v>6.03</v>
      </c>
      <c r="AE360" s="942">
        <f t="shared" si="90"/>
        <v>4.3</v>
      </c>
      <c r="AF360" s="943" t="e">
        <f>#N/A</f>
        <v>#N/A</v>
      </c>
      <c r="AG360" s="893">
        <f t="shared" si="82"/>
        <v>38.42</v>
      </c>
      <c r="AH360" s="894"/>
      <c r="AI360" s="895">
        <v>30.46</v>
      </c>
      <c r="AJ360" s="791">
        <v>27.040000000000003</v>
      </c>
      <c r="AK360" s="896">
        <f t="shared" si="91"/>
        <v>3</v>
      </c>
      <c r="AL360" s="896"/>
      <c r="AS360" s="898"/>
    </row>
    <row r="361" spans="1:45" s="779" customFormat="1" ht="28.95" customHeight="1">
      <c r="A361" s="885">
        <v>345</v>
      </c>
      <c r="B361" s="886"/>
      <c r="C361" s="887" t="str">
        <f>'Tên thang 01-26'!E348</f>
        <v>ត្រុច ម៉ាច</v>
      </c>
      <c r="D361" s="887" t="str">
        <f>'Tên thang 01-26'!F348</f>
        <v>TROCH MACH</v>
      </c>
      <c r="E361" s="888">
        <v>384</v>
      </c>
      <c r="F361" s="889">
        <f>'SAN LUONG'!AP357*0.44</f>
        <v>477.84</v>
      </c>
      <c r="G361" s="889">
        <f t="shared" si="78"/>
        <v>6.81</v>
      </c>
      <c r="H361" s="889">
        <f>'SAN LUONG'!AO357*0.44</f>
        <v>272.8</v>
      </c>
      <c r="I361" s="889">
        <f t="shared" si="79"/>
        <v>4.3099999999999996</v>
      </c>
      <c r="J361" s="889">
        <f>'SAN LUONG'!AV357*0.44</f>
        <v>0</v>
      </c>
      <c r="K361" s="889">
        <f t="shared" si="83"/>
        <v>0</v>
      </c>
      <c r="L361" s="889"/>
      <c r="M361" s="881">
        <f>'CHAM CONG'!BC354</f>
        <v>15</v>
      </c>
      <c r="N361" s="889">
        <f t="shared" si="84"/>
        <v>7.51</v>
      </c>
      <c r="O361" s="889">
        <f t="shared" si="85"/>
        <v>0.47</v>
      </c>
      <c r="P361" s="890">
        <f>'CHAM CONG'!BO354</f>
        <v>28</v>
      </c>
      <c r="Q361" s="942">
        <f t="shared" si="86"/>
        <v>2.63</v>
      </c>
      <c r="R361" s="942">
        <f>'SAN LUONG'!DW357</f>
        <v>11.3</v>
      </c>
      <c r="S361" s="942">
        <f t="shared" si="80"/>
        <v>0.35</v>
      </c>
      <c r="T361" s="943">
        <f>'CHAM CONG'!BW354</f>
        <v>0</v>
      </c>
      <c r="U361" s="942">
        <f t="shared" si="87"/>
        <v>0</v>
      </c>
      <c r="V361" s="890">
        <f>'CHAM CONG'!BD354</f>
        <v>3</v>
      </c>
      <c r="W361" s="944">
        <f t="shared" si="81"/>
        <v>1.6</v>
      </c>
      <c r="X361" s="891">
        <f>'CHAM CONG'!BT354</f>
        <v>1</v>
      </c>
      <c r="Y361" s="881">
        <f t="shared" si="88"/>
        <v>1.1000000000000001</v>
      </c>
      <c r="Z361" s="892">
        <v>6.03</v>
      </c>
      <c r="AA361" s="942">
        <f t="shared" si="92"/>
        <v>1.7</v>
      </c>
      <c r="AB361" s="892">
        <v>6.03</v>
      </c>
      <c r="AC361" s="942">
        <f t="shared" si="89"/>
        <v>7.24</v>
      </c>
      <c r="AD361" s="892">
        <v>6.03</v>
      </c>
      <c r="AE361" s="942">
        <f t="shared" si="90"/>
        <v>4.3</v>
      </c>
      <c r="AF361" s="943" t="e">
        <f>#N/A</f>
        <v>#N/A</v>
      </c>
      <c r="AG361" s="893">
        <f t="shared" si="82"/>
        <v>38.020000000000003</v>
      </c>
      <c r="AH361" s="894"/>
      <c r="AI361" s="895">
        <v>26.2</v>
      </c>
      <c r="AJ361" s="791">
        <v>22.790000000000003</v>
      </c>
      <c r="AK361" s="896">
        <f t="shared" si="91"/>
        <v>3</v>
      </c>
      <c r="AL361" s="896"/>
      <c r="AS361" s="898"/>
    </row>
    <row r="362" spans="1:45" s="779" customFormat="1" ht="28.95" customHeight="1">
      <c r="A362" s="885">
        <v>346</v>
      </c>
      <c r="B362" s="886"/>
      <c r="C362" s="887" t="str">
        <f>'Tên thang 01-26'!E349</f>
        <v>យ៉ុន ស្រីរ័ត្ន</v>
      </c>
      <c r="D362" s="887" t="str">
        <f>'Tên thang 01-26'!F349</f>
        <v>YON SREYROTH</v>
      </c>
      <c r="E362" s="888">
        <v>385</v>
      </c>
      <c r="F362" s="889">
        <f>'SAN LUONG'!AP358*0.44</f>
        <v>488.4</v>
      </c>
      <c r="G362" s="889">
        <f t="shared" si="78"/>
        <v>6.96</v>
      </c>
      <c r="H362" s="889">
        <f>'SAN LUONG'!AO358*0.44</f>
        <v>237.6</v>
      </c>
      <c r="I362" s="889">
        <f t="shared" si="79"/>
        <v>3.76</v>
      </c>
      <c r="J362" s="889">
        <f>'SAN LUONG'!AV358*0.44</f>
        <v>0</v>
      </c>
      <c r="K362" s="889">
        <f t="shared" si="83"/>
        <v>0</v>
      </c>
      <c r="L362" s="889"/>
      <c r="M362" s="881">
        <f>'CHAM CONG'!BC355</f>
        <v>16</v>
      </c>
      <c r="N362" s="889">
        <f t="shared" si="84"/>
        <v>8.01</v>
      </c>
      <c r="O362" s="889">
        <f t="shared" si="85"/>
        <v>0.5</v>
      </c>
      <c r="P362" s="890">
        <f>'CHAM CONG'!BO355</f>
        <v>30</v>
      </c>
      <c r="Q362" s="942">
        <f t="shared" si="86"/>
        <v>2.82</v>
      </c>
      <c r="R362" s="942">
        <f>'SAN LUONG'!DW358</f>
        <v>14.7</v>
      </c>
      <c r="S362" s="942">
        <f t="shared" si="80"/>
        <v>0.46</v>
      </c>
      <c r="T362" s="943">
        <f>'CHAM CONG'!BW355</f>
        <v>0</v>
      </c>
      <c r="U362" s="942">
        <f t="shared" si="87"/>
        <v>0</v>
      </c>
      <c r="V362" s="890">
        <f>'CHAM CONG'!BD355</f>
        <v>3</v>
      </c>
      <c r="W362" s="944">
        <f t="shared" si="81"/>
        <v>1.6</v>
      </c>
      <c r="X362" s="891">
        <f>'CHAM CONG'!BT355</f>
        <v>1</v>
      </c>
      <c r="Y362" s="881">
        <f t="shared" si="88"/>
        <v>1.1000000000000001</v>
      </c>
      <c r="Z362" s="892">
        <v>6.03</v>
      </c>
      <c r="AA362" s="942">
        <f t="shared" si="92"/>
        <v>1.7</v>
      </c>
      <c r="AB362" s="892">
        <v>6.03</v>
      </c>
      <c r="AC362" s="942">
        <f t="shared" si="89"/>
        <v>7.24</v>
      </c>
      <c r="AD362" s="892">
        <v>6.03</v>
      </c>
      <c r="AE362" s="942">
        <f t="shared" si="90"/>
        <v>4.3</v>
      </c>
      <c r="AF362" s="943" t="e">
        <f>#N/A</f>
        <v>#N/A</v>
      </c>
      <c r="AG362" s="893">
        <f t="shared" si="82"/>
        <v>38.450000000000003</v>
      </c>
      <c r="AH362" s="894"/>
      <c r="AI362" s="895">
        <v>30.24</v>
      </c>
      <c r="AJ362" s="791">
        <v>26.82</v>
      </c>
      <c r="AK362" s="896">
        <f t="shared" si="91"/>
        <v>3</v>
      </c>
      <c r="AL362" s="896"/>
      <c r="AS362" s="898"/>
    </row>
    <row r="363" spans="1:45" s="779" customFormat="1" ht="28.95" customHeight="1">
      <c r="A363" s="885">
        <v>347</v>
      </c>
      <c r="B363" s="886"/>
      <c r="C363" s="887" t="str">
        <f>'Tên thang 01-26'!E350</f>
        <v>អ៊ាង ទិត</v>
      </c>
      <c r="D363" s="887" t="str">
        <f>'Tên thang 01-26'!F350</f>
        <v>EANG TITH</v>
      </c>
      <c r="E363" s="888">
        <v>386</v>
      </c>
      <c r="F363" s="889">
        <f>'SAN LUONG'!AP359*0.44</f>
        <v>993.96</v>
      </c>
      <c r="G363" s="889">
        <f t="shared" si="78"/>
        <v>14.16</v>
      </c>
      <c r="H363" s="889">
        <f>'SAN LUONG'!AO359*0.44</f>
        <v>0</v>
      </c>
      <c r="I363" s="889">
        <f t="shared" si="79"/>
        <v>0</v>
      </c>
      <c r="J363" s="889">
        <f>'SAN LUONG'!AV359*0.44</f>
        <v>0</v>
      </c>
      <c r="K363" s="889">
        <f t="shared" si="83"/>
        <v>0</v>
      </c>
      <c r="L363" s="889"/>
      <c r="M363" s="881">
        <f>'CHAM CONG'!BC356</f>
        <v>16</v>
      </c>
      <c r="N363" s="889">
        <f t="shared" si="84"/>
        <v>8.01</v>
      </c>
      <c r="O363" s="889">
        <f t="shared" si="85"/>
        <v>0.5</v>
      </c>
      <c r="P363" s="890">
        <f>'CHAM CONG'!BO356</f>
        <v>30</v>
      </c>
      <c r="Q363" s="942">
        <f t="shared" si="86"/>
        <v>2.82</v>
      </c>
      <c r="R363" s="942">
        <f>'SAN LUONG'!DW359</f>
        <v>17.5</v>
      </c>
      <c r="S363" s="942">
        <f t="shared" si="80"/>
        <v>0.55000000000000004</v>
      </c>
      <c r="T363" s="943">
        <f>'CHAM CONG'!BW356</f>
        <v>0</v>
      </c>
      <c r="U363" s="942">
        <f t="shared" si="87"/>
        <v>0</v>
      </c>
      <c r="V363" s="890">
        <f>'CHAM CONG'!BD356</f>
        <v>5</v>
      </c>
      <c r="W363" s="944">
        <f t="shared" si="81"/>
        <v>2.66</v>
      </c>
      <c r="X363" s="891">
        <f>'CHAM CONG'!BT356</f>
        <v>1</v>
      </c>
      <c r="Y363" s="881">
        <f t="shared" si="88"/>
        <v>1.1000000000000001</v>
      </c>
      <c r="Z363" s="892">
        <v>6.03</v>
      </c>
      <c r="AA363" s="942">
        <f t="shared" si="92"/>
        <v>1.7</v>
      </c>
      <c r="AB363" s="892">
        <v>6.03</v>
      </c>
      <c r="AC363" s="942">
        <f t="shared" si="89"/>
        <v>7.24</v>
      </c>
      <c r="AD363" s="892">
        <v>6.03</v>
      </c>
      <c r="AE363" s="942">
        <f t="shared" si="90"/>
        <v>4.3</v>
      </c>
      <c r="AF363" s="943" t="e">
        <f>#N/A</f>
        <v>#N/A</v>
      </c>
      <c r="AG363" s="893">
        <f t="shared" si="82"/>
        <v>43.040000000000006</v>
      </c>
      <c r="AH363" s="894"/>
      <c r="AI363" s="895">
        <v>34.64</v>
      </c>
      <c r="AJ363" s="791">
        <v>30.75</v>
      </c>
      <c r="AK363" s="896">
        <f t="shared" si="91"/>
        <v>4</v>
      </c>
      <c r="AL363" s="896"/>
      <c r="AS363" s="898"/>
    </row>
    <row r="364" spans="1:45" s="779" customFormat="1" ht="28.95" customHeight="1">
      <c r="A364" s="885">
        <v>348</v>
      </c>
      <c r="B364" s="886"/>
      <c r="C364" s="887" t="str">
        <f>'Tên thang 01-26'!E351</f>
        <v>យ៉ុន ណែត</v>
      </c>
      <c r="D364" s="887" t="str">
        <f>'Tên thang 01-26'!F351</f>
        <v>YON NEIT</v>
      </c>
      <c r="E364" s="888">
        <v>387</v>
      </c>
      <c r="F364" s="889">
        <f>'SAN LUONG'!AP360*0.44</f>
        <v>991.76</v>
      </c>
      <c r="G364" s="889">
        <f t="shared" si="78"/>
        <v>14.12</v>
      </c>
      <c r="H364" s="889">
        <f>'SAN LUONG'!AO360*0.44</f>
        <v>0</v>
      </c>
      <c r="I364" s="889">
        <f t="shared" si="79"/>
        <v>0</v>
      </c>
      <c r="J364" s="889">
        <f>'SAN LUONG'!AV360*0.44</f>
        <v>0</v>
      </c>
      <c r="K364" s="889">
        <f t="shared" si="83"/>
        <v>0</v>
      </c>
      <c r="L364" s="889"/>
      <c r="M364" s="881">
        <f>'CHAM CONG'!BC357</f>
        <v>16</v>
      </c>
      <c r="N364" s="889">
        <f t="shared" si="84"/>
        <v>8.01</v>
      </c>
      <c r="O364" s="889">
        <f t="shared" si="85"/>
        <v>0.5</v>
      </c>
      <c r="P364" s="890">
        <f>'CHAM CONG'!BO357</f>
        <v>30</v>
      </c>
      <c r="Q364" s="942">
        <f t="shared" si="86"/>
        <v>2.82</v>
      </c>
      <c r="R364" s="942">
        <f>'SAN LUONG'!DW360</f>
        <v>17.5</v>
      </c>
      <c r="S364" s="942">
        <f t="shared" si="80"/>
        <v>0.55000000000000004</v>
      </c>
      <c r="T364" s="943">
        <f>'CHAM CONG'!BW357</f>
        <v>0</v>
      </c>
      <c r="U364" s="942">
        <f t="shared" si="87"/>
        <v>0</v>
      </c>
      <c r="V364" s="890">
        <f>'CHAM CONG'!BD357</f>
        <v>5</v>
      </c>
      <c r="W364" s="944">
        <f t="shared" si="81"/>
        <v>2.66</v>
      </c>
      <c r="X364" s="891">
        <f>'CHAM CONG'!BT357</f>
        <v>1</v>
      </c>
      <c r="Y364" s="881">
        <f t="shared" si="88"/>
        <v>1.1000000000000001</v>
      </c>
      <c r="Z364" s="892">
        <v>6.03</v>
      </c>
      <c r="AA364" s="942">
        <f t="shared" si="92"/>
        <v>1.7</v>
      </c>
      <c r="AB364" s="892">
        <v>6.03</v>
      </c>
      <c r="AC364" s="942">
        <f t="shared" si="89"/>
        <v>7.24</v>
      </c>
      <c r="AD364" s="892">
        <v>6.03</v>
      </c>
      <c r="AE364" s="942">
        <f t="shared" si="90"/>
        <v>4.3</v>
      </c>
      <c r="AF364" s="943" t="e">
        <f>#N/A</f>
        <v>#N/A</v>
      </c>
      <c r="AG364" s="893">
        <f t="shared" si="82"/>
        <v>43</v>
      </c>
      <c r="AH364" s="894"/>
      <c r="AI364" s="895">
        <v>34.24</v>
      </c>
      <c r="AJ364" s="791">
        <v>30.349999999999998</v>
      </c>
      <c r="AK364" s="896">
        <f t="shared" si="91"/>
        <v>4</v>
      </c>
      <c r="AL364" s="896"/>
      <c r="AS364" s="898"/>
    </row>
    <row r="365" spans="1:45" s="779" customFormat="1" ht="28.95" customHeight="1">
      <c r="A365" s="885">
        <v>349</v>
      </c>
      <c r="B365" s="886"/>
      <c r="C365" s="887" t="str">
        <f>'Tên thang 01-26'!E352</f>
        <v>អឿន វិចិត្រ</v>
      </c>
      <c r="D365" s="887" t="str">
        <f>'Tên thang 01-26'!F352</f>
        <v>AEURN VECHET</v>
      </c>
      <c r="E365" s="888">
        <v>388</v>
      </c>
      <c r="F365" s="889">
        <f>'SAN LUONG'!AP361*0.44</f>
        <v>852.28</v>
      </c>
      <c r="G365" s="889">
        <f t="shared" si="78"/>
        <v>12.14</v>
      </c>
      <c r="H365" s="889">
        <f>'SAN LUONG'!AO361*0.44</f>
        <v>0</v>
      </c>
      <c r="I365" s="889">
        <f t="shared" si="79"/>
        <v>0</v>
      </c>
      <c r="J365" s="889">
        <f>'SAN LUONG'!AV361*0.44</f>
        <v>0</v>
      </c>
      <c r="K365" s="889">
        <f t="shared" si="83"/>
        <v>0</v>
      </c>
      <c r="L365" s="889"/>
      <c r="M365" s="881">
        <f>'CHAM CONG'!BC358</f>
        <v>16</v>
      </c>
      <c r="N365" s="889">
        <f t="shared" si="84"/>
        <v>8.01</v>
      </c>
      <c r="O365" s="889">
        <f t="shared" si="85"/>
        <v>0.5</v>
      </c>
      <c r="P365" s="890">
        <f>'CHAM CONG'!BO358</f>
        <v>31</v>
      </c>
      <c r="Q365" s="942">
        <f t="shared" si="86"/>
        <v>2.91</v>
      </c>
      <c r="R365" s="942">
        <f>'SAN LUONG'!DW361</f>
        <v>8</v>
      </c>
      <c r="S365" s="942">
        <f t="shared" si="80"/>
        <v>0.25</v>
      </c>
      <c r="T365" s="943">
        <f>'CHAM CONG'!BW358</f>
        <v>0</v>
      </c>
      <c r="U365" s="942">
        <f t="shared" si="87"/>
        <v>0</v>
      </c>
      <c r="V365" s="890">
        <f>'CHAM CONG'!BD358</f>
        <v>5</v>
      </c>
      <c r="W365" s="944">
        <f t="shared" si="81"/>
        <v>2.66</v>
      </c>
      <c r="X365" s="891">
        <f>'CHAM CONG'!BT358</f>
        <v>1</v>
      </c>
      <c r="Y365" s="881">
        <f t="shared" si="88"/>
        <v>1.1000000000000001</v>
      </c>
      <c r="Z365" s="892">
        <v>6.03</v>
      </c>
      <c r="AA365" s="942">
        <f t="shared" ref="AA365:AA402" si="93">ROUND(Z365*$Z$15,2)</f>
        <v>1.7</v>
      </c>
      <c r="AB365" s="892">
        <v>6.03</v>
      </c>
      <c r="AC365" s="942">
        <f t="shared" si="89"/>
        <v>7.24</v>
      </c>
      <c r="AD365" s="892">
        <v>6.03</v>
      </c>
      <c r="AE365" s="942">
        <f t="shared" si="90"/>
        <v>4.3</v>
      </c>
      <c r="AF365" s="943" t="e">
        <f>#N/A</f>
        <v>#N/A</v>
      </c>
      <c r="AG365" s="893">
        <f t="shared" si="82"/>
        <v>40.81</v>
      </c>
      <c r="AH365" s="894"/>
      <c r="AI365" s="895">
        <v>34.31</v>
      </c>
      <c r="AJ365" s="791">
        <v>30.41</v>
      </c>
      <c r="AK365" s="896">
        <f t="shared" si="91"/>
        <v>4</v>
      </c>
      <c r="AL365" s="896"/>
      <c r="AS365" s="898"/>
    </row>
    <row r="366" spans="1:45" s="779" customFormat="1" ht="28.95" customHeight="1">
      <c r="A366" s="885">
        <v>350</v>
      </c>
      <c r="B366" s="886"/>
      <c r="C366" s="887" t="str">
        <f>'Tên thang 01-26'!E353</f>
        <v>ឈិត ម៉ៅ</v>
      </c>
      <c r="D366" s="887" t="str">
        <f>'Tên thang 01-26'!F353</f>
        <v>CHHIT MOA</v>
      </c>
      <c r="E366" s="888">
        <v>389</v>
      </c>
      <c r="F366" s="889">
        <f>'SAN LUONG'!AP362*0.44</f>
        <v>858.88</v>
      </c>
      <c r="G366" s="889">
        <f t="shared" si="78"/>
        <v>12.23</v>
      </c>
      <c r="H366" s="889">
        <f>'SAN LUONG'!AO362*0.44</f>
        <v>0</v>
      </c>
      <c r="I366" s="889">
        <f t="shared" si="79"/>
        <v>0</v>
      </c>
      <c r="J366" s="889">
        <f>'SAN LUONG'!AV362*0.44</f>
        <v>0</v>
      </c>
      <c r="K366" s="889">
        <f t="shared" si="83"/>
        <v>0</v>
      </c>
      <c r="L366" s="889"/>
      <c r="M366" s="881">
        <f>'CHAM CONG'!BC359</f>
        <v>16</v>
      </c>
      <c r="N366" s="889">
        <f t="shared" si="84"/>
        <v>8.01</v>
      </c>
      <c r="O366" s="889">
        <f t="shared" si="85"/>
        <v>0.5</v>
      </c>
      <c r="P366" s="890">
        <f>'CHAM CONG'!BO359</f>
        <v>29</v>
      </c>
      <c r="Q366" s="942">
        <f t="shared" si="86"/>
        <v>2.72</v>
      </c>
      <c r="R366" s="942">
        <f>'SAN LUONG'!DW362</f>
        <v>12</v>
      </c>
      <c r="S366" s="942">
        <f t="shared" si="80"/>
        <v>0.38</v>
      </c>
      <c r="T366" s="943">
        <f>'CHAM CONG'!BW359</f>
        <v>0</v>
      </c>
      <c r="U366" s="942">
        <f t="shared" si="87"/>
        <v>0</v>
      </c>
      <c r="V366" s="890">
        <f>'CHAM CONG'!BD359</f>
        <v>5</v>
      </c>
      <c r="W366" s="944">
        <f t="shared" si="81"/>
        <v>2.66</v>
      </c>
      <c r="X366" s="891">
        <f>'CHAM CONG'!BT359</f>
        <v>1</v>
      </c>
      <c r="Y366" s="881">
        <f t="shared" si="88"/>
        <v>1.1000000000000001</v>
      </c>
      <c r="Z366" s="892">
        <v>6.03</v>
      </c>
      <c r="AA366" s="942">
        <f t="shared" si="93"/>
        <v>1.7</v>
      </c>
      <c r="AB366" s="892">
        <v>6.03</v>
      </c>
      <c r="AC366" s="942">
        <f t="shared" si="89"/>
        <v>7.24</v>
      </c>
      <c r="AD366" s="892">
        <v>6.03</v>
      </c>
      <c r="AE366" s="942">
        <f t="shared" si="90"/>
        <v>4.3</v>
      </c>
      <c r="AF366" s="943" t="e">
        <f>#N/A</f>
        <v>#N/A</v>
      </c>
      <c r="AG366" s="893">
        <f t="shared" si="82"/>
        <v>40.840000000000003</v>
      </c>
      <c r="AH366" s="894"/>
      <c r="AI366" s="895">
        <v>32.64</v>
      </c>
      <c r="AJ366" s="791">
        <v>28.75</v>
      </c>
      <c r="AK366" s="896">
        <f t="shared" si="91"/>
        <v>4</v>
      </c>
      <c r="AL366" s="896"/>
      <c r="AS366" s="898"/>
    </row>
    <row r="367" spans="1:45" s="779" customFormat="1" ht="28.95" customHeight="1">
      <c r="A367" s="885">
        <v>351</v>
      </c>
      <c r="B367" s="886"/>
      <c r="C367" s="887" t="str">
        <f>'Tên thang 01-26'!E354</f>
        <v>ស៊ឹម យ៉ង់</v>
      </c>
      <c r="D367" s="887" t="str">
        <f>'Tên thang 01-26'!F354</f>
        <v>SIM YANG</v>
      </c>
      <c r="E367" s="888">
        <v>390</v>
      </c>
      <c r="F367" s="889">
        <f>'SAN LUONG'!AP363*0.44</f>
        <v>929.28</v>
      </c>
      <c r="G367" s="889">
        <f t="shared" si="78"/>
        <v>13.24</v>
      </c>
      <c r="H367" s="889">
        <f>'SAN LUONG'!AO363*0.44</f>
        <v>0</v>
      </c>
      <c r="I367" s="889">
        <f t="shared" si="79"/>
        <v>0</v>
      </c>
      <c r="J367" s="889">
        <f>'SAN LUONG'!AV363*0.44</f>
        <v>0</v>
      </c>
      <c r="K367" s="889">
        <f t="shared" si="83"/>
        <v>0</v>
      </c>
      <c r="L367" s="889"/>
      <c r="M367" s="881">
        <f>'CHAM CONG'!BC360</f>
        <v>16</v>
      </c>
      <c r="N367" s="889">
        <f t="shared" si="84"/>
        <v>8.01</v>
      </c>
      <c r="O367" s="889">
        <f t="shared" si="85"/>
        <v>0.5</v>
      </c>
      <c r="P367" s="890">
        <f>'CHAM CONG'!BO360</f>
        <v>30</v>
      </c>
      <c r="Q367" s="942">
        <f t="shared" si="86"/>
        <v>2.82</v>
      </c>
      <c r="R367" s="942">
        <f>'SAN LUONG'!DW363</f>
        <v>11</v>
      </c>
      <c r="S367" s="942">
        <f t="shared" si="80"/>
        <v>0.34</v>
      </c>
      <c r="T367" s="943">
        <f>'CHAM CONG'!BW360</f>
        <v>0</v>
      </c>
      <c r="U367" s="942">
        <f t="shared" si="87"/>
        <v>0</v>
      </c>
      <c r="V367" s="890">
        <f>'CHAM CONG'!BD360</f>
        <v>5</v>
      </c>
      <c r="W367" s="944">
        <f t="shared" si="81"/>
        <v>2.66</v>
      </c>
      <c r="X367" s="891">
        <f>'CHAM CONG'!BT360</f>
        <v>1</v>
      </c>
      <c r="Y367" s="881">
        <f t="shared" si="88"/>
        <v>1.1000000000000001</v>
      </c>
      <c r="Z367" s="892">
        <v>6.03</v>
      </c>
      <c r="AA367" s="942">
        <f t="shared" si="93"/>
        <v>1.7</v>
      </c>
      <c r="AB367" s="892">
        <v>6.03</v>
      </c>
      <c r="AC367" s="942">
        <f t="shared" si="89"/>
        <v>7.24</v>
      </c>
      <c r="AD367" s="892">
        <v>6.03</v>
      </c>
      <c r="AE367" s="942">
        <f t="shared" si="90"/>
        <v>4.3</v>
      </c>
      <c r="AF367" s="943" t="e">
        <f>#N/A</f>
        <v>#N/A</v>
      </c>
      <c r="AG367" s="893">
        <f t="shared" si="82"/>
        <v>41.910000000000004</v>
      </c>
      <c r="AH367" s="894"/>
      <c r="AI367" s="895">
        <v>31.01</v>
      </c>
      <c r="AJ367" s="791">
        <v>27.13</v>
      </c>
      <c r="AK367" s="896">
        <f t="shared" si="91"/>
        <v>4</v>
      </c>
      <c r="AL367" s="896"/>
      <c r="AS367" s="898"/>
    </row>
    <row r="368" spans="1:45" s="779" customFormat="1" ht="28.95" customHeight="1">
      <c r="A368" s="885">
        <v>352</v>
      </c>
      <c r="B368" s="886"/>
      <c r="C368" s="887" t="str">
        <f>'Tên thang 01-26'!E355</f>
        <v>លឹម ឡាច</v>
      </c>
      <c r="D368" s="887" t="str">
        <f>'Tên thang 01-26'!F355</f>
        <v>LOEM LACH</v>
      </c>
      <c r="E368" s="888">
        <v>391</v>
      </c>
      <c r="F368" s="889">
        <f>'SAN LUONG'!AP364*0.44</f>
        <v>983.84</v>
      </c>
      <c r="G368" s="889">
        <f t="shared" si="78"/>
        <v>14.01</v>
      </c>
      <c r="H368" s="889">
        <f>'SAN LUONG'!AO364*0.44</f>
        <v>0</v>
      </c>
      <c r="I368" s="889">
        <f t="shared" si="79"/>
        <v>0</v>
      </c>
      <c r="J368" s="889">
        <f>'SAN LUONG'!AV364*0.44</f>
        <v>0</v>
      </c>
      <c r="K368" s="889">
        <f t="shared" si="83"/>
        <v>0</v>
      </c>
      <c r="L368" s="889"/>
      <c r="M368" s="881">
        <f>'CHAM CONG'!BC361</f>
        <v>16</v>
      </c>
      <c r="N368" s="889">
        <f t="shared" si="84"/>
        <v>8.01</v>
      </c>
      <c r="O368" s="889">
        <f t="shared" si="85"/>
        <v>0.5</v>
      </c>
      <c r="P368" s="890">
        <f>'CHAM CONG'!BO361</f>
        <v>29</v>
      </c>
      <c r="Q368" s="942">
        <f t="shared" si="86"/>
        <v>2.72</v>
      </c>
      <c r="R368" s="942">
        <f>'SAN LUONG'!DW364</f>
        <v>17.5</v>
      </c>
      <c r="S368" s="942">
        <f t="shared" si="80"/>
        <v>0.55000000000000004</v>
      </c>
      <c r="T368" s="943">
        <f>'CHAM CONG'!BW361</f>
        <v>0</v>
      </c>
      <c r="U368" s="942">
        <f t="shared" si="87"/>
        <v>0</v>
      </c>
      <c r="V368" s="890">
        <f>'CHAM CONG'!BD361</f>
        <v>5</v>
      </c>
      <c r="W368" s="944">
        <f t="shared" si="81"/>
        <v>2.66</v>
      </c>
      <c r="X368" s="891">
        <f>'CHAM CONG'!BT361</f>
        <v>1</v>
      </c>
      <c r="Y368" s="881">
        <f t="shared" si="88"/>
        <v>1.1000000000000001</v>
      </c>
      <c r="Z368" s="892">
        <v>6.03</v>
      </c>
      <c r="AA368" s="942">
        <f t="shared" si="93"/>
        <v>1.7</v>
      </c>
      <c r="AB368" s="892">
        <v>6.03</v>
      </c>
      <c r="AC368" s="942">
        <f t="shared" si="89"/>
        <v>7.24</v>
      </c>
      <c r="AD368" s="892">
        <v>6.03</v>
      </c>
      <c r="AE368" s="942">
        <f t="shared" si="90"/>
        <v>4.3</v>
      </c>
      <c r="AF368" s="943" t="e">
        <f>#N/A</f>
        <v>#N/A</v>
      </c>
      <c r="AG368" s="893">
        <f t="shared" si="82"/>
        <v>42.79</v>
      </c>
      <c r="AH368" s="894"/>
      <c r="AI368" s="895">
        <v>34.590000000000003</v>
      </c>
      <c r="AJ368" s="791">
        <v>30.689999999999998</v>
      </c>
      <c r="AK368" s="896">
        <f t="shared" si="91"/>
        <v>4</v>
      </c>
      <c r="AL368" s="896"/>
      <c r="AS368" s="898"/>
    </row>
    <row r="369" spans="1:45" s="779" customFormat="1" ht="28.95" customHeight="1">
      <c r="A369" s="885">
        <v>353</v>
      </c>
      <c r="B369" s="886"/>
      <c r="C369" s="887" t="str">
        <f>'Tên thang 01-26'!E356</f>
        <v>ឈុន សុខខុម</v>
      </c>
      <c r="D369" s="887" t="str">
        <f>'Tên thang 01-26'!F356</f>
        <v>CHHUN SOKHOM</v>
      </c>
      <c r="E369" s="888">
        <v>392</v>
      </c>
      <c r="F369" s="889">
        <f>'SAN LUONG'!AP365*0.44</f>
        <v>662.2</v>
      </c>
      <c r="G369" s="889">
        <f t="shared" si="78"/>
        <v>9.43</v>
      </c>
      <c r="H369" s="889">
        <f>'SAN LUONG'!AO365*0.44</f>
        <v>0</v>
      </c>
      <c r="I369" s="889">
        <f t="shared" si="79"/>
        <v>0</v>
      </c>
      <c r="J369" s="889">
        <f>'SAN LUONG'!AV365*0.44</f>
        <v>0</v>
      </c>
      <c r="K369" s="889">
        <f t="shared" si="83"/>
        <v>0</v>
      </c>
      <c r="L369" s="889"/>
      <c r="M369" s="881">
        <f>'CHAM CONG'!BC362</f>
        <v>13</v>
      </c>
      <c r="N369" s="889">
        <f t="shared" si="84"/>
        <v>6.51</v>
      </c>
      <c r="O369" s="889">
        <f t="shared" si="85"/>
        <v>0.41</v>
      </c>
      <c r="P369" s="890">
        <f>'CHAM CONG'!BO362</f>
        <v>26</v>
      </c>
      <c r="Q369" s="942">
        <f t="shared" si="86"/>
        <v>2.44</v>
      </c>
      <c r="R369" s="942">
        <f>'SAN LUONG'!DW365</f>
        <v>6.5</v>
      </c>
      <c r="S369" s="942">
        <f t="shared" si="80"/>
        <v>0.2</v>
      </c>
      <c r="T369" s="943">
        <f>'CHAM CONG'!BW362</f>
        <v>0</v>
      </c>
      <c r="U369" s="942">
        <f t="shared" si="87"/>
        <v>0</v>
      </c>
      <c r="V369" s="890">
        <f>'CHAM CONG'!BD362</f>
        <v>1</v>
      </c>
      <c r="W369" s="944">
        <f t="shared" si="81"/>
        <v>0.53</v>
      </c>
      <c r="X369" s="891">
        <f>'CHAM CONG'!BT362</f>
        <v>1</v>
      </c>
      <c r="Y369" s="881">
        <f t="shared" si="88"/>
        <v>1.1000000000000001</v>
      </c>
      <c r="Z369" s="892">
        <v>6.03</v>
      </c>
      <c r="AA369" s="942">
        <f t="shared" si="93"/>
        <v>1.7</v>
      </c>
      <c r="AB369" s="892">
        <v>6.03</v>
      </c>
      <c r="AC369" s="942">
        <f t="shared" si="89"/>
        <v>7.24</v>
      </c>
      <c r="AD369" s="892">
        <v>6.03</v>
      </c>
      <c r="AE369" s="942">
        <f t="shared" si="90"/>
        <v>4.3</v>
      </c>
      <c r="AF369" s="943" t="e">
        <f>#N/A</f>
        <v>#N/A</v>
      </c>
      <c r="AG369" s="893">
        <f t="shared" si="82"/>
        <v>33.860000000000007</v>
      </c>
      <c r="AH369" s="894"/>
      <c r="AI369" s="895">
        <v>32.69</v>
      </c>
      <c r="AJ369" s="791">
        <v>28.8</v>
      </c>
      <c r="AK369" s="896">
        <f t="shared" si="91"/>
        <v>4</v>
      </c>
      <c r="AL369" s="896"/>
      <c r="AS369" s="898"/>
    </row>
    <row r="370" spans="1:45" s="779" customFormat="1" ht="28.95" customHeight="1">
      <c r="A370" s="885">
        <v>354</v>
      </c>
      <c r="B370" s="886"/>
      <c r="C370" s="887" t="str">
        <f>'Tên thang 01-26'!E357</f>
        <v>ទិត ចំរើន</v>
      </c>
      <c r="D370" s="887" t="str">
        <f>'Tên thang 01-26'!F357</f>
        <v>TET CHAMRAEUN</v>
      </c>
      <c r="E370" s="888">
        <v>393</v>
      </c>
      <c r="F370" s="889">
        <f>'SAN LUONG'!AP366*0.44</f>
        <v>657.8</v>
      </c>
      <c r="G370" s="889">
        <f t="shared" si="78"/>
        <v>9.3699999999999992</v>
      </c>
      <c r="H370" s="889">
        <f>'SAN LUONG'!AO366*0.44</f>
        <v>0</v>
      </c>
      <c r="I370" s="889">
        <f t="shared" si="79"/>
        <v>0</v>
      </c>
      <c r="J370" s="889">
        <f>'SAN LUONG'!AV366*0.44</f>
        <v>0</v>
      </c>
      <c r="K370" s="889">
        <f t="shared" si="83"/>
        <v>0</v>
      </c>
      <c r="L370" s="889"/>
      <c r="M370" s="881">
        <f>'CHAM CONG'!BC363</f>
        <v>13</v>
      </c>
      <c r="N370" s="889">
        <f t="shared" si="84"/>
        <v>6.51</v>
      </c>
      <c r="O370" s="889">
        <f t="shared" si="85"/>
        <v>0.41</v>
      </c>
      <c r="P370" s="890">
        <f>'CHAM CONG'!BO363</f>
        <v>26</v>
      </c>
      <c r="Q370" s="942">
        <f t="shared" si="86"/>
        <v>2.44</v>
      </c>
      <c r="R370" s="942">
        <f>'SAN LUONG'!DW366</f>
        <v>6.5</v>
      </c>
      <c r="S370" s="942">
        <f t="shared" si="80"/>
        <v>0.2</v>
      </c>
      <c r="T370" s="943">
        <f>'CHAM CONG'!BW363</f>
        <v>0</v>
      </c>
      <c r="U370" s="942">
        <f t="shared" si="87"/>
        <v>0</v>
      </c>
      <c r="V370" s="890">
        <f>'CHAM CONG'!BD363</f>
        <v>1</v>
      </c>
      <c r="W370" s="944">
        <f t="shared" si="81"/>
        <v>0.53</v>
      </c>
      <c r="X370" s="891">
        <f>'CHAM CONG'!BT363</f>
        <v>1</v>
      </c>
      <c r="Y370" s="881">
        <f t="shared" si="88"/>
        <v>1.1000000000000001</v>
      </c>
      <c r="Z370" s="892">
        <v>6.03</v>
      </c>
      <c r="AA370" s="942">
        <f t="shared" si="93"/>
        <v>1.7</v>
      </c>
      <c r="AB370" s="892">
        <v>6.03</v>
      </c>
      <c r="AC370" s="942">
        <f t="shared" si="89"/>
        <v>7.24</v>
      </c>
      <c r="AD370" s="892">
        <v>6.03</v>
      </c>
      <c r="AE370" s="942">
        <f t="shared" si="90"/>
        <v>4.3</v>
      </c>
      <c r="AF370" s="943" t="e">
        <f>#N/A</f>
        <v>#N/A</v>
      </c>
      <c r="AG370" s="893">
        <f t="shared" si="82"/>
        <v>33.800000000000004</v>
      </c>
      <c r="AH370" s="894"/>
      <c r="AI370" s="895">
        <v>31.7</v>
      </c>
      <c r="AJ370" s="791">
        <v>27.810000000000002</v>
      </c>
      <c r="AK370" s="896">
        <f t="shared" si="91"/>
        <v>4</v>
      </c>
      <c r="AL370" s="896"/>
      <c r="AS370" s="898"/>
    </row>
    <row r="371" spans="1:45" s="779" customFormat="1" ht="28.95" customHeight="1">
      <c r="A371" s="885">
        <v>355</v>
      </c>
      <c r="B371" s="886"/>
      <c r="C371" s="887" t="str">
        <f>'Tên thang 01-26'!E358</f>
        <v>លី ចាន់នី</v>
      </c>
      <c r="D371" s="887" t="str">
        <f>'Tên thang 01-26'!F358</f>
        <v>LY CHANNY</v>
      </c>
      <c r="E371" s="888">
        <v>394</v>
      </c>
      <c r="F371" s="889">
        <f>'SAN LUONG'!AP367*0.44</f>
        <v>788.04</v>
      </c>
      <c r="G371" s="889">
        <f t="shared" si="78"/>
        <v>11.22</v>
      </c>
      <c r="H371" s="889">
        <f>'SAN LUONG'!AO367*0.44</f>
        <v>0</v>
      </c>
      <c r="I371" s="889">
        <f t="shared" si="79"/>
        <v>0</v>
      </c>
      <c r="J371" s="889">
        <f>'SAN LUONG'!AV367*0.44</f>
        <v>0</v>
      </c>
      <c r="K371" s="889">
        <f t="shared" si="83"/>
        <v>0</v>
      </c>
      <c r="L371" s="889"/>
      <c r="M371" s="881">
        <f>'CHAM CONG'!BC364</f>
        <v>14</v>
      </c>
      <c r="N371" s="889">
        <f t="shared" si="84"/>
        <v>7.01</v>
      </c>
      <c r="O371" s="889">
        <f t="shared" si="85"/>
        <v>0.44</v>
      </c>
      <c r="P371" s="890">
        <f>'CHAM CONG'!BO364</f>
        <v>27</v>
      </c>
      <c r="Q371" s="942">
        <f t="shared" si="86"/>
        <v>2.54</v>
      </c>
      <c r="R371" s="942">
        <f>'SAN LUONG'!DW367</f>
        <v>10</v>
      </c>
      <c r="S371" s="942">
        <f t="shared" si="80"/>
        <v>0.31</v>
      </c>
      <c r="T371" s="943">
        <f>'CHAM CONG'!BW364</f>
        <v>0</v>
      </c>
      <c r="U371" s="942">
        <f t="shared" si="87"/>
        <v>0</v>
      </c>
      <c r="V371" s="890">
        <f>'CHAM CONG'!BD364</f>
        <v>3</v>
      </c>
      <c r="W371" s="944">
        <f t="shared" si="81"/>
        <v>1.6</v>
      </c>
      <c r="X371" s="891">
        <f>'CHAM CONG'!BT364</f>
        <v>1</v>
      </c>
      <c r="Y371" s="881">
        <f t="shared" si="88"/>
        <v>1.1000000000000001</v>
      </c>
      <c r="Z371" s="892">
        <v>6.03</v>
      </c>
      <c r="AA371" s="942">
        <f t="shared" si="93"/>
        <v>1.7</v>
      </c>
      <c r="AB371" s="892">
        <v>6.03</v>
      </c>
      <c r="AC371" s="942">
        <f t="shared" si="89"/>
        <v>7.24</v>
      </c>
      <c r="AD371" s="892">
        <v>6.03</v>
      </c>
      <c r="AE371" s="942">
        <f t="shared" si="90"/>
        <v>4.3</v>
      </c>
      <c r="AF371" s="943" t="e">
        <f>#N/A</f>
        <v>#N/A</v>
      </c>
      <c r="AG371" s="893">
        <f t="shared" si="82"/>
        <v>37.46</v>
      </c>
      <c r="AH371" s="894"/>
      <c r="AI371" s="895">
        <v>30.28</v>
      </c>
      <c r="AJ371" s="791">
        <v>27.009999999999998</v>
      </c>
      <c r="AK371" s="896">
        <f t="shared" si="91"/>
        <v>3</v>
      </c>
      <c r="AL371" s="896"/>
      <c r="AS371" s="898"/>
    </row>
    <row r="372" spans="1:45" s="779" customFormat="1" ht="28.95" customHeight="1">
      <c r="A372" s="885">
        <v>356</v>
      </c>
      <c r="B372" s="886"/>
      <c r="C372" s="887" t="str">
        <f>'Tên thang 01-26'!E359</f>
        <v>ងិន វន</v>
      </c>
      <c r="D372" s="887" t="str">
        <f>'Tên thang 01-26'!F359</f>
        <v>NGIN VORN</v>
      </c>
      <c r="E372" s="888">
        <v>395</v>
      </c>
      <c r="F372" s="889">
        <f>'SAN LUONG'!AP368*0.44</f>
        <v>802.56000000000006</v>
      </c>
      <c r="G372" s="889">
        <f t="shared" si="78"/>
        <v>11.43</v>
      </c>
      <c r="H372" s="889">
        <f>'SAN LUONG'!AO368*0.44</f>
        <v>0</v>
      </c>
      <c r="I372" s="889">
        <f t="shared" si="79"/>
        <v>0</v>
      </c>
      <c r="J372" s="889">
        <f>'SAN LUONG'!AV368*0.44</f>
        <v>0</v>
      </c>
      <c r="K372" s="889">
        <f t="shared" si="83"/>
        <v>0</v>
      </c>
      <c r="L372" s="889"/>
      <c r="M372" s="881">
        <f>'CHAM CONG'!BC365</f>
        <v>14</v>
      </c>
      <c r="N372" s="889">
        <f t="shared" si="84"/>
        <v>7.01</v>
      </c>
      <c r="O372" s="889">
        <f t="shared" si="85"/>
        <v>0.44</v>
      </c>
      <c r="P372" s="890">
        <f>'CHAM CONG'!BO365</f>
        <v>27</v>
      </c>
      <c r="Q372" s="942">
        <f t="shared" si="86"/>
        <v>2.54</v>
      </c>
      <c r="R372" s="942">
        <f>'SAN LUONG'!DW368</f>
        <v>10</v>
      </c>
      <c r="S372" s="942">
        <f t="shared" si="80"/>
        <v>0.31</v>
      </c>
      <c r="T372" s="943">
        <f>'CHAM CONG'!BW365</f>
        <v>0</v>
      </c>
      <c r="U372" s="942">
        <f t="shared" si="87"/>
        <v>0</v>
      </c>
      <c r="V372" s="890">
        <f>'CHAM CONG'!BD365</f>
        <v>3</v>
      </c>
      <c r="W372" s="944">
        <f t="shared" si="81"/>
        <v>1.6</v>
      </c>
      <c r="X372" s="891">
        <f>'CHAM CONG'!BT365</f>
        <v>1</v>
      </c>
      <c r="Y372" s="881">
        <f t="shared" si="88"/>
        <v>1.1000000000000001</v>
      </c>
      <c r="Z372" s="892">
        <v>6.03</v>
      </c>
      <c r="AA372" s="942">
        <f t="shared" si="93"/>
        <v>1.7</v>
      </c>
      <c r="AB372" s="892">
        <v>6.03</v>
      </c>
      <c r="AC372" s="942">
        <f t="shared" si="89"/>
        <v>7.24</v>
      </c>
      <c r="AD372" s="892">
        <v>6.03</v>
      </c>
      <c r="AE372" s="942">
        <f t="shared" si="90"/>
        <v>4.3</v>
      </c>
      <c r="AF372" s="943" t="e">
        <f>#N/A</f>
        <v>#N/A</v>
      </c>
      <c r="AG372" s="893">
        <f t="shared" si="82"/>
        <v>37.669999999999995</v>
      </c>
      <c r="AH372" s="894"/>
      <c r="AI372" s="895">
        <v>30.75</v>
      </c>
      <c r="AJ372" s="791">
        <v>27.48</v>
      </c>
      <c r="AK372" s="896">
        <f t="shared" si="91"/>
        <v>3</v>
      </c>
      <c r="AL372" s="896"/>
      <c r="AS372" s="898"/>
    </row>
    <row r="373" spans="1:45" s="779" customFormat="1" ht="28.95" customHeight="1">
      <c r="A373" s="885">
        <v>357</v>
      </c>
      <c r="B373" s="886"/>
      <c r="C373" s="887" t="str">
        <f>'Tên thang 01-26'!E360</f>
        <v>ខុន ឃាង</v>
      </c>
      <c r="D373" s="887" t="str">
        <f>'Tên thang 01-26'!F360</f>
        <v>KHON KHEARNG</v>
      </c>
      <c r="E373" s="888">
        <v>396</v>
      </c>
      <c r="F373" s="889">
        <f>'SAN LUONG'!AP369*0.44</f>
        <v>821.92</v>
      </c>
      <c r="G373" s="889">
        <f t="shared" si="78"/>
        <v>11.71</v>
      </c>
      <c r="H373" s="889">
        <f>'SAN LUONG'!AO369*0.44</f>
        <v>0</v>
      </c>
      <c r="I373" s="889">
        <f t="shared" si="79"/>
        <v>0</v>
      </c>
      <c r="J373" s="889">
        <f>'SAN LUONG'!AV369*0.44</f>
        <v>0</v>
      </c>
      <c r="K373" s="889">
        <f t="shared" si="83"/>
        <v>0</v>
      </c>
      <c r="L373" s="889"/>
      <c r="M373" s="881">
        <f>'CHAM CONG'!BC366</f>
        <v>15</v>
      </c>
      <c r="N373" s="889">
        <f t="shared" si="84"/>
        <v>7.51</v>
      </c>
      <c r="O373" s="889">
        <f t="shared" si="85"/>
        <v>0.47</v>
      </c>
      <c r="P373" s="890">
        <f>'CHAM CONG'!BO366</f>
        <v>28</v>
      </c>
      <c r="Q373" s="942">
        <f t="shared" si="86"/>
        <v>2.63</v>
      </c>
      <c r="R373" s="942">
        <f>'SAN LUONG'!DW369</f>
        <v>6.5</v>
      </c>
      <c r="S373" s="942">
        <f t="shared" si="80"/>
        <v>0.2</v>
      </c>
      <c r="T373" s="943">
        <f>'CHAM CONG'!BW366</f>
        <v>0</v>
      </c>
      <c r="U373" s="942">
        <f t="shared" si="87"/>
        <v>0</v>
      </c>
      <c r="V373" s="890">
        <f>'CHAM CONG'!BD366</f>
        <v>5</v>
      </c>
      <c r="W373" s="944">
        <f t="shared" si="81"/>
        <v>2.66</v>
      </c>
      <c r="X373" s="891">
        <f>'CHAM CONG'!BT366</f>
        <v>1</v>
      </c>
      <c r="Y373" s="881">
        <f t="shared" si="88"/>
        <v>1.1000000000000001</v>
      </c>
      <c r="Z373" s="892">
        <v>6.03</v>
      </c>
      <c r="AA373" s="942">
        <f t="shared" si="93"/>
        <v>1.7</v>
      </c>
      <c r="AB373" s="892">
        <v>6.03</v>
      </c>
      <c r="AC373" s="942">
        <f t="shared" si="89"/>
        <v>7.24</v>
      </c>
      <c r="AD373" s="892">
        <v>6.03</v>
      </c>
      <c r="AE373" s="942">
        <f t="shared" si="90"/>
        <v>4.3</v>
      </c>
      <c r="AF373" s="943" t="e">
        <f>#N/A</f>
        <v>#N/A</v>
      </c>
      <c r="AG373" s="893">
        <f t="shared" si="82"/>
        <v>39.519999999999996</v>
      </c>
      <c r="AH373" s="894"/>
      <c r="AI373" s="895">
        <v>31.06</v>
      </c>
      <c r="AJ373" s="791">
        <v>26.55</v>
      </c>
      <c r="AK373" s="896">
        <f t="shared" si="91"/>
        <v>5</v>
      </c>
      <c r="AL373" s="896"/>
      <c r="AS373" s="898"/>
    </row>
    <row r="374" spans="1:45" s="779" customFormat="1" ht="28.95" customHeight="1">
      <c r="A374" s="885">
        <v>358</v>
      </c>
      <c r="B374" s="886"/>
      <c r="C374" s="887" t="str">
        <f>'Tên thang 01-26'!E361</f>
        <v>គ្រីប ថេត</v>
      </c>
      <c r="D374" s="887" t="str">
        <f>'Tên thang 01-26'!F361</f>
        <v>KRIP THET</v>
      </c>
      <c r="E374" s="888">
        <v>397</v>
      </c>
      <c r="F374" s="889">
        <f>'SAN LUONG'!AP370*0.44</f>
        <v>832.04</v>
      </c>
      <c r="G374" s="889">
        <f t="shared" si="78"/>
        <v>11.85</v>
      </c>
      <c r="H374" s="889">
        <f>'SAN LUONG'!AO370*0.44</f>
        <v>0</v>
      </c>
      <c r="I374" s="889">
        <f t="shared" si="79"/>
        <v>0</v>
      </c>
      <c r="J374" s="889">
        <f>'SAN LUONG'!AV370*0.44</f>
        <v>0</v>
      </c>
      <c r="K374" s="889">
        <f t="shared" si="83"/>
        <v>0</v>
      </c>
      <c r="L374" s="889"/>
      <c r="M374" s="881">
        <f>'CHAM CONG'!BC367</f>
        <v>15</v>
      </c>
      <c r="N374" s="889">
        <f t="shared" si="84"/>
        <v>7.51</v>
      </c>
      <c r="O374" s="889">
        <f t="shared" si="85"/>
        <v>0.47</v>
      </c>
      <c r="P374" s="890">
        <f>'CHAM CONG'!BO367</f>
        <v>28</v>
      </c>
      <c r="Q374" s="942">
        <f t="shared" si="86"/>
        <v>2.63</v>
      </c>
      <c r="R374" s="942">
        <f>'SAN LUONG'!DW370</f>
        <v>6.5</v>
      </c>
      <c r="S374" s="942">
        <f t="shared" si="80"/>
        <v>0.2</v>
      </c>
      <c r="T374" s="943">
        <f>'CHAM CONG'!BW367</f>
        <v>0</v>
      </c>
      <c r="U374" s="942">
        <f t="shared" si="87"/>
        <v>0</v>
      </c>
      <c r="V374" s="890">
        <f>'CHAM CONG'!BD367</f>
        <v>5</v>
      </c>
      <c r="W374" s="944">
        <f t="shared" si="81"/>
        <v>2.66</v>
      </c>
      <c r="X374" s="891">
        <f>'CHAM CONG'!BT367</f>
        <v>1</v>
      </c>
      <c r="Y374" s="881">
        <f t="shared" si="88"/>
        <v>1.1000000000000001</v>
      </c>
      <c r="Z374" s="892">
        <v>6.03</v>
      </c>
      <c r="AA374" s="942">
        <f t="shared" si="93"/>
        <v>1.7</v>
      </c>
      <c r="AB374" s="892">
        <v>6.03</v>
      </c>
      <c r="AC374" s="942">
        <f t="shared" si="89"/>
        <v>7.24</v>
      </c>
      <c r="AD374" s="892">
        <v>6.03</v>
      </c>
      <c r="AE374" s="942">
        <f t="shared" si="90"/>
        <v>4.3</v>
      </c>
      <c r="AF374" s="943" t="e">
        <f>#N/A</f>
        <v>#N/A</v>
      </c>
      <c r="AG374" s="893">
        <f t="shared" si="82"/>
        <v>39.659999999999997</v>
      </c>
      <c r="AH374" s="894"/>
      <c r="AI374" s="895">
        <v>31.26</v>
      </c>
      <c r="AJ374" s="791">
        <v>27.37</v>
      </c>
      <c r="AK374" s="896">
        <f t="shared" si="91"/>
        <v>4</v>
      </c>
      <c r="AL374" s="896"/>
      <c r="AS374" s="898"/>
    </row>
    <row r="375" spans="1:45" s="779" customFormat="1" ht="28.95" customHeight="1">
      <c r="A375" s="885">
        <v>359</v>
      </c>
      <c r="B375" s="886"/>
      <c r="C375" s="887" t="str">
        <f>'Tên thang 01-26'!E362</f>
        <v>ធាន​ ញ៉ាញ់</v>
      </c>
      <c r="D375" s="887" t="str">
        <f>'Tên thang 01-26'!F362</f>
        <v>THEAN NHANH</v>
      </c>
      <c r="E375" s="888">
        <v>398</v>
      </c>
      <c r="F375" s="889">
        <f>'SAN LUONG'!AP371*0.44</f>
        <v>891.44</v>
      </c>
      <c r="G375" s="889">
        <f t="shared" si="78"/>
        <v>12.7</v>
      </c>
      <c r="H375" s="889">
        <f>'SAN LUONG'!AO371*0.44</f>
        <v>0</v>
      </c>
      <c r="I375" s="889">
        <f t="shared" si="79"/>
        <v>0</v>
      </c>
      <c r="J375" s="889">
        <f>'SAN LUONG'!AV371*0.44</f>
        <v>0</v>
      </c>
      <c r="K375" s="889">
        <f t="shared" si="83"/>
        <v>0</v>
      </c>
      <c r="L375" s="889"/>
      <c r="M375" s="881">
        <f>'CHAM CONG'!BC368</f>
        <v>16</v>
      </c>
      <c r="N375" s="889">
        <f t="shared" si="84"/>
        <v>8.01</v>
      </c>
      <c r="O375" s="889">
        <f t="shared" si="85"/>
        <v>0.5</v>
      </c>
      <c r="P375" s="890">
        <f>'CHAM CONG'!BO368</f>
        <v>30</v>
      </c>
      <c r="Q375" s="942">
        <f t="shared" si="86"/>
        <v>2.82</v>
      </c>
      <c r="R375" s="942">
        <f>'SAN LUONG'!DW371</f>
        <v>12</v>
      </c>
      <c r="S375" s="942">
        <f t="shared" si="80"/>
        <v>0.38</v>
      </c>
      <c r="T375" s="943">
        <f>'CHAM CONG'!BW368</f>
        <v>0</v>
      </c>
      <c r="U375" s="942">
        <f t="shared" si="87"/>
        <v>0</v>
      </c>
      <c r="V375" s="890">
        <f>'CHAM CONG'!BD368</f>
        <v>5</v>
      </c>
      <c r="W375" s="944">
        <f t="shared" si="81"/>
        <v>2.66</v>
      </c>
      <c r="X375" s="891">
        <f>'CHAM CONG'!BT368</f>
        <v>1</v>
      </c>
      <c r="Y375" s="881">
        <f t="shared" si="88"/>
        <v>1.1000000000000001</v>
      </c>
      <c r="Z375" s="892">
        <v>6.03</v>
      </c>
      <c r="AA375" s="942">
        <f t="shared" si="93"/>
        <v>1.7</v>
      </c>
      <c r="AB375" s="892">
        <v>6.03</v>
      </c>
      <c r="AC375" s="942">
        <f t="shared" si="89"/>
        <v>7.24</v>
      </c>
      <c r="AD375" s="892">
        <v>6.03</v>
      </c>
      <c r="AE375" s="942">
        <f t="shared" si="90"/>
        <v>4.3</v>
      </c>
      <c r="AF375" s="943" t="e">
        <f>#N/A</f>
        <v>#N/A</v>
      </c>
      <c r="AG375" s="893">
        <f t="shared" si="82"/>
        <v>41.410000000000004</v>
      </c>
      <c r="AH375" s="894"/>
      <c r="AI375" s="895">
        <v>30.84</v>
      </c>
      <c r="AJ375" s="791">
        <v>26.330000000000002</v>
      </c>
      <c r="AK375" s="896">
        <f t="shared" si="91"/>
        <v>5</v>
      </c>
      <c r="AL375" s="896"/>
      <c r="AS375" s="898"/>
    </row>
    <row r="376" spans="1:45" s="779" customFormat="1" ht="28.95" customHeight="1">
      <c r="A376" s="885">
        <v>360</v>
      </c>
      <c r="B376" s="886"/>
      <c r="C376" s="887" t="str">
        <f>'Tên thang 01-26'!E363</f>
        <v>ក ប៉ា</v>
      </c>
      <c r="D376" s="887" t="str">
        <f>'Tên thang 01-26'!F363</f>
        <v>KOR PA</v>
      </c>
      <c r="E376" s="888">
        <v>399</v>
      </c>
      <c r="F376" s="889">
        <f>'SAN LUONG'!AP372*0.44</f>
        <v>850.96</v>
      </c>
      <c r="G376" s="889">
        <f t="shared" si="78"/>
        <v>12.12</v>
      </c>
      <c r="H376" s="889">
        <f>'SAN LUONG'!AO372*0.44</f>
        <v>0</v>
      </c>
      <c r="I376" s="889">
        <f t="shared" si="79"/>
        <v>0</v>
      </c>
      <c r="J376" s="889">
        <f>'SAN LUONG'!AV372*0.44</f>
        <v>0</v>
      </c>
      <c r="K376" s="889">
        <f t="shared" si="83"/>
        <v>0</v>
      </c>
      <c r="L376" s="889"/>
      <c r="M376" s="881">
        <f>'CHAM CONG'!BC369</f>
        <v>16</v>
      </c>
      <c r="N376" s="889">
        <f t="shared" si="84"/>
        <v>8.01</v>
      </c>
      <c r="O376" s="889">
        <f t="shared" si="85"/>
        <v>0.5</v>
      </c>
      <c r="P376" s="890">
        <f>'CHAM CONG'!BO369</f>
        <v>30</v>
      </c>
      <c r="Q376" s="942">
        <f t="shared" si="86"/>
        <v>2.82</v>
      </c>
      <c r="R376" s="942">
        <f>'SAN LUONG'!DW372</f>
        <v>14</v>
      </c>
      <c r="S376" s="942">
        <f t="shared" si="80"/>
        <v>0.44</v>
      </c>
      <c r="T376" s="943">
        <f>'CHAM CONG'!BW369</f>
        <v>0</v>
      </c>
      <c r="U376" s="942">
        <f t="shared" si="87"/>
        <v>0</v>
      </c>
      <c r="V376" s="890">
        <f>'CHAM CONG'!BD369</f>
        <v>5</v>
      </c>
      <c r="W376" s="944">
        <f t="shared" si="81"/>
        <v>2.66</v>
      </c>
      <c r="X376" s="891">
        <f>'CHAM CONG'!BT369</f>
        <v>1</v>
      </c>
      <c r="Y376" s="881">
        <f t="shared" si="88"/>
        <v>1.1000000000000001</v>
      </c>
      <c r="Z376" s="892">
        <v>6.03</v>
      </c>
      <c r="AA376" s="942">
        <f t="shared" si="93"/>
        <v>1.7</v>
      </c>
      <c r="AB376" s="892">
        <v>6.03</v>
      </c>
      <c r="AC376" s="942">
        <f t="shared" si="89"/>
        <v>7.24</v>
      </c>
      <c r="AD376" s="892">
        <v>6.03</v>
      </c>
      <c r="AE376" s="942">
        <f t="shared" si="90"/>
        <v>4.3</v>
      </c>
      <c r="AF376" s="943" t="e">
        <f>#N/A</f>
        <v>#N/A</v>
      </c>
      <c r="AG376" s="893">
        <f t="shared" si="82"/>
        <v>40.89</v>
      </c>
      <c r="AH376" s="894"/>
      <c r="AI376" s="895">
        <v>28.86</v>
      </c>
      <c r="AJ376" s="791">
        <v>25.6</v>
      </c>
      <c r="AK376" s="896">
        <f t="shared" si="91"/>
        <v>3</v>
      </c>
      <c r="AL376" s="896"/>
      <c r="AS376" s="898"/>
    </row>
    <row r="377" spans="1:45" s="779" customFormat="1" ht="28.95" customHeight="1">
      <c r="A377" s="885">
        <v>361</v>
      </c>
      <c r="B377" s="886"/>
      <c r="C377" s="887" t="str">
        <f>'Tên thang 01-26'!E364</f>
        <v>ឡុង ឡុំ</v>
      </c>
      <c r="D377" s="887" t="str">
        <f>'Tên thang 01-26'!F364</f>
        <v>LONG LOM</v>
      </c>
      <c r="E377" s="888">
        <v>400</v>
      </c>
      <c r="F377" s="889">
        <f>'SAN LUONG'!AP373*0.44</f>
        <v>841.28</v>
      </c>
      <c r="G377" s="889">
        <f t="shared" si="78"/>
        <v>11.98</v>
      </c>
      <c r="H377" s="889">
        <f>'SAN LUONG'!AO373*0.44</f>
        <v>0</v>
      </c>
      <c r="I377" s="889">
        <f t="shared" si="79"/>
        <v>0</v>
      </c>
      <c r="J377" s="889">
        <f>'SAN LUONG'!AV373*0.44</f>
        <v>0</v>
      </c>
      <c r="K377" s="889">
        <f t="shared" si="83"/>
        <v>0</v>
      </c>
      <c r="L377" s="889"/>
      <c r="M377" s="881">
        <f>'CHAM CONG'!BC370</f>
        <v>16</v>
      </c>
      <c r="N377" s="889">
        <f t="shared" si="84"/>
        <v>8.01</v>
      </c>
      <c r="O377" s="889">
        <f t="shared" si="85"/>
        <v>0.5</v>
      </c>
      <c r="P377" s="890">
        <f>'CHAM CONG'!BO370</f>
        <v>30</v>
      </c>
      <c r="Q377" s="942">
        <f t="shared" si="86"/>
        <v>2.82</v>
      </c>
      <c r="R377" s="942">
        <f>'SAN LUONG'!DW373</f>
        <v>14</v>
      </c>
      <c r="S377" s="942">
        <f t="shared" si="80"/>
        <v>0.44</v>
      </c>
      <c r="T377" s="943">
        <f>'CHAM CONG'!BW370</f>
        <v>0</v>
      </c>
      <c r="U377" s="942">
        <f t="shared" si="87"/>
        <v>0</v>
      </c>
      <c r="V377" s="890">
        <f>'CHAM CONG'!BD370</f>
        <v>5</v>
      </c>
      <c r="W377" s="944">
        <f t="shared" si="81"/>
        <v>2.66</v>
      </c>
      <c r="X377" s="891">
        <f>'CHAM CONG'!BT370</f>
        <v>1</v>
      </c>
      <c r="Y377" s="881">
        <f t="shared" si="88"/>
        <v>1.1000000000000001</v>
      </c>
      <c r="Z377" s="892">
        <v>6.03</v>
      </c>
      <c r="AA377" s="942">
        <f t="shared" si="93"/>
        <v>1.7</v>
      </c>
      <c r="AB377" s="892">
        <v>6.03</v>
      </c>
      <c r="AC377" s="942">
        <f t="shared" si="89"/>
        <v>7.24</v>
      </c>
      <c r="AD377" s="892">
        <v>6.03</v>
      </c>
      <c r="AE377" s="942">
        <f t="shared" si="90"/>
        <v>4.3</v>
      </c>
      <c r="AF377" s="943" t="e">
        <f>#N/A</f>
        <v>#N/A</v>
      </c>
      <c r="AG377" s="893">
        <f t="shared" si="82"/>
        <v>40.750000000000007</v>
      </c>
      <c r="AH377" s="894"/>
      <c r="AI377" s="895">
        <v>29.37</v>
      </c>
      <c r="AJ377" s="791">
        <v>25.49</v>
      </c>
      <c r="AK377" s="896">
        <f t="shared" si="91"/>
        <v>4</v>
      </c>
      <c r="AL377" s="896"/>
      <c r="AS377" s="898"/>
    </row>
    <row r="378" spans="1:45" s="779" customFormat="1" ht="28.95" customHeight="1">
      <c r="A378" s="885">
        <v>362</v>
      </c>
      <c r="B378" s="886"/>
      <c r="C378" s="887" t="str">
        <f>'Tên thang 01-26'!E365</f>
        <v>ក កុល</v>
      </c>
      <c r="D378" s="887" t="str">
        <f>'Tên thang 01-26'!F365</f>
        <v>KOR KOL</v>
      </c>
      <c r="E378" s="888">
        <v>401</v>
      </c>
      <c r="F378" s="889">
        <f>'SAN LUONG'!AP374*0.44</f>
        <v>738.32</v>
      </c>
      <c r="G378" s="889">
        <f t="shared" si="78"/>
        <v>10.52</v>
      </c>
      <c r="H378" s="889">
        <f>'SAN LUONG'!AO374*0.44</f>
        <v>0</v>
      </c>
      <c r="I378" s="889">
        <f t="shared" si="79"/>
        <v>0</v>
      </c>
      <c r="J378" s="889">
        <f>'SAN LUONG'!AV374*0.44</f>
        <v>0</v>
      </c>
      <c r="K378" s="889">
        <f t="shared" si="83"/>
        <v>0</v>
      </c>
      <c r="L378" s="889"/>
      <c r="M378" s="881">
        <f>'CHAM CONG'!BC371</f>
        <v>13</v>
      </c>
      <c r="N378" s="889">
        <f t="shared" si="84"/>
        <v>6.51</v>
      </c>
      <c r="O378" s="889">
        <f t="shared" si="85"/>
        <v>0.41</v>
      </c>
      <c r="P378" s="890">
        <f>'CHAM CONG'!BO371</f>
        <v>0</v>
      </c>
      <c r="Q378" s="942">
        <f t="shared" si="86"/>
        <v>0</v>
      </c>
      <c r="R378" s="942">
        <f>'SAN LUONG'!DW374</f>
        <v>6.5</v>
      </c>
      <c r="S378" s="942">
        <f t="shared" si="80"/>
        <v>0.2</v>
      </c>
      <c r="T378" s="943">
        <f>'CHAM CONG'!BW371</f>
        <v>0</v>
      </c>
      <c r="U378" s="942">
        <f t="shared" si="87"/>
        <v>0</v>
      </c>
      <c r="V378" s="890">
        <f>'CHAM CONG'!BD371</f>
        <v>3</v>
      </c>
      <c r="W378" s="944">
        <f t="shared" si="81"/>
        <v>1.6</v>
      </c>
      <c r="X378" s="891">
        <f>'CHAM CONG'!BT371</f>
        <v>0</v>
      </c>
      <c r="Y378" s="881">
        <f t="shared" si="88"/>
        <v>0</v>
      </c>
      <c r="Z378" s="892">
        <v>6.03</v>
      </c>
      <c r="AA378" s="942">
        <f t="shared" si="93"/>
        <v>1.7</v>
      </c>
      <c r="AB378" s="892">
        <v>6.03</v>
      </c>
      <c r="AC378" s="942">
        <f t="shared" si="89"/>
        <v>7.24</v>
      </c>
      <c r="AD378" s="892">
        <v>6.03</v>
      </c>
      <c r="AE378" s="942">
        <f t="shared" si="90"/>
        <v>4.3</v>
      </c>
      <c r="AF378" s="943" t="e">
        <f>#N/A</f>
        <v>#N/A</v>
      </c>
      <c r="AG378" s="893">
        <f t="shared" si="82"/>
        <v>32.480000000000004</v>
      </c>
      <c r="AH378" s="894"/>
      <c r="AI378" s="895">
        <v>25.11</v>
      </c>
      <c r="AJ378" s="791">
        <v>21.230000000000004</v>
      </c>
      <c r="AK378" s="896">
        <f t="shared" si="91"/>
        <v>4</v>
      </c>
      <c r="AL378" s="896"/>
      <c r="AS378" s="898"/>
    </row>
    <row r="379" spans="1:45" s="779" customFormat="1" ht="28.95" customHeight="1">
      <c r="A379" s="885">
        <v>363</v>
      </c>
      <c r="B379" s="886"/>
      <c r="C379" s="887" t="str">
        <f>'Tên thang 01-26'!E366</f>
        <v>ឃី ស៊ីណា</v>
      </c>
      <c r="D379" s="887" t="str">
        <f>'Tên thang 01-26'!F366</f>
        <v>KHY SINA</v>
      </c>
      <c r="E379" s="888">
        <v>402</v>
      </c>
      <c r="F379" s="889">
        <f>'SAN LUONG'!AP375*0.44</f>
        <v>948.64</v>
      </c>
      <c r="G379" s="889">
        <f t="shared" si="78"/>
        <v>13.51</v>
      </c>
      <c r="H379" s="889">
        <f>'SAN LUONG'!AO375*0.44</f>
        <v>0</v>
      </c>
      <c r="I379" s="889">
        <f t="shared" si="79"/>
        <v>0</v>
      </c>
      <c r="J379" s="889">
        <f>'SAN LUONG'!AV375*0.44</f>
        <v>0</v>
      </c>
      <c r="K379" s="889">
        <f t="shared" si="83"/>
        <v>0</v>
      </c>
      <c r="L379" s="889"/>
      <c r="M379" s="881">
        <f>'CHAM CONG'!BC372</f>
        <v>16</v>
      </c>
      <c r="N379" s="889">
        <f t="shared" si="84"/>
        <v>8.01</v>
      </c>
      <c r="O379" s="889">
        <f t="shared" si="85"/>
        <v>0.5</v>
      </c>
      <c r="P379" s="890">
        <f>'CHAM CONG'!BO372</f>
        <v>29</v>
      </c>
      <c r="Q379" s="942">
        <f t="shared" si="86"/>
        <v>2.72</v>
      </c>
      <c r="R379" s="942">
        <f>'SAN LUONG'!DW375</f>
        <v>17.5</v>
      </c>
      <c r="S379" s="942">
        <f t="shared" si="80"/>
        <v>0.55000000000000004</v>
      </c>
      <c r="T379" s="943">
        <f>'CHAM CONG'!BW372</f>
        <v>0</v>
      </c>
      <c r="U379" s="942">
        <f t="shared" si="87"/>
        <v>0</v>
      </c>
      <c r="V379" s="890">
        <f>'CHAM CONG'!BD372</f>
        <v>5</v>
      </c>
      <c r="W379" s="944">
        <f t="shared" si="81"/>
        <v>2.66</v>
      </c>
      <c r="X379" s="891">
        <f>'CHAM CONG'!BT372</f>
        <v>1</v>
      </c>
      <c r="Y379" s="881">
        <f t="shared" si="88"/>
        <v>1.1000000000000001</v>
      </c>
      <c r="Z379" s="892">
        <v>6.03</v>
      </c>
      <c r="AA379" s="942">
        <f t="shared" si="93"/>
        <v>1.7</v>
      </c>
      <c r="AB379" s="892">
        <v>6.03</v>
      </c>
      <c r="AC379" s="942">
        <f t="shared" si="89"/>
        <v>7.24</v>
      </c>
      <c r="AD379" s="892">
        <v>6.03</v>
      </c>
      <c r="AE379" s="942">
        <f t="shared" si="90"/>
        <v>4.3</v>
      </c>
      <c r="AF379" s="943" t="e">
        <f>#N/A</f>
        <v>#N/A</v>
      </c>
      <c r="AG379" s="893">
        <f t="shared" si="82"/>
        <v>42.29</v>
      </c>
      <c r="AH379" s="894"/>
      <c r="AI379" s="895">
        <v>34.92</v>
      </c>
      <c r="AJ379" s="791">
        <v>31.03</v>
      </c>
      <c r="AK379" s="896">
        <f t="shared" si="91"/>
        <v>4</v>
      </c>
      <c r="AL379" s="896"/>
      <c r="AS379" s="898"/>
    </row>
    <row r="380" spans="1:45" s="779" customFormat="1" ht="28.95" customHeight="1">
      <c r="A380" s="885">
        <v>364</v>
      </c>
      <c r="B380" s="886"/>
      <c r="C380" s="887" t="str">
        <f>'Tên thang 01-26'!E367</f>
        <v>ទូច ចន្ថា</v>
      </c>
      <c r="D380" s="887" t="str">
        <f>'Tên thang 01-26'!F367</f>
        <v>TOCH CHANTHA</v>
      </c>
      <c r="E380" s="888">
        <v>403</v>
      </c>
      <c r="F380" s="889">
        <f>'SAN LUONG'!AP376*0.44</f>
        <v>810.92</v>
      </c>
      <c r="G380" s="889">
        <f t="shared" si="78"/>
        <v>11.55</v>
      </c>
      <c r="H380" s="889">
        <f>'SAN LUONG'!AO376*0.44</f>
        <v>0</v>
      </c>
      <c r="I380" s="889">
        <f t="shared" si="79"/>
        <v>0</v>
      </c>
      <c r="J380" s="889">
        <f>'SAN LUONG'!AV376*0.44</f>
        <v>0</v>
      </c>
      <c r="K380" s="889">
        <f t="shared" si="83"/>
        <v>0</v>
      </c>
      <c r="L380" s="889"/>
      <c r="M380" s="881">
        <f>'CHAM CONG'!BC373</f>
        <v>15</v>
      </c>
      <c r="N380" s="889">
        <f t="shared" si="84"/>
        <v>7.51</v>
      </c>
      <c r="O380" s="889">
        <f t="shared" si="85"/>
        <v>0.47</v>
      </c>
      <c r="P380" s="890">
        <f>'CHAM CONG'!BO373</f>
        <v>29</v>
      </c>
      <c r="Q380" s="942">
        <f t="shared" si="86"/>
        <v>2.72</v>
      </c>
      <c r="R380" s="942">
        <f>'SAN LUONG'!DW376</f>
        <v>12</v>
      </c>
      <c r="S380" s="942">
        <f t="shared" si="80"/>
        <v>0.38</v>
      </c>
      <c r="T380" s="943">
        <f>'CHAM CONG'!BW373</f>
        <v>0</v>
      </c>
      <c r="U380" s="942">
        <f t="shared" si="87"/>
        <v>0</v>
      </c>
      <c r="V380" s="890">
        <f>'CHAM CONG'!BD373</f>
        <v>5</v>
      </c>
      <c r="W380" s="944">
        <f t="shared" si="81"/>
        <v>2.66</v>
      </c>
      <c r="X380" s="891">
        <f>'CHAM CONG'!BT373</f>
        <v>1</v>
      </c>
      <c r="Y380" s="881">
        <f t="shared" si="88"/>
        <v>1.1000000000000001</v>
      </c>
      <c r="Z380" s="892">
        <v>6.03</v>
      </c>
      <c r="AA380" s="942">
        <f t="shared" si="93"/>
        <v>1.7</v>
      </c>
      <c r="AB380" s="892">
        <v>6.03</v>
      </c>
      <c r="AC380" s="942">
        <f t="shared" si="89"/>
        <v>7.24</v>
      </c>
      <c r="AD380" s="892">
        <v>6.03</v>
      </c>
      <c r="AE380" s="942">
        <f t="shared" si="90"/>
        <v>4.3</v>
      </c>
      <c r="AF380" s="943" t="e">
        <f>#N/A</f>
        <v>#N/A</v>
      </c>
      <c r="AG380" s="893">
        <f t="shared" si="82"/>
        <v>39.630000000000003</v>
      </c>
      <c r="AH380" s="894"/>
      <c r="AI380" s="895">
        <v>30.92</v>
      </c>
      <c r="AJ380" s="791">
        <v>27.03</v>
      </c>
      <c r="AK380" s="896">
        <f t="shared" si="91"/>
        <v>4</v>
      </c>
      <c r="AL380" s="896"/>
      <c r="AS380" s="898"/>
    </row>
    <row r="381" spans="1:45" s="779" customFormat="1" ht="28.95" customHeight="1">
      <c r="A381" s="885">
        <v>365</v>
      </c>
      <c r="B381" s="886"/>
      <c r="C381" s="887" t="str">
        <f>'Tên thang 01-26'!E368</f>
        <v>ប៊ិន ចាន់</v>
      </c>
      <c r="D381" s="887" t="str">
        <f>'Tên thang 01-26'!F368</f>
        <v>BEN CHANN</v>
      </c>
      <c r="E381" s="888">
        <v>404</v>
      </c>
      <c r="F381" s="889">
        <f>'SAN LUONG'!AP377*0.44</f>
        <v>776.16</v>
      </c>
      <c r="G381" s="889">
        <f t="shared" si="78"/>
        <v>11.05</v>
      </c>
      <c r="H381" s="889">
        <f>'SAN LUONG'!AO377*0.44</f>
        <v>0</v>
      </c>
      <c r="I381" s="889">
        <f t="shared" si="79"/>
        <v>0</v>
      </c>
      <c r="J381" s="889">
        <f>'SAN LUONG'!AV377*0.44</f>
        <v>0</v>
      </c>
      <c r="K381" s="889">
        <f t="shared" si="83"/>
        <v>0</v>
      </c>
      <c r="L381" s="889"/>
      <c r="M381" s="881">
        <f>'CHAM CONG'!BC374</f>
        <v>16</v>
      </c>
      <c r="N381" s="889">
        <f t="shared" si="84"/>
        <v>8.01</v>
      </c>
      <c r="O381" s="889">
        <f t="shared" si="85"/>
        <v>0.5</v>
      </c>
      <c r="P381" s="890">
        <f>'CHAM CONG'!BO374</f>
        <v>30</v>
      </c>
      <c r="Q381" s="942">
        <f t="shared" si="86"/>
        <v>2.82</v>
      </c>
      <c r="R381" s="942">
        <f>'SAN LUONG'!DW377</f>
        <v>10</v>
      </c>
      <c r="S381" s="942">
        <f t="shared" si="80"/>
        <v>0.31</v>
      </c>
      <c r="T381" s="943">
        <f>'CHAM CONG'!BW374</f>
        <v>0</v>
      </c>
      <c r="U381" s="942">
        <f t="shared" si="87"/>
        <v>0</v>
      </c>
      <c r="V381" s="890">
        <f>'CHAM CONG'!BD374</f>
        <v>4</v>
      </c>
      <c r="W381" s="944">
        <f t="shared" si="81"/>
        <v>2.13</v>
      </c>
      <c r="X381" s="891">
        <f>'CHAM CONG'!BT374</f>
        <v>1</v>
      </c>
      <c r="Y381" s="881">
        <f t="shared" si="88"/>
        <v>1.1000000000000001</v>
      </c>
      <c r="Z381" s="892">
        <v>6.03</v>
      </c>
      <c r="AA381" s="942">
        <f t="shared" si="93"/>
        <v>1.7</v>
      </c>
      <c r="AB381" s="892">
        <v>6.03</v>
      </c>
      <c r="AC381" s="942">
        <f t="shared" si="89"/>
        <v>7.24</v>
      </c>
      <c r="AD381" s="892">
        <v>6.03</v>
      </c>
      <c r="AE381" s="942">
        <f t="shared" si="90"/>
        <v>4.3</v>
      </c>
      <c r="AF381" s="943" t="e">
        <f>#N/A</f>
        <v>#N/A</v>
      </c>
      <c r="AG381" s="893">
        <f t="shared" si="82"/>
        <v>39.160000000000004</v>
      </c>
      <c r="AH381" s="894"/>
      <c r="AI381" s="895">
        <v>29.81</v>
      </c>
      <c r="AJ381" s="791">
        <v>25.92</v>
      </c>
      <c r="AK381" s="896">
        <f t="shared" si="91"/>
        <v>4</v>
      </c>
      <c r="AL381" s="896"/>
      <c r="AS381" s="898"/>
    </row>
    <row r="382" spans="1:45" s="779" customFormat="1" ht="28.95" customHeight="1">
      <c r="A382" s="885">
        <v>366</v>
      </c>
      <c r="B382" s="886"/>
      <c r="C382" s="887" t="str">
        <f>'Tên thang 01-26'!E369</f>
        <v>ធាន ថេង</v>
      </c>
      <c r="D382" s="887" t="str">
        <f>'Tên thang 01-26'!F369</f>
        <v>THEAN THENG</v>
      </c>
      <c r="E382" s="888">
        <v>405</v>
      </c>
      <c r="F382" s="889">
        <f>'SAN LUONG'!AP378*0.44</f>
        <v>685.08</v>
      </c>
      <c r="G382" s="889">
        <f t="shared" si="78"/>
        <v>9.76</v>
      </c>
      <c r="H382" s="889">
        <f>'SAN LUONG'!AO378*0.44</f>
        <v>0</v>
      </c>
      <c r="I382" s="889">
        <f t="shared" si="79"/>
        <v>0</v>
      </c>
      <c r="J382" s="889">
        <f>'SAN LUONG'!AV378*0.44</f>
        <v>0</v>
      </c>
      <c r="K382" s="889">
        <f t="shared" si="83"/>
        <v>0</v>
      </c>
      <c r="L382" s="889"/>
      <c r="M382" s="881">
        <f>'CHAM CONG'!BC375</f>
        <v>16</v>
      </c>
      <c r="N382" s="889">
        <f t="shared" si="84"/>
        <v>8.01</v>
      </c>
      <c r="O382" s="889">
        <f t="shared" si="85"/>
        <v>0.5</v>
      </c>
      <c r="P382" s="890">
        <f>'CHAM CONG'!BO375</f>
        <v>28</v>
      </c>
      <c r="Q382" s="942">
        <f t="shared" si="86"/>
        <v>2.63</v>
      </c>
      <c r="R382" s="942">
        <f>'SAN LUONG'!DW378</f>
        <v>9</v>
      </c>
      <c r="S382" s="942">
        <f t="shared" si="80"/>
        <v>0.28000000000000003</v>
      </c>
      <c r="T382" s="943">
        <f>'CHAM CONG'!BW375</f>
        <v>0</v>
      </c>
      <c r="U382" s="942">
        <f t="shared" si="87"/>
        <v>0</v>
      </c>
      <c r="V382" s="890">
        <f>'CHAM CONG'!BD375</f>
        <v>2</v>
      </c>
      <c r="W382" s="944">
        <f t="shared" si="81"/>
        <v>1.06</v>
      </c>
      <c r="X382" s="891">
        <f>'CHAM CONG'!BT375</f>
        <v>1</v>
      </c>
      <c r="Y382" s="881">
        <f t="shared" si="88"/>
        <v>1.1000000000000001</v>
      </c>
      <c r="Z382" s="892">
        <v>6.03</v>
      </c>
      <c r="AA382" s="942">
        <f t="shared" si="93"/>
        <v>1.7</v>
      </c>
      <c r="AB382" s="892">
        <v>6.03</v>
      </c>
      <c r="AC382" s="942">
        <f t="shared" si="89"/>
        <v>7.24</v>
      </c>
      <c r="AD382" s="892">
        <v>6.03</v>
      </c>
      <c r="AE382" s="942">
        <f t="shared" si="90"/>
        <v>4.3</v>
      </c>
      <c r="AF382" s="943" t="e">
        <f>#N/A</f>
        <v>#N/A</v>
      </c>
      <c r="AG382" s="893">
        <f t="shared" si="82"/>
        <v>36.58</v>
      </c>
      <c r="AH382" s="894"/>
      <c r="AI382" s="895">
        <v>32.090000000000003</v>
      </c>
      <c r="AJ382" s="791">
        <v>28.2</v>
      </c>
      <c r="AK382" s="896">
        <f t="shared" si="91"/>
        <v>4</v>
      </c>
      <c r="AL382" s="896"/>
      <c r="AS382" s="898"/>
    </row>
    <row r="383" spans="1:45" s="779" customFormat="1" ht="28.95" customHeight="1">
      <c r="A383" s="885">
        <v>367</v>
      </c>
      <c r="B383" s="886"/>
      <c r="C383" s="887" t="str">
        <f>'Tên thang 01-26'!E370</f>
        <v>ហ៊ន់ ហ៊ីម</v>
      </c>
      <c r="D383" s="887" t="str">
        <f>'Tên thang 01-26'!F370</f>
        <v>HOUN HIM</v>
      </c>
      <c r="E383" s="888">
        <v>406</v>
      </c>
      <c r="F383" s="889">
        <f>'SAN LUONG'!AP379*0.44</f>
        <v>828.96</v>
      </c>
      <c r="G383" s="889">
        <f t="shared" si="78"/>
        <v>11.81</v>
      </c>
      <c r="H383" s="889">
        <f>'SAN LUONG'!AO379*0.44</f>
        <v>0</v>
      </c>
      <c r="I383" s="889">
        <f t="shared" si="79"/>
        <v>0</v>
      </c>
      <c r="J383" s="889">
        <f>'SAN LUONG'!AV379*0.44</f>
        <v>0</v>
      </c>
      <c r="K383" s="889">
        <f t="shared" si="83"/>
        <v>0</v>
      </c>
      <c r="L383" s="889"/>
      <c r="M383" s="881">
        <f>'CHAM CONG'!BC376</f>
        <v>16</v>
      </c>
      <c r="N383" s="889">
        <f t="shared" si="84"/>
        <v>8.01</v>
      </c>
      <c r="O383" s="889">
        <f t="shared" si="85"/>
        <v>0.5</v>
      </c>
      <c r="P383" s="890">
        <f>'CHAM CONG'!BO376</f>
        <v>31</v>
      </c>
      <c r="Q383" s="942">
        <f t="shared" si="86"/>
        <v>2.91</v>
      </c>
      <c r="R383" s="942">
        <f>'SAN LUONG'!DW379</f>
        <v>8</v>
      </c>
      <c r="S383" s="942">
        <f t="shared" si="80"/>
        <v>0.25</v>
      </c>
      <c r="T383" s="943">
        <f>'CHAM CONG'!BW376</f>
        <v>0</v>
      </c>
      <c r="U383" s="942">
        <f t="shared" si="87"/>
        <v>0</v>
      </c>
      <c r="V383" s="890">
        <f>'CHAM CONG'!BD376</f>
        <v>5</v>
      </c>
      <c r="W383" s="944">
        <f t="shared" si="81"/>
        <v>2.66</v>
      </c>
      <c r="X383" s="891">
        <f>'CHAM CONG'!BT376</f>
        <v>1</v>
      </c>
      <c r="Y383" s="881">
        <f t="shared" si="88"/>
        <v>1.1000000000000001</v>
      </c>
      <c r="Z383" s="892">
        <v>6.03</v>
      </c>
      <c r="AA383" s="942">
        <f t="shared" si="93"/>
        <v>1.7</v>
      </c>
      <c r="AB383" s="892">
        <v>6.03</v>
      </c>
      <c r="AC383" s="942">
        <f t="shared" si="89"/>
        <v>7.24</v>
      </c>
      <c r="AD383" s="892">
        <v>6.03</v>
      </c>
      <c r="AE383" s="942">
        <f t="shared" si="90"/>
        <v>4.3</v>
      </c>
      <c r="AF383" s="943" t="e">
        <f>#N/A</f>
        <v>#N/A</v>
      </c>
      <c r="AG383" s="893">
        <f t="shared" si="82"/>
        <v>40.480000000000004</v>
      </c>
      <c r="AH383" s="894"/>
      <c r="AI383" s="895">
        <v>33.520000000000003</v>
      </c>
      <c r="AJ383" s="791">
        <v>29.63</v>
      </c>
      <c r="AK383" s="896">
        <f t="shared" si="91"/>
        <v>4</v>
      </c>
      <c r="AL383" s="896"/>
      <c r="AS383" s="898"/>
    </row>
    <row r="384" spans="1:45" s="779" customFormat="1" ht="28.95" customHeight="1">
      <c r="A384" s="885">
        <v>368</v>
      </c>
      <c r="B384" s="886"/>
      <c r="C384" s="887" t="str">
        <f>'Tên thang 01-26'!E371</f>
        <v>ឈុន សុឃីម</v>
      </c>
      <c r="D384" s="887" t="str">
        <f>'Tên thang 01-26'!F371</f>
        <v>CHHUN SOKHIM</v>
      </c>
      <c r="E384" s="888">
        <v>407</v>
      </c>
      <c r="F384" s="889">
        <f>'SAN LUONG'!AP380*0.44</f>
        <v>822.36</v>
      </c>
      <c r="G384" s="889">
        <f t="shared" si="78"/>
        <v>11.71</v>
      </c>
      <c r="H384" s="889">
        <f>'SAN LUONG'!AO380*0.44</f>
        <v>0</v>
      </c>
      <c r="I384" s="889">
        <f t="shared" si="79"/>
        <v>0</v>
      </c>
      <c r="J384" s="889">
        <f>'SAN LUONG'!AV380*0.44</f>
        <v>0</v>
      </c>
      <c r="K384" s="889">
        <f t="shared" si="83"/>
        <v>0</v>
      </c>
      <c r="L384" s="889"/>
      <c r="M384" s="881">
        <f>'CHAM CONG'!BC377</f>
        <v>16</v>
      </c>
      <c r="N384" s="889">
        <f t="shared" si="84"/>
        <v>8.01</v>
      </c>
      <c r="O384" s="889">
        <f t="shared" si="85"/>
        <v>0.5</v>
      </c>
      <c r="P384" s="890">
        <f>'CHAM CONG'!BO377</f>
        <v>29</v>
      </c>
      <c r="Q384" s="942">
        <f t="shared" si="86"/>
        <v>2.72</v>
      </c>
      <c r="R384" s="942">
        <f>'SAN LUONG'!DW380</f>
        <v>8</v>
      </c>
      <c r="S384" s="942">
        <f t="shared" si="80"/>
        <v>0.25</v>
      </c>
      <c r="T384" s="943">
        <f>'CHAM CONG'!BW377</f>
        <v>0</v>
      </c>
      <c r="U384" s="942">
        <f t="shared" si="87"/>
        <v>0</v>
      </c>
      <c r="V384" s="890">
        <f>'CHAM CONG'!BD377</f>
        <v>4</v>
      </c>
      <c r="W384" s="944">
        <f t="shared" si="81"/>
        <v>2.13</v>
      </c>
      <c r="X384" s="891">
        <f>'CHAM CONG'!BT377</f>
        <v>1</v>
      </c>
      <c r="Y384" s="881">
        <f t="shared" si="88"/>
        <v>1.1000000000000001</v>
      </c>
      <c r="Z384" s="892">
        <v>6.03</v>
      </c>
      <c r="AA384" s="942">
        <f t="shared" si="93"/>
        <v>1.7</v>
      </c>
      <c r="AB384" s="892">
        <v>6.03</v>
      </c>
      <c r="AC384" s="942">
        <f t="shared" si="89"/>
        <v>7.24</v>
      </c>
      <c r="AD384" s="892">
        <v>6.03</v>
      </c>
      <c r="AE384" s="942">
        <f t="shared" si="90"/>
        <v>4.3</v>
      </c>
      <c r="AF384" s="943" t="e">
        <f>#N/A</f>
        <v>#N/A</v>
      </c>
      <c r="AG384" s="893">
        <f t="shared" si="82"/>
        <v>39.659999999999997</v>
      </c>
      <c r="AH384" s="894"/>
      <c r="AI384" s="895">
        <v>31.79</v>
      </c>
      <c r="AJ384" s="791">
        <v>27.9</v>
      </c>
      <c r="AK384" s="896">
        <f t="shared" si="91"/>
        <v>4</v>
      </c>
      <c r="AL384" s="896"/>
      <c r="AS384" s="898"/>
    </row>
    <row r="385" spans="1:45" s="779" customFormat="1" ht="28.95" customHeight="1">
      <c r="A385" s="885">
        <v>369</v>
      </c>
      <c r="B385" s="886"/>
      <c r="C385" s="887" t="str">
        <f>'Tên thang 01-26'!E372</f>
        <v>អ៊ី​ សុខេង</v>
      </c>
      <c r="D385" s="887" t="str">
        <f>'Tên thang 01-26'!F372</f>
        <v>IY SOHKENG</v>
      </c>
      <c r="E385" s="888">
        <v>408</v>
      </c>
      <c r="F385" s="889">
        <f>'SAN LUONG'!AP381*0.44</f>
        <v>781.88</v>
      </c>
      <c r="G385" s="889">
        <f t="shared" si="78"/>
        <v>11.14</v>
      </c>
      <c r="H385" s="889">
        <f>'SAN LUONG'!AO381*0.44</f>
        <v>0</v>
      </c>
      <c r="I385" s="889">
        <f t="shared" si="79"/>
        <v>0</v>
      </c>
      <c r="J385" s="889">
        <f>'SAN LUONG'!AV381*0.44</f>
        <v>0</v>
      </c>
      <c r="K385" s="889">
        <f t="shared" si="83"/>
        <v>0</v>
      </c>
      <c r="L385" s="889"/>
      <c r="M385" s="881">
        <f>'CHAM CONG'!BC378</f>
        <v>16</v>
      </c>
      <c r="N385" s="889">
        <f t="shared" si="84"/>
        <v>8.01</v>
      </c>
      <c r="O385" s="889">
        <f t="shared" si="85"/>
        <v>0.5</v>
      </c>
      <c r="P385" s="890">
        <f>'CHAM CONG'!BO378</f>
        <v>29</v>
      </c>
      <c r="Q385" s="942">
        <f t="shared" si="86"/>
        <v>2.72</v>
      </c>
      <c r="R385" s="942">
        <f>'SAN LUONG'!DW381</f>
        <v>8</v>
      </c>
      <c r="S385" s="942">
        <f t="shared" si="80"/>
        <v>0.25</v>
      </c>
      <c r="T385" s="943">
        <f>'CHAM CONG'!BW378</f>
        <v>0</v>
      </c>
      <c r="U385" s="942">
        <f t="shared" si="87"/>
        <v>0</v>
      </c>
      <c r="V385" s="890">
        <f>'CHAM CONG'!BD378</f>
        <v>3</v>
      </c>
      <c r="W385" s="944">
        <f t="shared" si="81"/>
        <v>1.6</v>
      </c>
      <c r="X385" s="891">
        <f>'CHAM CONG'!BT378</f>
        <v>1</v>
      </c>
      <c r="Y385" s="881">
        <f t="shared" si="88"/>
        <v>1.1000000000000001</v>
      </c>
      <c r="Z385" s="892">
        <v>6.03</v>
      </c>
      <c r="AA385" s="942">
        <f t="shared" si="93"/>
        <v>1.7</v>
      </c>
      <c r="AB385" s="892">
        <v>6.03</v>
      </c>
      <c r="AC385" s="942">
        <f t="shared" si="89"/>
        <v>7.24</v>
      </c>
      <c r="AD385" s="892">
        <v>6.03</v>
      </c>
      <c r="AE385" s="942">
        <f t="shared" si="90"/>
        <v>4.3</v>
      </c>
      <c r="AF385" s="943" t="e">
        <f>#N/A</f>
        <v>#N/A</v>
      </c>
      <c r="AG385" s="893">
        <f t="shared" si="82"/>
        <v>38.56</v>
      </c>
      <c r="AH385" s="894"/>
      <c r="AI385" s="895">
        <v>30.97</v>
      </c>
      <c r="AJ385" s="791">
        <v>27.08</v>
      </c>
      <c r="AK385" s="896">
        <f t="shared" si="91"/>
        <v>4</v>
      </c>
      <c r="AL385" s="896"/>
      <c r="AS385" s="898"/>
    </row>
    <row r="386" spans="1:45" s="779" customFormat="1" ht="28.95" customHeight="1">
      <c r="A386" s="885">
        <v>370</v>
      </c>
      <c r="B386" s="886"/>
      <c r="C386" s="887" t="str">
        <f>'Tên thang 01-26'!E373</f>
        <v>អ៊ាង ផាត</v>
      </c>
      <c r="D386" s="887" t="str">
        <f>'Tên thang 01-26'!F373</f>
        <v>IENG PHAT</v>
      </c>
      <c r="E386" s="888">
        <v>409</v>
      </c>
      <c r="F386" s="889">
        <f>'SAN LUONG'!AP382*0.44</f>
        <v>523.6</v>
      </c>
      <c r="G386" s="889">
        <f t="shared" si="78"/>
        <v>7.46</v>
      </c>
      <c r="H386" s="889">
        <f>'SAN LUONG'!AO382*0.44</f>
        <v>0</v>
      </c>
      <c r="I386" s="889">
        <f t="shared" si="79"/>
        <v>0</v>
      </c>
      <c r="J386" s="889">
        <f>'SAN LUONG'!AV382*0.44</f>
        <v>0</v>
      </c>
      <c r="K386" s="889">
        <f t="shared" si="83"/>
        <v>0</v>
      </c>
      <c r="L386" s="889"/>
      <c r="M386" s="881">
        <f>'CHAM CONG'!BC379</f>
        <v>14</v>
      </c>
      <c r="N386" s="889">
        <f t="shared" si="84"/>
        <v>7.01</v>
      </c>
      <c r="O386" s="889">
        <f t="shared" si="85"/>
        <v>0.44</v>
      </c>
      <c r="P386" s="890">
        <f>'CHAM CONG'!BO379</f>
        <v>28</v>
      </c>
      <c r="Q386" s="942">
        <f t="shared" si="86"/>
        <v>2.63</v>
      </c>
      <c r="R386" s="942">
        <f>'SAN LUONG'!DW382</f>
        <v>6.5</v>
      </c>
      <c r="S386" s="942">
        <f t="shared" si="80"/>
        <v>0.2</v>
      </c>
      <c r="T386" s="943">
        <f>'CHAM CONG'!BW379</f>
        <v>0</v>
      </c>
      <c r="U386" s="942">
        <f t="shared" si="87"/>
        <v>0</v>
      </c>
      <c r="V386" s="890">
        <f>'CHAM CONG'!BD379</f>
        <v>1</v>
      </c>
      <c r="W386" s="944">
        <f t="shared" si="81"/>
        <v>0.53</v>
      </c>
      <c r="X386" s="891">
        <f>'CHAM CONG'!BT379</f>
        <v>1</v>
      </c>
      <c r="Y386" s="881">
        <f t="shared" si="88"/>
        <v>1.1000000000000001</v>
      </c>
      <c r="Z386" s="892">
        <v>6.03</v>
      </c>
      <c r="AA386" s="942">
        <f t="shared" si="93"/>
        <v>1.7</v>
      </c>
      <c r="AB386" s="892">
        <v>6.03</v>
      </c>
      <c r="AC386" s="942">
        <f t="shared" si="89"/>
        <v>7.24</v>
      </c>
      <c r="AD386" s="892">
        <v>6.03</v>
      </c>
      <c r="AE386" s="942">
        <f t="shared" si="90"/>
        <v>4.3</v>
      </c>
      <c r="AF386" s="943" t="e">
        <f>#N/A</f>
        <v>#N/A</v>
      </c>
      <c r="AG386" s="893">
        <f t="shared" si="82"/>
        <v>32.610000000000007</v>
      </c>
      <c r="AH386" s="894"/>
      <c r="AI386" s="895">
        <v>14.88</v>
      </c>
      <c r="AJ386" s="791">
        <v>13</v>
      </c>
      <c r="AK386" s="896">
        <f t="shared" si="91"/>
        <v>2</v>
      </c>
      <c r="AL386" s="896"/>
      <c r="AS386" s="898"/>
    </row>
    <row r="387" spans="1:45" s="779" customFormat="1" ht="28.95" customHeight="1">
      <c r="A387" s="885">
        <v>371</v>
      </c>
      <c r="B387" s="886"/>
      <c r="C387" s="887" t="str">
        <f>'Tên thang 01-26'!E374</f>
        <v>ហ៊ន់ ស្រីហ៊ាង</v>
      </c>
      <c r="D387" s="887" t="str">
        <f>'Tên thang 01-26'!F374</f>
        <v>HORN SREYHEANG</v>
      </c>
      <c r="E387" s="888">
        <v>410</v>
      </c>
      <c r="F387" s="889">
        <f>'SAN LUONG'!AP383*0.44</f>
        <v>533.28</v>
      </c>
      <c r="G387" s="889">
        <f t="shared" si="78"/>
        <v>7.6</v>
      </c>
      <c r="H387" s="889">
        <f>'SAN LUONG'!AO383*0.44</f>
        <v>0</v>
      </c>
      <c r="I387" s="889">
        <f t="shared" si="79"/>
        <v>0</v>
      </c>
      <c r="J387" s="889">
        <f>'SAN LUONG'!AV383*0.44</f>
        <v>0</v>
      </c>
      <c r="K387" s="889">
        <f t="shared" si="83"/>
        <v>0</v>
      </c>
      <c r="L387" s="889"/>
      <c r="M387" s="881">
        <f>'CHAM CONG'!BC380</f>
        <v>14</v>
      </c>
      <c r="N387" s="889">
        <f t="shared" si="84"/>
        <v>7.01</v>
      </c>
      <c r="O387" s="889">
        <f t="shared" si="85"/>
        <v>0.44</v>
      </c>
      <c r="P387" s="890">
        <f>'CHAM CONG'!BO380</f>
        <v>28</v>
      </c>
      <c r="Q387" s="942">
        <f t="shared" si="86"/>
        <v>2.63</v>
      </c>
      <c r="R387" s="942">
        <f>'SAN LUONG'!DW383</f>
        <v>6.5</v>
      </c>
      <c r="S387" s="942">
        <f t="shared" si="80"/>
        <v>0.2</v>
      </c>
      <c r="T387" s="943">
        <f>'CHAM CONG'!BW380</f>
        <v>0</v>
      </c>
      <c r="U387" s="942">
        <f t="shared" si="87"/>
        <v>0</v>
      </c>
      <c r="V387" s="890">
        <f>'CHAM CONG'!BD380</f>
        <v>1</v>
      </c>
      <c r="W387" s="944">
        <f t="shared" si="81"/>
        <v>0.53</v>
      </c>
      <c r="X387" s="891">
        <f>'CHAM CONG'!BT380</f>
        <v>1</v>
      </c>
      <c r="Y387" s="881">
        <f t="shared" si="88"/>
        <v>1.1000000000000001</v>
      </c>
      <c r="Z387" s="892">
        <v>6.03</v>
      </c>
      <c r="AA387" s="942">
        <f t="shared" si="93"/>
        <v>1.7</v>
      </c>
      <c r="AB387" s="892">
        <v>6.03</v>
      </c>
      <c r="AC387" s="942">
        <f t="shared" si="89"/>
        <v>7.24</v>
      </c>
      <c r="AD387" s="892">
        <v>6.03</v>
      </c>
      <c r="AE387" s="942">
        <f t="shared" si="90"/>
        <v>4.3</v>
      </c>
      <c r="AF387" s="943" t="e">
        <f>#N/A</f>
        <v>#N/A</v>
      </c>
      <c r="AG387" s="893">
        <f t="shared" si="82"/>
        <v>32.750000000000007</v>
      </c>
      <c r="AH387" s="894"/>
      <c r="AI387" s="895">
        <v>14.92</v>
      </c>
      <c r="AJ387" s="791">
        <v>13.040000000000001</v>
      </c>
      <c r="AK387" s="896">
        <f t="shared" si="91"/>
        <v>2</v>
      </c>
      <c r="AL387" s="896"/>
      <c r="AS387" s="898"/>
    </row>
    <row r="388" spans="1:45" s="779" customFormat="1" ht="28.95" customHeight="1">
      <c r="A388" s="885">
        <v>372</v>
      </c>
      <c r="B388" s="886"/>
      <c r="C388" s="887" t="str">
        <f>'Tên thang 01-26'!E375</f>
        <v>ត្រុច ចិត្រ្តា</v>
      </c>
      <c r="D388" s="887" t="str">
        <f>'Tên thang 01-26'!F375</f>
        <v>TROCH CHET TRA</v>
      </c>
      <c r="E388" s="888">
        <v>411</v>
      </c>
      <c r="F388" s="889">
        <f>'SAN LUONG'!AP384*0.44</f>
        <v>853.6</v>
      </c>
      <c r="G388" s="889">
        <f t="shared" si="78"/>
        <v>12.16</v>
      </c>
      <c r="H388" s="889">
        <f>'SAN LUONG'!AO384*0.44</f>
        <v>0</v>
      </c>
      <c r="I388" s="889">
        <f t="shared" si="79"/>
        <v>0</v>
      </c>
      <c r="J388" s="889">
        <f>'SAN LUONG'!AV384*0.44</f>
        <v>0</v>
      </c>
      <c r="K388" s="889">
        <f t="shared" si="83"/>
        <v>0</v>
      </c>
      <c r="L388" s="889"/>
      <c r="M388" s="881">
        <f>'CHAM CONG'!BC381</f>
        <v>15</v>
      </c>
      <c r="N388" s="889">
        <f t="shared" si="84"/>
        <v>7.51</v>
      </c>
      <c r="O388" s="889">
        <f t="shared" si="85"/>
        <v>0.47</v>
      </c>
      <c r="P388" s="890">
        <f>'CHAM CONG'!BO381</f>
        <v>29</v>
      </c>
      <c r="Q388" s="942">
        <f t="shared" si="86"/>
        <v>2.72</v>
      </c>
      <c r="R388" s="942">
        <f>'SAN LUONG'!DW384</f>
        <v>8</v>
      </c>
      <c r="S388" s="942">
        <f t="shared" si="80"/>
        <v>0.25</v>
      </c>
      <c r="T388" s="943">
        <f>'CHAM CONG'!BW381</f>
        <v>0</v>
      </c>
      <c r="U388" s="942">
        <f t="shared" si="87"/>
        <v>0</v>
      </c>
      <c r="V388" s="890">
        <f>'CHAM CONG'!BD381</f>
        <v>5</v>
      </c>
      <c r="W388" s="944">
        <f t="shared" si="81"/>
        <v>2.66</v>
      </c>
      <c r="X388" s="891">
        <f>'CHAM CONG'!BT381</f>
        <v>1</v>
      </c>
      <c r="Y388" s="881">
        <f t="shared" si="88"/>
        <v>1.1000000000000001</v>
      </c>
      <c r="Z388" s="892">
        <v>6.03</v>
      </c>
      <c r="AA388" s="942">
        <f t="shared" si="93"/>
        <v>1.7</v>
      </c>
      <c r="AB388" s="892">
        <v>6.03</v>
      </c>
      <c r="AC388" s="942">
        <f t="shared" si="89"/>
        <v>7.24</v>
      </c>
      <c r="AD388" s="892">
        <v>6.03</v>
      </c>
      <c r="AE388" s="942">
        <f t="shared" si="90"/>
        <v>4.3</v>
      </c>
      <c r="AF388" s="943" t="e">
        <f>#N/A</f>
        <v>#N/A</v>
      </c>
      <c r="AG388" s="893">
        <f t="shared" si="82"/>
        <v>40.11</v>
      </c>
      <c r="AH388" s="894"/>
      <c r="AI388" s="895">
        <v>30.85</v>
      </c>
      <c r="AJ388" s="791">
        <v>26.96</v>
      </c>
      <c r="AK388" s="896">
        <f t="shared" si="91"/>
        <v>4</v>
      </c>
      <c r="AL388" s="896"/>
      <c r="AS388" s="898"/>
    </row>
    <row r="389" spans="1:45" s="779" customFormat="1" ht="28.95" customHeight="1">
      <c r="A389" s="885">
        <v>373</v>
      </c>
      <c r="B389" s="886"/>
      <c r="C389" s="887" t="str">
        <f>'Tên thang 01-26'!E376</f>
        <v>ឈុន សុខធា</v>
      </c>
      <c r="D389" s="887" t="str">
        <f>'Tên thang 01-26'!F376</f>
        <v>CHHUN SOKTHEA</v>
      </c>
      <c r="E389" s="888">
        <v>412</v>
      </c>
      <c r="F389" s="889">
        <f>'SAN LUONG'!AP385*0.44</f>
        <v>844.8</v>
      </c>
      <c r="G389" s="889">
        <f t="shared" si="78"/>
        <v>12.03</v>
      </c>
      <c r="H389" s="889">
        <f>'SAN LUONG'!AO385*0.44</f>
        <v>0</v>
      </c>
      <c r="I389" s="889">
        <f t="shared" si="79"/>
        <v>0</v>
      </c>
      <c r="J389" s="889">
        <f>'SAN LUONG'!AV385*0.44</f>
        <v>0</v>
      </c>
      <c r="K389" s="889">
        <f t="shared" si="83"/>
        <v>0</v>
      </c>
      <c r="L389" s="889"/>
      <c r="M389" s="881">
        <f>'CHAM CONG'!BC382</f>
        <v>15</v>
      </c>
      <c r="N389" s="889">
        <f t="shared" si="84"/>
        <v>7.51</v>
      </c>
      <c r="O389" s="889">
        <f t="shared" si="85"/>
        <v>0.47</v>
      </c>
      <c r="P389" s="890">
        <f>'CHAM CONG'!BO382</f>
        <v>29</v>
      </c>
      <c r="Q389" s="942">
        <f t="shared" si="86"/>
        <v>2.72</v>
      </c>
      <c r="R389" s="942">
        <f>'SAN LUONG'!DW385</f>
        <v>8</v>
      </c>
      <c r="S389" s="942">
        <f t="shared" si="80"/>
        <v>0.25</v>
      </c>
      <c r="T389" s="943">
        <f>'CHAM CONG'!BW382</f>
        <v>0</v>
      </c>
      <c r="U389" s="942">
        <f t="shared" si="87"/>
        <v>0</v>
      </c>
      <c r="V389" s="890">
        <f>'CHAM CONG'!BD382</f>
        <v>5</v>
      </c>
      <c r="W389" s="944">
        <f t="shared" si="81"/>
        <v>2.66</v>
      </c>
      <c r="X389" s="891">
        <f>'CHAM CONG'!BT382</f>
        <v>1</v>
      </c>
      <c r="Y389" s="881">
        <f t="shared" si="88"/>
        <v>1.1000000000000001</v>
      </c>
      <c r="Z389" s="892">
        <v>6.03</v>
      </c>
      <c r="AA389" s="942">
        <f t="shared" si="93"/>
        <v>1.7</v>
      </c>
      <c r="AB389" s="892">
        <v>6.03</v>
      </c>
      <c r="AC389" s="942">
        <f t="shared" si="89"/>
        <v>7.24</v>
      </c>
      <c r="AD389" s="892">
        <v>6.03</v>
      </c>
      <c r="AE389" s="942">
        <f t="shared" si="90"/>
        <v>4.3</v>
      </c>
      <c r="AF389" s="943" t="e">
        <f>#N/A</f>
        <v>#N/A</v>
      </c>
      <c r="AG389" s="893">
        <f t="shared" si="82"/>
        <v>39.979999999999997</v>
      </c>
      <c r="AH389" s="894"/>
      <c r="AI389" s="895">
        <v>30.6</v>
      </c>
      <c r="AJ389" s="791">
        <v>27.37</v>
      </c>
      <c r="AK389" s="896">
        <f t="shared" si="91"/>
        <v>3</v>
      </c>
      <c r="AL389" s="896"/>
      <c r="AS389" s="898"/>
    </row>
    <row r="390" spans="1:45" s="779" customFormat="1" ht="28.95" customHeight="1">
      <c r="A390" s="885">
        <v>374</v>
      </c>
      <c r="B390" s="886"/>
      <c r="C390" s="887" t="str">
        <f>'Tên thang 01-26'!E377</f>
        <v>ថាវ ផា</v>
      </c>
      <c r="D390" s="887" t="str">
        <f>'Tên thang 01-26'!F377</f>
        <v>THAV PHA</v>
      </c>
      <c r="E390" s="888">
        <v>413</v>
      </c>
      <c r="F390" s="889">
        <f>'SAN LUONG'!AP386*0.44</f>
        <v>970.64</v>
      </c>
      <c r="G390" s="889">
        <f t="shared" si="78"/>
        <v>13.82</v>
      </c>
      <c r="H390" s="889">
        <f>'SAN LUONG'!AO386*0.44</f>
        <v>0</v>
      </c>
      <c r="I390" s="889">
        <f t="shared" si="79"/>
        <v>0</v>
      </c>
      <c r="J390" s="889">
        <f>'SAN LUONG'!AV386*0.44</f>
        <v>0</v>
      </c>
      <c r="K390" s="889">
        <f t="shared" si="83"/>
        <v>0</v>
      </c>
      <c r="L390" s="889"/>
      <c r="M390" s="881">
        <f>'CHAM CONG'!BC383</f>
        <v>16</v>
      </c>
      <c r="N390" s="889">
        <f t="shared" si="84"/>
        <v>8.01</v>
      </c>
      <c r="O390" s="889">
        <f t="shared" si="85"/>
        <v>0.5</v>
      </c>
      <c r="P390" s="890">
        <f>'CHAM CONG'!BO383</f>
        <v>31</v>
      </c>
      <c r="Q390" s="942">
        <f t="shared" si="86"/>
        <v>2.91</v>
      </c>
      <c r="R390" s="942">
        <f>'SAN LUONG'!DW386</f>
        <v>19</v>
      </c>
      <c r="S390" s="942">
        <f t="shared" si="80"/>
        <v>0.59</v>
      </c>
      <c r="T390" s="943">
        <f>'CHAM CONG'!BW383</f>
        <v>0</v>
      </c>
      <c r="U390" s="942">
        <f t="shared" si="87"/>
        <v>0</v>
      </c>
      <c r="V390" s="890">
        <f>'CHAM CONG'!BD383</f>
        <v>5</v>
      </c>
      <c r="W390" s="944">
        <f t="shared" si="81"/>
        <v>2.66</v>
      </c>
      <c r="X390" s="891">
        <f>'CHAM CONG'!BT383</f>
        <v>1</v>
      </c>
      <c r="Y390" s="881">
        <f t="shared" si="88"/>
        <v>1.1000000000000001</v>
      </c>
      <c r="Z390" s="892">
        <v>6.03</v>
      </c>
      <c r="AA390" s="942">
        <f t="shared" si="93"/>
        <v>1.7</v>
      </c>
      <c r="AB390" s="892">
        <v>6.03</v>
      </c>
      <c r="AC390" s="942">
        <f t="shared" si="89"/>
        <v>7.24</v>
      </c>
      <c r="AD390" s="892">
        <v>6.03</v>
      </c>
      <c r="AE390" s="942">
        <f t="shared" si="90"/>
        <v>4.3</v>
      </c>
      <c r="AF390" s="943" t="e">
        <f>#N/A</f>
        <v>#N/A</v>
      </c>
      <c r="AG390" s="893">
        <f t="shared" si="82"/>
        <v>42.83</v>
      </c>
      <c r="AH390" s="894"/>
      <c r="AI390" s="895">
        <v>31.02</v>
      </c>
      <c r="AJ390" s="791">
        <v>26.550000000000004</v>
      </c>
      <c r="AK390" s="896">
        <f t="shared" si="91"/>
        <v>4</v>
      </c>
      <c r="AL390" s="896"/>
      <c r="AS390" s="898"/>
    </row>
    <row r="391" spans="1:45" s="779" customFormat="1" ht="28.95" customHeight="1">
      <c r="A391" s="885">
        <v>375</v>
      </c>
      <c r="B391" s="886"/>
      <c r="C391" s="887" t="str">
        <f>'Tên thang 01-26'!E378</f>
        <v>លន វុត</v>
      </c>
      <c r="D391" s="887" t="str">
        <f>'Tên thang 01-26'!F378</f>
        <v>LORN VUT</v>
      </c>
      <c r="E391" s="888">
        <v>414</v>
      </c>
      <c r="F391" s="889">
        <f>'SAN LUONG'!AP387*0.44</f>
        <v>988.24</v>
      </c>
      <c r="G391" s="889">
        <f t="shared" si="78"/>
        <v>14.07</v>
      </c>
      <c r="H391" s="889">
        <f>'SAN LUONG'!AO387*0.44</f>
        <v>0</v>
      </c>
      <c r="I391" s="889">
        <f t="shared" si="79"/>
        <v>0</v>
      </c>
      <c r="J391" s="889">
        <f>'SAN LUONG'!AV387*0.44</f>
        <v>0</v>
      </c>
      <c r="K391" s="889">
        <f t="shared" si="83"/>
        <v>0</v>
      </c>
      <c r="L391" s="889"/>
      <c r="M391" s="881">
        <f>'CHAM CONG'!BC384</f>
        <v>16</v>
      </c>
      <c r="N391" s="889">
        <f t="shared" si="84"/>
        <v>8.01</v>
      </c>
      <c r="O391" s="889">
        <f t="shared" si="85"/>
        <v>0.5</v>
      </c>
      <c r="P391" s="890">
        <f>'CHAM CONG'!BO384</f>
        <v>31</v>
      </c>
      <c r="Q391" s="942">
        <f t="shared" si="86"/>
        <v>2.91</v>
      </c>
      <c r="R391" s="942">
        <f>'SAN LUONG'!DW387</f>
        <v>19</v>
      </c>
      <c r="S391" s="942">
        <f t="shared" si="80"/>
        <v>0.59</v>
      </c>
      <c r="T391" s="943">
        <f>'CHAM CONG'!BW384</f>
        <v>0</v>
      </c>
      <c r="U391" s="942">
        <f t="shared" si="87"/>
        <v>0</v>
      </c>
      <c r="V391" s="890">
        <f>'CHAM CONG'!BD384</f>
        <v>5</v>
      </c>
      <c r="W391" s="944">
        <f t="shared" si="81"/>
        <v>2.66</v>
      </c>
      <c r="X391" s="891">
        <f>'CHAM CONG'!BT384</f>
        <v>1</v>
      </c>
      <c r="Y391" s="881">
        <f t="shared" si="88"/>
        <v>1.1000000000000001</v>
      </c>
      <c r="Z391" s="892">
        <v>6.03</v>
      </c>
      <c r="AA391" s="942">
        <f t="shared" si="93"/>
        <v>1.7</v>
      </c>
      <c r="AB391" s="892">
        <v>6.03</v>
      </c>
      <c r="AC391" s="942">
        <f t="shared" si="89"/>
        <v>7.24</v>
      </c>
      <c r="AD391" s="892">
        <v>6.03</v>
      </c>
      <c r="AE391" s="942">
        <f t="shared" si="90"/>
        <v>4.3</v>
      </c>
      <c r="AF391" s="943" t="e">
        <f>#N/A</f>
        <v>#N/A</v>
      </c>
      <c r="AG391" s="893">
        <f t="shared" si="82"/>
        <v>43.08</v>
      </c>
      <c r="AH391" s="894"/>
      <c r="AI391" s="895">
        <v>31.27</v>
      </c>
      <c r="AJ391" s="791">
        <v>27.420000000000005</v>
      </c>
      <c r="AK391" s="896">
        <f t="shared" si="91"/>
        <v>4</v>
      </c>
      <c r="AL391" s="896"/>
      <c r="AS391" s="898"/>
    </row>
    <row r="392" spans="1:45" s="779" customFormat="1" ht="28.95" customHeight="1">
      <c r="A392" s="885">
        <v>376</v>
      </c>
      <c r="B392" s="886"/>
      <c r="C392" s="887" t="str">
        <f>'Tên thang 01-26'!E379</f>
        <v>លីន ចាន់</v>
      </c>
      <c r="D392" s="887" t="str">
        <f>'Tên thang 01-26'!F379</f>
        <v>LIN CHAN</v>
      </c>
      <c r="E392" s="888">
        <v>415</v>
      </c>
      <c r="F392" s="889">
        <f>'SAN LUONG'!AP388*0.44</f>
        <v>906.4</v>
      </c>
      <c r="G392" s="889">
        <f t="shared" si="78"/>
        <v>12.91</v>
      </c>
      <c r="H392" s="889">
        <f>'SAN LUONG'!AO388*0.44</f>
        <v>0</v>
      </c>
      <c r="I392" s="889">
        <f t="shared" si="79"/>
        <v>0</v>
      </c>
      <c r="J392" s="889">
        <f>'SAN LUONG'!AV388*0.44</f>
        <v>0</v>
      </c>
      <c r="K392" s="889">
        <f t="shared" si="83"/>
        <v>0</v>
      </c>
      <c r="L392" s="889"/>
      <c r="M392" s="881">
        <f>'CHAM CONG'!BC385</f>
        <v>16</v>
      </c>
      <c r="N392" s="889">
        <f t="shared" si="84"/>
        <v>8.01</v>
      </c>
      <c r="O392" s="889">
        <f t="shared" si="85"/>
        <v>0.5</v>
      </c>
      <c r="P392" s="890">
        <f>'CHAM CONG'!BO385</f>
        <v>31</v>
      </c>
      <c r="Q392" s="942">
        <f t="shared" si="86"/>
        <v>2.91</v>
      </c>
      <c r="R392" s="942">
        <f>'SAN LUONG'!DW388</f>
        <v>19</v>
      </c>
      <c r="S392" s="942">
        <f t="shared" si="80"/>
        <v>0.59</v>
      </c>
      <c r="T392" s="943">
        <f>'CHAM CONG'!BW385</f>
        <v>0</v>
      </c>
      <c r="U392" s="942">
        <f t="shared" si="87"/>
        <v>0</v>
      </c>
      <c r="V392" s="890">
        <f>'CHAM CONG'!BD385</f>
        <v>5</v>
      </c>
      <c r="W392" s="944">
        <f t="shared" si="81"/>
        <v>2.66</v>
      </c>
      <c r="X392" s="891">
        <f>'CHAM CONG'!BT385</f>
        <v>1</v>
      </c>
      <c r="Y392" s="881">
        <f t="shared" si="88"/>
        <v>1.1000000000000001</v>
      </c>
      <c r="Z392" s="892">
        <v>6.03</v>
      </c>
      <c r="AA392" s="942">
        <f t="shared" si="93"/>
        <v>1.7</v>
      </c>
      <c r="AB392" s="892">
        <v>6.03</v>
      </c>
      <c r="AC392" s="942">
        <f t="shared" si="89"/>
        <v>7.24</v>
      </c>
      <c r="AD392" s="892">
        <v>6.03</v>
      </c>
      <c r="AE392" s="942">
        <f t="shared" si="90"/>
        <v>4.3</v>
      </c>
      <c r="AF392" s="943" t="e">
        <f>#N/A</f>
        <v>#N/A</v>
      </c>
      <c r="AG392" s="893">
        <f t="shared" si="82"/>
        <v>41.92</v>
      </c>
      <c r="AH392" s="894"/>
      <c r="AI392" s="895">
        <v>28.8</v>
      </c>
      <c r="AJ392" s="791">
        <v>24.950000000000003</v>
      </c>
      <c r="AK392" s="896">
        <f t="shared" si="91"/>
        <v>4</v>
      </c>
      <c r="AL392" s="896"/>
      <c r="AS392" s="898"/>
    </row>
    <row r="393" spans="1:45" s="779" customFormat="1" ht="28.95" customHeight="1">
      <c r="A393" s="885">
        <v>377</v>
      </c>
      <c r="B393" s="886"/>
      <c r="C393" s="887" t="str">
        <f>'Tên thang 01-26'!E380</f>
        <v>ប៊ុណ្ណា ចាន់ទ្រា</v>
      </c>
      <c r="D393" s="887" t="str">
        <f>'Tên thang 01-26'!F380</f>
        <v>BUNNA CHAN TREA</v>
      </c>
      <c r="E393" s="888">
        <v>416</v>
      </c>
      <c r="F393" s="889">
        <f>'SAN LUONG'!AP389*0.44</f>
        <v>580.36</v>
      </c>
      <c r="G393" s="889">
        <f t="shared" si="78"/>
        <v>8.27</v>
      </c>
      <c r="H393" s="889">
        <f>'SAN LUONG'!AO389*0.44</f>
        <v>0</v>
      </c>
      <c r="I393" s="889">
        <f t="shared" si="79"/>
        <v>0</v>
      </c>
      <c r="J393" s="889">
        <f>'SAN LUONG'!AV389*0.44</f>
        <v>0</v>
      </c>
      <c r="K393" s="889">
        <f t="shared" si="83"/>
        <v>0</v>
      </c>
      <c r="L393" s="889"/>
      <c r="M393" s="881">
        <f>'CHAM CONG'!BC386</f>
        <v>13</v>
      </c>
      <c r="N393" s="889">
        <f t="shared" si="84"/>
        <v>6.51</v>
      </c>
      <c r="O393" s="889">
        <f t="shared" si="85"/>
        <v>0.41</v>
      </c>
      <c r="P393" s="890">
        <f>'CHAM CONG'!BO386</f>
        <v>27</v>
      </c>
      <c r="Q393" s="942">
        <f t="shared" si="86"/>
        <v>2.54</v>
      </c>
      <c r="R393" s="942">
        <f>'SAN LUONG'!DW389</f>
        <v>8.5</v>
      </c>
      <c r="S393" s="942">
        <f t="shared" si="80"/>
        <v>0.27</v>
      </c>
      <c r="T393" s="943">
        <f>'CHAM CONG'!BW386</f>
        <v>0</v>
      </c>
      <c r="U393" s="942">
        <f t="shared" si="87"/>
        <v>0</v>
      </c>
      <c r="V393" s="890">
        <f>'CHAM CONG'!BD386</f>
        <v>1</v>
      </c>
      <c r="W393" s="944">
        <f t="shared" si="81"/>
        <v>0.53</v>
      </c>
      <c r="X393" s="891">
        <f>'CHAM CONG'!BT386</f>
        <v>1</v>
      </c>
      <c r="Y393" s="881">
        <f t="shared" si="88"/>
        <v>1.1000000000000001</v>
      </c>
      <c r="Z393" s="892">
        <v>6.03</v>
      </c>
      <c r="AA393" s="942">
        <f t="shared" si="93"/>
        <v>1.7</v>
      </c>
      <c r="AB393" s="892">
        <v>6.03</v>
      </c>
      <c r="AC393" s="942">
        <f t="shared" si="89"/>
        <v>7.24</v>
      </c>
      <c r="AD393" s="892">
        <v>6.03</v>
      </c>
      <c r="AE393" s="942">
        <f t="shared" si="90"/>
        <v>4.3</v>
      </c>
      <c r="AF393" s="943" t="e">
        <f>#N/A</f>
        <v>#N/A</v>
      </c>
      <c r="AG393" s="893">
        <f t="shared" si="82"/>
        <v>32.870000000000005</v>
      </c>
      <c r="AH393" s="894"/>
      <c r="AI393" s="895">
        <v>28.43</v>
      </c>
      <c r="AJ393" s="791">
        <v>25.2</v>
      </c>
      <c r="AK393" s="896">
        <f t="shared" si="91"/>
        <v>3</v>
      </c>
      <c r="AL393" s="896"/>
      <c r="AS393" s="898"/>
    </row>
    <row r="394" spans="1:45" s="779" customFormat="1" ht="28.95" customHeight="1">
      <c r="A394" s="885">
        <v>378</v>
      </c>
      <c r="B394" s="886"/>
      <c r="C394" s="887" t="str">
        <f>'Tên thang 01-26'!E381</f>
        <v>ទិត ភឿន</v>
      </c>
      <c r="D394" s="887" t="str">
        <f>'Tên thang 01-26'!F381</f>
        <v>TITH PHOEUN</v>
      </c>
      <c r="E394" s="888">
        <v>417</v>
      </c>
      <c r="F394" s="889">
        <f>'SAN LUONG'!AP390*0.44</f>
        <v>1052.04</v>
      </c>
      <c r="G394" s="889">
        <f t="shared" si="78"/>
        <v>14.98</v>
      </c>
      <c r="H394" s="889">
        <f>'SAN LUONG'!AO390*0.44</f>
        <v>0</v>
      </c>
      <c r="I394" s="889">
        <f t="shared" si="79"/>
        <v>0</v>
      </c>
      <c r="J394" s="889">
        <f>'SAN LUONG'!AV390*0.44</f>
        <v>0</v>
      </c>
      <c r="K394" s="889">
        <f t="shared" si="83"/>
        <v>0</v>
      </c>
      <c r="L394" s="889"/>
      <c r="M394" s="881">
        <f>'CHAM CONG'!BC387</f>
        <v>16</v>
      </c>
      <c r="N394" s="889">
        <f t="shared" si="84"/>
        <v>8.01</v>
      </c>
      <c r="O394" s="889">
        <f t="shared" si="85"/>
        <v>0.5</v>
      </c>
      <c r="P394" s="890">
        <f>'CHAM CONG'!BO387</f>
        <v>29</v>
      </c>
      <c r="Q394" s="942">
        <f t="shared" si="86"/>
        <v>2.72</v>
      </c>
      <c r="R394" s="942">
        <f>'SAN LUONG'!DW390</f>
        <v>12</v>
      </c>
      <c r="S394" s="942">
        <f t="shared" si="80"/>
        <v>0.38</v>
      </c>
      <c r="T394" s="943">
        <f>'CHAM CONG'!BW387</f>
        <v>0</v>
      </c>
      <c r="U394" s="942">
        <f t="shared" si="87"/>
        <v>0</v>
      </c>
      <c r="V394" s="890">
        <f>'CHAM CONG'!BD387</f>
        <v>5</v>
      </c>
      <c r="W394" s="944">
        <f t="shared" si="81"/>
        <v>2.66</v>
      </c>
      <c r="X394" s="891">
        <f>'CHAM CONG'!BT387</f>
        <v>1</v>
      </c>
      <c r="Y394" s="881">
        <f t="shared" si="88"/>
        <v>1.1000000000000001</v>
      </c>
      <c r="Z394" s="892">
        <v>6.03</v>
      </c>
      <c r="AA394" s="942">
        <f t="shared" si="93"/>
        <v>1.7</v>
      </c>
      <c r="AB394" s="892">
        <v>6.03</v>
      </c>
      <c r="AC394" s="942">
        <f t="shared" si="89"/>
        <v>7.24</v>
      </c>
      <c r="AD394" s="892">
        <v>6.03</v>
      </c>
      <c r="AE394" s="942">
        <f t="shared" si="90"/>
        <v>4.3</v>
      </c>
      <c r="AF394" s="943" t="e">
        <f>#N/A</f>
        <v>#N/A</v>
      </c>
      <c r="AG394" s="893">
        <f t="shared" si="82"/>
        <v>43.59</v>
      </c>
      <c r="AH394" s="894"/>
      <c r="AI394" s="895">
        <v>30.37</v>
      </c>
      <c r="AJ394" s="791">
        <v>26.520000000000003</v>
      </c>
      <c r="AK394" s="896">
        <f t="shared" si="91"/>
        <v>4</v>
      </c>
      <c r="AL394" s="896"/>
      <c r="AS394" s="898"/>
    </row>
    <row r="395" spans="1:45" s="779" customFormat="1" ht="28.95" customHeight="1">
      <c r="A395" s="885">
        <v>379</v>
      </c>
      <c r="B395" s="886"/>
      <c r="C395" s="887" t="str">
        <f>'Tên thang 01-26'!E382</f>
        <v>យេត​ យ៉ឺ</v>
      </c>
      <c r="D395" s="887" t="str">
        <f>'Tên thang 01-26'!F382</f>
        <v>YET YEV</v>
      </c>
      <c r="E395" s="888">
        <v>418</v>
      </c>
      <c r="F395" s="889">
        <f>'SAN LUONG'!AP391*0.44</f>
        <v>913.44</v>
      </c>
      <c r="G395" s="889">
        <f t="shared" si="78"/>
        <v>13.01</v>
      </c>
      <c r="H395" s="889">
        <f>'SAN LUONG'!AO391*0.44</f>
        <v>0</v>
      </c>
      <c r="I395" s="889">
        <f t="shared" si="79"/>
        <v>0</v>
      </c>
      <c r="J395" s="889">
        <f>'SAN LUONG'!AV391*0.44</f>
        <v>0</v>
      </c>
      <c r="K395" s="889">
        <f t="shared" si="83"/>
        <v>0</v>
      </c>
      <c r="L395" s="889"/>
      <c r="M395" s="881">
        <f>'CHAM CONG'!BC388</f>
        <v>16</v>
      </c>
      <c r="N395" s="889">
        <f t="shared" si="84"/>
        <v>8.01</v>
      </c>
      <c r="O395" s="889">
        <f t="shared" si="85"/>
        <v>0.5</v>
      </c>
      <c r="P395" s="890">
        <f>'CHAM CONG'!BO388</f>
        <v>31</v>
      </c>
      <c r="Q395" s="942">
        <f t="shared" si="86"/>
        <v>2.91</v>
      </c>
      <c r="R395" s="942">
        <f>'SAN LUONG'!DW391</f>
        <v>6</v>
      </c>
      <c r="S395" s="942">
        <f t="shared" si="80"/>
        <v>0.19</v>
      </c>
      <c r="T395" s="943">
        <f>'CHAM CONG'!BW388</f>
        <v>0</v>
      </c>
      <c r="U395" s="942">
        <f t="shared" si="87"/>
        <v>0</v>
      </c>
      <c r="V395" s="890">
        <f>'CHAM CONG'!BD388</f>
        <v>5</v>
      </c>
      <c r="W395" s="944">
        <f t="shared" si="81"/>
        <v>2.66</v>
      </c>
      <c r="X395" s="891">
        <f>'CHAM CONG'!BT388</f>
        <v>1</v>
      </c>
      <c r="Y395" s="881">
        <f t="shared" si="88"/>
        <v>1.1000000000000001</v>
      </c>
      <c r="Z395" s="892">
        <v>6.03</v>
      </c>
      <c r="AA395" s="942">
        <f t="shared" si="93"/>
        <v>1.7</v>
      </c>
      <c r="AB395" s="892">
        <v>6.03</v>
      </c>
      <c r="AC395" s="942">
        <f t="shared" si="89"/>
        <v>7.24</v>
      </c>
      <c r="AD395" s="892">
        <v>6.03</v>
      </c>
      <c r="AE395" s="942">
        <f t="shared" si="90"/>
        <v>4.3</v>
      </c>
      <c r="AF395" s="943" t="e">
        <f>#N/A</f>
        <v>#N/A</v>
      </c>
      <c r="AG395" s="893">
        <f t="shared" si="82"/>
        <v>41.620000000000005</v>
      </c>
      <c r="AH395" s="894"/>
      <c r="AI395" s="895">
        <v>28.66</v>
      </c>
      <c r="AJ395" s="791">
        <v>24.800000000000004</v>
      </c>
      <c r="AK395" s="896">
        <f t="shared" si="91"/>
        <v>4</v>
      </c>
      <c r="AL395" s="896"/>
      <c r="AS395" s="898"/>
    </row>
    <row r="396" spans="1:45" s="779" customFormat="1" ht="28.95" customHeight="1">
      <c r="A396" s="885">
        <v>380</v>
      </c>
      <c r="B396" s="886"/>
      <c r="C396" s="887" t="str">
        <f>'Tên thang 01-26'!E383</f>
        <v>ប៊ុនណា មករា</v>
      </c>
      <c r="D396" s="887" t="str">
        <f>'Tên thang 01-26'!F383</f>
        <v>BUNNA MAKARA</v>
      </c>
      <c r="E396" s="888">
        <v>419</v>
      </c>
      <c r="F396" s="889">
        <f>'SAN LUONG'!AP392*0.44</f>
        <v>872.08</v>
      </c>
      <c r="G396" s="889">
        <f t="shared" si="78"/>
        <v>12.42</v>
      </c>
      <c r="H396" s="889">
        <f>'SAN LUONG'!AO392*0.44</f>
        <v>0</v>
      </c>
      <c r="I396" s="889">
        <f t="shared" si="79"/>
        <v>0</v>
      </c>
      <c r="J396" s="889">
        <f>'SAN LUONG'!AV392*0.44</f>
        <v>0</v>
      </c>
      <c r="K396" s="889">
        <f t="shared" si="83"/>
        <v>0</v>
      </c>
      <c r="L396" s="889"/>
      <c r="M396" s="881">
        <f>'CHAM CONG'!BC389</f>
        <v>16</v>
      </c>
      <c r="N396" s="889">
        <f t="shared" si="84"/>
        <v>8.01</v>
      </c>
      <c r="O396" s="889">
        <f t="shared" si="85"/>
        <v>0.5</v>
      </c>
      <c r="P396" s="890">
        <f>'CHAM CONG'!BO389</f>
        <v>31</v>
      </c>
      <c r="Q396" s="942">
        <f t="shared" si="86"/>
        <v>2.91</v>
      </c>
      <c r="R396" s="942">
        <f>'SAN LUONG'!DW392</f>
        <v>6</v>
      </c>
      <c r="S396" s="942">
        <f t="shared" si="80"/>
        <v>0.19</v>
      </c>
      <c r="T396" s="943">
        <f>'CHAM CONG'!BW389</f>
        <v>0</v>
      </c>
      <c r="U396" s="942">
        <f t="shared" si="87"/>
        <v>0</v>
      </c>
      <c r="V396" s="890">
        <f>'CHAM CONG'!BD389</f>
        <v>5</v>
      </c>
      <c r="W396" s="944">
        <f t="shared" si="81"/>
        <v>2.66</v>
      </c>
      <c r="X396" s="891">
        <f>'CHAM CONG'!BT389</f>
        <v>1</v>
      </c>
      <c r="Y396" s="881">
        <f t="shared" si="88"/>
        <v>1.1000000000000001</v>
      </c>
      <c r="Z396" s="892">
        <v>6.03</v>
      </c>
      <c r="AA396" s="942">
        <f t="shared" si="93"/>
        <v>1.7</v>
      </c>
      <c r="AB396" s="892">
        <v>6.03</v>
      </c>
      <c r="AC396" s="942">
        <f t="shared" si="89"/>
        <v>7.24</v>
      </c>
      <c r="AD396" s="892">
        <v>6.03</v>
      </c>
      <c r="AE396" s="942">
        <f t="shared" si="90"/>
        <v>4.3</v>
      </c>
      <c r="AF396" s="943" t="e">
        <f>#N/A</f>
        <v>#N/A</v>
      </c>
      <c r="AG396" s="893">
        <f t="shared" si="82"/>
        <v>41.03</v>
      </c>
      <c r="AH396" s="894"/>
      <c r="AI396" s="895">
        <v>28.46</v>
      </c>
      <c r="AJ396" s="791">
        <v>24.600000000000005</v>
      </c>
      <c r="AK396" s="896">
        <f t="shared" si="91"/>
        <v>4</v>
      </c>
      <c r="AL396" s="896"/>
      <c r="AS396" s="898"/>
    </row>
    <row r="397" spans="1:45" s="779" customFormat="1" ht="28.95" customHeight="1">
      <c r="A397" s="885">
        <v>381</v>
      </c>
      <c r="B397" s="886"/>
      <c r="C397" s="887" t="str">
        <f>'Tên thang 01-26'!E384</f>
        <v>ប៉ិច រក្សា</v>
      </c>
      <c r="D397" s="887" t="str">
        <f>'Tên thang 01-26'!F384</f>
        <v>PECH REAKSA</v>
      </c>
      <c r="E397" s="888">
        <v>420</v>
      </c>
      <c r="F397" s="889">
        <f>'SAN LUONG'!AP393*0.44</f>
        <v>916.52</v>
      </c>
      <c r="G397" s="889">
        <f t="shared" si="78"/>
        <v>13.05</v>
      </c>
      <c r="H397" s="889">
        <f>'SAN LUONG'!AO393*0.44</f>
        <v>0</v>
      </c>
      <c r="I397" s="889">
        <f t="shared" si="79"/>
        <v>0</v>
      </c>
      <c r="J397" s="889">
        <f>'SAN LUONG'!AV393*0.44</f>
        <v>0</v>
      </c>
      <c r="K397" s="889">
        <f t="shared" si="83"/>
        <v>0</v>
      </c>
      <c r="L397" s="889"/>
      <c r="M397" s="881">
        <f>'CHAM CONG'!BC390</f>
        <v>16</v>
      </c>
      <c r="N397" s="889">
        <f t="shared" si="84"/>
        <v>8.01</v>
      </c>
      <c r="O397" s="889">
        <f t="shared" si="85"/>
        <v>0.5</v>
      </c>
      <c r="P397" s="890">
        <f>'CHAM CONG'!BO390</f>
        <v>30</v>
      </c>
      <c r="Q397" s="942">
        <f t="shared" si="86"/>
        <v>2.82</v>
      </c>
      <c r="R397" s="942">
        <f>'SAN LUONG'!DW393</f>
        <v>12</v>
      </c>
      <c r="S397" s="942">
        <f t="shared" si="80"/>
        <v>0.38</v>
      </c>
      <c r="T397" s="943">
        <f>'CHAM CONG'!BW390</f>
        <v>0</v>
      </c>
      <c r="U397" s="942">
        <f t="shared" si="87"/>
        <v>0</v>
      </c>
      <c r="V397" s="890">
        <f>'CHAM CONG'!BD390</f>
        <v>3</v>
      </c>
      <c r="W397" s="944">
        <f t="shared" si="81"/>
        <v>1.6</v>
      </c>
      <c r="X397" s="891">
        <f>'CHAM CONG'!BT390</f>
        <v>1</v>
      </c>
      <c r="Y397" s="881">
        <f t="shared" si="88"/>
        <v>1.1000000000000001</v>
      </c>
      <c r="Z397" s="892">
        <v>6.03</v>
      </c>
      <c r="AA397" s="942">
        <f t="shared" si="93"/>
        <v>1.7</v>
      </c>
      <c r="AB397" s="892">
        <v>6.03</v>
      </c>
      <c r="AC397" s="942">
        <f t="shared" si="89"/>
        <v>7.24</v>
      </c>
      <c r="AD397" s="892">
        <v>6.03</v>
      </c>
      <c r="AE397" s="942">
        <f t="shared" si="90"/>
        <v>4.3</v>
      </c>
      <c r="AF397" s="943" t="e">
        <f>#N/A</f>
        <v>#N/A</v>
      </c>
      <c r="AG397" s="893">
        <f t="shared" si="82"/>
        <v>40.700000000000003</v>
      </c>
      <c r="AH397" s="894"/>
      <c r="AI397" s="895">
        <v>32.08</v>
      </c>
      <c r="AJ397" s="791">
        <v>28.23</v>
      </c>
      <c r="AK397" s="896">
        <f t="shared" si="91"/>
        <v>4</v>
      </c>
      <c r="AL397" s="896"/>
      <c r="AS397" s="898"/>
    </row>
    <row r="398" spans="1:45" s="779" customFormat="1" ht="28.95" customHeight="1">
      <c r="A398" s="885">
        <v>382</v>
      </c>
      <c r="B398" s="886"/>
      <c r="C398" s="887" t="str">
        <f>'Tên thang 01-26'!E385</f>
        <v>គ្រីប គន្ធា</v>
      </c>
      <c r="D398" s="887" t="str">
        <f>'Tên thang 01-26'!F385</f>
        <v>KRIB KUNTHEA</v>
      </c>
      <c r="E398" s="888">
        <v>421</v>
      </c>
      <c r="F398" s="889">
        <f>'SAN LUONG'!AP394*0.44</f>
        <v>880.88</v>
      </c>
      <c r="G398" s="889">
        <f t="shared" si="78"/>
        <v>12.55</v>
      </c>
      <c r="H398" s="889">
        <f>'SAN LUONG'!AO394*0.44</f>
        <v>0</v>
      </c>
      <c r="I398" s="889">
        <f t="shared" si="79"/>
        <v>0</v>
      </c>
      <c r="J398" s="889">
        <f>'SAN LUONG'!AV394*0.44</f>
        <v>0</v>
      </c>
      <c r="K398" s="889">
        <f t="shared" si="83"/>
        <v>0</v>
      </c>
      <c r="L398" s="889"/>
      <c r="M398" s="881">
        <f>'CHAM CONG'!BC391</f>
        <v>14</v>
      </c>
      <c r="N398" s="889">
        <f t="shared" si="84"/>
        <v>7.01</v>
      </c>
      <c r="O398" s="889">
        <f t="shared" si="85"/>
        <v>0.44</v>
      </c>
      <c r="P398" s="890">
        <f>'CHAM CONG'!BO391</f>
        <v>28</v>
      </c>
      <c r="Q398" s="942">
        <f t="shared" si="86"/>
        <v>2.63</v>
      </c>
      <c r="R398" s="942">
        <f>'SAN LUONG'!DW394</f>
        <v>12</v>
      </c>
      <c r="S398" s="942">
        <f t="shared" si="80"/>
        <v>0.38</v>
      </c>
      <c r="T398" s="943">
        <f>'CHAM CONG'!BW391</f>
        <v>0</v>
      </c>
      <c r="U398" s="942">
        <f t="shared" si="87"/>
        <v>0</v>
      </c>
      <c r="V398" s="890">
        <f>'CHAM CONG'!BD391</f>
        <v>3</v>
      </c>
      <c r="W398" s="944">
        <f t="shared" si="81"/>
        <v>1.6</v>
      </c>
      <c r="X398" s="891">
        <f>'CHAM CONG'!BT391</f>
        <v>1</v>
      </c>
      <c r="Y398" s="881">
        <f t="shared" si="88"/>
        <v>1.1000000000000001</v>
      </c>
      <c r="Z398" s="892">
        <v>6.03</v>
      </c>
      <c r="AA398" s="942">
        <f t="shared" si="93"/>
        <v>1.7</v>
      </c>
      <c r="AB398" s="892">
        <v>6.03</v>
      </c>
      <c r="AC398" s="942">
        <f t="shared" si="89"/>
        <v>7.24</v>
      </c>
      <c r="AD398" s="892">
        <v>6.03</v>
      </c>
      <c r="AE398" s="942">
        <f t="shared" si="90"/>
        <v>4.3</v>
      </c>
      <c r="AF398" s="943" t="e">
        <f>#N/A</f>
        <v>#N/A</v>
      </c>
      <c r="AG398" s="893">
        <f t="shared" si="82"/>
        <v>38.950000000000003</v>
      </c>
      <c r="AH398" s="894"/>
      <c r="AI398" s="895">
        <v>32.08</v>
      </c>
      <c r="AJ398" s="791">
        <v>27.61</v>
      </c>
      <c r="AK398" s="896">
        <f t="shared" si="91"/>
        <v>4</v>
      </c>
      <c r="AL398" s="896"/>
      <c r="AS398" s="898"/>
    </row>
    <row r="399" spans="1:45" s="779" customFormat="1" ht="28.95" customHeight="1">
      <c r="A399" s="885">
        <v>383</v>
      </c>
      <c r="B399" s="886"/>
      <c r="C399" s="887" t="str">
        <f>'Tên thang 01-26'!E386</f>
        <v>គ្រីប ស្រិន</v>
      </c>
      <c r="D399" s="887" t="str">
        <f>'Tên thang 01-26'!F386</f>
        <v>KRIB SRIN</v>
      </c>
      <c r="E399" s="888">
        <v>422</v>
      </c>
      <c r="F399" s="889">
        <f>'SAN LUONG'!AP395*0.44</f>
        <v>713.68</v>
      </c>
      <c r="G399" s="889">
        <f t="shared" si="78"/>
        <v>10.16</v>
      </c>
      <c r="H399" s="889">
        <f>'SAN LUONG'!AO395*0.44</f>
        <v>0</v>
      </c>
      <c r="I399" s="889">
        <f t="shared" si="79"/>
        <v>0</v>
      </c>
      <c r="J399" s="889">
        <f>'SAN LUONG'!AV395*0.44</f>
        <v>0</v>
      </c>
      <c r="K399" s="889">
        <f t="shared" si="83"/>
        <v>0</v>
      </c>
      <c r="L399" s="889"/>
      <c r="M399" s="881">
        <f>'CHAM CONG'!BC392</f>
        <v>13</v>
      </c>
      <c r="N399" s="889">
        <f t="shared" si="84"/>
        <v>6.51</v>
      </c>
      <c r="O399" s="889">
        <f t="shared" si="85"/>
        <v>0.41</v>
      </c>
      <c r="P399" s="890">
        <f>'CHAM CONG'!BO392</f>
        <v>28</v>
      </c>
      <c r="Q399" s="942">
        <f t="shared" si="86"/>
        <v>2.63</v>
      </c>
      <c r="R399" s="942">
        <f>'SAN LUONG'!DW395</f>
        <v>6</v>
      </c>
      <c r="S399" s="942">
        <f t="shared" si="80"/>
        <v>0.19</v>
      </c>
      <c r="T399" s="943">
        <f>'CHAM CONG'!BW392</f>
        <v>0</v>
      </c>
      <c r="U399" s="942">
        <f t="shared" si="87"/>
        <v>0</v>
      </c>
      <c r="V399" s="890">
        <f>'CHAM CONG'!BD392</f>
        <v>2</v>
      </c>
      <c r="W399" s="944">
        <f t="shared" si="81"/>
        <v>1.06</v>
      </c>
      <c r="X399" s="891">
        <f>'CHAM CONG'!BT392</f>
        <v>1</v>
      </c>
      <c r="Y399" s="881">
        <f t="shared" si="88"/>
        <v>1.1000000000000001</v>
      </c>
      <c r="Z399" s="892">
        <v>6.03</v>
      </c>
      <c r="AA399" s="942">
        <f t="shared" si="93"/>
        <v>1.7</v>
      </c>
      <c r="AB399" s="892">
        <v>6.03</v>
      </c>
      <c r="AC399" s="942">
        <f t="shared" si="89"/>
        <v>7.24</v>
      </c>
      <c r="AD399" s="892">
        <v>6.03</v>
      </c>
      <c r="AE399" s="942">
        <f t="shared" si="90"/>
        <v>4.3</v>
      </c>
      <c r="AF399" s="943" t="e">
        <f>#N/A</f>
        <v>#N/A</v>
      </c>
      <c r="AG399" s="893">
        <f t="shared" si="82"/>
        <v>35.299999999999997</v>
      </c>
      <c r="AH399" s="894"/>
      <c r="AI399" s="895">
        <v>33</v>
      </c>
      <c r="AJ399" s="791">
        <v>29.16</v>
      </c>
      <c r="AK399" s="896">
        <f t="shared" si="91"/>
        <v>4</v>
      </c>
      <c r="AL399" s="896"/>
      <c r="AS399" s="898"/>
    </row>
    <row r="400" spans="1:45" s="779" customFormat="1" ht="28.95" customHeight="1">
      <c r="A400" s="885">
        <v>384</v>
      </c>
      <c r="B400" s="886"/>
      <c r="C400" s="887" t="str">
        <f>'Tên thang 01-26'!E387</f>
        <v>យូន ថាញ់</v>
      </c>
      <c r="D400" s="887" t="str">
        <f>'Tên thang 01-26'!F387</f>
        <v>YOUN THANH</v>
      </c>
      <c r="E400" s="888">
        <v>423</v>
      </c>
      <c r="F400" s="889">
        <f>'SAN LUONG'!AP396*0.44</f>
        <v>674.96</v>
      </c>
      <c r="G400" s="889">
        <f t="shared" si="78"/>
        <v>9.61</v>
      </c>
      <c r="H400" s="889">
        <f>'SAN LUONG'!AO396*0.44</f>
        <v>0</v>
      </c>
      <c r="I400" s="889">
        <f t="shared" si="79"/>
        <v>0</v>
      </c>
      <c r="J400" s="889">
        <f>'SAN LUONG'!AV396*0.44</f>
        <v>0</v>
      </c>
      <c r="K400" s="889">
        <f t="shared" si="83"/>
        <v>0</v>
      </c>
      <c r="L400" s="889"/>
      <c r="M400" s="881">
        <f>'CHAM CONG'!BC393</f>
        <v>13</v>
      </c>
      <c r="N400" s="889">
        <f t="shared" si="84"/>
        <v>6.51</v>
      </c>
      <c r="O400" s="889">
        <f t="shared" si="85"/>
        <v>0.41</v>
      </c>
      <c r="P400" s="890">
        <f>'CHAM CONG'!BO393</f>
        <v>28</v>
      </c>
      <c r="Q400" s="942">
        <f t="shared" si="86"/>
        <v>2.63</v>
      </c>
      <c r="R400" s="942">
        <f>'SAN LUONG'!DW396</f>
        <v>6</v>
      </c>
      <c r="S400" s="942">
        <f t="shared" si="80"/>
        <v>0.19</v>
      </c>
      <c r="T400" s="943">
        <f>'CHAM CONG'!BW393</f>
        <v>0</v>
      </c>
      <c r="U400" s="942">
        <f t="shared" si="87"/>
        <v>0</v>
      </c>
      <c r="V400" s="890">
        <f>'CHAM CONG'!BD393</f>
        <v>2</v>
      </c>
      <c r="W400" s="944">
        <f t="shared" si="81"/>
        <v>1.06</v>
      </c>
      <c r="X400" s="891">
        <f>'CHAM CONG'!BT393</f>
        <v>1</v>
      </c>
      <c r="Y400" s="881">
        <f t="shared" si="88"/>
        <v>1.1000000000000001</v>
      </c>
      <c r="Z400" s="892">
        <v>6.03</v>
      </c>
      <c r="AA400" s="942">
        <f t="shared" si="93"/>
        <v>1.7</v>
      </c>
      <c r="AB400" s="892">
        <v>6.03</v>
      </c>
      <c r="AC400" s="942">
        <f t="shared" si="89"/>
        <v>7.24</v>
      </c>
      <c r="AD400" s="892">
        <v>6.03</v>
      </c>
      <c r="AE400" s="942">
        <f t="shared" si="90"/>
        <v>4.3</v>
      </c>
      <c r="AF400" s="943" t="e">
        <f>#N/A</f>
        <v>#N/A</v>
      </c>
      <c r="AG400" s="893">
        <f t="shared" si="82"/>
        <v>34.749999999999993</v>
      </c>
      <c r="AH400" s="894"/>
      <c r="AI400" s="895">
        <v>32.54</v>
      </c>
      <c r="AJ400" s="791">
        <v>28.65</v>
      </c>
      <c r="AK400" s="896">
        <f t="shared" si="91"/>
        <v>4</v>
      </c>
      <c r="AL400" s="896"/>
      <c r="AS400" s="898"/>
    </row>
    <row r="401" spans="1:45" s="779" customFormat="1" ht="28.95" customHeight="1">
      <c r="A401" s="885">
        <v>385</v>
      </c>
      <c r="B401" s="886"/>
      <c r="C401" s="887" t="str">
        <f>'Tên thang 01-26'!E388</f>
        <v>រត សារិ</v>
      </c>
      <c r="D401" s="887" t="str">
        <f>'Tên thang 01-26'!F388</f>
        <v>ROT SARIK</v>
      </c>
      <c r="E401" s="888">
        <v>424</v>
      </c>
      <c r="F401" s="889">
        <f>'SAN LUONG'!AP397*0.44</f>
        <v>730.84</v>
      </c>
      <c r="G401" s="889">
        <f t="shared" ref="G401:G464" si="94">ROUND((F401*$G$15)/31947,2)</f>
        <v>10.41</v>
      </c>
      <c r="H401" s="889">
        <f>'SAN LUONG'!AO397*0.44</f>
        <v>0</v>
      </c>
      <c r="I401" s="889">
        <f t="shared" ref="I401:I464" si="95">ROUND((H401*$I$15)/31947,2)</f>
        <v>0</v>
      </c>
      <c r="J401" s="889">
        <f>'SAN LUONG'!AV397*0.44</f>
        <v>0</v>
      </c>
      <c r="K401" s="889">
        <f t="shared" si="83"/>
        <v>0</v>
      </c>
      <c r="L401" s="889"/>
      <c r="M401" s="881">
        <f>'CHAM CONG'!BC394</f>
        <v>16</v>
      </c>
      <c r="N401" s="889">
        <f t="shared" si="84"/>
        <v>8.01</v>
      </c>
      <c r="O401" s="889">
        <f t="shared" si="85"/>
        <v>0.5</v>
      </c>
      <c r="P401" s="890">
        <f>'CHAM CONG'!BO394</f>
        <v>28</v>
      </c>
      <c r="Q401" s="942">
        <f t="shared" si="86"/>
        <v>2.63</v>
      </c>
      <c r="R401" s="942">
        <f>'SAN LUONG'!DW397</f>
        <v>9</v>
      </c>
      <c r="S401" s="942">
        <f t="shared" ref="S401:S464" si="96">ROUND(R401*1000/31947,2)</f>
        <v>0.28000000000000003</v>
      </c>
      <c r="T401" s="943">
        <f>'CHAM CONG'!BW394</f>
        <v>0</v>
      </c>
      <c r="U401" s="942">
        <f t="shared" si="87"/>
        <v>0</v>
      </c>
      <c r="V401" s="890">
        <f>'CHAM CONG'!BD394</f>
        <v>2</v>
      </c>
      <c r="W401" s="944">
        <f t="shared" ref="W401:W464" si="97">ROUND(V401*$V$15,2)</f>
        <v>1.06</v>
      </c>
      <c r="X401" s="891">
        <f>'CHAM CONG'!BT394</f>
        <v>1</v>
      </c>
      <c r="Y401" s="881">
        <f t="shared" si="88"/>
        <v>1.1000000000000001</v>
      </c>
      <c r="Z401" s="892">
        <v>6.03</v>
      </c>
      <c r="AA401" s="942">
        <f t="shared" si="93"/>
        <v>1.7</v>
      </c>
      <c r="AB401" s="892">
        <v>6.03</v>
      </c>
      <c r="AC401" s="942">
        <f t="shared" si="89"/>
        <v>7.24</v>
      </c>
      <c r="AD401" s="892">
        <v>6.03</v>
      </c>
      <c r="AE401" s="942">
        <f t="shared" si="90"/>
        <v>4.3</v>
      </c>
      <c r="AF401" s="943" t="e">
        <f>#N/A</f>
        <v>#N/A</v>
      </c>
      <c r="AG401" s="893">
        <f t="shared" ref="AG401:AG464" si="98">G401+I401+K401+N401+Q401+S401+U401+W401+Y401+AC401+AE401+O401+AA401</f>
        <v>37.230000000000004</v>
      </c>
      <c r="AH401" s="894"/>
      <c r="AI401" s="895">
        <v>32.81</v>
      </c>
      <c r="AJ401" s="791">
        <v>28.919999999999998</v>
      </c>
      <c r="AK401" s="896">
        <f t="shared" si="91"/>
        <v>4</v>
      </c>
      <c r="AL401" s="896"/>
      <c r="AS401" s="898"/>
    </row>
    <row r="402" spans="1:45" s="779" customFormat="1" ht="28.95" customHeight="1">
      <c r="A402" s="885">
        <v>386</v>
      </c>
      <c r="B402" s="886"/>
      <c r="C402" s="887" t="str">
        <f>'Tên thang 01-26'!E389</f>
        <v>គា គន្ធា</v>
      </c>
      <c r="D402" s="887" t="str">
        <f>'Tên thang 01-26'!F389</f>
        <v>KHEA KUNTHEA</v>
      </c>
      <c r="E402" s="888">
        <v>425</v>
      </c>
      <c r="F402" s="889">
        <f>'SAN LUONG'!AP398*0.44</f>
        <v>900.68</v>
      </c>
      <c r="G402" s="889">
        <f t="shared" si="94"/>
        <v>12.83</v>
      </c>
      <c r="H402" s="889">
        <f>'SAN LUONG'!AO398*0.44</f>
        <v>0</v>
      </c>
      <c r="I402" s="889">
        <f t="shared" si="95"/>
        <v>0</v>
      </c>
      <c r="J402" s="889">
        <f>'SAN LUONG'!AV398*0.44</f>
        <v>0</v>
      </c>
      <c r="K402" s="889">
        <f t="shared" ref="K402:K465" si="99">ROUND((J402*$K$15)/31947,2)</f>
        <v>0</v>
      </c>
      <c r="L402" s="889"/>
      <c r="M402" s="881">
        <f>'CHAM CONG'!BC395</f>
        <v>14</v>
      </c>
      <c r="N402" s="889">
        <f t="shared" ref="N402:N465" si="100">ROUND(M402*16000/31947,2)</f>
        <v>7.01</v>
      </c>
      <c r="O402" s="889">
        <f t="shared" ref="O402:O465" si="101">ROUND(M402*1000/31947,2)</f>
        <v>0.44</v>
      </c>
      <c r="P402" s="890">
        <f>'CHAM CONG'!BO395</f>
        <v>28</v>
      </c>
      <c r="Q402" s="942">
        <f t="shared" ref="Q402:Q465" si="102">ROUND(P402*0.0939,2)</f>
        <v>2.63</v>
      </c>
      <c r="R402" s="942">
        <f>'SAN LUONG'!DW398</f>
        <v>8</v>
      </c>
      <c r="S402" s="942">
        <f t="shared" si="96"/>
        <v>0.25</v>
      </c>
      <c r="T402" s="943">
        <f>'CHAM CONG'!BW395</f>
        <v>0</v>
      </c>
      <c r="U402" s="942">
        <f t="shared" ref="U402:U465" si="103">ROUND(T402/31947,2)</f>
        <v>0</v>
      </c>
      <c r="V402" s="890">
        <f>'CHAM CONG'!BD395</f>
        <v>3</v>
      </c>
      <c r="W402" s="944">
        <f t="shared" si="97"/>
        <v>1.6</v>
      </c>
      <c r="X402" s="891">
        <f>'CHAM CONG'!BT395</f>
        <v>1</v>
      </c>
      <c r="Y402" s="881">
        <f t="shared" ref="Y402:Y465" si="104">ROUND(X402*1.0956,1)</f>
        <v>1.1000000000000001</v>
      </c>
      <c r="Z402" s="892">
        <v>6.03</v>
      </c>
      <c r="AA402" s="942">
        <f t="shared" si="93"/>
        <v>1.7</v>
      </c>
      <c r="AB402" s="892">
        <v>6.03</v>
      </c>
      <c r="AC402" s="942">
        <f t="shared" ref="AC402:AC426" si="105">ROUND(AB402*$AB$15,2)</f>
        <v>7.24</v>
      </c>
      <c r="AD402" s="892">
        <v>6.03</v>
      </c>
      <c r="AE402" s="942">
        <f t="shared" ref="AE402:AE416" si="106">ROUND(AD402*$AD$15,2)</f>
        <v>4.3</v>
      </c>
      <c r="AF402" s="943" t="e">
        <f>#N/A</f>
        <v>#N/A</v>
      </c>
      <c r="AG402" s="893">
        <f t="shared" si="98"/>
        <v>39.1</v>
      </c>
      <c r="AH402" s="894"/>
      <c r="AI402" s="895">
        <v>33.369999999999997</v>
      </c>
      <c r="AJ402" s="791">
        <v>29.479999999999997</v>
      </c>
      <c r="AK402" s="896">
        <f t="shared" ref="AK402:AK465" si="107">ROUND(AI402-AJ402,0)</f>
        <v>4</v>
      </c>
      <c r="AL402" s="896"/>
      <c r="AS402" s="898"/>
    </row>
    <row r="403" spans="1:45" s="779" customFormat="1" ht="28.95" customHeight="1">
      <c r="A403" s="885">
        <v>387</v>
      </c>
      <c r="B403" s="886"/>
      <c r="C403" s="887" t="str">
        <f>'Tên thang 01-26'!E390</f>
        <v>សេង ត្រុច</v>
      </c>
      <c r="D403" s="887" t="str">
        <f>'Tên thang 01-26'!F390</f>
        <v>SENG TROCH</v>
      </c>
      <c r="E403" s="888">
        <v>426</v>
      </c>
      <c r="F403" s="889">
        <f>'SAN LUONG'!AP399*0.44</f>
        <v>919.16</v>
      </c>
      <c r="G403" s="889">
        <f t="shared" si="94"/>
        <v>13.09</v>
      </c>
      <c r="H403" s="889">
        <f>'SAN LUONG'!AO399*0.44</f>
        <v>0</v>
      </c>
      <c r="I403" s="889">
        <f t="shared" si="95"/>
        <v>0</v>
      </c>
      <c r="J403" s="889">
        <f>'SAN LUONG'!AV399*0.44</f>
        <v>0</v>
      </c>
      <c r="K403" s="889">
        <f t="shared" si="99"/>
        <v>0</v>
      </c>
      <c r="L403" s="889"/>
      <c r="M403" s="881">
        <f>'CHAM CONG'!BC396</f>
        <v>16</v>
      </c>
      <c r="N403" s="889">
        <f t="shared" si="100"/>
        <v>8.01</v>
      </c>
      <c r="O403" s="889">
        <f t="shared" si="101"/>
        <v>0.5</v>
      </c>
      <c r="P403" s="890">
        <f>'CHAM CONG'!BO396</f>
        <v>30</v>
      </c>
      <c r="Q403" s="942">
        <f t="shared" si="102"/>
        <v>2.82</v>
      </c>
      <c r="R403" s="942">
        <f>'SAN LUONG'!DW399</f>
        <v>17</v>
      </c>
      <c r="S403" s="942">
        <f t="shared" si="96"/>
        <v>0.53</v>
      </c>
      <c r="T403" s="943">
        <f>'CHAM CONG'!BW396</f>
        <v>0</v>
      </c>
      <c r="U403" s="942">
        <f t="shared" si="103"/>
        <v>0</v>
      </c>
      <c r="V403" s="890">
        <f>'CHAM CONG'!BD396</f>
        <v>5</v>
      </c>
      <c r="W403" s="944">
        <f t="shared" si="97"/>
        <v>2.66</v>
      </c>
      <c r="X403" s="891">
        <f>'CHAM CONG'!BT396</f>
        <v>1</v>
      </c>
      <c r="Y403" s="881">
        <f t="shared" si="104"/>
        <v>1.1000000000000001</v>
      </c>
      <c r="Z403" s="892">
        <v>6.03</v>
      </c>
      <c r="AA403" s="942">
        <f t="shared" ref="AA403:AA435" si="108">ROUND(Z403*$Z$15,2)</f>
        <v>1.7</v>
      </c>
      <c r="AB403" s="892">
        <v>6.03</v>
      </c>
      <c r="AC403" s="942">
        <f t="shared" si="105"/>
        <v>7.24</v>
      </c>
      <c r="AD403" s="892">
        <v>6.03</v>
      </c>
      <c r="AE403" s="942">
        <f t="shared" si="106"/>
        <v>4.3</v>
      </c>
      <c r="AF403" s="943" t="e">
        <f>#N/A</f>
        <v>#N/A</v>
      </c>
      <c r="AG403" s="893">
        <f t="shared" si="98"/>
        <v>41.95</v>
      </c>
      <c r="AH403" s="894"/>
      <c r="AI403" s="895">
        <v>32.700000000000003</v>
      </c>
      <c r="AJ403" s="791">
        <v>28.81</v>
      </c>
      <c r="AK403" s="896">
        <f t="shared" si="107"/>
        <v>4</v>
      </c>
      <c r="AL403" s="896"/>
      <c r="AS403" s="898"/>
    </row>
    <row r="404" spans="1:45" s="779" customFormat="1" ht="28.95" customHeight="1">
      <c r="A404" s="885">
        <v>388</v>
      </c>
      <c r="B404" s="886"/>
      <c r="C404" s="887" t="str">
        <f>'Tên thang 01-26'!E391</f>
        <v>ឡាក់ ចំរើន</v>
      </c>
      <c r="D404" s="887" t="str">
        <f>'Tên thang 01-26'!F391</f>
        <v>LAK CHAMRERN</v>
      </c>
      <c r="E404" s="888">
        <v>427</v>
      </c>
      <c r="F404" s="889">
        <f>'SAN LUONG'!AP400*0.44</f>
        <v>964.04</v>
      </c>
      <c r="G404" s="889">
        <f t="shared" si="94"/>
        <v>13.73</v>
      </c>
      <c r="H404" s="889">
        <f>'SAN LUONG'!AO400*0.44</f>
        <v>0</v>
      </c>
      <c r="I404" s="889">
        <f t="shared" si="95"/>
        <v>0</v>
      </c>
      <c r="J404" s="889">
        <f>'SAN LUONG'!AV400*0.44</f>
        <v>0</v>
      </c>
      <c r="K404" s="889">
        <f t="shared" si="99"/>
        <v>0</v>
      </c>
      <c r="L404" s="889"/>
      <c r="M404" s="881">
        <f>'CHAM CONG'!BC397</f>
        <v>15</v>
      </c>
      <c r="N404" s="889">
        <f t="shared" si="100"/>
        <v>7.51</v>
      </c>
      <c r="O404" s="889">
        <f t="shared" si="101"/>
        <v>0.47</v>
      </c>
      <c r="P404" s="890">
        <f>'CHAM CONG'!BO397</f>
        <v>29</v>
      </c>
      <c r="Q404" s="942">
        <f t="shared" si="102"/>
        <v>2.72</v>
      </c>
      <c r="R404" s="942">
        <f>'SAN LUONG'!DW400</f>
        <v>10</v>
      </c>
      <c r="S404" s="942">
        <f t="shared" si="96"/>
        <v>0.31</v>
      </c>
      <c r="T404" s="943">
        <f>'CHAM CONG'!BW397</f>
        <v>0</v>
      </c>
      <c r="U404" s="942">
        <f t="shared" si="103"/>
        <v>0</v>
      </c>
      <c r="V404" s="890">
        <f>'CHAM CONG'!BD397</f>
        <v>5</v>
      </c>
      <c r="W404" s="944">
        <f t="shared" si="97"/>
        <v>2.66</v>
      </c>
      <c r="X404" s="891">
        <f>'CHAM CONG'!BT397</f>
        <v>1</v>
      </c>
      <c r="Y404" s="881">
        <f t="shared" si="104"/>
        <v>1.1000000000000001</v>
      </c>
      <c r="Z404" s="892">
        <v>6.03</v>
      </c>
      <c r="AA404" s="942">
        <f t="shared" si="108"/>
        <v>1.7</v>
      </c>
      <c r="AB404" s="892">
        <v>6.03</v>
      </c>
      <c r="AC404" s="942">
        <f t="shared" si="105"/>
        <v>7.24</v>
      </c>
      <c r="AD404" s="892">
        <v>6.03</v>
      </c>
      <c r="AE404" s="942">
        <f t="shared" si="106"/>
        <v>4.3</v>
      </c>
      <c r="AF404" s="943" t="e">
        <f>#N/A</f>
        <v>#N/A</v>
      </c>
      <c r="AG404" s="893">
        <f t="shared" si="98"/>
        <v>41.74</v>
      </c>
      <c r="AH404" s="894"/>
      <c r="AI404" s="895">
        <v>32.54</v>
      </c>
      <c r="AJ404" s="791">
        <v>28.660000000000004</v>
      </c>
      <c r="AK404" s="896">
        <f t="shared" si="107"/>
        <v>4</v>
      </c>
      <c r="AL404" s="896"/>
      <c r="AS404" s="898"/>
    </row>
    <row r="405" spans="1:45" s="779" customFormat="1" ht="34.950000000000003" customHeight="1">
      <c r="A405" s="885">
        <v>389</v>
      </c>
      <c r="B405" s="886"/>
      <c r="C405" s="887" t="str">
        <f>'Tên thang 01-26'!E392</f>
        <v>ធី ចាន់</v>
      </c>
      <c r="D405" s="887" t="str">
        <f>'Tên thang 01-26'!F392</f>
        <v>THY CHAN</v>
      </c>
      <c r="E405" s="888">
        <v>293</v>
      </c>
      <c r="F405" s="889">
        <f>'SAN LUONG'!AP403*0.44</f>
        <v>0</v>
      </c>
      <c r="G405" s="889">
        <f t="shared" si="94"/>
        <v>0</v>
      </c>
      <c r="H405" s="889">
        <f>'SAN LUONG'!AO403*0.44</f>
        <v>453.2</v>
      </c>
      <c r="I405" s="889">
        <f t="shared" si="95"/>
        <v>7.16</v>
      </c>
      <c r="J405" s="889">
        <f>'SAN LUONG'!AV403*0.44</f>
        <v>0</v>
      </c>
      <c r="K405" s="889">
        <f t="shared" si="99"/>
        <v>0</v>
      </c>
      <c r="L405" s="889"/>
      <c r="M405" s="881">
        <f>'CHAM CONG'!BC400</f>
        <v>15</v>
      </c>
      <c r="N405" s="889">
        <f t="shared" si="100"/>
        <v>7.51</v>
      </c>
      <c r="O405" s="889">
        <f t="shared" si="101"/>
        <v>0.47</v>
      </c>
      <c r="P405" s="890">
        <f>'CHAM CONG'!BO400</f>
        <v>27</v>
      </c>
      <c r="Q405" s="942">
        <f t="shared" si="102"/>
        <v>2.54</v>
      </c>
      <c r="R405" s="942">
        <f>'SAN LUONG'!DW403</f>
        <v>15</v>
      </c>
      <c r="S405" s="942">
        <f t="shared" si="96"/>
        <v>0.47</v>
      </c>
      <c r="T405" s="943">
        <f>'CHAM CONG'!BW400</f>
        <v>0</v>
      </c>
      <c r="U405" s="942">
        <f t="shared" si="103"/>
        <v>0</v>
      </c>
      <c r="V405" s="890">
        <f>'CHAM CONG'!BD400</f>
        <v>0</v>
      </c>
      <c r="W405" s="944">
        <f t="shared" si="97"/>
        <v>0</v>
      </c>
      <c r="X405" s="891">
        <f>'CHAM CONG'!BT400</f>
        <v>1</v>
      </c>
      <c r="Y405" s="881">
        <f t="shared" si="104"/>
        <v>1.1000000000000001</v>
      </c>
      <c r="Z405" s="892">
        <v>6.03</v>
      </c>
      <c r="AA405" s="942">
        <f t="shared" si="108"/>
        <v>1.7</v>
      </c>
      <c r="AB405" s="892">
        <v>6.03</v>
      </c>
      <c r="AC405" s="942">
        <f t="shared" si="105"/>
        <v>7.24</v>
      </c>
      <c r="AD405" s="892">
        <v>6.03</v>
      </c>
      <c r="AE405" s="942">
        <f t="shared" si="106"/>
        <v>4.3</v>
      </c>
      <c r="AF405" s="943" t="e">
        <f>#N/A</f>
        <v>#N/A</v>
      </c>
      <c r="AG405" s="893">
        <f t="shared" si="98"/>
        <v>32.49</v>
      </c>
      <c r="AH405" s="894"/>
      <c r="AI405" s="895">
        <v>12.04</v>
      </c>
      <c r="AJ405" s="791">
        <v>11.41</v>
      </c>
      <c r="AK405" s="896">
        <f t="shared" si="107"/>
        <v>1</v>
      </c>
      <c r="AL405" s="896"/>
      <c r="AS405" s="898"/>
    </row>
    <row r="406" spans="1:45" s="779" customFormat="1" ht="34.950000000000003" customHeight="1">
      <c r="A406" s="885">
        <v>390</v>
      </c>
      <c r="B406" s="886"/>
      <c r="C406" s="887" t="str">
        <f>'Tên thang 01-26'!E393</f>
        <v>ស៊ុត សុផល</v>
      </c>
      <c r="D406" s="887" t="str">
        <f>'Tên thang 01-26'!F393</f>
        <v>SUT SOPHAL</v>
      </c>
      <c r="E406" s="888">
        <v>294</v>
      </c>
      <c r="F406" s="889">
        <f>'SAN LUONG'!AP404*0.44</f>
        <v>0</v>
      </c>
      <c r="G406" s="889">
        <f t="shared" si="94"/>
        <v>0</v>
      </c>
      <c r="H406" s="889">
        <f>'SAN LUONG'!AO404*0.44</f>
        <v>636.24</v>
      </c>
      <c r="I406" s="889">
        <f t="shared" si="95"/>
        <v>10.06</v>
      </c>
      <c r="J406" s="889">
        <f>'SAN LUONG'!AV404*0.44</f>
        <v>0</v>
      </c>
      <c r="K406" s="889">
        <f t="shared" si="99"/>
        <v>0</v>
      </c>
      <c r="L406" s="889"/>
      <c r="M406" s="881">
        <f>'CHAM CONG'!BC401</f>
        <v>16</v>
      </c>
      <c r="N406" s="889">
        <f t="shared" si="100"/>
        <v>8.01</v>
      </c>
      <c r="O406" s="889">
        <f t="shared" si="101"/>
        <v>0.5</v>
      </c>
      <c r="P406" s="890">
        <f>'CHAM CONG'!BO401</f>
        <v>28</v>
      </c>
      <c r="Q406" s="942">
        <f t="shared" si="102"/>
        <v>2.63</v>
      </c>
      <c r="R406" s="942">
        <f>'SAN LUONG'!DW404</f>
        <v>11.7</v>
      </c>
      <c r="S406" s="942">
        <f t="shared" si="96"/>
        <v>0.37</v>
      </c>
      <c r="T406" s="943">
        <f>'CHAM CONG'!BW401</f>
        <v>0</v>
      </c>
      <c r="U406" s="942">
        <f t="shared" si="103"/>
        <v>0</v>
      </c>
      <c r="V406" s="890">
        <f>'CHAM CONG'!BD401</f>
        <v>0</v>
      </c>
      <c r="W406" s="944">
        <f t="shared" si="97"/>
        <v>0</v>
      </c>
      <c r="X406" s="891">
        <f>'CHAM CONG'!BT401</f>
        <v>1</v>
      </c>
      <c r="Y406" s="881">
        <f t="shared" si="104"/>
        <v>1.1000000000000001</v>
      </c>
      <c r="Z406" s="892">
        <v>6.03</v>
      </c>
      <c r="AA406" s="942">
        <f t="shared" si="108"/>
        <v>1.7</v>
      </c>
      <c r="AB406" s="892">
        <v>6.03</v>
      </c>
      <c r="AC406" s="942">
        <f t="shared" si="105"/>
        <v>7.24</v>
      </c>
      <c r="AD406" s="892">
        <v>6.03</v>
      </c>
      <c r="AE406" s="942">
        <f t="shared" si="106"/>
        <v>4.3</v>
      </c>
      <c r="AF406" s="943" t="e">
        <f>#N/A</f>
        <v>#N/A</v>
      </c>
      <c r="AG406" s="893">
        <f t="shared" si="98"/>
        <v>35.910000000000004</v>
      </c>
      <c r="AH406" s="894"/>
      <c r="AI406" s="895">
        <v>24.88</v>
      </c>
      <c r="AJ406" s="791">
        <v>22.870000000000005</v>
      </c>
      <c r="AK406" s="896">
        <f t="shared" si="107"/>
        <v>2</v>
      </c>
      <c r="AL406" s="896"/>
      <c r="AS406" s="898"/>
    </row>
    <row r="407" spans="1:45" s="779" customFormat="1" ht="34.950000000000003" customHeight="1">
      <c r="A407" s="885">
        <v>391</v>
      </c>
      <c r="B407" s="886"/>
      <c r="C407" s="887" t="str">
        <f>'Tên thang 01-26'!E394</f>
        <v>ហៃ អុល</v>
      </c>
      <c r="D407" s="887" t="str">
        <f>'Tên thang 01-26'!F394</f>
        <v>HAI OL</v>
      </c>
      <c r="E407" s="888">
        <v>295</v>
      </c>
      <c r="F407" s="889">
        <f>'SAN LUONG'!AP405*0.44</f>
        <v>0</v>
      </c>
      <c r="G407" s="889">
        <f t="shared" si="94"/>
        <v>0</v>
      </c>
      <c r="H407" s="889">
        <f>'SAN LUONG'!AO405*0.44</f>
        <v>765.16</v>
      </c>
      <c r="I407" s="889">
        <f t="shared" si="95"/>
        <v>12.1</v>
      </c>
      <c r="J407" s="889">
        <f>'SAN LUONG'!AV405*0.44</f>
        <v>0</v>
      </c>
      <c r="K407" s="889">
        <f t="shared" si="99"/>
        <v>0</v>
      </c>
      <c r="L407" s="889"/>
      <c r="M407" s="881">
        <f>'CHAM CONG'!BC402</f>
        <v>15</v>
      </c>
      <c r="N407" s="889">
        <f t="shared" si="100"/>
        <v>7.51</v>
      </c>
      <c r="O407" s="889">
        <f t="shared" si="101"/>
        <v>0.47</v>
      </c>
      <c r="P407" s="890">
        <f>'CHAM CONG'!BO402</f>
        <v>27</v>
      </c>
      <c r="Q407" s="942">
        <f t="shared" si="102"/>
        <v>2.54</v>
      </c>
      <c r="R407" s="942">
        <f>'SAN LUONG'!DW405</f>
        <v>11.8</v>
      </c>
      <c r="S407" s="942">
        <f t="shared" si="96"/>
        <v>0.37</v>
      </c>
      <c r="T407" s="943">
        <f>'CHAM CONG'!BW402</f>
        <v>0</v>
      </c>
      <c r="U407" s="942">
        <f t="shared" si="103"/>
        <v>0</v>
      </c>
      <c r="V407" s="890">
        <f>'CHAM CONG'!BD402</f>
        <v>0</v>
      </c>
      <c r="W407" s="944">
        <f t="shared" si="97"/>
        <v>0</v>
      </c>
      <c r="X407" s="891">
        <f>'CHAM CONG'!BT402</f>
        <v>1</v>
      </c>
      <c r="Y407" s="881">
        <f t="shared" si="104"/>
        <v>1.1000000000000001</v>
      </c>
      <c r="Z407" s="892">
        <v>6.03</v>
      </c>
      <c r="AA407" s="942">
        <f t="shared" si="108"/>
        <v>1.7</v>
      </c>
      <c r="AB407" s="892">
        <v>6.03</v>
      </c>
      <c r="AC407" s="942">
        <f t="shared" si="105"/>
        <v>7.24</v>
      </c>
      <c r="AD407" s="892">
        <v>6.03</v>
      </c>
      <c r="AE407" s="942">
        <f t="shared" si="106"/>
        <v>4.3</v>
      </c>
      <c r="AF407" s="943" t="e">
        <f>#N/A</f>
        <v>#N/A</v>
      </c>
      <c r="AG407" s="893">
        <f t="shared" si="98"/>
        <v>37.33</v>
      </c>
      <c r="AH407" s="894"/>
      <c r="AI407" s="895">
        <v>27.11</v>
      </c>
      <c r="AJ407" s="791">
        <v>25.740000000000002</v>
      </c>
      <c r="AK407" s="896">
        <f t="shared" si="107"/>
        <v>1</v>
      </c>
      <c r="AL407" s="896"/>
      <c r="AS407" s="898"/>
    </row>
    <row r="408" spans="1:45" s="779" customFormat="1" ht="34.950000000000003" customHeight="1">
      <c r="A408" s="885">
        <v>392</v>
      </c>
      <c r="B408" s="886"/>
      <c r="C408" s="887" t="str">
        <f>'Tên thang 01-26'!E395</f>
        <v>អាង សី</v>
      </c>
      <c r="D408" s="887" t="str">
        <f>'Tên thang 01-26'!F395</f>
        <v>ANG SEY</v>
      </c>
      <c r="E408" s="888">
        <v>296</v>
      </c>
      <c r="F408" s="889">
        <f>'SAN LUONG'!AP406*0.44</f>
        <v>0</v>
      </c>
      <c r="G408" s="889">
        <f t="shared" si="94"/>
        <v>0</v>
      </c>
      <c r="H408" s="889">
        <f>'SAN LUONG'!AO406*0.44</f>
        <v>583.44000000000005</v>
      </c>
      <c r="I408" s="889">
        <f t="shared" si="95"/>
        <v>9.2200000000000006</v>
      </c>
      <c r="J408" s="889">
        <f>'SAN LUONG'!AV406*0.44</f>
        <v>0</v>
      </c>
      <c r="K408" s="889">
        <f t="shared" si="99"/>
        <v>0</v>
      </c>
      <c r="L408" s="889"/>
      <c r="M408" s="881">
        <f>'CHAM CONG'!BC403</f>
        <v>15</v>
      </c>
      <c r="N408" s="889">
        <f t="shared" si="100"/>
        <v>7.51</v>
      </c>
      <c r="O408" s="889">
        <f t="shared" si="101"/>
        <v>0.47</v>
      </c>
      <c r="P408" s="890">
        <f>'CHAM CONG'!BO403</f>
        <v>27</v>
      </c>
      <c r="Q408" s="942">
        <f t="shared" si="102"/>
        <v>2.54</v>
      </c>
      <c r="R408" s="942">
        <f>'SAN LUONG'!DW406</f>
        <v>18.2</v>
      </c>
      <c r="S408" s="942">
        <f t="shared" si="96"/>
        <v>0.56999999999999995</v>
      </c>
      <c r="T408" s="943">
        <f>'CHAM CONG'!BW403</f>
        <v>0</v>
      </c>
      <c r="U408" s="942">
        <f t="shared" si="103"/>
        <v>0</v>
      </c>
      <c r="V408" s="890">
        <f>'CHAM CONG'!BD403</f>
        <v>0</v>
      </c>
      <c r="W408" s="944">
        <f t="shared" si="97"/>
        <v>0</v>
      </c>
      <c r="X408" s="891">
        <f>'CHAM CONG'!BT403</f>
        <v>1</v>
      </c>
      <c r="Y408" s="881">
        <f t="shared" si="104"/>
        <v>1.1000000000000001</v>
      </c>
      <c r="Z408" s="892">
        <v>6.03</v>
      </c>
      <c r="AA408" s="942">
        <f t="shared" si="108"/>
        <v>1.7</v>
      </c>
      <c r="AB408" s="892">
        <v>6.03</v>
      </c>
      <c r="AC408" s="942">
        <f t="shared" si="105"/>
        <v>7.24</v>
      </c>
      <c r="AD408" s="892">
        <v>6.03</v>
      </c>
      <c r="AE408" s="942">
        <f t="shared" si="106"/>
        <v>4.3</v>
      </c>
      <c r="AF408" s="943" t="e">
        <f>#N/A</f>
        <v>#N/A</v>
      </c>
      <c r="AG408" s="893">
        <f t="shared" si="98"/>
        <v>34.65</v>
      </c>
      <c r="AH408" s="894"/>
      <c r="AI408" s="895">
        <v>22.57</v>
      </c>
      <c r="AJ408" s="791">
        <v>21.190000000000005</v>
      </c>
      <c r="AK408" s="896">
        <f t="shared" si="107"/>
        <v>1</v>
      </c>
      <c r="AL408" s="896"/>
      <c r="AS408" s="898"/>
    </row>
    <row r="409" spans="1:45" s="779" customFormat="1" ht="34.950000000000003" customHeight="1">
      <c r="A409" s="885">
        <v>393</v>
      </c>
      <c r="B409" s="886"/>
      <c r="C409" s="887" t="str">
        <f>'Tên thang 01-26'!E396</f>
        <v>អាន់ សំអូន</v>
      </c>
      <c r="D409" s="887" t="str">
        <f>'Tên thang 01-26'!F396</f>
        <v>ANN SAMOUN</v>
      </c>
      <c r="E409" s="888">
        <v>297</v>
      </c>
      <c r="F409" s="889">
        <f>'SAN LUONG'!AP407*0.44</f>
        <v>0</v>
      </c>
      <c r="G409" s="889">
        <f t="shared" si="94"/>
        <v>0</v>
      </c>
      <c r="H409" s="889">
        <f>'SAN LUONG'!AO407*0.44</f>
        <v>807.4</v>
      </c>
      <c r="I409" s="889">
        <f t="shared" si="95"/>
        <v>12.76</v>
      </c>
      <c r="J409" s="889">
        <f>'SAN LUONG'!AV407*0.44</f>
        <v>0</v>
      </c>
      <c r="K409" s="889">
        <f t="shared" si="99"/>
        <v>0</v>
      </c>
      <c r="L409" s="889"/>
      <c r="M409" s="881">
        <f>'CHAM CONG'!BC404</f>
        <v>15</v>
      </c>
      <c r="N409" s="889">
        <f t="shared" si="100"/>
        <v>7.51</v>
      </c>
      <c r="O409" s="889">
        <f t="shared" si="101"/>
        <v>0.47</v>
      </c>
      <c r="P409" s="890">
        <f>'CHAM CONG'!BO404</f>
        <v>28</v>
      </c>
      <c r="Q409" s="942">
        <f t="shared" si="102"/>
        <v>2.63</v>
      </c>
      <c r="R409" s="942">
        <f>'SAN LUONG'!DW407</f>
        <v>13.7</v>
      </c>
      <c r="S409" s="942">
        <f t="shared" si="96"/>
        <v>0.43</v>
      </c>
      <c r="T409" s="943">
        <f>'CHAM CONG'!BW404</f>
        <v>0</v>
      </c>
      <c r="U409" s="942">
        <f t="shared" si="103"/>
        <v>0</v>
      </c>
      <c r="V409" s="890">
        <f>'CHAM CONG'!BD404</f>
        <v>1</v>
      </c>
      <c r="W409" s="944">
        <f t="shared" si="97"/>
        <v>0.53</v>
      </c>
      <c r="X409" s="891">
        <f>'CHAM CONG'!BT404</f>
        <v>1</v>
      </c>
      <c r="Y409" s="881">
        <f t="shared" si="104"/>
        <v>1.1000000000000001</v>
      </c>
      <c r="Z409" s="892">
        <v>6.03</v>
      </c>
      <c r="AA409" s="942">
        <f t="shared" si="108"/>
        <v>1.7</v>
      </c>
      <c r="AB409" s="892">
        <v>6.03</v>
      </c>
      <c r="AC409" s="942">
        <f t="shared" si="105"/>
        <v>7.24</v>
      </c>
      <c r="AD409" s="892">
        <v>6.03</v>
      </c>
      <c r="AE409" s="942">
        <f t="shared" si="106"/>
        <v>4.3</v>
      </c>
      <c r="AF409" s="943" t="e">
        <f>#N/A</f>
        <v>#N/A</v>
      </c>
      <c r="AG409" s="893">
        <f t="shared" si="98"/>
        <v>38.67</v>
      </c>
      <c r="AH409" s="894"/>
      <c r="AI409" s="895">
        <v>23.74</v>
      </c>
      <c r="AJ409" s="791">
        <v>21.730000000000004</v>
      </c>
      <c r="AK409" s="896">
        <f t="shared" si="107"/>
        <v>2</v>
      </c>
      <c r="AL409" s="896"/>
      <c r="AS409" s="898"/>
    </row>
    <row r="410" spans="1:45" s="779" customFormat="1" ht="34.950000000000003" customHeight="1">
      <c r="A410" s="885">
        <v>394</v>
      </c>
      <c r="B410" s="886"/>
      <c r="C410" s="887" t="str">
        <f>'Tên thang 01-26'!E397</f>
        <v>ឡូត សុភ័ក្រ</v>
      </c>
      <c r="D410" s="887" t="str">
        <f>'Tên thang 01-26'!F397</f>
        <v>LOT SOPHEAK</v>
      </c>
      <c r="E410" s="888">
        <v>298</v>
      </c>
      <c r="F410" s="889">
        <f>'SAN LUONG'!AP408*0.44</f>
        <v>0</v>
      </c>
      <c r="G410" s="889">
        <f t="shared" si="94"/>
        <v>0</v>
      </c>
      <c r="H410" s="889">
        <f>'SAN LUONG'!AO408*0.44</f>
        <v>369.16</v>
      </c>
      <c r="I410" s="889">
        <f t="shared" si="95"/>
        <v>5.84</v>
      </c>
      <c r="J410" s="889">
        <f>'SAN LUONG'!AV408*0.44</f>
        <v>0</v>
      </c>
      <c r="K410" s="889">
        <f t="shared" si="99"/>
        <v>0</v>
      </c>
      <c r="L410" s="889"/>
      <c r="M410" s="881">
        <f>'CHAM CONG'!BC405</f>
        <v>13</v>
      </c>
      <c r="N410" s="889">
        <f t="shared" si="100"/>
        <v>6.51</v>
      </c>
      <c r="O410" s="889">
        <f t="shared" si="101"/>
        <v>0.41</v>
      </c>
      <c r="P410" s="890">
        <f>'CHAM CONG'!BO405</f>
        <v>26</v>
      </c>
      <c r="Q410" s="942">
        <f t="shared" si="102"/>
        <v>2.44</v>
      </c>
      <c r="R410" s="942">
        <f>'SAN LUONG'!DW408</f>
        <v>10.9</v>
      </c>
      <c r="S410" s="942">
        <f t="shared" si="96"/>
        <v>0.34</v>
      </c>
      <c r="T410" s="943">
        <f>'CHAM CONG'!BW405</f>
        <v>0</v>
      </c>
      <c r="U410" s="942">
        <f t="shared" si="103"/>
        <v>0</v>
      </c>
      <c r="V410" s="890">
        <f>'CHAM CONG'!BD405</f>
        <v>0</v>
      </c>
      <c r="W410" s="944">
        <f t="shared" si="97"/>
        <v>0</v>
      </c>
      <c r="X410" s="891">
        <f>'CHAM CONG'!BT405</f>
        <v>1</v>
      </c>
      <c r="Y410" s="881">
        <f t="shared" si="104"/>
        <v>1.1000000000000001</v>
      </c>
      <c r="Z410" s="892">
        <v>6.03</v>
      </c>
      <c r="AA410" s="942">
        <f t="shared" si="108"/>
        <v>1.7</v>
      </c>
      <c r="AB410" s="892">
        <v>6.03</v>
      </c>
      <c r="AC410" s="942">
        <f t="shared" si="105"/>
        <v>7.24</v>
      </c>
      <c r="AD410" s="892">
        <v>6.03</v>
      </c>
      <c r="AE410" s="942">
        <f t="shared" si="106"/>
        <v>4.3</v>
      </c>
      <c r="AF410" s="943" t="e">
        <f>#N/A</f>
        <v>#N/A</v>
      </c>
      <c r="AG410" s="893">
        <f t="shared" si="98"/>
        <v>29.88</v>
      </c>
      <c r="AH410" s="894"/>
      <c r="AI410" s="895">
        <v>19.329999999999998</v>
      </c>
      <c r="AJ410" s="791">
        <v>17.32</v>
      </c>
      <c r="AK410" s="896">
        <f t="shared" si="107"/>
        <v>2</v>
      </c>
      <c r="AL410" s="896"/>
      <c r="AS410" s="898"/>
    </row>
    <row r="411" spans="1:45" s="779" customFormat="1" ht="34.950000000000003" customHeight="1">
      <c r="A411" s="885">
        <v>395</v>
      </c>
      <c r="B411" s="886"/>
      <c r="C411" s="887" t="str">
        <f>'Tên thang 01-26'!E398</f>
        <v>យ៉ុន ផល</v>
      </c>
      <c r="D411" s="887" t="str">
        <f>'Tên thang 01-26'!F398</f>
        <v>YON PHAL</v>
      </c>
      <c r="E411" s="888">
        <v>299</v>
      </c>
      <c r="F411" s="889">
        <f>'SAN LUONG'!AP409*0.44</f>
        <v>0</v>
      </c>
      <c r="G411" s="889">
        <f t="shared" si="94"/>
        <v>0</v>
      </c>
      <c r="H411" s="889">
        <f>'SAN LUONG'!AO409*0.44</f>
        <v>707.08</v>
      </c>
      <c r="I411" s="889">
        <f t="shared" si="95"/>
        <v>11.18</v>
      </c>
      <c r="J411" s="889">
        <f>'SAN LUONG'!AV409*0.44</f>
        <v>0</v>
      </c>
      <c r="K411" s="889">
        <f t="shared" si="99"/>
        <v>0</v>
      </c>
      <c r="L411" s="889"/>
      <c r="M411" s="881">
        <f>'CHAM CONG'!BC406</f>
        <v>15</v>
      </c>
      <c r="N411" s="889">
        <f t="shared" si="100"/>
        <v>7.51</v>
      </c>
      <c r="O411" s="889">
        <f t="shared" si="101"/>
        <v>0.47</v>
      </c>
      <c r="P411" s="890">
        <f>'CHAM CONG'!BO406</f>
        <v>28</v>
      </c>
      <c r="Q411" s="942">
        <f t="shared" si="102"/>
        <v>2.63</v>
      </c>
      <c r="R411" s="942">
        <f>'SAN LUONG'!DW409</f>
        <v>9.3000000000000007</v>
      </c>
      <c r="S411" s="942">
        <f t="shared" si="96"/>
        <v>0.28999999999999998</v>
      </c>
      <c r="T411" s="943">
        <f>'CHAM CONG'!BW406</f>
        <v>0</v>
      </c>
      <c r="U411" s="942">
        <f t="shared" si="103"/>
        <v>0</v>
      </c>
      <c r="V411" s="890">
        <f>'CHAM CONG'!BD406</f>
        <v>0</v>
      </c>
      <c r="W411" s="944">
        <f t="shared" si="97"/>
        <v>0</v>
      </c>
      <c r="X411" s="891">
        <f>'CHAM CONG'!BT406</f>
        <v>1</v>
      </c>
      <c r="Y411" s="881">
        <f t="shared" si="104"/>
        <v>1.1000000000000001</v>
      </c>
      <c r="Z411" s="892">
        <v>6.03</v>
      </c>
      <c r="AA411" s="942">
        <f t="shared" si="108"/>
        <v>1.7</v>
      </c>
      <c r="AB411" s="892">
        <v>6.03</v>
      </c>
      <c r="AC411" s="942">
        <f t="shared" si="105"/>
        <v>7.24</v>
      </c>
      <c r="AD411" s="892">
        <v>6.03</v>
      </c>
      <c r="AE411" s="942">
        <f t="shared" si="106"/>
        <v>4.3</v>
      </c>
      <c r="AF411" s="943" t="e">
        <f>#N/A</f>
        <v>#N/A</v>
      </c>
      <c r="AG411" s="893">
        <f t="shared" si="98"/>
        <v>36.419999999999995</v>
      </c>
      <c r="AH411" s="894"/>
      <c r="AI411" s="895">
        <v>24.53</v>
      </c>
      <c r="AJ411" s="791">
        <v>22.520000000000003</v>
      </c>
      <c r="AK411" s="896">
        <f t="shared" si="107"/>
        <v>2</v>
      </c>
      <c r="AL411" s="896"/>
      <c r="AS411" s="898"/>
    </row>
    <row r="412" spans="1:45" s="779" customFormat="1" ht="34.950000000000003" customHeight="1">
      <c r="A412" s="885">
        <v>396</v>
      </c>
      <c r="B412" s="886"/>
      <c r="C412" s="887" t="str">
        <f>'Tên thang 01-26'!E399</f>
        <v>រឹម ធីម</v>
      </c>
      <c r="D412" s="887" t="str">
        <f>'Tên thang 01-26'!F399</f>
        <v>ROEM THIM</v>
      </c>
      <c r="E412" s="888">
        <v>300</v>
      </c>
      <c r="F412" s="889">
        <f>'SAN LUONG'!AP410*0.44</f>
        <v>0</v>
      </c>
      <c r="G412" s="889">
        <f t="shared" si="94"/>
        <v>0</v>
      </c>
      <c r="H412" s="889">
        <f>'SAN LUONG'!AO410*0.44</f>
        <v>651.64</v>
      </c>
      <c r="I412" s="889">
        <f t="shared" si="95"/>
        <v>10.3</v>
      </c>
      <c r="J412" s="889">
        <f>'SAN LUONG'!AV410*0.44</f>
        <v>0</v>
      </c>
      <c r="K412" s="889">
        <f t="shared" si="99"/>
        <v>0</v>
      </c>
      <c r="L412" s="889"/>
      <c r="M412" s="881">
        <f>'CHAM CONG'!BC407</f>
        <v>15</v>
      </c>
      <c r="N412" s="889">
        <f t="shared" si="100"/>
        <v>7.51</v>
      </c>
      <c r="O412" s="889">
        <f t="shared" si="101"/>
        <v>0.47</v>
      </c>
      <c r="P412" s="890">
        <f>'CHAM CONG'!BO407</f>
        <v>29</v>
      </c>
      <c r="Q412" s="942">
        <f t="shared" si="102"/>
        <v>2.72</v>
      </c>
      <c r="R412" s="942">
        <f>'SAN LUONG'!DW410</f>
        <v>14.1</v>
      </c>
      <c r="S412" s="942">
        <f t="shared" si="96"/>
        <v>0.44</v>
      </c>
      <c r="T412" s="943">
        <f>'CHAM CONG'!BW407</f>
        <v>0</v>
      </c>
      <c r="U412" s="942">
        <f t="shared" si="103"/>
        <v>0</v>
      </c>
      <c r="V412" s="890">
        <f>'CHAM CONG'!BD407</f>
        <v>0</v>
      </c>
      <c r="W412" s="944">
        <f t="shared" si="97"/>
        <v>0</v>
      </c>
      <c r="X412" s="891">
        <f>'CHAM CONG'!BT407</f>
        <v>1</v>
      </c>
      <c r="Y412" s="881">
        <f t="shared" si="104"/>
        <v>1.1000000000000001</v>
      </c>
      <c r="Z412" s="892">
        <v>6.03</v>
      </c>
      <c r="AA412" s="942">
        <f t="shared" si="108"/>
        <v>1.7</v>
      </c>
      <c r="AB412" s="892">
        <v>6.03</v>
      </c>
      <c r="AC412" s="942">
        <f t="shared" si="105"/>
        <v>7.24</v>
      </c>
      <c r="AD412" s="892">
        <v>6.03</v>
      </c>
      <c r="AE412" s="942">
        <f t="shared" si="106"/>
        <v>4.3</v>
      </c>
      <c r="AF412" s="943" t="e">
        <f>#N/A</f>
        <v>#N/A</v>
      </c>
      <c r="AG412" s="893">
        <f t="shared" si="98"/>
        <v>35.78</v>
      </c>
      <c r="AH412" s="894"/>
      <c r="AI412" s="895">
        <v>23.4</v>
      </c>
      <c r="AJ412" s="791">
        <v>20.78</v>
      </c>
      <c r="AK412" s="896">
        <f t="shared" si="107"/>
        <v>3</v>
      </c>
      <c r="AL412" s="896"/>
      <c r="AS412" s="898"/>
    </row>
    <row r="413" spans="1:45" s="779" customFormat="1" ht="34.950000000000003" customHeight="1">
      <c r="A413" s="885">
        <v>397</v>
      </c>
      <c r="B413" s="886"/>
      <c r="C413" s="887" t="str">
        <f>'Tên thang 01-26'!E400</f>
        <v>យ៉ុន ធា</v>
      </c>
      <c r="D413" s="887" t="str">
        <f>'Tên thang 01-26'!F400</f>
        <v>YON THEA</v>
      </c>
      <c r="E413" s="888">
        <v>301</v>
      </c>
      <c r="F413" s="889">
        <f>'SAN LUONG'!AP411*0.44</f>
        <v>206.36</v>
      </c>
      <c r="G413" s="889">
        <f t="shared" si="94"/>
        <v>2.94</v>
      </c>
      <c r="H413" s="889">
        <f>'SAN LUONG'!AO411*0.44</f>
        <v>418</v>
      </c>
      <c r="I413" s="889">
        <f t="shared" si="95"/>
        <v>6.61</v>
      </c>
      <c r="J413" s="889">
        <f>'SAN LUONG'!AV411*0.44</f>
        <v>0</v>
      </c>
      <c r="K413" s="889">
        <f t="shared" si="99"/>
        <v>0</v>
      </c>
      <c r="L413" s="889"/>
      <c r="M413" s="881">
        <f>'CHAM CONG'!BC408</f>
        <v>16</v>
      </c>
      <c r="N413" s="889">
        <f t="shared" si="100"/>
        <v>8.01</v>
      </c>
      <c r="O413" s="889">
        <f t="shared" si="101"/>
        <v>0.5</v>
      </c>
      <c r="P413" s="890">
        <f>'CHAM CONG'!BO408</f>
        <v>29</v>
      </c>
      <c r="Q413" s="942">
        <f t="shared" si="102"/>
        <v>2.72</v>
      </c>
      <c r="R413" s="942">
        <f>'SAN LUONG'!DW411</f>
        <v>14.4</v>
      </c>
      <c r="S413" s="942">
        <f t="shared" si="96"/>
        <v>0.45</v>
      </c>
      <c r="T413" s="943">
        <f>'CHAM CONG'!BW408</f>
        <v>0</v>
      </c>
      <c r="U413" s="942">
        <f t="shared" si="103"/>
        <v>0</v>
      </c>
      <c r="V413" s="890">
        <f>'CHAM CONG'!BD408</f>
        <v>0</v>
      </c>
      <c r="W413" s="944">
        <f t="shared" si="97"/>
        <v>0</v>
      </c>
      <c r="X413" s="891">
        <f>'CHAM CONG'!BT408</f>
        <v>1</v>
      </c>
      <c r="Y413" s="881">
        <f t="shared" si="104"/>
        <v>1.1000000000000001</v>
      </c>
      <c r="Z413" s="892">
        <v>6.03</v>
      </c>
      <c r="AA413" s="942">
        <f t="shared" si="108"/>
        <v>1.7</v>
      </c>
      <c r="AB413" s="892">
        <v>6.03</v>
      </c>
      <c r="AC413" s="942">
        <f t="shared" si="105"/>
        <v>7.24</v>
      </c>
      <c r="AD413" s="892">
        <v>6.03</v>
      </c>
      <c r="AE413" s="942">
        <f t="shared" si="106"/>
        <v>4.3</v>
      </c>
      <c r="AF413" s="943" t="e">
        <f>#N/A</f>
        <v>#N/A</v>
      </c>
      <c r="AG413" s="893">
        <f t="shared" si="98"/>
        <v>35.57</v>
      </c>
      <c r="AH413" s="894"/>
      <c r="AI413" s="895">
        <v>25.06</v>
      </c>
      <c r="AJ413" s="791">
        <v>22.590000000000003</v>
      </c>
      <c r="AK413" s="896">
        <f t="shared" si="107"/>
        <v>2</v>
      </c>
      <c r="AL413" s="896"/>
      <c r="AS413" s="898"/>
    </row>
    <row r="414" spans="1:45" s="779" customFormat="1" ht="34.950000000000003" customHeight="1">
      <c r="A414" s="885">
        <v>398</v>
      </c>
      <c r="B414" s="886"/>
      <c r="C414" s="887" t="str">
        <f>'Tên thang 01-26'!E401</f>
        <v>ហួន ហេង</v>
      </c>
      <c r="D414" s="887" t="str">
        <f>'Tên thang 01-26'!F401</f>
        <v>HOUN HENG</v>
      </c>
      <c r="E414" s="888">
        <v>302</v>
      </c>
      <c r="F414" s="889">
        <f>'SAN LUONG'!AP412*0.44</f>
        <v>281.16000000000003</v>
      </c>
      <c r="G414" s="889">
        <f t="shared" si="94"/>
        <v>4</v>
      </c>
      <c r="H414" s="889">
        <f>'SAN LUONG'!AO412*0.44</f>
        <v>490.6</v>
      </c>
      <c r="I414" s="889">
        <f t="shared" si="95"/>
        <v>7.76</v>
      </c>
      <c r="J414" s="889">
        <f>'SAN LUONG'!AV412*0.44</f>
        <v>0</v>
      </c>
      <c r="K414" s="889">
        <f t="shared" si="99"/>
        <v>0</v>
      </c>
      <c r="L414" s="889"/>
      <c r="M414" s="881">
        <f>'CHAM CONG'!BC409</f>
        <v>14</v>
      </c>
      <c r="N414" s="889">
        <f t="shared" si="100"/>
        <v>7.01</v>
      </c>
      <c r="O414" s="889">
        <f t="shared" si="101"/>
        <v>0.44</v>
      </c>
      <c r="P414" s="890">
        <f>'CHAM CONG'!BO409</f>
        <v>27</v>
      </c>
      <c r="Q414" s="942">
        <f t="shared" si="102"/>
        <v>2.54</v>
      </c>
      <c r="R414" s="942">
        <f>'SAN LUONG'!DW412</f>
        <v>15.2</v>
      </c>
      <c r="S414" s="942">
        <f t="shared" si="96"/>
        <v>0.48</v>
      </c>
      <c r="T414" s="943">
        <f>'CHAM CONG'!BW409</f>
        <v>0</v>
      </c>
      <c r="U414" s="942">
        <f t="shared" si="103"/>
        <v>0</v>
      </c>
      <c r="V414" s="890">
        <f>'CHAM CONG'!BD409</f>
        <v>0</v>
      </c>
      <c r="W414" s="944">
        <f t="shared" si="97"/>
        <v>0</v>
      </c>
      <c r="X414" s="891">
        <f>'CHAM CONG'!BT409</f>
        <v>1</v>
      </c>
      <c r="Y414" s="881">
        <f t="shared" si="104"/>
        <v>1.1000000000000001</v>
      </c>
      <c r="Z414" s="892">
        <v>6.03</v>
      </c>
      <c r="AA414" s="942">
        <f t="shared" si="108"/>
        <v>1.7</v>
      </c>
      <c r="AB414" s="892">
        <v>6.03</v>
      </c>
      <c r="AC414" s="942">
        <f t="shared" si="105"/>
        <v>7.24</v>
      </c>
      <c r="AD414" s="892">
        <v>6.03</v>
      </c>
      <c r="AE414" s="942">
        <f t="shared" si="106"/>
        <v>4.3</v>
      </c>
      <c r="AF414" s="943" t="e">
        <f>#N/A</f>
        <v>#N/A</v>
      </c>
      <c r="AG414" s="893">
        <f t="shared" si="98"/>
        <v>36.57</v>
      </c>
      <c r="AH414" s="894"/>
      <c r="AI414" s="895">
        <v>23.14</v>
      </c>
      <c r="AJ414" s="791">
        <v>20.670000000000005</v>
      </c>
      <c r="AK414" s="896">
        <f t="shared" si="107"/>
        <v>2</v>
      </c>
      <c r="AL414" s="896"/>
      <c r="AS414" s="898"/>
    </row>
    <row r="415" spans="1:45" s="779" customFormat="1" ht="34.950000000000003" customHeight="1">
      <c r="A415" s="885">
        <v>399</v>
      </c>
      <c r="B415" s="886"/>
      <c r="C415" s="887" t="str">
        <f>'Tên thang 01-26'!E402</f>
        <v>ភួន ភា</v>
      </c>
      <c r="D415" s="887" t="str">
        <f>'Tên thang 01-26'!F402</f>
        <v>PHUON PHEA</v>
      </c>
      <c r="E415" s="888">
        <v>303</v>
      </c>
      <c r="F415" s="889">
        <f>'SAN LUONG'!AP413*0.44</f>
        <v>200.64000000000001</v>
      </c>
      <c r="G415" s="889">
        <f t="shared" si="94"/>
        <v>2.86</v>
      </c>
      <c r="H415" s="889">
        <f>'SAN LUONG'!AO413*0.44</f>
        <v>461.12</v>
      </c>
      <c r="I415" s="889">
        <f t="shared" si="95"/>
        <v>7.29</v>
      </c>
      <c r="J415" s="889">
        <f>'SAN LUONG'!AV413*0.44</f>
        <v>0</v>
      </c>
      <c r="K415" s="889">
        <f t="shared" si="99"/>
        <v>0</v>
      </c>
      <c r="L415" s="889"/>
      <c r="M415" s="881">
        <f>'CHAM CONG'!BC410</f>
        <v>15</v>
      </c>
      <c r="N415" s="889">
        <f t="shared" si="100"/>
        <v>7.51</v>
      </c>
      <c r="O415" s="889">
        <f t="shared" si="101"/>
        <v>0.47</v>
      </c>
      <c r="P415" s="890">
        <f>'CHAM CONG'!BO410</f>
        <v>28</v>
      </c>
      <c r="Q415" s="942">
        <f t="shared" si="102"/>
        <v>2.63</v>
      </c>
      <c r="R415" s="942">
        <f>'SAN LUONG'!DW413</f>
        <v>13.1</v>
      </c>
      <c r="S415" s="942">
        <f t="shared" si="96"/>
        <v>0.41</v>
      </c>
      <c r="T415" s="943">
        <f>'CHAM CONG'!BW410</f>
        <v>0</v>
      </c>
      <c r="U415" s="942">
        <f t="shared" si="103"/>
        <v>0</v>
      </c>
      <c r="V415" s="890">
        <f>'CHAM CONG'!BD410</f>
        <v>0</v>
      </c>
      <c r="W415" s="944">
        <f t="shared" si="97"/>
        <v>0</v>
      </c>
      <c r="X415" s="891">
        <f>'CHAM CONG'!BT410</f>
        <v>1</v>
      </c>
      <c r="Y415" s="881">
        <f t="shared" si="104"/>
        <v>1.1000000000000001</v>
      </c>
      <c r="Z415" s="892">
        <v>6.03</v>
      </c>
      <c r="AA415" s="942">
        <f t="shared" si="108"/>
        <v>1.7</v>
      </c>
      <c r="AB415" s="892">
        <v>6.03</v>
      </c>
      <c r="AC415" s="942">
        <f t="shared" si="105"/>
        <v>7.24</v>
      </c>
      <c r="AD415" s="892">
        <v>6.03</v>
      </c>
      <c r="AE415" s="942">
        <f t="shared" si="106"/>
        <v>4.3</v>
      </c>
      <c r="AF415" s="943" t="e">
        <f>#N/A</f>
        <v>#N/A</v>
      </c>
      <c r="AG415" s="893">
        <f t="shared" si="98"/>
        <v>35.51</v>
      </c>
      <c r="AH415" s="894"/>
      <c r="AI415" s="895">
        <v>25.45</v>
      </c>
      <c r="AJ415" s="791">
        <v>22.970000000000002</v>
      </c>
      <c r="AK415" s="896">
        <f t="shared" si="107"/>
        <v>2</v>
      </c>
      <c r="AL415" s="896"/>
      <c r="AS415" s="898"/>
    </row>
    <row r="416" spans="1:45" s="779" customFormat="1" ht="34.950000000000003" customHeight="1">
      <c r="A416" s="885">
        <v>400</v>
      </c>
      <c r="B416" s="886"/>
      <c r="C416" s="887" t="str">
        <f>'Tên thang 01-26'!E403</f>
        <v>ងី តំ</v>
      </c>
      <c r="D416" s="887" t="str">
        <f>'Tên thang 01-26'!F403</f>
        <v>NGY TOM</v>
      </c>
      <c r="E416" s="888">
        <v>304</v>
      </c>
      <c r="F416" s="889">
        <f>'SAN LUONG'!AP414*0.44</f>
        <v>202.4</v>
      </c>
      <c r="G416" s="889">
        <f t="shared" si="94"/>
        <v>2.88</v>
      </c>
      <c r="H416" s="889">
        <f>'SAN LUONG'!AO414*0.44</f>
        <v>519.64</v>
      </c>
      <c r="I416" s="889">
        <f t="shared" si="95"/>
        <v>8.2100000000000009</v>
      </c>
      <c r="J416" s="889">
        <f>'SAN LUONG'!AV414*0.44</f>
        <v>0</v>
      </c>
      <c r="K416" s="889">
        <f t="shared" si="99"/>
        <v>0</v>
      </c>
      <c r="L416" s="889"/>
      <c r="M416" s="881">
        <f>'CHAM CONG'!BC411</f>
        <v>15</v>
      </c>
      <c r="N416" s="889">
        <f t="shared" si="100"/>
        <v>7.51</v>
      </c>
      <c r="O416" s="889">
        <f t="shared" si="101"/>
        <v>0.47</v>
      </c>
      <c r="P416" s="890">
        <f>'CHAM CONG'!BO411</f>
        <v>28</v>
      </c>
      <c r="Q416" s="942">
        <f t="shared" si="102"/>
        <v>2.63</v>
      </c>
      <c r="R416" s="942">
        <f>'SAN LUONG'!DW414</f>
        <v>13</v>
      </c>
      <c r="S416" s="942">
        <f t="shared" si="96"/>
        <v>0.41</v>
      </c>
      <c r="T416" s="943">
        <f>'CHAM CONG'!BW411</f>
        <v>0</v>
      </c>
      <c r="U416" s="942">
        <f t="shared" si="103"/>
        <v>0</v>
      </c>
      <c r="V416" s="890">
        <f>'CHAM CONG'!BD411</f>
        <v>1</v>
      </c>
      <c r="W416" s="944">
        <f t="shared" si="97"/>
        <v>0.53</v>
      </c>
      <c r="X416" s="891">
        <f>'CHAM CONG'!BT411</f>
        <v>1</v>
      </c>
      <c r="Y416" s="881">
        <f t="shared" si="104"/>
        <v>1.1000000000000001</v>
      </c>
      <c r="Z416" s="892">
        <v>6.03</v>
      </c>
      <c r="AA416" s="942">
        <f t="shared" si="108"/>
        <v>1.7</v>
      </c>
      <c r="AB416" s="892">
        <v>6.03</v>
      </c>
      <c r="AC416" s="942">
        <f t="shared" si="105"/>
        <v>7.24</v>
      </c>
      <c r="AD416" s="892">
        <v>6.03</v>
      </c>
      <c r="AE416" s="942">
        <f t="shared" si="106"/>
        <v>4.3</v>
      </c>
      <c r="AF416" s="943" t="e">
        <f>#N/A</f>
        <v>#N/A</v>
      </c>
      <c r="AG416" s="893">
        <f t="shared" si="98"/>
        <v>36.980000000000004</v>
      </c>
      <c r="AH416" s="894"/>
      <c r="AI416" s="895">
        <v>22.02</v>
      </c>
      <c r="AJ416" s="791">
        <v>19.550000000000004</v>
      </c>
      <c r="AK416" s="896">
        <f t="shared" si="107"/>
        <v>2</v>
      </c>
      <c r="AL416" s="896"/>
      <c r="AS416" s="898"/>
    </row>
    <row r="417" spans="1:45" s="779" customFormat="1" ht="34.950000000000003" customHeight="1">
      <c r="A417" s="885">
        <v>401</v>
      </c>
      <c r="B417" s="886"/>
      <c r="C417" s="887" t="str">
        <f>'Tên thang 01-26'!E404</f>
        <v>ហូយ វាសនា</v>
      </c>
      <c r="D417" s="887" t="str">
        <f>'Tên thang 01-26'!F404</f>
        <v>HAUY VEASNA</v>
      </c>
      <c r="E417" s="888">
        <v>305</v>
      </c>
      <c r="F417" s="889">
        <f>'SAN LUONG'!AP415*0.44</f>
        <v>100.76</v>
      </c>
      <c r="G417" s="889">
        <f t="shared" si="94"/>
        <v>1.44</v>
      </c>
      <c r="H417" s="889">
        <f>'SAN LUONG'!AO415*0.44</f>
        <v>146.96</v>
      </c>
      <c r="I417" s="889">
        <f t="shared" si="95"/>
        <v>2.3199999999999998</v>
      </c>
      <c r="J417" s="889">
        <f>'SAN LUONG'!AV415*0.44</f>
        <v>0</v>
      </c>
      <c r="K417" s="889">
        <f t="shared" si="99"/>
        <v>0</v>
      </c>
      <c r="L417" s="889"/>
      <c r="M417" s="881">
        <f>'CHAM CONG'!BC412</f>
        <v>14</v>
      </c>
      <c r="N417" s="889">
        <f t="shared" si="100"/>
        <v>7.01</v>
      </c>
      <c r="O417" s="889">
        <f t="shared" si="101"/>
        <v>0.44</v>
      </c>
      <c r="P417" s="890">
        <f>'CHAM CONG'!BO412</f>
        <v>26</v>
      </c>
      <c r="Q417" s="942">
        <f t="shared" si="102"/>
        <v>2.44</v>
      </c>
      <c r="R417" s="942">
        <f>'SAN LUONG'!DW415</f>
        <v>10.7</v>
      </c>
      <c r="S417" s="942">
        <f t="shared" si="96"/>
        <v>0.33</v>
      </c>
      <c r="T417" s="943">
        <f>'CHAM CONG'!BW412</f>
        <v>0</v>
      </c>
      <c r="U417" s="942">
        <f t="shared" si="103"/>
        <v>0</v>
      </c>
      <c r="V417" s="890">
        <f>'CHAM CONG'!BD412</f>
        <v>0</v>
      </c>
      <c r="W417" s="944">
        <f t="shared" si="97"/>
        <v>0</v>
      </c>
      <c r="X417" s="891">
        <f>'CHAM CONG'!BT412</f>
        <v>1</v>
      </c>
      <c r="Y417" s="881">
        <f t="shared" si="104"/>
        <v>1.1000000000000001</v>
      </c>
      <c r="Z417" s="892">
        <v>6.03</v>
      </c>
      <c r="AA417" s="942">
        <f t="shared" si="108"/>
        <v>1.7</v>
      </c>
      <c r="AB417" s="892">
        <v>6.03</v>
      </c>
      <c r="AC417" s="942">
        <f t="shared" si="105"/>
        <v>7.24</v>
      </c>
      <c r="AD417" s="892">
        <v>6.04</v>
      </c>
      <c r="AE417" s="942">
        <f>ROUND(AD417*$AD$15,1)</f>
        <v>4.3</v>
      </c>
      <c r="AF417" s="943" t="e">
        <f>#N/A</f>
        <v>#N/A</v>
      </c>
      <c r="AG417" s="893">
        <f t="shared" si="98"/>
        <v>28.32</v>
      </c>
      <c r="AH417" s="894"/>
      <c r="AI417" s="895">
        <v>19.45</v>
      </c>
      <c r="AJ417" s="791">
        <v>16.97</v>
      </c>
      <c r="AK417" s="896">
        <f t="shared" si="107"/>
        <v>2</v>
      </c>
      <c r="AL417" s="896"/>
      <c r="AS417" s="898"/>
    </row>
    <row r="418" spans="1:45" s="779" customFormat="1" ht="34.950000000000003" customHeight="1">
      <c r="A418" s="885">
        <v>402</v>
      </c>
      <c r="B418" s="886"/>
      <c r="C418" s="887" t="str">
        <f>'Tên thang 01-26'!E405</f>
        <v>សឿន ចែម</v>
      </c>
      <c r="D418" s="887" t="str">
        <f>'Tên thang 01-26'!F405</f>
        <v>SOEUN CHEM</v>
      </c>
      <c r="E418" s="888">
        <v>306</v>
      </c>
      <c r="F418" s="889">
        <f>'SAN LUONG'!AP416*0.44</f>
        <v>173.36</v>
      </c>
      <c r="G418" s="889">
        <f t="shared" si="94"/>
        <v>2.4700000000000002</v>
      </c>
      <c r="H418" s="889">
        <f>'SAN LUONG'!AO416*0.44</f>
        <v>255.64000000000001</v>
      </c>
      <c r="I418" s="889">
        <f t="shared" si="95"/>
        <v>4.04</v>
      </c>
      <c r="J418" s="889">
        <f>'SAN LUONG'!AV416*0.44</f>
        <v>0</v>
      </c>
      <c r="K418" s="889">
        <f t="shared" si="99"/>
        <v>0</v>
      </c>
      <c r="L418" s="889"/>
      <c r="M418" s="881">
        <f>'CHAM CONG'!BC413</f>
        <v>16</v>
      </c>
      <c r="N418" s="889">
        <f t="shared" si="100"/>
        <v>8.01</v>
      </c>
      <c r="O418" s="889">
        <f t="shared" si="101"/>
        <v>0.5</v>
      </c>
      <c r="P418" s="890">
        <f>'CHAM CONG'!BO413</f>
        <v>27</v>
      </c>
      <c r="Q418" s="942">
        <f t="shared" si="102"/>
        <v>2.54</v>
      </c>
      <c r="R418" s="942">
        <f>'SAN LUONG'!DW416</f>
        <v>11.2</v>
      </c>
      <c r="S418" s="942">
        <f t="shared" si="96"/>
        <v>0.35</v>
      </c>
      <c r="T418" s="943">
        <f>'CHAM CONG'!BW413</f>
        <v>0</v>
      </c>
      <c r="U418" s="942">
        <f t="shared" si="103"/>
        <v>0</v>
      </c>
      <c r="V418" s="890">
        <f>'CHAM CONG'!BD413</f>
        <v>0</v>
      </c>
      <c r="W418" s="944">
        <f t="shared" si="97"/>
        <v>0</v>
      </c>
      <c r="X418" s="891">
        <f>'CHAM CONG'!BT413</f>
        <v>1</v>
      </c>
      <c r="Y418" s="881">
        <f t="shared" si="104"/>
        <v>1.1000000000000001</v>
      </c>
      <c r="Z418" s="892">
        <v>6.03</v>
      </c>
      <c r="AA418" s="942">
        <f t="shared" si="108"/>
        <v>1.7</v>
      </c>
      <c r="AB418" s="892">
        <v>6.03</v>
      </c>
      <c r="AC418" s="942">
        <f t="shared" si="105"/>
        <v>7.24</v>
      </c>
      <c r="AD418" s="892">
        <v>6.04</v>
      </c>
      <c r="AE418" s="942">
        <f t="shared" ref="AE418:AE444" si="109">ROUND(AD418*$AD$15,1)</f>
        <v>4.3</v>
      </c>
      <c r="AF418" s="943" t="e">
        <f>#N/A</f>
        <v>#N/A</v>
      </c>
      <c r="AG418" s="893">
        <f t="shared" si="98"/>
        <v>32.25</v>
      </c>
      <c r="AH418" s="894"/>
      <c r="AI418" s="895">
        <v>20.170000000000002</v>
      </c>
      <c r="AJ418" s="791">
        <v>17.690000000000001</v>
      </c>
      <c r="AK418" s="896">
        <f t="shared" si="107"/>
        <v>2</v>
      </c>
      <c r="AL418" s="896"/>
      <c r="AS418" s="898"/>
    </row>
    <row r="419" spans="1:45" s="779" customFormat="1" ht="34.950000000000003" customHeight="1">
      <c r="A419" s="885">
        <v>403</v>
      </c>
      <c r="B419" s="886"/>
      <c r="C419" s="887" t="str">
        <f>'Tên thang 01-26'!E406</f>
        <v>អាន អឿន</v>
      </c>
      <c r="D419" s="887" t="str">
        <f>'Tên thang 01-26'!F406</f>
        <v>AN OEURN</v>
      </c>
      <c r="E419" s="888">
        <v>307</v>
      </c>
      <c r="F419" s="889">
        <f>'SAN LUONG'!AP417*0.44</f>
        <v>199.76</v>
      </c>
      <c r="G419" s="889">
        <f t="shared" si="94"/>
        <v>2.85</v>
      </c>
      <c r="H419" s="889">
        <f>'SAN LUONG'!AO417*0.44</f>
        <v>253</v>
      </c>
      <c r="I419" s="889">
        <f t="shared" si="95"/>
        <v>4</v>
      </c>
      <c r="J419" s="889">
        <f>'SAN LUONG'!AV417*0.44</f>
        <v>0</v>
      </c>
      <c r="K419" s="889">
        <f t="shared" si="99"/>
        <v>0</v>
      </c>
      <c r="L419" s="889"/>
      <c r="M419" s="881">
        <f>'CHAM CONG'!BC414</f>
        <v>15</v>
      </c>
      <c r="N419" s="889">
        <f t="shared" si="100"/>
        <v>7.51</v>
      </c>
      <c r="O419" s="889">
        <f t="shared" si="101"/>
        <v>0.47</v>
      </c>
      <c r="P419" s="890">
        <f>'CHAM CONG'!BO414</f>
        <v>27</v>
      </c>
      <c r="Q419" s="942">
        <f t="shared" si="102"/>
        <v>2.54</v>
      </c>
      <c r="R419" s="942">
        <f>'SAN LUONG'!DW417</f>
        <v>12.6</v>
      </c>
      <c r="S419" s="942">
        <f t="shared" si="96"/>
        <v>0.39</v>
      </c>
      <c r="T419" s="943">
        <f>'CHAM CONG'!BW414</f>
        <v>0</v>
      </c>
      <c r="U419" s="942">
        <f t="shared" si="103"/>
        <v>0</v>
      </c>
      <c r="V419" s="890">
        <f>'CHAM CONG'!BD414</f>
        <v>0</v>
      </c>
      <c r="W419" s="944">
        <f t="shared" si="97"/>
        <v>0</v>
      </c>
      <c r="X419" s="891">
        <f>'CHAM CONG'!BT414</f>
        <v>1</v>
      </c>
      <c r="Y419" s="881">
        <f t="shared" si="104"/>
        <v>1.1000000000000001</v>
      </c>
      <c r="Z419" s="892">
        <v>6.03</v>
      </c>
      <c r="AA419" s="942">
        <f t="shared" si="108"/>
        <v>1.7</v>
      </c>
      <c r="AB419" s="892">
        <v>6.03</v>
      </c>
      <c r="AC419" s="942">
        <f t="shared" si="105"/>
        <v>7.24</v>
      </c>
      <c r="AD419" s="892">
        <v>6.04</v>
      </c>
      <c r="AE419" s="942">
        <f t="shared" si="109"/>
        <v>4.3</v>
      </c>
      <c r="AF419" s="943" t="e">
        <f>#N/A</f>
        <v>#N/A</v>
      </c>
      <c r="AG419" s="893">
        <f t="shared" si="98"/>
        <v>32.1</v>
      </c>
      <c r="AH419" s="894"/>
      <c r="AI419" s="895">
        <v>20.87</v>
      </c>
      <c r="AJ419" s="791">
        <v>18.400000000000002</v>
      </c>
      <c r="AK419" s="896">
        <f t="shared" si="107"/>
        <v>2</v>
      </c>
      <c r="AL419" s="896"/>
      <c r="AS419" s="898"/>
    </row>
    <row r="420" spans="1:45" s="779" customFormat="1" ht="34.950000000000003" customHeight="1">
      <c r="A420" s="885">
        <v>404</v>
      </c>
      <c r="B420" s="886"/>
      <c r="C420" s="887" t="str">
        <f>'Tên thang 01-26'!E407</f>
        <v>ភួន ធារី</v>
      </c>
      <c r="D420" s="887" t="str">
        <f>'Tên thang 01-26'!F407</f>
        <v>PHUON THEARY</v>
      </c>
      <c r="E420" s="888">
        <v>308</v>
      </c>
      <c r="F420" s="889">
        <f>'SAN LUONG'!AP418*0.44</f>
        <v>176.88</v>
      </c>
      <c r="G420" s="889">
        <f t="shared" si="94"/>
        <v>2.52</v>
      </c>
      <c r="H420" s="889">
        <f>'SAN LUONG'!AO418*0.44</f>
        <v>389.4</v>
      </c>
      <c r="I420" s="889">
        <f t="shared" si="95"/>
        <v>6.16</v>
      </c>
      <c r="J420" s="889">
        <f>'SAN LUONG'!AV418*0.44</f>
        <v>0</v>
      </c>
      <c r="K420" s="889">
        <f t="shared" si="99"/>
        <v>0</v>
      </c>
      <c r="L420" s="889"/>
      <c r="M420" s="881">
        <f>'CHAM CONG'!BC415</f>
        <v>15</v>
      </c>
      <c r="N420" s="889">
        <f t="shared" si="100"/>
        <v>7.51</v>
      </c>
      <c r="O420" s="889">
        <f t="shared" si="101"/>
        <v>0.47</v>
      </c>
      <c r="P420" s="890">
        <f>'CHAM CONG'!BO415</f>
        <v>28</v>
      </c>
      <c r="Q420" s="942">
        <f t="shared" si="102"/>
        <v>2.63</v>
      </c>
      <c r="R420" s="942">
        <f>'SAN LUONG'!DW418</f>
        <v>6.9</v>
      </c>
      <c r="S420" s="942">
        <f t="shared" si="96"/>
        <v>0.22</v>
      </c>
      <c r="T420" s="943">
        <f>'CHAM CONG'!BW415</f>
        <v>20000</v>
      </c>
      <c r="U420" s="942">
        <f t="shared" si="103"/>
        <v>0.63</v>
      </c>
      <c r="V420" s="890">
        <f>'CHAM CONG'!BD415</f>
        <v>0</v>
      </c>
      <c r="W420" s="944">
        <f t="shared" si="97"/>
        <v>0</v>
      </c>
      <c r="X420" s="891">
        <f>'CHAM CONG'!BT415</f>
        <v>1</v>
      </c>
      <c r="Y420" s="881">
        <f t="shared" si="104"/>
        <v>1.1000000000000001</v>
      </c>
      <c r="Z420" s="892">
        <v>6.03</v>
      </c>
      <c r="AA420" s="942">
        <f t="shared" si="108"/>
        <v>1.7</v>
      </c>
      <c r="AB420" s="892">
        <v>6.03</v>
      </c>
      <c r="AC420" s="942">
        <f t="shared" si="105"/>
        <v>7.24</v>
      </c>
      <c r="AD420" s="892">
        <v>6.04</v>
      </c>
      <c r="AE420" s="942">
        <f t="shared" si="109"/>
        <v>4.3</v>
      </c>
      <c r="AF420" s="943" t="e">
        <f>#N/A</f>
        <v>#N/A</v>
      </c>
      <c r="AG420" s="893">
        <f t="shared" si="98"/>
        <v>34.479999999999997</v>
      </c>
      <c r="AH420" s="894"/>
      <c r="AI420" s="895">
        <v>22.83</v>
      </c>
      <c r="AJ420" s="791">
        <v>20.360000000000003</v>
      </c>
      <c r="AK420" s="896">
        <f t="shared" si="107"/>
        <v>2</v>
      </c>
      <c r="AL420" s="896"/>
      <c r="AS420" s="898"/>
    </row>
    <row r="421" spans="1:45" s="779" customFormat="1" ht="34.950000000000003" customHeight="1">
      <c r="A421" s="885">
        <v>405</v>
      </c>
      <c r="B421" s="886"/>
      <c r="C421" s="887" t="str">
        <f>'Tên thang 01-26'!E408</f>
        <v>ឈិន ឈឿន</v>
      </c>
      <c r="D421" s="887" t="str">
        <f>'Tên thang 01-26'!F408</f>
        <v>CHHIN CHHOEUN</v>
      </c>
      <c r="E421" s="888">
        <v>309</v>
      </c>
      <c r="F421" s="889">
        <f>'SAN LUONG'!AP419*0.44</f>
        <v>143.88</v>
      </c>
      <c r="G421" s="889">
        <f t="shared" si="94"/>
        <v>2.0499999999999998</v>
      </c>
      <c r="H421" s="889">
        <f>'SAN LUONG'!AO419*0.44</f>
        <v>305.36</v>
      </c>
      <c r="I421" s="889">
        <f t="shared" si="95"/>
        <v>4.83</v>
      </c>
      <c r="J421" s="889">
        <f>'SAN LUONG'!AV419*0.44</f>
        <v>0</v>
      </c>
      <c r="K421" s="889">
        <f t="shared" si="99"/>
        <v>0</v>
      </c>
      <c r="L421" s="889"/>
      <c r="M421" s="881">
        <f>'CHAM CONG'!BC416</f>
        <v>14</v>
      </c>
      <c r="N421" s="889">
        <f t="shared" si="100"/>
        <v>7.01</v>
      </c>
      <c r="O421" s="889">
        <f t="shared" si="101"/>
        <v>0.44</v>
      </c>
      <c r="P421" s="890">
        <f>'CHAM CONG'!BO416</f>
        <v>27</v>
      </c>
      <c r="Q421" s="942">
        <f t="shared" si="102"/>
        <v>2.54</v>
      </c>
      <c r="R421" s="942">
        <f>'SAN LUONG'!DW419</f>
        <v>12</v>
      </c>
      <c r="S421" s="942">
        <f t="shared" si="96"/>
        <v>0.38</v>
      </c>
      <c r="T421" s="943">
        <f>'CHAM CONG'!BW416</f>
        <v>20000</v>
      </c>
      <c r="U421" s="942">
        <f t="shared" si="103"/>
        <v>0.63</v>
      </c>
      <c r="V421" s="890">
        <f>'CHAM CONG'!BD416</f>
        <v>0</v>
      </c>
      <c r="W421" s="944">
        <f t="shared" si="97"/>
        <v>0</v>
      </c>
      <c r="X421" s="891">
        <f>'CHAM CONG'!BT416</f>
        <v>1</v>
      </c>
      <c r="Y421" s="881">
        <f t="shared" si="104"/>
        <v>1.1000000000000001</v>
      </c>
      <c r="Z421" s="892">
        <v>6.03</v>
      </c>
      <c r="AA421" s="942">
        <f t="shared" si="108"/>
        <v>1.7</v>
      </c>
      <c r="AB421" s="892">
        <v>6.03</v>
      </c>
      <c r="AC421" s="942">
        <f t="shared" si="105"/>
        <v>7.24</v>
      </c>
      <c r="AD421" s="892">
        <v>6.04</v>
      </c>
      <c r="AE421" s="942">
        <f t="shared" si="109"/>
        <v>4.3</v>
      </c>
      <c r="AF421" s="943" t="e">
        <f>#N/A</f>
        <v>#N/A</v>
      </c>
      <c r="AG421" s="893">
        <f t="shared" si="98"/>
        <v>32.220000000000006</v>
      </c>
      <c r="AH421" s="894"/>
      <c r="AI421" s="895">
        <v>21.19</v>
      </c>
      <c r="AJ421" s="791">
        <v>18.71</v>
      </c>
      <c r="AK421" s="896">
        <f t="shared" si="107"/>
        <v>2</v>
      </c>
      <c r="AL421" s="896"/>
      <c r="AS421" s="898"/>
    </row>
    <row r="422" spans="1:45" s="779" customFormat="1" ht="34.950000000000003" customHeight="1">
      <c r="A422" s="885">
        <v>406</v>
      </c>
      <c r="B422" s="886"/>
      <c r="C422" s="887" t="str">
        <f>'Tên thang 01-26'!E409</f>
        <v>យ៉ាន ត្រប់</v>
      </c>
      <c r="D422" s="887" t="str">
        <f>'Tên thang 01-26'!F409</f>
        <v>YAN TROB</v>
      </c>
      <c r="E422" s="888">
        <v>310</v>
      </c>
      <c r="F422" s="889">
        <f>'SAN LUONG'!AP420*0.44</f>
        <v>195.8</v>
      </c>
      <c r="G422" s="889">
        <f t="shared" si="94"/>
        <v>2.79</v>
      </c>
      <c r="H422" s="889">
        <f>'SAN LUONG'!AO420*0.44</f>
        <v>338.36</v>
      </c>
      <c r="I422" s="889">
        <f t="shared" si="95"/>
        <v>5.35</v>
      </c>
      <c r="J422" s="889">
        <f>'SAN LUONG'!AV420*0.44</f>
        <v>0</v>
      </c>
      <c r="K422" s="889">
        <f t="shared" si="99"/>
        <v>0</v>
      </c>
      <c r="L422" s="889"/>
      <c r="M422" s="881">
        <f>'CHAM CONG'!BC417</f>
        <v>15</v>
      </c>
      <c r="N422" s="889">
        <f t="shared" si="100"/>
        <v>7.51</v>
      </c>
      <c r="O422" s="889">
        <f t="shared" si="101"/>
        <v>0.47</v>
      </c>
      <c r="P422" s="890">
        <f>'CHAM CONG'!BO417</f>
        <v>29</v>
      </c>
      <c r="Q422" s="942">
        <f t="shared" si="102"/>
        <v>2.72</v>
      </c>
      <c r="R422" s="942">
        <f>'SAN LUONG'!DW420</f>
        <v>8.5</v>
      </c>
      <c r="S422" s="942">
        <f t="shared" si="96"/>
        <v>0.27</v>
      </c>
      <c r="T422" s="943">
        <f>'CHAM CONG'!BW417</f>
        <v>0</v>
      </c>
      <c r="U422" s="942">
        <f t="shared" si="103"/>
        <v>0</v>
      </c>
      <c r="V422" s="890">
        <f>'CHAM CONG'!BD417</f>
        <v>0</v>
      </c>
      <c r="W422" s="944">
        <f t="shared" si="97"/>
        <v>0</v>
      </c>
      <c r="X422" s="891">
        <f>'CHAM CONG'!BT417</f>
        <v>1</v>
      </c>
      <c r="Y422" s="881">
        <f t="shared" si="104"/>
        <v>1.1000000000000001</v>
      </c>
      <c r="Z422" s="892">
        <v>6.03</v>
      </c>
      <c r="AA422" s="942">
        <f t="shared" si="108"/>
        <v>1.7</v>
      </c>
      <c r="AB422" s="892">
        <v>6.03</v>
      </c>
      <c r="AC422" s="942">
        <f t="shared" si="105"/>
        <v>7.24</v>
      </c>
      <c r="AD422" s="892">
        <v>6.04</v>
      </c>
      <c r="AE422" s="942">
        <f t="shared" si="109"/>
        <v>4.3</v>
      </c>
      <c r="AF422" s="943" t="e">
        <f>#N/A</f>
        <v>#N/A</v>
      </c>
      <c r="AG422" s="893">
        <f t="shared" si="98"/>
        <v>33.450000000000003</v>
      </c>
      <c r="AH422" s="894"/>
      <c r="AI422" s="895">
        <v>23.22</v>
      </c>
      <c r="AJ422" s="791">
        <v>20.75</v>
      </c>
      <c r="AK422" s="896">
        <f t="shared" si="107"/>
        <v>2</v>
      </c>
      <c r="AL422" s="896"/>
      <c r="AS422" s="898"/>
    </row>
    <row r="423" spans="1:45" s="779" customFormat="1" ht="34.950000000000003" customHeight="1">
      <c r="A423" s="885">
        <v>407</v>
      </c>
      <c r="B423" s="886"/>
      <c r="C423" s="887" t="str">
        <f>'Tên thang 01-26'!E410</f>
        <v>ឃឹម បញ្ញា</v>
      </c>
      <c r="D423" s="887" t="str">
        <f>'Tên thang 01-26'!F410</f>
        <v>KHOEM PHANHA</v>
      </c>
      <c r="E423" s="888">
        <v>311</v>
      </c>
      <c r="F423" s="889">
        <f>'SAN LUONG'!AP421*0.44</f>
        <v>270.60000000000002</v>
      </c>
      <c r="G423" s="889">
        <f t="shared" si="94"/>
        <v>3.85</v>
      </c>
      <c r="H423" s="889">
        <f>'SAN LUONG'!AO421*0.44</f>
        <v>260.04000000000002</v>
      </c>
      <c r="I423" s="889">
        <f t="shared" si="95"/>
        <v>4.1100000000000003</v>
      </c>
      <c r="J423" s="889">
        <f>'SAN LUONG'!AV421*0.44</f>
        <v>0</v>
      </c>
      <c r="K423" s="889">
        <f t="shared" si="99"/>
        <v>0</v>
      </c>
      <c r="L423" s="889"/>
      <c r="M423" s="881">
        <f>'CHAM CONG'!BC418</f>
        <v>15</v>
      </c>
      <c r="N423" s="889">
        <f t="shared" si="100"/>
        <v>7.51</v>
      </c>
      <c r="O423" s="889">
        <f t="shared" si="101"/>
        <v>0.47</v>
      </c>
      <c r="P423" s="890">
        <f>'CHAM CONG'!BO418</f>
        <v>26</v>
      </c>
      <c r="Q423" s="942">
        <f t="shared" si="102"/>
        <v>2.44</v>
      </c>
      <c r="R423" s="942">
        <f>'SAN LUONG'!DW421</f>
        <v>10.1</v>
      </c>
      <c r="S423" s="942">
        <f t="shared" si="96"/>
        <v>0.32</v>
      </c>
      <c r="T423" s="943">
        <f>'CHAM CONG'!BW418</f>
        <v>0</v>
      </c>
      <c r="U423" s="942">
        <f t="shared" si="103"/>
        <v>0</v>
      </c>
      <c r="V423" s="890">
        <f>'CHAM CONG'!BD418</f>
        <v>0</v>
      </c>
      <c r="W423" s="944">
        <f t="shared" si="97"/>
        <v>0</v>
      </c>
      <c r="X423" s="891">
        <f>'CHAM CONG'!BT418</f>
        <v>1</v>
      </c>
      <c r="Y423" s="881">
        <f t="shared" si="104"/>
        <v>1.1000000000000001</v>
      </c>
      <c r="Z423" s="892">
        <v>6.03</v>
      </c>
      <c r="AA423" s="942">
        <f t="shared" si="108"/>
        <v>1.7</v>
      </c>
      <c r="AB423" s="892">
        <v>6.03</v>
      </c>
      <c r="AC423" s="942">
        <f t="shared" si="105"/>
        <v>7.24</v>
      </c>
      <c r="AD423" s="892">
        <v>6.04</v>
      </c>
      <c r="AE423" s="942">
        <f t="shared" si="109"/>
        <v>4.3</v>
      </c>
      <c r="AF423" s="943" t="e">
        <f>#N/A</f>
        <v>#N/A</v>
      </c>
      <c r="AG423" s="893">
        <f t="shared" si="98"/>
        <v>33.04</v>
      </c>
      <c r="AH423" s="894"/>
      <c r="AI423" s="895">
        <v>19.64</v>
      </c>
      <c r="AJ423" s="791">
        <v>17.159999999999997</v>
      </c>
      <c r="AK423" s="896">
        <f t="shared" si="107"/>
        <v>2</v>
      </c>
      <c r="AL423" s="896"/>
      <c r="AS423" s="898"/>
    </row>
    <row r="424" spans="1:45" s="779" customFormat="1" ht="34.950000000000003" customHeight="1">
      <c r="A424" s="885">
        <v>408</v>
      </c>
      <c r="B424" s="886"/>
      <c r="C424" s="887" t="str">
        <f>'Tên thang 01-26'!E411</f>
        <v>ឈឿន ឈួយ</v>
      </c>
      <c r="D424" s="887" t="str">
        <f>'Tên thang 01-26'!F411</f>
        <v>CHHOEUN CHHUOY</v>
      </c>
      <c r="E424" s="888">
        <v>312</v>
      </c>
      <c r="F424" s="889">
        <f>'SAN LUONG'!AP422*0.44</f>
        <v>272.36</v>
      </c>
      <c r="G424" s="889">
        <f t="shared" si="94"/>
        <v>3.88</v>
      </c>
      <c r="H424" s="889">
        <f>'SAN LUONG'!AO422*0.44</f>
        <v>383.24</v>
      </c>
      <c r="I424" s="889">
        <f t="shared" si="95"/>
        <v>6.06</v>
      </c>
      <c r="J424" s="889">
        <f>'SAN LUONG'!AV422*0.44</f>
        <v>0</v>
      </c>
      <c r="K424" s="889">
        <f t="shared" si="99"/>
        <v>0</v>
      </c>
      <c r="L424" s="889"/>
      <c r="M424" s="881">
        <f>'CHAM CONG'!BC419</f>
        <v>15</v>
      </c>
      <c r="N424" s="889">
        <f t="shared" si="100"/>
        <v>7.51</v>
      </c>
      <c r="O424" s="889">
        <f t="shared" si="101"/>
        <v>0.47</v>
      </c>
      <c r="P424" s="890">
        <f>'CHAM CONG'!BO419</f>
        <v>26</v>
      </c>
      <c r="Q424" s="942">
        <f t="shared" si="102"/>
        <v>2.44</v>
      </c>
      <c r="R424" s="942">
        <f>'SAN LUONG'!DW422</f>
        <v>9</v>
      </c>
      <c r="S424" s="942">
        <f t="shared" si="96"/>
        <v>0.28000000000000003</v>
      </c>
      <c r="T424" s="943">
        <f>'CHAM CONG'!BW419</f>
        <v>0</v>
      </c>
      <c r="U424" s="942">
        <f t="shared" si="103"/>
        <v>0</v>
      </c>
      <c r="V424" s="890">
        <f>'CHAM CONG'!BD419</f>
        <v>1</v>
      </c>
      <c r="W424" s="944">
        <f t="shared" si="97"/>
        <v>0.53</v>
      </c>
      <c r="X424" s="891">
        <f>'CHAM CONG'!BT419</f>
        <v>1</v>
      </c>
      <c r="Y424" s="881">
        <f t="shared" si="104"/>
        <v>1.1000000000000001</v>
      </c>
      <c r="Z424" s="892">
        <v>6.03</v>
      </c>
      <c r="AA424" s="942">
        <f t="shared" si="108"/>
        <v>1.7</v>
      </c>
      <c r="AB424" s="892">
        <v>6.03</v>
      </c>
      <c r="AC424" s="942">
        <f t="shared" si="105"/>
        <v>7.24</v>
      </c>
      <c r="AD424" s="892">
        <v>6.04</v>
      </c>
      <c r="AE424" s="942">
        <f t="shared" si="109"/>
        <v>4.3</v>
      </c>
      <c r="AF424" s="943" t="e">
        <f>#N/A</f>
        <v>#N/A</v>
      </c>
      <c r="AG424" s="893">
        <f t="shared" si="98"/>
        <v>35.510000000000005</v>
      </c>
      <c r="AH424" s="894"/>
      <c r="AI424" s="895">
        <v>22.18</v>
      </c>
      <c r="AJ424" s="791">
        <v>19.720000000000002</v>
      </c>
      <c r="AK424" s="896">
        <f t="shared" si="107"/>
        <v>2</v>
      </c>
      <c r="AL424" s="896"/>
      <c r="AS424" s="898"/>
    </row>
    <row r="425" spans="1:45" s="779" customFormat="1" ht="34.950000000000003" customHeight="1">
      <c r="A425" s="885">
        <v>409</v>
      </c>
      <c r="B425" s="886"/>
      <c r="C425" s="887" t="str">
        <f>'Tên thang 01-26'!E412</f>
        <v>ក្រឹង រ៉ៃ</v>
      </c>
      <c r="D425" s="887" t="str">
        <f>'Tên thang 01-26'!F412</f>
        <v>KRENG REY</v>
      </c>
      <c r="E425" s="888">
        <v>313</v>
      </c>
      <c r="F425" s="889">
        <f>'SAN LUONG'!AP423*0.44</f>
        <v>273.24</v>
      </c>
      <c r="G425" s="889">
        <f t="shared" si="94"/>
        <v>3.89</v>
      </c>
      <c r="H425" s="889">
        <f>'SAN LUONG'!AO423*0.44</f>
        <v>363</v>
      </c>
      <c r="I425" s="889">
        <f t="shared" si="95"/>
        <v>5.74</v>
      </c>
      <c r="J425" s="889">
        <f>'SAN LUONG'!AV423*0.44</f>
        <v>0</v>
      </c>
      <c r="K425" s="889">
        <f t="shared" si="99"/>
        <v>0</v>
      </c>
      <c r="L425" s="889"/>
      <c r="M425" s="881">
        <f>'CHAM CONG'!BC420</f>
        <v>15</v>
      </c>
      <c r="N425" s="889">
        <f t="shared" si="100"/>
        <v>7.51</v>
      </c>
      <c r="O425" s="889">
        <f t="shared" si="101"/>
        <v>0.47</v>
      </c>
      <c r="P425" s="890">
        <f>'CHAM CONG'!BO420</f>
        <v>26</v>
      </c>
      <c r="Q425" s="942">
        <f t="shared" si="102"/>
        <v>2.44</v>
      </c>
      <c r="R425" s="942">
        <f>'SAN LUONG'!DW423</f>
        <v>9</v>
      </c>
      <c r="S425" s="942">
        <f t="shared" si="96"/>
        <v>0.28000000000000003</v>
      </c>
      <c r="T425" s="943">
        <f>'CHAM CONG'!BW420</f>
        <v>0</v>
      </c>
      <c r="U425" s="942">
        <f t="shared" si="103"/>
        <v>0</v>
      </c>
      <c r="V425" s="890">
        <f>'CHAM CONG'!BD420</f>
        <v>1</v>
      </c>
      <c r="W425" s="944">
        <f t="shared" si="97"/>
        <v>0.53</v>
      </c>
      <c r="X425" s="891">
        <f>'CHAM CONG'!BT420</f>
        <v>1</v>
      </c>
      <c r="Y425" s="881">
        <f t="shared" si="104"/>
        <v>1.1000000000000001</v>
      </c>
      <c r="Z425" s="892">
        <v>6.03</v>
      </c>
      <c r="AA425" s="942">
        <f t="shared" si="108"/>
        <v>1.7</v>
      </c>
      <c r="AB425" s="892">
        <v>6.03</v>
      </c>
      <c r="AC425" s="942">
        <f t="shared" si="105"/>
        <v>7.24</v>
      </c>
      <c r="AD425" s="892">
        <v>6.04</v>
      </c>
      <c r="AE425" s="942">
        <f t="shared" si="109"/>
        <v>4.3</v>
      </c>
      <c r="AF425" s="943" t="e">
        <f>#N/A</f>
        <v>#N/A</v>
      </c>
      <c r="AG425" s="893">
        <f t="shared" si="98"/>
        <v>35.200000000000003</v>
      </c>
      <c r="AH425" s="894"/>
      <c r="AI425" s="895">
        <v>22.41</v>
      </c>
      <c r="AJ425" s="791">
        <v>19.940000000000001</v>
      </c>
      <c r="AK425" s="896">
        <f t="shared" si="107"/>
        <v>2</v>
      </c>
      <c r="AL425" s="896"/>
      <c r="AS425" s="898"/>
    </row>
    <row r="426" spans="1:45" s="779" customFormat="1" ht="34.950000000000003" customHeight="1">
      <c r="A426" s="885">
        <v>410</v>
      </c>
      <c r="B426" s="886"/>
      <c r="C426" s="887" t="str">
        <f>'Tên thang 01-26'!E413</f>
        <v>សេន សេត</v>
      </c>
      <c r="D426" s="887" t="str">
        <f>'Tên thang 01-26'!F413</f>
        <v>SEN SET</v>
      </c>
      <c r="E426" s="888">
        <v>314</v>
      </c>
      <c r="F426" s="889">
        <f>'SAN LUONG'!AP424*0.44</f>
        <v>153.12</v>
      </c>
      <c r="G426" s="889">
        <f t="shared" si="94"/>
        <v>2.1800000000000002</v>
      </c>
      <c r="H426" s="889">
        <f>'SAN LUONG'!AO424*0.44</f>
        <v>474.76</v>
      </c>
      <c r="I426" s="889">
        <f t="shared" si="95"/>
        <v>7.5</v>
      </c>
      <c r="J426" s="889">
        <f>'SAN LUONG'!AV424*0.44</f>
        <v>0</v>
      </c>
      <c r="K426" s="889">
        <f t="shared" si="99"/>
        <v>0</v>
      </c>
      <c r="L426" s="889"/>
      <c r="M426" s="881">
        <f>'CHAM CONG'!BC421</f>
        <v>15</v>
      </c>
      <c r="N426" s="889">
        <f t="shared" si="100"/>
        <v>7.51</v>
      </c>
      <c r="O426" s="889">
        <f t="shared" si="101"/>
        <v>0.47</v>
      </c>
      <c r="P426" s="890">
        <f>'CHAM CONG'!BO421</f>
        <v>29</v>
      </c>
      <c r="Q426" s="942">
        <f t="shared" si="102"/>
        <v>2.72</v>
      </c>
      <c r="R426" s="942">
        <f>'SAN LUONG'!DW424</f>
        <v>13.4</v>
      </c>
      <c r="S426" s="942">
        <f t="shared" si="96"/>
        <v>0.42</v>
      </c>
      <c r="T426" s="943">
        <f>'CHAM CONG'!BW421</f>
        <v>0</v>
      </c>
      <c r="U426" s="942">
        <f t="shared" si="103"/>
        <v>0</v>
      </c>
      <c r="V426" s="890">
        <f>'CHAM CONG'!BD421</f>
        <v>0</v>
      </c>
      <c r="W426" s="944">
        <f t="shared" si="97"/>
        <v>0</v>
      </c>
      <c r="X426" s="891">
        <f>'CHAM CONG'!BT421</f>
        <v>1</v>
      </c>
      <c r="Y426" s="881">
        <f t="shared" si="104"/>
        <v>1.1000000000000001</v>
      </c>
      <c r="Z426" s="892">
        <v>6.03</v>
      </c>
      <c r="AA426" s="942">
        <f t="shared" si="108"/>
        <v>1.7</v>
      </c>
      <c r="AB426" s="892">
        <v>6.03</v>
      </c>
      <c r="AC426" s="942">
        <f t="shared" si="105"/>
        <v>7.24</v>
      </c>
      <c r="AD426" s="892">
        <v>6.04</v>
      </c>
      <c r="AE426" s="942">
        <f t="shared" si="109"/>
        <v>4.3</v>
      </c>
      <c r="AF426" s="943" t="e">
        <f>#N/A</f>
        <v>#N/A</v>
      </c>
      <c r="AG426" s="893">
        <f t="shared" si="98"/>
        <v>35.14</v>
      </c>
      <c r="AH426" s="894"/>
      <c r="AI426" s="895">
        <v>20.62</v>
      </c>
      <c r="AJ426" s="791">
        <v>18.29</v>
      </c>
      <c r="AK426" s="896">
        <f t="shared" si="107"/>
        <v>2</v>
      </c>
      <c r="AL426" s="896"/>
      <c r="AS426" s="898"/>
    </row>
    <row r="427" spans="1:45" s="779" customFormat="1" ht="34.950000000000003" customHeight="1">
      <c r="A427" s="885">
        <v>411</v>
      </c>
      <c r="B427" s="886"/>
      <c r="C427" s="887" t="str">
        <f>'Tên thang 01-26'!E414</f>
        <v>សឿន សុគឿន</v>
      </c>
      <c r="D427" s="887" t="str">
        <f>'Tên thang 01-26'!F414</f>
        <v>SOEUN SO KOEUN</v>
      </c>
      <c r="E427" s="888">
        <v>315</v>
      </c>
      <c r="F427" s="889">
        <f>'SAN LUONG'!AP425*0.44</f>
        <v>187</v>
      </c>
      <c r="G427" s="889">
        <f t="shared" si="94"/>
        <v>2.66</v>
      </c>
      <c r="H427" s="889">
        <f>'SAN LUONG'!AO425*0.44</f>
        <v>399.08</v>
      </c>
      <c r="I427" s="889">
        <f t="shared" si="95"/>
        <v>6.31</v>
      </c>
      <c r="J427" s="889">
        <f>'SAN LUONG'!AV425*0.44</f>
        <v>0</v>
      </c>
      <c r="K427" s="889">
        <f t="shared" si="99"/>
        <v>0</v>
      </c>
      <c r="L427" s="889"/>
      <c r="M427" s="881">
        <f>'CHAM CONG'!BC422</f>
        <v>16</v>
      </c>
      <c r="N427" s="889">
        <f t="shared" si="100"/>
        <v>8.01</v>
      </c>
      <c r="O427" s="889">
        <f t="shared" si="101"/>
        <v>0.5</v>
      </c>
      <c r="P427" s="890">
        <f>'CHAM CONG'!BO422</f>
        <v>30</v>
      </c>
      <c r="Q427" s="942">
        <f t="shared" si="102"/>
        <v>2.82</v>
      </c>
      <c r="R427" s="942">
        <f>'SAN LUONG'!DW425</f>
        <v>9.1999999999999993</v>
      </c>
      <c r="S427" s="942">
        <f t="shared" si="96"/>
        <v>0.28999999999999998</v>
      </c>
      <c r="T427" s="943">
        <f>'CHAM CONG'!BW422</f>
        <v>0</v>
      </c>
      <c r="U427" s="942">
        <f t="shared" si="103"/>
        <v>0</v>
      </c>
      <c r="V427" s="890">
        <f>'CHAM CONG'!BD422</f>
        <v>0</v>
      </c>
      <c r="W427" s="944">
        <f t="shared" si="97"/>
        <v>0</v>
      </c>
      <c r="X427" s="891">
        <f>'CHAM CONG'!BT422</f>
        <v>1</v>
      </c>
      <c r="Y427" s="881">
        <f t="shared" si="104"/>
        <v>1.1000000000000001</v>
      </c>
      <c r="Z427" s="892">
        <v>6.03</v>
      </c>
      <c r="AA427" s="942">
        <f t="shared" si="108"/>
        <v>1.7</v>
      </c>
      <c r="AB427" s="892">
        <v>6.03</v>
      </c>
      <c r="AC427" s="942">
        <f t="shared" ref="AC427:AC435" si="110">ROUND(AB427*$AB$15,1)</f>
        <v>7.2</v>
      </c>
      <c r="AD427" s="892">
        <v>6.04</v>
      </c>
      <c r="AE427" s="942">
        <f t="shared" si="109"/>
        <v>4.3</v>
      </c>
      <c r="AF427" s="943" t="e">
        <f>#N/A</f>
        <v>#N/A</v>
      </c>
      <c r="AG427" s="893">
        <f t="shared" si="98"/>
        <v>34.89</v>
      </c>
      <c r="AH427" s="894"/>
      <c r="AI427" s="895">
        <v>14.46</v>
      </c>
      <c r="AJ427" s="791">
        <v>11.99</v>
      </c>
      <c r="AK427" s="896">
        <f t="shared" si="107"/>
        <v>2</v>
      </c>
      <c r="AL427" s="896"/>
      <c r="AS427" s="898"/>
    </row>
    <row r="428" spans="1:45" s="779" customFormat="1" ht="34.950000000000003" customHeight="1">
      <c r="A428" s="885">
        <v>412</v>
      </c>
      <c r="B428" s="886"/>
      <c r="C428" s="887" t="str">
        <f>'Tên thang 01-26'!E415</f>
        <v>ហ៊ាប យ៉ាន</v>
      </c>
      <c r="D428" s="887" t="str">
        <f>'Tên thang 01-26'!F415</f>
        <v>HEAB YAN</v>
      </c>
      <c r="E428" s="888">
        <v>316</v>
      </c>
      <c r="F428" s="889">
        <f>'SAN LUONG'!AP426*0.44</f>
        <v>137.28</v>
      </c>
      <c r="G428" s="889">
        <f t="shared" si="94"/>
        <v>1.96</v>
      </c>
      <c r="H428" s="889">
        <f>'SAN LUONG'!AO426*0.44</f>
        <v>318.12</v>
      </c>
      <c r="I428" s="889">
        <f t="shared" si="95"/>
        <v>5.03</v>
      </c>
      <c r="J428" s="889">
        <f>'SAN LUONG'!AV426*0.44</f>
        <v>0</v>
      </c>
      <c r="K428" s="889">
        <f t="shared" si="99"/>
        <v>0</v>
      </c>
      <c r="L428" s="889"/>
      <c r="M428" s="881">
        <f>'CHAM CONG'!BC423</f>
        <v>16</v>
      </c>
      <c r="N428" s="889">
        <f t="shared" si="100"/>
        <v>8.01</v>
      </c>
      <c r="O428" s="889">
        <f t="shared" si="101"/>
        <v>0.5</v>
      </c>
      <c r="P428" s="890">
        <f>'CHAM CONG'!BO423</f>
        <v>30</v>
      </c>
      <c r="Q428" s="942">
        <f t="shared" si="102"/>
        <v>2.82</v>
      </c>
      <c r="R428" s="942">
        <f>'SAN LUONG'!DW426</f>
        <v>10.5</v>
      </c>
      <c r="S428" s="942">
        <f t="shared" si="96"/>
        <v>0.33</v>
      </c>
      <c r="T428" s="943">
        <f>'CHAM CONG'!BW423</f>
        <v>0</v>
      </c>
      <c r="U428" s="942">
        <f t="shared" si="103"/>
        <v>0</v>
      </c>
      <c r="V428" s="890">
        <f>'CHAM CONG'!BD423</f>
        <v>0</v>
      </c>
      <c r="W428" s="944">
        <f t="shared" si="97"/>
        <v>0</v>
      </c>
      <c r="X428" s="891">
        <f>'CHAM CONG'!BT423</f>
        <v>1</v>
      </c>
      <c r="Y428" s="881">
        <f t="shared" si="104"/>
        <v>1.1000000000000001</v>
      </c>
      <c r="Z428" s="892">
        <v>6.03</v>
      </c>
      <c r="AA428" s="942">
        <f t="shared" si="108"/>
        <v>1.7</v>
      </c>
      <c r="AB428" s="892">
        <v>6.03</v>
      </c>
      <c r="AC428" s="942">
        <f t="shared" si="110"/>
        <v>7.2</v>
      </c>
      <c r="AD428" s="892">
        <v>6.04</v>
      </c>
      <c r="AE428" s="942">
        <f t="shared" si="109"/>
        <v>4.3</v>
      </c>
      <c r="AF428" s="943" t="e">
        <f>#N/A</f>
        <v>#N/A</v>
      </c>
      <c r="AG428" s="893">
        <f t="shared" si="98"/>
        <v>32.950000000000003</v>
      </c>
      <c r="AH428" s="894"/>
      <c r="AI428" s="895">
        <v>20.65</v>
      </c>
      <c r="AJ428" s="791">
        <v>18.18</v>
      </c>
      <c r="AK428" s="896">
        <f t="shared" si="107"/>
        <v>2</v>
      </c>
      <c r="AL428" s="896"/>
      <c r="AS428" s="898"/>
    </row>
    <row r="429" spans="1:45" s="779" customFormat="1" ht="34.950000000000003" customHeight="1">
      <c r="A429" s="885">
        <v>413</v>
      </c>
      <c r="B429" s="886"/>
      <c r="C429" s="887" t="str">
        <f>'Tên thang 01-26'!E416</f>
        <v>ធី ​ពៅ</v>
      </c>
      <c r="D429" s="887" t="str">
        <f>'Tên thang 01-26'!F416</f>
        <v>THY POV</v>
      </c>
      <c r="E429" s="888">
        <v>317</v>
      </c>
      <c r="F429" s="889">
        <f>'SAN LUONG'!AP427*0.44</f>
        <v>250.36</v>
      </c>
      <c r="G429" s="889">
        <f t="shared" si="94"/>
        <v>3.57</v>
      </c>
      <c r="H429" s="889">
        <f>'SAN LUONG'!AO427*0.44</f>
        <v>473.88</v>
      </c>
      <c r="I429" s="889">
        <f t="shared" si="95"/>
        <v>7.49</v>
      </c>
      <c r="J429" s="889">
        <f>'SAN LUONG'!AV427*0.44</f>
        <v>0</v>
      </c>
      <c r="K429" s="889">
        <f t="shared" si="99"/>
        <v>0</v>
      </c>
      <c r="L429" s="889"/>
      <c r="M429" s="881">
        <f>'CHAM CONG'!BC424</f>
        <v>15</v>
      </c>
      <c r="N429" s="889">
        <f t="shared" si="100"/>
        <v>7.51</v>
      </c>
      <c r="O429" s="889">
        <f t="shared" si="101"/>
        <v>0.47</v>
      </c>
      <c r="P429" s="890">
        <f>'CHAM CONG'!BO424</f>
        <v>28</v>
      </c>
      <c r="Q429" s="942">
        <f t="shared" si="102"/>
        <v>2.63</v>
      </c>
      <c r="R429" s="942">
        <f>'SAN LUONG'!DW427</f>
        <v>15.8</v>
      </c>
      <c r="S429" s="942">
        <f t="shared" si="96"/>
        <v>0.49</v>
      </c>
      <c r="T429" s="943">
        <f>'CHAM CONG'!BW424</f>
        <v>0</v>
      </c>
      <c r="U429" s="942">
        <f t="shared" si="103"/>
        <v>0</v>
      </c>
      <c r="V429" s="890">
        <f>'CHAM CONG'!BD424</f>
        <v>0</v>
      </c>
      <c r="W429" s="944">
        <f t="shared" si="97"/>
        <v>0</v>
      </c>
      <c r="X429" s="891">
        <f>'CHAM CONG'!BT424</f>
        <v>1</v>
      </c>
      <c r="Y429" s="881">
        <f t="shared" si="104"/>
        <v>1.1000000000000001</v>
      </c>
      <c r="Z429" s="892">
        <v>6.03</v>
      </c>
      <c r="AA429" s="942">
        <f t="shared" si="108"/>
        <v>1.7</v>
      </c>
      <c r="AB429" s="892">
        <v>6.03</v>
      </c>
      <c r="AC429" s="942">
        <f t="shared" si="110"/>
        <v>7.2</v>
      </c>
      <c r="AD429" s="892">
        <v>6.04</v>
      </c>
      <c r="AE429" s="942">
        <f t="shared" si="109"/>
        <v>4.3</v>
      </c>
      <c r="AF429" s="943" t="e">
        <f>#N/A</f>
        <v>#N/A</v>
      </c>
      <c r="AG429" s="893">
        <f t="shared" si="98"/>
        <v>36.46</v>
      </c>
      <c r="AH429" s="894"/>
      <c r="AI429" s="895">
        <v>24.28</v>
      </c>
      <c r="AJ429" s="791">
        <v>22.42</v>
      </c>
      <c r="AK429" s="896">
        <f t="shared" si="107"/>
        <v>2</v>
      </c>
      <c r="AL429" s="896"/>
      <c r="AS429" s="898"/>
    </row>
    <row r="430" spans="1:45" s="779" customFormat="1" ht="34.950000000000003" customHeight="1">
      <c r="A430" s="885">
        <v>414</v>
      </c>
      <c r="B430" s="886"/>
      <c r="C430" s="887" t="str">
        <f>'Tên thang 01-26'!E417</f>
        <v>ផា បូរី</v>
      </c>
      <c r="D430" s="887" t="str">
        <f>'Tên thang 01-26'!F417</f>
        <v>PHAA BOREY</v>
      </c>
      <c r="E430" s="888">
        <v>318</v>
      </c>
      <c r="F430" s="889">
        <f>'SAN LUONG'!AP428*0.44</f>
        <v>209.44</v>
      </c>
      <c r="G430" s="889">
        <f t="shared" si="94"/>
        <v>2.98</v>
      </c>
      <c r="H430" s="889">
        <f>'SAN LUONG'!AO428*0.44</f>
        <v>420.64</v>
      </c>
      <c r="I430" s="889">
        <f t="shared" si="95"/>
        <v>6.65</v>
      </c>
      <c r="J430" s="889">
        <f>'SAN LUONG'!AV428*0.44</f>
        <v>0</v>
      </c>
      <c r="K430" s="889">
        <f t="shared" si="99"/>
        <v>0</v>
      </c>
      <c r="L430" s="889"/>
      <c r="M430" s="881">
        <f>'CHAM CONG'!BC425</f>
        <v>15</v>
      </c>
      <c r="N430" s="889">
        <f t="shared" si="100"/>
        <v>7.51</v>
      </c>
      <c r="O430" s="889">
        <f t="shared" si="101"/>
        <v>0.47</v>
      </c>
      <c r="P430" s="890">
        <f>'CHAM CONG'!BO425</f>
        <v>28</v>
      </c>
      <c r="Q430" s="942">
        <f t="shared" si="102"/>
        <v>2.63</v>
      </c>
      <c r="R430" s="942">
        <f>'SAN LUONG'!DW428</f>
        <v>13.7</v>
      </c>
      <c r="S430" s="942">
        <f t="shared" si="96"/>
        <v>0.43</v>
      </c>
      <c r="T430" s="943">
        <f>'CHAM CONG'!BW425</f>
        <v>0</v>
      </c>
      <c r="U430" s="942">
        <f t="shared" si="103"/>
        <v>0</v>
      </c>
      <c r="V430" s="890">
        <f>'CHAM CONG'!BD425</f>
        <v>0</v>
      </c>
      <c r="W430" s="944">
        <f t="shared" si="97"/>
        <v>0</v>
      </c>
      <c r="X430" s="891">
        <f>'CHAM CONG'!BT425</f>
        <v>1</v>
      </c>
      <c r="Y430" s="881">
        <f t="shared" si="104"/>
        <v>1.1000000000000001</v>
      </c>
      <c r="Z430" s="892">
        <v>6.03</v>
      </c>
      <c r="AA430" s="942">
        <f t="shared" si="108"/>
        <v>1.7</v>
      </c>
      <c r="AB430" s="892">
        <v>6.03</v>
      </c>
      <c r="AC430" s="942">
        <f t="shared" si="110"/>
        <v>7.2</v>
      </c>
      <c r="AD430" s="892">
        <v>6.04</v>
      </c>
      <c r="AE430" s="942">
        <f t="shared" si="109"/>
        <v>4.3</v>
      </c>
      <c r="AF430" s="943" t="e">
        <f>#N/A</f>
        <v>#N/A</v>
      </c>
      <c r="AG430" s="893">
        <f t="shared" si="98"/>
        <v>34.97</v>
      </c>
      <c r="AH430" s="894"/>
      <c r="AI430" s="895">
        <v>24.51</v>
      </c>
      <c r="AJ430" s="791">
        <v>22.040000000000003</v>
      </c>
      <c r="AK430" s="896">
        <f t="shared" si="107"/>
        <v>2</v>
      </c>
      <c r="AL430" s="896"/>
      <c r="AS430" s="898"/>
    </row>
    <row r="431" spans="1:45" s="779" customFormat="1" ht="34.950000000000003" customHeight="1">
      <c r="A431" s="885">
        <v>415</v>
      </c>
      <c r="B431" s="886"/>
      <c r="C431" s="887" t="str">
        <f>'Tên thang 01-26'!E418</f>
        <v>ងី នីម</v>
      </c>
      <c r="D431" s="887" t="str">
        <f>'Tên thang 01-26'!F418</f>
        <v>NGI NIM</v>
      </c>
      <c r="E431" s="888">
        <v>319</v>
      </c>
      <c r="F431" s="889">
        <f>'SAN LUONG'!AP429*0.44</f>
        <v>172.48</v>
      </c>
      <c r="G431" s="889">
        <f t="shared" si="94"/>
        <v>2.46</v>
      </c>
      <c r="H431" s="889">
        <f>'SAN LUONG'!AO429*0.44</f>
        <v>414.48</v>
      </c>
      <c r="I431" s="889">
        <f t="shared" si="95"/>
        <v>6.55</v>
      </c>
      <c r="J431" s="889">
        <f>'SAN LUONG'!AV429*0.44</f>
        <v>0</v>
      </c>
      <c r="K431" s="889">
        <f t="shared" si="99"/>
        <v>0</v>
      </c>
      <c r="L431" s="889"/>
      <c r="M431" s="881">
        <f>'CHAM CONG'!BC426</f>
        <v>16</v>
      </c>
      <c r="N431" s="889">
        <f t="shared" si="100"/>
        <v>8.01</v>
      </c>
      <c r="O431" s="889">
        <f t="shared" si="101"/>
        <v>0.5</v>
      </c>
      <c r="P431" s="890">
        <f>'CHAM CONG'!BO426</f>
        <v>30</v>
      </c>
      <c r="Q431" s="942">
        <f t="shared" si="102"/>
        <v>2.82</v>
      </c>
      <c r="R431" s="942">
        <f>'SAN LUONG'!DW429</f>
        <v>15.5</v>
      </c>
      <c r="S431" s="942">
        <f t="shared" si="96"/>
        <v>0.49</v>
      </c>
      <c r="T431" s="943">
        <f>'CHAM CONG'!BW426</f>
        <v>-20000</v>
      </c>
      <c r="U431" s="942">
        <f t="shared" si="103"/>
        <v>-0.63</v>
      </c>
      <c r="V431" s="890">
        <f>'CHAM CONG'!BD426</f>
        <v>3</v>
      </c>
      <c r="W431" s="944">
        <f t="shared" si="97"/>
        <v>1.6</v>
      </c>
      <c r="X431" s="891">
        <f>'CHAM CONG'!BT426</f>
        <v>1</v>
      </c>
      <c r="Y431" s="881">
        <f t="shared" si="104"/>
        <v>1.1000000000000001</v>
      </c>
      <c r="Z431" s="892">
        <v>6.03</v>
      </c>
      <c r="AA431" s="942">
        <f t="shared" si="108"/>
        <v>1.7</v>
      </c>
      <c r="AB431" s="892">
        <v>6.03</v>
      </c>
      <c r="AC431" s="942">
        <f t="shared" si="110"/>
        <v>7.2</v>
      </c>
      <c r="AD431" s="892">
        <v>6.04</v>
      </c>
      <c r="AE431" s="942">
        <f t="shared" si="109"/>
        <v>4.3</v>
      </c>
      <c r="AF431" s="943" t="e">
        <f>#N/A</f>
        <v>#N/A</v>
      </c>
      <c r="AG431" s="893">
        <f t="shared" si="98"/>
        <v>36.1</v>
      </c>
      <c r="AH431" s="894"/>
      <c r="AI431" s="895">
        <v>20.64</v>
      </c>
      <c r="AJ431" s="791">
        <v>18.790000000000003</v>
      </c>
      <c r="AK431" s="896">
        <f t="shared" si="107"/>
        <v>2</v>
      </c>
      <c r="AL431" s="896"/>
      <c r="AS431" s="898"/>
    </row>
    <row r="432" spans="1:45" s="779" customFormat="1" ht="34.950000000000003" customHeight="1">
      <c r="A432" s="885">
        <v>416</v>
      </c>
      <c r="B432" s="886"/>
      <c r="C432" s="887" t="str">
        <f>'Tên thang 01-26'!E419</f>
        <v>រ៉ុន រឿម</v>
      </c>
      <c r="D432" s="887" t="str">
        <f>'Tên thang 01-26'!F419</f>
        <v>RON ROEURM</v>
      </c>
      <c r="E432" s="888">
        <v>320</v>
      </c>
      <c r="F432" s="889">
        <f>'SAN LUONG'!AP430*0.44</f>
        <v>214.28</v>
      </c>
      <c r="G432" s="889">
        <f t="shared" si="94"/>
        <v>3.05</v>
      </c>
      <c r="H432" s="889">
        <f>'SAN LUONG'!AO430*0.44</f>
        <v>337.48</v>
      </c>
      <c r="I432" s="889">
        <f t="shared" si="95"/>
        <v>5.33</v>
      </c>
      <c r="J432" s="889">
        <f>'SAN LUONG'!AV430*0.44</f>
        <v>0</v>
      </c>
      <c r="K432" s="889">
        <f t="shared" si="99"/>
        <v>0</v>
      </c>
      <c r="L432" s="889"/>
      <c r="M432" s="881">
        <f>'CHAM CONG'!BC427</f>
        <v>14</v>
      </c>
      <c r="N432" s="889">
        <f t="shared" si="100"/>
        <v>7.01</v>
      </c>
      <c r="O432" s="889">
        <f t="shared" si="101"/>
        <v>0.44</v>
      </c>
      <c r="P432" s="890">
        <f>'CHAM CONG'!BO427</f>
        <v>28</v>
      </c>
      <c r="Q432" s="942">
        <f t="shared" si="102"/>
        <v>2.63</v>
      </c>
      <c r="R432" s="942">
        <f>'SAN LUONG'!DW430</f>
        <v>15</v>
      </c>
      <c r="S432" s="942">
        <f t="shared" si="96"/>
        <v>0.47</v>
      </c>
      <c r="T432" s="943">
        <f>'CHAM CONG'!BW427</f>
        <v>20000</v>
      </c>
      <c r="U432" s="942">
        <f t="shared" si="103"/>
        <v>0.63</v>
      </c>
      <c r="V432" s="890">
        <f>'CHAM CONG'!BD427</f>
        <v>0</v>
      </c>
      <c r="W432" s="944">
        <f t="shared" si="97"/>
        <v>0</v>
      </c>
      <c r="X432" s="891">
        <f>'CHAM CONG'!BT427</f>
        <v>1</v>
      </c>
      <c r="Y432" s="881">
        <f t="shared" si="104"/>
        <v>1.1000000000000001</v>
      </c>
      <c r="Z432" s="892">
        <v>6.03</v>
      </c>
      <c r="AA432" s="942">
        <f t="shared" si="108"/>
        <v>1.7</v>
      </c>
      <c r="AB432" s="892">
        <v>6.03</v>
      </c>
      <c r="AC432" s="942">
        <f t="shared" si="110"/>
        <v>7.2</v>
      </c>
      <c r="AD432" s="892">
        <v>6.04</v>
      </c>
      <c r="AE432" s="942">
        <f t="shared" si="109"/>
        <v>4.3</v>
      </c>
      <c r="AF432" s="943" t="e">
        <f>#N/A</f>
        <v>#N/A</v>
      </c>
      <c r="AG432" s="893">
        <f t="shared" si="98"/>
        <v>33.86</v>
      </c>
      <c r="AH432" s="894"/>
      <c r="AI432" s="895">
        <v>22.89</v>
      </c>
      <c r="AJ432" s="791">
        <v>20.41</v>
      </c>
      <c r="AK432" s="896">
        <f t="shared" si="107"/>
        <v>2</v>
      </c>
      <c r="AL432" s="896"/>
      <c r="AS432" s="898"/>
    </row>
    <row r="433" spans="1:45" s="779" customFormat="1" ht="34.950000000000003" customHeight="1">
      <c r="A433" s="885">
        <v>417</v>
      </c>
      <c r="B433" s="886"/>
      <c r="C433" s="887" t="str">
        <f>'Tên thang 01-26'!E420</f>
        <v>ទឹត្យ បូរី</v>
      </c>
      <c r="D433" s="887" t="str">
        <f>'Tên thang 01-26'!F420</f>
        <v>TOET BOUREY</v>
      </c>
      <c r="E433" s="888">
        <v>321</v>
      </c>
      <c r="F433" s="889">
        <f>'SAN LUONG'!AP431*0.44</f>
        <v>167.64000000000001</v>
      </c>
      <c r="G433" s="889">
        <f t="shared" si="94"/>
        <v>2.39</v>
      </c>
      <c r="H433" s="889">
        <f>'SAN LUONG'!AO431*0.44</f>
        <v>361.24</v>
      </c>
      <c r="I433" s="889">
        <f t="shared" si="95"/>
        <v>5.71</v>
      </c>
      <c r="J433" s="889">
        <f>'SAN LUONG'!AV431*0.44</f>
        <v>0</v>
      </c>
      <c r="K433" s="889">
        <f t="shared" si="99"/>
        <v>0</v>
      </c>
      <c r="L433" s="889"/>
      <c r="M433" s="881">
        <f>'CHAM CONG'!BC428</f>
        <v>14</v>
      </c>
      <c r="N433" s="889">
        <f t="shared" si="100"/>
        <v>7.01</v>
      </c>
      <c r="O433" s="889">
        <f t="shared" si="101"/>
        <v>0.44</v>
      </c>
      <c r="P433" s="890">
        <f>'CHAM CONG'!BO428</f>
        <v>28</v>
      </c>
      <c r="Q433" s="942">
        <f t="shared" si="102"/>
        <v>2.63</v>
      </c>
      <c r="R433" s="942">
        <f>'SAN LUONG'!DW431</f>
        <v>16.100000000000001</v>
      </c>
      <c r="S433" s="942">
        <f t="shared" si="96"/>
        <v>0.5</v>
      </c>
      <c r="T433" s="943">
        <f>'CHAM CONG'!BW428</f>
        <v>0</v>
      </c>
      <c r="U433" s="942">
        <f t="shared" si="103"/>
        <v>0</v>
      </c>
      <c r="V433" s="890">
        <f>'CHAM CONG'!BD428</f>
        <v>0</v>
      </c>
      <c r="W433" s="944">
        <f t="shared" si="97"/>
        <v>0</v>
      </c>
      <c r="X433" s="891">
        <f>'CHAM CONG'!BT428</f>
        <v>1</v>
      </c>
      <c r="Y433" s="881">
        <f t="shared" si="104"/>
        <v>1.1000000000000001</v>
      </c>
      <c r="Z433" s="892">
        <v>6.03</v>
      </c>
      <c r="AA433" s="942">
        <f t="shared" si="108"/>
        <v>1.7</v>
      </c>
      <c r="AB433" s="892">
        <v>6.03</v>
      </c>
      <c r="AC433" s="942">
        <f t="shared" si="110"/>
        <v>7.2</v>
      </c>
      <c r="AD433" s="892">
        <v>6.04</v>
      </c>
      <c r="AE433" s="942">
        <f t="shared" si="109"/>
        <v>4.3</v>
      </c>
      <c r="AF433" s="943" t="e">
        <f>#N/A</f>
        <v>#N/A</v>
      </c>
      <c r="AG433" s="893">
        <f t="shared" si="98"/>
        <v>32.980000000000004</v>
      </c>
      <c r="AH433" s="894"/>
      <c r="AI433" s="895">
        <v>23.15</v>
      </c>
      <c r="AJ433" s="791">
        <v>20.67</v>
      </c>
      <c r="AK433" s="896">
        <f t="shared" si="107"/>
        <v>2</v>
      </c>
      <c r="AL433" s="896"/>
      <c r="AS433" s="898"/>
    </row>
    <row r="434" spans="1:45" s="779" customFormat="1" ht="34.950000000000003" customHeight="1">
      <c r="A434" s="885">
        <v>418</v>
      </c>
      <c r="B434" s="886"/>
      <c r="C434" s="887" t="str">
        <f>'Tên thang 01-26'!E421</f>
        <v>វិន មុំ</v>
      </c>
      <c r="D434" s="887" t="str">
        <f>'Tên thang 01-26'!F421</f>
        <v>VIN MOM</v>
      </c>
      <c r="E434" s="888">
        <v>322</v>
      </c>
      <c r="F434" s="889">
        <f>'SAN LUONG'!AP432*0.44</f>
        <v>184.8</v>
      </c>
      <c r="G434" s="889">
        <f t="shared" si="94"/>
        <v>2.63</v>
      </c>
      <c r="H434" s="889">
        <f>'SAN LUONG'!AO432*0.44</f>
        <v>419.76</v>
      </c>
      <c r="I434" s="889">
        <f t="shared" si="95"/>
        <v>6.64</v>
      </c>
      <c r="J434" s="889">
        <f>'SAN LUONG'!AV432*0.44</f>
        <v>0</v>
      </c>
      <c r="K434" s="889">
        <f t="shared" si="99"/>
        <v>0</v>
      </c>
      <c r="L434" s="889"/>
      <c r="M434" s="881">
        <f>'CHAM CONG'!BC429</f>
        <v>14</v>
      </c>
      <c r="N434" s="889">
        <f t="shared" si="100"/>
        <v>7.01</v>
      </c>
      <c r="O434" s="889">
        <f t="shared" si="101"/>
        <v>0.44</v>
      </c>
      <c r="P434" s="890">
        <f>'CHAM CONG'!BO429</f>
        <v>26</v>
      </c>
      <c r="Q434" s="942">
        <f t="shared" si="102"/>
        <v>2.44</v>
      </c>
      <c r="R434" s="942">
        <f>'SAN LUONG'!DW432</f>
        <v>9</v>
      </c>
      <c r="S434" s="942">
        <f t="shared" si="96"/>
        <v>0.28000000000000003</v>
      </c>
      <c r="T434" s="943">
        <f>'CHAM CONG'!BW429</f>
        <v>0</v>
      </c>
      <c r="U434" s="942">
        <f t="shared" si="103"/>
        <v>0</v>
      </c>
      <c r="V434" s="890">
        <f>'CHAM CONG'!BD429</f>
        <v>0</v>
      </c>
      <c r="W434" s="944">
        <f t="shared" si="97"/>
        <v>0</v>
      </c>
      <c r="X434" s="891">
        <f>'CHAM CONG'!BT429</f>
        <v>1</v>
      </c>
      <c r="Y434" s="881">
        <f t="shared" si="104"/>
        <v>1.1000000000000001</v>
      </c>
      <c r="Z434" s="892">
        <v>6.03</v>
      </c>
      <c r="AA434" s="942">
        <f t="shared" si="108"/>
        <v>1.7</v>
      </c>
      <c r="AB434" s="892">
        <v>6.03</v>
      </c>
      <c r="AC434" s="942">
        <f t="shared" si="110"/>
        <v>7.2</v>
      </c>
      <c r="AD434" s="892">
        <v>6.04</v>
      </c>
      <c r="AE434" s="942">
        <f t="shared" si="109"/>
        <v>4.3</v>
      </c>
      <c r="AF434" s="943" t="e">
        <f>#N/A</f>
        <v>#N/A</v>
      </c>
      <c r="AG434" s="893">
        <f t="shared" si="98"/>
        <v>33.740000000000009</v>
      </c>
      <c r="AH434" s="894"/>
      <c r="AI434" s="895">
        <v>21.45</v>
      </c>
      <c r="AJ434" s="791">
        <v>18.980000000000004</v>
      </c>
      <c r="AK434" s="896">
        <f t="shared" si="107"/>
        <v>2</v>
      </c>
      <c r="AL434" s="896"/>
      <c r="AS434" s="898"/>
    </row>
    <row r="435" spans="1:45" s="779" customFormat="1" ht="34.950000000000003" customHeight="1">
      <c r="A435" s="885">
        <v>419</v>
      </c>
      <c r="B435" s="886"/>
      <c r="C435" s="887" t="str">
        <f>'Tên thang 01-26'!E422</f>
        <v>មន ម៉ុក</v>
      </c>
      <c r="D435" s="887" t="str">
        <f>'Tên thang 01-26'!F422</f>
        <v>MON MOK</v>
      </c>
      <c r="E435" s="888">
        <v>323</v>
      </c>
      <c r="F435" s="889">
        <f>'SAN LUONG'!AP433*0.44</f>
        <v>227.92</v>
      </c>
      <c r="G435" s="889">
        <f t="shared" si="94"/>
        <v>3.25</v>
      </c>
      <c r="H435" s="889">
        <f>'SAN LUONG'!AO433*0.44</f>
        <v>382.8</v>
      </c>
      <c r="I435" s="889">
        <f t="shared" si="95"/>
        <v>6.05</v>
      </c>
      <c r="J435" s="889">
        <f>'SAN LUONG'!AV433*0.44</f>
        <v>0</v>
      </c>
      <c r="K435" s="889">
        <f t="shared" si="99"/>
        <v>0</v>
      </c>
      <c r="L435" s="889"/>
      <c r="M435" s="881">
        <f>'CHAM CONG'!BC430</f>
        <v>14</v>
      </c>
      <c r="N435" s="889">
        <f t="shared" si="100"/>
        <v>7.01</v>
      </c>
      <c r="O435" s="889">
        <f t="shared" si="101"/>
        <v>0.44</v>
      </c>
      <c r="P435" s="890">
        <f>'CHAM CONG'!BO430</f>
        <v>27</v>
      </c>
      <c r="Q435" s="942">
        <f t="shared" si="102"/>
        <v>2.54</v>
      </c>
      <c r="R435" s="942">
        <f>'SAN LUONG'!DW433</f>
        <v>10.8</v>
      </c>
      <c r="S435" s="942">
        <f t="shared" si="96"/>
        <v>0.34</v>
      </c>
      <c r="T435" s="943">
        <f>'CHAM CONG'!BW430</f>
        <v>20000</v>
      </c>
      <c r="U435" s="942">
        <f t="shared" si="103"/>
        <v>0.63</v>
      </c>
      <c r="V435" s="890">
        <f>'CHAM CONG'!BD430</f>
        <v>0</v>
      </c>
      <c r="W435" s="944">
        <f t="shared" si="97"/>
        <v>0</v>
      </c>
      <c r="X435" s="891">
        <f>'CHAM CONG'!BT430</f>
        <v>1</v>
      </c>
      <c r="Y435" s="881">
        <f t="shared" si="104"/>
        <v>1.1000000000000001</v>
      </c>
      <c r="Z435" s="892">
        <v>6.03</v>
      </c>
      <c r="AA435" s="942">
        <f t="shared" si="108"/>
        <v>1.7</v>
      </c>
      <c r="AB435" s="892">
        <v>6.03</v>
      </c>
      <c r="AC435" s="942">
        <f t="shared" si="110"/>
        <v>7.2</v>
      </c>
      <c r="AD435" s="892">
        <v>6.04</v>
      </c>
      <c r="AE435" s="942">
        <f t="shared" si="109"/>
        <v>4.3</v>
      </c>
      <c r="AF435" s="943" t="e">
        <f>#N/A</f>
        <v>#N/A</v>
      </c>
      <c r="AG435" s="893">
        <f t="shared" si="98"/>
        <v>34.56</v>
      </c>
      <c r="AH435" s="894"/>
      <c r="AI435" s="895">
        <v>21.81</v>
      </c>
      <c r="AJ435" s="791">
        <v>19.340000000000003</v>
      </c>
      <c r="AK435" s="896">
        <f t="shared" si="107"/>
        <v>2</v>
      </c>
      <c r="AL435" s="896"/>
      <c r="AS435" s="898"/>
    </row>
    <row r="436" spans="1:45" s="779" customFormat="1" ht="34.950000000000003" customHeight="1">
      <c r="A436" s="885">
        <v>420</v>
      </c>
      <c r="B436" s="886"/>
      <c r="C436" s="887" t="str">
        <f>'Tên thang 01-26'!E423</f>
        <v>ឡេង ឡៃហួត</v>
      </c>
      <c r="D436" s="887" t="str">
        <f>'Tên thang 01-26'!F423</f>
        <v>LENG LAYHUOT</v>
      </c>
      <c r="E436" s="888">
        <v>324</v>
      </c>
      <c r="F436" s="889">
        <f>'SAN LUONG'!AP434*0.44</f>
        <v>166.32</v>
      </c>
      <c r="G436" s="889">
        <f t="shared" si="94"/>
        <v>2.37</v>
      </c>
      <c r="H436" s="889">
        <f>'SAN LUONG'!AO434*0.44</f>
        <v>322.95999999999998</v>
      </c>
      <c r="I436" s="889">
        <f t="shared" si="95"/>
        <v>5.1100000000000003</v>
      </c>
      <c r="J436" s="889">
        <f>'SAN LUONG'!AV434*0.44</f>
        <v>0</v>
      </c>
      <c r="K436" s="889">
        <f t="shared" si="99"/>
        <v>0</v>
      </c>
      <c r="L436" s="889"/>
      <c r="M436" s="881">
        <f>'CHAM CONG'!BC431</f>
        <v>16</v>
      </c>
      <c r="N436" s="889">
        <f t="shared" si="100"/>
        <v>8.01</v>
      </c>
      <c r="O436" s="889">
        <f t="shared" si="101"/>
        <v>0.5</v>
      </c>
      <c r="P436" s="890">
        <f>'CHAM CONG'!BO431</f>
        <v>29</v>
      </c>
      <c r="Q436" s="942">
        <f t="shared" si="102"/>
        <v>2.72</v>
      </c>
      <c r="R436" s="942">
        <f>'SAN LUONG'!DW434</f>
        <v>11.5</v>
      </c>
      <c r="S436" s="942">
        <f t="shared" si="96"/>
        <v>0.36</v>
      </c>
      <c r="T436" s="943">
        <f>'CHAM CONG'!BW431</f>
        <v>0</v>
      </c>
      <c r="U436" s="942">
        <f t="shared" si="103"/>
        <v>0</v>
      </c>
      <c r="V436" s="890">
        <f>'CHAM CONG'!BD431</f>
        <v>1</v>
      </c>
      <c r="W436" s="944">
        <f t="shared" si="97"/>
        <v>0.53</v>
      </c>
      <c r="X436" s="891">
        <f>'CHAM CONG'!BT431</f>
        <v>1</v>
      </c>
      <c r="Y436" s="881">
        <f t="shared" si="104"/>
        <v>1.1000000000000001</v>
      </c>
      <c r="Z436" s="892">
        <v>6.03</v>
      </c>
      <c r="AA436" s="942">
        <f>ROUND(Z436*$Z$15,2)+0.01</f>
        <v>1.71</v>
      </c>
      <c r="AB436" s="892">
        <v>6.03</v>
      </c>
      <c r="AC436" s="942">
        <f t="shared" ref="AC436:AC443" si="111">ROUND(AB436*$AB$15,1)</f>
        <v>7.2</v>
      </c>
      <c r="AD436" s="892">
        <v>6.04</v>
      </c>
      <c r="AE436" s="942">
        <f t="shared" si="109"/>
        <v>4.3</v>
      </c>
      <c r="AF436" s="943" t="e">
        <f>#N/A</f>
        <v>#N/A</v>
      </c>
      <c r="AG436" s="893">
        <f t="shared" si="98"/>
        <v>33.910000000000004</v>
      </c>
      <c r="AH436" s="894"/>
      <c r="AI436" s="895">
        <v>20.21</v>
      </c>
      <c r="AJ436" s="791">
        <v>17.729999999999997</v>
      </c>
      <c r="AK436" s="896">
        <f t="shared" si="107"/>
        <v>2</v>
      </c>
      <c r="AL436" s="896"/>
      <c r="AS436" s="898"/>
    </row>
    <row r="437" spans="1:45" s="779" customFormat="1" ht="34.950000000000003" customHeight="1">
      <c r="A437" s="885">
        <v>421</v>
      </c>
      <c r="B437" s="886"/>
      <c r="C437" s="887" t="str">
        <f>'Tên thang 01-26'!E424</f>
        <v>កាន់ថេត</v>
      </c>
      <c r="D437" s="887" t="str">
        <f>'Tên thang 01-26'!F424</f>
        <v>KANN THET</v>
      </c>
      <c r="E437" s="888">
        <v>325</v>
      </c>
      <c r="F437" s="889">
        <f>'SAN LUONG'!AP435*0.44</f>
        <v>264.88</v>
      </c>
      <c r="G437" s="889">
        <f t="shared" si="94"/>
        <v>3.77</v>
      </c>
      <c r="H437" s="889">
        <f>'SAN LUONG'!AO435*0.44</f>
        <v>275.88</v>
      </c>
      <c r="I437" s="889">
        <f t="shared" si="95"/>
        <v>4.3600000000000003</v>
      </c>
      <c r="J437" s="889">
        <f>'SAN LUONG'!AV435*0.44</f>
        <v>0</v>
      </c>
      <c r="K437" s="889">
        <f t="shared" si="99"/>
        <v>0</v>
      </c>
      <c r="L437" s="889"/>
      <c r="M437" s="881">
        <f>'CHAM CONG'!BC432</f>
        <v>16</v>
      </c>
      <c r="N437" s="889">
        <f t="shared" si="100"/>
        <v>8.01</v>
      </c>
      <c r="O437" s="889">
        <f t="shared" si="101"/>
        <v>0.5</v>
      </c>
      <c r="P437" s="890">
        <f>'CHAM CONG'!BO432</f>
        <v>30</v>
      </c>
      <c r="Q437" s="942">
        <f t="shared" si="102"/>
        <v>2.82</v>
      </c>
      <c r="R437" s="942">
        <f>'SAN LUONG'!DW435</f>
        <v>14.9</v>
      </c>
      <c r="S437" s="942">
        <f t="shared" si="96"/>
        <v>0.47</v>
      </c>
      <c r="T437" s="943">
        <f>'CHAM CONG'!BW432</f>
        <v>0</v>
      </c>
      <c r="U437" s="942">
        <f t="shared" si="103"/>
        <v>0</v>
      </c>
      <c r="V437" s="890">
        <f>'CHAM CONG'!BD432</f>
        <v>1</v>
      </c>
      <c r="W437" s="944">
        <f t="shared" si="97"/>
        <v>0.53</v>
      </c>
      <c r="X437" s="891">
        <f>'CHAM CONG'!BT432</f>
        <v>1</v>
      </c>
      <c r="Y437" s="881">
        <f t="shared" si="104"/>
        <v>1.1000000000000001</v>
      </c>
      <c r="Z437" s="892">
        <v>6.03</v>
      </c>
      <c r="AA437" s="942">
        <f>ROUND(Z437*$Z$15,2)+0.01</f>
        <v>1.71</v>
      </c>
      <c r="AB437" s="892">
        <v>6.03</v>
      </c>
      <c r="AC437" s="942">
        <f t="shared" si="111"/>
        <v>7.2</v>
      </c>
      <c r="AD437" s="892">
        <v>6.04</v>
      </c>
      <c r="AE437" s="942">
        <f t="shared" si="109"/>
        <v>4.3</v>
      </c>
      <c r="AF437" s="943" t="e">
        <f>#N/A</f>
        <v>#N/A</v>
      </c>
      <c r="AG437" s="893">
        <f t="shared" si="98"/>
        <v>34.770000000000003</v>
      </c>
      <c r="AH437" s="894"/>
      <c r="AI437" s="895">
        <v>21.65</v>
      </c>
      <c r="AJ437" s="791">
        <v>19.170000000000002</v>
      </c>
      <c r="AK437" s="896">
        <f t="shared" si="107"/>
        <v>2</v>
      </c>
      <c r="AL437" s="896"/>
      <c r="AS437" s="898"/>
    </row>
    <row r="438" spans="1:45" s="779" customFormat="1" ht="34.950000000000003" customHeight="1">
      <c r="A438" s="885">
        <v>422</v>
      </c>
      <c r="B438" s="886"/>
      <c r="C438" s="887" t="str">
        <f>'Tên thang 01-26'!E425</f>
        <v>ឡាក់ ចាក់</v>
      </c>
      <c r="D438" s="887" t="str">
        <f>'Tên thang 01-26'!F425</f>
        <v>LAK CHHAK</v>
      </c>
      <c r="E438" s="888">
        <v>326</v>
      </c>
      <c r="F438" s="889">
        <f>'SAN LUONG'!AP436*0.44</f>
        <v>208.12</v>
      </c>
      <c r="G438" s="889">
        <f t="shared" si="94"/>
        <v>2.96</v>
      </c>
      <c r="H438" s="889">
        <f>'SAN LUONG'!AO436*0.44</f>
        <v>238.04</v>
      </c>
      <c r="I438" s="889">
        <f t="shared" si="95"/>
        <v>3.76</v>
      </c>
      <c r="J438" s="889">
        <f>'SAN LUONG'!AV436*0.44</f>
        <v>0</v>
      </c>
      <c r="K438" s="889">
        <f t="shared" si="99"/>
        <v>0</v>
      </c>
      <c r="L438" s="889"/>
      <c r="M438" s="881">
        <f>'CHAM CONG'!BC433</f>
        <v>16</v>
      </c>
      <c r="N438" s="889">
        <f t="shared" si="100"/>
        <v>8.01</v>
      </c>
      <c r="O438" s="889">
        <f t="shared" si="101"/>
        <v>0.5</v>
      </c>
      <c r="P438" s="890">
        <f>'CHAM CONG'!BO433</f>
        <v>30</v>
      </c>
      <c r="Q438" s="942">
        <f t="shared" si="102"/>
        <v>2.82</v>
      </c>
      <c r="R438" s="942">
        <f>'SAN LUONG'!DW436</f>
        <v>14</v>
      </c>
      <c r="S438" s="942">
        <f t="shared" si="96"/>
        <v>0.44</v>
      </c>
      <c r="T438" s="943">
        <f>'CHAM CONG'!BW433</f>
        <v>0</v>
      </c>
      <c r="U438" s="942">
        <f t="shared" si="103"/>
        <v>0</v>
      </c>
      <c r="V438" s="890">
        <f>'CHAM CONG'!BD433</f>
        <v>3</v>
      </c>
      <c r="W438" s="944">
        <f t="shared" si="97"/>
        <v>1.6</v>
      </c>
      <c r="X438" s="891">
        <f>'CHAM CONG'!BT433</f>
        <v>1</v>
      </c>
      <c r="Y438" s="881">
        <f t="shared" si="104"/>
        <v>1.1000000000000001</v>
      </c>
      <c r="Z438" s="892">
        <v>6.03</v>
      </c>
      <c r="AA438" s="942">
        <f>ROUND(Z438*$Z$15,2)+0.01</f>
        <v>1.71</v>
      </c>
      <c r="AB438" s="892">
        <v>6.03</v>
      </c>
      <c r="AC438" s="942">
        <f t="shared" si="111"/>
        <v>7.2</v>
      </c>
      <c r="AD438" s="892">
        <v>6.04</v>
      </c>
      <c r="AE438" s="942">
        <f t="shared" si="109"/>
        <v>4.3</v>
      </c>
      <c r="AF438" s="943" t="e">
        <f>#N/A</f>
        <v>#N/A</v>
      </c>
      <c r="AG438" s="893">
        <f t="shared" si="98"/>
        <v>34.400000000000006</v>
      </c>
      <c r="AH438" s="894"/>
      <c r="AI438" s="895">
        <v>21.63</v>
      </c>
      <c r="AJ438" s="791">
        <v>19.150000000000002</v>
      </c>
      <c r="AK438" s="896">
        <f t="shared" si="107"/>
        <v>2</v>
      </c>
      <c r="AL438" s="896"/>
      <c r="AS438" s="898"/>
    </row>
    <row r="439" spans="1:45" s="779" customFormat="1" ht="34.950000000000003" customHeight="1">
      <c r="A439" s="885">
        <v>423</v>
      </c>
      <c r="B439" s="886"/>
      <c r="C439" s="887" t="str">
        <f>'Tên thang 01-26'!E426</f>
        <v>ឆាង ហ៊ឺ</v>
      </c>
      <c r="D439" s="887" t="str">
        <f>'Tên thang 01-26'!F426</f>
        <v>CHHANG HEU</v>
      </c>
      <c r="E439" s="888">
        <v>327</v>
      </c>
      <c r="F439" s="889">
        <f>'SAN LUONG'!AP437*0.44</f>
        <v>243.76</v>
      </c>
      <c r="G439" s="889">
        <f t="shared" si="94"/>
        <v>3.47</v>
      </c>
      <c r="H439" s="889">
        <f>'SAN LUONG'!AO437*0.44</f>
        <v>359.48</v>
      </c>
      <c r="I439" s="889">
        <f t="shared" si="95"/>
        <v>5.68</v>
      </c>
      <c r="J439" s="889">
        <f>'SAN LUONG'!AV437*0.44</f>
        <v>0</v>
      </c>
      <c r="K439" s="889">
        <f t="shared" si="99"/>
        <v>0</v>
      </c>
      <c r="L439" s="889"/>
      <c r="M439" s="881">
        <f>'CHAM CONG'!BC434</f>
        <v>14</v>
      </c>
      <c r="N439" s="889">
        <f t="shared" si="100"/>
        <v>7.01</v>
      </c>
      <c r="O439" s="889">
        <f t="shared" si="101"/>
        <v>0.44</v>
      </c>
      <c r="P439" s="890">
        <f>'CHAM CONG'!BO434</f>
        <v>27</v>
      </c>
      <c r="Q439" s="942">
        <f t="shared" si="102"/>
        <v>2.54</v>
      </c>
      <c r="R439" s="942">
        <f>'SAN LUONG'!DW437</f>
        <v>10.5</v>
      </c>
      <c r="S439" s="942">
        <f t="shared" si="96"/>
        <v>0.33</v>
      </c>
      <c r="T439" s="943">
        <f>'CHAM CONG'!BW434</f>
        <v>0</v>
      </c>
      <c r="U439" s="942">
        <f t="shared" si="103"/>
        <v>0</v>
      </c>
      <c r="V439" s="890">
        <f>'CHAM CONG'!BD434</f>
        <v>0</v>
      </c>
      <c r="W439" s="944">
        <f t="shared" si="97"/>
        <v>0</v>
      </c>
      <c r="X439" s="891">
        <f>'CHAM CONG'!BT434</f>
        <v>1</v>
      </c>
      <c r="Y439" s="881">
        <f t="shared" si="104"/>
        <v>1.1000000000000001</v>
      </c>
      <c r="Z439" s="892">
        <v>6.03</v>
      </c>
      <c r="AA439" s="942">
        <f>ROUND(Z439*$Z$15,2)+0.01</f>
        <v>1.71</v>
      </c>
      <c r="AB439" s="892">
        <v>6.03</v>
      </c>
      <c r="AC439" s="942">
        <f t="shared" si="111"/>
        <v>7.2</v>
      </c>
      <c r="AD439" s="892">
        <v>6.04</v>
      </c>
      <c r="AE439" s="942">
        <f t="shared" si="109"/>
        <v>4.3</v>
      </c>
      <c r="AF439" s="943" t="e">
        <f>#N/A</f>
        <v>#N/A</v>
      </c>
      <c r="AG439" s="893">
        <f t="shared" si="98"/>
        <v>33.78</v>
      </c>
      <c r="AH439" s="894"/>
      <c r="AI439" s="895">
        <v>23.38</v>
      </c>
      <c r="AJ439" s="791">
        <v>20.900000000000002</v>
      </c>
      <c r="AK439" s="896">
        <f t="shared" si="107"/>
        <v>2</v>
      </c>
      <c r="AL439" s="896"/>
      <c r="AS439" s="898"/>
    </row>
    <row r="440" spans="1:45" s="779" customFormat="1" ht="34.950000000000003" customHeight="1">
      <c r="A440" s="885">
        <v>424</v>
      </c>
      <c r="B440" s="886"/>
      <c r="C440" s="887" t="str">
        <f>'Tên thang 01-26'!E427</f>
        <v>ឡេង ឡុញ</v>
      </c>
      <c r="D440" s="887" t="str">
        <f>'Tên thang 01-26'!F427</f>
        <v>LENG LONH</v>
      </c>
      <c r="E440" s="888">
        <v>328</v>
      </c>
      <c r="F440" s="889">
        <f>'SAN LUONG'!AP438*0.44</f>
        <v>205.48</v>
      </c>
      <c r="G440" s="889">
        <f t="shared" si="94"/>
        <v>2.93</v>
      </c>
      <c r="H440" s="889">
        <f>'SAN LUONG'!AO438*0.44</f>
        <v>297</v>
      </c>
      <c r="I440" s="889">
        <f t="shared" si="95"/>
        <v>4.6900000000000004</v>
      </c>
      <c r="J440" s="889">
        <f>'SAN LUONG'!AV438*0.44</f>
        <v>0</v>
      </c>
      <c r="K440" s="889">
        <f t="shared" si="99"/>
        <v>0</v>
      </c>
      <c r="L440" s="889"/>
      <c r="M440" s="881">
        <f>'CHAM CONG'!BC435</f>
        <v>14</v>
      </c>
      <c r="N440" s="889">
        <f t="shared" si="100"/>
        <v>7.01</v>
      </c>
      <c r="O440" s="889">
        <f t="shared" si="101"/>
        <v>0.44</v>
      </c>
      <c r="P440" s="890">
        <f>'CHAM CONG'!BO435</f>
        <v>28</v>
      </c>
      <c r="Q440" s="942">
        <f t="shared" si="102"/>
        <v>2.63</v>
      </c>
      <c r="R440" s="942">
        <f>'SAN LUONG'!DW438</f>
        <v>11.9</v>
      </c>
      <c r="S440" s="942">
        <f t="shared" si="96"/>
        <v>0.37</v>
      </c>
      <c r="T440" s="943">
        <f>'CHAM CONG'!BW435</f>
        <v>-20000</v>
      </c>
      <c r="U440" s="942">
        <f t="shared" si="103"/>
        <v>-0.63</v>
      </c>
      <c r="V440" s="890">
        <f>'CHAM CONG'!BD435</f>
        <v>0</v>
      </c>
      <c r="W440" s="944">
        <f t="shared" si="97"/>
        <v>0</v>
      </c>
      <c r="X440" s="891">
        <f>'CHAM CONG'!BT435</f>
        <v>1</v>
      </c>
      <c r="Y440" s="881">
        <f t="shared" si="104"/>
        <v>1.1000000000000001</v>
      </c>
      <c r="Z440" s="892">
        <v>6.03</v>
      </c>
      <c r="AA440" s="942">
        <f>ROUND(Z440*$Z$15,2)+0.01</f>
        <v>1.71</v>
      </c>
      <c r="AB440" s="892">
        <v>6.03</v>
      </c>
      <c r="AC440" s="942">
        <f t="shared" si="111"/>
        <v>7.2</v>
      </c>
      <c r="AD440" s="892">
        <v>6.04</v>
      </c>
      <c r="AE440" s="942">
        <f t="shared" si="109"/>
        <v>4.3</v>
      </c>
      <c r="AF440" s="943" t="e">
        <f>#N/A</f>
        <v>#N/A</v>
      </c>
      <c r="AG440" s="893">
        <f t="shared" si="98"/>
        <v>31.750000000000007</v>
      </c>
      <c r="AH440" s="894"/>
      <c r="AI440" s="895">
        <v>23.88</v>
      </c>
      <c r="AJ440" s="791">
        <v>21.400000000000002</v>
      </c>
      <c r="AK440" s="896">
        <f t="shared" si="107"/>
        <v>2</v>
      </c>
      <c r="AL440" s="896"/>
      <c r="AS440" s="898"/>
    </row>
    <row r="441" spans="1:45" s="779" customFormat="1" ht="34.950000000000003" customHeight="1">
      <c r="A441" s="885">
        <v>425</v>
      </c>
      <c r="B441" s="886"/>
      <c r="C441" s="887" t="str">
        <f>'Tên thang 01-26'!E428</f>
        <v>ធី សៀក</v>
      </c>
      <c r="D441" s="887" t="str">
        <f>'Tên thang 01-26'!F428</f>
        <v>THY SEAK</v>
      </c>
      <c r="E441" s="888">
        <v>329</v>
      </c>
      <c r="F441" s="889">
        <f>'SAN LUONG'!AP439*0.44</f>
        <v>186.12</v>
      </c>
      <c r="G441" s="889">
        <f t="shared" si="94"/>
        <v>2.65</v>
      </c>
      <c r="H441" s="889">
        <f>'SAN LUONG'!AO439*0.44</f>
        <v>321.2</v>
      </c>
      <c r="I441" s="889">
        <f t="shared" si="95"/>
        <v>5.08</v>
      </c>
      <c r="J441" s="889">
        <f>'SAN LUONG'!AV439*0.44</f>
        <v>0</v>
      </c>
      <c r="K441" s="889">
        <f t="shared" si="99"/>
        <v>0</v>
      </c>
      <c r="L441" s="889"/>
      <c r="M441" s="881">
        <f>'CHAM CONG'!BC436</f>
        <v>13</v>
      </c>
      <c r="N441" s="889">
        <f t="shared" si="100"/>
        <v>6.51</v>
      </c>
      <c r="O441" s="889">
        <f t="shared" si="101"/>
        <v>0.41</v>
      </c>
      <c r="P441" s="890">
        <f>'CHAM CONG'!BO436</f>
        <v>26</v>
      </c>
      <c r="Q441" s="942">
        <f t="shared" si="102"/>
        <v>2.44</v>
      </c>
      <c r="R441" s="942">
        <f>'SAN LUONG'!DW439</f>
        <v>8.1</v>
      </c>
      <c r="S441" s="942">
        <f t="shared" si="96"/>
        <v>0.25</v>
      </c>
      <c r="T441" s="943">
        <f>'CHAM CONG'!BW436</f>
        <v>0</v>
      </c>
      <c r="U441" s="942">
        <f t="shared" si="103"/>
        <v>0</v>
      </c>
      <c r="V441" s="890">
        <f>'CHAM CONG'!BD436</f>
        <v>0</v>
      </c>
      <c r="W441" s="944">
        <f t="shared" si="97"/>
        <v>0</v>
      </c>
      <c r="X441" s="891">
        <f>'CHAM CONG'!BT436</f>
        <v>1</v>
      </c>
      <c r="Y441" s="881">
        <f t="shared" si="104"/>
        <v>1.1000000000000001</v>
      </c>
      <c r="Z441" s="892">
        <v>6.03</v>
      </c>
      <c r="AA441" s="942">
        <f t="shared" ref="AA441:AA446" si="112">ROUND(Z441*$Z$15,2)+0.01</f>
        <v>1.71</v>
      </c>
      <c r="AB441" s="892">
        <v>6.03</v>
      </c>
      <c r="AC441" s="942">
        <f t="shared" si="111"/>
        <v>7.2</v>
      </c>
      <c r="AD441" s="892">
        <v>6.04</v>
      </c>
      <c r="AE441" s="942">
        <f t="shared" si="109"/>
        <v>4.3</v>
      </c>
      <c r="AF441" s="943" t="e">
        <f>#N/A</f>
        <v>#N/A</v>
      </c>
      <c r="AG441" s="893">
        <f t="shared" si="98"/>
        <v>31.650000000000002</v>
      </c>
      <c r="AH441" s="894"/>
      <c r="AI441" s="895">
        <v>24.06</v>
      </c>
      <c r="AJ441" s="791">
        <v>21.580000000000002</v>
      </c>
      <c r="AK441" s="896">
        <f t="shared" si="107"/>
        <v>2</v>
      </c>
      <c r="AL441" s="896"/>
      <c r="AS441" s="898"/>
    </row>
    <row r="442" spans="1:45" s="779" customFormat="1" ht="34.950000000000003" customHeight="1">
      <c r="A442" s="885">
        <v>426</v>
      </c>
      <c r="B442" s="886"/>
      <c r="C442" s="887" t="str">
        <f>'Tên thang 01-26'!E429</f>
        <v>រ៉ាត សារី</v>
      </c>
      <c r="D442" s="887" t="str">
        <f>'Tên thang 01-26'!F429</f>
        <v>RATH SARY</v>
      </c>
      <c r="E442" s="888">
        <v>330</v>
      </c>
      <c r="F442" s="889">
        <f>'SAN LUONG'!AP440*0.44</f>
        <v>167.64000000000001</v>
      </c>
      <c r="G442" s="889">
        <f t="shared" si="94"/>
        <v>2.39</v>
      </c>
      <c r="H442" s="889">
        <f>'SAN LUONG'!AO440*0.44</f>
        <v>286.88</v>
      </c>
      <c r="I442" s="889">
        <f t="shared" si="95"/>
        <v>4.53</v>
      </c>
      <c r="J442" s="889">
        <f>'SAN LUONG'!AV440*0.44</f>
        <v>0</v>
      </c>
      <c r="K442" s="889">
        <f t="shared" si="99"/>
        <v>0</v>
      </c>
      <c r="L442" s="889"/>
      <c r="M442" s="881">
        <f>'CHAM CONG'!BC437</f>
        <v>15</v>
      </c>
      <c r="N442" s="889">
        <f t="shared" si="100"/>
        <v>7.51</v>
      </c>
      <c r="O442" s="889">
        <f t="shared" si="101"/>
        <v>0.47</v>
      </c>
      <c r="P442" s="890">
        <f>'CHAM CONG'!BO437</f>
        <v>26</v>
      </c>
      <c r="Q442" s="942">
        <f t="shared" si="102"/>
        <v>2.44</v>
      </c>
      <c r="R442" s="942">
        <f>'SAN LUONG'!DW440</f>
        <v>4.4000000000000004</v>
      </c>
      <c r="S442" s="942">
        <f t="shared" si="96"/>
        <v>0.14000000000000001</v>
      </c>
      <c r="T442" s="943">
        <f>'CHAM CONG'!BW437</f>
        <v>-20000</v>
      </c>
      <c r="U442" s="942">
        <f t="shared" si="103"/>
        <v>-0.63</v>
      </c>
      <c r="V442" s="890">
        <f>'CHAM CONG'!BD437</f>
        <v>0</v>
      </c>
      <c r="W442" s="944">
        <f t="shared" si="97"/>
        <v>0</v>
      </c>
      <c r="X442" s="891">
        <f>'CHAM CONG'!BT437</f>
        <v>1</v>
      </c>
      <c r="Y442" s="881">
        <f t="shared" si="104"/>
        <v>1.1000000000000001</v>
      </c>
      <c r="Z442" s="892">
        <v>6.03</v>
      </c>
      <c r="AA442" s="942">
        <f t="shared" si="112"/>
        <v>1.71</v>
      </c>
      <c r="AB442" s="892">
        <v>6.03</v>
      </c>
      <c r="AC442" s="942">
        <f t="shared" si="111"/>
        <v>7.2</v>
      </c>
      <c r="AD442" s="892">
        <v>6.04</v>
      </c>
      <c r="AE442" s="942">
        <f t="shared" si="109"/>
        <v>4.3</v>
      </c>
      <c r="AF442" s="943" t="e">
        <f>#N/A</f>
        <v>#N/A</v>
      </c>
      <c r="AG442" s="893">
        <f t="shared" si="98"/>
        <v>31.160000000000004</v>
      </c>
      <c r="AH442" s="894"/>
      <c r="AI442" s="895">
        <v>15.7</v>
      </c>
      <c r="AJ442" s="791">
        <v>13.23</v>
      </c>
      <c r="AK442" s="896">
        <f t="shared" si="107"/>
        <v>2</v>
      </c>
      <c r="AL442" s="896"/>
      <c r="AS442" s="898"/>
    </row>
    <row r="443" spans="1:45" s="779" customFormat="1" ht="34.950000000000003" customHeight="1">
      <c r="A443" s="885">
        <v>427</v>
      </c>
      <c r="B443" s="886"/>
      <c r="C443" s="887" t="str">
        <f>'Tên thang 01-26'!E430</f>
        <v>សឿន ផាត</v>
      </c>
      <c r="D443" s="887" t="str">
        <f>'Tên thang 01-26'!F430</f>
        <v>SOEUN PHAT</v>
      </c>
      <c r="E443" s="888">
        <v>331</v>
      </c>
      <c r="F443" s="889">
        <f>'SAN LUONG'!AP441*0.44</f>
        <v>166.76</v>
      </c>
      <c r="G443" s="889">
        <f t="shared" si="94"/>
        <v>2.38</v>
      </c>
      <c r="H443" s="889">
        <f>'SAN LUONG'!AO441*0.44</f>
        <v>297.88</v>
      </c>
      <c r="I443" s="889">
        <f t="shared" si="95"/>
        <v>4.71</v>
      </c>
      <c r="J443" s="889">
        <f>'SAN LUONG'!AV441*0.44</f>
        <v>0</v>
      </c>
      <c r="K443" s="889">
        <f t="shared" si="99"/>
        <v>0</v>
      </c>
      <c r="L443" s="889"/>
      <c r="M443" s="881">
        <f>'CHAM CONG'!BC438</f>
        <v>15</v>
      </c>
      <c r="N443" s="889">
        <f t="shared" si="100"/>
        <v>7.51</v>
      </c>
      <c r="O443" s="889">
        <f t="shared" si="101"/>
        <v>0.47</v>
      </c>
      <c r="P443" s="890">
        <f>'CHAM CONG'!BO438</f>
        <v>26</v>
      </c>
      <c r="Q443" s="942">
        <f t="shared" si="102"/>
        <v>2.44</v>
      </c>
      <c r="R443" s="942">
        <f>'SAN LUONG'!DW441</f>
        <v>4.5999999999999996</v>
      </c>
      <c r="S443" s="942">
        <f t="shared" si="96"/>
        <v>0.14000000000000001</v>
      </c>
      <c r="T443" s="943">
        <f>'CHAM CONG'!BW438</f>
        <v>-20000</v>
      </c>
      <c r="U443" s="942">
        <f t="shared" si="103"/>
        <v>-0.63</v>
      </c>
      <c r="V443" s="890">
        <f>'CHAM CONG'!BD438</f>
        <v>0</v>
      </c>
      <c r="W443" s="944">
        <f t="shared" si="97"/>
        <v>0</v>
      </c>
      <c r="X443" s="891">
        <f>'CHAM CONG'!BT438</f>
        <v>1</v>
      </c>
      <c r="Y443" s="881">
        <f t="shared" si="104"/>
        <v>1.1000000000000001</v>
      </c>
      <c r="Z443" s="892">
        <v>6.03</v>
      </c>
      <c r="AA443" s="942">
        <f t="shared" si="112"/>
        <v>1.71</v>
      </c>
      <c r="AB443" s="892">
        <v>6.03</v>
      </c>
      <c r="AC443" s="942">
        <f t="shared" si="111"/>
        <v>7.2</v>
      </c>
      <c r="AD443" s="892">
        <v>6.04</v>
      </c>
      <c r="AE443" s="942">
        <f t="shared" si="109"/>
        <v>4.3</v>
      </c>
      <c r="AF443" s="943" t="e">
        <f>#N/A</f>
        <v>#N/A</v>
      </c>
      <c r="AG443" s="893">
        <f t="shared" si="98"/>
        <v>31.330000000000002</v>
      </c>
      <c r="AH443" s="894"/>
      <c r="AI443" s="895">
        <v>15.36</v>
      </c>
      <c r="AJ443" s="791">
        <v>12.89</v>
      </c>
      <c r="AK443" s="896">
        <f t="shared" si="107"/>
        <v>2</v>
      </c>
      <c r="AL443" s="896"/>
      <c r="AS443" s="898"/>
    </row>
    <row r="444" spans="1:45" s="779" customFormat="1" ht="34.950000000000003" customHeight="1">
      <c r="A444" s="885">
        <v>428</v>
      </c>
      <c r="B444" s="886"/>
      <c r="C444" s="887" t="str">
        <f>'Tên thang 01-26'!E431</f>
        <v>ហាត់ ធីតា</v>
      </c>
      <c r="D444" s="887" t="str">
        <f>'Tên thang 01-26'!F431</f>
        <v>HAT THYDA</v>
      </c>
      <c r="E444" s="888">
        <v>332</v>
      </c>
      <c r="F444" s="889">
        <f>'SAN LUONG'!AP442*0.44</f>
        <v>0</v>
      </c>
      <c r="G444" s="889">
        <f t="shared" si="94"/>
        <v>0</v>
      </c>
      <c r="H444" s="889">
        <f>'SAN LUONG'!AO442*0.44</f>
        <v>531.96</v>
      </c>
      <c r="I444" s="889">
        <f t="shared" si="95"/>
        <v>8.41</v>
      </c>
      <c r="J444" s="889">
        <f>'SAN LUONG'!AV442*0.44</f>
        <v>0</v>
      </c>
      <c r="K444" s="889">
        <f t="shared" si="99"/>
        <v>0</v>
      </c>
      <c r="L444" s="889"/>
      <c r="M444" s="881">
        <f>'CHAM CONG'!BC439</f>
        <v>14</v>
      </c>
      <c r="N444" s="889">
        <f t="shared" si="100"/>
        <v>7.01</v>
      </c>
      <c r="O444" s="889">
        <f t="shared" si="101"/>
        <v>0.44</v>
      </c>
      <c r="P444" s="890">
        <f>'CHAM CONG'!BO439</f>
        <v>26</v>
      </c>
      <c r="Q444" s="942">
        <f t="shared" si="102"/>
        <v>2.44</v>
      </c>
      <c r="R444" s="942">
        <f>'SAN LUONG'!DW442</f>
        <v>9.4</v>
      </c>
      <c r="S444" s="942">
        <f t="shared" si="96"/>
        <v>0.28999999999999998</v>
      </c>
      <c r="T444" s="943">
        <f>'CHAM CONG'!BW439</f>
        <v>-20000</v>
      </c>
      <c r="U444" s="942">
        <f t="shared" si="103"/>
        <v>-0.63</v>
      </c>
      <c r="V444" s="890">
        <f>'CHAM CONG'!BD439</f>
        <v>0</v>
      </c>
      <c r="W444" s="944">
        <f t="shared" si="97"/>
        <v>0</v>
      </c>
      <c r="X444" s="891">
        <f>'CHAM CONG'!BT439</f>
        <v>1</v>
      </c>
      <c r="Y444" s="881">
        <f t="shared" si="104"/>
        <v>1.1000000000000001</v>
      </c>
      <c r="Z444" s="892">
        <v>6.03</v>
      </c>
      <c r="AA444" s="942">
        <f t="shared" si="112"/>
        <v>1.71</v>
      </c>
      <c r="AB444" s="892">
        <v>6.03</v>
      </c>
      <c r="AC444" s="942">
        <f>ROUND(AB444*$AB$15,1)</f>
        <v>7.2</v>
      </c>
      <c r="AD444" s="892">
        <v>6.04</v>
      </c>
      <c r="AE444" s="942">
        <f t="shared" si="109"/>
        <v>4.3</v>
      </c>
      <c r="AF444" s="943" t="e">
        <f>#N/A</f>
        <v>#N/A</v>
      </c>
      <c r="AG444" s="893">
        <f t="shared" si="98"/>
        <v>32.270000000000003</v>
      </c>
      <c r="AH444" s="894"/>
      <c r="AI444" s="895">
        <v>19.190000000000001</v>
      </c>
      <c r="AJ444" s="791">
        <v>17.809999999999999</v>
      </c>
      <c r="AK444" s="896">
        <f t="shared" si="107"/>
        <v>1</v>
      </c>
      <c r="AL444" s="896"/>
      <c r="AS444" s="898"/>
    </row>
    <row r="445" spans="1:45" s="779" customFormat="1" ht="34.950000000000003" customHeight="1">
      <c r="A445" s="885">
        <v>429</v>
      </c>
      <c r="B445" s="886"/>
      <c r="C445" s="887" t="str">
        <f>'Tên thang 01-26'!E432</f>
        <v>ពី ប៉ាត់</v>
      </c>
      <c r="D445" s="887" t="str">
        <f>'Tên thang 01-26'!F432</f>
        <v>PY PATH</v>
      </c>
      <c r="E445" s="888">
        <v>333</v>
      </c>
      <c r="F445" s="889">
        <f>'SAN LUONG'!AP443*0.44</f>
        <v>0</v>
      </c>
      <c r="G445" s="889">
        <f t="shared" si="94"/>
        <v>0</v>
      </c>
      <c r="H445" s="889">
        <f>'SAN LUONG'!AO443*0.44</f>
        <v>611.16</v>
      </c>
      <c r="I445" s="889">
        <f t="shared" si="95"/>
        <v>9.66</v>
      </c>
      <c r="J445" s="889">
        <f>'SAN LUONG'!AV443*0.44</f>
        <v>0</v>
      </c>
      <c r="K445" s="889">
        <f t="shared" si="99"/>
        <v>0</v>
      </c>
      <c r="L445" s="889"/>
      <c r="M445" s="881">
        <f>'CHAM CONG'!BC440</f>
        <v>16</v>
      </c>
      <c r="N445" s="889">
        <f t="shared" si="100"/>
        <v>8.01</v>
      </c>
      <c r="O445" s="889">
        <f t="shared" si="101"/>
        <v>0.5</v>
      </c>
      <c r="P445" s="890">
        <f>'CHAM CONG'!BO440</f>
        <v>29</v>
      </c>
      <c r="Q445" s="942">
        <f t="shared" si="102"/>
        <v>2.72</v>
      </c>
      <c r="R445" s="942">
        <f>'SAN LUONG'!DW443</f>
        <v>11.4</v>
      </c>
      <c r="S445" s="942">
        <f t="shared" si="96"/>
        <v>0.36</v>
      </c>
      <c r="T445" s="943">
        <f>'CHAM CONG'!BW440</f>
        <v>0</v>
      </c>
      <c r="U445" s="942">
        <f t="shared" si="103"/>
        <v>0</v>
      </c>
      <c r="V445" s="890">
        <f>'CHAM CONG'!BD440</f>
        <v>0</v>
      </c>
      <c r="W445" s="944">
        <f t="shared" si="97"/>
        <v>0</v>
      </c>
      <c r="X445" s="891">
        <f>'CHAM CONG'!BT440</f>
        <v>1</v>
      </c>
      <c r="Y445" s="881">
        <f t="shared" si="104"/>
        <v>1.1000000000000001</v>
      </c>
      <c r="Z445" s="892">
        <v>6.03</v>
      </c>
      <c r="AA445" s="942">
        <f t="shared" si="112"/>
        <v>1.71</v>
      </c>
      <c r="AB445" s="892">
        <v>6.04</v>
      </c>
      <c r="AC445" s="942">
        <f t="shared" ref="AC445:AC472" si="113">ROUND(AB445*$AB$15,2)</f>
        <v>7.25</v>
      </c>
      <c r="AD445" s="892">
        <v>6.03</v>
      </c>
      <c r="AE445" s="942">
        <f t="shared" ref="AE445:AE476" si="114">ROUND(AD445*$AD$15,2)</f>
        <v>4.3</v>
      </c>
      <c r="AF445" s="943" t="e">
        <f>#N/A</f>
        <v>#N/A</v>
      </c>
      <c r="AG445" s="893">
        <f t="shared" si="98"/>
        <v>35.61</v>
      </c>
      <c r="AH445" s="894"/>
      <c r="AI445" s="895">
        <v>23.62</v>
      </c>
      <c r="AJ445" s="791">
        <v>20.990000000000002</v>
      </c>
      <c r="AK445" s="896">
        <f t="shared" si="107"/>
        <v>3</v>
      </c>
      <c r="AL445" s="896"/>
      <c r="AS445" s="898"/>
    </row>
    <row r="446" spans="1:45" s="779" customFormat="1" ht="34.950000000000003" customHeight="1">
      <c r="A446" s="885">
        <v>430</v>
      </c>
      <c r="B446" s="886"/>
      <c r="C446" s="887" t="str">
        <f>'Tên thang 01-26'!E433</f>
        <v>សរ ធាង</v>
      </c>
      <c r="D446" s="887" t="str">
        <f>'Tên thang 01-26'!F433</f>
        <v>SOR THEANG</v>
      </c>
      <c r="E446" s="888">
        <v>334</v>
      </c>
      <c r="F446" s="889">
        <f>'SAN LUONG'!AP444*0.44</f>
        <v>93.72</v>
      </c>
      <c r="G446" s="889">
        <f t="shared" si="94"/>
        <v>1.33</v>
      </c>
      <c r="H446" s="889">
        <f>'SAN LUONG'!AO444*0.44</f>
        <v>465.96</v>
      </c>
      <c r="I446" s="889">
        <f t="shared" si="95"/>
        <v>7.37</v>
      </c>
      <c r="J446" s="889">
        <f>'SAN LUONG'!AV444*0.44</f>
        <v>0</v>
      </c>
      <c r="K446" s="889">
        <f t="shared" si="99"/>
        <v>0</v>
      </c>
      <c r="L446" s="889"/>
      <c r="M446" s="881">
        <f>'CHAM CONG'!BC441</f>
        <v>16</v>
      </c>
      <c r="N446" s="889">
        <f t="shared" si="100"/>
        <v>8.01</v>
      </c>
      <c r="O446" s="889">
        <f t="shared" si="101"/>
        <v>0.5</v>
      </c>
      <c r="P446" s="890">
        <f>'CHAM CONG'!BO441</f>
        <v>29</v>
      </c>
      <c r="Q446" s="942">
        <f t="shared" si="102"/>
        <v>2.72</v>
      </c>
      <c r="R446" s="942">
        <f>'SAN LUONG'!DW444</f>
        <v>12.6</v>
      </c>
      <c r="S446" s="942">
        <f t="shared" si="96"/>
        <v>0.39</v>
      </c>
      <c r="T446" s="943">
        <f>'CHAM CONG'!BW441</f>
        <v>0</v>
      </c>
      <c r="U446" s="942">
        <f t="shared" si="103"/>
        <v>0</v>
      </c>
      <c r="V446" s="890">
        <f>'CHAM CONG'!BD441</f>
        <v>0</v>
      </c>
      <c r="W446" s="944">
        <f t="shared" si="97"/>
        <v>0</v>
      </c>
      <c r="X446" s="891">
        <f>'CHAM CONG'!BT441</f>
        <v>1</v>
      </c>
      <c r="Y446" s="881">
        <f t="shared" si="104"/>
        <v>1.1000000000000001</v>
      </c>
      <c r="Z446" s="892">
        <v>6.03</v>
      </c>
      <c r="AA446" s="942">
        <f t="shared" si="112"/>
        <v>1.71</v>
      </c>
      <c r="AB446" s="892">
        <v>6.04</v>
      </c>
      <c r="AC446" s="942">
        <f t="shared" si="113"/>
        <v>7.25</v>
      </c>
      <c r="AD446" s="892">
        <v>6.03</v>
      </c>
      <c r="AE446" s="942">
        <f t="shared" si="114"/>
        <v>4.3</v>
      </c>
      <c r="AF446" s="943" t="e">
        <f>#N/A</f>
        <v>#N/A</v>
      </c>
      <c r="AG446" s="893">
        <f t="shared" si="98"/>
        <v>34.68</v>
      </c>
      <c r="AH446" s="894"/>
      <c r="AI446" s="895">
        <v>23.09</v>
      </c>
      <c r="AJ446" s="791">
        <v>19.990000000000002</v>
      </c>
      <c r="AK446" s="896">
        <f t="shared" si="107"/>
        <v>3</v>
      </c>
      <c r="AL446" s="896"/>
      <c r="AS446" s="898"/>
    </row>
    <row r="447" spans="1:45" s="779" customFormat="1" ht="34.950000000000003" customHeight="1">
      <c r="A447" s="885">
        <v>431</v>
      </c>
      <c r="B447" s="886"/>
      <c r="C447" s="887" t="str">
        <f>'Tên thang 01-26'!E434</f>
        <v>អ៊ាង អាន់</v>
      </c>
      <c r="D447" s="887" t="str">
        <f>'Tên thang 01-26'!F434</f>
        <v>EANG ANN</v>
      </c>
      <c r="E447" s="888">
        <v>335</v>
      </c>
      <c r="F447" s="889">
        <f>'SAN LUONG'!AP445*0.44</f>
        <v>221.76</v>
      </c>
      <c r="G447" s="889">
        <f t="shared" si="94"/>
        <v>3.16</v>
      </c>
      <c r="H447" s="889">
        <f>'SAN LUONG'!AO445*0.44</f>
        <v>629.64</v>
      </c>
      <c r="I447" s="889">
        <f t="shared" si="95"/>
        <v>9.9499999999999993</v>
      </c>
      <c r="J447" s="889">
        <f>'SAN LUONG'!AV445*0.44</f>
        <v>0</v>
      </c>
      <c r="K447" s="889">
        <f t="shared" si="99"/>
        <v>0</v>
      </c>
      <c r="L447" s="889"/>
      <c r="M447" s="881">
        <f>'CHAM CONG'!BC442</f>
        <v>16</v>
      </c>
      <c r="N447" s="889">
        <f t="shared" si="100"/>
        <v>8.01</v>
      </c>
      <c r="O447" s="889">
        <f t="shared" si="101"/>
        <v>0.5</v>
      </c>
      <c r="P447" s="890">
        <f>'CHAM CONG'!BO442</f>
        <v>29</v>
      </c>
      <c r="Q447" s="942">
        <f t="shared" si="102"/>
        <v>2.72</v>
      </c>
      <c r="R447" s="942">
        <f>'SAN LUONG'!DW445</f>
        <v>12.6</v>
      </c>
      <c r="S447" s="942">
        <f t="shared" si="96"/>
        <v>0.39</v>
      </c>
      <c r="T447" s="943">
        <f>'CHAM CONG'!BW442</f>
        <v>0</v>
      </c>
      <c r="U447" s="942">
        <f t="shared" si="103"/>
        <v>0</v>
      </c>
      <c r="V447" s="890">
        <f>'CHAM CONG'!BD442</f>
        <v>0</v>
      </c>
      <c r="W447" s="944">
        <f t="shared" si="97"/>
        <v>0</v>
      </c>
      <c r="X447" s="891">
        <f>'CHAM CONG'!BT442</f>
        <v>1</v>
      </c>
      <c r="Y447" s="881">
        <f t="shared" si="104"/>
        <v>1.1000000000000001</v>
      </c>
      <c r="Z447" s="892">
        <v>6.03</v>
      </c>
      <c r="AA447" s="942">
        <f t="shared" ref="AA447:AA471" si="115">ROUND(Z447*$Z$15,2)+0.01</f>
        <v>1.71</v>
      </c>
      <c r="AB447" s="892">
        <v>6.04</v>
      </c>
      <c r="AC447" s="942">
        <f t="shared" si="113"/>
        <v>7.25</v>
      </c>
      <c r="AD447" s="892">
        <v>6.03</v>
      </c>
      <c r="AE447" s="942">
        <f t="shared" si="114"/>
        <v>4.3</v>
      </c>
      <c r="AF447" s="943" t="e">
        <f>#N/A</f>
        <v>#N/A</v>
      </c>
      <c r="AG447" s="893">
        <f t="shared" si="98"/>
        <v>39.089999999999996</v>
      </c>
      <c r="AH447" s="894"/>
      <c r="AI447" s="895">
        <v>23.68</v>
      </c>
      <c r="AJ447" s="791">
        <v>22.460000000000004</v>
      </c>
      <c r="AK447" s="896">
        <f t="shared" si="107"/>
        <v>1</v>
      </c>
      <c r="AL447" s="896"/>
      <c r="AS447" s="898"/>
    </row>
    <row r="448" spans="1:45" s="779" customFormat="1" ht="34.950000000000003" customHeight="1">
      <c r="A448" s="885">
        <v>432</v>
      </c>
      <c r="B448" s="886"/>
      <c r="C448" s="887" t="str">
        <f>'Tên thang 01-26'!E435</f>
        <v>អៀង ផុន</v>
      </c>
      <c r="D448" s="887" t="str">
        <f>'Tên thang 01-26'!F435</f>
        <v>EANG PHON</v>
      </c>
      <c r="E448" s="888">
        <v>336</v>
      </c>
      <c r="F448" s="889">
        <f>'SAN LUONG'!AP446*0.44</f>
        <v>227.04</v>
      </c>
      <c r="G448" s="889">
        <f t="shared" si="94"/>
        <v>3.23</v>
      </c>
      <c r="H448" s="889">
        <f>'SAN LUONG'!AO446*0.44</f>
        <v>588.72</v>
      </c>
      <c r="I448" s="889">
        <f t="shared" si="95"/>
        <v>9.31</v>
      </c>
      <c r="J448" s="889">
        <f>'SAN LUONG'!AV446*0.44</f>
        <v>0</v>
      </c>
      <c r="K448" s="889">
        <f t="shared" si="99"/>
        <v>0</v>
      </c>
      <c r="L448" s="889"/>
      <c r="M448" s="881">
        <f>'CHAM CONG'!BC443</f>
        <v>16</v>
      </c>
      <c r="N448" s="889">
        <f t="shared" si="100"/>
        <v>8.01</v>
      </c>
      <c r="O448" s="889">
        <f t="shared" si="101"/>
        <v>0.5</v>
      </c>
      <c r="P448" s="890">
        <f>'CHAM CONG'!BO443</f>
        <v>29</v>
      </c>
      <c r="Q448" s="942">
        <f t="shared" si="102"/>
        <v>2.72</v>
      </c>
      <c r="R448" s="942">
        <f>'SAN LUONG'!DW446</f>
        <v>13.7</v>
      </c>
      <c r="S448" s="942">
        <f t="shared" si="96"/>
        <v>0.43</v>
      </c>
      <c r="T448" s="943">
        <f>'CHAM CONG'!BW443</f>
        <v>0</v>
      </c>
      <c r="U448" s="942">
        <f t="shared" si="103"/>
        <v>0</v>
      </c>
      <c r="V448" s="890">
        <f>'CHAM CONG'!BD443</f>
        <v>0</v>
      </c>
      <c r="W448" s="944">
        <f t="shared" si="97"/>
        <v>0</v>
      </c>
      <c r="X448" s="891">
        <f>'CHAM CONG'!BT443</f>
        <v>1</v>
      </c>
      <c r="Y448" s="881">
        <f t="shared" si="104"/>
        <v>1.1000000000000001</v>
      </c>
      <c r="Z448" s="892">
        <v>6.03</v>
      </c>
      <c r="AA448" s="942">
        <f t="shared" si="115"/>
        <v>1.71</v>
      </c>
      <c r="AB448" s="892">
        <v>6.04</v>
      </c>
      <c r="AC448" s="942">
        <f t="shared" si="113"/>
        <v>7.25</v>
      </c>
      <c r="AD448" s="892">
        <v>6.03</v>
      </c>
      <c r="AE448" s="942">
        <f t="shared" si="114"/>
        <v>4.3</v>
      </c>
      <c r="AF448" s="943" t="e">
        <f>#N/A</f>
        <v>#N/A</v>
      </c>
      <c r="AG448" s="893">
        <f t="shared" si="98"/>
        <v>38.559999999999995</v>
      </c>
      <c r="AH448" s="894"/>
      <c r="AI448" s="895">
        <v>24.18</v>
      </c>
      <c r="AJ448" s="791">
        <v>21.69</v>
      </c>
      <c r="AK448" s="896">
        <f t="shared" si="107"/>
        <v>2</v>
      </c>
      <c r="AL448" s="896"/>
      <c r="AS448" s="898"/>
    </row>
    <row r="449" spans="1:45" s="779" customFormat="1" ht="34.950000000000003" customHeight="1">
      <c r="A449" s="885">
        <v>433</v>
      </c>
      <c r="B449" s="886"/>
      <c r="C449" s="887" t="str">
        <f>'Tên thang 01-26'!E436</f>
        <v>ធី ធើយ</v>
      </c>
      <c r="D449" s="887" t="str">
        <f>'Tên thang 01-26'!F436</f>
        <v>THY THOEUY</v>
      </c>
      <c r="E449" s="888">
        <v>337</v>
      </c>
      <c r="F449" s="889">
        <f>'SAN LUONG'!AP447*0.44</f>
        <v>110.88</v>
      </c>
      <c r="G449" s="889">
        <f t="shared" si="94"/>
        <v>1.58</v>
      </c>
      <c r="H449" s="889">
        <f>'SAN LUONG'!AO447*0.44</f>
        <v>461.12</v>
      </c>
      <c r="I449" s="889">
        <f t="shared" si="95"/>
        <v>7.29</v>
      </c>
      <c r="J449" s="889">
        <f>'SAN LUONG'!AV447*0.44</f>
        <v>0</v>
      </c>
      <c r="K449" s="889">
        <f t="shared" si="99"/>
        <v>0</v>
      </c>
      <c r="L449" s="889"/>
      <c r="M449" s="881">
        <f>'CHAM CONG'!BC444</f>
        <v>16</v>
      </c>
      <c r="N449" s="889">
        <f t="shared" si="100"/>
        <v>8.01</v>
      </c>
      <c r="O449" s="889">
        <f t="shared" si="101"/>
        <v>0.5</v>
      </c>
      <c r="P449" s="890">
        <f>'CHAM CONG'!BO444</f>
        <v>28</v>
      </c>
      <c r="Q449" s="942">
        <f t="shared" si="102"/>
        <v>2.63</v>
      </c>
      <c r="R449" s="942">
        <f>'SAN LUONG'!DW447</f>
        <v>18.100000000000001</v>
      </c>
      <c r="S449" s="942">
        <f t="shared" si="96"/>
        <v>0.56999999999999995</v>
      </c>
      <c r="T449" s="943">
        <f>'CHAM CONG'!BW444</f>
        <v>0</v>
      </c>
      <c r="U449" s="942">
        <f t="shared" si="103"/>
        <v>0</v>
      </c>
      <c r="V449" s="890">
        <f>'CHAM CONG'!BD444</f>
        <v>0</v>
      </c>
      <c r="W449" s="944">
        <f t="shared" si="97"/>
        <v>0</v>
      </c>
      <c r="X449" s="891">
        <f>'CHAM CONG'!BT444</f>
        <v>1</v>
      </c>
      <c r="Y449" s="881">
        <f t="shared" si="104"/>
        <v>1.1000000000000001</v>
      </c>
      <c r="Z449" s="892">
        <v>6.03</v>
      </c>
      <c r="AA449" s="942">
        <f t="shared" si="115"/>
        <v>1.71</v>
      </c>
      <c r="AB449" s="892">
        <v>6.04</v>
      </c>
      <c r="AC449" s="942">
        <f t="shared" si="113"/>
        <v>7.25</v>
      </c>
      <c r="AD449" s="892">
        <v>6.03</v>
      </c>
      <c r="AE449" s="942">
        <f t="shared" si="114"/>
        <v>4.3</v>
      </c>
      <c r="AF449" s="943" t="e">
        <f>#N/A</f>
        <v>#N/A</v>
      </c>
      <c r="AG449" s="893">
        <f t="shared" si="98"/>
        <v>34.940000000000005</v>
      </c>
      <c r="AH449" s="894"/>
      <c r="AI449" s="895">
        <v>22.72</v>
      </c>
      <c r="AJ449" s="791">
        <v>20.250000000000004</v>
      </c>
      <c r="AK449" s="896">
        <f t="shared" si="107"/>
        <v>2</v>
      </c>
      <c r="AL449" s="896"/>
      <c r="AS449" s="898"/>
    </row>
    <row r="450" spans="1:45" s="779" customFormat="1" ht="34.950000000000003" customHeight="1">
      <c r="A450" s="885">
        <v>434</v>
      </c>
      <c r="B450" s="886"/>
      <c r="C450" s="887" t="str">
        <f>'Tên thang 01-26'!E437</f>
        <v>ចយ ជឿន</v>
      </c>
      <c r="D450" s="887" t="str">
        <f>'Tên thang 01-26'!F437</f>
        <v>CHAY CHOEUN</v>
      </c>
      <c r="E450" s="888">
        <v>338</v>
      </c>
      <c r="F450" s="889">
        <f>'SAN LUONG'!AP448*0.44</f>
        <v>118.36</v>
      </c>
      <c r="G450" s="889">
        <f t="shared" si="94"/>
        <v>1.69</v>
      </c>
      <c r="H450" s="889">
        <f>'SAN LUONG'!AO448*0.44</f>
        <v>354.64</v>
      </c>
      <c r="I450" s="889">
        <f t="shared" si="95"/>
        <v>5.61</v>
      </c>
      <c r="J450" s="889">
        <f>'SAN LUONG'!AV448*0.44</f>
        <v>0</v>
      </c>
      <c r="K450" s="889">
        <f t="shared" si="99"/>
        <v>0</v>
      </c>
      <c r="L450" s="889"/>
      <c r="M450" s="881">
        <f>'CHAM CONG'!BC445</f>
        <v>14</v>
      </c>
      <c r="N450" s="889">
        <f t="shared" si="100"/>
        <v>7.01</v>
      </c>
      <c r="O450" s="889">
        <f t="shared" si="101"/>
        <v>0.44</v>
      </c>
      <c r="P450" s="890">
        <f>'CHAM CONG'!BO445</f>
        <v>26</v>
      </c>
      <c r="Q450" s="942">
        <f t="shared" si="102"/>
        <v>2.44</v>
      </c>
      <c r="R450" s="942">
        <f>'SAN LUONG'!DW448</f>
        <v>7.4</v>
      </c>
      <c r="S450" s="942">
        <f t="shared" si="96"/>
        <v>0.23</v>
      </c>
      <c r="T450" s="943">
        <f>'CHAM CONG'!BW445</f>
        <v>0</v>
      </c>
      <c r="U450" s="942">
        <f t="shared" si="103"/>
        <v>0</v>
      </c>
      <c r="V450" s="890">
        <f>'CHAM CONG'!BD445</f>
        <v>0</v>
      </c>
      <c r="W450" s="944">
        <f t="shared" si="97"/>
        <v>0</v>
      </c>
      <c r="X450" s="891">
        <f>'CHAM CONG'!BT445</f>
        <v>1</v>
      </c>
      <c r="Y450" s="881">
        <f t="shared" si="104"/>
        <v>1.1000000000000001</v>
      </c>
      <c r="Z450" s="892">
        <v>6.03</v>
      </c>
      <c r="AA450" s="942">
        <f t="shared" si="115"/>
        <v>1.71</v>
      </c>
      <c r="AB450" s="892">
        <v>6.04</v>
      </c>
      <c r="AC450" s="942">
        <f t="shared" si="113"/>
        <v>7.25</v>
      </c>
      <c r="AD450" s="892">
        <v>6.03</v>
      </c>
      <c r="AE450" s="942">
        <f t="shared" si="114"/>
        <v>4.3</v>
      </c>
      <c r="AF450" s="943" t="e">
        <f>#N/A</f>
        <v>#N/A</v>
      </c>
      <c r="AG450" s="893">
        <f t="shared" si="98"/>
        <v>31.780000000000005</v>
      </c>
      <c r="AH450" s="894"/>
      <c r="AI450" s="895">
        <v>20.71</v>
      </c>
      <c r="AJ450" s="791">
        <v>18.23</v>
      </c>
      <c r="AK450" s="896">
        <f t="shared" si="107"/>
        <v>2</v>
      </c>
      <c r="AL450" s="896"/>
      <c r="AS450" s="898"/>
    </row>
    <row r="451" spans="1:45" s="779" customFormat="1" ht="34.950000000000003" customHeight="1">
      <c r="A451" s="885">
        <v>435</v>
      </c>
      <c r="B451" s="886"/>
      <c r="C451" s="887" t="str">
        <f>'Tên thang 01-26'!E438</f>
        <v>ឈូក ស្រីម៉ៅ</v>
      </c>
      <c r="D451" s="887" t="str">
        <f>'Tên thang 01-26'!F438</f>
        <v>CHHOUK SREY MAO</v>
      </c>
      <c r="E451" s="888">
        <v>339</v>
      </c>
      <c r="F451" s="889">
        <f>'SAN LUONG'!AP449*0.44</f>
        <v>101.64</v>
      </c>
      <c r="G451" s="889">
        <f t="shared" si="94"/>
        <v>1.45</v>
      </c>
      <c r="H451" s="889">
        <f>'SAN LUONG'!AO449*0.44</f>
        <v>357.28000000000003</v>
      </c>
      <c r="I451" s="889">
        <f t="shared" si="95"/>
        <v>5.65</v>
      </c>
      <c r="J451" s="889">
        <f>'SAN LUONG'!AV449*0.44</f>
        <v>0</v>
      </c>
      <c r="K451" s="889">
        <f t="shared" si="99"/>
        <v>0</v>
      </c>
      <c r="L451" s="889"/>
      <c r="M451" s="881">
        <f>'CHAM CONG'!BC446</f>
        <v>16</v>
      </c>
      <c r="N451" s="889">
        <f t="shared" si="100"/>
        <v>8.01</v>
      </c>
      <c r="O451" s="889">
        <f t="shared" si="101"/>
        <v>0.5</v>
      </c>
      <c r="P451" s="890">
        <f>'CHAM CONG'!BO446</f>
        <v>27</v>
      </c>
      <c r="Q451" s="942">
        <f t="shared" si="102"/>
        <v>2.54</v>
      </c>
      <c r="R451" s="942">
        <f>'SAN LUONG'!DW449</f>
        <v>7.4</v>
      </c>
      <c r="S451" s="942">
        <f t="shared" si="96"/>
        <v>0.23</v>
      </c>
      <c r="T451" s="943">
        <f>'CHAM CONG'!BW446</f>
        <v>-20000</v>
      </c>
      <c r="U451" s="942">
        <f t="shared" si="103"/>
        <v>-0.63</v>
      </c>
      <c r="V451" s="890">
        <f>'CHAM CONG'!BD446</f>
        <v>0</v>
      </c>
      <c r="W451" s="944">
        <f t="shared" si="97"/>
        <v>0</v>
      </c>
      <c r="X451" s="891">
        <f>'CHAM CONG'!BT446</f>
        <v>1</v>
      </c>
      <c r="Y451" s="881">
        <f t="shared" si="104"/>
        <v>1.1000000000000001</v>
      </c>
      <c r="Z451" s="892">
        <v>6.03</v>
      </c>
      <c r="AA451" s="942">
        <f t="shared" si="115"/>
        <v>1.71</v>
      </c>
      <c r="AB451" s="892">
        <v>6.04</v>
      </c>
      <c r="AC451" s="942">
        <f t="shared" si="113"/>
        <v>7.25</v>
      </c>
      <c r="AD451" s="892">
        <v>6.03</v>
      </c>
      <c r="AE451" s="942">
        <f t="shared" si="114"/>
        <v>4.3</v>
      </c>
      <c r="AF451" s="943" t="e">
        <f>#N/A</f>
        <v>#N/A</v>
      </c>
      <c r="AG451" s="893">
        <f t="shared" si="98"/>
        <v>32.11</v>
      </c>
      <c r="AH451" s="894"/>
      <c r="AI451" s="895">
        <v>20.079999999999998</v>
      </c>
      <c r="AJ451" s="791">
        <v>17.600000000000001</v>
      </c>
      <c r="AK451" s="896">
        <f t="shared" si="107"/>
        <v>2</v>
      </c>
      <c r="AL451" s="896"/>
      <c r="AS451" s="898"/>
    </row>
    <row r="452" spans="1:45" s="779" customFormat="1" ht="34.950000000000003" customHeight="1">
      <c r="A452" s="885">
        <v>436</v>
      </c>
      <c r="B452" s="886"/>
      <c r="C452" s="887" t="str">
        <f>'Tên thang 01-26'!E439</f>
        <v>ភួន ឡែម</v>
      </c>
      <c r="D452" s="887" t="str">
        <f>'Tên thang 01-26'!F439</f>
        <v>PHUON LEM</v>
      </c>
      <c r="E452" s="888">
        <v>340</v>
      </c>
      <c r="F452" s="889">
        <f>'SAN LUONG'!AP450*0.44</f>
        <v>231.44</v>
      </c>
      <c r="G452" s="889">
        <f t="shared" si="94"/>
        <v>3.3</v>
      </c>
      <c r="H452" s="889">
        <f>'SAN LUONG'!AO450*0.44</f>
        <v>371.8</v>
      </c>
      <c r="I452" s="889">
        <f t="shared" si="95"/>
        <v>5.88</v>
      </c>
      <c r="J452" s="889">
        <f>'SAN LUONG'!AV450*0.44</f>
        <v>0</v>
      </c>
      <c r="K452" s="889">
        <f t="shared" si="99"/>
        <v>0</v>
      </c>
      <c r="L452" s="889"/>
      <c r="M452" s="881">
        <f>'CHAM CONG'!BC447</f>
        <v>15</v>
      </c>
      <c r="N452" s="889">
        <f t="shared" si="100"/>
        <v>7.51</v>
      </c>
      <c r="O452" s="889">
        <f t="shared" si="101"/>
        <v>0.47</v>
      </c>
      <c r="P452" s="890">
        <f>'CHAM CONG'!BO447</f>
        <v>28</v>
      </c>
      <c r="Q452" s="942">
        <f t="shared" si="102"/>
        <v>2.63</v>
      </c>
      <c r="R452" s="942">
        <f>'SAN LUONG'!DW450</f>
        <v>8</v>
      </c>
      <c r="S452" s="942">
        <f t="shared" si="96"/>
        <v>0.25</v>
      </c>
      <c r="T452" s="943">
        <f>'CHAM CONG'!BW447</f>
        <v>-20000</v>
      </c>
      <c r="U452" s="942">
        <f t="shared" si="103"/>
        <v>-0.63</v>
      </c>
      <c r="V452" s="890">
        <f>'CHAM CONG'!BD447</f>
        <v>0</v>
      </c>
      <c r="W452" s="944">
        <f t="shared" si="97"/>
        <v>0</v>
      </c>
      <c r="X452" s="891">
        <f>'CHAM CONG'!BT447</f>
        <v>1</v>
      </c>
      <c r="Y452" s="881">
        <f t="shared" si="104"/>
        <v>1.1000000000000001</v>
      </c>
      <c r="Z452" s="892">
        <v>6.03</v>
      </c>
      <c r="AA452" s="942">
        <f t="shared" si="115"/>
        <v>1.71</v>
      </c>
      <c r="AB452" s="892">
        <v>6.04</v>
      </c>
      <c r="AC452" s="942">
        <f t="shared" si="113"/>
        <v>7.25</v>
      </c>
      <c r="AD452" s="892">
        <v>6.03</v>
      </c>
      <c r="AE452" s="942">
        <f t="shared" si="114"/>
        <v>4.3</v>
      </c>
      <c r="AF452" s="943" t="e">
        <f>#N/A</f>
        <v>#N/A</v>
      </c>
      <c r="AG452" s="893">
        <f t="shared" si="98"/>
        <v>33.770000000000003</v>
      </c>
      <c r="AH452" s="894"/>
      <c r="AI452" s="895">
        <v>21.56</v>
      </c>
      <c r="AJ452" s="791">
        <v>19.090000000000003</v>
      </c>
      <c r="AK452" s="896">
        <f t="shared" si="107"/>
        <v>2</v>
      </c>
      <c r="AL452" s="896"/>
      <c r="AS452" s="898"/>
    </row>
    <row r="453" spans="1:45" s="779" customFormat="1" ht="34.950000000000003" customHeight="1">
      <c r="A453" s="885">
        <v>437</v>
      </c>
      <c r="B453" s="886"/>
      <c r="C453" s="887" t="str">
        <f>'Tên thang 01-26'!E440</f>
        <v>ធីម ម៉ាប់</v>
      </c>
      <c r="D453" s="887" t="str">
        <f>'Tên thang 01-26'!F440</f>
        <v>THIM MAB</v>
      </c>
      <c r="E453" s="888">
        <v>341</v>
      </c>
      <c r="F453" s="889">
        <f>'SAN LUONG'!AP451*0.44</f>
        <v>161.04</v>
      </c>
      <c r="G453" s="889">
        <f t="shared" si="94"/>
        <v>2.29</v>
      </c>
      <c r="H453" s="889">
        <f>'SAN LUONG'!AO451*0.44</f>
        <v>560.56000000000006</v>
      </c>
      <c r="I453" s="889">
        <f t="shared" si="95"/>
        <v>8.86</v>
      </c>
      <c r="J453" s="889">
        <f>'SAN LUONG'!AV451*0.44</f>
        <v>0</v>
      </c>
      <c r="K453" s="889">
        <f t="shared" si="99"/>
        <v>0</v>
      </c>
      <c r="L453" s="889"/>
      <c r="M453" s="881">
        <f>'CHAM CONG'!BC448</f>
        <v>15</v>
      </c>
      <c r="N453" s="889">
        <f t="shared" si="100"/>
        <v>7.51</v>
      </c>
      <c r="O453" s="889">
        <f t="shared" si="101"/>
        <v>0.47</v>
      </c>
      <c r="P453" s="890">
        <f>'CHAM CONG'!BO448</f>
        <v>27</v>
      </c>
      <c r="Q453" s="942">
        <f t="shared" si="102"/>
        <v>2.54</v>
      </c>
      <c r="R453" s="942">
        <f>'SAN LUONG'!DW451</f>
        <v>12</v>
      </c>
      <c r="S453" s="942">
        <f t="shared" si="96"/>
        <v>0.38</v>
      </c>
      <c r="T453" s="943">
        <f>'CHAM CONG'!BW448</f>
        <v>-20000</v>
      </c>
      <c r="U453" s="942">
        <f t="shared" si="103"/>
        <v>-0.63</v>
      </c>
      <c r="V453" s="890">
        <f>'CHAM CONG'!BD448</f>
        <v>0</v>
      </c>
      <c r="W453" s="944">
        <f t="shared" si="97"/>
        <v>0</v>
      </c>
      <c r="X453" s="891">
        <f>'CHAM CONG'!BT448</f>
        <v>1</v>
      </c>
      <c r="Y453" s="881">
        <f t="shared" si="104"/>
        <v>1.1000000000000001</v>
      </c>
      <c r="Z453" s="892">
        <v>6.03</v>
      </c>
      <c r="AA453" s="942">
        <f t="shared" si="115"/>
        <v>1.71</v>
      </c>
      <c r="AB453" s="892">
        <v>6.04</v>
      </c>
      <c r="AC453" s="942">
        <f t="shared" si="113"/>
        <v>7.25</v>
      </c>
      <c r="AD453" s="892">
        <v>6.03</v>
      </c>
      <c r="AE453" s="942">
        <f t="shared" si="114"/>
        <v>4.3</v>
      </c>
      <c r="AF453" s="943" t="e">
        <f>#N/A</f>
        <v>#N/A</v>
      </c>
      <c r="AG453" s="893">
        <f t="shared" si="98"/>
        <v>35.779999999999994</v>
      </c>
      <c r="AH453" s="894"/>
      <c r="AI453" s="895">
        <v>23.31</v>
      </c>
      <c r="AJ453" s="791">
        <v>21.450000000000006</v>
      </c>
      <c r="AK453" s="896">
        <f t="shared" si="107"/>
        <v>2</v>
      </c>
      <c r="AL453" s="896"/>
      <c r="AS453" s="898"/>
    </row>
    <row r="454" spans="1:45" s="779" customFormat="1" ht="38.4" customHeight="1">
      <c r="A454" s="885">
        <v>438</v>
      </c>
      <c r="B454" s="886"/>
      <c r="C454" s="887" t="str">
        <f>'Tên thang 01-26'!E441</f>
        <v>ឆែម ហៀក</v>
      </c>
      <c r="D454" s="887" t="str">
        <f>'Tên thang 01-26'!F441</f>
        <v>CHHEM HEAK</v>
      </c>
      <c r="E454" s="888">
        <v>342</v>
      </c>
      <c r="F454" s="889">
        <f>'SAN LUONG'!AP452*0.44</f>
        <v>196.68</v>
      </c>
      <c r="G454" s="889">
        <f t="shared" si="94"/>
        <v>2.8</v>
      </c>
      <c r="H454" s="889">
        <f>'SAN LUONG'!AO452*0.44</f>
        <v>359.48</v>
      </c>
      <c r="I454" s="889">
        <f t="shared" si="95"/>
        <v>5.68</v>
      </c>
      <c r="J454" s="889">
        <f>'SAN LUONG'!AV452*0.44</f>
        <v>0</v>
      </c>
      <c r="K454" s="889">
        <f t="shared" si="99"/>
        <v>0</v>
      </c>
      <c r="L454" s="889"/>
      <c r="M454" s="881">
        <f>'CHAM CONG'!BC449</f>
        <v>15</v>
      </c>
      <c r="N454" s="889">
        <f t="shared" si="100"/>
        <v>7.51</v>
      </c>
      <c r="O454" s="889">
        <f t="shared" si="101"/>
        <v>0.47</v>
      </c>
      <c r="P454" s="890">
        <f>'CHAM CONG'!BO449</f>
        <v>29</v>
      </c>
      <c r="Q454" s="942">
        <f t="shared" si="102"/>
        <v>2.72</v>
      </c>
      <c r="R454" s="942">
        <f>'SAN LUONG'!DW452</f>
        <v>10.8</v>
      </c>
      <c r="S454" s="942">
        <f t="shared" si="96"/>
        <v>0.34</v>
      </c>
      <c r="T454" s="943">
        <f>'CHAM CONG'!BW449</f>
        <v>0</v>
      </c>
      <c r="U454" s="942">
        <f t="shared" si="103"/>
        <v>0</v>
      </c>
      <c r="V454" s="890">
        <f>'CHAM CONG'!BD449</f>
        <v>1</v>
      </c>
      <c r="W454" s="944">
        <f t="shared" si="97"/>
        <v>0.53</v>
      </c>
      <c r="X454" s="891">
        <f>'CHAM CONG'!BT449</f>
        <v>1</v>
      </c>
      <c r="Y454" s="881">
        <f t="shared" si="104"/>
        <v>1.1000000000000001</v>
      </c>
      <c r="Z454" s="892">
        <v>6.03</v>
      </c>
      <c r="AA454" s="942">
        <f t="shared" si="115"/>
        <v>1.71</v>
      </c>
      <c r="AB454" s="892">
        <v>6.04</v>
      </c>
      <c r="AC454" s="942">
        <f t="shared" si="113"/>
        <v>7.25</v>
      </c>
      <c r="AD454" s="892">
        <v>6.03</v>
      </c>
      <c r="AE454" s="942">
        <f t="shared" si="114"/>
        <v>4.3</v>
      </c>
      <c r="AF454" s="943" t="e">
        <f>#N/A</f>
        <v>#N/A</v>
      </c>
      <c r="AG454" s="893">
        <f t="shared" si="98"/>
        <v>34.410000000000004</v>
      </c>
      <c r="AH454" s="894"/>
      <c r="AI454" s="895">
        <v>24.18</v>
      </c>
      <c r="AJ454" s="791">
        <v>21.700000000000003</v>
      </c>
      <c r="AK454" s="896">
        <f t="shared" si="107"/>
        <v>2</v>
      </c>
      <c r="AL454" s="896"/>
      <c r="AS454" s="898"/>
    </row>
    <row r="455" spans="1:45" s="779" customFormat="1" ht="36" customHeight="1">
      <c r="A455" s="885">
        <v>439</v>
      </c>
      <c r="B455" s="886"/>
      <c r="C455" s="887" t="str">
        <f>'Tên thang 01-26'!E442</f>
        <v>ហេន ហាត</v>
      </c>
      <c r="D455" s="887" t="str">
        <f>'Tên thang 01-26'!F442</f>
        <v>HEN HAT</v>
      </c>
      <c r="E455" s="888">
        <v>343</v>
      </c>
      <c r="F455" s="889">
        <f>'SAN LUONG'!AP453*0.44</f>
        <v>62.48</v>
      </c>
      <c r="G455" s="889">
        <f t="shared" si="94"/>
        <v>0.89</v>
      </c>
      <c r="H455" s="889">
        <f>'SAN LUONG'!AO453*0.44</f>
        <v>277.64</v>
      </c>
      <c r="I455" s="889">
        <f t="shared" si="95"/>
        <v>4.3899999999999997</v>
      </c>
      <c r="J455" s="889">
        <f>'SAN LUONG'!AV453*0.44</f>
        <v>0</v>
      </c>
      <c r="K455" s="889">
        <f t="shared" si="99"/>
        <v>0</v>
      </c>
      <c r="L455" s="889"/>
      <c r="M455" s="881">
        <f>'CHAM CONG'!BC450</f>
        <v>15</v>
      </c>
      <c r="N455" s="889">
        <f t="shared" si="100"/>
        <v>7.51</v>
      </c>
      <c r="O455" s="889">
        <f t="shared" si="101"/>
        <v>0.47</v>
      </c>
      <c r="P455" s="890">
        <f>'CHAM CONG'!BO450</f>
        <v>0</v>
      </c>
      <c r="Q455" s="942">
        <f t="shared" si="102"/>
        <v>0</v>
      </c>
      <c r="R455" s="942">
        <f>'SAN LUONG'!DW453</f>
        <v>12.6</v>
      </c>
      <c r="S455" s="942">
        <f t="shared" si="96"/>
        <v>0.39</v>
      </c>
      <c r="T455" s="943">
        <f>'CHAM CONG'!BW450</f>
        <v>0</v>
      </c>
      <c r="U455" s="942">
        <f t="shared" si="103"/>
        <v>0</v>
      </c>
      <c r="V455" s="890">
        <f>'CHAM CONG'!BD450</f>
        <v>2</v>
      </c>
      <c r="W455" s="944">
        <f t="shared" si="97"/>
        <v>1.06</v>
      </c>
      <c r="X455" s="891">
        <f>'CHAM CONG'!BT450</f>
        <v>0</v>
      </c>
      <c r="Y455" s="881">
        <f t="shared" si="104"/>
        <v>0</v>
      </c>
      <c r="Z455" s="892">
        <v>6.03</v>
      </c>
      <c r="AA455" s="942">
        <f t="shared" si="115"/>
        <v>1.71</v>
      </c>
      <c r="AB455" s="892">
        <v>6.04</v>
      </c>
      <c r="AC455" s="942">
        <f t="shared" si="113"/>
        <v>7.25</v>
      </c>
      <c r="AD455" s="892">
        <v>6.03</v>
      </c>
      <c r="AE455" s="942">
        <f t="shared" si="114"/>
        <v>4.3</v>
      </c>
      <c r="AF455" s="943" t="e">
        <f>#N/A</f>
        <v>#N/A</v>
      </c>
      <c r="AG455" s="893">
        <f t="shared" si="98"/>
        <v>27.970000000000002</v>
      </c>
      <c r="AH455" s="894"/>
      <c r="AI455" s="895">
        <v>23.15</v>
      </c>
      <c r="AJ455" s="791">
        <v>20.680000000000003</v>
      </c>
      <c r="AK455" s="896">
        <f t="shared" si="107"/>
        <v>2</v>
      </c>
      <c r="AL455" s="896"/>
      <c r="AS455" s="898"/>
    </row>
    <row r="456" spans="1:45" s="779" customFormat="1" ht="22.95" customHeight="1">
      <c r="A456" s="885">
        <v>440</v>
      </c>
      <c r="B456" s="886"/>
      <c r="C456" s="887" t="str">
        <f>'Tên thang 01-26'!E443</f>
        <v>ថន អន</v>
      </c>
      <c r="D456" s="887" t="str">
        <f>'Tên thang 01-26'!F443</f>
        <v>THORN ORN</v>
      </c>
      <c r="E456" s="888">
        <v>428</v>
      </c>
      <c r="F456" s="889">
        <f>'SAN LUONG'!AP454*0.44</f>
        <v>321.2</v>
      </c>
      <c r="G456" s="889">
        <f t="shared" si="94"/>
        <v>4.57</v>
      </c>
      <c r="H456" s="889">
        <f>'SAN LUONG'!AO454*0.44</f>
        <v>242.88</v>
      </c>
      <c r="I456" s="889">
        <f t="shared" si="95"/>
        <v>3.84</v>
      </c>
      <c r="J456" s="889">
        <f>'SAN LUONG'!AV454*0.44</f>
        <v>0</v>
      </c>
      <c r="K456" s="889">
        <f t="shared" si="99"/>
        <v>0</v>
      </c>
      <c r="L456" s="889"/>
      <c r="M456" s="881">
        <f>'CHAM CONG'!BC451</f>
        <v>15</v>
      </c>
      <c r="N456" s="889">
        <f t="shared" si="100"/>
        <v>7.51</v>
      </c>
      <c r="O456" s="889">
        <f t="shared" si="101"/>
        <v>0.47</v>
      </c>
      <c r="P456" s="890">
        <f>'CHAM CONG'!BO451</f>
        <v>26</v>
      </c>
      <c r="Q456" s="942">
        <f t="shared" si="102"/>
        <v>2.44</v>
      </c>
      <c r="R456" s="942">
        <f>'SAN LUONG'!DW454</f>
        <v>22</v>
      </c>
      <c r="S456" s="942">
        <f t="shared" si="96"/>
        <v>0.69</v>
      </c>
      <c r="T456" s="943">
        <f>'CHAM CONG'!BW451</f>
        <v>-20000</v>
      </c>
      <c r="U456" s="942">
        <f t="shared" si="103"/>
        <v>-0.63</v>
      </c>
      <c r="V456" s="890">
        <f>'CHAM CONG'!BD451</f>
        <v>0</v>
      </c>
      <c r="W456" s="944">
        <f t="shared" si="97"/>
        <v>0</v>
      </c>
      <c r="X456" s="891">
        <f>'CHAM CONG'!BT451</f>
        <v>1</v>
      </c>
      <c r="Y456" s="881">
        <f t="shared" si="104"/>
        <v>1.1000000000000001</v>
      </c>
      <c r="Z456" s="892">
        <v>6.03</v>
      </c>
      <c r="AA456" s="942">
        <f t="shared" si="115"/>
        <v>1.71</v>
      </c>
      <c r="AB456" s="892">
        <v>6.04</v>
      </c>
      <c r="AC456" s="942">
        <f t="shared" si="113"/>
        <v>7.25</v>
      </c>
      <c r="AD456" s="892">
        <v>6.03</v>
      </c>
      <c r="AE456" s="942">
        <f t="shared" si="114"/>
        <v>4.3</v>
      </c>
      <c r="AF456" s="943" t="e">
        <f>#N/A</f>
        <v>#N/A</v>
      </c>
      <c r="AG456" s="893">
        <f t="shared" si="98"/>
        <v>33.25</v>
      </c>
      <c r="AH456" s="894"/>
      <c r="AI456" s="895">
        <v>22.95</v>
      </c>
      <c r="AJ456" s="791">
        <v>20.000000000000004</v>
      </c>
      <c r="AK456" s="896">
        <f t="shared" si="107"/>
        <v>3</v>
      </c>
      <c r="AL456" s="896"/>
      <c r="AS456" s="898"/>
    </row>
    <row r="457" spans="1:45" s="779" customFormat="1" ht="22.95" customHeight="1">
      <c r="A457" s="885">
        <v>441</v>
      </c>
      <c r="B457" s="886"/>
      <c r="C457" s="887" t="str">
        <f>'Tên thang 01-26'!E444</f>
        <v>យី​ សុខដា</v>
      </c>
      <c r="D457" s="887" t="str">
        <f>'Tên thang 01-26'!F444</f>
        <v>YI SOKDA</v>
      </c>
      <c r="E457" s="888">
        <v>429</v>
      </c>
      <c r="F457" s="889">
        <f>'SAN LUONG'!AP455*0.44</f>
        <v>466.84</v>
      </c>
      <c r="G457" s="889">
        <f t="shared" si="94"/>
        <v>6.65</v>
      </c>
      <c r="H457" s="889">
        <f>'SAN LUONG'!AO455*0.44</f>
        <v>294.8</v>
      </c>
      <c r="I457" s="889">
        <f t="shared" si="95"/>
        <v>4.66</v>
      </c>
      <c r="J457" s="889">
        <f>'SAN LUONG'!AV455*0.44</f>
        <v>0</v>
      </c>
      <c r="K457" s="889">
        <f t="shared" si="99"/>
        <v>0</v>
      </c>
      <c r="L457" s="889"/>
      <c r="M457" s="881">
        <f>'CHAM CONG'!BC452</f>
        <v>16</v>
      </c>
      <c r="N457" s="889">
        <f t="shared" si="100"/>
        <v>8.01</v>
      </c>
      <c r="O457" s="889">
        <f t="shared" si="101"/>
        <v>0.5</v>
      </c>
      <c r="P457" s="890">
        <f>'CHAM CONG'!BO452</f>
        <v>30</v>
      </c>
      <c r="Q457" s="942">
        <f t="shared" si="102"/>
        <v>2.82</v>
      </c>
      <c r="R457" s="942">
        <f>'SAN LUONG'!DW455</f>
        <v>12.5</v>
      </c>
      <c r="S457" s="942">
        <f t="shared" si="96"/>
        <v>0.39</v>
      </c>
      <c r="T457" s="943">
        <f>'CHAM CONG'!BW452</f>
        <v>20000</v>
      </c>
      <c r="U457" s="942">
        <f t="shared" si="103"/>
        <v>0.63</v>
      </c>
      <c r="V457" s="890">
        <f>'CHAM CONG'!BD452</f>
        <v>4</v>
      </c>
      <c r="W457" s="944">
        <f t="shared" si="97"/>
        <v>2.13</v>
      </c>
      <c r="X457" s="891">
        <f>'CHAM CONG'!BT452</f>
        <v>1</v>
      </c>
      <c r="Y457" s="881">
        <f t="shared" si="104"/>
        <v>1.1000000000000001</v>
      </c>
      <c r="Z457" s="892">
        <v>6.03</v>
      </c>
      <c r="AA457" s="942">
        <f t="shared" si="115"/>
        <v>1.71</v>
      </c>
      <c r="AB457" s="892">
        <v>6.04</v>
      </c>
      <c r="AC457" s="942">
        <f t="shared" si="113"/>
        <v>7.25</v>
      </c>
      <c r="AD457" s="892">
        <v>6.03</v>
      </c>
      <c r="AE457" s="942">
        <f t="shared" si="114"/>
        <v>4.3</v>
      </c>
      <c r="AF457" s="943" t="e">
        <f>#N/A</f>
        <v>#N/A</v>
      </c>
      <c r="AG457" s="893">
        <f t="shared" si="98"/>
        <v>40.15</v>
      </c>
      <c r="AH457" s="894"/>
      <c r="AI457" s="895">
        <v>25.06</v>
      </c>
      <c r="AJ457" s="791">
        <v>22.110000000000003</v>
      </c>
      <c r="AK457" s="896">
        <f t="shared" si="107"/>
        <v>3</v>
      </c>
      <c r="AL457" s="896"/>
      <c r="AS457" s="898"/>
    </row>
    <row r="458" spans="1:45" s="779" customFormat="1" ht="22.95" customHeight="1">
      <c r="A458" s="885">
        <v>442</v>
      </c>
      <c r="B458" s="886"/>
      <c r="C458" s="887" t="str">
        <f>'Tên thang 01-26'!E445</f>
        <v>អ៊ឹម អាន</v>
      </c>
      <c r="D458" s="887" t="str">
        <f>'Tên thang 01-26'!F445</f>
        <v>OEM AN</v>
      </c>
      <c r="E458" s="888">
        <v>430</v>
      </c>
      <c r="F458" s="889">
        <f>'SAN LUONG'!AP456*0.44</f>
        <v>396.44</v>
      </c>
      <c r="G458" s="889">
        <f t="shared" si="94"/>
        <v>5.65</v>
      </c>
      <c r="H458" s="889">
        <f>'SAN LUONG'!AO456*0.44</f>
        <v>297.44</v>
      </c>
      <c r="I458" s="889">
        <f t="shared" si="95"/>
        <v>4.7</v>
      </c>
      <c r="J458" s="889">
        <f>'SAN LUONG'!AV456*0.44</f>
        <v>0</v>
      </c>
      <c r="K458" s="889">
        <f t="shared" si="99"/>
        <v>0</v>
      </c>
      <c r="L458" s="889"/>
      <c r="M458" s="881">
        <f>'CHAM CONG'!BC453</f>
        <v>16</v>
      </c>
      <c r="N458" s="889">
        <f t="shared" si="100"/>
        <v>8.01</v>
      </c>
      <c r="O458" s="889">
        <f t="shared" si="101"/>
        <v>0.5</v>
      </c>
      <c r="P458" s="890">
        <f>'CHAM CONG'!BO453</f>
        <v>30</v>
      </c>
      <c r="Q458" s="942">
        <f t="shared" si="102"/>
        <v>2.82</v>
      </c>
      <c r="R458" s="942">
        <f>'SAN LUONG'!DW456</f>
        <v>12.2</v>
      </c>
      <c r="S458" s="942">
        <f t="shared" si="96"/>
        <v>0.38</v>
      </c>
      <c r="T458" s="943">
        <f>'CHAM CONG'!BW453</f>
        <v>0</v>
      </c>
      <c r="U458" s="942">
        <f t="shared" si="103"/>
        <v>0</v>
      </c>
      <c r="V458" s="890">
        <f>'CHAM CONG'!BD453</f>
        <v>3</v>
      </c>
      <c r="W458" s="944">
        <f t="shared" si="97"/>
        <v>1.6</v>
      </c>
      <c r="X458" s="891">
        <f>'CHAM CONG'!BT453</f>
        <v>1</v>
      </c>
      <c r="Y458" s="881">
        <f t="shared" si="104"/>
        <v>1.1000000000000001</v>
      </c>
      <c r="Z458" s="892">
        <v>6.03</v>
      </c>
      <c r="AA458" s="942">
        <f t="shared" si="115"/>
        <v>1.71</v>
      </c>
      <c r="AB458" s="892">
        <v>6.04</v>
      </c>
      <c r="AC458" s="942">
        <f t="shared" si="113"/>
        <v>7.25</v>
      </c>
      <c r="AD458" s="892">
        <v>6.03</v>
      </c>
      <c r="AE458" s="942">
        <f t="shared" si="114"/>
        <v>4.3</v>
      </c>
      <c r="AF458" s="943" t="e">
        <f>#N/A</f>
        <v>#N/A</v>
      </c>
      <c r="AG458" s="893">
        <f t="shared" si="98"/>
        <v>38.020000000000003</v>
      </c>
      <c r="AH458" s="894"/>
      <c r="AI458" s="895">
        <v>24.02</v>
      </c>
      <c r="AJ458" s="791">
        <v>21.070000000000004</v>
      </c>
      <c r="AK458" s="896">
        <f t="shared" si="107"/>
        <v>3</v>
      </c>
      <c r="AL458" s="896"/>
      <c r="AS458" s="898"/>
    </row>
    <row r="459" spans="1:45" s="779" customFormat="1" ht="22.95" customHeight="1">
      <c r="A459" s="885">
        <v>443</v>
      </c>
      <c r="B459" s="886"/>
      <c r="C459" s="887" t="str">
        <f>'Tên thang 01-26'!E446</f>
        <v>យី អាន់</v>
      </c>
      <c r="D459" s="887" t="str">
        <f>'Tên thang 01-26'!F446</f>
        <v>YI ANN</v>
      </c>
      <c r="E459" s="888">
        <v>431</v>
      </c>
      <c r="F459" s="889">
        <f>'SAN LUONG'!AP457*0.44</f>
        <v>437.36</v>
      </c>
      <c r="G459" s="889">
        <f t="shared" si="94"/>
        <v>6.23</v>
      </c>
      <c r="H459" s="889">
        <f>'SAN LUONG'!AO457*0.44</f>
        <v>339.68</v>
      </c>
      <c r="I459" s="889">
        <f t="shared" si="95"/>
        <v>5.37</v>
      </c>
      <c r="J459" s="889">
        <f>'SAN LUONG'!AV457*0.44</f>
        <v>0</v>
      </c>
      <c r="K459" s="889">
        <f t="shared" si="99"/>
        <v>0</v>
      </c>
      <c r="L459" s="889"/>
      <c r="M459" s="881">
        <f>'CHAM CONG'!BC454</f>
        <v>15</v>
      </c>
      <c r="N459" s="889">
        <f t="shared" si="100"/>
        <v>7.51</v>
      </c>
      <c r="O459" s="889">
        <f t="shared" si="101"/>
        <v>0.47</v>
      </c>
      <c r="P459" s="890">
        <f>'CHAM CONG'!BO454</f>
        <v>29</v>
      </c>
      <c r="Q459" s="942">
        <f t="shared" si="102"/>
        <v>2.72</v>
      </c>
      <c r="R459" s="942">
        <f>'SAN LUONG'!DW457</f>
        <v>22.3</v>
      </c>
      <c r="S459" s="942">
        <f t="shared" si="96"/>
        <v>0.7</v>
      </c>
      <c r="T459" s="943">
        <f>'CHAM CONG'!BW454</f>
        <v>0</v>
      </c>
      <c r="U459" s="942">
        <f t="shared" si="103"/>
        <v>0</v>
      </c>
      <c r="V459" s="890">
        <f>'CHAM CONG'!BD454</f>
        <v>4</v>
      </c>
      <c r="W459" s="944">
        <f t="shared" si="97"/>
        <v>2.13</v>
      </c>
      <c r="X459" s="891">
        <f>'CHAM CONG'!BT454</f>
        <v>1</v>
      </c>
      <c r="Y459" s="881">
        <f t="shared" si="104"/>
        <v>1.1000000000000001</v>
      </c>
      <c r="Z459" s="892">
        <v>6.03</v>
      </c>
      <c r="AA459" s="942">
        <f t="shared" si="115"/>
        <v>1.71</v>
      </c>
      <c r="AB459" s="892">
        <v>6.04</v>
      </c>
      <c r="AC459" s="942">
        <f t="shared" si="113"/>
        <v>7.25</v>
      </c>
      <c r="AD459" s="892">
        <v>6.03</v>
      </c>
      <c r="AE459" s="942">
        <f t="shared" si="114"/>
        <v>4.3</v>
      </c>
      <c r="AF459" s="943" t="e">
        <f>#N/A</f>
        <v>#N/A</v>
      </c>
      <c r="AG459" s="893">
        <f t="shared" si="98"/>
        <v>39.489999999999995</v>
      </c>
      <c r="AH459" s="894"/>
      <c r="AI459" s="895">
        <v>27.04</v>
      </c>
      <c r="AJ459" s="791">
        <v>24.1</v>
      </c>
      <c r="AK459" s="896">
        <f t="shared" si="107"/>
        <v>3</v>
      </c>
      <c r="AL459" s="896"/>
      <c r="AS459" s="898"/>
    </row>
    <row r="460" spans="1:45" s="779" customFormat="1" ht="22.95" customHeight="1">
      <c r="A460" s="885">
        <v>444</v>
      </c>
      <c r="B460" s="886"/>
      <c r="C460" s="887" t="str">
        <f>'Tên thang 01-26'!E447</f>
        <v>ជិន ជុំ</v>
      </c>
      <c r="D460" s="887" t="str">
        <f>'Tên thang 01-26'!F447</f>
        <v>CHIN CHUM</v>
      </c>
      <c r="E460" s="888">
        <v>432</v>
      </c>
      <c r="F460" s="889">
        <f>'SAN LUONG'!AP458*0.44</f>
        <v>500.72</v>
      </c>
      <c r="G460" s="889">
        <f t="shared" si="94"/>
        <v>7.13</v>
      </c>
      <c r="H460" s="889">
        <f>'SAN LUONG'!AO458*0.44</f>
        <v>333.96</v>
      </c>
      <c r="I460" s="889">
        <f t="shared" si="95"/>
        <v>5.28</v>
      </c>
      <c r="J460" s="889">
        <f>'SAN LUONG'!AV458*0.44</f>
        <v>0</v>
      </c>
      <c r="K460" s="889">
        <f t="shared" si="99"/>
        <v>0</v>
      </c>
      <c r="L460" s="889"/>
      <c r="M460" s="881">
        <f>'CHAM CONG'!BC455</f>
        <v>15</v>
      </c>
      <c r="N460" s="889">
        <f t="shared" si="100"/>
        <v>7.51</v>
      </c>
      <c r="O460" s="889">
        <f t="shared" si="101"/>
        <v>0.47</v>
      </c>
      <c r="P460" s="890">
        <f>'CHAM CONG'!BO455</f>
        <v>29</v>
      </c>
      <c r="Q460" s="942">
        <f t="shared" si="102"/>
        <v>2.72</v>
      </c>
      <c r="R460" s="942">
        <f>'SAN LUONG'!DW458</f>
        <v>13.3</v>
      </c>
      <c r="S460" s="942">
        <f t="shared" si="96"/>
        <v>0.42</v>
      </c>
      <c r="T460" s="943">
        <f>'CHAM CONG'!BW455</f>
        <v>20000</v>
      </c>
      <c r="U460" s="942">
        <f t="shared" si="103"/>
        <v>0.63</v>
      </c>
      <c r="V460" s="890">
        <f>'CHAM CONG'!BD455</f>
        <v>1</v>
      </c>
      <c r="W460" s="944">
        <f t="shared" si="97"/>
        <v>0.53</v>
      </c>
      <c r="X460" s="891">
        <f>'CHAM CONG'!BT455</f>
        <v>1</v>
      </c>
      <c r="Y460" s="881">
        <f t="shared" si="104"/>
        <v>1.1000000000000001</v>
      </c>
      <c r="Z460" s="892">
        <v>6.03</v>
      </c>
      <c r="AA460" s="942">
        <f t="shared" si="115"/>
        <v>1.71</v>
      </c>
      <c r="AB460" s="892">
        <v>6.04</v>
      </c>
      <c r="AC460" s="942">
        <f t="shared" si="113"/>
        <v>7.25</v>
      </c>
      <c r="AD460" s="892">
        <v>6.03</v>
      </c>
      <c r="AE460" s="942">
        <f t="shared" si="114"/>
        <v>4.3</v>
      </c>
      <c r="AF460" s="943" t="e">
        <f>#N/A</f>
        <v>#N/A</v>
      </c>
      <c r="AG460" s="893">
        <f t="shared" si="98"/>
        <v>39.050000000000004</v>
      </c>
      <c r="AH460" s="894"/>
      <c r="AI460" s="895">
        <v>27.4</v>
      </c>
      <c r="AJ460" s="791">
        <v>24.450000000000003</v>
      </c>
      <c r="AK460" s="896">
        <f t="shared" si="107"/>
        <v>3</v>
      </c>
      <c r="AL460" s="896"/>
      <c r="AS460" s="898"/>
    </row>
    <row r="461" spans="1:45" s="779" customFormat="1" ht="22.95" customHeight="1">
      <c r="A461" s="885">
        <v>445</v>
      </c>
      <c r="B461" s="886"/>
      <c r="C461" s="887" t="str">
        <f>'Tên thang 01-26'!E448</f>
        <v>ស៊ុំ សាលី</v>
      </c>
      <c r="D461" s="887" t="str">
        <f>'Tên thang 01-26'!F448</f>
        <v>SUM SALY</v>
      </c>
      <c r="E461" s="888">
        <v>433</v>
      </c>
      <c r="F461" s="889">
        <f>'SAN LUONG'!AP459*0.44</f>
        <v>502.48</v>
      </c>
      <c r="G461" s="889">
        <f t="shared" si="94"/>
        <v>7.16</v>
      </c>
      <c r="H461" s="889">
        <f>'SAN LUONG'!AO459*0.44</f>
        <v>422.84</v>
      </c>
      <c r="I461" s="889">
        <f t="shared" si="95"/>
        <v>6.68</v>
      </c>
      <c r="J461" s="889">
        <f>'SAN LUONG'!AV459*0.44</f>
        <v>0</v>
      </c>
      <c r="K461" s="889">
        <f t="shared" si="99"/>
        <v>0</v>
      </c>
      <c r="L461" s="889"/>
      <c r="M461" s="881">
        <f>'CHAM CONG'!BC456</f>
        <v>15</v>
      </c>
      <c r="N461" s="889">
        <f t="shared" si="100"/>
        <v>7.51</v>
      </c>
      <c r="O461" s="889">
        <f t="shared" si="101"/>
        <v>0.47</v>
      </c>
      <c r="P461" s="890">
        <f>'CHAM CONG'!BO456</f>
        <v>29</v>
      </c>
      <c r="Q461" s="942">
        <f t="shared" si="102"/>
        <v>2.72</v>
      </c>
      <c r="R461" s="942">
        <f>'SAN LUONG'!DW459</f>
        <v>13.6</v>
      </c>
      <c r="S461" s="942">
        <f t="shared" si="96"/>
        <v>0.43</v>
      </c>
      <c r="T461" s="943">
        <f>'CHAM CONG'!BW456</f>
        <v>0</v>
      </c>
      <c r="U461" s="942">
        <f t="shared" si="103"/>
        <v>0</v>
      </c>
      <c r="V461" s="890">
        <f>'CHAM CONG'!BD456</f>
        <v>0</v>
      </c>
      <c r="W461" s="944">
        <f t="shared" si="97"/>
        <v>0</v>
      </c>
      <c r="X461" s="891">
        <f>'CHAM CONG'!BT456</f>
        <v>1</v>
      </c>
      <c r="Y461" s="881">
        <f t="shared" si="104"/>
        <v>1.1000000000000001</v>
      </c>
      <c r="Z461" s="892">
        <v>6.03</v>
      </c>
      <c r="AA461" s="942">
        <f t="shared" si="115"/>
        <v>1.71</v>
      </c>
      <c r="AB461" s="892">
        <v>6.04</v>
      </c>
      <c r="AC461" s="942">
        <f t="shared" si="113"/>
        <v>7.25</v>
      </c>
      <c r="AD461" s="892">
        <v>6.03</v>
      </c>
      <c r="AE461" s="942">
        <f t="shared" si="114"/>
        <v>4.3</v>
      </c>
      <c r="AF461" s="943" t="e">
        <f>#N/A</f>
        <v>#N/A</v>
      </c>
      <c r="AG461" s="893">
        <f t="shared" si="98"/>
        <v>39.33</v>
      </c>
      <c r="AH461" s="894"/>
      <c r="AI461" s="895">
        <v>27.27</v>
      </c>
      <c r="AJ461" s="791">
        <v>24.330000000000005</v>
      </c>
      <c r="AK461" s="896">
        <f t="shared" si="107"/>
        <v>3</v>
      </c>
      <c r="AL461" s="896"/>
      <c r="AS461" s="898"/>
    </row>
    <row r="462" spans="1:45" s="779" customFormat="1" ht="22.95" customHeight="1">
      <c r="A462" s="885">
        <v>446</v>
      </c>
      <c r="B462" s="886"/>
      <c r="C462" s="887" t="str">
        <f>'Tên thang 01-26'!E449</f>
        <v>យី​ វណ្ណី</v>
      </c>
      <c r="D462" s="887" t="str">
        <f>'Tên thang 01-26'!F449</f>
        <v>YI VANNY</v>
      </c>
      <c r="E462" s="888">
        <v>434</v>
      </c>
      <c r="F462" s="889">
        <f>'SAN LUONG'!AP460*0.44</f>
        <v>421.52</v>
      </c>
      <c r="G462" s="889">
        <f t="shared" si="94"/>
        <v>6</v>
      </c>
      <c r="H462" s="889">
        <f>'SAN LUONG'!AO460*0.44</f>
        <v>262.24</v>
      </c>
      <c r="I462" s="889">
        <f t="shared" si="95"/>
        <v>4.1500000000000004</v>
      </c>
      <c r="J462" s="889">
        <f>'SAN LUONG'!AV460*0.44</f>
        <v>0</v>
      </c>
      <c r="K462" s="889">
        <f t="shared" si="99"/>
        <v>0</v>
      </c>
      <c r="L462" s="889"/>
      <c r="M462" s="881">
        <f>'CHAM CONG'!BC457</f>
        <v>15</v>
      </c>
      <c r="N462" s="889">
        <f t="shared" si="100"/>
        <v>7.51</v>
      </c>
      <c r="O462" s="889">
        <f t="shared" si="101"/>
        <v>0.47</v>
      </c>
      <c r="P462" s="890">
        <f>'CHAM CONG'!BO457</f>
        <v>27</v>
      </c>
      <c r="Q462" s="942">
        <f t="shared" si="102"/>
        <v>2.54</v>
      </c>
      <c r="R462" s="942">
        <f>'SAN LUONG'!DW460</f>
        <v>10.1</v>
      </c>
      <c r="S462" s="942">
        <f t="shared" si="96"/>
        <v>0.32</v>
      </c>
      <c r="T462" s="943">
        <f>'CHAM CONG'!BW457</f>
        <v>0</v>
      </c>
      <c r="U462" s="942">
        <f t="shared" si="103"/>
        <v>0</v>
      </c>
      <c r="V462" s="890">
        <f>'CHAM CONG'!BD457</f>
        <v>3</v>
      </c>
      <c r="W462" s="944">
        <f t="shared" si="97"/>
        <v>1.6</v>
      </c>
      <c r="X462" s="891">
        <f>'CHAM CONG'!BT457</f>
        <v>1</v>
      </c>
      <c r="Y462" s="881">
        <f t="shared" si="104"/>
        <v>1.1000000000000001</v>
      </c>
      <c r="Z462" s="892">
        <v>6.03</v>
      </c>
      <c r="AA462" s="942">
        <f t="shared" si="115"/>
        <v>1.71</v>
      </c>
      <c r="AB462" s="892">
        <v>6.04</v>
      </c>
      <c r="AC462" s="942">
        <f t="shared" si="113"/>
        <v>7.25</v>
      </c>
      <c r="AD462" s="892">
        <v>6.03</v>
      </c>
      <c r="AE462" s="942">
        <f t="shared" si="114"/>
        <v>4.3</v>
      </c>
      <c r="AF462" s="943" t="e">
        <f>#N/A</f>
        <v>#N/A</v>
      </c>
      <c r="AG462" s="893">
        <f t="shared" si="98"/>
        <v>36.950000000000003</v>
      </c>
      <c r="AH462" s="894"/>
      <c r="AI462" s="895">
        <v>23.3</v>
      </c>
      <c r="AJ462" s="791">
        <v>20.360000000000003</v>
      </c>
      <c r="AK462" s="896">
        <f t="shared" si="107"/>
        <v>3</v>
      </c>
      <c r="AL462" s="896"/>
      <c r="AS462" s="898"/>
    </row>
    <row r="463" spans="1:45" s="779" customFormat="1" ht="22.95" customHeight="1">
      <c r="A463" s="885">
        <v>447</v>
      </c>
      <c r="B463" s="886"/>
      <c r="C463" s="887" t="str">
        <f>'Tên thang 01-26'!E450</f>
        <v>ស្រី ឈួង</v>
      </c>
      <c r="D463" s="887" t="str">
        <f>'Tên thang 01-26'!F450</f>
        <v>SREY CHHUONG</v>
      </c>
      <c r="E463" s="888">
        <v>435</v>
      </c>
      <c r="F463" s="889">
        <f>'SAN LUONG'!AP461*0.44</f>
        <v>546.04</v>
      </c>
      <c r="G463" s="889">
        <f t="shared" si="94"/>
        <v>7.78</v>
      </c>
      <c r="H463" s="889">
        <f>'SAN LUONG'!AO461*0.44</f>
        <v>209.88</v>
      </c>
      <c r="I463" s="889">
        <f t="shared" si="95"/>
        <v>3.32</v>
      </c>
      <c r="J463" s="889">
        <f>'SAN LUONG'!AV461*0.44</f>
        <v>0</v>
      </c>
      <c r="K463" s="889">
        <f t="shared" si="99"/>
        <v>0</v>
      </c>
      <c r="L463" s="889"/>
      <c r="M463" s="881">
        <f>'CHAM CONG'!BC458</f>
        <v>16</v>
      </c>
      <c r="N463" s="889">
        <f t="shared" si="100"/>
        <v>8.01</v>
      </c>
      <c r="O463" s="889">
        <f t="shared" si="101"/>
        <v>0.5</v>
      </c>
      <c r="P463" s="890">
        <f>'CHAM CONG'!BO458</f>
        <v>28</v>
      </c>
      <c r="Q463" s="942">
        <f t="shared" si="102"/>
        <v>2.63</v>
      </c>
      <c r="R463" s="942">
        <f>'SAN LUONG'!DW461</f>
        <v>12.3</v>
      </c>
      <c r="S463" s="942">
        <f t="shared" si="96"/>
        <v>0.39</v>
      </c>
      <c r="T463" s="943">
        <f>'CHAM CONG'!BW458</f>
        <v>0</v>
      </c>
      <c r="U463" s="942">
        <f t="shared" si="103"/>
        <v>0</v>
      </c>
      <c r="V463" s="890">
        <f>'CHAM CONG'!BD458</f>
        <v>3</v>
      </c>
      <c r="W463" s="944">
        <f t="shared" si="97"/>
        <v>1.6</v>
      </c>
      <c r="X463" s="891">
        <f>'CHAM CONG'!BT458</f>
        <v>1</v>
      </c>
      <c r="Y463" s="881">
        <f t="shared" si="104"/>
        <v>1.1000000000000001</v>
      </c>
      <c r="Z463" s="892">
        <v>6.03</v>
      </c>
      <c r="AA463" s="942">
        <f t="shared" si="115"/>
        <v>1.71</v>
      </c>
      <c r="AB463" s="892">
        <v>6.04</v>
      </c>
      <c r="AC463" s="942">
        <f t="shared" si="113"/>
        <v>7.25</v>
      </c>
      <c r="AD463" s="892">
        <v>6.03</v>
      </c>
      <c r="AE463" s="942">
        <f t="shared" si="114"/>
        <v>4.3</v>
      </c>
      <c r="AF463" s="943" t="e">
        <f>#N/A</f>
        <v>#N/A</v>
      </c>
      <c r="AG463" s="893">
        <f t="shared" si="98"/>
        <v>38.589999999999996</v>
      </c>
      <c r="AH463" s="894"/>
      <c r="AI463" s="895">
        <v>22.17</v>
      </c>
      <c r="AJ463" s="791">
        <v>19.220000000000002</v>
      </c>
      <c r="AK463" s="896">
        <f t="shared" si="107"/>
        <v>3</v>
      </c>
      <c r="AL463" s="896"/>
      <c r="AS463" s="898"/>
    </row>
    <row r="464" spans="1:45" s="779" customFormat="1" ht="22.95" customHeight="1">
      <c r="A464" s="885">
        <v>448</v>
      </c>
      <c r="B464" s="886"/>
      <c r="C464" s="887" t="str">
        <f>'Tên thang 01-26'!E451</f>
        <v>សឿន សាន</v>
      </c>
      <c r="D464" s="887" t="str">
        <f>'Tên thang 01-26'!F451</f>
        <v>SOEUN SAN</v>
      </c>
      <c r="E464" s="888">
        <v>436</v>
      </c>
      <c r="F464" s="889">
        <f>'SAN LUONG'!AP462*0.44</f>
        <v>411.4</v>
      </c>
      <c r="G464" s="889">
        <f t="shared" si="94"/>
        <v>5.86</v>
      </c>
      <c r="H464" s="889">
        <f>'SAN LUONG'!AO462*0.44</f>
        <v>331.32</v>
      </c>
      <c r="I464" s="889">
        <f t="shared" si="95"/>
        <v>5.24</v>
      </c>
      <c r="J464" s="889">
        <f>'SAN LUONG'!AV462*0.44</f>
        <v>0</v>
      </c>
      <c r="K464" s="889">
        <f t="shared" si="99"/>
        <v>0</v>
      </c>
      <c r="L464" s="889"/>
      <c r="M464" s="881">
        <f>'CHAM CONG'!BC459</f>
        <v>16</v>
      </c>
      <c r="N464" s="889">
        <f t="shared" si="100"/>
        <v>8.01</v>
      </c>
      <c r="O464" s="889">
        <f t="shared" si="101"/>
        <v>0.5</v>
      </c>
      <c r="P464" s="890">
        <f>'CHAM CONG'!BO459</f>
        <v>28</v>
      </c>
      <c r="Q464" s="942">
        <f t="shared" si="102"/>
        <v>2.63</v>
      </c>
      <c r="R464" s="942">
        <f>'SAN LUONG'!DW462</f>
        <v>10.9</v>
      </c>
      <c r="S464" s="942">
        <f t="shared" si="96"/>
        <v>0.34</v>
      </c>
      <c r="T464" s="943">
        <f>'CHAM CONG'!BW459</f>
        <v>0</v>
      </c>
      <c r="U464" s="942">
        <f t="shared" si="103"/>
        <v>0</v>
      </c>
      <c r="V464" s="890">
        <f>'CHAM CONG'!BD459</f>
        <v>1</v>
      </c>
      <c r="W464" s="944">
        <f t="shared" si="97"/>
        <v>0.53</v>
      </c>
      <c r="X464" s="891">
        <f>'CHAM CONG'!BT459</f>
        <v>1</v>
      </c>
      <c r="Y464" s="881">
        <f t="shared" si="104"/>
        <v>1.1000000000000001</v>
      </c>
      <c r="Z464" s="892">
        <v>6.03</v>
      </c>
      <c r="AA464" s="942">
        <f t="shared" si="115"/>
        <v>1.71</v>
      </c>
      <c r="AB464" s="892">
        <v>6.04</v>
      </c>
      <c r="AC464" s="942">
        <f t="shared" si="113"/>
        <v>7.25</v>
      </c>
      <c r="AD464" s="892">
        <v>6.03</v>
      </c>
      <c r="AE464" s="942">
        <f t="shared" si="114"/>
        <v>4.3</v>
      </c>
      <c r="AF464" s="943" t="e">
        <f>#N/A</f>
        <v>#N/A</v>
      </c>
      <c r="AG464" s="893">
        <f t="shared" si="98"/>
        <v>37.47</v>
      </c>
      <c r="AH464" s="894"/>
      <c r="AI464" s="895">
        <v>23.98</v>
      </c>
      <c r="AJ464" s="791">
        <v>21.650000000000002</v>
      </c>
      <c r="AK464" s="896">
        <f t="shared" si="107"/>
        <v>2</v>
      </c>
      <c r="AL464" s="896"/>
      <c r="AS464" s="898"/>
    </row>
    <row r="465" spans="1:45" s="779" customFormat="1" ht="22.95" customHeight="1">
      <c r="A465" s="885">
        <v>449</v>
      </c>
      <c r="B465" s="886"/>
      <c r="C465" s="887" t="str">
        <f>'Tên thang 01-26'!E452</f>
        <v>យួត លៀ</v>
      </c>
      <c r="D465" s="887" t="str">
        <f>'Tên thang 01-26'!F452</f>
        <v>YOUT LEA</v>
      </c>
      <c r="E465" s="888">
        <v>437</v>
      </c>
      <c r="F465" s="889">
        <f>'SAN LUONG'!AP463*0.44</f>
        <v>436.92</v>
      </c>
      <c r="G465" s="889">
        <f t="shared" ref="G465:G499" si="116">ROUND((F465*$G$15)/31947,2)</f>
        <v>6.22</v>
      </c>
      <c r="H465" s="889">
        <f>'SAN LUONG'!AO463*0.44</f>
        <v>300.08</v>
      </c>
      <c r="I465" s="889">
        <f t="shared" ref="I465:I499" si="117">ROUND((H465*$I$15)/31947,2)</f>
        <v>4.74</v>
      </c>
      <c r="J465" s="889">
        <f>'SAN LUONG'!AV463*0.44</f>
        <v>0</v>
      </c>
      <c r="K465" s="889">
        <f t="shared" si="99"/>
        <v>0</v>
      </c>
      <c r="L465" s="889"/>
      <c r="M465" s="881">
        <f>'CHAM CONG'!BC460</f>
        <v>16</v>
      </c>
      <c r="N465" s="889">
        <f t="shared" si="100"/>
        <v>8.01</v>
      </c>
      <c r="O465" s="889">
        <f t="shared" si="101"/>
        <v>0.5</v>
      </c>
      <c r="P465" s="890">
        <f>'CHAM CONG'!BO460</f>
        <v>29</v>
      </c>
      <c r="Q465" s="942">
        <f t="shared" si="102"/>
        <v>2.72</v>
      </c>
      <c r="R465" s="942">
        <f>'SAN LUONG'!DW463</f>
        <v>11</v>
      </c>
      <c r="S465" s="942">
        <f t="shared" ref="S465:S500" si="118">ROUND(R465*1000/31947,2)</f>
        <v>0.34</v>
      </c>
      <c r="T465" s="943">
        <f>'CHAM CONG'!BW460</f>
        <v>-20000</v>
      </c>
      <c r="U465" s="942">
        <f t="shared" si="103"/>
        <v>-0.63</v>
      </c>
      <c r="V465" s="890">
        <f>'CHAM CONG'!BD460</f>
        <v>1</v>
      </c>
      <c r="W465" s="944">
        <f t="shared" ref="W465:W500" si="119">ROUND(V465*$V$15,2)</f>
        <v>0.53</v>
      </c>
      <c r="X465" s="891">
        <f>'CHAM CONG'!BT460</f>
        <v>1</v>
      </c>
      <c r="Y465" s="881">
        <f t="shared" si="104"/>
        <v>1.1000000000000001</v>
      </c>
      <c r="Z465" s="892">
        <v>6.03</v>
      </c>
      <c r="AA465" s="942">
        <f t="shared" si="115"/>
        <v>1.71</v>
      </c>
      <c r="AB465" s="892">
        <v>6.04</v>
      </c>
      <c r="AC465" s="942">
        <f t="shared" si="113"/>
        <v>7.25</v>
      </c>
      <c r="AD465" s="892">
        <v>6.03</v>
      </c>
      <c r="AE465" s="942">
        <f t="shared" si="114"/>
        <v>4.3</v>
      </c>
      <c r="AF465" s="943" t="e">
        <f>#N/A</f>
        <v>#N/A</v>
      </c>
      <c r="AG465" s="893">
        <f t="shared" ref="AG465:AG500" si="120">G465+I465+K465+N465+Q465+S465+U465+W465+Y465+AC465+AE465+O465+AA465</f>
        <v>36.79</v>
      </c>
      <c r="AH465" s="894"/>
      <c r="AI465" s="895">
        <v>23.45</v>
      </c>
      <c r="AJ465" s="791">
        <v>21.130000000000003</v>
      </c>
      <c r="AK465" s="896">
        <f t="shared" si="107"/>
        <v>2</v>
      </c>
      <c r="AL465" s="896"/>
      <c r="AS465" s="898"/>
    </row>
    <row r="466" spans="1:45" s="779" customFormat="1" ht="22.95" customHeight="1">
      <c r="A466" s="885">
        <v>450</v>
      </c>
      <c r="B466" s="886"/>
      <c r="C466" s="887" t="str">
        <f>'Tên thang 01-26'!E453</f>
        <v>ទី វេន</v>
      </c>
      <c r="D466" s="887" t="str">
        <f>'Tên thang 01-26'!F453</f>
        <v>TY VEN</v>
      </c>
      <c r="E466" s="888">
        <v>438</v>
      </c>
      <c r="F466" s="889">
        <f>'SAN LUONG'!AP464*0.44</f>
        <v>438.24</v>
      </c>
      <c r="G466" s="889">
        <f t="shared" si="116"/>
        <v>6.24</v>
      </c>
      <c r="H466" s="889">
        <f>'SAN LUONG'!AO464*0.44</f>
        <v>331.76</v>
      </c>
      <c r="I466" s="889">
        <f t="shared" si="117"/>
        <v>5.24</v>
      </c>
      <c r="J466" s="889">
        <f>'SAN LUONG'!AV464*0.44</f>
        <v>0</v>
      </c>
      <c r="K466" s="889">
        <f t="shared" ref="K466:K500" si="121">ROUND((J466*$K$15)/31947,2)</f>
        <v>0</v>
      </c>
      <c r="L466" s="889"/>
      <c r="M466" s="881">
        <f>'CHAM CONG'!BC461</f>
        <v>15</v>
      </c>
      <c r="N466" s="889">
        <f t="shared" ref="N466:N500" si="122">ROUND(M466*16000/31947,2)</f>
        <v>7.51</v>
      </c>
      <c r="O466" s="889">
        <f t="shared" ref="O466:O500" si="123">ROUND(M466*1000/31947,2)</f>
        <v>0.47</v>
      </c>
      <c r="P466" s="890">
        <f>'CHAM CONG'!BO461</f>
        <v>28</v>
      </c>
      <c r="Q466" s="942">
        <f t="shared" ref="Q466:Q500" si="124">ROUND(P466*0.0939,2)</f>
        <v>2.63</v>
      </c>
      <c r="R466" s="942">
        <f>'SAN LUONG'!DW464</f>
        <v>19.899999999999999</v>
      </c>
      <c r="S466" s="942">
        <f t="shared" si="118"/>
        <v>0.62</v>
      </c>
      <c r="T466" s="943">
        <f>'CHAM CONG'!BW461</f>
        <v>20000</v>
      </c>
      <c r="U466" s="942">
        <f t="shared" ref="U466:U500" si="125">ROUND(T466/31947,2)</f>
        <v>0.63</v>
      </c>
      <c r="V466" s="890">
        <f>'CHAM CONG'!BD461</f>
        <v>3</v>
      </c>
      <c r="W466" s="944">
        <f t="shared" si="119"/>
        <v>1.6</v>
      </c>
      <c r="X466" s="891">
        <f>'CHAM CONG'!BT461</f>
        <v>1</v>
      </c>
      <c r="Y466" s="881">
        <f t="shared" ref="Y466:Y480" si="126">ROUND(X466*1.0956,1)</f>
        <v>1.1000000000000001</v>
      </c>
      <c r="Z466" s="892">
        <v>6.03</v>
      </c>
      <c r="AA466" s="942">
        <f t="shared" si="115"/>
        <v>1.71</v>
      </c>
      <c r="AB466" s="892">
        <v>6.04</v>
      </c>
      <c r="AC466" s="942">
        <f t="shared" si="113"/>
        <v>7.25</v>
      </c>
      <c r="AD466" s="892">
        <v>6.03</v>
      </c>
      <c r="AE466" s="942">
        <f t="shared" si="114"/>
        <v>4.3</v>
      </c>
      <c r="AF466" s="943" t="e">
        <f>#N/A</f>
        <v>#N/A</v>
      </c>
      <c r="AG466" s="893">
        <f t="shared" si="120"/>
        <v>39.300000000000004</v>
      </c>
      <c r="AH466" s="894"/>
      <c r="AI466" s="895">
        <v>25.88</v>
      </c>
      <c r="AJ466" s="791">
        <v>22.930000000000003</v>
      </c>
      <c r="AK466" s="896">
        <f t="shared" ref="AK466:AK500" si="127">ROUND(AI466-AJ466,0)</f>
        <v>3</v>
      </c>
      <c r="AL466" s="896"/>
      <c r="AS466" s="898"/>
    </row>
    <row r="467" spans="1:45" s="779" customFormat="1" ht="22.95" customHeight="1">
      <c r="A467" s="885">
        <v>451</v>
      </c>
      <c r="B467" s="886"/>
      <c r="C467" s="887" t="str">
        <f>'Tên thang 01-26'!E454</f>
        <v>យៀង សុលី</v>
      </c>
      <c r="D467" s="887" t="str">
        <f>'Tên thang 01-26'!F454</f>
        <v>YEANG SOLY</v>
      </c>
      <c r="E467" s="888">
        <v>439</v>
      </c>
      <c r="F467" s="889">
        <f>'SAN LUONG'!AP465*0.44</f>
        <v>317.68</v>
      </c>
      <c r="G467" s="889">
        <f t="shared" si="116"/>
        <v>4.5199999999999996</v>
      </c>
      <c r="H467" s="889">
        <f>'SAN LUONG'!AO465*0.44</f>
        <v>199.76</v>
      </c>
      <c r="I467" s="889">
        <f t="shared" si="117"/>
        <v>3.16</v>
      </c>
      <c r="J467" s="889">
        <f>'SAN LUONG'!AV465*0.44</f>
        <v>0</v>
      </c>
      <c r="K467" s="889">
        <f t="shared" si="121"/>
        <v>0</v>
      </c>
      <c r="L467" s="889"/>
      <c r="M467" s="881">
        <f>'CHAM CONG'!BC462</f>
        <v>14</v>
      </c>
      <c r="N467" s="889">
        <f t="shared" si="122"/>
        <v>7.01</v>
      </c>
      <c r="O467" s="889">
        <f t="shared" si="123"/>
        <v>0.44</v>
      </c>
      <c r="P467" s="890">
        <f>'CHAM CONG'!BO462</f>
        <v>27</v>
      </c>
      <c r="Q467" s="942">
        <f t="shared" si="124"/>
        <v>2.54</v>
      </c>
      <c r="R467" s="942">
        <f>'SAN LUONG'!DW465</f>
        <v>8</v>
      </c>
      <c r="S467" s="942">
        <f t="shared" si="118"/>
        <v>0.25</v>
      </c>
      <c r="T467" s="943">
        <f>'CHAM CONG'!BW462</f>
        <v>0</v>
      </c>
      <c r="U467" s="942">
        <f t="shared" si="125"/>
        <v>0</v>
      </c>
      <c r="V467" s="890">
        <f>'CHAM CONG'!BD462</f>
        <v>1</v>
      </c>
      <c r="W467" s="944">
        <f t="shared" si="119"/>
        <v>0.53</v>
      </c>
      <c r="X467" s="891">
        <f>'CHAM CONG'!BT462</f>
        <v>1</v>
      </c>
      <c r="Y467" s="881">
        <f t="shared" si="126"/>
        <v>1.1000000000000001</v>
      </c>
      <c r="Z467" s="892">
        <v>6.03</v>
      </c>
      <c r="AA467" s="942">
        <f t="shared" si="115"/>
        <v>1.71</v>
      </c>
      <c r="AB467" s="892">
        <v>6.04</v>
      </c>
      <c r="AC467" s="942">
        <f t="shared" si="113"/>
        <v>7.25</v>
      </c>
      <c r="AD467" s="892">
        <v>6.03</v>
      </c>
      <c r="AE467" s="942">
        <f t="shared" si="114"/>
        <v>4.3</v>
      </c>
      <c r="AF467" s="943" t="e">
        <f>#N/A</f>
        <v>#N/A</v>
      </c>
      <c r="AG467" s="893">
        <f t="shared" si="120"/>
        <v>32.81</v>
      </c>
      <c r="AH467" s="894"/>
      <c r="AI467" s="895">
        <v>25.03</v>
      </c>
      <c r="AJ467" s="791">
        <v>22.080000000000002</v>
      </c>
      <c r="AK467" s="896">
        <f t="shared" si="127"/>
        <v>3</v>
      </c>
      <c r="AL467" s="896"/>
      <c r="AS467" s="898"/>
    </row>
    <row r="468" spans="1:45" s="779" customFormat="1" ht="22.95" customHeight="1">
      <c r="A468" s="885">
        <v>452</v>
      </c>
      <c r="B468" s="886"/>
      <c r="C468" s="887" t="str">
        <f>'Tên thang 01-26'!E455</f>
        <v>អ៊ឹម អ៊ីន</v>
      </c>
      <c r="D468" s="887" t="str">
        <f>'Tên thang 01-26'!F455</f>
        <v>OEM IN</v>
      </c>
      <c r="E468" s="888">
        <v>440</v>
      </c>
      <c r="F468" s="889">
        <f>'SAN LUONG'!AP466*0.44</f>
        <v>341.44</v>
      </c>
      <c r="G468" s="889">
        <f t="shared" si="116"/>
        <v>4.8600000000000003</v>
      </c>
      <c r="H468" s="889">
        <f>'SAN LUONG'!AO466*0.44</f>
        <v>210.32</v>
      </c>
      <c r="I468" s="889">
        <f t="shared" si="117"/>
        <v>3.32</v>
      </c>
      <c r="J468" s="889">
        <f>'SAN LUONG'!AV466*0.44</f>
        <v>0</v>
      </c>
      <c r="K468" s="889">
        <f t="shared" si="121"/>
        <v>0</v>
      </c>
      <c r="L468" s="889"/>
      <c r="M468" s="881">
        <f>'CHAM CONG'!BC463</f>
        <v>15</v>
      </c>
      <c r="N468" s="889">
        <f t="shared" si="122"/>
        <v>7.51</v>
      </c>
      <c r="O468" s="889">
        <f t="shared" si="123"/>
        <v>0.47</v>
      </c>
      <c r="P468" s="890">
        <f>'CHAM CONG'!BO463</f>
        <v>28</v>
      </c>
      <c r="Q468" s="942">
        <f t="shared" si="124"/>
        <v>2.63</v>
      </c>
      <c r="R468" s="942">
        <f>'SAN LUONG'!DW466</f>
        <v>16.3</v>
      </c>
      <c r="S468" s="942">
        <f t="shared" si="118"/>
        <v>0.51</v>
      </c>
      <c r="T468" s="943">
        <f>'CHAM CONG'!BW463</f>
        <v>0</v>
      </c>
      <c r="U468" s="942">
        <f t="shared" si="125"/>
        <v>0</v>
      </c>
      <c r="V468" s="890">
        <f>'CHAM CONG'!BD463</f>
        <v>1</v>
      </c>
      <c r="W468" s="944">
        <f t="shared" si="119"/>
        <v>0.53</v>
      </c>
      <c r="X468" s="891">
        <f>'CHAM CONG'!BT463</f>
        <v>1</v>
      </c>
      <c r="Y468" s="881">
        <f t="shared" si="126"/>
        <v>1.1000000000000001</v>
      </c>
      <c r="Z468" s="892">
        <v>6.03</v>
      </c>
      <c r="AA468" s="942">
        <f t="shared" si="115"/>
        <v>1.71</v>
      </c>
      <c r="AB468" s="892">
        <v>6.04</v>
      </c>
      <c r="AC468" s="942">
        <f t="shared" si="113"/>
        <v>7.25</v>
      </c>
      <c r="AD468" s="892">
        <v>6.03</v>
      </c>
      <c r="AE468" s="942">
        <f t="shared" si="114"/>
        <v>4.3</v>
      </c>
      <c r="AF468" s="943" t="e">
        <f>#N/A</f>
        <v>#N/A</v>
      </c>
      <c r="AG468" s="893">
        <f t="shared" si="120"/>
        <v>34.190000000000005</v>
      </c>
      <c r="AH468" s="894"/>
      <c r="AI468" s="895">
        <v>23.6</v>
      </c>
      <c r="AJ468" s="791">
        <v>20.680000000000003</v>
      </c>
      <c r="AK468" s="896">
        <f t="shared" si="127"/>
        <v>3</v>
      </c>
      <c r="AL468" s="896"/>
      <c r="AS468" s="898"/>
    </row>
    <row r="469" spans="1:45" s="779" customFormat="1" ht="22.95" customHeight="1">
      <c r="A469" s="885">
        <v>453</v>
      </c>
      <c r="B469" s="886"/>
      <c r="C469" s="887" t="str">
        <f>'Tên thang 01-26'!E456</f>
        <v>លាង សុឃា</v>
      </c>
      <c r="D469" s="887" t="str">
        <f>'Tên thang 01-26'!F456</f>
        <v>LEANG SOKHEA</v>
      </c>
      <c r="E469" s="888">
        <v>441</v>
      </c>
      <c r="F469" s="889">
        <f>'SAN LUONG'!AP467*0.44</f>
        <v>491.04</v>
      </c>
      <c r="G469" s="889">
        <f t="shared" si="116"/>
        <v>6.99</v>
      </c>
      <c r="H469" s="889">
        <f>'SAN LUONG'!AO467*0.44</f>
        <v>322.08</v>
      </c>
      <c r="I469" s="889">
        <f t="shared" si="117"/>
        <v>5.09</v>
      </c>
      <c r="J469" s="889">
        <f>'SAN LUONG'!AV467*0.44</f>
        <v>0</v>
      </c>
      <c r="K469" s="889">
        <f t="shared" si="121"/>
        <v>0</v>
      </c>
      <c r="L469" s="889"/>
      <c r="M469" s="881">
        <f>'CHAM CONG'!BC464</f>
        <v>15</v>
      </c>
      <c r="N469" s="889">
        <f t="shared" si="122"/>
        <v>7.51</v>
      </c>
      <c r="O469" s="889">
        <f t="shared" si="123"/>
        <v>0.47</v>
      </c>
      <c r="P469" s="890">
        <f>'CHAM CONG'!BO464</f>
        <v>28</v>
      </c>
      <c r="Q469" s="942">
        <f t="shared" si="124"/>
        <v>2.63</v>
      </c>
      <c r="R469" s="942">
        <f>'SAN LUONG'!DW467</f>
        <v>11</v>
      </c>
      <c r="S469" s="942">
        <f t="shared" si="118"/>
        <v>0.34</v>
      </c>
      <c r="T469" s="943">
        <f>'CHAM CONG'!BW464</f>
        <v>0</v>
      </c>
      <c r="U469" s="942">
        <f t="shared" si="125"/>
        <v>0</v>
      </c>
      <c r="V469" s="890">
        <f>'CHAM CONG'!BD464</f>
        <v>1</v>
      </c>
      <c r="W469" s="944">
        <f t="shared" si="119"/>
        <v>0.53</v>
      </c>
      <c r="X469" s="891">
        <f>'CHAM CONG'!BT464</f>
        <v>1</v>
      </c>
      <c r="Y469" s="881">
        <f t="shared" si="126"/>
        <v>1.1000000000000001</v>
      </c>
      <c r="Z469" s="892">
        <v>6.03</v>
      </c>
      <c r="AA469" s="942">
        <f t="shared" si="115"/>
        <v>1.71</v>
      </c>
      <c r="AB469" s="892">
        <v>6.04</v>
      </c>
      <c r="AC469" s="942">
        <f t="shared" si="113"/>
        <v>7.25</v>
      </c>
      <c r="AD469" s="892">
        <v>6.03</v>
      </c>
      <c r="AE469" s="942">
        <f t="shared" si="114"/>
        <v>4.3</v>
      </c>
      <c r="AF469" s="943" t="e">
        <f>#N/A</f>
        <v>#N/A</v>
      </c>
      <c r="AG469" s="893">
        <f t="shared" si="120"/>
        <v>37.92</v>
      </c>
      <c r="AH469" s="894"/>
      <c r="AI469" s="895">
        <v>26.94</v>
      </c>
      <c r="AJ469" s="791">
        <v>23.990000000000002</v>
      </c>
      <c r="AK469" s="896">
        <f t="shared" si="127"/>
        <v>3</v>
      </c>
      <c r="AL469" s="896"/>
      <c r="AS469" s="898"/>
    </row>
    <row r="470" spans="1:45" s="779" customFormat="1" ht="22.95" customHeight="1">
      <c r="A470" s="885">
        <v>454</v>
      </c>
      <c r="B470" s="886"/>
      <c r="C470" s="887" t="str">
        <f>'Tên thang 01-26'!E457</f>
        <v>មឿន ភាព</v>
      </c>
      <c r="D470" s="887" t="str">
        <f>'Tên thang 01-26'!F457</f>
        <v>MOEUN PHEP</v>
      </c>
      <c r="E470" s="888">
        <v>442</v>
      </c>
      <c r="F470" s="889">
        <f>'SAN LUONG'!AP468*0.44</f>
        <v>492.36</v>
      </c>
      <c r="G470" s="889">
        <f t="shared" si="116"/>
        <v>7.01</v>
      </c>
      <c r="H470" s="889">
        <f>'SAN LUONG'!AO468*0.44</f>
        <v>336.16</v>
      </c>
      <c r="I470" s="889">
        <f t="shared" si="117"/>
        <v>5.31</v>
      </c>
      <c r="J470" s="889">
        <f>'SAN LUONG'!AV468*0.44</f>
        <v>0</v>
      </c>
      <c r="K470" s="889">
        <f t="shared" si="121"/>
        <v>0</v>
      </c>
      <c r="L470" s="889"/>
      <c r="M470" s="881">
        <f>'CHAM CONG'!BC465</f>
        <v>15</v>
      </c>
      <c r="N470" s="889">
        <f t="shared" si="122"/>
        <v>7.51</v>
      </c>
      <c r="O470" s="889">
        <f t="shared" si="123"/>
        <v>0.47</v>
      </c>
      <c r="P470" s="890">
        <f>'CHAM CONG'!BO465</f>
        <v>28</v>
      </c>
      <c r="Q470" s="942">
        <f t="shared" si="124"/>
        <v>2.63</v>
      </c>
      <c r="R470" s="942">
        <f>'SAN LUONG'!DW468</f>
        <v>11</v>
      </c>
      <c r="S470" s="942">
        <f t="shared" si="118"/>
        <v>0.34</v>
      </c>
      <c r="T470" s="943">
        <f>'CHAM CONG'!BW465</f>
        <v>0</v>
      </c>
      <c r="U470" s="942">
        <f t="shared" si="125"/>
        <v>0</v>
      </c>
      <c r="V470" s="890">
        <f>'CHAM CONG'!BD465</f>
        <v>1</v>
      </c>
      <c r="W470" s="944">
        <f t="shared" si="119"/>
        <v>0.53</v>
      </c>
      <c r="X470" s="891">
        <f>'CHAM CONG'!BT465</f>
        <v>1</v>
      </c>
      <c r="Y470" s="881">
        <f t="shared" si="126"/>
        <v>1.1000000000000001</v>
      </c>
      <c r="Z470" s="892">
        <v>6.03</v>
      </c>
      <c r="AA470" s="942">
        <f t="shared" si="115"/>
        <v>1.71</v>
      </c>
      <c r="AB470" s="892">
        <v>6.04</v>
      </c>
      <c r="AC470" s="942">
        <f t="shared" si="113"/>
        <v>7.25</v>
      </c>
      <c r="AD470" s="892">
        <v>6.03</v>
      </c>
      <c r="AE470" s="942">
        <f t="shared" si="114"/>
        <v>4.3</v>
      </c>
      <c r="AF470" s="943" t="e">
        <f>#N/A</f>
        <v>#N/A</v>
      </c>
      <c r="AG470" s="893">
        <f t="shared" si="120"/>
        <v>38.159999999999997</v>
      </c>
      <c r="AH470" s="894"/>
      <c r="AI470" s="895">
        <v>26.82</v>
      </c>
      <c r="AJ470" s="791">
        <v>23.240000000000002</v>
      </c>
      <c r="AK470" s="896">
        <f t="shared" si="127"/>
        <v>4</v>
      </c>
      <c r="AL470" s="896"/>
      <c r="AS470" s="898"/>
    </row>
    <row r="471" spans="1:45" s="779" customFormat="1" ht="22.95" customHeight="1">
      <c r="A471" s="885">
        <v>455</v>
      </c>
      <c r="B471" s="886"/>
      <c r="C471" s="887" t="str">
        <f>'Tên thang 01-26'!E458</f>
        <v>ហ៊ី ទីន</v>
      </c>
      <c r="D471" s="887" t="str">
        <f>'Tên thang 01-26'!F458</f>
        <v>HY TIN</v>
      </c>
      <c r="E471" s="888">
        <v>443</v>
      </c>
      <c r="F471" s="889">
        <f>'SAN LUONG'!AP469*0.44</f>
        <v>475.2</v>
      </c>
      <c r="G471" s="889">
        <f t="shared" si="116"/>
        <v>6.77</v>
      </c>
      <c r="H471" s="889">
        <f>'SAN LUONG'!AO469*0.44</f>
        <v>372.68</v>
      </c>
      <c r="I471" s="889">
        <f t="shared" si="117"/>
        <v>5.89</v>
      </c>
      <c r="J471" s="889">
        <f>'SAN LUONG'!AV469*0.44</f>
        <v>0</v>
      </c>
      <c r="K471" s="889">
        <f t="shared" si="121"/>
        <v>0</v>
      </c>
      <c r="L471" s="889"/>
      <c r="M471" s="881">
        <f>'CHAM CONG'!BC466</f>
        <v>16</v>
      </c>
      <c r="N471" s="889">
        <f t="shared" si="122"/>
        <v>8.01</v>
      </c>
      <c r="O471" s="889">
        <f t="shared" si="123"/>
        <v>0.5</v>
      </c>
      <c r="P471" s="890">
        <f>'CHAM CONG'!BO466</f>
        <v>27</v>
      </c>
      <c r="Q471" s="942">
        <f t="shared" si="124"/>
        <v>2.54</v>
      </c>
      <c r="R471" s="942">
        <f>'SAN LUONG'!DW469</f>
        <v>4.7</v>
      </c>
      <c r="S471" s="942">
        <f t="shared" si="118"/>
        <v>0.15</v>
      </c>
      <c r="T471" s="943">
        <f>'CHAM CONG'!BW466</f>
        <v>20000</v>
      </c>
      <c r="U471" s="942">
        <f t="shared" si="125"/>
        <v>0.63</v>
      </c>
      <c r="V471" s="890">
        <f>'CHAM CONG'!BD466</f>
        <v>0</v>
      </c>
      <c r="W471" s="944">
        <f t="shared" si="119"/>
        <v>0</v>
      </c>
      <c r="X471" s="891">
        <f>'CHAM CONG'!BT466</f>
        <v>1</v>
      </c>
      <c r="Y471" s="881">
        <f t="shared" si="126"/>
        <v>1.1000000000000001</v>
      </c>
      <c r="Z471" s="892">
        <v>6.03</v>
      </c>
      <c r="AA471" s="942">
        <f t="shared" si="115"/>
        <v>1.71</v>
      </c>
      <c r="AB471" s="892">
        <v>6.04</v>
      </c>
      <c r="AC471" s="942">
        <f t="shared" si="113"/>
        <v>7.25</v>
      </c>
      <c r="AD471" s="892">
        <v>6.03</v>
      </c>
      <c r="AE471" s="942">
        <f t="shared" si="114"/>
        <v>4.3</v>
      </c>
      <c r="AF471" s="943" t="e">
        <f>#N/A</f>
        <v>#N/A</v>
      </c>
      <c r="AG471" s="893">
        <f t="shared" si="120"/>
        <v>38.85</v>
      </c>
      <c r="AH471" s="894"/>
      <c r="AI471" s="895">
        <v>27.57</v>
      </c>
      <c r="AJ471" s="791">
        <v>24.620000000000005</v>
      </c>
      <c r="AK471" s="896">
        <f t="shared" si="127"/>
        <v>3</v>
      </c>
      <c r="AL471" s="896"/>
      <c r="AS471" s="898"/>
    </row>
    <row r="472" spans="1:45" s="779" customFormat="1" ht="22.95" customHeight="1">
      <c r="A472" s="885">
        <v>456</v>
      </c>
      <c r="B472" s="886"/>
      <c r="C472" s="887" t="str">
        <f>'Tên thang 01-26'!E459</f>
        <v>អឹម អន</v>
      </c>
      <c r="D472" s="887" t="str">
        <f>'Tên thang 01-26'!F459</f>
        <v>IM ON</v>
      </c>
      <c r="E472" s="888">
        <v>444</v>
      </c>
      <c r="F472" s="889">
        <f>'SAN LUONG'!AP470*0.44</f>
        <v>410.08</v>
      </c>
      <c r="G472" s="889">
        <f t="shared" si="116"/>
        <v>5.84</v>
      </c>
      <c r="H472" s="889">
        <f>'SAN LUONG'!AO470*0.44</f>
        <v>413.6</v>
      </c>
      <c r="I472" s="889">
        <f t="shared" si="117"/>
        <v>6.54</v>
      </c>
      <c r="J472" s="889">
        <f>'SAN LUONG'!AV470*0.44</f>
        <v>0</v>
      </c>
      <c r="K472" s="889">
        <f t="shared" si="121"/>
        <v>0</v>
      </c>
      <c r="L472" s="889"/>
      <c r="M472" s="881">
        <f>'CHAM CONG'!BC467</f>
        <v>16</v>
      </c>
      <c r="N472" s="889">
        <f t="shared" si="122"/>
        <v>8.01</v>
      </c>
      <c r="O472" s="889">
        <f t="shared" si="123"/>
        <v>0.5</v>
      </c>
      <c r="P472" s="890">
        <f>'CHAM CONG'!BO467</f>
        <v>29</v>
      </c>
      <c r="Q472" s="942">
        <f t="shared" si="124"/>
        <v>2.72</v>
      </c>
      <c r="R472" s="942">
        <f>'SAN LUONG'!DW470</f>
        <v>17.399999999999999</v>
      </c>
      <c r="S472" s="942">
        <f t="shared" si="118"/>
        <v>0.54</v>
      </c>
      <c r="T472" s="943">
        <f>'CHAM CONG'!BW467</f>
        <v>0</v>
      </c>
      <c r="U472" s="942">
        <f t="shared" si="125"/>
        <v>0</v>
      </c>
      <c r="V472" s="890">
        <f>'CHAM CONG'!BD467</f>
        <v>4</v>
      </c>
      <c r="W472" s="944">
        <f t="shared" si="119"/>
        <v>2.13</v>
      </c>
      <c r="X472" s="891">
        <f>'CHAM CONG'!BT467</f>
        <v>1</v>
      </c>
      <c r="Y472" s="881">
        <f t="shared" si="126"/>
        <v>1.1000000000000001</v>
      </c>
      <c r="Z472" s="892">
        <v>6.03</v>
      </c>
      <c r="AA472" s="942">
        <f>ROUND(Z472*$Z$15,2)+0.01</f>
        <v>1.71</v>
      </c>
      <c r="AB472" s="892">
        <v>6.04</v>
      </c>
      <c r="AC472" s="942">
        <f t="shared" si="113"/>
        <v>7.25</v>
      </c>
      <c r="AD472" s="892">
        <v>6.03</v>
      </c>
      <c r="AE472" s="942">
        <f t="shared" si="114"/>
        <v>4.3</v>
      </c>
      <c r="AF472" s="943" t="e">
        <f>#N/A</f>
        <v>#N/A</v>
      </c>
      <c r="AG472" s="893">
        <f t="shared" si="120"/>
        <v>40.639999999999993</v>
      </c>
      <c r="AH472" s="894"/>
      <c r="AI472" s="895">
        <v>25.72</v>
      </c>
      <c r="AJ472" s="791">
        <v>22.780000000000005</v>
      </c>
      <c r="AK472" s="896">
        <f t="shared" si="127"/>
        <v>3</v>
      </c>
      <c r="AL472" s="896"/>
      <c r="AS472" s="898"/>
    </row>
    <row r="473" spans="1:45" s="779" customFormat="1" ht="22.95" customHeight="1">
      <c r="A473" s="885">
        <v>457</v>
      </c>
      <c r="B473" s="886"/>
      <c r="C473" s="887" t="str">
        <f>'Tên thang 01-26'!E460</f>
        <v>ហ៊ីម សុភក្តី</v>
      </c>
      <c r="D473" s="887" t="str">
        <f>'Tên thang 01-26'!F460</f>
        <v>HIM SOPHEAKDEY</v>
      </c>
      <c r="E473" s="888">
        <v>445</v>
      </c>
      <c r="F473" s="889">
        <f>'SAN LUONG'!AP471*0.44</f>
        <v>409.64</v>
      </c>
      <c r="G473" s="889">
        <f t="shared" si="116"/>
        <v>5.83</v>
      </c>
      <c r="H473" s="889">
        <f>'SAN LUONG'!AO471*0.44</f>
        <v>352</v>
      </c>
      <c r="I473" s="889">
        <f t="shared" si="117"/>
        <v>5.56</v>
      </c>
      <c r="J473" s="889">
        <f>'SAN LUONG'!AV471*0.44</f>
        <v>0</v>
      </c>
      <c r="K473" s="889">
        <f t="shared" si="121"/>
        <v>0</v>
      </c>
      <c r="L473" s="889"/>
      <c r="M473" s="881">
        <f>'CHAM CONG'!BC468</f>
        <v>15</v>
      </c>
      <c r="N473" s="889">
        <f t="shared" si="122"/>
        <v>7.51</v>
      </c>
      <c r="O473" s="889">
        <f t="shared" si="123"/>
        <v>0.47</v>
      </c>
      <c r="P473" s="890">
        <f>'CHAM CONG'!BO468</f>
        <v>28</v>
      </c>
      <c r="Q473" s="942">
        <f t="shared" si="124"/>
        <v>2.63</v>
      </c>
      <c r="R473" s="942">
        <f>'SAN LUONG'!DW471</f>
        <v>5.2</v>
      </c>
      <c r="S473" s="942">
        <f t="shared" si="118"/>
        <v>0.16</v>
      </c>
      <c r="T473" s="943">
        <f>'CHAM CONG'!BW468</f>
        <v>0</v>
      </c>
      <c r="U473" s="942">
        <f t="shared" si="125"/>
        <v>0</v>
      </c>
      <c r="V473" s="890">
        <f>'CHAM CONG'!BD468</f>
        <v>1</v>
      </c>
      <c r="W473" s="944">
        <f t="shared" si="119"/>
        <v>0.53</v>
      </c>
      <c r="X473" s="891">
        <f>'CHAM CONG'!BT468</f>
        <v>1</v>
      </c>
      <c r="Y473" s="881">
        <f t="shared" si="126"/>
        <v>1.1000000000000001</v>
      </c>
      <c r="Z473" s="892">
        <v>6.04</v>
      </c>
      <c r="AA473" s="942">
        <f t="shared" ref="AA473:AA500" si="128">ROUND(Z473*$Z$15,2)</f>
        <v>1.71</v>
      </c>
      <c r="AB473" s="892">
        <v>6.03</v>
      </c>
      <c r="AC473" s="942">
        <f t="shared" ref="AC473:AC499" si="129">ROUND(AB473*$AB$15,1)</f>
        <v>7.2</v>
      </c>
      <c r="AD473" s="892">
        <v>6.03</v>
      </c>
      <c r="AE473" s="942">
        <f t="shared" si="114"/>
        <v>4.3</v>
      </c>
      <c r="AF473" s="943" t="e">
        <f>#N/A</f>
        <v>#N/A</v>
      </c>
      <c r="AG473" s="893">
        <f t="shared" si="120"/>
        <v>37</v>
      </c>
      <c r="AH473" s="894"/>
      <c r="AI473" s="895">
        <v>21.5</v>
      </c>
      <c r="AJ473" s="791">
        <v>18.550000000000004</v>
      </c>
      <c r="AK473" s="896">
        <f t="shared" si="127"/>
        <v>3</v>
      </c>
      <c r="AL473" s="896"/>
      <c r="AS473" s="898"/>
    </row>
    <row r="474" spans="1:45" s="779" customFormat="1" ht="22.95" customHeight="1">
      <c r="A474" s="885">
        <v>458</v>
      </c>
      <c r="B474" s="886"/>
      <c r="C474" s="887" t="str">
        <f>'Tên thang 01-26'!E461</f>
        <v>ម៉េត សុគន្ធា</v>
      </c>
      <c r="D474" s="887" t="str">
        <f>'Tên thang 01-26'!F461</f>
        <v>MET SOKUNTHEA</v>
      </c>
      <c r="E474" s="888">
        <v>446</v>
      </c>
      <c r="F474" s="889">
        <f>'SAN LUONG'!AP472*0.44</f>
        <v>332.2</v>
      </c>
      <c r="G474" s="889">
        <f t="shared" si="116"/>
        <v>4.7300000000000004</v>
      </c>
      <c r="H474" s="889">
        <f>'SAN LUONG'!AO472*0.44</f>
        <v>414.48</v>
      </c>
      <c r="I474" s="889">
        <f t="shared" si="117"/>
        <v>6.55</v>
      </c>
      <c r="J474" s="889">
        <f>'SAN LUONG'!AV472*0.44</f>
        <v>0</v>
      </c>
      <c r="K474" s="889">
        <f t="shared" si="121"/>
        <v>0</v>
      </c>
      <c r="L474" s="889"/>
      <c r="M474" s="881">
        <f>'CHAM CONG'!BC469</f>
        <v>13</v>
      </c>
      <c r="N474" s="889">
        <f t="shared" si="122"/>
        <v>6.51</v>
      </c>
      <c r="O474" s="889">
        <f t="shared" si="123"/>
        <v>0.41</v>
      </c>
      <c r="P474" s="890">
        <f>'CHAM CONG'!BO469</f>
        <v>26</v>
      </c>
      <c r="Q474" s="942">
        <f t="shared" si="124"/>
        <v>2.44</v>
      </c>
      <c r="R474" s="942">
        <f>'SAN LUONG'!DW472</f>
        <v>11.1</v>
      </c>
      <c r="S474" s="942">
        <f t="shared" si="118"/>
        <v>0.35</v>
      </c>
      <c r="T474" s="943">
        <f>'CHAM CONG'!BW469</f>
        <v>-20000</v>
      </c>
      <c r="U474" s="942">
        <f t="shared" si="125"/>
        <v>-0.63</v>
      </c>
      <c r="V474" s="890">
        <f>'CHAM CONG'!BD469</f>
        <v>2</v>
      </c>
      <c r="W474" s="944">
        <f t="shared" si="119"/>
        <v>1.06</v>
      </c>
      <c r="X474" s="891">
        <f>'CHAM CONG'!BT469</f>
        <v>1</v>
      </c>
      <c r="Y474" s="881">
        <f t="shared" si="126"/>
        <v>1.1000000000000001</v>
      </c>
      <c r="Z474" s="892">
        <v>6.04</v>
      </c>
      <c r="AA474" s="942">
        <f t="shared" si="128"/>
        <v>1.71</v>
      </c>
      <c r="AB474" s="892">
        <v>6.03</v>
      </c>
      <c r="AC474" s="942">
        <f t="shared" si="129"/>
        <v>7.2</v>
      </c>
      <c r="AD474" s="892">
        <v>6.03</v>
      </c>
      <c r="AE474" s="942">
        <f t="shared" si="114"/>
        <v>4.3</v>
      </c>
      <c r="AF474" s="943" t="e">
        <f>#N/A</f>
        <v>#N/A</v>
      </c>
      <c r="AG474" s="893">
        <f t="shared" si="120"/>
        <v>35.729999999999997</v>
      </c>
      <c r="AH474" s="894"/>
      <c r="AI474" s="895">
        <v>22.61</v>
      </c>
      <c r="AJ474" s="791">
        <v>20.3</v>
      </c>
      <c r="AK474" s="896">
        <f t="shared" si="127"/>
        <v>2</v>
      </c>
      <c r="AL474" s="896"/>
      <c r="AS474" s="898"/>
    </row>
    <row r="475" spans="1:45" s="779" customFormat="1" ht="22.95" customHeight="1">
      <c r="A475" s="885">
        <v>459</v>
      </c>
      <c r="B475" s="886"/>
      <c r="C475" s="887" t="str">
        <f>'Tên thang 01-26'!E462</f>
        <v>ម៉ៅ ស្រីណុច</v>
      </c>
      <c r="D475" s="887" t="str">
        <f>'Tên thang 01-26'!F462</f>
        <v>MAO SREYNOCH</v>
      </c>
      <c r="E475" s="888">
        <v>447</v>
      </c>
      <c r="F475" s="889">
        <f>'SAN LUONG'!AP473*0.44</f>
        <v>274.56</v>
      </c>
      <c r="G475" s="889">
        <f t="shared" si="116"/>
        <v>3.91</v>
      </c>
      <c r="H475" s="889">
        <f>'SAN LUONG'!AO473*0.44</f>
        <v>212.52</v>
      </c>
      <c r="I475" s="889">
        <f t="shared" si="117"/>
        <v>3.36</v>
      </c>
      <c r="J475" s="889">
        <f>'SAN LUONG'!AV473*0.44</f>
        <v>0</v>
      </c>
      <c r="K475" s="889">
        <f t="shared" si="121"/>
        <v>0</v>
      </c>
      <c r="L475" s="889"/>
      <c r="M475" s="881">
        <f>'CHAM CONG'!BC470</f>
        <v>16</v>
      </c>
      <c r="N475" s="889">
        <f t="shared" si="122"/>
        <v>8.01</v>
      </c>
      <c r="O475" s="889">
        <f t="shared" si="123"/>
        <v>0.5</v>
      </c>
      <c r="P475" s="890">
        <f>'CHAM CONG'!BO470</f>
        <v>26</v>
      </c>
      <c r="Q475" s="942">
        <f t="shared" si="124"/>
        <v>2.44</v>
      </c>
      <c r="R475" s="942">
        <f>'SAN LUONG'!DW473</f>
        <v>13.4</v>
      </c>
      <c r="S475" s="942">
        <f t="shared" si="118"/>
        <v>0.42</v>
      </c>
      <c r="T475" s="943">
        <f>'CHAM CONG'!BW470</f>
        <v>0</v>
      </c>
      <c r="U475" s="942">
        <f t="shared" si="125"/>
        <v>0</v>
      </c>
      <c r="V475" s="890">
        <f>'CHAM CONG'!BD470</f>
        <v>0</v>
      </c>
      <c r="W475" s="944">
        <f t="shared" si="119"/>
        <v>0</v>
      </c>
      <c r="X475" s="891">
        <f>'CHAM CONG'!BT470</f>
        <v>1</v>
      </c>
      <c r="Y475" s="881">
        <f t="shared" si="126"/>
        <v>1.1000000000000001</v>
      </c>
      <c r="Z475" s="892">
        <v>6.04</v>
      </c>
      <c r="AA475" s="942">
        <f t="shared" si="128"/>
        <v>1.71</v>
      </c>
      <c r="AB475" s="892">
        <v>6.03</v>
      </c>
      <c r="AC475" s="942">
        <f t="shared" si="129"/>
        <v>7.2</v>
      </c>
      <c r="AD475" s="892">
        <v>6.03</v>
      </c>
      <c r="AE475" s="942">
        <f t="shared" si="114"/>
        <v>4.3</v>
      </c>
      <c r="AF475" s="943" t="e">
        <f>#N/A</f>
        <v>#N/A</v>
      </c>
      <c r="AG475" s="893">
        <f t="shared" si="120"/>
        <v>32.950000000000003</v>
      </c>
      <c r="AH475" s="894"/>
      <c r="AI475" s="895">
        <v>24.21</v>
      </c>
      <c r="AJ475" s="791">
        <v>21.270000000000003</v>
      </c>
      <c r="AK475" s="896">
        <f t="shared" si="127"/>
        <v>3</v>
      </c>
      <c r="AL475" s="896"/>
      <c r="AS475" s="898"/>
    </row>
    <row r="476" spans="1:45" s="779" customFormat="1" ht="22.95" customHeight="1">
      <c r="A476" s="885">
        <v>460</v>
      </c>
      <c r="B476" s="886"/>
      <c r="C476" s="887" t="str">
        <f>'Tên thang 01-26'!E463</f>
        <v>ឡេង ហ៊ីម</v>
      </c>
      <c r="D476" s="887" t="str">
        <f>'Tên thang 01-26'!F463</f>
        <v>LENG HIM</v>
      </c>
      <c r="E476" s="888">
        <v>448</v>
      </c>
      <c r="F476" s="889">
        <f>'SAN LUONG'!AP474*0.44</f>
        <v>345.4</v>
      </c>
      <c r="G476" s="889">
        <f t="shared" si="116"/>
        <v>4.92</v>
      </c>
      <c r="H476" s="889">
        <f>'SAN LUONG'!AO474*0.44</f>
        <v>186.56</v>
      </c>
      <c r="I476" s="889">
        <f t="shared" si="117"/>
        <v>2.95</v>
      </c>
      <c r="J476" s="889">
        <f>'SAN LUONG'!AV474*0.44</f>
        <v>0</v>
      </c>
      <c r="K476" s="889">
        <f t="shared" si="121"/>
        <v>0</v>
      </c>
      <c r="L476" s="889"/>
      <c r="M476" s="881">
        <f>'CHAM CONG'!BC471</f>
        <v>16</v>
      </c>
      <c r="N476" s="889">
        <f t="shared" si="122"/>
        <v>8.01</v>
      </c>
      <c r="O476" s="889">
        <f t="shared" si="123"/>
        <v>0.5</v>
      </c>
      <c r="P476" s="890">
        <f>'CHAM CONG'!BO471</f>
        <v>29</v>
      </c>
      <c r="Q476" s="942">
        <f t="shared" si="124"/>
        <v>2.72</v>
      </c>
      <c r="R476" s="942">
        <f>'SAN LUONG'!DW474</f>
        <v>13.9</v>
      </c>
      <c r="S476" s="942">
        <f t="shared" si="118"/>
        <v>0.44</v>
      </c>
      <c r="T476" s="943">
        <f>'CHAM CONG'!BW471</f>
        <v>-20000</v>
      </c>
      <c r="U476" s="942">
        <f t="shared" si="125"/>
        <v>-0.63</v>
      </c>
      <c r="V476" s="890">
        <f>'CHAM CONG'!BD471</f>
        <v>3</v>
      </c>
      <c r="W476" s="944">
        <f t="shared" si="119"/>
        <v>1.6</v>
      </c>
      <c r="X476" s="891">
        <f>'CHAM CONG'!BT471</f>
        <v>1</v>
      </c>
      <c r="Y476" s="881">
        <f t="shared" si="126"/>
        <v>1.1000000000000001</v>
      </c>
      <c r="Z476" s="892">
        <v>6.04</v>
      </c>
      <c r="AA476" s="942">
        <f t="shared" si="128"/>
        <v>1.71</v>
      </c>
      <c r="AB476" s="892">
        <v>6.03</v>
      </c>
      <c r="AC476" s="942">
        <f t="shared" si="129"/>
        <v>7.2</v>
      </c>
      <c r="AD476" s="892">
        <v>6.03</v>
      </c>
      <c r="AE476" s="942">
        <f t="shared" si="114"/>
        <v>4.3</v>
      </c>
      <c r="AF476" s="943" t="e">
        <f>#N/A</f>
        <v>#N/A</v>
      </c>
      <c r="AG476" s="893">
        <f t="shared" si="120"/>
        <v>34.82</v>
      </c>
      <c r="AH476" s="894"/>
      <c r="AI476" s="895">
        <v>21.93</v>
      </c>
      <c r="AJ476" s="791">
        <v>19.600000000000001</v>
      </c>
      <c r="AK476" s="896">
        <f t="shared" si="127"/>
        <v>2</v>
      </c>
      <c r="AL476" s="896"/>
      <c r="AS476" s="898"/>
    </row>
    <row r="477" spans="1:45" s="779" customFormat="1" ht="22.95" customHeight="1">
      <c r="A477" s="885">
        <v>461</v>
      </c>
      <c r="B477" s="886"/>
      <c r="C477" s="887" t="str">
        <f>'Tên thang 01-26'!E464</f>
        <v>ហ៊ីម ហ៊ី</v>
      </c>
      <c r="D477" s="887" t="str">
        <f>'Tên thang 01-26'!F464</f>
        <v>HIM HY</v>
      </c>
      <c r="E477" s="888">
        <v>449</v>
      </c>
      <c r="F477" s="889">
        <f>'SAN LUONG'!AP475*0.44</f>
        <v>413.6</v>
      </c>
      <c r="G477" s="889">
        <f t="shared" si="116"/>
        <v>5.89</v>
      </c>
      <c r="H477" s="889">
        <f>'SAN LUONG'!AO475*0.44</f>
        <v>312.83999999999997</v>
      </c>
      <c r="I477" s="889">
        <f t="shared" si="117"/>
        <v>4.95</v>
      </c>
      <c r="J477" s="889">
        <f>'SAN LUONG'!AV475*0.44</f>
        <v>0</v>
      </c>
      <c r="K477" s="889">
        <f t="shared" si="121"/>
        <v>0</v>
      </c>
      <c r="L477" s="889"/>
      <c r="M477" s="881">
        <f>'CHAM CONG'!BC472</f>
        <v>15</v>
      </c>
      <c r="N477" s="889">
        <f t="shared" si="122"/>
        <v>7.51</v>
      </c>
      <c r="O477" s="889">
        <f t="shared" si="123"/>
        <v>0.47</v>
      </c>
      <c r="P477" s="890">
        <f>'CHAM CONG'!BO472</f>
        <v>29</v>
      </c>
      <c r="Q477" s="942">
        <f t="shared" si="124"/>
        <v>2.72</v>
      </c>
      <c r="R477" s="942">
        <f>'SAN LUONG'!DW475</f>
        <v>4.5999999999999996</v>
      </c>
      <c r="S477" s="942">
        <f t="shared" si="118"/>
        <v>0.14000000000000001</v>
      </c>
      <c r="T477" s="943">
        <f>'CHAM CONG'!BW472</f>
        <v>0</v>
      </c>
      <c r="U477" s="942">
        <f t="shared" si="125"/>
        <v>0</v>
      </c>
      <c r="V477" s="890">
        <f>'CHAM CONG'!BD472</f>
        <v>2</v>
      </c>
      <c r="W477" s="944">
        <f t="shared" si="119"/>
        <v>1.06</v>
      </c>
      <c r="X477" s="891">
        <f>'CHAM CONG'!BT472</f>
        <v>1</v>
      </c>
      <c r="Y477" s="881">
        <f t="shared" si="126"/>
        <v>1.1000000000000001</v>
      </c>
      <c r="Z477" s="892">
        <v>6.04</v>
      </c>
      <c r="AA477" s="942">
        <f t="shared" si="128"/>
        <v>1.71</v>
      </c>
      <c r="AB477" s="892">
        <v>6.03</v>
      </c>
      <c r="AC477" s="942">
        <f t="shared" si="129"/>
        <v>7.2</v>
      </c>
      <c r="AD477" s="892">
        <v>6.03</v>
      </c>
      <c r="AE477" s="942">
        <f t="shared" ref="AE477:AE499" si="130">ROUND(AD477*$AD$15,2)</f>
        <v>4.3</v>
      </c>
      <c r="AF477" s="943" t="e">
        <f>#N/A</f>
        <v>#N/A</v>
      </c>
      <c r="AG477" s="893">
        <f t="shared" si="120"/>
        <v>37.049999999999997</v>
      </c>
      <c r="AH477" s="894"/>
      <c r="AI477" s="895">
        <v>22.04</v>
      </c>
      <c r="AJ477" s="791">
        <v>19.100000000000005</v>
      </c>
      <c r="AK477" s="896">
        <f t="shared" si="127"/>
        <v>3</v>
      </c>
      <c r="AL477" s="896"/>
      <c r="AS477" s="898"/>
    </row>
    <row r="478" spans="1:45" s="779" customFormat="1" ht="22.95" customHeight="1">
      <c r="A478" s="885">
        <v>462</v>
      </c>
      <c r="B478" s="886"/>
      <c r="C478" s="887" t="str">
        <f>'Tên thang 01-26'!E465</f>
        <v>ហួត ផន</v>
      </c>
      <c r="D478" s="887" t="str">
        <f>'Tên thang 01-26'!F465</f>
        <v>HOUT PHORN</v>
      </c>
      <c r="E478" s="888">
        <v>450</v>
      </c>
      <c r="F478" s="889">
        <f>'SAN LUONG'!AP476*0.44</f>
        <v>443.08</v>
      </c>
      <c r="G478" s="889">
        <f t="shared" si="116"/>
        <v>6.31</v>
      </c>
      <c r="H478" s="889">
        <f>'SAN LUONG'!AO476*0.44</f>
        <v>456.72</v>
      </c>
      <c r="I478" s="889">
        <f t="shared" si="117"/>
        <v>7.22</v>
      </c>
      <c r="J478" s="889">
        <f>'SAN LUONG'!AV476*0.44</f>
        <v>0</v>
      </c>
      <c r="K478" s="889">
        <f t="shared" si="121"/>
        <v>0</v>
      </c>
      <c r="L478" s="889"/>
      <c r="M478" s="881">
        <f>'CHAM CONG'!BC473</f>
        <v>16</v>
      </c>
      <c r="N478" s="889">
        <f t="shared" si="122"/>
        <v>8.01</v>
      </c>
      <c r="O478" s="889">
        <f t="shared" si="123"/>
        <v>0.5</v>
      </c>
      <c r="P478" s="890">
        <f>'CHAM CONG'!BO473</f>
        <v>29</v>
      </c>
      <c r="Q478" s="942">
        <f t="shared" si="124"/>
        <v>2.72</v>
      </c>
      <c r="R478" s="942">
        <f>'SAN LUONG'!DW476</f>
        <v>15.5</v>
      </c>
      <c r="S478" s="942">
        <f t="shared" si="118"/>
        <v>0.49</v>
      </c>
      <c r="T478" s="943">
        <f>'CHAM CONG'!BW473</f>
        <v>0</v>
      </c>
      <c r="U478" s="942">
        <f t="shared" si="125"/>
        <v>0</v>
      </c>
      <c r="V478" s="890">
        <f>'CHAM CONG'!BD473</f>
        <v>4</v>
      </c>
      <c r="W478" s="944">
        <f t="shared" si="119"/>
        <v>2.13</v>
      </c>
      <c r="X478" s="891">
        <f>'CHAM CONG'!BT473</f>
        <v>1</v>
      </c>
      <c r="Y478" s="881">
        <f t="shared" si="126"/>
        <v>1.1000000000000001</v>
      </c>
      <c r="Z478" s="892">
        <v>6.04</v>
      </c>
      <c r="AA478" s="942">
        <f t="shared" si="128"/>
        <v>1.71</v>
      </c>
      <c r="AB478" s="892">
        <v>6.03</v>
      </c>
      <c r="AC478" s="942">
        <f t="shared" si="129"/>
        <v>7.2</v>
      </c>
      <c r="AD478" s="892">
        <v>6.03</v>
      </c>
      <c r="AE478" s="942">
        <f t="shared" si="130"/>
        <v>4.3</v>
      </c>
      <c r="AF478" s="943" t="e">
        <f>#N/A</f>
        <v>#N/A</v>
      </c>
      <c r="AG478" s="893">
        <f t="shared" si="120"/>
        <v>41.69</v>
      </c>
      <c r="AH478" s="894"/>
      <c r="AI478" s="895">
        <v>25.18</v>
      </c>
      <c r="AJ478" s="791">
        <v>22.230000000000004</v>
      </c>
      <c r="AK478" s="896">
        <f t="shared" si="127"/>
        <v>3</v>
      </c>
      <c r="AL478" s="896"/>
      <c r="AS478" s="898"/>
    </row>
    <row r="479" spans="1:45" s="779" customFormat="1" ht="22.95" customHeight="1">
      <c r="A479" s="885">
        <v>463</v>
      </c>
      <c r="B479" s="886"/>
      <c r="C479" s="887" t="str">
        <f>'Tên thang 01-26'!E466</f>
        <v>ម៉េត សុខផៃ</v>
      </c>
      <c r="D479" s="887" t="str">
        <f>'Tên thang 01-26'!F466</f>
        <v>MET SOKPHAI</v>
      </c>
      <c r="E479" s="888">
        <v>451</v>
      </c>
      <c r="F479" s="889">
        <f>'SAN LUONG'!AP477*0.44</f>
        <v>290.39999999999998</v>
      </c>
      <c r="G479" s="889">
        <f t="shared" si="116"/>
        <v>4.1399999999999997</v>
      </c>
      <c r="H479" s="889">
        <f>'SAN LUONG'!AO477*0.44</f>
        <v>353.32</v>
      </c>
      <c r="I479" s="889">
        <f t="shared" si="117"/>
        <v>5.59</v>
      </c>
      <c r="J479" s="889">
        <f>'SAN LUONG'!AV477*0.44</f>
        <v>0</v>
      </c>
      <c r="K479" s="889">
        <f t="shared" si="121"/>
        <v>0</v>
      </c>
      <c r="L479" s="889"/>
      <c r="M479" s="881">
        <f>'CHAM CONG'!BC474</f>
        <v>14</v>
      </c>
      <c r="N479" s="889">
        <f t="shared" si="122"/>
        <v>7.01</v>
      </c>
      <c r="O479" s="889">
        <f t="shared" si="123"/>
        <v>0.44</v>
      </c>
      <c r="P479" s="890">
        <f>'CHAM CONG'!BO474</f>
        <v>27</v>
      </c>
      <c r="Q479" s="942">
        <f t="shared" si="124"/>
        <v>2.54</v>
      </c>
      <c r="R479" s="942">
        <f>'SAN LUONG'!DW477</f>
        <v>9.9</v>
      </c>
      <c r="S479" s="942">
        <f t="shared" si="118"/>
        <v>0.31</v>
      </c>
      <c r="T479" s="943">
        <f>'CHAM CONG'!BW474</f>
        <v>0</v>
      </c>
      <c r="U479" s="942">
        <f t="shared" si="125"/>
        <v>0</v>
      </c>
      <c r="V479" s="890">
        <f>'CHAM CONG'!BD474</f>
        <v>1</v>
      </c>
      <c r="W479" s="944">
        <f t="shared" si="119"/>
        <v>0.53</v>
      </c>
      <c r="X479" s="891">
        <f>'CHAM CONG'!BT474</f>
        <v>1</v>
      </c>
      <c r="Y479" s="881">
        <f t="shared" si="126"/>
        <v>1.1000000000000001</v>
      </c>
      <c r="Z479" s="892">
        <v>6.04</v>
      </c>
      <c r="AA479" s="942">
        <f t="shared" si="128"/>
        <v>1.71</v>
      </c>
      <c r="AB479" s="892">
        <v>6.03</v>
      </c>
      <c r="AC479" s="942">
        <f t="shared" si="129"/>
        <v>7.2</v>
      </c>
      <c r="AD479" s="892">
        <v>6.03</v>
      </c>
      <c r="AE479" s="942">
        <f t="shared" si="130"/>
        <v>4.3</v>
      </c>
      <c r="AF479" s="943" t="e">
        <f>#N/A</f>
        <v>#N/A</v>
      </c>
      <c r="AG479" s="893">
        <f t="shared" si="120"/>
        <v>34.869999999999997</v>
      </c>
      <c r="AH479" s="894"/>
      <c r="AI479" s="895">
        <v>24.63</v>
      </c>
      <c r="AJ479" s="791">
        <v>22.310000000000002</v>
      </c>
      <c r="AK479" s="896">
        <f t="shared" si="127"/>
        <v>2</v>
      </c>
      <c r="AL479" s="896"/>
      <c r="AS479" s="898"/>
    </row>
    <row r="480" spans="1:45" s="779" customFormat="1" ht="22.95" customHeight="1">
      <c r="A480" s="885">
        <v>464</v>
      </c>
      <c r="B480" s="886"/>
      <c r="C480" s="887" t="str">
        <f>'Tên thang 01-26'!E467</f>
        <v>ឆាង ឆើត</v>
      </c>
      <c r="D480" s="887" t="str">
        <f>'Tên thang 01-26'!F467</f>
        <v>CHHANG CHHEUT</v>
      </c>
      <c r="E480" s="888">
        <v>452</v>
      </c>
      <c r="F480" s="889">
        <f>'SAN LUONG'!AP478*0.44</f>
        <v>356.84</v>
      </c>
      <c r="G480" s="889">
        <f t="shared" si="116"/>
        <v>5.08</v>
      </c>
      <c r="H480" s="889">
        <f>'SAN LUONG'!AO478*0.44</f>
        <v>309.32</v>
      </c>
      <c r="I480" s="889">
        <f t="shared" si="117"/>
        <v>4.8899999999999997</v>
      </c>
      <c r="J480" s="889">
        <f>'SAN LUONG'!AV478*0.44</f>
        <v>0</v>
      </c>
      <c r="K480" s="889">
        <f t="shared" si="121"/>
        <v>0</v>
      </c>
      <c r="L480" s="889"/>
      <c r="M480" s="881">
        <f>'CHAM CONG'!BC475</f>
        <v>15</v>
      </c>
      <c r="N480" s="889">
        <f t="shared" si="122"/>
        <v>7.51</v>
      </c>
      <c r="O480" s="889">
        <f t="shared" si="123"/>
        <v>0.47</v>
      </c>
      <c r="P480" s="890">
        <f>'CHAM CONG'!BO475</f>
        <v>27</v>
      </c>
      <c r="Q480" s="942">
        <f t="shared" si="124"/>
        <v>2.54</v>
      </c>
      <c r="R480" s="942">
        <f>'SAN LUONG'!DW478</f>
        <v>4.0999999999999996</v>
      </c>
      <c r="S480" s="942">
        <f t="shared" si="118"/>
        <v>0.13</v>
      </c>
      <c r="T480" s="943">
        <f>'CHAM CONG'!BW475</f>
        <v>0</v>
      </c>
      <c r="U480" s="942">
        <f t="shared" si="125"/>
        <v>0</v>
      </c>
      <c r="V480" s="890">
        <f>'CHAM CONG'!BD475</f>
        <v>3</v>
      </c>
      <c r="W480" s="944">
        <f t="shared" si="119"/>
        <v>1.6</v>
      </c>
      <c r="X480" s="891">
        <f>'CHAM CONG'!BT475</f>
        <v>1</v>
      </c>
      <c r="Y480" s="881">
        <f t="shared" si="126"/>
        <v>1.1000000000000001</v>
      </c>
      <c r="Z480" s="892">
        <v>6.04</v>
      </c>
      <c r="AA480" s="942">
        <f t="shared" si="128"/>
        <v>1.71</v>
      </c>
      <c r="AB480" s="892">
        <v>6.03</v>
      </c>
      <c r="AC480" s="942">
        <f t="shared" si="129"/>
        <v>7.2</v>
      </c>
      <c r="AD480" s="892">
        <v>6.03</v>
      </c>
      <c r="AE480" s="942">
        <f t="shared" si="130"/>
        <v>4.3</v>
      </c>
      <c r="AF480" s="943" t="e">
        <f>#N/A</f>
        <v>#N/A</v>
      </c>
      <c r="AG480" s="893">
        <f t="shared" si="120"/>
        <v>36.529999999999994</v>
      </c>
      <c r="AH480" s="894"/>
      <c r="AI480" s="895">
        <v>22.14</v>
      </c>
      <c r="AJ480" s="791">
        <v>19.2</v>
      </c>
      <c r="AK480" s="896">
        <f t="shared" si="127"/>
        <v>3</v>
      </c>
      <c r="AL480" s="896"/>
      <c r="AS480" s="898"/>
    </row>
    <row r="481" spans="1:45" s="779" customFormat="1" ht="22.95" customHeight="1">
      <c r="A481" s="885">
        <v>465</v>
      </c>
      <c r="B481" s="886"/>
      <c r="C481" s="887" t="str">
        <f>'Tên thang 01-26'!E468</f>
        <v>ទ្រី អឹង</v>
      </c>
      <c r="D481" s="887" t="str">
        <f>'Tên thang 01-26'!F468</f>
        <v>TRY EUNG</v>
      </c>
      <c r="E481" s="888">
        <v>453</v>
      </c>
      <c r="F481" s="889">
        <f>'SAN LUONG'!AP479*0.44</f>
        <v>358.16</v>
      </c>
      <c r="G481" s="889">
        <f t="shared" si="116"/>
        <v>5.0999999999999996</v>
      </c>
      <c r="H481" s="889">
        <f>'SAN LUONG'!AO479*0.44</f>
        <v>311.52</v>
      </c>
      <c r="I481" s="889">
        <f t="shared" si="117"/>
        <v>4.92</v>
      </c>
      <c r="J481" s="889">
        <f>'SAN LUONG'!AV479*0.44</f>
        <v>0</v>
      </c>
      <c r="K481" s="889">
        <f t="shared" si="121"/>
        <v>0</v>
      </c>
      <c r="L481" s="889"/>
      <c r="M481" s="881">
        <f>'CHAM CONG'!BC476</f>
        <v>15</v>
      </c>
      <c r="N481" s="889">
        <f t="shared" si="122"/>
        <v>7.51</v>
      </c>
      <c r="O481" s="889">
        <f t="shared" si="123"/>
        <v>0.47</v>
      </c>
      <c r="P481" s="890">
        <f>'CHAM CONG'!BO476</f>
        <v>27</v>
      </c>
      <c r="Q481" s="942">
        <f t="shared" si="124"/>
        <v>2.54</v>
      </c>
      <c r="R481" s="942">
        <f>'SAN LUONG'!DW479</f>
        <v>4</v>
      </c>
      <c r="S481" s="942">
        <f t="shared" si="118"/>
        <v>0.13</v>
      </c>
      <c r="T481" s="943">
        <f>'CHAM CONG'!BW476</f>
        <v>0</v>
      </c>
      <c r="U481" s="942">
        <f t="shared" si="125"/>
        <v>0</v>
      </c>
      <c r="V481" s="890">
        <f>'CHAM CONG'!BD476</f>
        <v>3</v>
      </c>
      <c r="W481" s="944">
        <f t="shared" si="119"/>
        <v>1.6</v>
      </c>
      <c r="X481" s="891">
        <f>'CHAM CONG'!BT476</f>
        <v>1</v>
      </c>
      <c r="Y481" s="881">
        <f t="shared" ref="Y481:Y487" si="131">ROUND(X481*1.0956,0)</f>
        <v>1</v>
      </c>
      <c r="Z481" s="892">
        <v>6.04</v>
      </c>
      <c r="AA481" s="942">
        <f t="shared" si="128"/>
        <v>1.71</v>
      </c>
      <c r="AB481" s="892">
        <v>6.03</v>
      </c>
      <c r="AC481" s="942">
        <f t="shared" si="129"/>
        <v>7.2</v>
      </c>
      <c r="AD481" s="892">
        <v>6.03</v>
      </c>
      <c r="AE481" s="942">
        <f t="shared" si="130"/>
        <v>4.3</v>
      </c>
      <c r="AF481" s="943" t="e">
        <f>#N/A</f>
        <v>#N/A</v>
      </c>
      <c r="AG481" s="893">
        <f t="shared" si="120"/>
        <v>36.479999999999997</v>
      </c>
      <c r="AH481" s="894"/>
      <c r="AI481" s="895">
        <v>22.39</v>
      </c>
      <c r="AJ481" s="791">
        <v>19.34</v>
      </c>
      <c r="AK481" s="896">
        <f t="shared" si="127"/>
        <v>3</v>
      </c>
      <c r="AL481" s="896"/>
      <c r="AS481" s="898"/>
    </row>
    <row r="482" spans="1:45" s="779" customFormat="1" ht="22.95" customHeight="1">
      <c r="A482" s="885">
        <v>466</v>
      </c>
      <c r="B482" s="886"/>
      <c r="C482" s="887" t="str">
        <f>'Tên thang 01-26'!E469</f>
        <v>ជា ឡៃយ៉ុន</v>
      </c>
      <c r="D482" s="887" t="str">
        <f>'Tên thang 01-26'!F469</f>
        <v>CHEA LAIYON</v>
      </c>
      <c r="E482" s="888">
        <v>454</v>
      </c>
      <c r="F482" s="889">
        <f>'SAN LUONG'!AP480*0.44</f>
        <v>442.2</v>
      </c>
      <c r="G482" s="889">
        <f t="shared" si="116"/>
        <v>6.3</v>
      </c>
      <c r="H482" s="889">
        <f>'SAN LUONG'!AO480*0.44</f>
        <v>357.28000000000003</v>
      </c>
      <c r="I482" s="889">
        <f t="shared" si="117"/>
        <v>5.65</v>
      </c>
      <c r="J482" s="889">
        <f>'SAN LUONG'!AV480*0.44</f>
        <v>0</v>
      </c>
      <c r="K482" s="889">
        <f t="shared" si="121"/>
        <v>0</v>
      </c>
      <c r="L482" s="889"/>
      <c r="M482" s="881">
        <f>'CHAM CONG'!BC477</f>
        <v>15</v>
      </c>
      <c r="N482" s="889">
        <f t="shared" si="122"/>
        <v>7.51</v>
      </c>
      <c r="O482" s="889">
        <f t="shared" si="123"/>
        <v>0.47</v>
      </c>
      <c r="P482" s="890">
        <f>'CHAM CONG'!BO477</f>
        <v>28</v>
      </c>
      <c r="Q482" s="942">
        <f t="shared" si="124"/>
        <v>2.63</v>
      </c>
      <c r="R482" s="942">
        <f>'SAN LUONG'!DW480</f>
        <v>18.5</v>
      </c>
      <c r="S482" s="942">
        <f t="shared" si="118"/>
        <v>0.57999999999999996</v>
      </c>
      <c r="T482" s="943">
        <f>'CHAM CONG'!BW477</f>
        <v>0</v>
      </c>
      <c r="U482" s="942">
        <f t="shared" si="125"/>
        <v>0</v>
      </c>
      <c r="V482" s="890">
        <f>'CHAM CONG'!BD477</f>
        <v>3</v>
      </c>
      <c r="W482" s="944">
        <f t="shared" si="119"/>
        <v>1.6</v>
      </c>
      <c r="X482" s="891">
        <f>'CHAM CONG'!BT477</f>
        <v>1</v>
      </c>
      <c r="Y482" s="881">
        <f t="shared" si="131"/>
        <v>1</v>
      </c>
      <c r="Z482" s="892">
        <v>6.04</v>
      </c>
      <c r="AA482" s="942">
        <f t="shared" si="128"/>
        <v>1.71</v>
      </c>
      <c r="AB482" s="892">
        <v>6.03</v>
      </c>
      <c r="AC482" s="942">
        <f t="shared" si="129"/>
        <v>7.2</v>
      </c>
      <c r="AD482" s="892">
        <v>6.03</v>
      </c>
      <c r="AE482" s="942">
        <f t="shared" si="130"/>
        <v>4.3</v>
      </c>
      <c r="AF482" s="943" t="e">
        <f>#N/A</f>
        <v>#N/A</v>
      </c>
      <c r="AG482" s="893">
        <f t="shared" si="120"/>
        <v>38.949999999999996</v>
      </c>
      <c r="AH482" s="894"/>
      <c r="AI482" s="895">
        <v>23.31</v>
      </c>
      <c r="AJ482" s="791">
        <v>20.299999999999997</v>
      </c>
      <c r="AK482" s="896">
        <f t="shared" si="127"/>
        <v>3</v>
      </c>
      <c r="AL482" s="896"/>
      <c r="AS482" s="898"/>
    </row>
    <row r="483" spans="1:45" s="779" customFormat="1" ht="22.95" customHeight="1">
      <c r="A483" s="885">
        <v>467</v>
      </c>
      <c r="B483" s="886"/>
      <c r="C483" s="887" t="str">
        <f>'Tên thang 01-26'!E470</f>
        <v>តិប កី</v>
      </c>
      <c r="D483" s="887" t="str">
        <f>'Tên thang 01-26'!F470</f>
        <v>TOEB KIE</v>
      </c>
      <c r="E483" s="888">
        <v>455</v>
      </c>
      <c r="F483" s="889">
        <f>'SAN LUONG'!AP481*0.44</f>
        <v>385.88</v>
      </c>
      <c r="G483" s="889">
        <f t="shared" si="116"/>
        <v>5.5</v>
      </c>
      <c r="H483" s="889">
        <f>'SAN LUONG'!AO481*0.44</f>
        <v>319.44</v>
      </c>
      <c r="I483" s="889">
        <f t="shared" si="117"/>
        <v>5.05</v>
      </c>
      <c r="J483" s="889">
        <f>'SAN LUONG'!AV481*0.44</f>
        <v>0</v>
      </c>
      <c r="K483" s="889">
        <f t="shared" si="121"/>
        <v>0</v>
      </c>
      <c r="L483" s="889"/>
      <c r="M483" s="881">
        <f>'CHAM CONG'!BC478</f>
        <v>15</v>
      </c>
      <c r="N483" s="889">
        <f t="shared" si="122"/>
        <v>7.51</v>
      </c>
      <c r="O483" s="889">
        <f t="shared" si="123"/>
        <v>0.47</v>
      </c>
      <c r="P483" s="890">
        <f>'CHAM CONG'!BO478</f>
        <v>0</v>
      </c>
      <c r="Q483" s="942">
        <f t="shared" si="124"/>
        <v>0</v>
      </c>
      <c r="R483" s="942">
        <f>'SAN LUONG'!DW481</f>
        <v>4.5999999999999996</v>
      </c>
      <c r="S483" s="942">
        <f t="shared" si="118"/>
        <v>0.14000000000000001</v>
      </c>
      <c r="T483" s="943">
        <f>'CHAM CONG'!BW478</f>
        <v>0</v>
      </c>
      <c r="U483" s="942">
        <f t="shared" si="125"/>
        <v>0</v>
      </c>
      <c r="V483" s="890">
        <f>'CHAM CONG'!BD478</f>
        <v>0</v>
      </c>
      <c r="W483" s="944">
        <f t="shared" si="119"/>
        <v>0</v>
      </c>
      <c r="X483" s="891">
        <f>'CHAM CONG'!BT478</f>
        <v>0</v>
      </c>
      <c r="Y483" s="881">
        <f t="shared" si="131"/>
        <v>0</v>
      </c>
      <c r="Z483" s="892">
        <v>6.04</v>
      </c>
      <c r="AA483" s="942">
        <f t="shared" si="128"/>
        <v>1.71</v>
      </c>
      <c r="AB483" s="892">
        <v>6.03</v>
      </c>
      <c r="AC483" s="942">
        <f t="shared" si="129"/>
        <v>7.2</v>
      </c>
      <c r="AD483" s="892">
        <v>6.03</v>
      </c>
      <c r="AE483" s="942">
        <f t="shared" si="130"/>
        <v>4.3</v>
      </c>
      <c r="AF483" s="943" t="e">
        <f>#N/A</f>
        <v>#N/A</v>
      </c>
      <c r="AG483" s="893">
        <f t="shared" si="120"/>
        <v>31.880000000000003</v>
      </c>
      <c r="AH483" s="894"/>
      <c r="AI483" s="895">
        <v>25.32</v>
      </c>
      <c r="AJ483" s="791">
        <v>22.24</v>
      </c>
      <c r="AK483" s="896">
        <f t="shared" si="127"/>
        <v>3</v>
      </c>
      <c r="AL483" s="896"/>
      <c r="AS483" s="898"/>
    </row>
    <row r="484" spans="1:45" s="779" customFormat="1" ht="22.95" customHeight="1">
      <c r="A484" s="885">
        <v>468</v>
      </c>
      <c r="B484" s="886"/>
      <c r="C484" s="887" t="str">
        <f>'Tên thang 01-26'!E471</f>
        <v>ពរ​ ឡូ</v>
      </c>
      <c r="D484" s="887" t="str">
        <f>'Tên thang 01-26'!F471</f>
        <v>POR LO</v>
      </c>
      <c r="E484" s="888">
        <v>456</v>
      </c>
      <c r="F484" s="889">
        <f>'SAN LUONG'!AP482*0.44</f>
        <v>383.68</v>
      </c>
      <c r="G484" s="889">
        <f t="shared" si="116"/>
        <v>5.46</v>
      </c>
      <c r="H484" s="889">
        <f>'SAN LUONG'!AO482*0.44</f>
        <v>360.8</v>
      </c>
      <c r="I484" s="889">
        <f t="shared" si="117"/>
        <v>5.7</v>
      </c>
      <c r="J484" s="889">
        <f>'SAN LUONG'!AV482*0.44</f>
        <v>0</v>
      </c>
      <c r="K484" s="889">
        <f t="shared" si="121"/>
        <v>0</v>
      </c>
      <c r="L484" s="889"/>
      <c r="M484" s="881">
        <f>'CHAM CONG'!BC479</f>
        <v>14</v>
      </c>
      <c r="N484" s="889">
        <f t="shared" si="122"/>
        <v>7.01</v>
      </c>
      <c r="O484" s="889">
        <f t="shared" si="123"/>
        <v>0.44</v>
      </c>
      <c r="P484" s="890">
        <f>'CHAM CONG'!BO479</f>
        <v>28</v>
      </c>
      <c r="Q484" s="942">
        <f t="shared" si="124"/>
        <v>2.63</v>
      </c>
      <c r="R484" s="942">
        <f>'SAN LUONG'!DW482</f>
        <v>11.7</v>
      </c>
      <c r="S484" s="942">
        <f t="shared" si="118"/>
        <v>0.37</v>
      </c>
      <c r="T484" s="943">
        <f>'CHAM CONG'!BW479</f>
        <v>0</v>
      </c>
      <c r="U484" s="942">
        <f t="shared" si="125"/>
        <v>0</v>
      </c>
      <c r="V484" s="890">
        <f>'CHAM CONG'!BD479</f>
        <v>2</v>
      </c>
      <c r="W484" s="944">
        <f t="shared" si="119"/>
        <v>1.06</v>
      </c>
      <c r="X484" s="891">
        <f>'CHAM CONG'!BT479</f>
        <v>1</v>
      </c>
      <c r="Y484" s="881">
        <f t="shared" si="131"/>
        <v>1</v>
      </c>
      <c r="Z484" s="892">
        <v>6.04</v>
      </c>
      <c r="AA484" s="942">
        <f t="shared" si="128"/>
        <v>1.71</v>
      </c>
      <c r="AB484" s="892">
        <v>6.03</v>
      </c>
      <c r="AC484" s="942">
        <f t="shared" si="129"/>
        <v>7.2</v>
      </c>
      <c r="AD484" s="892">
        <v>6.03</v>
      </c>
      <c r="AE484" s="942">
        <f t="shared" si="130"/>
        <v>4.3</v>
      </c>
      <c r="AF484" s="943" t="e">
        <f>#N/A</f>
        <v>#N/A</v>
      </c>
      <c r="AG484" s="893">
        <f t="shared" si="120"/>
        <v>36.879999999999995</v>
      </c>
      <c r="AH484" s="894"/>
      <c r="AI484" s="895">
        <v>23.89</v>
      </c>
      <c r="AJ484" s="791">
        <v>20.85</v>
      </c>
      <c r="AK484" s="896">
        <f t="shared" si="127"/>
        <v>3</v>
      </c>
      <c r="AL484" s="896"/>
      <c r="AS484" s="898"/>
    </row>
    <row r="485" spans="1:45" s="779" customFormat="1" ht="22.95" customHeight="1">
      <c r="A485" s="885">
        <v>469</v>
      </c>
      <c r="B485" s="886"/>
      <c r="C485" s="887" t="str">
        <f>'Tên thang 01-26'!E472</f>
        <v>ឈួន ឆេន</v>
      </c>
      <c r="D485" s="887" t="str">
        <f>'Tên thang 01-26'!F472</f>
        <v>CHHOUN CHHEN</v>
      </c>
      <c r="E485" s="888">
        <v>457</v>
      </c>
      <c r="F485" s="889">
        <f>'SAN LUONG'!AP483*0.44</f>
        <v>745.8</v>
      </c>
      <c r="G485" s="889">
        <f t="shared" si="116"/>
        <v>10.62</v>
      </c>
      <c r="H485" s="889">
        <f>'SAN LUONG'!AO483*0.44</f>
        <v>169.4</v>
      </c>
      <c r="I485" s="889">
        <f t="shared" si="117"/>
        <v>2.68</v>
      </c>
      <c r="J485" s="889">
        <f>'SAN LUONG'!AV483*0.44</f>
        <v>0</v>
      </c>
      <c r="K485" s="889">
        <f t="shared" si="121"/>
        <v>0</v>
      </c>
      <c r="L485" s="889"/>
      <c r="M485" s="881">
        <f>'CHAM CONG'!BC480</f>
        <v>15</v>
      </c>
      <c r="N485" s="889">
        <f t="shared" si="122"/>
        <v>7.51</v>
      </c>
      <c r="O485" s="889">
        <f t="shared" si="123"/>
        <v>0.47</v>
      </c>
      <c r="P485" s="890">
        <f>'CHAM CONG'!BO480</f>
        <v>29</v>
      </c>
      <c r="Q485" s="942">
        <f t="shared" si="124"/>
        <v>2.72</v>
      </c>
      <c r="R485" s="942">
        <f>'SAN LUONG'!DW483</f>
        <v>17.600000000000001</v>
      </c>
      <c r="S485" s="942">
        <f t="shared" si="118"/>
        <v>0.55000000000000004</v>
      </c>
      <c r="T485" s="943">
        <f>'CHAM CONG'!BW480</f>
        <v>0</v>
      </c>
      <c r="U485" s="942">
        <f t="shared" si="125"/>
        <v>0</v>
      </c>
      <c r="V485" s="890">
        <f>'CHAM CONG'!BD480</f>
        <v>4</v>
      </c>
      <c r="W485" s="944">
        <f t="shared" si="119"/>
        <v>2.13</v>
      </c>
      <c r="X485" s="891">
        <f>'CHAM CONG'!BT480</f>
        <v>1</v>
      </c>
      <c r="Y485" s="881">
        <f t="shared" si="131"/>
        <v>1</v>
      </c>
      <c r="Z485" s="892">
        <v>6.04</v>
      </c>
      <c r="AA485" s="942">
        <f t="shared" si="128"/>
        <v>1.71</v>
      </c>
      <c r="AB485" s="892">
        <v>6.03</v>
      </c>
      <c r="AC485" s="942">
        <f t="shared" si="129"/>
        <v>7.2</v>
      </c>
      <c r="AD485" s="892">
        <v>6.03</v>
      </c>
      <c r="AE485" s="942">
        <f t="shared" si="130"/>
        <v>4.3</v>
      </c>
      <c r="AF485" s="943" t="e">
        <f>#N/A</f>
        <v>#N/A</v>
      </c>
      <c r="AG485" s="893">
        <f t="shared" si="120"/>
        <v>40.889999999999993</v>
      </c>
      <c r="AH485" s="894"/>
      <c r="AI485" s="895">
        <v>25.33</v>
      </c>
      <c r="AJ485" s="791">
        <v>21.810000000000002</v>
      </c>
      <c r="AK485" s="896">
        <f t="shared" si="127"/>
        <v>4</v>
      </c>
      <c r="AL485" s="896"/>
      <c r="AS485" s="898"/>
    </row>
    <row r="486" spans="1:45" s="779" customFormat="1" ht="22.95" customHeight="1">
      <c r="A486" s="885">
        <v>470</v>
      </c>
      <c r="B486" s="886"/>
      <c r="C486" s="887" t="str">
        <f>'Tên thang 01-26'!E473</f>
        <v>ស៊ុត សោន</v>
      </c>
      <c r="D486" s="887" t="str">
        <f>'Tên thang 01-26'!F473</f>
        <v>SUT SAON</v>
      </c>
      <c r="E486" s="888">
        <v>458</v>
      </c>
      <c r="F486" s="889">
        <f>'SAN LUONG'!AP484*0.44</f>
        <v>729.08</v>
      </c>
      <c r="G486" s="889">
        <f t="shared" si="116"/>
        <v>10.38</v>
      </c>
      <c r="H486" s="889">
        <f>'SAN LUONG'!AO484*0.44</f>
        <v>173.36</v>
      </c>
      <c r="I486" s="889">
        <f t="shared" si="117"/>
        <v>2.74</v>
      </c>
      <c r="J486" s="889">
        <f>'SAN LUONG'!AV484*0.44</f>
        <v>0</v>
      </c>
      <c r="K486" s="889">
        <f t="shared" si="121"/>
        <v>0</v>
      </c>
      <c r="L486" s="889"/>
      <c r="M486" s="881">
        <f>'CHAM CONG'!BC481</f>
        <v>15</v>
      </c>
      <c r="N486" s="889">
        <f t="shared" si="122"/>
        <v>7.51</v>
      </c>
      <c r="O486" s="889">
        <f t="shared" si="123"/>
        <v>0.47</v>
      </c>
      <c r="P486" s="890">
        <f>'CHAM CONG'!BO481</f>
        <v>29</v>
      </c>
      <c r="Q486" s="942">
        <f t="shared" si="124"/>
        <v>2.72</v>
      </c>
      <c r="R486" s="942">
        <f>'SAN LUONG'!DW484</f>
        <v>17.2</v>
      </c>
      <c r="S486" s="942">
        <f t="shared" si="118"/>
        <v>0.54</v>
      </c>
      <c r="T486" s="943">
        <f>'CHAM CONG'!BW481</f>
        <v>0</v>
      </c>
      <c r="U486" s="942">
        <f t="shared" si="125"/>
        <v>0</v>
      </c>
      <c r="V486" s="890">
        <f>'CHAM CONG'!BD481</f>
        <v>4</v>
      </c>
      <c r="W486" s="944">
        <f t="shared" si="119"/>
        <v>2.13</v>
      </c>
      <c r="X486" s="891">
        <f>'CHAM CONG'!BT481</f>
        <v>1</v>
      </c>
      <c r="Y486" s="881">
        <f t="shared" si="131"/>
        <v>1</v>
      </c>
      <c r="Z486" s="892">
        <v>6.04</v>
      </c>
      <c r="AA486" s="942">
        <f t="shared" si="128"/>
        <v>1.71</v>
      </c>
      <c r="AB486" s="892">
        <v>6.03</v>
      </c>
      <c r="AC486" s="942">
        <f t="shared" si="129"/>
        <v>7.2</v>
      </c>
      <c r="AD486" s="892">
        <v>6.03</v>
      </c>
      <c r="AE486" s="942">
        <f t="shared" si="130"/>
        <v>4.3</v>
      </c>
      <c r="AF486" s="943" t="e">
        <f>#N/A</f>
        <v>#N/A</v>
      </c>
      <c r="AG486" s="893">
        <f t="shared" si="120"/>
        <v>40.699999999999996</v>
      </c>
      <c r="AH486" s="894"/>
      <c r="AI486" s="895">
        <v>27.01</v>
      </c>
      <c r="AJ486" s="791">
        <v>22.83</v>
      </c>
      <c r="AK486" s="896">
        <f t="shared" si="127"/>
        <v>4</v>
      </c>
      <c r="AL486" s="896"/>
      <c r="AS486" s="898"/>
    </row>
    <row r="487" spans="1:45" s="779" customFormat="1" ht="22.95" customHeight="1">
      <c r="A487" s="885">
        <v>471</v>
      </c>
      <c r="B487" s="886"/>
      <c r="C487" s="887" t="str">
        <f>'Tên thang 01-26'!E474</f>
        <v>ឈួន ឈី</v>
      </c>
      <c r="D487" s="887" t="str">
        <f>'Tên thang 01-26'!F474</f>
        <v>CHHUON CHHY</v>
      </c>
      <c r="E487" s="888">
        <v>459</v>
      </c>
      <c r="F487" s="889">
        <f>'SAN LUONG'!AP485*0.44</f>
        <v>663.08</v>
      </c>
      <c r="G487" s="889">
        <f t="shared" si="116"/>
        <v>9.44</v>
      </c>
      <c r="H487" s="889">
        <f>'SAN LUONG'!AO485*0.44</f>
        <v>147.84</v>
      </c>
      <c r="I487" s="889">
        <f t="shared" si="117"/>
        <v>2.34</v>
      </c>
      <c r="J487" s="889">
        <f>'SAN LUONG'!AV485*0.44</f>
        <v>0</v>
      </c>
      <c r="K487" s="889">
        <f t="shared" si="121"/>
        <v>0</v>
      </c>
      <c r="L487" s="889"/>
      <c r="M487" s="881">
        <f>'CHAM CONG'!BC482</f>
        <v>15</v>
      </c>
      <c r="N487" s="889">
        <f t="shared" si="122"/>
        <v>7.51</v>
      </c>
      <c r="O487" s="889">
        <f t="shared" si="123"/>
        <v>0.47</v>
      </c>
      <c r="P487" s="890">
        <f>'CHAM CONG'!BO482</f>
        <v>29</v>
      </c>
      <c r="Q487" s="942">
        <f t="shared" si="124"/>
        <v>2.72</v>
      </c>
      <c r="R487" s="942">
        <f>'SAN LUONG'!DW485</f>
        <v>21.6</v>
      </c>
      <c r="S487" s="942">
        <f t="shared" si="118"/>
        <v>0.68</v>
      </c>
      <c r="T487" s="943">
        <f>'CHAM CONG'!BW482</f>
        <v>0</v>
      </c>
      <c r="U487" s="942">
        <f t="shared" si="125"/>
        <v>0</v>
      </c>
      <c r="V487" s="890">
        <f>'CHAM CONG'!BD482</f>
        <v>4</v>
      </c>
      <c r="W487" s="944">
        <f t="shared" si="119"/>
        <v>2.13</v>
      </c>
      <c r="X487" s="891">
        <f>'CHAM CONG'!BT482</f>
        <v>1</v>
      </c>
      <c r="Y487" s="881">
        <f t="shared" si="131"/>
        <v>1</v>
      </c>
      <c r="Z487" s="892">
        <v>6.04</v>
      </c>
      <c r="AA487" s="942">
        <f t="shared" si="128"/>
        <v>1.71</v>
      </c>
      <c r="AB487" s="892">
        <v>6.03</v>
      </c>
      <c r="AC487" s="942">
        <f t="shared" si="129"/>
        <v>7.2</v>
      </c>
      <c r="AD487" s="892">
        <v>6.03</v>
      </c>
      <c r="AE487" s="942">
        <f t="shared" si="130"/>
        <v>4.3</v>
      </c>
      <c r="AF487" s="943" t="e">
        <f>#N/A</f>
        <v>#N/A</v>
      </c>
      <c r="AG487" s="893">
        <f t="shared" si="120"/>
        <v>39.499999999999993</v>
      </c>
      <c r="AH487" s="894"/>
      <c r="AI487" s="895">
        <v>26.54</v>
      </c>
      <c r="AJ487" s="791">
        <v>23.020000000000003</v>
      </c>
      <c r="AK487" s="896">
        <f t="shared" si="127"/>
        <v>4</v>
      </c>
      <c r="AL487" s="896"/>
      <c r="AS487" s="898"/>
    </row>
    <row r="488" spans="1:45" s="779" customFormat="1" ht="22.95" customHeight="1">
      <c r="A488" s="885">
        <v>472</v>
      </c>
      <c r="B488" s="886"/>
      <c r="C488" s="887" t="str">
        <f>'Tên thang 01-26'!E475</f>
        <v>ម៉េត សុផល</v>
      </c>
      <c r="D488" s="887" t="str">
        <f>'Tên thang 01-26'!F475</f>
        <v>MET SOPHALL</v>
      </c>
      <c r="E488" s="888">
        <v>460</v>
      </c>
      <c r="F488" s="889">
        <f>'SAN LUONG'!AP486*0.44</f>
        <v>448.36</v>
      </c>
      <c r="G488" s="889">
        <f t="shared" si="116"/>
        <v>6.39</v>
      </c>
      <c r="H488" s="889">
        <f>'SAN LUONG'!AO486*0.44</f>
        <v>241.12</v>
      </c>
      <c r="I488" s="889">
        <f t="shared" si="117"/>
        <v>3.81</v>
      </c>
      <c r="J488" s="889">
        <f>'SAN LUONG'!AV486*0.44</f>
        <v>0</v>
      </c>
      <c r="K488" s="889">
        <f t="shared" si="121"/>
        <v>0</v>
      </c>
      <c r="L488" s="889"/>
      <c r="M488" s="881">
        <f>'CHAM CONG'!BC483</f>
        <v>15</v>
      </c>
      <c r="N488" s="889">
        <f t="shared" si="122"/>
        <v>7.51</v>
      </c>
      <c r="O488" s="889">
        <f t="shared" si="123"/>
        <v>0.47</v>
      </c>
      <c r="P488" s="890">
        <f>'CHAM CONG'!BO483</f>
        <v>27</v>
      </c>
      <c r="Q488" s="942">
        <f t="shared" si="124"/>
        <v>2.54</v>
      </c>
      <c r="R488" s="942">
        <f>'SAN LUONG'!DW486</f>
        <v>10.4</v>
      </c>
      <c r="S488" s="942">
        <f t="shared" si="118"/>
        <v>0.33</v>
      </c>
      <c r="T488" s="943">
        <f>'CHAM CONG'!BW483</f>
        <v>-20000</v>
      </c>
      <c r="U488" s="942">
        <f t="shared" si="125"/>
        <v>-0.63</v>
      </c>
      <c r="V488" s="890">
        <f>'CHAM CONG'!BD483</f>
        <v>2</v>
      </c>
      <c r="W488" s="944">
        <f t="shared" si="119"/>
        <v>1.06</v>
      </c>
      <c r="X488" s="891">
        <f>'CHAM CONG'!BT483</f>
        <v>1</v>
      </c>
      <c r="Y488" s="881">
        <f t="shared" ref="Y488:Y499" si="132">ROUND(X488*1.0956,0)</f>
        <v>1</v>
      </c>
      <c r="Z488" s="892">
        <v>6.04</v>
      </c>
      <c r="AA488" s="942">
        <f t="shared" si="128"/>
        <v>1.71</v>
      </c>
      <c r="AB488" s="892">
        <v>6.03</v>
      </c>
      <c r="AC488" s="942">
        <f t="shared" si="129"/>
        <v>7.2</v>
      </c>
      <c r="AD488" s="892">
        <v>6.03</v>
      </c>
      <c r="AE488" s="942">
        <f t="shared" si="130"/>
        <v>4.3</v>
      </c>
      <c r="AF488" s="943" t="e">
        <f>#N/A</f>
        <v>#N/A</v>
      </c>
      <c r="AG488" s="893">
        <f t="shared" si="120"/>
        <v>35.69</v>
      </c>
      <c r="AH488" s="894"/>
      <c r="AI488" s="895">
        <v>21.52</v>
      </c>
      <c r="AJ488" s="791">
        <v>18.66</v>
      </c>
      <c r="AK488" s="896">
        <f t="shared" si="127"/>
        <v>3</v>
      </c>
      <c r="AL488" s="896"/>
      <c r="AS488" s="898"/>
    </row>
    <row r="489" spans="1:45" s="779" customFormat="1" ht="22.95" customHeight="1">
      <c r="A489" s="885">
        <v>473</v>
      </c>
      <c r="B489" s="886"/>
      <c r="C489" s="887" t="str">
        <f>'Tên thang 01-26'!E476</f>
        <v>អ៊ឹម ថូ</v>
      </c>
      <c r="D489" s="887" t="str">
        <f>'Tên thang 01-26'!F476</f>
        <v>OEM THO</v>
      </c>
      <c r="E489" s="888">
        <v>461</v>
      </c>
      <c r="F489" s="889">
        <f>'SAN LUONG'!AP487*0.44</f>
        <v>647.24</v>
      </c>
      <c r="G489" s="889">
        <f t="shared" si="116"/>
        <v>9.2200000000000006</v>
      </c>
      <c r="H489" s="889">
        <f>'SAN LUONG'!AO487*0.44</f>
        <v>210.76</v>
      </c>
      <c r="I489" s="889">
        <f t="shared" si="117"/>
        <v>3.33</v>
      </c>
      <c r="J489" s="889">
        <f>'SAN LUONG'!AV487*0.44</f>
        <v>0</v>
      </c>
      <c r="K489" s="889">
        <f t="shared" si="121"/>
        <v>0</v>
      </c>
      <c r="L489" s="889"/>
      <c r="M489" s="881">
        <f>'CHAM CONG'!BC484</f>
        <v>16</v>
      </c>
      <c r="N489" s="889">
        <f t="shared" si="122"/>
        <v>8.01</v>
      </c>
      <c r="O489" s="889">
        <f t="shared" si="123"/>
        <v>0.5</v>
      </c>
      <c r="P489" s="890">
        <f>'CHAM CONG'!BO484</f>
        <v>30</v>
      </c>
      <c r="Q489" s="942">
        <f t="shared" si="124"/>
        <v>2.82</v>
      </c>
      <c r="R489" s="942">
        <f>'SAN LUONG'!DW487</f>
        <v>12.8</v>
      </c>
      <c r="S489" s="942">
        <f t="shared" si="118"/>
        <v>0.4</v>
      </c>
      <c r="T489" s="943">
        <f>'CHAM CONG'!BW484</f>
        <v>0</v>
      </c>
      <c r="U489" s="942">
        <f t="shared" si="125"/>
        <v>0</v>
      </c>
      <c r="V489" s="890">
        <f>'CHAM CONG'!BD484</f>
        <v>2</v>
      </c>
      <c r="W489" s="944">
        <f t="shared" si="119"/>
        <v>1.06</v>
      </c>
      <c r="X489" s="891">
        <f>'CHAM CONG'!BT484</f>
        <v>1</v>
      </c>
      <c r="Y489" s="881">
        <f t="shared" si="132"/>
        <v>1</v>
      </c>
      <c r="Z489" s="892">
        <v>6.04</v>
      </c>
      <c r="AA489" s="942">
        <f t="shared" si="128"/>
        <v>1.71</v>
      </c>
      <c r="AB489" s="892">
        <v>6.03</v>
      </c>
      <c r="AC489" s="942">
        <f t="shared" si="129"/>
        <v>7.2</v>
      </c>
      <c r="AD489" s="892">
        <v>6.03</v>
      </c>
      <c r="AE489" s="942">
        <f t="shared" si="130"/>
        <v>4.3</v>
      </c>
      <c r="AF489" s="943" t="e">
        <f>#N/A</f>
        <v>#N/A</v>
      </c>
      <c r="AG489" s="893">
        <f t="shared" si="120"/>
        <v>39.549999999999997</v>
      </c>
      <c r="AH489" s="894"/>
      <c r="AI489" s="895">
        <v>25.14</v>
      </c>
      <c r="AJ489" s="791">
        <v>22.259999999999998</v>
      </c>
      <c r="AK489" s="896">
        <f t="shared" si="127"/>
        <v>3</v>
      </c>
      <c r="AL489" s="896"/>
      <c r="AS489" s="898"/>
    </row>
    <row r="490" spans="1:45" s="779" customFormat="1" ht="22.95" customHeight="1">
      <c r="A490" s="885">
        <v>474</v>
      </c>
      <c r="B490" s="886"/>
      <c r="C490" s="887" t="str">
        <f>'Tên thang 01-26'!E477</f>
        <v>សៀវ រីណា</v>
      </c>
      <c r="D490" s="887" t="str">
        <f>'Tên thang 01-26'!F477</f>
        <v>SEAV RINA</v>
      </c>
      <c r="E490" s="888">
        <v>462</v>
      </c>
      <c r="F490" s="889">
        <f>'SAN LUONG'!AP488*0.44</f>
        <v>617.32000000000005</v>
      </c>
      <c r="G490" s="889">
        <f t="shared" si="116"/>
        <v>8.7899999999999991</v>
      </c>
      <c r="H490" s="889">
        <f>'SAN LUONG'!AO488*0.44</f>
        <v>192.28</v>
      </c>
      <c r="I490" s="889">
        <f t="shared" si="117"/>
        <v>3.04</v>
      </c>
      <c r="J490" s="889">
        <f>'SAN LUONG'!AV488*0.44</f>
        <v>0</v>
      </c>
      <c r="K490" s="889">
        <f t="shared" si="121"/>
        <v>0</v>
      </c>
      <c r="L490" s="889"/>
      <c r="M490" s="881">
        <f>'CHAM CONG'!BC485</f>
        <v>13</v>
      </c>
      <c r="N490" s="889">
        <f t="shared" si="122"/>
        <v>6.51</v>
      </c>
      <c r="O490" s="889">
        <f t="shared" si="123"/>
        <v>0.41</v>
      </c>
      <c r="P490" s="890">
        <f>'CHAM CONG'!BO485</f>
        <v>26</v>
      </c>
      <c r="Q490" s="942">
        <f t="shared" si="124"/>
        <v>2.44</v>
      </c>
      <c r="R490" s="942">
        <f>'SAN LUONG'!DW488</f>
        <v>16.399999999999999</v>
      </c>
      <c r="S490" s="942">
        <f t="shared" si="118"/>
        <v>0.51</v>
      </c>
      <c r="T490" s="943">
        <f>'CHAM CONG'!BW485</f>
        <v>0</v>
      </c>
      <c r="U490" s="942">
        <f t="shared" si="125"/>
        <v>0</v>
      </c>
      <c r="V490" s="890">
        <f>'CHAM CONG'!BD485</f>
        <v>3</v>
      </c>
      <c r="W490" s="944">
        <f t="shared" si="119"/>
        <v>1.6</v>
      </c>
      <c r="X490" s="891">
        <f>'CHAM CONG'!BT485</f>
        <v>1</v>
      </c>
      <c r="Y490" s="881">
        <f t="shared" si="132"/>
        <v>1</v>
      </c>
      <c r="Z490" s="892">
        <v>6.04</v>
      </c>
      <c r="AA490" s="942">
        <f t="shared" si="128"/>
        <v>1.71</v>
      </c>
      <c r="AB490" s="892">
        <v>6.03</v>
      </c>
      <c r="AC490" s="942">
        <f t="shared" si="129"/>
        <v>7.2</v>
      </c>
      <c r="AD490" s="892">
        <v>6.03</v>
      </c>
      <c r="AE490" s="942">
        <f t="shared" si="130"/>
        <v>4.3</v>
      </c>
      <c r="AF490" s="943" t="e">
        <f>#N/A</f>
        <v>#N/A</v>
      </c>
      <c r="AG490" s="893">
        <f t="shared" si="120"/>
        <v>37.51</v>
      </c>
      <c r="AH490" s="894"/>
      <c r="AI490" s="895">
        <v>26.29</v>
      </c>
      <c r="AJ490" s="791">
        <v>22.77</v>
      </c>
      <c r="AK490" s="896">
        <f t="shared" si="127"/>
        <v>4</v>
      </c>
      <c r="AL490" s="896"/>
      <c r="AS490" s="898"/>
    </row>
    <row r="491" spans="1:45" s="779" customFormat="1" ht="22.95" customHeight="1">
      <c r="A491" s="885">
        <v>475</v>
      </c>
      <c r="B491" s="886"/>
      <c r="C491" s="887" t="str">
        <f>'Tên thang 01-26'!E478</f>
        <v>ផា សុសាយ</v>
      </c>
      <c r="D491" s="887" t="str">
        <f>'Tên thang 01-26'!F478</f>
        <v>PHA SOSAY</v>
      </c>
      <c r="E491" s="888">
        <v>463</v>
      </c>
      <c r="F491" s="889">
        <f>'SAN LUONG'!AP489*0.44</f>
        <v>572.44000000000005</v>
      </c>
      <c r="G491" s="889">
        <f t="shared" si="116"/>
        <v>8.15</v>
      </c>
      <c r="H491" s="889">
        <f>'SAN LUONG'!AO489*0.44</f>
        <v>167.2</v>
      </c>
      <c r="I491" s="889">
        <f t="shared" si="117"/>
        <v>2.64</v>
      </c>
      <c r="J491" s="889">
        <f>'SAN LUONG'!AV489*0.44</f>
        <v>0</v>
      </c>
      <c r="K491" s="889">
        <f t="shared" si="121"/>
        <v>0</v>
      </c>
      <c r="L491" s="889"/>
      <c r="M491" s="881">
        <f>'CHAM CONG'!BC486</f>
        <v>15</v>
      </c>
      <c r="N491" s="889">
        <f t="shared" si="122"/>
        <v>7.51</v>
      </c>
      <c r="O491" s="889">
        <f t="shared" si="123"/>
        <v>0.47</v>
      </c>
      <c r="P491" s="890">
        <f>'CHAM CONG'!BO486</f>
        <v>27</v>
      </c>
      <c r="Q491" s="942">
        <f t="shared" si="124"/>
        <v>2.54</v>
      </c>
      <c r="R491" s="942">
        <f>'SAN LUONG'!DW489</f>
        <v>6.5</v>
      </c>
      <c r="S491" s="942">
        <f t="shared" si="118"/>
        <v>0.2</v>
      </c>
      <c r="T491" s="943">
        <f>'CHAM CONG'!BW486</f>
        <v>0</v>
      </c>
      <c r="U491" s="942">
        <f t="shared" si="125"/>
        <v>0</v>
      </c>
      <c r="V491" s="890">
        <f>'CHAM CONG'!BD486</f>
        <v>1</v>
      </c>
      <c r="W491" s="944">
        <f t="shared" si="119"/>
        <v>0.53</v>
      </c>
      <c r="X491" s="891">
        <f>'CHAM CONG'!BT486</f>
        <v>1</v>
      </c>
      <c r="Y491" s="881">
        <f t="shared" si="132"/>
        <v>1</v>
      </c>
      <c r="Z491" s="892">
        <v>6.04</v>
      </c>
      <c r="AA491" s="942">
        <f t="shared" si="128"/>
        <v>1.71</v>
      </c>
      <c r="AB491" s="892">
        <v>6.03</v>
      </c>
      <c r="AC491" s="942">
        <f t="shared" si="129"/>
        <v>7.2</v>
      </c>
      <c r="AD491" s="892">
        <v>6.03</v>
      </c>
      <c r="AE491" s="942">
        <f t="shared" si="130"/>
        <v>4.3</v>
      </c>
      <c r="AF491" s="943" t="e">
        <f>#N/A</f>
        <v>#N/A</v>
      </c>
      <c r="AG491" s="893">
        <f t="shared" si="120"/>
        <v>36.25</v>
      </c>
      <c r="AH491" s="894"/>
      <c r="AI491" s="895">
        <v>21.84</v>
      </c>
      <c r="AJ491" s="791">
        <v>18.430000000000003</v>
      </c>
      <c r="AK491" s="896">
        <f t="shared" si="127"/>
        <v>3</v>
      </c>
      <c r="AL491" s="896"/>
      <c r="AS491" s="898"/>
    </row>
    <row r="492" spans="1:45" s="779" customFormat="1" ht="22.95" customHeight="1">
      <c r="A492" s="885">
        <v>476</v>
      </c>
      <c r="B492" s="886"/>
      <c r="C492" s="887" t="str">
        <f>'Tên thang 01-26'!E479</f>
        <v>ធាន អូន</v>
      </c>
      <c r="D492" s="887" t="str">
        <f>'Tên thang 01-26'!F479</f>
        <v>THEAN OUN</v>
      </c>
      <c r="E492" s="888">
        <v>464</v>
      </c>
      <c r="F492" s="889">
        <f>'SAN LUONG'!AP490*0.44</f>
        <v>637.56000000000006</v>
      </c>
      <c r="G492" s="889">
        <f t="shared" si="116"/>
        <v>9.08</v>
      </c>
      <c r="H492" s="889">
        <f>'SAN LUONG'!AO490*0.44</f>
        <v>217.36</v>
      </c>
      <c r="I492" s="889">
        <f t="shared" si="117"/>
        <v>3.44</v>
      </c>
      <c r="J492" s="889">
        <f>'SAN LUONG'!AV490*0.44</f>
        <v>0</v>
      </c>
      <c r="K492" s="889">
        <f t="shared" si="121"/>
        <v>0</v>
      </c>
      <c r="L492" s="889"/>
      <c r="M492" s="881">
        <f>'CHAM CONG'!BC487</f>
        <v>15</v>
      </c>
      <c r="N492" s="889">
        <f t="shared" si="122"/>
        <v>7.51</v>
      </c>
      <c r="O492" s="889">
        <f t="shared" si="123"/>
        <v>0.47</v>
      </c>
      <c r="P492" s="890">
        <f>'CHAM CONG'!BO487</f>
        <v>29</v>
      </c>
      <c r="Q492" s="942">
        <f t="shared" si="124"/>
        <v>2.72</v>
      </c>
      <c r="R492" s="942">
        <f>'SAN LUONG'!DW490</f>
        <v>16.2</v>
      </c>
      <c r="S492" s="942">
        <f t="shared" si="118"/>
        <v>0.51</v>
      </c>
      <c r="T492" s="943">
        <f>'CHAM CONG'!BW487</f>
        <v>0</v>
      </c>
      <c r="U492" s="942">
        <f t="shared" si="125"/>
        <v>0</v>
      </c>
      <c r="V492" s="890">
        <f>'CHAM CONG'!BD487</f>
        <v>4</v>
      </c>
      <c r="W492" s="944">
        <f t="shared" si="119"/>
        <v>2.13</v>
      </c>
      <c r="X492" s="891">
        <f>'CHAM CONG'!BT487</f>
        <v>1</v>
      </c>
      <c r="Y492" s="881">
        <f t="shared" si="132"/>
        <v>1</v>
      </c>
      <c r="Z492" s="892">
        <v>6.04</v>
      </c>
      <c r="AA492" s="942">
        <f t="shared" si="128"/>
        <v>1.71</v>
      </c>
      <c r="AB492" s="892">
        <v>6.03</v>
      </c>
      <c r="AC492" s="942">
        <f t="shared" si="129"/>
        <v>7.2</v>
      </c>
      <c r="AD492" s="892">
        <v>6.03</v>
      </c>
      <c r="AE492" s="942">
        <f t="shared" si="130"/>
        <v>4.3</v>
      </c>
      <c r="AF492" s="943" t="e">
        <f>#N/A</f>
        <v>#N/A</v>
      </c>
      <c r="AG492" s="893">
        <f t="shared" si="120"/>
        <v>40.07</v>
      </c>
      <c r="AH492" s="894"/>
      <c r="AI492" s="895">
        <v>25.44</v>
      </c>
      <c r="AJ492" s="791">
        <v>21.93</v>
      </c>
      <c r="AK492" s="896">
        <f t="shared" si="127"/>
        <v>4</v>
      </c>
      <c r="AL492" s="896"/>
      <c r="AS492" s="898"/>
    </row>
    <row r="493" spans="1:45" s="779" customFormat="1" ht="22.95" customHeight="1">
      <c r="A493" s="885">
        <v>477</v>
      </c>
      <c r="B493" s="886"/>
      <c r="C493" s="887" t="str">
        <f>'Tên thang 01-26'!E480</f>
        <v>អ៊ឹម ធារ៉ា</v>
      </c>
      <c r="D493" s="887" t="str">
        <f>'Tên thang 01-26'!F480</f>
        <v>OEM THEARA</v>
      </c>
      <c r="E493" s="888">
        <v>465</v>
      </c>
      <c r="F493" s="889">
        <f>'SAN LUONG'!AP491*0.44</f>
        <v>745.36</v>
      </c>
      <c r="G493" s="889">
        <f t="shared" si="116"/>
        <v>10.62</v>
      </c>
      <c r="H493" s="889">
        <f>'SAN LUONG'!AO491*0.44</f>
        <v>198.44</v>
      </c>
      <c r="I493" s="889">
        <f t="shared" si="117"/>
        <v>3.14</v>
      </c>
      <c r="J493" s="889">
        <f>'SAN LUONG'!AV491*0.44</f>
        <v>0</v>
      </c>
      <c r="K493" s="889">
        <f t="shared" si="121"/>
        <v>0</v>
      </c>
      <c r="L493" s="889"/>
      <c r="M493" s="881">
        <f>'CHAM CONG'!BC488</f>
        <v>14</v>
      </c>
      <c r="N493" s="889">
        <f t="shared" si="122"/>
        <v>7.01</v>
      </c>
      <c r="O493" s="889">
        <f t="shared" si="123"/>
        <v>0.44</v>
      </c>
      <c r="P493" s="890">
        <f>'CHAM CONG'!BO488</f>
        <v>28</v>
      </c>
      <c r="Q493" s="942">
        <f t="shared" si="124"/>
        <v>2.63</v>
      </c>
      <c r="R493" s="942">
        <f>'SAN LUONG'!DW491</f>
        <v>19.3</v>
      </c>
      <c r="S493" s="942">
        <f t="shared" si="118"/>
        <v>0.6</v>
      </c>
      <c r="T493" s="943">
        <f>'CHAM CONG'!BW488</f>
        <v>0</v>
      </c>
      <c r="U493" s="942">
        <f t="shared" si="125"/>
        <v>0</v>
      </c>
      <c r="V493" s="890">
        <f>'CHAM CONG'!BD488</f>
        <v>4</v>
      </c>
      <c r="W493" s="944">
        <f t="shared" si="119"/>
        <v>2.13</v>
      </c>
      <c r="X493" s="891">
        <f>'CHAM CONG'!BT488</f>
        <v>1</v>
      </c>
      <c r="Y493" s="881">
        <f t="shared" si="132"/>
        <v>1</v>
      </c>
      <c r="Z493" s="892">
        <v>6.04</v>
      </c>
      <c r="AA493" s="942">
        <f t="shared" si="128"/>
        <v>1.71</v>
      </c>
      <c r="AB493" s="892">
        <v>6.03</v>
      </c>
      <c r="AC493" s="942">
        <f t="shared" si="129"/>
        <v>7.2</v>
      </c>
      <c r="AD493" s="892">
        <v>6.03</v>
      </c>
      <c r="AE493" s="942">
        <f t="shared" si="130"/>
        <v>4.3</v>
      </c>
      <c r="AF493" s="943" t="e">
        <f>#N/A</f>
        <v>#N/A</v>
      </c>
      <c r="AG493" s="893">
        <f t="shared" si="120"/>
        <v>40.779999999999994</v>
      </c>
      <c r="AH493" s="894"/>
      <c r="AI493" s="895">
        <v>25.3</v>
      </c>
      <c r="AJ493" s="791">
        <v>21.78</v>
      </c>
      <c r="AK493" s="896">
        <f t="shared" si="127"/>
        <v>4</v>
      </c>
      <c r="AL493" s="896"/>
      <c r="AS493" s="898"/>
    </row>
    <row r="494" spans="1:45" s="779" customFormat="1" ht="22.95" customHeight="1">
      <c r="A494" s="885">
        <v>478</v>
      </c>
      <c r="B494" s="886"/>
      <c r="C494" s="887" t="str">
        <f>'Tên thang 01-26'!E481</f>
        <v>ជី ប៊ុនរ៉ូ</v>
      </c>
      <c r="D494" s="887" t="str">
        <f>'Tên thang 01-26'!F481</f>
        <v>CHY BUNRO</v>
      </c>
      <c r="E494" s="888">
        <v>466</v>
      </c>
      <c r="F494" s="889">
        <f>'SAN LUONG'!AP492*0.44</f>
        <v>561</v>
      </c>
      <c r="G494" s="889">
        <f t="shared" si="116"/>
        <v>7.99</v>
      </c>
      <c r="H494" s="889">
        <f>'SAN LUONG'!AO492*0.44</f>
        <v>145.64000000000001</v>
      </c>
      <c r="I494" s="889">
        <f t="shared" si="117"/>
        <v>2.2999999999999998</v>
      </c>
      <c r="J494" s="889">
        <f>'SAN LUONG'!AV492*0.44</f>
        <v>0</v>
      </c>
      <c r="K494" s="889">
        <f t="shared" si="121"/>
        <v>0</v>
      </c>
      <c r="L494" s="889"/>
      <c r="M494" s="881">
        <f>'CHAM CONG'!BC489</f>
        <v>14</v>
      </c>
      <c r="N494" s="889">
        <f t="shared" si="122"/>
        <v>7.01</v>
      </c>
      <c r="O494" s="889">
        <f t="shared" si="123"/>
        <v>0.44</v>
      </c>
      <c r="P494" s="890">
        <f>'CHAM CONG'!BO489</f>
        <v>27</v>
      </c>
      <c r="Q494" s="942">
        <f t="shared" si="124"/>
        <v>2.54</v>
      </c>
      <c r="R494" s="942">
        <f>'SAN LUONG'!DW492</f>
        <v>4.9000000000000004</v>
      </c>
      <c r="S494" s="942">
        <f t="shared" si="118"/>
        <v>0.15</v>
      </c>
      <c r="T494" s="943">
        <f>'CHAM CONG'!BW489</f>
        <v>0</v>
      </c>
      <c r="U494" s="942">
        <f t="shared" si="125"/>
        <v>0</v>
      </c>
      <c r="V494" s="890">
        <f>'CHAM CONG'!BD489</f>
        <v>1</v>
      </c>
      <c r="W494" s="944">
        <f t="shared" si="119"/>
        <v>0.53</v>
      </c>
      <c r="X494" s="891">
        <f>'CHAM CONG'!BT489</f>
        <v>1</v>
      </c>
      <c r="Y494" s="881">
        <f t="shared" si="132"/>
        <v>1</v>
      </c>
      <c r="Z494" s="892">
        <v>6.04</v>
      </c>
      <c r="AA494" s="942">
        <f t="shared" si="128"/>
        <v>1.71</v>
      </c>
      <c r="AB494" s="892">
        <v>6.03</v>
      </c>
      <c r="AC494" s="942">
        <f t="shared" si="129"/>
        <v>7.2</v>
      </c>
      <c r="AD494" s="892">
        <v>6.03</v>
      </c>
      <c r="AE494" s="942">
        <f t="shared" si="130"/>
        <v>4.3</v>
      </c>
      <c r="AF494" s="943" t="e">
        <f>#N/A</f>
        <v>#N/A</v>
      </c>
      <c r="AG494" s="893">
        <f t="shared" si="120"/>
        <v>35.169999999999995</v>
      </c>
      <c r="AH494" s="894"/>
      <c r="AI494" s="895">
        <v>22.11</v>
      </c>
      <c r="AJ494" s="791">
        <v>18.680000000000003</v>
      </c>
      <c r="AK494" s="896">
        <f t="shared" si="127"/>
        <v>3</v>
      </c>
      <c r="AL494" s="896"/>
      <c r="AS494" s="898"/>
    </row>
    <row r="495" spans="1:45" s="779" customFormat="1" ht="22.95" customHeight="1">
      <c r="A495" s="885">
        <v>479</v>
      </c>
      <c r="B495" s="886"/>
      <c r="C495" s="887" t="str">
        <f>'Tên thang 01-26'!E482</f>
        <v>ហឿន ឡៃហឿ</v>
      </c>
      <c r="D495" s="887" t="str">
        <f>'Tên thang 01-26'!F482</f>
        <v>HOEUN LYHOEU</v>
      </c>
      <c r="E495" s="888">
        <v>467</v>
      </c>
      <c r="F495" s="889">
        <f>'SAN LUONG'!AP493*0.44</f>
        <v>864.16</v>
      </c>
      <c r="G495" s="889">
        <f t="shared" si="116"/>
        <v>12.31</v>
      </c>
      <c r="H495" s="889">
        <f>'SAN LUONG'!AO493*0.44</f>
        <v>222.2</v>
      </c>
      <c r="I495" s="889">
        <f t="shared" si="117"/>
        <v>3.51</v>
      </c>
      <c r="J495" s="889">
        <f>'SAN LUONG'!AV493*0.44</f>
        <v>0</v>
      </c>
      <c r="K495" s="889">
        <f t="shared" si="121"/>
        <v>0</v>
      </c>
      <c r="L495" s="889"/>
      <c r="M495" s="881">
        <f>'CHAM CONG'!BC490</f>
        <v>15</v>
      </c>
      <c r="N495" s="889">
        <f t="shared" si="122"/>
        <v>7.51</v>
      </c>
      <c r="O495" s="889">
        <f t="shared" si="123"/>
        <v>0.47</v>
      </c>
      <c r="P495" s="890">
        <f>'CHAM CONG'!BO490</f>
        <v>28</v>
      </c>
      <c r="Q495" s="942">
        <f t="shared" si="124"/>
        <v>2.63</v>
      </c>
      <c r="R495" s="942">
        <f>'SAN LUONG'!DW493</f>
        <v>15.1</v>
      </c>
      <c r="S495" s="942">
        <f t="shared" si="118"/>
        <v>0.47</v>
      </c>
      <c r="T495" s="943">
        <f>'CHAM CONG'!BW490</f>
        <v>0</v>
      </c>
      <c r="U495" s="942">
        <f t="shared" si="125"/>
        <v>0</v>
      </c>
      <c r="V495" s="890">
        <f>'CHAM CONG'!BD490</f>
        <v>4</v>
      </c>
      <c r="W495" s="944">
        <f t="shared" si="119"/>
        <v>2.13</v>
      </c>
      <c r="X495" s="891">
        <f>'CHAM CONG'!BT490</f>
        <v>1</v>
      </c>
      <c r="Y495" s="881">
        <f t="shared" si="132"/>
        <v>1</v>
      </c>
      <c r="Z495" s="892">
        <v>6.04</v>
      </c>
      <c r="AA495" s="942">
        <f t="shared" si="128"/>
        <v>1.71</v>
      </c>
      <c r="AB495" s="892">
        <v>6.03</v>
      </c>
      <c r="AC495" s="942">
        <f t="shared" si="129"/>
        <v>7.2</v>
      </c>
      <c r="AD495" s="892">
        <v>6.03</v>
      </c>
      <c r="AE495" s="942">
        <f t="shared" si="130"/>
        <v>4.3</v>
      </c>
      <c r="AF495" s="943" t="e">
        <f>#N/A</f>
        <v>#N/A</v>
      </c>
      <c r="AG495" s="893">
        <f t="shared" si="120"/>
        <v>43.239999999999995</v>
      </c>
      <c r="AH495" s="894"/>
      <c r="AI495" s="895">
        <v>24.56</v>
      </c>
      <c r="AJ495" s="791">
        <v>21.05</v>
      </c>
      <c r="AK495" s="896">
        <f t="shared" si="127"/>
        <v>4</v>
      </c>
      <c r="AL495" s="896"/>
      <c r="AS495" s="898"/>
    </row>
    <row r="496" spans="1:45" s="779" customFormat="1" ht="22.95" customHeight="1">
      <c r="A496" s="885">
        <v>480</v>
      </c>
      <c r="B496" s="886"/>
      <c r="C496" s="887" t="str">
        <f>'Tên thang 01-26'!E483</f>
        <v>ព បៀវ</v>
      </c>
      <c r="D496" s="887" t="str">
        <f>'Tên thang 01-26'!F483</f>
        <v>POR BEAV</v>
      </c>
      <c r="E496" s="888">
        <v>468</v>
      </c>
      <c r="F496" s="889">
        <f>'SAN LUONG'!AP494*0.44</f>
        <v>849.64</v>
      </c>
      <c r="G496" s="889">
        <f t="shared" si="116"/>
        <v>12.1</v>
      </c>
      <c r="H496" s="889">
        <f>'SAN LUONG'!AO494*0.44</f>
        <v>236.72</v>
      </c>
      <c r="I496" s="889">
        <f t="shared" si="117"/>
        <v>3.74</v>
      </c>
      <c r="J496" s="889">
        <f>'SAN LUONG'!AV494*0.44</f>
        <v>0</v>
      </c>
      <c r="K496" s="889">
        <f t="shared" si="121"/>
        <v>0</v>
      </c>
      <c r="L496" s="889"/>
      <c r="M496" s="881">
        <f>'CHAM CONG'!BC491</f>
        <v>15</v>
      </c>
      <c r="N496" s="889">
        <f t="shared" si="122"/>
        <v>7.51</v>
      </c>
      <c r="O496" s="889">
        <f t="shared" si="123"/>
        <v>0.47</v>
      </c>
      <c r="P496" s="890">
        <f>'CHAM CONG'!BO491</f>
        <v>29</v>
      </c>
      <c r="Q496" s="942">
        <f t="shared" si="124"/>
        <v>2.72</v>
      </c>
      <c r="R496" s="942">
        <f>'SAN LUONG'!DW494</f>
        <v>14.9</v>
      </c>
      <c r="S496" s="942">
        <f t="shared" si="118"/>
        <v>0.47</v>
      </c>
      <c r="T496" s="943">
        <f>'CHAM CONG'!BW491</f>
        <v>20000</v>
      </c>
      <c r="U496" s="942">
        <f t="shared" si="125"/>
        <v>0.63</v>
      </c>
      <c r="V496" s="890">
        <f>'CHAM CONG'!BD491</f>
        <v>4</v>
      </c>
      <c r="W496" s="944">
        <f t="shared" si="119"/>
        <v>2.13</v>
      </c>
      <c r="X496" s="891">
        <f>'CHAM CONG'!BT491</f>
        <v>1</v>
      </c>
      <c r="Y496" s="881">
        <f t="shared" si="132"/>
        <v>1</v>
      </c>
      <c r="Z496" s="892">
        <v>6.04</v>
      </c>
      <c r="AA496" s="942">
        <f t="shared" si="128"/>
        <v>1.71</v>
      </c>
      <c r="AB496" s="892">
        <v>6.03</v>
      </c>
      <c r="AC496" s="942">
        <f t="shared" si="129"/>
        <v>7.2</v>
      </c>
      <c r="AD496" s="892">
        <v>6.03</v>
      </c>
      <c r="AE496" s="942">
        <f t="shared" si="130"/>
        <v>4.3</v>
      </c>
      <c r="AF496" s="943" t="e">
        <f>#N/A</f>
        <v>#N/A</v>
      </c>
      <c r="AG496" s="893">
        <f t="shared" si="120"/>
        <v>43.98</v>
      </c>
      <c r="AH496" s="894"/>
      <c r="AI496" s="895">
        <v>26.71</v>
      </c>
      <c r="AJ496" s="791">
        <v>22.67</v>
      </c>
      <c r="AK496" s="896">
        <f t="shared" si="127"/>
        <v>4</v>
      </c>
      <c r="AL496" s="896"/>
      <c r="AS496" s="898"/>
    </row>
    <row r="497" spans="1:73" s="779" customFormat="1" ht="22.95" customHeight="1">
      <c r="A497" s="885">
        <v>481</v>
      </c>
      <c r="B497" s="886"/>
      <c r="C497" s="887" t="str">
        <f>'Tên thang 01-26'!E484</f>
        <v>សេង ស្រីមុំ</v>
      </c>
      <c r="D497" s="887" t="str">
        <f>'Tên thang 01-26'!F484</f>
        <v>SENG SREYMOM</v>
      </c>
      <c r="E497" s="888">
        <v>469</v>
      </c>
      <c r="F497" s="889">
        <f>'SAN LUONG'!AP495*0.44</f>
        <v>809.16</v>
      </c>
      <c r="G497" s="889">
        <f t="shared" si="116"/>
        <v>11.52</v>
      </c>
      <c r="H497" s="889">
        <f>'SAN LUONG'!AO495*0.44</f>
        <v>224.84</v>
      </c>
      <c r="I497" s="889">
        <f t="shared" si="117"/>
        <v>3.55</v>
      </c>
      <c r="J497" s="889">
        <f>'SAN LUONG'!AV495*0.44</f>
        <v>0</v>
      </c>
      <c r="K497" s="889">
        <f t="shared" si="121"/>
        <v>0</v>
      </c>
      <c r="L497" s="889"/>
      <c r="M497" s="881">
        <f>'CHAM CONG'!BC492</f>
        <v>16</v>
      </c>
      <c r="N497" s="889">
        <f t="shared" si="122"/>
        <v>8.01</v>
      </c>
      <c r="O497" s="889">
        <f t="shared" si="123"/>
        <v>0.5</v>
      </c>
      <c r="P497" s="890">
        <f>'CHAM CONG'!BO492</f>
        <v>30</v>
      </c>
      <c r="Q497" s="942">
        <f t="shared" si="124"/>
        <v>2.82</v>
      </c>
      <c r="R497" s="942">
        <f>'SAN LUONG'!DW495</f>
        <v>10.199999999999999</v>
      </c>
      <c r="S497" s="942">
        <f t="shared" si="118"/>
        <v>0.32</v>
      </c>
      <c r="T497" s="943">
        <f>'CHAM CONG'!BW492</f>
        <v>-20000</v>
      </c>
      <c r="U497" s="942">
        <f t="shared" si="125"/>
        <v>-0.63</v>
      </c>
      <c r="V497" s="890">
        <f>'CHAM CONG'!BD492</f>
        <v>2</v>
      </c>
      <c r="W497" s="944">
        <f>ROUND(V497*$V$15,2)+0.09</f>
        <v>1.1500000000000001</v>
      </c>
      <c r="X497" s="891">
        <f>'CHAM CONG'!BT492</f>
        <v>1</v>
      </c>
      <c r="Y497" s="881">
        <f t="shared" si="132"/>
        <v>1</v>
      </c>
      <c r="Z497" s="892">
        <v>6.04</v>
      </c>
      <c r="AA497" s="942">
        <f t="shared" si="128"/>
        <v>1.71</v>
      </c>
      <c r="AB497" s="892">
        <v>6.03</v>
      </c>
      <c r="AC497" s="942">
        <f t="shared" si="129"/>
        <v>7.2</v>
      </c>
      <c r="AD497" s="892">
        <v>6.03</v>
      </c>
      <c r="AE497" s="942">
        <f t="shared" si="130"/>
        <v>4.3</v>
      </c>
      <c r="AF497" s="943" t="e">
        <f>#N/A</f>
        <v>#N/A</v>
      </c>
      <c r="AG497" s="893">
        <f t="shared" si="120"/>
        <v>41.449999999999996</v>
      </c>
      <c r="AH497" s="894"/>
      <c r="AI497" s="895">
        <v>30.13</v>
      </c>
      <c r="AJ497" s="791">
        <v>26.62</v>
      </c>
      <c r="AK497" s="896">
        <f t="shared" si="127"/>
        <v>4</v>
      </c>
      <c r="AL497" s="896"/>
      <c r="AS497" s="898"/>
    </row>
    <row r="498" spans="1:73" s="779" customFormat="1" ht="22.95" customHeight="1">
      <c r="A498" s="885">
        <v>482</v>
      </c>
      <c r="B498" s="886"/>
      <c r="C498" s="887" t="str">
        <f>'Tên thang 01-26'!E485</f>
        <v>ឆាយ គី</v>
      </c>
      <c r="D498" s="887" t="str">
        <f>'Tên thang 01-26'!F485</f>
        <v>CHHAY KY</v>
      </c>
      <c r="E498" s="888">
        <v>470</v>
      </c>
      <c r="F498" s="889">
        <f>'SAN LUONG'!AP496*0.44</f>
        <v>551.76</v>
      </c>
      <c r="G498" s="889">
        <f t="shared" si="116"/>
        <v>7.86</v>
      </c>
      <c r="H498" s="889">
        <f>'SAN LUONG'!AO496*0.44</f>
        <v>110.44</v>
      </c>
      <c r="I498" s="889">
        <f t="shared" si="117"/>
        <v>1.75</v>
      </c>
      <c r="J498" s="889">
        <f>'SAN LUONG'!AV496*0.44</f>
        <v>0</v>
      </c>
      <c r="K498" s="889">
        <f t="shared" si="121"/>
        <v>0</v>
      </c>
      <c r="L498" s="889"/>
      <c r="M498" s="881">
        <f>'CHAM CONG'!BC493</f>
        <v>15</v>
      </c>
      <c r="N498" s="889">
        <f t="shared" si="122"/>
        <v>7.51</v>
      </c>
      <c r="O498" s="889">
        <f t="shared" si="123"/>
        <v>0.47</v>
      </c>
      <c r="P498" s="890">
        <f>'CHAM CONG'!BO493</f>
        <v>28</v>
      </c>
      <c r="Q498" s="942">
        <f t="shared" si="124"/>
        <v>2.63</v>
      </c>
      <c r="R498" s="942">
        <f>'SAN LUONG'!DW496</f>
        <v>17.600000000000001</v>
      </c>
      <c r="S498" s="942">
        <f>ROUND(R498*1000/31947,2)-0.17</f>
        <v>0.38</v>
      </c>
      <c r="T498" s="943">
        <f>'CHAM CONG'!BW493</f>
        <v>0</v>
      </c>
      <c r="U498" s="942">
        <f t="shared" si="125"/>
        <v>0</v>
      </c>
      <c r="V498" s="890">
        <f>'CHAM CONG'!BD493</f>
        <v>3</v>
      </c>
      <c r="W498" s="944">
        <f t="shared" si="119"/>
        <v>1.6</v>
      </c>
      <c r="X498" s="891">
        <f>'CHAM CONG'!BT493</f>
        <v>1</v>
      </c>
      <c r="Y498" s="881">
        <f t="shared" si="132"/>
        <v>1</v>
      </c>
      <c r="Z498" s="892">
        <v>6.04</v>
      </c>
      <c r="AA498" s="942">
        <f t="shared" si="128"/>
        <v>1.71</v>
      </c>
      <c r="AB498" s="892">
        <v>6.03</v>
      </c>
      <c r="AC498" s="942">
        <f t="shared" si="129"/>
        <v>7.2</v>
      </c>
      <c r="AD498" s="892">
        <v>6.03</v>
      </c>
      <c r="AE498" s="942">
        <f t="shared" si="130"/>
        <v>4.3</v>
      </c>
      <c r="AF498" s="943" t="e">
        <f>#N/A</f>
        <v>#N/A</v>
      </c>
      <c r="AG498" s="893">
        <f t="shared" si="120"/>
        <v>36.409999999999997</v>
      </c>
      <c r="AH498" s="894"/>
      <c r="AI498" s="895">
        <v>23.98</v>
      </c>
      <c r="AJ498" s="791">
        <v>21.13</v>
      </c>
      <c r="AK498" s="896">
        <f t="shared" si="127"/>
        <v>3</v>
      </c>
      <c r="AL498" s="896"/>
      <c r="AS498" s="898"/>
    </row>
    <row r="499" spans="1:73" s="779" customFormat="1" ht="22.95" customHeight="1">
      <c r="A499" s="885">
        <v>483</v>
      </c>
      <c r="B499" s="886"/>
      <c r="C499" s="887" t="str">
        <f>'Tên thang 01-26'!E486</f>
        <v>ម៉ុក សង់</v>
      </c>
      <c r="D499" s="887" t="str">
        <f>'Tên thang 01-26'!F486</f>
        <v>MORK SONG</v>
      </c>
      <c r="E499" s="888">
        <v>471</v>
      </c>
      <c r="F499" s="889">
        <f>'SAN LUONG'!AP497*0.44</f>
        <v>780.56000000000006</v>
      </c>
      <c r="G499" s="889">
        <f t="shared" si="116"/>
        <v>11.12</v>
      </c>
      <c r="H499" s="889">
        <f>'SAN LUONG'!AO497*0.44</f>
        <v>190.08</v>
      </c>
      <c r="I499" s="889">
        <f t="shared" si="117"/>
        <v>3</v>
      </c>
      <c r="J499" s="889">
        <f>'SAN LUONG'!AV497*0.44</f>
        <v>0</v>
      </c>
      <c r="K499" s="889">
        <f t="shared" si="121"/>
        <v>0</v>
      </c>
      <c r="L499" s="889"/>
      <c r="M499" s="881">
        <f>'CHAM CONG'!BC494</f>
        <v>15</v>
      </c>
      <c r="N499" s="889">
        <f t="shared" si="122"/>
        <v>7.51</v>
      </c>
      <c r="O499" s="889">
        <f t="shared" si="123"/>
        <v>0.47</v>
      </c>
      <c r="P499" s="890">
        <f>'CHAM CONG'!BO494</f>
        <v>27</v>
      </c>
      <c r="Q499" s="942">
        <f t="shared" si="124"/>
        <v>2.54</v>
      </c>
      <c r="R499" s="942">
        <f>'SAN LUONG'!DW497</f>
        <v>4.5</v>
      </c>
      <c r="S499" s="942">
        <f t="shared" si="118"/>
        <v>0.14000000000000001</v>
      </c>
      <c r="T499" s="943">
        <f>'CHAM CONG'!BW494</f>
        <v>0</v>
      </c>
      <c r="U499" s="942">
        <f t="shared" si="125"/>
        <v>0</v>
      </c>
      <c r="V499" s="890">
        <f>'CHAM CONG'!BD494</f>
        <v>3</v>
      </c>
      <c r="W499" s="944">
        <f t="shared" si="119"/>
        <v>1.6</v>
      </c>
      <c r="X499" s="891">
        <f>'CHAM CONG'!BT494</f>
        <v>1</v>
      </c>
      <c r="Y499" s="881">
        <f t="shared" si="132"/>
        <v>1</v>
      </c>
      <c r="Z499" s="892">
        <v>6.04</v>
      </c>
      <c r="AA499" s="942">
        <f t="shared" si="128"/>
        <v>1.71</v>
      </c>
      <c r="AB499" s="892">
        <v>6.03</v>
      </c>
      <c r="AC499" s="942">
        <f t="shared" si="129"/>
        <v>7.2</v>
      </c>
      <c r="AD499" s="892">
        <v>6.03</v>
      </c>
      <c r="AE499" s="942">
        <f t="shared" si="130"/>
        <v>4.3</v>
      </c>
      <c r="AF499" s="943" t="e">
        <f>#N/A</f>
        <v>#N/A</v>
      </c>
      <c r="AG499" s="893">
        <f t="shared" si="120"/>
        <v>40.589999999999996</v>
      </c>
      <c r="AH499" s="894"/>
      <c r="AI499" s="895">
        <v>31.26</v>
      </c>
      <c r="AJ499" s="791">
        <v>27.73</v>
      </c>
      <c r="AK499" s="896">
        <f t="shared" si="127"/>
        <v>4</v>
      </c>
      <c r="AL499" s="896"/>
      <c r="AS499" s="898"/>
    </row>
    <row r="500" spans="1:73" s="779" customFormat="1" ht="22.95" customHeight="1">
      <c r="A500" s="885">
        <v>484</v>
      </c>
      <c r="B500" s="886"/>
      <c r="C500" s="887" t="str">
        <f>'Tên thang 01-26'!E487</f>
        <v>ហន ហូត</v>
      </c>
      <c r="D500" s="887" t="str">
        <f>'Tên thang 01-26'!F487</f>
        <v>HORN HOUT</v>
      </c>
      <c r="E500" s="888">
        <v>472</v>
      </c>
      <c r="F500" s="889">
        <f>'SAN LUONG'!AP498*0.44+0.16</f>
        <v>774.12</v>
      </c>
      <c r="G500" s="889">
        <f>ROUND((F500*$G$15)/31947,1)</f>
        <v>11</v>
      </c>
      <c r="H500" s="889">
        <f>'SAN LUONG'!AO498*0.44+0.1</f>
        <v>168.18</v>
      </c>
      <c r="I500" s="889">
        <f>ROUND((H500*$I$15)/31947,1)-0.05</f>
        <v>2.6500000000000004</v>
      </c>
      <c r="J500" s="889">
        <f>'SAN LUONG'!AV498*0.44</f>
        <v>0</v>
      </c>
      <c r="K500" s="889">
        <f t="shared" si="121"/>
        <v>0</v>
      </c>
      <c r="L500" s="889"/>
      <c r="M500" s="881">
        <f>'CHAM CONG'!BC495</f>
        <v>15</v>
      </c>
      <c r="N500" s="889">
        <f t="shared" si="122"/>
        <v>7.51</v>
      </c>
      <c r="O500" s="889">
        <f t="shared" si="123"/>
        <v>0.47</v>
      </c>
      <c r="P500" s="890">
        <f>'CHAM CONG'!BO495</f>
        <v>27</v>
      </c>
      <c r="Q500" s="942">
        <f t="shared" si="124"/>
        <v>2.54</v>
      </c>
      <c r="R500" s="942">
        <f>'SAN LUONG'!DW498</f>
        <v>4.5</v>
      </c>
      <c r="S500" s="942">
        <f t="shared" si="118"/>
        <v>0.14000000000000001</v>
      </c>
      <c r="T500" s="943">
        <f>'CHAM CONG'!BW495</f>
        <v>0</v>
      </c>
      <c r="U500" s="942">
        <f t="shared" si="125"/>
        <v>0</v>
      </c>
      <c r="V500" s="890">
        <f>'CHAM CONG'!BD495</f>
        <v>3</v>
      </c>
      <c r="W500" s="944">
        <f t="shared" si="119"/>
        <v>1.6</v>
      </c>
      <c r="X500" s="891">
        <f>'CHAM CONG'!BT495</f>
        <v>1</v>
      </c>
      <c r="Y500" s="881">
        <f>ROUND(X500*1.0956,0)</f>
        <v>1</v>
      </c>
      <c r="Z500" s="892">
        <v>6.04</v>
      </c>
      <c r="AA500" s="942">
        <f t="shared" si="128"/>
        <v>1.71</v>
      </c>
      <c r="AB500" s="892">
        <v>6.03</v>
      </c>
      <c r="AC500" s="942">
        <f>ROUND(AB500*$AB$15,1)</f>
        <v>7.2</v>
      </c>
      <c r="AD500" s="892">
        <v>6.03</v>
      </c>
      <c r="AE500" s="942">
        <f>ROUND(AD500*$AD$15,2)-0.6</f>
        <v>3.6999999999999997</v>
      </c>
      <c r="AF500" s="943" t="e">
        <f>#N/A</f>
        <v>#N/A</v>
      </c>
      <c r="AG500" s="893">
        <f t="shared" si="120"/>
        <v>39.520000000000003</v>
      </c>
      <c r="AH500" s="894"/>
      <c r="AI500" s="895">
        <v>30.33</v>
      </c>
      <c r="AJ500" s="791">
        <v>26.919999999999998</v>
      </c>
      <c r="AK500" s="896">
        <f t="shared" si="127"/>
        <v>3</v>
      </c>
      <c r="AL500" s="896"/>
      <c r="AS500" s="898"/>
    </row>
    <row r="501" spans="1:73" s="779" customFormat="1" ht="10.95" customHeight="1">
      <c r="A501" s="899"/>
      <c r="B501" s="900"/>
      <c r="C501" s="900"/>
      <c r="D501" s="900"/>
      <c r="E501" s="901"/>
      <c r="F501" s="902"/>
      <c r="G501" s="903"/>
      <c r="H501" s="903"/>
      <c r="I501" s="903"/>
      <c r="J501" s="903"/>
      <c r="K501" s="903"/>
      <c r="L501" s="903"/>
      <c r="M501" s="880"/>
      <c r="N501" s="904"/>
      <c r="O501" s="877"/>
      <c r="P501" s="878"/>
      <c r="Q501" s="879"/>
      <c r="R501" s="879"/>
      <c r="S501" s="878"/>
      <c r="T501" s="880"/>
      <c r="U501" s="878"/>
      <c r="V501" s="878"/>
      <c r="W501" s="878"/>
      <c r="X501" s="878"/>
      <c r="Y501" s="882"/>
      <c r="Z501" s="905"/>
      <c r="AA501" s="905"/>
      <c r="AB501" s="906"/>
      <c r="AC501" s="878"/>
      <c r="AD501" s="907"/>
      <c r="AE501" s="883"/>
      <c r="AF501" s="878"/>
      <c r="AG501" s="878"/>
      <c r="AH501" s="908"/>
      <c r="AI501" s="779">
        <f>SUM(AI17:AI500)</f>
        <v>13277.92</v>
      </c>
      <c r="AJ501" s="791"/>
      <c r="AK501" s="896"/>
      <c r="AL501" s="896"/>
      <c r="AS501" s="829"/>
    </row>
    <row r="502" spans="1:73" ht="45" customHeight="1" thickBot="1">
      <c r="A502" s="1094" t="s">
        <v>249</v>
      </c>
      <c r="B502" s="1095"/>
      <c r="C502" s="1095"/>
      <c r="D502" s="1095"/>
      <c r="E502" s="1095"/>
      <c r="F502" s="945">
        <f t="shared" ref="F502:K502" si="133">SUM(F17:F500)</f>
        <v>189128</v>
      </c>
      <c r="G502" s="724">
        <f t="shared" si="133"/>
        <v>2693.599999999999</v>
      </c>
      <c r="H502" s="946">
        <f t="shared" si="133"/>
        <v>61520.020000000011</v>
      </c>
      <c r="I502" s="724">
        <f t="shared" si="133"/>
        <v>972.49999999999955</v>
      </c>
      <c r="J502" s="946">
        <f t="shared" si="133"/>
        <v>103732.00000000003</v>
      </c>
      <c r="K502" s="724">
        <f t="shared" si="133"/>
        <v>1802.0999999999997</v>
      </c>
      <c r="L502" s="724">
        <f>SUM(L17:L500)</f>
        <v>0</v>
      </c>
      <c r="M502" s="948">
        <f t="shared" ref="M502:R502" si="134">SUM(M17:M500)</f>
        <v>7134</v>
      </c>
      <c r="N502" s="724">
        <f>SUM(N17:N500)</f>
        <v>3572.7000000000421</v>
      </c>
      <c r="O502" s="724">
        <f>SUM(O17:O500)</f>
        <v>223.29999999999956</v>
      </c>
      <c r="P502" s="948">
        <f t="shared" si="134"/>
        <v>12192</v>
      </c>
      <c r="Q502" s="724">
        <f>SUM(Q17:Q500)</f>
        <v>1144.800000000004</v>
      </c>
      <c r="R502" s="947">
        <f t="shared" si="134"/>
        <v>8773.6000000000022</v>
      </c>
      <c r="S502" s="724">
        <f t="shared" ref="S502:X502" si="135">SUM(S17:S500)</f>
        <v>274.59999999999985</v>
      </c>
      <c r="T502" s="724">
        <f t="shared" si="135"/>
        <v>-130000</v>
      </c>
      <c r="U502" s="724">
        <f t="shared" si="135"/>
        <v>-4.0999999999999996</v>
      </c>
      <c r="V502" s="946">
        <f t="shared" si="135"/>
        <v>832</v>
      </c>
      <c r="W502" s="724">
        <f t="shared" si="135"/>
        <v>442.7000000000005</v>
      </c>
      <c r="X502" s="946">
        <f t="shared" si="135"/>
        <v>432</v>
      </c>
      <c r="Y502" s="724">
        <f t="shared" ref="Y502:AE502" si="136">SUM(Y17:Y500)</f>
        <v>473.30000000000319</v>
      </c>
      <c r="Z502" s="725">
        <f t="shared" si="136"/>
        <v>2918.8000000000143</v>
      </c>
      <c r="AA502" s="725">
        <f t="shared" si="136"/>
        <v>825.20000000000618</v>
      </c>
      <c r="AB502" s="725">
        <f t="shared" si="136"/>
        <v>2918.8000000000143</v>
      </c>
      <c r="AC502" s="724">
        <f t="shared" si="136"/>
        <v>3502.5999999999663</v>
      </c>
      <c r="AD502" s="724">
        <f t="shared" si="136"/>
        <v>2918.8000000000143</v>
      </c>
      <c r="AE502" s="724">
        <f t="shared" si="136"/>
        <v>2080.5999999999858</v>
      </c>
      <c r="AF502" s="724" t="e">
        <f>SUM(AF17:AF500)</f>
        <v>#REF!</v>
      </c>
      <c r="AG502" s="724">
        <f>SUM(AG17:AG500)</f>
        <v>18003.900000000001</v>
      </c>
      <c r="AH502" s="725"/>
      <c r="AI502" s="813" t="e">
        <f>K502+N502+Q502+S502+Y502+U502+W502+#REF!</f>
        <v>#REF!</v>
      </c>
      <c r="AJ502" s="814">
        <f>SUM(AJ17:AJ500)</f>
        <v>11984.300000000001</v>
      </c>
      <c r="AW502" s="815"/>
      <c r="AX502" s="815"/>
      <c r="AY502" s="815"/>
      <c r="AZ502" s="815"/>
      <c r="BA502" s="814"/>
      <c r="BB502" s="814"/>
      <c r="BC502" s="814"/>
      <c r="BD502" s="815"/>
      <c r="BE502" s="815"/>
      <c r="BF502" s="815"/>
      <c r="BG502" s="815"/>
      <c r="BH502" s="815"/>
      <c r="BI502" s="829"/>
      <c r="BJ502" s="829"/>
      <c r="BK502" s="829"/>
      <c r="BL502" s="829"/>
      <c r="BM502" s="1078" t="s">
        <v>250</v>
      </c>
      <c r="BN502" s="1078"/>
      <c r="BO502" s="1078"/>
      <c r="BP502" s="1078"/>
      <c r="BU502" s="815" t="s">
        <v>250</v>
      </c>
    </row>
    <row r="503" spans="1:73" s="18" customFormat="1" ht="18.600000000000001" thickTop="1">
      <c r="B503" s="816"/>
      <c r="C503" s="816"/>
      <c r="D503" s="816"/>
      <c r="E503" s="816"/>
      <c r="F503" s="816"/>
      <c r="G503" s="816"/>
      <c r="H503" s="816"/>
      <c r="I503" s="816"/>
      <c r="J503" s="816"/>
      <c r="K503" s="816"/>
      <c r="L503" s="909"/>
      <c r="M503" s="910"/>
      <c r="N503" s="818"/>
      <c r="O503" s="818"/>
      <c r="P503" s="910"/>
      <c r="Q503" s="818"/>
      <c r="R503" s="818"/>
      <c r="S503" s="909"/>
      <c r="T503" s="910"/>
      <c r="U503" s="816"/>
      <c r="V503"/>
      <c r="W503" s="816"/>
      <c r="X503"/>
      <c r="Y503" s="910"/>
      <c r="Z503" s="818"/>
      <c r="AA503" s="818"/>
      <c r="AB503" s="911"/>
      <c r="AC503" s="816"/>
      <c r="AD503" s="816"/>
      <c r="AE503" s="912"/>
      <c r="AF503" s="913"/>
      <c r="AG503" s="818"/>
      <c r="AH503" s="816"/>
      <c r="AI503" s="816"/>
      <c r="AJ503" s="818"/>
      <c r="AK503" s="816"/>
      <c r="AL503" s="816"/>
      <c r="AM503" s="816"/>
      <c r="AN503" s="816"/>
      <c r="AO503" s="818"/>
      <c r="AP503" s="816"/>
      <c r="AQ503" s="816"/>
      <c r="AR503" s="816"/>
      <c r="AS503" s="816"/>
      <c r="AT503" s="816"/>
      <c r="AU503" s="816"/>
      <c r="AV503" s="816"/>
      <c r="BA503" s="914"/>
      <c r="BB503" s="818"/>
      <c r="BC503" s="818"/>
      <c r="BD503" s="816"/>
      <c r="BE503" s="816"/>
      <c r="BF503" s="816"/>
      <c r="BG503" s="816"/>
      <c r="BH503" s="816"/>
      <c r="BI503" s="816"/>
      <c r="BJ503" s="818"/>
      <c r="BK503" s="816"/>
      <c r="BL503" s="816"/>
      <c r="BM503" s="816"/>
      <c r="BN503" s="816"/>
      <c r="BO503" s="816"/>
      <c r="BP503" s="816"/>
      <c r="BQ503" s="716"/>
    </row>
    <row r="504" spans="1:73" s="819" customFormat="1" ht="22.95" customHeight="1">
      <c r="K504" s="820"/>
      <c r="L504" s="820"/>
      <c r="M504" s="915"/>
      <c r="N504" s="916"/>
      <c r="O504" s="916"/>
      <c r="P504" s="915"/>
      <c r="Q504" s="822"/>
      <c r="R504" s="822"/>
      <c r="S504" s="917"/>
      <c r="T504" s="915"/>
      <c r="V504"/>
      <c r="W504" s="918"/>
      <c r="X504" s="919" t="s">
        <v>2067</v>
      </c>
      <c r="Z504" s="920"/>
      <c r="AA504" s="920"/>
      <c r="AB504" s="921"/>
      <c r="AC504" s="921"/>
      <c r="AD504" s="921"/>
      <c r="AE504" s="922"/>
      <c r="AF504" s="923"/>
      <c r="AG504" s="820"/>
      <c r="AH504" s="820"/>
      <c r="AI504" s="820">
        <f>K502+N502+Q502+S502+U502+Y502</f>
        <v>7263.4000000000478</v>
      </c>
      <c r="AJ504" s="822"/>
      <c r="AO504" s="822"/>
      <c r="BA504" s="822"/>
      <c r="BB504" s="822"/>
      <c r="BC504" s="822"/>
      <c r="BJ504" s="822"/>
      <c r="BU504" s="819" t="s">
        <v>251</v>
      </c>
    </row>
    <row r="505" spans="1:73" s="829" customFormat="1" ht="28.2" customHeight="1">
      <c r="A505" s="1079" t="s">
        <v>1839</v>
      </c>
      <c r="B505" s="1079"/>
      <c r="C505" s="1079"/>
      <c r="D505" s="1079"/>
      <c r="E505" s="1079"/>
      <c r="M505" s="924"/>
      <c r="N505" s="827"/>
      <c r="O505" s="827"/>
      <c r="P505" s="924"/>
      <c r="Q505" s="827"/>
      <c r="R505" s="827"/>
      <c r="T505" s="924"/>
      <c r="V505"/>
      <c r="X505"/>
      <c r="Y505" s="925"/>
      <c r="Z505" s="926"/>
      <c r="AA505" s="926"/>
      <c r="AB505" s="927"/>
      <c r="AC505" s="926"/>
      <c r="AD505" s="928"/>
      <c r="AE505" s="929"/>
      <c r="AF505" s="926"/>
      <c r="AG505" s="1079" t="s">
        <v>197</v>
      </c>
      <c r="AH505" s="1079"/>
      <c r="AI505" s="826">
        <f>AG502+'KL 2'!AB47</f>
        <v>19427.800000000003</v>
      </c>
      <c r="AJ505" s="827"/>
      <c r="AK505" s="1080"/>
      <c r="AL505" s="1080"/>
      <c r="AM505" s="1080"/>
      <c r="AN505" s="1080"/>
      <c r="AO505" s="827"/>
      <c r="BA505" s="827"/>
      <c r="BB505" s="827"/>
      <c r="BC505" s="827"/>
      <c r="BJ505" s="827"/>
      <c r="BU505" s="829" t="s">
        <v>252</v>
      </c>
    </row>
    <row r="506" spans="1:73" s="829" customFormat="1" ht="19.5" customHeight="1">
      <c r="A506" s="1078" t="s">
        <v>1698</v>
      </c>
      <c r="B506" s="1078"/>
      <c r="C506" s="1078"/>
      <c r="D506" s="1078"/>
      <c r="E506" s="1078"/>
      <c r="M506" s="924"/>
      <c r="N506" s="827"/>
      <c r="O506" s="827"/>
      <c r="P506" s="924"/>
      <c r="Q506" s="827"/>
      <c r="R506" s="827"/>
      <c r="T506" s="924"/>
      <c r="V506"/>
      <c r="X506"/>
      <c r="Y506" s="930"/>
      <c r="AB506" s="931"/>
      <c r="AD506" s="826"/>
      <c r="AE506" s="932"/>
      <c r="AG506" s="1078" t="s">
        <v>198</v>
      </c>
      <c r="AH506" s="1078"/>
      <c r="AJ506" s="827"/>
      <c r="AO506" s="827"/>
      <c r="BA506" s="827"/>
      <c r="BB506" s="827"/>
      <c r="BC506" s="827"/>
      <c r="BJ506" s="827"/>
    </row>
    <row r="507" spans="1:73">
      <c r="AG507" s="1077"/>
      <c r="AH507" s="1077"/>
      <c r="AW507" s="815"/>
      <c r="AX507" s="815"/>
      <c r="AY507" s="815"/>
      <c r="AZ507" s="815"/>
      <c r="BA507" s="814"/>
      <c r="BB507" s="814"/>
      <c r="BC507" s="814"/>
      <c r="BD507" s="815"/>
      <c r="BE507" s="815"/>
      <c r="BF507" s="815"/>
      <c r="BG507" s="815"/>
      <c r="BH507" s="815"/>
      <c r="BI507" s="815"/>
      <c r="BJ507" s="814"/>
      <c r="BK507" s="815"/>
      <c r="BL507" s="815"/>
      <c r="BM507" s="815"/>
      <c r="BN507" s="815"/>
      <c r="BO507" s="815"/>
    </row>
    <row r="508" spans="1:73" ht="10.199999999999999" customHeight="1">
      <c r="AW508" s="815"/>
      <c r="AX508" s="815"/>
      <c r="AY508" s="815"/>
      <c r="AZ508" s="815"/>
      <c r="BA508" s="814"/>
      <c r="BB508" s="814"/>
      <c r="BC508" s="814"/>
      <c r="BD508" s="815"/>
      <c r="BE508" s="815"/>
      <c r="BF508" s="815"/>
      <c r="BG508" s="815"/>
      <c r="BH508" s="815"/>
      <c r="BI508" s="815"/>
      <c r="BJ508" s="814"/>
      <c r="BK508" s="815"/>
      <c r="BL508" s="815"/>
      <c r="BM508" s="815"/>
      <c r="BN508" s="815"/>
      <c r="BO508" s="815"/>
    </row>
    <row r="509" spans="1:73">
      <c r="AW509" s="815"/>
      <c r="AX509" s="815"/>
      <c r="AY509" s="815"/>
      <c r="AZ509" s="815"/>
      <c r="BA509" s="814"/>
      <c r="BB509" s="814"/>
      <c r="BC509" s="814"/>
      <c r="BD509" s="815"/>
      <c r="BE509" s="815"/>
      <c r="BF509" s="815"/>
      <c r="BG509" s="815"/>
      <c r="BH509" s="815"/>
      <c r="BI509" s="815"/>
      <c r="BJ509" s="814"/>
      <c r="BK509" s="815"/>
      <c r="BL509" s="815"/>
      <c r="BM509" s="815"/>
      <c r="BN509" s="815"/>
      <c r="BO509" s="815"/>
    </row>
    <row r="510" spans="1:73">
      <c r="A510" s="1078" t="s">
        <v>199</v>
      </c>
      <c r="B510" s="1078"/>
      <c r="C510" s="1078"/>
      <c r="D510" s="1078"/>
      <c r="E510" s="1078"/>
      <c r="Y510" s="1077"/>
      <c r="Z510" s="1077"/>
      <c r="AA510" s="1077"/>
      <c r="AB510" s="1077"/>
      <c r="AC510" s="1077"/>
      <c r="AD510" s="1077"/>
      <c r="AE510" s="1077"/>
      <c r="AF510" s="1077"/>
      <c r="AG510" s="1078" t="s">
        <v>201</v>
      </c>
      <c r="AH510" s="1078"/>
      <c r="AW510" s="815"/>
      <c r="AX510" s="815"/>
      <c r="AY510" s="815"/>
      <c r="AZ510" s="815"/>
      <c r="BA510" s="814"/>
      <c r="BB510" s="814"/>
      <c r="BC510" s="814"/>
      <c r="BD510" s="815"/>
      <c r="BE510" s="815"/>
      <c r="BF510" s="815"/>
      <c r="BG510" s="815"/>
      <c r="BH510" s="815"/>
      <c r="BI510" s="815"/>
      <c r="BJ510" s="814"/>
      <c r="BK510" s="815"/>
      <c r="BL510" s="815"/>
      <c r="BM510" s="815"/>
      <c r="BN510" s="815"/>
      <c r="BO510" s="815"/>
    </row>
    <row r="511" spans="1:73" ht="39" customHeight="1">
      <c r="F511" s="1059">
        <f>SUM(F64:F141)</f>
        <v>71803.599999999991</v>
      </c>
      <c r="G511" s="1059"/>
      <c r="H511" s="815">
        <v>455</v>
      </c>
      <c r="M511" s="937"/>
      <c r="N511" s="938"/>
      <c r="O511" s="938"/>
      <c r="P511" s="937"/>
      <c r="Q511" s="938"/>
      <c r="R511" s="1076">
        <f>S502+'KL 2'!O47</f>
        <v>411.89999999999986</v>
      </c>
      <c r="S511" s="1076"/>
      <c r="AD511" s="939">
        <f>AD502+'KL 2'!X47</f>
        <v>3268.5000000000141</v>
      </c>
      <c r="AE511" s="940">
        <f>AE502+'KL 2'!Y47</f>
        <v>2463.6999999999857</v>
      </c>
    </row>
    <row r="512" spans="1:73">
      <c r="F512" s="1076">
        <f>SUM(F142:F500)</f>
        <v>117324.39999999995</v>
      </c>
      <c r="G512" s="1077"/>
      <c r="H512" s="815">
        <v>505</v>
      </c>
      <c r="M512" s="937"/>
      <c r="N512" s="938"/>
      <c r="O512" s="938"/>
      <c r="P512" s="937"/>
      <c r="Q512" s="938"/>
      <c r="R512" s="938"/>
    </row>
    <row r="513" spans="6:18" ht="15" customHeight="1">
      <c r="F513" s="1076">
        <f>SUM(F17:F63)</f>
        <v>0</v>
      </c>
      <c r="G513" s="1077"/>
      <c r="H513" s="815">
        <v>555</v>
      </c>
      <c r="M513" s="937"/>
      <c r="N513" s="938"/>
      <c r="O513" s="938"/>
      <c r="P513" s="937"/>
      <c r="Q513" s="938"/>
      <c r="R513" s="938"/>
    </row>
    <row r="514" spans="6:18">
      <c r="M514" s="937"/>
      <c r="N514" s="938"/>
      <c r="O514" s="938"/>
      <c r="P514" s="937"/>
      <c r="Q514" s="938"/>
      <c r="R514" s="938"/>
    </row>
    <row r="515" spans="6:18">
      <c r="M515" s="937"/>
      <c r="N515" s="938"/>
      <c r="O515" s="938"/>
      <c r="P515" s="937"/>
      <c r="Q515" s="938"/>
      <c r="R515" s="938"/>
    </row>
    <row r="516" spans="6:18">
      <c r="M516" s="937"/>
      <c r="N516" s="938"/>
      <c r="O516" s="938"/>
      <c r="P516" s="937"/>
      <c r="Q516" s="938"/>
      <c r="R516" s="938"/>
    </row>
    <row r="517" spans="6:18">
      <c r="M517" s="937"/>
      <c r="N517" s="938"/>
      <c r="O517" s="938"/>
      <c r="P517" s="937"/>
      <c r="Q517" s="938"/>
      <c r="R517" s="938"/>
    </row>
    <row r="518" spans="6:18">
      <c r="M518" s="937"/>
      <c r="N518" s="938"/>
      <c r="O518" s="938"/>
      <c r="P518" s="937"/>
      <c r="Q518" s="938"/>
      <c r="R518" s="938"/>
    </row>
    <row r="519" spans="6:18">
      <c r="M519" s="937"/>
      <c r="N519" s="938"/>
      <c r="O519" s="938"/>
      <c r="P519" s="937"/>
      <c r="Q519" s="938"/>
      <c r="R519" s="938"/>
    </row>
    <row r="520" spans="6:18">
      <c r="M520" s="937"/>
      <c r="N520" s="938"/>
      <c r="O520" s="938"/>
      <c r="P520" s="937"/>
      <c r="Q520" s="938"/>
      <c r="R520" s="938"/>
    </row>
    <row r="521" spans="6:18">
      <c r="M521" s="937"/>
      <c r="N521" s="938"/>
      <c r="O521" s="938"/>
      <c r="P521" s="937"/>
      <c r="Q521" s="938"/>
      <c r="R521" s="938"/>
    </row>
    <row r="522" spans="6:18">
      <c r="M522" s="937"/>
      <c r="N522" s="938"/>
      <c r="O522" s="938"/>
      <c r="P522" s="937"/>
      <c r="Q522" s="938"/>
      <c r="R522" s="938"/>
    </row>
    <row r="523" spans="6:18">
      <c r="M523" s="937"/>
      <c r="N523" s="938"/>
      <c r="O523" s="938"/>
      <c r="P523" s="937"/>
      <c r="Q523" s="938"/>
      <c r="R523" s="938"/>
    </row>
    <row r="524" spans="6:18">
      <c r="M524" s="937"/>
      <c r="N524" s="938"/>
      <c r="O524" s="938"/>
      <c r="P524" s="937"/>
      <c r="Q524" s="938"/>
      <c r="R524" s="938"/>
    </row>
    <row r="525" spans="6:18">
      <c r="M525" s="937"/>
      <c r="N525" s="938"/>
      <c r="O525" s="938"/>
      <c r="P525" s="937"/>
      <c r="Q525" s="938"/>
      <c r="R525" s="938"/>
    </row>
    <row r="526" spans="6:18">
      <c r="M526" s="937"/>
      <c r="N526" s="938"/>
      <c r="O526" s="938"/>
      <c r="P526" s="937"/>
      <c r="Q526" s="938"/>
      <c r="R526" s="938"/>
    </row>
    <row r="527" spans="6:18">
      <c r="M527" s="937"/>
      <c r="N527" s="938"/>
      <c r="O527" s="938"/>
      <c r="P527" s="937"/>
      <c r="Q527" s="938"/>
      <c r="R527" s="938"/>
    </row>
    <row r="528" spans="6:18">
      <c r="M528" s="937"/>
      <c r="N528" s="938"/>
      <c r="O528" s="938"/>
      <c r="P528" s="937"/>
      <c r="Q528" s="938"/>
      <c r="R528" s="938"/>
    </row>
    <row r="529" spans="13:18">
      <c r="M529" s="937"/>
      <c r="N529" s="938"/>
      <c r="O529" s="938"/>
      <c r="P529" s="937"/>
      <c r="Q529" s="938"/>
      <c r="R529" s="938"/>
    </row>
    <row r="530" spans="13:18">
      <c r="M530" s="937"/>
      <c r="N530" s="938"/>
      <c r="O530" s="938"/>
      <c r="P530" s="937"/>
      <c r="Q530" s="938"/>
      <c r="R530" s="938"/>
    </row>
    <row r="531" spans="13:18">
      <c r="M531" s="937"/>
      <c r="N531" s="938"/>
      <c r="O531" s="938"/>
      <c r="P531" s="937"/>
      <c r="Q531" s="938"/>
      <c r="R531" s="938"/>
    </row>
    <row r="532" spans="13:18">
      <c r="M532" s="937"/>
      <c r="N532" s="938"/>
      <c r="O532" s="938"/>
      <c r="P532" s="937"/>
      <c r="Q532" s="938"/>
      <c r="R532" s="938"/>
    </row>
    <row r="533" spans="13:18">
      <c r="M533" s="937"/>
      <c r="N533" s="938"/>
      <c r="O533" s="938"/>
      <c r="P533" s="937"/>
      <c r="Q533" s="938"/>
      <c r="R533" s="938"/>
    </row>
    <row r="534" spans="13:18">
      <c r="M534" s="937"/>
      <c r="N534" s="938"/>
      <c r="O534" s="938"/>
      <c r="P534" s="937"/>
      <c r="Q534" s="938"/>
      <c r="R534" s="938"/>
    </row>
    <row r="535" spans="13:18">
      <c r="M535" s="937"/>
      <c r="N535" s="938"/>
      <c r="O535" s="938"/>
      <c r="P535" s="937"/>
      <c r="Q535" s="938"/>
      <c r="R535" s="938"/>
    </row>
    <row r="536" spans="13:18">
      <c r="M536" s="937"/>
      <c r="N536" s="938"/>
      <c r="O536" s="938"/>
      <c r="P536" s="937"/>
      <c r="Q536" s="938"/>
      <c r="R536" s="938"/>
    </row>
    <row r="537" spans="13:18">
      <c r="M537" s="937"/>
      <c r="N537" s="938"/>
      <c r="O537" s="938"/>
      <c r="P537" s="937"/>
      <c r="Q537" s="938"/>
      <c r="R537" s="938"/>
    </row>
    <row r="538" spans="13:18">
      <c r="M538" s="937"/>
      <c r="N538" s="938"/>
      <c r="O538" s="938"/>
      <c r="P538" s="937"/>
      <c r="Q538" s="938"/>
      <c r="R538" s="938"/>
    </row>
    <row r="539" spans="13:18">
      <c r="M539" s="937"/>
      <c r="N539" s="938"/>
      <c r="O539" s="938"/>
      <c r="P539" s="937"/>
      <c r="Q539" s="938"/>
      <c r="R539" s="938"/>
    </row>
    <row r="540" spans="13:18">
      <c r="M540" s="937"/>
      <c r="N540" s="938"/>
      <c r="O540" s="938"/>
      <c r="P540" s="937"/>
      <c r="Q540" s="938"/>
      <c r="R540" s="938"/>
    </row>
    <row r="541" spans="13:18">
      <c r="M541" s="937"/>
      <c r="N541" s="938"/>
      <c r="O541" s="938"/>
      <c r="P541" s="937"/>
      <c r="Q541" s="938"/>
      <c r="R541" s="938"/>
    </row>
    <row r="542" spans="13:18">
      <c r="M542" s="937"/>
      <c r="N542" s="938"/>
      <c r="O542" s="938"/>
      <c r="P542" s="937"/>
      <c r="Q542" s="938"/>
      <c r="R542" s="938"/>
    </row>
  </sheetData>
  <mergeCells count="52">
    <mergeCell ref="R511:S511"/>
    <mergeCell ref="A2:F2"/>
    <mergeCell ref="A3:F3"/>
    <mergeCell ref="AI11:AI14"/>
    <mergeCell ref="B11:D14"/>
    <mergeCell ref="AB11:AC12"/>
    <mergeCell ref="AD11:AE12"/>
    <mergeCell ref="AF11:AF12"/>
    <mergeCell ref="AA11:AA12"/>
    <mergeCell ref="A510:E510"/>
    <mergeCell ref="AG510:AH510"/>
    <mergeCell ref="A16:D16"/>
    <mergeCell ref="A502:E502"/>
    <mergeCell ref="A506:E506"/>
    <mergeCell ref="AG506:AH506"/>
    <mergeCell ref="F512:G512"/>
    <mergeCell ref="F513:G513"/>
    <mergeCell ref="F13:K13"/>
    <mergeCell ref="BM502:BP502"/>
    <mergeCell ref="A505:E505"/>
    <mergeCell ref="AG505:AH505"/>
    <mergeCell ref="AK505:AN505"/>
    <mergeCell ref="A15:D15"/>
    <mergeCell ref="V15:W15"/>
    <mergeCell ref="A11:A14"/>
    <mergeCell ref="AB15:AC15"/>
    <mergeCell ref="AD15:AE15"/>
    <mergeCell ref="M13:N13"/>
    <mergeCell ref="AD13:AE13"/>
    <mergeCell ref="Z13:AA13"/>
    <mergeCell ref="AG507:AH507"/>
    <mergeCell ref="F511:G511"/>
    <mergeCell ref="P13:Q13"/>
    <mergeCell ref="R13:S13"/>
    <mergeCell ref="M15:N15"/>
    <mergeCell ref="A4:E4"/>
    <mergeCell ref="A8:AH8"/>
    <mergeCell ref="A9:AH9"/>
    <mergeCell ref="F11:Y11"/>
    <mergeCell ref="F12:Y12"/>
    <mergeCell ref="AG11:AG14"/>
    <mergeCell ref="AH11:AH14"/>
    <mergeCell ref="V13:W13"/>
    <mergeCell ref="X13:Y13"/>
    <mergeCell ref="AB13:AC13"/>
    <mergeCell ref="E11:E14"/>
    <mergeCell ref="Y510:AF510"/>
    <mergeCell ref="AB1:AH1"/>
    <mergeCell ref="AB2:AH2"/>
    <mergeCell ref="T13:U13"/>
    <mergeCell ref="A6:AH6"/>
    <mergeCell ref="A7:AH7"/>
  </mergeCells>
  <conditionalFormatting sqref="D511:D65536">
    <cfRule type="top10" priority="18" stopIfTrue="1" rank="10"/>
    <cfRule type="duplicateValues" dxfId="4044" priority="20" stopIfTrue="1"/>
    <cfRule type="uniqueValues" dxfId="4043" priority="21" stopIfTrue="1"/>
  </conditionalFormatting>
  <conditionalFormatting sqref="E1 E4:E65536">
    <cfRule type="duplicateValues" dxfId="4042" priority="6" stopIfTrue="1"/>
  </conditionalFormatting>
  <conditionalFormatting sqref="B4:E9">
    <cfRule type="duplicateValues" dxfId="4041" priority="7" stopIfTrue="1"/>
    <cfRule type="duplicateValues" dxfId="4040" priority="8" stopIfTrue="1"/>
    <cfRule type="duplicateValues" dxfId="4039" priority="9" stopIfTrue="1"/>
    <cfRule type="duplicateValues" dxfId="4038" priority="10" stopIfTrue="1"/>
    <cfRule type="duplicateValues" dxfId="4037" priority="11" stopIfTrue="1"/>
  </conditionalFormatting>
  <conditionalFormatting sqref="D1:D1048576">
    <cfRule type="duplicateValues" dxfId="4036" priority="5" stopIfTrue="1"/>
  </conditionalFormatting>
  <conditionalFormatting sqref="C1:C1048576">
    <cfRule type="duplicateValues" dxfId="4035" priority="4" stopIfTrue="1"/>
  </conditionalFormatting>
  <conditionalFormatting sqref="C1:E1048576">
    <cfRule type="timePeriod" dxfId="4034" priority="3" stopIfTrue="1" timePeriod="yesterday">
      <formula>FLOOR(C1,1)=TODAY()-1</formula>
    </cfRule>
  </conditionalFormatting>
  <conditionalFormatting sqref="B17:E501">
    <cfRule type="duplicateValues" dxfId="4033" priority="65148" stopIfTrue="1"/>
  </conditionalFormatting>
  <conditionalFormatting sqref="H511:H513">
    <cfRule type="duplicateValues" dxfId="4032" priority="2" stopIfTrue="1"/>
  </conditionalFormatting>
  <conditionalFormatting sqref="H511:H513">
    <cfRule type="timePeriod" dxfId="4031" priority="1" stopIfTrue="1" timePeriod="yesterday">
      <formula>FLOOR(H511,1)=TODAY()-1</formula>
    </cfRule>
  </conditionalFormatting>
  <printOptions horizontalCentered="1"/>
  <pageMargins left="0.15748031496062992" right="0" top="0.27559055118110237" bottom="0.39370078740157483" header="0" footer="0"/>
  <pageSetup paperSize="9" scale="65" orientation="landscape" r:id="rId1"/>
  <headerFooter>
    <oddFooter>Page &amp;P of &amp;N</oddFooter>
  </headerFooter>
  <colBreaks count="1" manualBreakCount="1">
    <brk id="34" max="69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825C1-3AC7-44C6-82DB-8DCD6E19D795}">
  <sheetPr>
    <tabColor rgb="FFFFC000"/>
  </sheetPr>
  <dimension ref="A1:FH61"/>
  <sheetViews>
    <sheetView view="pageBreakPreview" topLeftCell="A35" zoomScale="80" zoomScaleNormal="60" workbookViewId="0">
      <selection activeCell="Y47" activeCellId="4" sqref="J47 L47 O47 S47 Y47"/>
    </sheetView>
  </sheetViews>
  <sheetFormatPr defaultColWidth="8.69921875" defaultRowHeight="15.6"/>
  <cols>
    <col min="1" max="1" width="7.5" style="815" customWidth="1"/>
    <col min="2" max="2" width="1" style="815" hidden="1" customWidth="1"/>
    <col min="3" max="3" width="14.69921875" style="815" customWidth="1"/>
    <col min="4" max="4" width="21.3984375" style="815" customWidth="1"/>
    <col min="5" max="5" width="7.59765625" style="815" customWidth="1"/>
    <col min="6" max="7" width="15.59765625" style="815" hidden="1" customWidth="1"/>
    <col min="8" max="8" width="11.3984375" style="815" hidden="1" customWidth="1"/>
    <col min="9" max="10" width="9.19921875" style="815" customWidth="1"/>
    <col min="11" max="11" width="7.3984375" style="815" customWidth="1"/>
    <col min="12" max="12" width="11.19921875" style="815" customWidth="1"/>
    <col min="13" max="13" width="9.5" style="815" hidden="1" customWidth="1"/>
    <col min="14" max="14" width="11.19921875" style="815" customWidth="1"/>
    <col min="15" max="15" width="10.8984375" style="815" customWidth="1"/>
    <col min="16" max="16" width="8.19921875" style="815" hidden="1" customWidth="1"/>
    <col min="17" max="17" width="7.69921875" style="815" hidden="1" customWidth="1"/>
    <col min="18" max="18" width="11.09765625" style="837" customWidth="1"/>
    <col min="19" max="19" width="11.3984375" style="815" customWidth="1"/>
    <col min="20" max="20" width="9.69921875" style="815" hidden="1" customWidth="1"/>
    <col min="21" max="21" width="11.5" style="815" hidden="1" customWidth="1"/>
    <col min="22" max="22" width="9.19921875" style="815" hidden="1" customWidth="1"/>
    <col min="23" max="23" width="11.5" style="815" hidden="1" customWidth="1"/>
    <col min="24" max="24" width="10.19921875" style="815" customWidth="1"/>
    <col min="25" max="25" width="12.19921875" style="815" customWidth="1"/>
    <col min="26" max="26" width="10.19921875" style="815" hidden="1" customWidth="1"/>
    <col min="27" max="27" width="8.09765625" style="815" hidden="1" customWidth="1"/>
    <col min="28" max="28" width="12.59765625" style="814" customWidth="1"/>
    <col min="29" max="29" width="17.69921875" style="815" customWidth="1"/>
    <col min="30" max="30" width="16.69921875" style="815" customWidth="1"/>
    <col min="31" max="31" width="23" style="814" customWidth="1"/>
    <col min="32" max="32" width="11.69921875" style="838" bestFit="1" customWidth="1"/>
    <col min="33" max="33" width="12.69921875" style="815" customWidth="1"/>
    <col min="34" max="34" width="14.59765625" style="815" customWidth="1"/>
    <col min="35" max="36" width="9" style="815" bestFit="1" customWidth="1"/>
    <col min="37" max="16384" width="8.69921875" style="815"/>
  </cols>
  <sheetData>
    <row r="1" spans="1:164" s="729" customFormat="1" ht="38.4" customHeight="1">
      <c r="A1" s="1103" t="s">
        <v>236</v>
      </c>
      <c r="B1" s="1103"/>
      <c r="C1" s="1103"/>
      <c r="D1" s="1103"/>
      <c r="E1" s="1103"/>
      <c r="F1" s="1103"/>
      <c r="G1" s="1103"/>
      <c r="H1" s="1103"/>
      <c r="I1" s="670"/>
      <c r="J1" s="670"/>
      <c r="K1" s="670"/>
      <c r="L1" s="670"/>
      <c r="M1" s="726"/>
      <c r="N1" s="726"/>
      <c r="O1" s="726"/>
      <c r="P1" s="726"/>
      <c r="Q1" s="726"/>
      <c r="R1" s="727"/>
      <c r="S1" s="1104" t="s">
        <v>237</v>
      </c>
      <c r="T1" s="1104"/>
      <c r="U1" s="1104"/>
      <c r="V1" s="1104"/>
      <c r="W1" s="1104"/>
      <c r="X1" s="1104"/>
      <c r="Y1" s="1104"/>
      <c r="Z1" s="1104"/>
      <c r="AA1" s="1104"/>
      <c r="AB1" s="1104"/>
      <c r="AC1" s="1104"/>
      <c r="AD1" s="726"/>
      <c r="AE1" s="728"/>
    </row>
    <row r="2" spans="1:164" s="729" customFormat="1" ht="33" customHeight="1">
      <c r="A2" s="1105" t="s">
        <v>177</v>
      </c>
      <c r="B2" s="1105"/>
      <c r="C2" s="1105"/>
      <c r="D2" s="1105"/>
      <c r="E2" s="1105"/>
      <c r="F2" s="1105"/>
      <c r="G2" s="1105"/>
      <c r="H2" s="1105"/>
      <c r="I2" s="715"/>
      <c r="J2" s="715"/>
      <c r="K2" s="715"/>
      <c r="L2" s="715"/>
      <c r="M2" s="726"/>
      <c r="N2" s="726"/>
      <c r="O2" s="726"/>
      <c r="P2" s="726"/>
      <c r="Q2" s="726"/>
      <c r="R2" s="727"/>
      <c r="S2" s="1104" t="s">
        <v>209</v>
      </c>
      <c r="T2" s="1104"/>
      <c r="U2" s="1104"/>
      <c r="V2" s="1104"/>
      <c r="W2" s="1104"/>
      <c r="X2" s="1104"/>
      <c r="Y2" s="1104"/>
      <c r="Z2" s="1104"/>
      <c r="AA2" s="1104"/>
      <c r="AB2" s="1104"/>
      <c r="AC2" s="1104"/>
      <c r="AD2" s="726"/>
      <c r="AE2" s="728"/>
    </row>
    <row r="3" spans="1:164" s="729" customFormat="1" ht="34.200000000000003" customHeight="1">
      <c r="A3" s="1106" t="s">
        <v>1838</v>
      </c>
      <c r="B3" s="1106"/>
      <c r="C3" s="1106"/>
      <c r="D3" s="1106"/>
      <c r="E3" s="1106"/>
      <c r="F3" s="1106"/>
      <c r="G3" s="1106"/>
      <c r="H3" s="1106"/>
      <c r="I3" s="730"/>
      <c r="J3" s="730"/>
      <c r="K3" s="730"/>
      <c r="L3" s="730"/>
      <c r="M3" s="731"/>
      <c r="N3" s="731"/>
      <c r="O3" s="731"/>
      <c r="P3" s="731"/>
      <c r="Q3" s="731"/>
      <c r="R3" s="732"/>
      <c r="S3" s="1107"/>
      <c r="T3" s="1107"/>
      <c r="U3" s="1107"/>
      <c r="V3" s="1107"/>
      <c r="W3" s="1107"/>
      <c r="X3" s="1107"/>
      <c r="Y3" s="1107"/>
      <c r="Z3" s="1107"/>
      <c r="AA3" s="1107"/>
      <c r="AB3" s="1107"/>
      <c r="AC3" s="1107"/>
      <c r="AD3" s="731"/>
      <c r="AE3" s="733"/>
    </row>
    <row r="4" spans="1:164" s="97" customFormat="1" ht="15.75" customHeight="1">
      <c r="A4" s="1062" t="s">
        <v>238</v>
      </c>
      <c r="B4" s="1062"/>
      <c r="C4" s="1062"/>
      <c r="D4" s="1062"/>
      <c r="E4" s="1062"/>
      <c r="F4" s="1062"/>
      <c r="G4" s="1062"/>
      <c r="H4" s="1062"/>
      <c r="I4" s="734"/>
      <c r="J4" s="734"/>
      <c r="K4" s="734"/>
      <c r="L4" s="734"/>
      <c r="M4" s="734"/>
      <c r="N4" s="734"/>
      <c r="O4" s="734"/>
      <c r="P4" s="734"/>
      <c r="Q4" s="734"/>
      <c r="R4" s="735"/>
      <c r="S4" s="734"/>
      <c r="T4" s="734"/>
      <c r="U4" s="734"/>
      <c r="V4" s="734"/>
      <c r="W4" s="734"/>
      <c r="X4" s="734"/>
      <c r="Y4" s="734"/>
      <c r="Z4" s="734"/>
      <c r="AA4" s="734"/>
      <c r="AB4" s="736"/>
      <c r="AC4" s="734"/>
      <c r="AD4" s="737"/>
      <c r="AE4" s="733"/>
    </row>
    <row r="5" spans="1:164" s="97" customFormat="1" ht="0.6" customHeight="1">
      <c r="A5" s="738"/>
      <c r="B5" s="738"/>
      <c r="C5" s="738"/>
      <c r="D5" s="738"/>
      <c r="E5" s="738"/>
      <c r="F5" s="739"/>
      <c r="G5" s="739"/>
      <c r="H5" s="738"/>
      <c r="I5" s="738"/>
      <c r="J5" s="738"/>
      <c r="K5" s="738"/>
      <c r="L5" s="738"/>
      <c r="M5" s="738"/>
      <c r="N5" s="738"/>
      <c r="O5" s="738"/>
      <c r="P5" s="738"/>
      <c r="Q5" s="738"/>
      <c r="R5" s="740"/>
      <c r="S5" s="738"/>
      <c r="T5" s="738"/>
      <c r="U5" s="738"/>
      <c r="V5" s="738"/>
      <c r="W5" s="738"/>
      <c r="X5" s="738"/>
      <c r="Y5" s="738"/>
      <c r="Z5" s="738"/>
      <c r="AA5" s="738"/>
      <c r="AB5" s="739"/>
      <c r="AC5" s="741"/>
      <c r="AD5" s="742"/>
      <c r="AE5" s="733"/>
    </row>
    <row r="6" spans="1:164" s="97" customFormat="1" ht="36.6" customHeight="1">
      <c r="A6" s="1057" t="s">
        <v>1771</v>
      </c>
      <c r="B6" s="1057"/>
      <c r="C6" s="1057"/>
      <c r="D6" s="1057"/>
      <c r="E6" s="1057"/>
      <c r="F6" s="1057"/>
      <c r="G6" s="1057"/>
      <c r="H6" s="1057"/>
      <c r="I6" s="1057"/>
      <c r="J6" s="1057"/>
      <c r="K6" s="1057"/>
      <c r="L6" s="1057"/>
      <c r="M6" s="1057"/>
      <c r="N6" s="1057"/>
      <c r="O6" s="1057"/>
      <c r="P6" s="1057"/>
      <c r="Q6" s="1057"/>
      <c r="R6" s="1057"/>
      <c r="S6" s="1057"/>
      <c r="T6" s="1057"/>
      <c r="U6" s="1057"/>
      <c r="V6" s="1057"/>
      <c r="W6" s="1057"/>
      <c r="X6" s="1057"/>
      <c r="Y6" s="1057"/>
      <c r="Z6" s="1057"/>
      <c r="AA6" s="1057"/>
      <c r="AB6" s="1057"/>
      <c r="AC6" s="1057"/>
      <c r="AD6" s="743"/>
      <c r="AE6" s="744"/>
      <c r="AF6" s="743"/>
      <c r="AG6" s="743"/>
      <c r="AH6" s="743"/>
      <c r="AI6" s="743"/>
      <c r="AJ6" s="743"/>
      <c r="AK6" s="743"/>
      <c r="AL6" s="743"/>
      <c r="AM6" s="743"/>
      <c r="AN6" s="743"/>
      <c r="AO6" s="743"/>
      <c r="AP6" s="743"/>
      <c r="AQ6" s="743"/>
      <c r="AR6" s="743"/>
      <c r="AS6" s="743"/>
      <c r="AT6" s="743"/>
      <c r="AU6" s="743"/>
      <c r="AV6" s="743"/>
      <c r="AW6" s="743"/>
      <c r="AX6" s="743"/>
      <c r="AY6" s="743"/>
      <c r="AZ6" s="743"/>
      <c r="BA6" s="743"/>
      <c r="BB6" s="743"/>
      <c r="BC6" s="743"/>
      <c r="BD6" s="743"/>
      <c r="BE6" s="743"/>
      <c r="BF6" s="743"/>
      <c r="BG6" s="743"/>
      <c r="BH6" s="743"/>
      <c r="BI6" s="743"/>
      <c r="BJ6" s="743"/>
      <c r="BK6" s="743"/>
      <c r="BL6" s="743"/>
      <c r="BM6" s="743"/>
      <c r="BN6" s="743"/>
      <c r="BO6" s="743"/>
      <c r="BP6" s="743"/>
      <c r="BQ6" s="743"/>
      <c r="BR6" s="743"/>
      <c r="BS6" s="743"/>
      <c r="BT6" s="743"/>
      <c r="BU6" s="743"/>
      <c r="BV6" s="743"/>
      <c r="BW6" s="743"/>
      <c r="BX6" s="743"/>
      <c r="BY6" s="743"/>
      <c r="BZ6" s="743"/>
      <c r="CA6" s="743"/>
      <c r="CB6" s="743"/>
      <c r="CC6" s="743"/>
      <c r="CD6" s="743"/>
      <c r="CE6" s="743"/>
      <c r="CF6" s="743"/>
      <c r="CG6" s="743"/>
      <c r="CH6" s="743"/>
      <c r="CI6" s="743"/>
      <c r="CJ6" s="743"/>
      <c r="CK6" s="743"/>
      <c r="CL6" s="743"/>
      <c r="CM6" s="743"/>
      <c r="CN6" s="743"/>
      <c r="CO6" s="743"/>
      <c r="CP6" s="743"/>
      <c r="CQ6" s="743"/>
      <c r="CR6" s="743"/>
      <c r="CS6" s="743"/>
      <c r="CT6" s="743"/>
      <c r="CU6" s="743"/>
      <c r="CV6" s="743"/>
      <c r="CW6" s="743"/>
      <c r="CX6" s="743"/>
      <c r="CY6" s="743"/>
      <c r="CZ6" s="743"/>
      <c r="DA6" s="743"/>
      <c r="DB6" s="743"/>
      <c r="DC6" s="743"/>
      <c r="DD6" s="743"/>
      <c r="DE6" s="743"/>
      <c r="DF6" s="743"/>
      <c r="DG6" s="743"/>
      <c r="DH6" s="743"/>
      <c r="DI6" s="743"/>
      <c r="DJ6" s="743"/>
      <c r="DK6" s="743"/>
      <c r="DL6" s="743"/>
      <c r="DM6" s="743"/>
      <c r="DN6" s="743"/>
      <c r="DO6" s="743"/>
      <c r="DP6" s="743"/>
      <c r="DQ6" s="743"/>
      <c r="DR6" s="743"/>
      <c r="DS6" s="743"/>
      <c r="DT6" s="743"/>
      <c r="DU6" s="743"/>
      <c r="DV6" s="743"/>
      <c r="DW6" s="743"/>
      <c r="DX6" s="743"/>
      <c r="DY6" s="743"/>
      <c r="DZ6" s="743"/>
      <c r="EA6" s="743"/>
      <c r="EB6" s="743"/>
      <c r="EC6" s="743"/>
      <c r="ED6" s="743"/>
      <c r="EE6" s="743"/>
      <c r="EF6" s="743"/>
      <c r="EG6" s="743"/>
      <c r="EH6" s="743"/>
      <c r="EI6" s="743"/>
      <c r="EJ6" s="743"/>
      <c r="EK6" s="743"/>
      <c r="EL6" s="743"/>
      <c r="EM6" s="743"/>
      <c r="EN6" s="743"/>
      <c r="EO6" s="743"/>
      <c r="EP6" s="743"/>
      <c r="EQ6" s="743"/>
      <c r="ER6" s="743"/>
      <c r="ES6" s="743"/>
      <c r="ET6" s="743"/>
      <c r="EU6" s="743"/>
      <c r="EV6" s="743"/>
      <c r="EW6" s="743"/>
      <c r="EX6" s="743"/>
      <c r="EY6" s="743"/>
      <c r="EZ6" s="743"/>
      <c r="FA6" s="743"/>
      <c r="FB6" s="743"/>
      <c r="FC6" s="743"/>
      <c r="FD6" s="743"/>
      <c r="FE6" s="743"/>
      <c r="FF6" s="743"/>
      <c r="FG6" s="743"/>
      <c r="FH6" s="743"/>
    </row>
    <row r="7" spans="1:164" s="97" customFormat="1" ht="32.4" customHeight="1">
      <c r="A7" s="1058" t="s">
        <v>2058</v>
      </c>
      <c r="B7" s="1058"/>
      <c r="C7" s="1058"/>
      <c r="D7" s="1058"/>
      <c r="E7" s="1058"/>
      <c r="F7" s="1058"/>
      <c r="G7" s="1058"/>
      <c r="H7" s="1058"/>
      <c r="I7" s="1058"/>
      <c r="J7" s="1058"/>
      <c r="K7" s="1058"/>
      <c r="L7" s="1058"/>
      <c r="M7" s="1058"/>
      <c r="N7" s="1058"/>
      <c r="O7" s="1058"/>
      <c r="P7" s="1058"/>
      <c r="Q7" s="1058"/>
      <c r="R7" s="1058"/>
      <c r="S7" s="1058"/>
      <c r="T7" s="1058"/>
      <c r="U7" s="1058"/>
      <c r="V7" s="1058"/>
      <c r="W7" s="1058"/>
      <c r="X7" s="1058"/>
      <c r="Y7" s="1058"/>
      <c r="Z7" s="1058"/>
      <c r="AA7" s="1058"/>
      <c r="AB7" s="1058"/>
      <c r="AC7" s="1058"/>
      <c r="AD7" s="745"/>
      <c r="AE7" s="746"/>
      <c r="AF7" s="745"/>
      <c r="AG7" s="745"/>
      <c r="AH7" s="745"/>
      <c r="AI7" s="745"/>
      <c r="AJ7" s="745"/>
      <c r="AK7" s="745"/>
      <c r="AL7" s="745"/>
      <c r="AM7" s="745"/>
      <c r="AN7" s="745"/>
      <c r="AO7" s="745"/>
      <c r="AP7" s="745"/>
      <c r="AQ7" s="745"/>
      <c r="AR7" s="745"/>
      <c r="AS7" s="745"/>
      <c r="AT7" s="745"/>
      <c r="AU7" s="745"/>
      <c r="AV7" s="745"/>
      <c r="AW7" s="745"/>
      <c r="AX7" s="745"/>
      <c r="AY7" s="745"/>
      <c r="AZ7" s="745"/>
      <c r="BA7" s="745"/>
      <c r="BB7" s="745"/>
      <c r="BC7" s="745"/>
      <c r="BD7" s="745"/>
      <c r="BE7" s="745"/>
      <c r="BF7" s="745"/>
      <c r="BG7" s="745"/>
      <c r="BH7" s="745"/>
      <c r="BI7" s="745"/>
      <c r="BJ7" s="745"/>
      <c r="BK7" s="745"/>
      <c r="BL7" s="745"/>
      <c r="BM7" s="745"/>
      <c r="BN7" s="745"/>
      <c r="BO7" s="745"/>
      <c r="BP7" s="745"/>
      <c r="BQ7" s="745"/>
      <c r="BR7" s="745"/>
      <c r="BS7" s="745"/>
      <c r="BT7" s="745"/>
      <c r="BU7" s="745"/>
      <c r="BV7" s="745"/>
      <c r="BW7" s="745"/>
      <c r="BX7" s="745"/>
      <c r="BY7" s="745"/>
      <c r="BZ7" s="745"/>
      <c r="CA7" s="745"/>
      <c r="CB7" s="745"/>
      <c r="CC7" s="745"/>
      <c r="CD7" s="745"/>
      <c r="CE7" s="745"/>
      <c r="CF7" s="745"/>
      <c r="CG7" s="745"/>
      <c r="CH7" s="745"/>
      <c r="CI7" s="745"/>
      <c r="CJ7" s="745"/>
      <c r="CK7" s="745"/>
      <c r="CL7" s="745"/>
      <c r="CM7" s="745"/>
      <c r="CN7" s="745"/>
      <c r="CO7" s="745"/>
      <c r="CP7" s="745"/>
      <c r="CQ7" s="745"/>
      <c r="CR7" s="745"/>
      <c r="CS7" s="745"/>
      <c r="CT7" s="745"/>
      <c r="CU7" s="745"/>
      <c r="CV7" s="745"/>
      <c r="CW7" s="745"/>
      <c r="CX7" s="745"/>
      <c r="CY7" s="745"/>
      <c r="CZ7" s="745"/>
      <c r="DA7" s="745"/>
      <c r="DB7" s="745"/>
      <c r="DC7" s="745"/>
      <c r="DD7" s="745"/>
      <c r="DE7" s="745"/>
      <c r="DF7" s="745"/>
      <c r="DG7" s="745"/>
      <c r="DH7" s="745"/>
      <c r="DI7" s="745"/>
      <c r="DJ7" s="745"/>
      <c r="DK7" s="745"/>
      <c r="DL7" s="745"/>
      <c r="DM7" s="745"/>
      <c r="DN7" s="745"/>
      <c r="DO7" s="745"/>
      <c r="DP7" s="745"/>
      <c r="DQ7" s="745"/>
      <c r="DR7" s="745"/>
      <c r="DS7" s="745"/>
      <c r="DT7" s="745"/>
      <c r="DU7" s="745"/>
      <c r="DV7" s="745"/>
      <c r="DW7" s="745"/>
      <c r="DX7" s="745"/>
      <c r="DY7" s="745"/>
      <c r="DZ7" s="745"/>
      <c r="EA7" s="745"/>
      <c r="EB7" s="745"/>
      <c r="EC7" s="745"/>
      <c r="ED7" s="745"/>
      <c r="EE7" s="745"/>
      <c r="EF7" s="745"/>
      <c r="EG7" s="745"/>
      <c r="EH7" s="745"/>
      <c r="EI7" s="745"/>
      <c r="EJ7" s="745"/>
      <c r="EK7" s="745"/>
      <c r="EL7" s="745"/>
      <c r="EM7" s="745"/>
      <c r="EN7" s="745"/>
      <c r="EO7" s="745"/>
      <c r="EP7" s="745"/>
      <c r="EQ7" s="745"/>
      <c r="ER7" s="745"/>
      <c r="ES7" s="745"/>
      <c r="ET7" s="745"/>
      <c r="EU7" s="745"/>
      <c r="EV7" s="745"/>
      <c r="EW7" s="745"/>
      <c r="EX7" s="745"/>
      <c r="EY7" s="745"/>
      <c r="EZ7" s="745"/>
      <c r="FA7" s="745"/>
      <c r="FB7" s="745"/>
      <c r="FC7" s="745"/>
      <c r="FD7" s="745"/>
      <c r="FE7" s="745"/>
      <c r="FF7" s="745"/>
      <c r="FG7" s="745"/>
      <c r="FH7" s="745"/>
    </row>
    <row r="8" spans="1:164" s="97" customFormat="1" ht="21">
      <c r="A8" s="1063" t="s">
        <v>239</v>
      </c>
      <c r="B8" s="1063"/>
      <c r="C8" s="1063"/>
      <c r="D8" s="1063"/>
      <c r="E8" s="1063"/>
      <c r="F8" s="1063"/>
      <c r="G8" s="1063"/>
      <c r="H8" s="1063"/>
      <c r="I8" s="1063"/>
      <c r="J8" s="1063"/>
      <c r="K8" s="1063"/>
      <c r="L8" s="1063"/>
      <c r="M8" s="1063"/>
      <c r="N8" s="1063"/>
      <c r="O8" s="1063"/>
      <c r="P8" s="1063"/>
      <c r="Q8" s="1063"/>
      <c r="R8" s="1063"/>
      <c r="S8" s="1063"/>
      <c r="T8" s="1063"/>
      <c r="U8" s="1063"/>
      <c r="V8" s="1063"/>
      <c r="W8" s="1063"/>
      <c r="X8" s="1063"/>
      <c r="Y8" s="1063"/>
      <c r="Z8" s="1063"/>
      <c r="AA8" s="1063"/>
      <c r="AB8" s="1063"/>
      <c r="AC8" s="1063"/>
      <c r="AD8" s="738"/>
      <c r="AE8" s="739"/>
    </row>
    <row r="9" spans="1:164" s="97" customFormat="1" ht="21">
      <c r="A9" s="1063" t="s">
        <v>2059</v>
      </c>
      <c r="B9" s="1063"/>
      <c r="C9" s="1063"/>
      <c r="D9" s="1063"/>
      <c r="E9" s="1063"/>
      <c r="F9" s="1063"/>
      <c r="G9" s="1063"/>
      <c r="H9" s="1063"/>
      <c r="I9" s="1063"/>
      <c r="J9" s="1063"/>
      <c r="K9" s="1063"/>
      <c r="L9" s="1063"/>
      <c r="M9" s="1063"/>
      <c r="N9" s="1063"/>
      <c r="O9" s="1063"/>
      <c r="P9" s="1063"/>
      <c r="Q9" s="1063"/>
      <c r="R9" s="1063"/>
      <c r="S9" s="1063"/>
      <c r="T9" s="1063"/>
      <c r="U9" s="1063"/>
      <c r="V9" s="1063"/>
      <c r="W9" s="1063"/>
      <c r="X9" s="1063"/>
      <c r="Y9" s="1063"/>
      <c r="Z9" s="1063"/>
      <c r="AA9" s="1063"/>
      <c r="AB9" s="1063"/>
      <c r="AC9" s="1063"/>
      <c r="AD9" s="747"/>
      <c r="AE9" s="748"/>
    </row>
    <row r="10" spans="1:164" s="98" customFormat="1" ht="6.6" customHeight="1">
      <c r="A10" s="749"/>
      <c r="B10" s="749"/>
      <c r="C10" s="749"/>
      <c r="D10" s="749"/>
      <c r="E10" s="749"/>
      <c r="F10" s="750"/>
      <c r="G10" s="750"/>
      <c r="H10" s="749"/>
      <c r="I10" s="749"/>
      <c r="J10" s="749"/>
      <c r="K10" s="749"/>
      <c r="L10" s="749"/>
      <c r="M10" s="749"/>
      <c r="N10" s="749"/>
      <c r="O10" s="749"/>
      <c r="P10" s="749"/>
      <c r="Q10" s="749"/>
      <c r="R10" s="751"/>
      <c r="S10" s="749"/>
      <c r="T10" s="749"/>
      <c r="U10" s="749"/>
      <c r="V10" s="749"/>
      <c r="W10" s="749"/>
      <c r="X10" s="749"/>
      <c r="Y10" s="749"/>
      <c r="Z10" s="749"/>
      <c r="AA10" s="749"/>
      <c r="AB10" s="750"/>
      <c r="AC10" s="752"/>
      <c r="AD10" s="749"/>
      <c r="AE10" s="750"/>
    </row>
    <row r="11" spans="1:164" s="754" customFormat="1" ht="43.95" customHeight="1">
      <c r="A11" s="1130" t="s">
        <v>2076</v>
      </c>
      <c r="B11" s="1133" t="s">
        <v>2077</v>
      </c>
      <c r="C11" s="1133"/>
      <c r="D11" s="1133"/>
      <c r="E11" s="1133" t="s">
        <v>240</v>
      </c>
      <c r="F11" s="1108" t="s">
        <v>254</v>
      </c>
      <c r="G11" s="1108"/>
      <c r="H11" s="1108"/>
      <c r="I11" s="1122" t="s">
        <v>241</v>
      </c>
      <c r="J11" s="1122"/>
      <c r="K11" s="1122"/>
      <c r="L11" s="1122"/>
      <c r="M11" s="1122"/>
      <c r="N11" s="1122"/>
      <c r="O11" s="1122"/>
      <c r="P11" s="1143" t="s">
        <v>255</v>
      </c>
      <c r="Q11" s="1143"/>
      <c r="R11" s="1125" t="s">
        <v>256</v>
      </c>
      <c r="S11" s="1125"/>
      <c r="T11" s="1145" t="s">
        <v>119</v>
      </c>
      <c r="U11" s="1145"/>
      <c r="V11" s="1147" t="s">
        <v>1964</v>
      </c>
      <c r="W11" s="1148"/>
      <c r="X11" s="1125" t="s">
        <v>107</v>
      </c>
      <c r="Y11" s="1125"/>
      <c r="Z11" s="1108" t="s">
        <v>175</v>
      </c>
      <c r="AA11" s="1108"/>
      <c r="AB11" s="1136" t="s">
        <v>2078</v>
      </c>
      <c r="AC11" s="1109" t="s">
        <v>2079</v>
      </c>
      <c r="AD11" s="1098"/>
      <c r="AE11" s="753"/>
    </row>
    <row r="12" spans="1:164" s="754" customFormat="1" ht="31.95" customHeight="1">
      <c r="A12" s="1131"/>
      <c r="B12" s="1134"/>
      <c r="C12" s="1134"/>
      <c r="D12" s="1134"/>
      <c r="E12" s="1134"/>
      <c r="F12" s="755"/>
      <c r="G12" s="755"/>
      <c r="H12" s="756"/>
      <c r="I12" s="1139" t="s">
        <v>242</v>
      </c>
      <c r="J12" s="1139"/>
      <c r="K12" s="1139"/>
      <c r="L12" s="1139"/>
      <c r="M12" s="1139"/>
      <c r="N12" s="1139"/>
      <c r="O12" s="1139"/>
      <c r="P12" s="1144"/>
      <c r="Q12" s="1144"/>
      <c r="R12" s="1126"/>
      <c r="S12" s="1126"/>
      <c r="T12" s="1146"/>
      <c r="U12" s="1146"/>
      <c r="V12" s="1149"/>
      <c r="W12" s="1150"/>
      <c r="X12" s="1126"/>
      <c r="Y12" s="1126"/>
      <c r="Z12" s="1108"/>
      <c r="AA12" s="1108"/>
      <c r="AB12" s="1137"/>
      <c r="AC12" s="1110"/>
      <c r="AD12" s="1098"/>
      <c r="AE12" s="753"/>
    </row>
    <row r="13" spans="1:164" s="754" customFormat="1" ht="40.200000000000003" customHeight="1">
      <c r="A13" s="1131"/>
      <c r="B13" s="1134"/>
      <c r="C13" s="1134"/>
      <c r="D13" s="1134"/>
      <c r="E13" s="1134"/>
      <c r="F13" s="755"/>
      <c r="G13" s="755"/>
      <c r="H13" s="756"/>
      <c r="I13" s="1120" t="s">
        <v>1830</v>
      </c>
      <c r="J13" s="1121"/>
      <c r="K13" s="1120" t="s">
        <v>1829</v>
      </c>
      <c r="L13" s="1121"/>
      <c r="M13" s="757" t="s">
        <v>253</v>
      </c>
      <c r="N13" s="1116" t="s">
        <v>78</v>
      </c>
      <c r="O13" s="1117"/>
      <c r="P13" s="1113" t="s">
        <v>257</v>
      </c>
      <c r="Q13" s="1113"/>
      <c r="R13" s="1113" t="s">
        <v>258</v>
      </c>
      <c r="S13" s="1113"/>
      <c r="T13" s="1113" t="s">
        <v>118</v>
      </c>
      <c r="U13" s="1113"/>
      <c r="V13" s="1113" t="s">
        <v>1963</v>
      </c>
      <c r="W13" s="1113"/>
      <c r="X13" s="1113" t="s">
        <v>106</v>
      </c>
      <c r="Y13" s="1113"/>
      <c r="Z13" s="1108" t="s">
        <v>174</v>
      </c>
      <c r="AA13" s="1108"/>
      <c r="AB13" s="1137"/>
      <c r="AC13" s="1110"/>
      <c r="AD13" s="1098"/>
      <c r="AE13" s="753"/>
    </row>
    <row r="14" spans="1:164" s="99" customFormat="1" ht="60" customHeight="1">
      <c r="A14" s="1132"/>
      <c r="B14" s="1135"/>
      <c r="C14" s="1135"/>
      <c r="D14" s="1135"/>
      <c r="E14" s="1135"/>
      <c r="F14" s="755" t="s">
        <v>2080</v>
      </c>
      <c r="G14" s="755" t="s">
        <v>2081</v>
      </c>
      <c r="H14" s="755" t="s">
        <v>259</v>
      </c>
      <c r="I14" s="758" t="s">
        <v>2082</v>
      </c>
      <c r="J14" s="758" t="s">
        <v>2083</v>
      </c>
      <c r="K14" s="758" t="s">
        <v>2082</v>
      </c>
      <c r="L14" s="758" t="s">
        <v>2083</v>
      </c>
      <c r="M14" s="714" t="s">
        <v>2081</v>
      </c>
      <c r="N14" s="758" t="s">
        <v>2082</v>
      </c>
      <c r="O14" s="759" t="s">
        <v>2083</v>
      </c>
      <c r="P14" s="760" t="s">
        <v>2080</v>
      </c>
      <c r="Q14" s="761" t="s">
        <v>2081</v>
      </c>
      <c r="R14" s="758" t="s">
        <v>2082</v>
      </c>
      <c r="S14" s="758" t="s">
        <v>2083</v>
      </c>
      <c r="T14" s="714" t="s">
        <v>2080</v>
      </c>
      <c r="U14" s="714" t="s">
        <v>2081</v>
      </c>
      <c r="V14" s="714" t="s">
        <v>2082</v>
      </c>
      <c r="W14" s="714" t="s">
        <v>2083</v>
      </c>
      <c r="X14" s="758" t="s">
        <v>2082</v>
      </c>
      <c r="Y14" s="758" t="s">
        <v>2083</v>
      </c>
      <c r="Z14" t="s">
        <v>2080</v>
      </c>
      <c r="AA14" t="s">
        <v>2081</v>
      </c>
      <c r="AB14" s="1138"/>
      <c r="AC14" s="1111"/>
      <c r="AD14" s="1098"/>
      <c r="AE14" s="753"/>
    </row>
    <row r="15" spans="1:164" s="97" customFormat="1" ht="30" customHeight="1">
      <c r="A15" s="1114" t="s">
        <v>247</v>
      </c>
      <c r="B15" s="1115"/>
      <c r="C15" s="1115"/>
      <c r="D15" s="1115"/>
      <c r="E15" s="762"/>
      <c r="F15" s="762"/>
      <c r="G15" s="762"/>
      <c r="H15" s="762">
        <v>450</v>
      </c>
      <c r="I15" s="762"/>
      <c r="J15" s="762"/>
      <c r="K15" s="762"/>
      <c r="L15" s="762"/>
      <c r="M15" s="762"/>
      <c r="N15" s="762"/>
      <c r="O15" s="762"/>
      <c r="P15" s="763"/>
      <c r="Q15" s="764"/>
      <c r="R15" s="765"/>
      <c r="S15" s="762"/>
      <c r="T15" s="1127">
        <v>1.4661</v>
      </c>
      <c r="U15" s="1127"/>
      <c r="V15" s="762"/>
      <c r="W15" s="766">
        <v>2</v>
      </c>
      <c r="X15" s="1128">
        <v>1.0954999999999999</v>
      </c>
      <c r="Y15" s="1129"/>
      <c r="Z15" s="762"/>
      <c r="AA15" s="762">
        <v>1.4661</v>
      </c>
      <c r="AB15" s="767"/>
      <c r="AC15" s="768"/>
      <c r="AD15" s="769"/>
      <c r="AE15" s="770"/>
    </row>
    <row r="16" spans="1:164" s="779" customFormat="1" ht="24.6" customHeight="1">
      <c r="A16" s="1118"/>
      <c r="B16" s="1119"/>
      <c r="C16" s="1119"/>
      <c r="D16" s="1119"/>
      <c r="E16" s="771"/>
      <c r="F16" s="771"/>
      <c r="G16" s="771"/>
      <c r="H16" s="771"/>
      <c r="I16" s="771"/>
      <c r="J16" s="772"/>
      <c r="K16" s="772"/>
      <c r="L16" s="772"/>
      <c r="M16" s="771"/>
      <c r="N16" s="771"/>
      <c r="O16" s="771">
        <v>500</v>
      </c>
      <c r="P16" s="773"/>
      <c r="Q16" s="773">
        <v>1.25</v>
      </c>
      <c r="R16" s="774"/>
      <c r="S16" s="773"/>
      <c r="T16" s="773"/>
      <c r="U16" s="773"/>
      <c r="V16" s="773"/>
      <c r="W16" s="773"/>
      <c r="X16" s="773"/>
      <c r="Y16" s="773"/>
      <c r="Z16" s="773"/>
      <c r="AA16" s="771"/>
      <c r="AB16" s="775"/>
      <c r="AC16" s="776"/>
      <c r="AD16" s="777"/>
      <c r="AE16" s="778"/>
    </row>
    <row r="17" spans="1:31" s="779" customFormat="1" ht="21.6" customHeight="1">
      <c r="A17" s="780">
        <v>485</v>
      </c>
      <c r="B17" s="781">
        <f>'Tên thang 01-26'!D4</f>
        <v>150429518</v>
      </c>
      <c r="C17" s="782" t="str">
        <f>'Tên thang 01-26'!E488</f>
        <v>រួន រ៉ី</v>
      </c>
      <c r="D17" s="783" t="str">
        <f>'Tên thang 01-26'!F488</f>
        <v>RUON RY</v>
      </c>
      <c r="E17" s="784"/>
      <c r="F17" s="785"/>
      <c r="G17" s="785">
        <f>ROUND(H17/30131,2)</f>
        <v>0</v>
      </c>
      <c r="H17">
        <f>ROUND(F17*44%*450,0)</f>
        <v>0</v>
      </c>
      <c r="I17" s="786">
        <v>31</v>
      </c>
      <c r="J17" s="785">
        <f>ROUND(I17*1.252,2)</f>
        <v>38.81</v>
      </c>
      <c r="K17" s="785"/>
      <c r="L17" s="785"/>
      <c r="M17" s="785"/>
      <c r="N17" s="785">
        <v>877.36</v>
      </c>
      <c r="O17" s="785">
        <f>ROUND(N17*$O$16/31947,2)</f>
        <v>13.73</v>
      </c>
      <c r="P17" s="787"/>
      <c r="Q17" s="785">
        <f t="shared" ref="Q17:Q26" si="0">ROUND(P17*$Q$16,2)</f>
        <v>0</v>
      </c>
      <c r="R17" s="787"/>
      <c r="S17" s="785">
        <f t="shared" ref="S17:S26" si="1">ROUND(R17*0.8347,2)</f>
        <v>0</v>
      </c>
      <c r="T17" s="788"/>
      <c r="U17" s="785">
        <f>ROUND(T17*$T$15,2)</f>
        <v>0</v>
      </c>
      <c r="V17" s="786"/>
      <c r="W17" s="788">
        <f>ROUND(V17*$W$15,2)</f>
        <v>0</v>
      </c>
      <c r="X17" s="788"/>
      <c r="Y17" s="788">
        <f>ROUND(X17*$X$15,2)</f>
        <v>0</v>
      </c>
      <c r="Z17" s="788"/>
      <c r="AA17" s="788">
        <f>ROUND(Z17*$AA$15,2)</f>
        <v>0</v>
      </c>
      <c r="AB17" s="789">
        <f>J17+M17+S17+W17+Y17+O17+L17</f>
        <v>52.540000000000006</v>
      </c>
      <c r="AC17" s="790"/>
      <c r="AE17" s="791">
        <f>AB17*31226</f>
        <v>1640614.0400000003</v>
      </c>
    </row>
    <row r="18" spans="1:31" s="779" customFormat="1" ht="21.6" customHeight="1">
      <c r="A18" s="780">
        <v>486</v>
      </c>
      <c r="B18" s="781">
        <f>'Tên thang 01-26'!D5</f>
        <v>220140698</v>
      </c>
      <c r="C18" s="782" t="str">
        <f>'Tên thang 01-26'!E489</f>
        <v>ជិន ឡូត</v>
      </c>
      <c r="D18" s="783" t="str">
        <f>'Tên thang 01-26'!F489</f>
        <v>CHIN LOUT</v>
      </c>
      <c r="E18" s="784"/>
      <c r="F18" s="785"/>
      <c r="G18" s="785">
        <f t="shared" ref="G18:G45" si="2">ROUND(H18/30131,2)</f>
        <v>0</v>
      </c>
      <c r="H18">
        <f t="shared" ref="H18:H45" si="3">ROUND(F18*44%*450,0)</f>
        <v>0</v>
      </c>
      <c r="I18" s="786">
        <v>31</v>
      </c>
      <c r="J18" s="785">
        <f t="shared" ref="J18:J25" si="4">ROUND(I18*1.252,2)</f>
        <v>38.81</v>
      </c>
      <c r="K18" s="785"/>
      <c r="L18" s="785"/>
      <c r="M18" s="785"/>
      <c r="N18" s="785">
        <v>877.36</v>
      </c>
      <c r="O18" s="785">
        <f t="shared" ref="O18:O25" si="5">ROUND(N18*$O$16/31947,2)</f>
        <v>13.73</v>
      </c>
      <c r="P18" s="787"/>
      <c r="Q18" s="785">
        <f t="shared" si="0"/>
        <v>0</v>
      </c>
      <c r="R18" s="787"/>
      <c r="S18" s="785">
        <f t="shared" si="1"/>
        <v>0</v>
      </c>
      <c r="T18" s="788"/>
      <c r="U18" s="785">
        <f t="shared" ref="U18:U26" si="6">ROUND(T18*$T$15,2)</f>
        <v>0</v>
      </c>
      <c r="V18" s="786"/>
      <c r="W18" s="788">
        <f t="shared" ref="W18:W45" si="7">ROUND(V18*$W$15,2)</f>
        <v>0</v>
      </c>
      <c r="X18" s="788"/>
      <c r="Y18" s="788">
        <f t="shared" ref="Y18:Y45" si="8">ROUND(X18*$X$15,2)</f>
        <v>0</v>
      </c>
      <c r="Z18" s="788"/>
      <c r="AA18" s="788">
        <f t="shared" ref="AA18:AA45" si="9">ROUND(Z18*$AA$15,2)</f>
        <v>0</v>
      </c>
      <c r="AB18" s="789">
        <f t="shared" ref="AB18:AB45" si="10">J18+M18+S18+W18+Y18+O18+L18</f>
        <v>52.540000000000006</v>
      </c>
      <c r="AC18" s="790"/>
      <c r="AE18" s="791"/>
    </row>
    <row r="19" spans="1:31" s="779" customFormat="1" ht="21.6" customHeight="1">
      <c r="A19" s="780">
        <v>487</v>
      </c>
      <c r="B19" s="781">
        <f>'Tên thang 01-26'!D6</f>
        <v>151027370</v>
      </c>
      <c r="C19" s="782" t="str">
        <f>'Tên thang 01-26'!E490</f>
        <v>ឈីន ឈេន</v>
      </c>
      <c r="D19" s="783" t="str">
        <f>'Tên thang 01-26'!F490</f>
        <v>CHHIN CHHEN</v>
      </c>
      <c r="E19" s="784"/>
      <c r="F19" s="785"/>
      <c r="G19" s="785">
        <f t="shared" si="2"/>
        <v>0</v>
      </c>
      <c r="H19">
        <f t="shared" si="3"/>
        <v>0</v>
      </c>
      <c r="I19" s="786">
        <v>31</v>
      </c>
      <c r="J19" s="785">
        <f t="shared" si="4"/>
        <v>38.81</v>
      </c>
      <c r="K19" s="785"/>
      <c r="L19" s="785"/>
      <c r="M19" s="785"/>
      <c r="N19" s="785">
        <v>877.36</v>
      </c>
      <c r="O19" s="785">
        <f t="shared" si="5"/>
        <v>13.73</v>
      </c>
      <c r="P19" s="787"/>
      <c r="Q19" s="785">
        <f t="shared" si="0"/>
        <v>0</v>
      </c>
      <c r="R19" s="787"/>
      <c r="S19" s="785">
        <f t="shared" si="1"/>
        <v>0</v>
      </c>
      <c r="T19" s="788"/>
      <c r="U19" s="785">
        <f t="shared" si="6"/>
        <v>0</v>
      </c>
      <c r="V19" s="786"/>
      <c r="W19" s="788">
        <f t="shared" si="7"/>
        <v>0</v>
      </c>
      <c r="X19" s="788"/>
      <c r="Y19" s="788">
        <f t="shared" si="8"/>
        <v>0</v>
      </c>
      <c r="Z19" s="788"/>
      <c r="AA19" s="788">
        <f t="shared" si="9"/>
        <v>0</v>
      </c>
      <c r="AB19" s="789">
        <f t="shared" si="10"/>
        <v>52.540000000000006</v>
      </c>
      <c r="AC19" s="790"/>
      <c r="AE19" s="791"/>
    </row>
    <row r="20" spans="1:31" s="779" customFormat="1" ht="21.6" customHeight="1">
      <c r="A20" s="780">
        <v>488</v>
      </c>
      <c r="B20" s="781" t="str">
        <f>'Tên thang 01-26'!D7</f>
        <v>150815265</v>
      </c>
      <c r="C20" s="782" t="str">
        <f>'Tên thang 01-26'!E491</f>
        <v>សួរ សុខេង</v>
      </c>
      <c r="D20" s="783" t="str">
        <f>'Tên thang 01-26'!F491</f>
        <v>SOUR SOKKHENG</v>
      </c>
      <c r="E20" s="784"/>
      <c r="F20" s="785"/>
      <c r="G20" s="785">
        <f t="shared" si="2"/>
        <v>0</v>
      </c>
      <c r="H20">
        <f t="shared" si="3"/>
        <v>0</v>
      </c>
      <c r="I20" s="786">
        <v>31</v>
      </c>
      <c r="J20" s="785">
        <f t="shared" si="4"/>
        <v>38.81</v>
      </c>
      <c r="K20" s="785"/>
      <c r="L20" s="785"/>
      <c r="M20" s="785"/>
      <c r="N20" s="785">
        <v>877.36</v>
      </c>
      <c r="O20" s="785">
        <f t="shared" si="5"/>
        <v>13.73</v>
      </c>
      <c r="P20" s="787"/>
      <c r="Q20" s="785">
        <f t="shared" si="0"/>
        <v>0</v>
      </c>
      <c r="R20" s="787"/>
      <c r="S20" s="785">
        <f t="shared" si="1"/>
        <v>0</v>
      </c>
      <c r="T20" s="788"/>
      <c r="U20" s="785">
        <f t="shared" si="6"/>
        <v>0</v>
      </c>
      <c r="V20" s="786"/>
      <c r="W20" s="788">
        <f t="shared" si="7"/>
        <v>0</v>
      </c>
      <c r="X20" s="788"/>
      <c r="Y20" s="788">
        <f t="shared" si="8"/>
        <v>0</v>
      </c>
      <c r="Z20" s="788"/>
      <c r="AA20" s="788">
        <f t="shared" si="9"/>
        <v>0</v>
      </c>
      <c r="AB20" s="789">
        <f t="shared" si="10"/>
        <v>52.540000000000006</v>
      </c>
      <c r="AC20" s="790"/>
      <c r="AE20" s="791"/>
    </row>
    <row r="21" spans="1:31" s="779" customFormat="1" ht="21.6" customHeight="1">
      <c r="A21" s="780">
        <v>489</v>
      </c>
      <c r="B21" s="781">
        <f>'Tên thang 01-26'!D8</f>
        <v>150523483</v>
      </c>
      <c r="C21" s="782" t="str">
        <f>'Tên thang 01-26'!E492</f>
        <v>ឈួន ជឿន</v>
      </c>
      <c r="D21" s="783" t="str">
        <f>'Tên thang 01-26'!F492</f>
        <v>CHHOUN CHOEUN</v>
      </c>
      <c r="E21" s="784"/>
      <c r="F21" s="785"/>
      <c r="G21" s="785">
        <f t="shared" si="2"/>
        <v>0</v>
      </c>
      <c r="H21">
        <f t="shared" si="3"/>
        <v>0</v>
      </c>
      <c r="I21" s="786">
        <v>28</v>
      </c>
      <c r="J21" s="785">
        <f t="shared" si="4"/>
        <v>35.06</v>
      </c>
      <c r="K21" s="785"/>
      <c r="L21" s="785"/>
      <c r="M21" s="785"/>
      <c r="N21" s="785">
        <v>877.36</v>
      </c>
      <c r="O21" s="785">
        <f t="shared" si="5"/>
        <v>13.73</v>
      </c>
      <c r="P21" s="787"/>
      <c r="Q21" s="785">
        <f t="shared" si="0"/>
        <v>0</v>
      </c>
      <c r="R21" s="787"/>
      <c r="S21" s="785">
        <f t="shared" si="1"/>
        <v>0</v>
      </c>
      <c r="T21" s="788"/>
      <c r="U21" s="785">
        <f t="shared" si="6"/>
        <v>0</v>
      </c>
      <c r="V21" s="786"/>
      <c r="W21" s="788">
        <f t="shared" si="7"/>
        <v>0</v>
      </c>
      <c r="X21" s="788"/>
      <c r="Y21" s="788">
        <f t="shared" si="8"/>
        <v>0</v>
      </c>
      <c r="Z21" s="788"/>
      <c r="AA21" s="788">
        <f t="shared" si="9"/>
        <v>0</v>
      </c>
      <c r="AB21" s="789">
        <f t="shared" si="10"/>
        <v>48.790000000000006</v>
      </c>
      <c r="AC21" s="792"/>
      <c r="AE21" s="791"/>
    </row>
    <row r="22" spans="1:31" s="779" customFormat="1" ht="21.6" customHeight="1">
      <c r="A22" s="780">
        <v>490</v>
      </c>
      <c r="B22" s="781">
        <f>'Tên thang 01-26'!D10</f>
        <v>220175364</v>
      </c>
      <c r="C22" s="782" t="str">
        <f>'Tên thang 01-26'!E493</f>
        <v>ឈិត លេញ</v>
      </c>
      <c r="D22" s="783" t="str">
        <f>'Tên thang 01-26'!F493</f>
        <v>CHHIT LENH</v>
      </c>
      <c r="E22" s="784"/>
      <c r="F22" s="785"/>
      <c r="G22" s="785">
        <f t="shared" si="2"/>
        <v>0</v>
      </c>
      <c r="H22">
        <f t="shared" si="3"/>
        <v>0</v>
      </c>
      <c r="I22" s="786">
        <v>30</v>
      </c>
      <c r="J22" s="785">
        <f t="shared" si="4"/>
        <v>37.56</v>
      </c>
      <c r="K22" s="785"/>
      <c r="L22" s="785"/>
      <c r="M22" s="785"/>
      <c r="N22" s="785">
        <v>877.36</v>
      </c>
      <c r="O22" s="785">
        <f t="shared" si="5"/>
        <v>13.73</v>
      </c>
      <c r="P22" s="787"/>
      <c r="Q22" s="785">
        <f t="shared" si="0"/>
        <v>0</v>
      </c>
      <c r="R22" s="787"/>
      <c r="S22" s="785">
        <f t="shared" si="1"/>
        <v>0</v>
      </c>
      <c r="T22" s="788"/>
      <c r="U22" s="785">
        <f t="shared" si="6"/>
        <v>0</v>
      </c>
      <c r="V22" s="786"/>
      <c r="W22" s="788">
        <f t="shared" si="7"/>
        <v>0</v>
      </c>
      <c r="X22" s="788"/>
      <c r="Y22" s="788">
        <f t="shared" si="8"/>
        <v>0</v>
      </c>
      <c r="Z22" s="788"/>
      <c r="AA22" s="788">
        <f t="shared" si="9"/>
        <v>0</v>
      </c>
      <c r="AB22" s="789">
        <f t="shared" si="10"/>
        <v>51.290000000000006</v>
      </c>
      <c r="AC22" s="792"/>
      <c r="AE22" s="791"/>
    </row>
    <row r="23" spans="1:31" s="779" customFormat="1" ht="21.6" customHeight="1">
      <c r="A23" s="780">
        <v>491</v>
      </c>
      <c r="B23" s="781">
        <f>'Tên thang 01-26'!D11</f>
        <v>220209900</v>
      </c>
      <c r="C23" s="782" t="str">
        <f>'Tên thang 01-26'!E494</f>
        <v>ប៊ើង សំអាង</v>
      </c>
      <c r="D23" s="783" t="str">
        <f>'Tên thang 01-26'!F494</f>
        <v>BOEUNG SAMANG</v>
      </c>
      <c r="E23" s="784"/>
      <c r="F23" s="785"/>
      <c r="G23" s="785">
        <f t="shared" si="2"/>
        <v>0</v>
      </c>
      <c r="H23">
        <f t="shared" si="3"/>
        <v>0</v>
      </c>
      <c r="I23" s="786">
        <v>27</v>
      </c>
      <c r="J23" s="785">
        <f t="shared" si="4"/>
        <v>33.799999999999997</v>
      </c>
      <c r="K23" s="785"/>
      <c r="L23" s="785"/>
      <c r="M23" s="785"/>
      <c r="N23" s="785">
        <v>877.36</v>
      </c>
      <c r="O23" s="785">
        <f t="shared" si="5"/>
        <v>13.73</v>
      </c>
      <c r="P23" s="787"/>
      <c r="Q23" s="785">
        <f t="shared" si="0"/>
        <v>0</v>
      </c>
      <c r="R23" s="787"/>
      <c r="S23" s="785">
        <f t="shared" si="1"/>
        <v>0</v>
      </c>
      <c r="T23" s="788"/>
      <c r="U23" s="785">
        <f t="shared" si="6"/>
        <v>0</v>
      </c>
      <c r="V23" s="786"/>
      <c r="W23" s="788">
        <f t="shared" si="7"/>
        <v>0</v>
      </c>
      <c r="X23" s="788"/>
      <c r="Y23" s="788">
        <f t="shared" si="8"/>
        <v>0</v>
      </c>
      <c r="Z23" s="788"/>
      <c r="AA23" s="788">
        <f t="shared" si="9"/>
        <v>0</v>
      </c>
      <c r="AB23" s="789">
        <f t="shared" si="10"/>
        <v>47.53</v>
      </c>
      <c r="AC23" s="792"/>
      <c r="AE23" s="791"/>
    </row>
    <row r="24" spans="1:31" s="779" customFormat="1" ht="21.6" customHeight="1">
      <c r="A24" s="780">
        <v>492</v>
      </c>
      <c r="B24" s="781">
        <f>'Tên thang 01-26'!D12</f>
        <v>150789799</v>
      </c>
      <c r="C24" s="782" t="str">
        <f>'Tên thang 01-26'!E495</f>
        <v>ឆាន វុទ្ធី</v>
      </c>
      <c r="D24" s="783" t="str">
        <f>'Tên thang 01-26'!F495</f>
        <v>CHHAN VUTHY</v>
      </c>
      <c r="E24" s="784"/>
      <c r="F24" s="785"/>
      <c r="G24" s="785">
        <f t="shared" si="2"/>
        <v>0</v>
      </c>
      <c r="H24">
        <f t="shared" si="3"/>
        <v>0</v>
      </c>
      <c r="I24" s="786">
        <v>31</v>
      </c>
      <c r="J24" s="785">
        <f t="shared" si="4"/>
        <v>38.81</v>
      </c>
      <c r="K24" s="785"/>
      <c r="L24" s="785"/>
      <c r="M24" s="785"/>
      <c r="N24" s="785">
        <v>877.36</v>
      </c>
      <c r="O24" s="785">
        <f t="shared" si="5"/>
        <v>13.73</v>
      </c>
      <c r="P24" s="787"/>
      <c r="Q24" s="785">
        <f t="shared" si="0"/>
        <v>0</v>
      </c>
      <c r="R24" s="787"/>
      <c r="S24" s="785">
        <f t="shared" si="1"/>
        <v>0</v>
      </c>
      <c r="T24" s="788"/>
      <c r="U24" s="785">
        <f t="shared" si="6"/>
        <v>0</v>
      </c>
      <c r="V24" s="786"/>
      <c r="W24" s="788">
        <f t="shared" si="7"/>
        <v>0</v>
      </c>
      <c r="X24" s="788"/>
      <c r="Y24" s="788">
        <f t="shared" si="8"/>
        <v>0</v>
      </c>
      <c r="Z24" s="788"/>
      <c r="AA24" s="788">
        <f t="shared" si="9"/>
        <v>0</v>
      </c>
      <c r="AB24" s="789">
        <f t="shared" si="10"/>
        <v>52.540000000000006</v>
      </c>
      <c r="AC24" s="792"/>
      <c r="AE24" s="791"/>
    </row>
    <row r="25" spans="1:31" s="779" customFormat="1" ht="21.6" customHeight="1">
      <c r="A25" s="780">
        <v>493</v>
      </c>
      <c r="B25" s="781">
        <f>'Tên thang 01-26'!D13</f>
        <v>150983095</v>
      </c>
      <c r="C25" s="782" t="str">
        <f>'Tên thang 01-26'!E496</f>
        <v>ញ៉ សុខា</v>
      </c>
      <c r="D25" s="783" t="str">
        <f>'Tên thang 01-26'!F496</f>
        <v>NHOR SOKHA</v>
      </c>
      <c r="E25" s="784"/>
      <c r="F25" s="785"/>
      <c r="G25" s="785">
        <f t="shared" si="2"/>
        <v>0</v>
      </c>
      <c r="H25">
        <f t="shared" si="3"/>
        <v>0</v>
      </c>
      <c r="I25" s="786">
        <v>31</v>
      </c>
      <c r="J25" s="785">
        <f t="shared" si="4"/>
        <v>38.81</v>
      </c>
      <c r="K25" s="785"/>
      <c r="L25" s="785"/>
      <c r="M25" s="785"/>
      <c r="N25" s="785">
        <v>877.36</v>
      </c>
      <c r="O25" s="785">
        <f t="shared" si="5"/>
        <v>13.73</v>
      </c>
      <c r="P25" s="787"/>
      <c r="Q25" s="785">
        <f t="shared" si="0"/>
        <v>0</v>
      </c>
      <c r="R25" s="787"/>
      <c r="S25" s="785">
        <f t="shared" si="1"/>
        <v>0</v>
      </c>
      <c r="T25" s="788"/>
      <c r="U25" s="785">
        <f t="shared" si="6"/>
        <v>0</v>
      </c>
      <c r="V25" s="786"/>
      <c r="W25" s="788">
        <f t="shared" si="7"/>
        <v>0</v>
      </c>
      <c r="X25" s="788"/>
      <c r="Y25" s="788">
        <f t="shared" si="8"/>
        <v>0</v>
      </c>
      <c r="Z25" s="788"/>
      <c r="AA25" s="788">
        <f t="shared" si="9"/>
        <v>0</v>
      </c>
      <c r="AB25" s="789">
        <f t="shared" si="10"/>
        <v>52.540000000000006</v>
      </c>
      <c r="AC25" s="792"/>
      <c r="AE25" s="791"/>
    </row>
    <row r="26" spans="1:31" s="779" customFormat="1" ht="21.6" customHeight="1">
      <c r="A26" s="780">
        <v>494</v>
      </c>
      <c r="B26" s="781">
        <f>'Tên thang 01-26'!D14</f>
        <v>150814730</v>
      </c>
      <c r="C26" s="782" t="str">
        <f>'Tên thang 01-26'!E497</f>
        <v>ឡឹក ឡូត</v>
      </c>
      <c r="D26" s="783" t="str">
        <f>'Tên thang 01-26'!F497</f>
        <v>LOEK LOTH</v>
      </c>
      <c r="E26" s="784"/>
      <c r="F26" s="785"/>
      <c r="G26" s="785">
        <f t="shared" si="2"/>
        <v>0</v>
      </c>
      <c r="H26">
        <f t="shared" si="3"/>
        <v>0</v>
      </c>
      <c r="I26" s="786">
        <v>31</v>
      </c>
      <c r="J26" s="785">
        <f>ROUND(I26*1.252,2)+0.01</f>
        <v>38.82</v>
      </c>
      <c r="K26" s="785"/>
      <c r="L26" s="785"/>
      <c r="M26" s="785"/>
      <c r="N26" s="785">
        <v>877.36</v>
      </c>
      <c r="O26" s="785">
        <f t="shared" ref="O26:O45" si="11">ROUND(N26*$O$16/31947,2)</f>
        <v>13.73</v>
      </c>
      <c r="P26" s="787"/>
      <c r="Q26" s="785">
        <f t="shared" si="0"/>
        <v>0</v>
      </c>
      <c r="R26" s="786"/>
      <c r="S26" s="785">
        <f t="shared" si="1"/>
        <v>0</v>
      </c>
      <c r="T26" s="788"/>
      <c r="U26" s="785">
        <f t="shared" si="6"/>
        <v>0</v>
      </c>
      <c r="V26" s="786"/>
      <c r="W26" s="788">
        <f t="shared" si="7"/>
        <v>0</v>
      </c>
      <c r="X26" s="788"/>
      <c r="Y26" s="788">
        <f t="shared" si="8"/>
        <v>0</v>
      </c>
      <c r="Z26" s="788"/>
      <c r="AA26" s="788">
        <f t="shared" si="9"/>
        <v>0</v>
      </c>
      <c r="AB26" s="789">
        <f t="shared" si="10"/>
        <v>52.55</v>
      </c>
      <c r="AC26" s="792"/>
      <c r="AD26" s="793"/>
      <c r="AE26" s="791"/>
    </row>
    <row r="27" spans="1:31" s="779" customFormat="1" ht="21.6" customHeight="1">
      <c r="A27" s="780">
        <v>495</v>
      </c>
      <c r="B27" s="781">
        <f>'Tên thang 01-26'!D15</f>
        <v>150427542</v>
      </c>
      <c r="C27" s="782" t="str">
        <f>'Tên thang 01-26'!E498</f>
        <v>សាយ លាន</v>
      </c>
      <c r="D27" s="783" t="str">
        <f>'Tên thang 01-26'!F498</f>
        <v>SAY LEAN</v>
      </c>
      <c r="E27" s="784"/>
      <c r="F27" s="785"/>
      <c r="G27" s="785">
        <f t="shared" si="2"/>
        <v>0</v>
      </c>
      <c r="H27">
        <f t="shared" si="3"/>
        <v>0</v>
      </c>
      <c r="I27" s="786"/>
      <c r="J27" s="785"/>
      <c r="K27" s="785"/>
      <c r="L27" s="785"/>
      <c r="M27" s="785"/>
      <c r="N27" s="786"/>
      <c r="O27" s="785">
        <f t="shared" si="11"/>
        <v>0</v>
      </c>
      <c r="P27" s="787"/>
      <c r="Q27" s="785">
        <f t="shared" ref="Q27:Q45" si="12">ROUND(P27*$Q$16,2)</f>
        <v>0</v>
      </c>
      <c r="R27" s="786">
        <v>31</v>
      </c>
      <c r="S27" s="785">
        <f>ROUND(R27*0.8347,1)-0.025</f>
        <v>25.875</v>
      </c>
      <c r="T27" s="788"/>
      <c r="U27" s="785">
        <f t="shared" ref="U27:U36" si="13">ROUND(T27*$T$15,2)</f>
        <v>0</v>
      </c>
      <c r="V27" s="786"/>
      <c r="W27" s="788">
        <f t="shared" si="7"/>
        <v>0</v>
      </c>
      <c r="X27" s="788">
        <v>20</v>
      </c>
      <c r="Y27" s="788">
        <f t="shared" si="8"/>
        <v>21.91</v>
      </c>
      <c r="Z27" s="788"/>
      <c r="AA27" s="788">
        <f t="shared" si="9"/>
        <v>0</v>
      </c>
      <c r="AB27" s="789">
        <f t="shared" si="10"/>
        <v>47.784999999999997</v>
      </c>
      <c r="AC27" s="792"/>
      <c r="AE27" s="791"/>
    </row>
    <row r="28" spans="1:31" s="779" customFormat="1" ht="21.6" customHeight="1">
      <c r="A28" s="780">
        <v>496</v>
      </c>
      <c r="B28" s="781">
        <f>'Tên thang 01-26'!D16</f>
        <v>220234084</v>
      </c>
      <c r="C28" s="782" t="str">
        <f>'Tên thang 01-26'!E499</f>
        <v>ឡន លីន</v>
      </c>
      <c r="D28" s="783" t="str">
        <f>'Tên thang 01-26'!F499</f>
        <v>LORN LIN</v>
      </c>
      <c r="E28" s="784"/>
      <c r="F28" s="785"/>
      <c r="G28" s="785">
        <f t="shared" si="2"/>
        <v>0</v>
      </c>
      <c r="H28">
        <f t="shared" si="3"/>
        <v>0</v>
      </c>
      <c r="I28" s="786"/>
      <c r="J28" s="785"/>
      <c r="K28" s="785"/>
      <c r="L28" s="785"/>
      <c r="M28" s="785"/>
      <c r="N28" s="786"/>
      <c r="O28" s="785">
        <f t="shared" si="11"/>
        <v>0</v>
      </c>
      <c r="P28" s="787"/>
      <c r="Q28" s="785">
        <f t="shared" si="12"/>
        <v>0</v>
      </c>
      <c r="R28" s="786">
        <v>31</v>
      </c>
      <c r="S28" s="785">
        <f t="shared" ref="S28:S42" si="14">ROUND(R28*0.8347,1)-0.025</f>
        <v>25.875</v>
      </c>
      <c r="T28" s="788"/>
      <c r="U28" s="785">
        <f t="shared" si="13"/>
        <v>0</v>
      </c>
      <c r="V28" s="786"/>
      <c r="W28" s="788">
        <f t="shared" si="7"/>
        <v>0</v>
      </c>
      <c r="X28" s="788">
        <v>20</v>
      </c>
      <c r="Y28" s="788">
        <f t="shared" si="8"/>
        <v>21.91</v>
      </c>
      <c r="Z28" s="788"/>
      <c r="AA28" s="788">
        <f t="shared" si="9"/>
        <v>0</v>
      </c>
      <c r="AB28" s="789">
        <f t="shared" si="10"/>
        <v>47.784999999999997</v>
      </c>
      <c r="AC28" s="792"/>
      <c r="AE28" s="791"/>
    </row>
    <row r="29" spans="1:31" s="779" customFormat="1" ht="21.6" customHeight="1">
      <c r="A29" s="780">
        <v>497</v>
      </c>
      <c r="B29" s="781">
        <f>'Tên thang 01-26'!D17</f>
        <v>150468345</v>
      </c>
      <c r="C29" s="782" t="str">
        <f>'Tên thang 01-26'!E500</f>
        <v>ជន ចេន​</v>
      </c>
      <c r="D29" s="783" t="str">
        <f>'Tên thang 01-26'!F500</f>
        <v>CHON CHEN</v>
      </c>
      <c r="E29" s="784"/>
      <c r="F29" s="785"/>
      <c r="G29" s="785">
        <f t="shared" si="2"/>
        <v>0</v>
      </c>
      <c r="H29">
        <f t="shared" si="3"/>
        <v>0</v>
      </c>
      <c r="I29" s="786"/>
      <c r="J29" s="785"/>
      <c r="K29" s="785"/>
      <c r="L29" s="785"/>
      <c r="M29" s="785"/>
      <c r="N29" s="786"/>
      <c r="O29" s="785">
        <f t="shared" si="11"/>
        <v>0</v>
      </c>
      <c r="P29" s="787"/>
      <c r="Q29" s="785">
        <f t="shared" si="12"/>
        <v>0</v>
      </c>
      <c r="R29" s="786">
        <v>31</v>
      </c>
      <c r="S29" s="785">
        <f t="shared" si="14"/>
        <v>25.875</v>
      </c>
      <c r="T29" s="788"/>
      <c r="U29" s="785">
        <f t="shared" si="13"/>
        <v>0</v>
      </c>
      <c r="V29" s="786"/>
      <c r="W29" s="788">
        <f t="shared" si="7"/>
        <v>0</v>
      </c>
      <c r="X29" s="788">
        <v>20</v>
      </c>
      <c r="Y29" s="788">
        <f t="shared" si="8"/>
        <v>21.91</v>
      </c>
      <c r="Z29" s="788"/>
      <c r="AA29" s="788">
        <f t="shared" si="9"/>
        <v>0</v>
      </c>
      <c r="AB29" s="789">
        <f t="shared" si="10"/>
        <v>47.784999999999997</v>
      </c>
      <c r="AC29" s="792"/>
      <c r="AE29" s="791"/>
    </row>
    <row r="30" spans="1:31" s="779" customFormat="1" ht="21.6" customHeight="1">
      <c r="A30" s="780">
        <v>498</v>
      </c>
      <c r="B30" s="781">
        <f>'Tên thang 01-26'!D18</f>
        <v>250230683</v>
      </c>
      <c r="C30" s="782" t="str">
        <f>'Tên thang 01-26'!E501</f>
        <v>ហាន ញូស</v>
      </c>
      <c r="D30" s="783" t="str">
        <f>'Tên thang 01-26'!F501</f>
        <v>HAN NHOUSH</v>
      </c>
      <c r="E30" s="784"/>
      <c r="F30" s="785"/>
      <c r="G30" s="785">
        <f t="shared" si="2"/>
        <v>0</v>
      </c>
      <c r="H30">
        <f t="shared" si="3"/>
        <v>0</v>
      </c>
      <c r="I30" s="786"/>
      <c r="J30" s="785"/>
      <c r="K30" s="785"/>
      <c r="L30" s="785"/>
      <c r="M30" s="785"/>
      <c r="N30" s="786"/>
      <c r="O30" s="785">
        <f t="shared" si="11"/>
        <v>0</v>
      </c>
      <c r="P30" s="787"/>
      <c r="Q30" s="785">
        <f t="shared" si="12"/>
        <v>0</v>
      </c>
      <c r="R30" s="786">
        <v>31</v>
      </c>
      <c r="S30" s="785">
        <f t="shared" si="14"/>
        <v>25.875</v>
      </c>
      <c r="T30" s="788"/>
      <c r="U30" s="785">
        <f t="shared" si="13"/>
        <v>0</v>
      </c>
      <c r="V30" s="786"/>
      <c r="W30" s="788">
        <f t="shared" si="7"/>
        <v>0</v>
      </c>
      <c r="X30" s="788">
        <v>20</v>
      </c>
      <c r="Y30" s="788">
        <f t="shared" si="8"/>
        <v>21.91</v>
      </c>
      <c r="Z30" s="788"/>
      <c r="AA30" s="788">
        <f t="shared" si="9"/>
        <v>0</v>
      </c>
      <c r="AB30" s="789">
        <f t="shared" si="10"/>
        <v>47.784999999999997</v>
      </c>
      <c r="AC30" s="792"/>
      <c r="AE30" s="791"/>
    </row>
    <row r="31" spans="1:31" s="779" customFormat="1" ht="21.6" customHeight="1">
      <c r="A31" s="780">
        <v>499</v>
      </c>
      <c r="B31" s="781">
        <f>'Tên thang 01-26'!D19</f>
        <v>150523533</v>
      </c>
      <c r="C31" s="782" t="str">
        <f>'Tên thang 01-26'!E502</f>
        <v>ផន អូន</v>
      </c>
      <c r="D31" s="783" t="str">
        <f>'Tên thang 01-26'!F502</f>
        <v>PHORN OUN</v>
      </c>
      <c r="E31" s="784"/>
      <c r="F31" s="785"/>
      <c r="G31" s="785">
        <f t="shared" si="2"/>
        <v>0</v>
      </c>
      <c r="H31">
        <f t="shared" si="3"/>
        <v>0</v>
      </c>
      <c r="I31" s="786"/>
      <c r="J31" s="785"/>
      <c r="K31" s="785"/>
      <c r="L31" s="785"/>
      <c r="M31" s="785"/>
      <c r="N31" s="786"/>
      <c r="O31" s="785">
        <f t="shared" si="11"/>
        <v>0</v>
      </c>
      <c r="P31" s="787"/>
      <c r="Q31" s="785">
        <f t="shared" si="12"/>
        <v>0</v>
      </c>
      <c r="R31" s="786">
        <v>31</v>
      </c>
      <c r="S31" s="785">
        <f t="shared" si="14"/>
        <v>25.875</v>
      </c>
      <c r="T31" s="788"/>
      <c r="U31" s="785">
        <f t="shared" si="13"/>
        <v>0</v>
      </c>
      <c r="V31" s="786"/>
      <c r="W31" s="788">
        <f t="shared" si="7"/>
        <v>0</v>
      </c>
      <c r="X31" s="788">
        <v>20</v>
      </c>
      <c r="Y31" s="788">
        <f t="shared" si="8"/>
        <v>21.91</v>
      </c>
      <c r="Z31" s="788"/>
      <c r="AA31" s="788">
        <f t="shared" si="9"/>
        <v>0</v>
      </c>
      <c r="AB31" s="789">
        <f t="shared" si="10"/>
        <v>47.784999999999997</v>
      </c>
      <c r="AC31" s="792"/>
      <c r="AE31" s="791"/>
    </row>
    <row r="32" spans="1:31" s="779" customFormat="1" ht="21.6" customHeight="1">
      <c r="A32" s="780">
        <v>500</v>
      </c>
      <c r="B32" s="781">
        <f>'Tên thang 01-26'!D20</f>
        <v>150483982</v>
      </c>
      <c r="C32" s="782" t="str">
        <f>'Tên thang 01-26'!E503</f>
        <v>ផន មើន</v>
      </c>
      <c r="D32" s="783" t="str">
        <f>'Tên thang 01-26'!F503</f>
        <v>PHAN MOEUN</v>
      </c>
      <c r="E32" s="784"/>
      <c r="F32" s="785"/>
      <c r="G32" s="785">
        <f t="shared" si="2"/>
        <v>0</v>
      </c>
      <c r="H32">
        <f t="shared" si="3"/>
        <v>0</v>
      </c>
      <c r="I32" s="786"/>
      <c r="J32" s="785"/>
      <c r="K32" s="785"/>
      <c r="L32" s="785"/>
      <c r="M32" s="785"/>
      <c r="N32" s="786"/>
      <c r="O32" s="785">
        <f t="shared" si="11"/>
        <v>0</v>
      </c>
      <c r="P32" s="787"/>
      <c r="Q32" s="785">
        <f t="shared" si="12"/>
        <v>0</v>
      </c>
      <c r="R32" s="786">
        <v>31</v>
      </c>
      <c r="S32" s="785">
        <f t="shared" si="14"/>
        <v>25.875</v>
      </c>
      <c r="T32" s="788"/>
      <c r="U32" s="785">
        <f t="shared" si="13"/>
        <v>0</v>
      </c>
      <c r="V32" s="786"/>
      <c r="W32" s="788">
        <f t="shared" si="7"/>
        <v>0</v>
      </c>
      <c r="X32" s="788">
        <v>20.100000000000001</v>
      </c>
      <c r="Y32" s="788">
        <f t="shared" si="8"/>
        <v>22.02</v>
      </c>
      <c r="Z32" s="788"/>
      <c r="AA32" s="788">
        <f t="shared" si="9"/>
        <v>0</v>
      </c>
      <c r="AB32" s="789">
        <f t="shared" si="10"/>
        <v>47.894999999999996</v>
      </c>
      <c r="AC32" s="792"/>
      <c r="AE32" s="791"/>
    </row>
    <row r="33" spans="1:32" s="779" customFormat="1" ht="21.6" customHeight="1">
      <c r="A33" s="780">
        <v>501</v>
      </c>
      <c r="B33" s="781">
        <f>'Tên thang 01-26'!D21</f>
        <v>220102090</v>
      </c>
      <c r="C33" s="782" t="str">
        <f>'Tên thang 01-26'!E504</f>
        <v>ឡិក វិញ</v>
      </c>
      <c r="D33" s="783" t="str">
        <f>'Tên thang 01-26'!F504</f>
        <v>LEK VINH</v>
      </c>
      <c r="E33" s="784"/>
      <c r="F33" s="785"/>
      <c r="G33" s="785">
        <f t="shared" si="2"/>
        <v>0</v>
      </c>
      <c r="H33">
        <f t="shared" si="3"/>
        <v>0</v>
      </c>
      <c r="I33" s="786"/>
      <c r="J33" s="785"/>
      <c r="K33" s="785"/>
      <c r="L33" s="785"/>
      <c r="M33" s="785"/>
      <c r="N33" s="786"/>
      <c r="O33" s="785">
        <f t="shared" si="11"/>
        <v>0</v>
      </c>
      <c r="P33" s="787"/>
      <c r="Q33" s="785">
        <f t="shared" si="12"/>
        <v>0</v>
      </c>
      <c r="R33" s="786">
        <v>31</v>
      </c>
      <c r="S33" s="785">
        <f t="shared" si="14"/>
        <v>25.875</v>
      </c>
      <c r="T33" s="788"/>
      <c r="U33" s="785">
        <f t="shared" si="13"/>
        <v>0</v>
      </c>
      <c r="V33" s="786"/>
      <c r="W33" s="788">
        <f t="shared" si="7"/>
        <v>0</v>
      </c>
      <c r="X33" s="788">
        <v>20.100000000000001</v>
      </c>
      <c r="Y33" s="788">
        <f t="shared" si="8"/>
        <v>22.02</v>
      </c>
      <c r="Z33" s="788"/>
      <c r="AA33" s="788">
        <f t="shared" si="9"/>
        <v>0</v>
      </c>
      <c r="AB33" s="789">
        <f t="shared" si="10"/>
        <v>47.894999999999996</v>
      </c>
      <c r="AC33" s="792"/>
      <c r="AE33" s="791"/>
    </row>
    <row r="34" spans="1:32" s="779" customFormat="1" ht="21.6" customHeight="1">
      <c r="A34" s="780">
        <v>502</v>
      </c>
      <c r="B34" s="781">
        <f>'Tên thang 01-26'!D22</f>
        <v>250230682</v>
      </c>
      <c r="C34" s="782" t="str">
        <f>'Tên thang 01-26'!E505</f>
        <v>បៀង ពេច្រ</v>
      </c>
      <c r="D34" s="783" t="str">
        <f>'Tên thang 01-26'!F505</f>
        <v>BEANG PECH</v>
      </c>
      <c r="E34" s="784"/>
      <c r="F34" s="785"/>
      <c r="G34" s="785">
        <f t="shared" si="2"/>
        <v>0</v>
      </c>
      <c r="H34">
        <f t="shared" si="3"/>
        <v>0</v>
      </c>
      <c r="I34" s="786"/>
      <c r="J34" s="785"/>
      <c r="K34" s="785"/>
      <c r="L34" s="785"/>
      <c r="M34" s="785"/>
      <c r="N34" s="786"/>
      <c r="O34" s="785">
        <f t="shared" si="11"/>
        <v>0</v>
      </c>
      <c r="P34" s="787"/>
      <c r="Q34" s="785">
        <f t="shared" si="12"/>
        <v>0</v>
      </c>
      <c r="R34" s="786">
        <v>31</v>
      </c>
      <c r="S34" s="785">
        <f t="shared" si="14"/>
        <v>25.875</v>
      </c>
      <c r="T34" s="788"/>
      <c r="U34" s="785">
        <f t="shared" si="13"/>
        <v>0</v>
      </c>
      <c r="V34" s="786"/>
      <c r="W34" s="788">
        <f t="shared" si="7"/>
        <v>0</v>
      </c>
      <c r="X34" s="788">
        <v>20.100000000000001</v>
      </c>
      <c r="Y34" s="788">
        <f t="shared" si="8"/>
        <v>22.02</v>
      </c>
      <c r="Z34" s="788"/>
      <c r="AA34" s="788">
        <f t="shared" si="9"/>
        <v>0</v>
      </c>
      <c r="AB34" s="789">
        <f t="shared" si="10"/>
        <v>47.894999999999996</v>
      </c>
      <c r="AC34" s="792"/>
      <c r="AE34" s="791"/>
    </row>
    <row r="35" spans="1:32" s="779" customFormat="1" ht="21.6" customHeight="1">
      <c r="A35" s="780">
        <v>503</v>
      </c>
      <c r="B35" s="781">
        <f>'Tên thang 01-26'!D24</f>
        <v>220175291</v>
      </c>
      <c r="C35" s="782" t="str">
        <f>'Tên thang 01-26'!E506</f>
        <v>ជូន ជឿត</v>
      </c>
      <c r="D35" s="783" t="str">
        <f>'Tên thang 01-26'!F506</f>
        <v>CHUON CHOEURT</v>
      </c>
      <c r="E35" s="784"/>
      <c r="F35" s="785"/>
      <c r="G35" s="785">
        <f t="shared" si="2"/>
        <v>0</v>
      </c>
      <c r="H35">
        <f t="shared" si="3"/>
        <v>0</v>
      </c>
      <c r="I35" s="786"/>
      <c r="J35" s="785"/>
      <c r="K35" s="785"/>
      <c r="L35" s="785"/>
      <c r="M35" s="785"/>
      <c r="N35" s="786"/>
      <c r="O35" s="785">
        <f t="shared" si="11"/>
        <v>0</v>
      </c>
      <c r="P35" s="787"/>
      <c r="Q35" s="785">
        <f t="shared" si="12"/>
        <v>0</v>
      </c>
      <c r="R35" s="786">
        <v>31</v>
      </c>
      <c r="S35" s="785">
        <f t="shared" si="14"/>
        <v>25.875</v>
      </c>
      <c r="T35" s="788"/>
      <c r="U35" s="785">
        <f t="shared" si="13"/>
        <v>0</v>
      </c>
      <c r="V35" s="786"/>
      <c r="W35" s="788">
        <f t="shared" si="7"/>
        <v>0</v>
      </c>
      <c r="X35" s="788">
        <v>20.100000000000001</v>
      </c>
      <c r="Y35" s="788">
        <f t="shared" si="8"/>
        <v>22.02</v>
      </c>
      <c r="Z35" s="788"/>
      <c r="AA35" s="788">
        <f t="shared" si="9"/>
        <v>0</v>
      </c>
      <c r="AB35" s="789">
        <f t="shared" si="10"/>
        <v>47.894999999999996</v>
      </c>
      <c r="AC35" s="794"/>
      <c r="AE35" s="791"/>
    </row>
    <row r="36" spans="1:32" s="779" customFormat="1" ht="22.2" customHeight="1">
      <c r="A36" s="780">
        <v>504</v>
      </c>
      <c r="B36" s="781">
        <f>'Tên thang 01-26'!D25</f>
        <v>220234353</v>
      </c>
      <c r="C36" s="782" t="str">
        <f>'Tên thang 01-26'!E507</f>
        <v>ធឹម លិញ</v>
      </c>
      <c r="D36" s="783" t="str">
        <f>'Tên thang 01-26'!F507</f>
        <v>THOEM LENH</v>
      </c>
      <c r="E36" s="784"/>
      <c r="F36" s="785"/>
      <c r="G36" s="785">
        <f t="shared" si="2"/>
        <v>0</v>
      </c>
      <c r="H36">
        <f t="shared" si="3"/>
        <v>0</v>
      </c>
      <c r="I36" s="786"/>
      <c r="J36" s="785"/>
      <c r="K36" s="785"/>
      <c r="L36" s="785"/>
      <c r="M36" s="785"/>
      <c r="N36" s="786"/>
      <c r="O36" s="785">
        <f>ROUND(N36*$O$16/31947,2)</f>
        <v>0</v>
      </c>
      <c r="P36" s="787"/>
      <c r="Q36" s="785">
        <f t="shared" si="12"/>
        <v>0</v>
      </c>
      <c r="R36" s="786">
        <v>31</v>
      </c>
      <c r="S36" s="785">
        <f t="shared" si="14"/>
        <v>25.875</v>
      </c>
      <c r="T36" s="788"/>
      <c r="U36" s="785">
        <f t="shared" si="13"/>
        <v>0</v>
      </c>
      <c r="V36" s="785"/>
      <c r="W36" s="788">
        <f t="shared" si="7"/>
        <v>0</v>
      </c>
      <c r="X36" s="788">
        <v>20.100000000000001</v>
      </c>
      <c r="Y36" s="788">
        <f t="shared" si="8"/>
        <v>22.02</v>
      </c>
      <c r="Z36" s="788"/>
      <c r="AA36" s="788">
        <f t="shared" si="9"/>
        <v>0</v>
      </c>
      <c r="AB36" s="789">
        <f t="shared" si="10"/>
        <v>47.894999999999996</v>
      </c>
      <c r="AC36" s="792"/>
      <c r="AD36" s="793"/>
      <c r="AE36" s="791"/>
    </row>
    <row r="37" spans="1:32" s="779" customFormat="1" ht="21.6" customHeight="1">
      <c r="A37" s="780">
        <v>505</v>
      </c>
      <c r="B37" s="781"/>
      <c r="C37" s="782" t="str">
        <f>'Tên thang 01-26'!E508</f>
        <v>សួរ​ ឡុង</v>
      </c>
      <c r="D37" s="783" t="str">
        <f>'Tên thang 01-26'!F508</f>
        <v>SOUR LONG</v>
      </c>
      <c r="E37" s="784"/>
      <c r="F37" s="785"/>
      <c r="G37" s="785"/>
      <c r="H37"/>
      <c r="I37" s="786"/>
      <c r="J37" s="785"/>
      <c r="K37" s="785"/>
      <c r="L37" s="785"/>
      <c r="M37" s="785"/>
      <c r="N37" s="786"/>
      <c r="O37" s="785">
        <f t="shared" si="11"/>
        <v>0</v>
      </c>
      <c r="P37" s="787"/>
      <c r="Q37" s="785"/>
      <c r="R37" s="786">
        <v>31</v>
      </c>
      <c r="S37" s="785">
        <f t="shared" si="14"/>
        <v>25.875</v>
      </c>
      <c r="T37" s="788"/>
      <c r="U37" s="785">
        <f t="shared" ref="U37:U45" si="15">ROUND(T37*$T$15,2)</f>
        <v>0</v>
      </c>
      <c r="V37" s="785"/>
      <c r="W37" s="788">
        <f t="shared" si="7"/>
        <v>0</v>
      </c>
      <c r="X37" s="788">
        <v>20.100000000000001</v>
      </c>
      <c r="Y37" s="788">
        <f t="shared" si="8"/>
        <v>22.02</v>
      </c>
      <c r="Z37" s="788"/>
      <c r="AA37" s="788"/>
      <c r="AB37" s="789">
        <f t="shared" si="10"/>
        <v>47.894999999999996</v>
      </c>
      <c r="AC37" s="792"/>
      <c r="AE37" s="791"/>
    </row>
    <row r="38" spans="1:32" s="779" customFormat="1" ht="21.6" customHeight="1">
      <c r="A38" s="780">
        <v>506</v>
      </c>
      <c r="B38" s="781"/>
      <c r="C38" s="782" t="str">
        <f>'Tên thang 01-26'!E509</f>
        <v>អ៊ុច ភា</v>
      </c>
      <c r="D38" s="783" t="str">
        <f>'Tên thang 01-26'!F509</f>
        <v>OCH PHEA</v>
      </c>
      <c r="E38" s="784"/>
      <c r="F38" s="785"/>
      <c r="G38" s="785"/>
      <c r="H38"/>
      <c r="I38" s="786"/>
      <c r="J38" s="785"/>
      <c r="K38" s="785"/>
      <c r="L38" s="785"/>
      <c r="M38" s="785"/>
      <c r="N38" s="786"/>
      <c r="O38" s="785">
        <f t="shared" si="11"/>
        <v>0</v>
      </c>
      <c r="P38" s="787"/>
      <c r="Q38" s="785"/>
      <c r="R38" s="786">
        <v>31</v>
      </c>
      <c r="S38" s="785">
        <f t="shared" si="14"/>
        <v>25.875</v>
      </c>
      <c r="T38" s="788"/>
      <c r="U38" s="785">
        <f t="shared" si="15"/>
        <v>0</v>
      </c>
      <c r="V38" s="785"/>
      <c r="W38" s="788">
        <f t="shared" si="7"/>
        <v>0</v>
      </c>
      <c r="X38" s="788">
        <v>20.100000000000001</v>
      </c>
      <c r="Y38" s="788">
        <f t="shared" si="8"/>
        <v>22.02</v>
      </c>
      <c r="Z38" s="788"/>
      <c r="AA38" s="788"/>
      <c r="AB38" s="789">
        <f t="shared" si="10"/>
        <v>47.894999999999996</v>
      </c>
      <c r="AC38" s="792"/>
      <c r="AE38" s="791"/>
    </row>
    <row r="39" spans="1:32" s="779" customFormat="1" ht="21.6" customHeight="1">
      <c r="A39" s="780">
        <v>507</v>
      </c>
      <c r="B39" s="781"/>
      <c r="C39" s="782" t="str">
        <f>'Tên thang 01-26'!E510</f>
        <v>ងិន ច្រិប</v>
      </c>
      <c r="D39" s="783" t="str">
        <f>'Tên thang 01-26'!F510</f>
        <v>NGIN CHRIB</v>
      </c>
      <c r="E39" s="784"/>
      <c r="F39" s="785"/>
      <c r="G39" s="785"/>
      <c r="H39"/>
      <c r="I39" s="786"/>
      <c r="J39" s="785"/>
      <c r="K39" s="785"/>
      <c r="L39" s="785"/>
      <c r="M39" s="785"/>
      <c r="N39" s="786"/>
      <c r="O39" s="785">
        <f t="shared" si="11"/>
        <v>0</v>
      </c>
      <c r="P39" s="787"/>
      <c r="Q39" s="785"/>
      <c r="R39" s="786">
        <v>31</v>
      </c>
      <c r="S39" s="785">
        <f t="shared" si="14"/>
        <v>25.875</v>
      </c>
      <c r="T39" s="788"/>
      <c r="U39" s="785">
        <f t="shared" si="15"/>
        <v>0</v>
      </c>
      <c r="V39" s="785"/>
      <c r="W39" s="788">
        <f t="shared" si="7"/>
        <v>0</v>
      </c>
      <c r="X39" s="788">
        <v>20.100000000000001</v>
      </c>
      <c r="Y39" s="788">
        <f t="shared" si="8"/>
        <v>22.02</v>
      </c>
      <c r="Z39" s="788"/>
      <c r="AA39" s="788"/>
      <c r="AB39" s="789">
        <f t="shared" si="10"/>
        <v>47.894999999999996</v>
      </c>
      <c r="AC39" s="792"/>
      <c r="AE39" s="791"/>
    </row>
    <row r="40" spans="1:32" s="779" customFormat="1" ht="21.6" customHeight="1">
      <c r="A40" s="780">
        <v>508</v>
      </c>
      <c r="B40" s="781"/>
      <c r="C40" s="782" t="str">
        <f>'Tên thang 01-26'!E511</f>
        <v>ហ៊ល ហេន</v>
      </c>
      <c r="D40" s="783" t="str">
        <f>'Tên thang 01-26'!F511</f>
        <v>HOL HEN</v>
      </c>
      <c r="E40" s="784"/>
      <c r="F40" s="785"/>
      <c r="G40" s="785"/>
      <c r="H40"/>
      <c r="I40" s="786"/>
      <c r="J40" s="785"/>
      <c r="K40" s="785"/>
      <c r="L40" s="785"/>
      <c r="M40" s="785"/>
      <c r="N40" s="786"/>
      <c r="O40" s="785">
        <f t="shared" si="11"/>
        <v>0</v>
      </c>
      <c r="P40" s="787"/>
      <c r="Q40" s="785"/>
      <c r="R40" s="786">
        <v>31</v>
      </c>
      <c r="S40" s="785">
        <f t="shared" si="14"/>
        <v>25.875</v>
      </c>
      <c r="T40" s="788"/>
      <c r="U40" s="785">
        <f t="shared" si="15"/>
        <v>0</v>
      </c>
      <c r="V40" s="785"/>
      <c r="W40" s="788">
        <f t="shared" si="7"/>
        <v>0</v>
      </c>
      <c r="X40" s="788">
        <v>20.100000000000001</v>
      </c>
      <c r="Y40" s="788">
        <f t="shared" si="8"/>
        <v>22.02</v>
      </c>
      <c r="Z40" s="788"/>
      <c r="AA40" s="788"/>
      <c r="AB40" s="789">
        <f t="shared" si="10"/>
        <v>47.894999999999996</v>
      </c>
      <c r="AC40" s="792"/>
      <c r="AE40" s="791"/>
    </row>
    <row r="41" spans="1:32" s="779" customFormat="1" ht="21.6" customHeight="1">
      <c r="A41" s="780">
        <v>509</v>
      </c>
      <c r="B41" s="781"/>
      <c r="C41" s="782" t="str">
        <f>'Tên thang 01-26'!E512</f>
        <v>ហោន ហឿន</v>
      </c>
      <c r="D41" s="783" t="str">
        <f>'Tên thang 01-26'!F512</f>
        <v>HORN HOEUN</v>
      </c>
      <c r="E41" s="784"/>
      <c r="F41" s="785"/>
      <c r="G41" s="785"/>
      <c r="H41"/>
      <c r="I41" s="786"/>
      <c r="J41" s="785"/>
      <c r="K41" s="785"/>
      <c r="L41" s="785"/>
      <c r="M41" s="785"/>
      <c r="N41" s="786"/>
      <c r="O41" s="785">
        <f t="shared" si="11"/>
        <v>0</v>
      </c>
      <c r="P41" s="787"/>
      <c r="Q41" s="785"/>
      <c r="R41" s="786">
        <v>31</v>
      </c>
      <c r="S41" s="785">
        <f t="shared" si="14"/>
        <v>25.875</v>
      </c>
      <c r="T41" s="788"/>
      <c r="U41" s="785">
        <f t="shared" si="15"/>
        <v>0</v>
      </c>
      <c r="V41" s="785"/>
      <c r="W41" s="788">
        <f t="shared" si="7"/>
        <v>0</v>
      </c>
      <c r="X41" s="788">
        <v>20.100000000000001</v>
      </c>
      <c r="Y41" s="788">
        <f t="shared" si="8"/>
        <v>22.02</v>
      </c>
      <c r="Z41" s="788"/>
      <c r="AA41" s="788"/>
      <c r="AB41" s="789">
        <f t="shared" si="10"/>
        <v>47.894999999999996</v>
      </c>
      <c r="AC41" s="792"/>
      <c r="AE41" s="791"/>
    </row>
    <row r="42" spans="1:32" s="779" customFormat="1" ht="21.6" customHeight="1">
      <c r="A42" s="780">
        <v>510</v>
      </c>
      <c r="B42" s="781"/>
      <c r="C42" s="782" t="str">
        <f>'Tên thang 01-26'!E513</f>
        <v>ឃុនស៊ី សង់</v>
      </c>
      <c r="D42" s="783" t="str">
        <f>'Tên thang 01-26'!F513</f>
        <v>KHOUNSY SONG</v>
      </c>
      <c r="E42" s="784"/>
      <c r="F42" s="785"/>
      <c r="G42" s="785"/>
      <c r="H42"/>
      <c r="I42" s="785"/>
      <c r="J42" s="785"/>
      <c r="K42" s="785"/>
      <c r="L42" s="785"/>
      <c r="M42" s="785"/>
      <c r="N42" s="786"/>
      <c r="O42" s="785">
        <f t="shared" si="11"/>
        <v>0</v>
      </c>
      <c r="P42" s="787"/>
      <c r="Q42" s="785"/>
      <c r="R42" s="786">
        <v>31</v>
      </c>
      <c r="S42" s="785">
        <f t="shared" si="14"/>
        <v>25.875</v>
      </c>
      <c r="T42" s="788"/>
      <c r="U42" s="785">
        <f t="shared" si="15"/>
        <v>0</v>
      </c>
      <c r="V42" s="785"/>
      <c r="W42" s="788">
        <f t="shared" si="7"/>
        <v>0</v>
      </c>
      <c r="X42" s="788">
        <v>20.12</v>
      </c>
      <c r="Y42" s="788">
        <f t="shared" si="8"/>
        <v>22.04</v>
      </c>
      <c r="Z42" s="788"/>
      <c r="AA42" s="788"/>
      <c r="AB42" s="789">
        <f t="shared" si="10"/>
        <v>47.914999999999999</v>
      </c>
      <c r="AC42" s="792"/>
      <c r="AE42" s="791"/>
    </row>
    <row r="43" spans="1:32" s="779" customFormat="1" ht="21.6" customHeight="1">
      <c r="A43" s="780">
        <v>511</v>
      </c>
      <c r="B43" s="781">
        <f>'Tên thang 01-26'!D26</f>
        <v>150836178</v>
      </c>
      <c r="C43" s="782" t="str">
        <f>'Tên thang 01-26'!E514</f>
        <v>សួរ ឆវ័ន</v>
      </c>
      <c r="D43" s="783" t="str">
        <f>'Tên thang 01-26'!F514</f>
        <v>SOUR CHHORVORN</v>
      </c>
      <c r="E43" s="784"/>
      <c r="F43" s="785"/>
      <c r="G43" s="785">
        <f t="shared" si="2"/>
        <v>0</v>
      </c>
      <c r="H43">
        <f t="shared" si="3"/>
        <v>0</v>
      </c>
      <c r="I43" s="785"/>
      <c r="J43" s="785"/>
      <c r="K43" s="785"/>
      <c r="L43" s="785"/>
      <c r="M43" s="785"/>
      <c r="N43" s="787"/>
      <c r="O43" s="785">
        <f t="shared" si="11"/>
        <v>0</v>
      </c>
      <c r="P43" s="787"/>
      <c r="Q43" s="785">
        <f t="shared" si="12"/>
        <v>0</v>
      </c>
      <c r="R43" s="787"/>
      <c r="S43" s="785">
        <f>ROUND(R43*0.8347,2)</f>
        <v>0</v>
      </c>
      <c r="T43" s="788"/>
      <c r="U43" s="785">
        <f t="shared" si="15"/>
        <v>0</v>
      </c>
      <c r="V43" s="786"/>
      <c r="W43" s="788">
        <f t="shared" si="7"/>
        <v>0</v>
      </c>
      <c r="X43" s="788">
        <v>28.58</v>
      </c>
      <c r="Y43" s="788">
        <f t="shared" si="8"/>
        <v>31.31</v>
      </c>
      <c r="Z43" s="788"/>
      <c r="AA43" s="788">
        <f t="shared" si="9"/>
        <v>0</v>
      </c>
      <c r="AB43" s="789">
        <f t="shared" si="10"/>
        <v>31.31</v>
      </c>
      <c r="AC43" s="795"/>
      <c r="AE43" s="791"/>
    </row>
    <row r="44" spans="1:32" s="779" customFormat="1" ht="21.6" customHeight="1">
      <c r="A44" s="780">
        <v>512</v>
      </c>
      <c r="B44" s="781">
        <f>'Tên thang 01-26'!D27</f>
        <v>220208788</v>
      </c>
      <c r="C44" s="782" t="str">
        <f>'Tên thang 01-26'!E515</f>
        <v>វ៉ន ស្រស់</v>
      </c>
      <c r="D44" s="783" t="str">
        <f>'Tên thang 01-26'!F515</f>
        <v>Vorn Sras</v>
      </c>
      <c r="E44" s="784"/>
      <c r="F44" s="785"/>
      <c r="G44" s="785">
        <f t="shared" si="2"/>
        <v>0</v>
      </c>
      <c r="H44">
        <f t="shared" si="3"/>
        <v>0</v>
      </c>
      <c r="I44" s="785"/>
      <c r="J44" s="785"/>
      <c r="K44" s="785">
        <v>1</v>
      </c>
      <c r="L44" s="785">
        <f>ROUND(K44*55.7,2)</f>
        <v>55.7</v>
      </c>
      <c r="M44" s="785"/>
      <c r="N44" s="787"/>
      <c r="O44" s="785">
        <f t="shared" si="11"/>
        <v>0</v>
      </c>
      <c r="P44" s="787"/>
      <c r="Q44" s="785">
        <f t="shared" si="12"/>
        <v>0</v>
      </c>
      <c r="R44" s="787"/>
      <c r="S44" s="785">
        <f>ROUND(R44*0.8347,2)</f>
        <v>0</v>
      </c>
      <c r="T44" s="788"/>
      <c r="U44" s="785">
        <f t="shared" si="15"/>
        <v>0</v>
      </c>
      <c r="V44" s="786"/>
      <c r="W44" s="788">
        <f t="shared" si="7"/>
        <v>0</v>
      </c>
      <c r="X44" s="788"/>
      <c r="Y44" s="788">
        <f t="shared" si="8"/>
        <v>0</v>
      </c>
      <c r="Z44" s="788"/>
      <c r="AA44" s="788">
        <f t="shared" si="9"/>
        <v>0</v>
      </c>
      <c r="AB44" s="789">
        <f t="shared" si="10"/>
        <v>55.7</v>
      </c>
      <c r="AC44" s="792"/>
      <c r="AE44" s="791" t="s">
        <v>260</v>
      </c>
    </row>
    <row r="45" spans="1:32" s="779" customFormat="1" ht="21.6" customHeight="1">
      <c r="A45" s="780">
        <v>513</v>
      </c>
      <c r="B45" s="781" t="str">
        <f>'Tên thang 01-26'!D28</f>
        <v>060541171</v>
      </c>
      <c r="C45" s="782" t="str">
        <f>'Tên thang 01-26'!E516</f>
        <v>កុសល់ សង់</v>
      </c>
      <c r="D45" s="783" t="str">
        <f>'Tên thang 01-26'!F516</f>
        <v>Kosal Sang</v>
      </c>
      <c r="E45" s="784"/>
      <c r="F45" s="785"/>
      <c r="G45" s="785">
        <f t="shared" si="2"/>
        <v>0</v>
      </c>
      <c r="H45">
        <f t="shared" si="3"/>
        <v>0</v>
      </c>
      <c r="I45" s="785"/>
      <c r="J45" s="785"/>
      <c r="K45" s="785">
        <v>1</v>
      </c>
      <c r="L45" s="785">
        <f>ROUND(K45*55.7,2)</f>
        <v>55.7</v>
      </c>
      <c r="M45" s="785"/>
      <c r="N45" s="787"/>
      <c r="O45" s="785">
        <f t="shared" si="11"/>
        <v>0</v>
      </c>
      <c r="P45" s="787"/>
      <c r="Q45" s="785">
        <f t="shared" si="12"/>
        <v>0</v>
      </c>
      <c r="R45" s="787"/>
      <c r="S45" s="785">
        <f>ROUND(R45*0.8347,2)</f>
        <v>0</v>
      </c>
      <c r="T45" s="788"/>
      <c r="U45" s="785">
        <f t="shared" si="15"/>
        <v>0</v>
      </c>
      <c r="V45" s="786"/>
      <c r="W45" s="788">
        <f t="shared" si="7"/>
        <v>0</v>
      </c>
      <c r="X45" s="788"/>
      <c r="Y45" s="788">
        <f t="shared" si="8"/>
        <v>0</v>
      </c>
      <c r="Z45" s="788"/>
      <c r="AA45" s="788">
        <f t="shared" si="9"/>
        <v>0</v>
      </c>
      <c r="AB45" s="789">
        <f t="shared" si="10"/>
        <v>55.7</v>
      </c>
      <c r="AC45" s="792"/>
      <c r="AE45" s="791"/>
    </row>
    <row r="46" spans="1:32" s="779" customFormat="1" ht="11.4" customHeight="1">
      <c r="A46" s="796"/>
      <c r="B46" s="797"/>
      <c r="C46" s="798"/>
      <c r="D46" s="799"/>
      <c r="E46" s="800"/>
      <c r="F46" s="801"/>
      <c r="G46" s="801"/>
      <c r="H46" s="802"/>
      <c r="I46" s="803"/>
      <c r="J46" s="803"/>
      <c r="K46" s="803"/>
      <c r="L46" s="803"/>
      <c r="M46" s="803"/>
      <c r="N46" s="804"/>
      <c r="O46" s="804"/>
      <c r="P46" s="804"/>
      <c r="Q46" s="805"/>
      <c r="R46" s="803"/>
      <c r="S46" s="806"/>
      <c r="T46" s="807"/>
      <c r="U46" s="807"/>
      <c r="V46" s="807"/>
      <c r="W46" s="807"/>
      <c r="X46" s="807"/>
      <c r="Y46" s="807"/>
      <c r="Z46" s="804"/>
      <c r="AA46" s="808"/>
      <c r="AB46" s="809"/>
      <c r="AC46" s="810"/>
      <c r="AE46" s="791"/>
    </row>
    <row r="47" spans="1:32" ht="35.4" customHeight="1">
      <c r="A47" s="1140" t="s">
        <v>249</v>
      </c>
      <c r="B47" s="1141"/>
      <c r="C47" s="1141"/>
      <c r="D47" s="1141"/>
      <c r="E47" s="1141"/>
      <c r="F47">
        <f>SUM(F17:F45)</f>
        <v>0</v>
      </c>
      <c r="G47">
        <f>SUM(G17:G45)</f>
        <v>0</v>
      </c>
      <c r="H47">
        <f>SUM(H17:H45)</f>
        <v>0</v>
      </c>
      <c r="I47" s="811">
        <f t="shared" ref="I47:S47" si="16">SUM(I17:I45)</f>
        <v>302</v>
      </c>
      <c r="J47" s="811">
        <f t="shared" si="16"/>
        <v>378.1</v>
      </c>
      <c r="K47" s="811">
        <f t="shared" si="16"/>
        <v>2</v>
      </c>
      <c r="L47" s="811">
        <f t="shared" si="16"/>
        <v>111.4</v>
      </c>
      <c r="M47" s="811">
        <f t="shared" si="16"/>
        <v>0</v>
      </c>
      <c r="N47" s="811">
        <f t="shared" si="16"/>
        <v>8773.5999999999985</v>
      </c>
      <c r="O47" s="811">
        <f t="shared" si="16"/>
        <v>137.30000000000001</v>
      </c>
      <c r="P47" s="811">
        <f t="shared" si="16"/>
        <v>0</v>
      </c>
      <c r="Q47" s="811">
        <f t="shared" si="16"/>
        <v>0</v>
      </c>
      <c r="R47" s="811">
        <f t="shared" si="16"/>
        <v>496</v>
      </c>
      <c r="S47" s="812">
        <f t="shared" si="16"/>
        <v>414</v>
      </c>
      <c r="T47" s="811">
        <f>SUM(T17:T45)</f>
        <v>0</v>
      </c>
      <c r="U47" s="811">
        <f>SUM(U17:U45)</f>
        <v>0</v>
      </c>
      <c r="V47" s="811">
        <f>SUM(V17:V45)</f>
        <v>0</v>
      </c>
      <c r="W47" s="811">
        <f>SUM(W17:W45)</f>
        <v>0</v>
      </c>
      <c r="X47" s="811">
        <f>SUM(X17:X45)</f>
        <v>349.7</v>
      </c>
      <c r="Y47" s="811">
        <f>SUM(Y17:AA45)</f>
        <v>383.1</v>
      </c>
      <c r="Z47" s="811">
        <f>SUM(Z17:Z45)</f>
        <v>0</v>
      </c>
      <c r="AA47" s="812">
        <f>SUM(AA17:AA45)</f>
        <v>0</v>
      </c>
      <c r="AB47" s="812">
        <f>SUM(AB17:AB45)</f>
        <v>1423.8999999999999</v>
      </c>
      <c r="AC47" s="812">
        <f>SUM(AC17:AC45)</f>
        <v>0</v>
      </c>
      <c r="AD47" s="813"/>
      <c r="AE47" s="814" t="e">
        <f>AB47+#REF!+#REF!+#REF!+'KL 1'!AG502</f>
        <v>#REF!</v>
      </c>
      <c r="AF47" s="815"/>
    </row>
    <row r="48" spans="1:32" s="18" customFormat="1" ht="18">
      <c r="B48" s="816"/>
      <c r="C48" s="816"/>
      <c r="D48" s="816"/>
      <c r="E48" s="816"/>
      <c r="F48" s="816"/>
      <c r="G48" s="816"/>
      <c r="H48" s="816"/>
      <c r="I48" s="816"/>
      <c r="J48" s="816"/>
      <c r="K48" s="816"/>
      <c r="L48" s="816"/>
      <c r="M48" s="816"/>
      <c r="N48" s="816"/>
      <c r="O48" s="816"/>
      <c r="P48" s="816"/>
      <c r="Q48" s="816"/>
      <c r="R48" s="817"/>
      <c r="S48" s="816"/>
      <c r="T48" s="816"/>
      <c r="U48" s="816"/>
      <c r="V48" s="816"/>
      <c r="W48" s="816"/>
      <c r="X48" s="816"/>
      <c r="Y48" s="816"/>
      <c r="Z48" s="816"/>
      <c r="AA48" s="816"/>
      <c r="AB48" s="818"/>
      <c r="AC48" s="816"/>
      <c r="AD48" s="816"/>
      <c r="AE48" s="818"/>
    </row>
    <row r="49" spans="1:35" s="819" customFormat="1" ht="27" customHeight="1">
      <c r="J49" s="820"/>
      <c r="K49" s="820"/>
      <c r="L49" s="820"/>
      <c r="M49" s="820"/>
      <c r="N49" s="820"/>
      <c r="O49" s="821"/>
      <c r="R49" s="1142" t="s">
        <v>2067</v>
      </c>
      <c r="S49" s="1142"/>
      <c r="T49" s="1142"/>
      <c r="U49" s="1142"/>
      <c r="V49" s="1142"/>
      <c r="W49" s="1142"/>
      <c r="X49" s="1142"/>
      <c r="Y49" s="1142"/>
      <c r="Z49" s="1142"/>
      <c r="AA49" s="1142"/>
      <c r="AB49" s="1142"/>
      <c r="AC49" s="1142"/>
      <c r="AD49" s="820"/>
      <c r="AE49" s="822" t="e">
        <f>AB47+#REF!+#REF!+#REF!+'KL 1'!AG502</f>
        <v>#REF!</v>
      </c>
      <c r="AF49" s="820">
        <f>AB47+'KL 1'!AG502</f>
        <v>19427.800000000003</v>
      </c>
    </row>
    <row r="50" spans="1:35" s="829" customFormat="1" ht="30.6" customHeight="1">
      <c r="A50" s="1123" t="s">
        <v>1839</v>
      </c>
      <c r="B50" s="1123"/>
      <c r="C50" s="1123"/>
      <c r="D50" s="1123"/>
      <c r="E50" s="1123"/>
      <c r="F50" s="1123"/>
      <c r="G50" s="667"/>
      <c r="H50" s="823"/>
      <c r="I50" s="823"/>
      <c r="J50" s="823"/>
      <c r="K50" s="823"/>
      <c r="L50" s="823"/>
      <c r="M50" s="823"/>
      <c r="N50" s="823"/>
      <c r="O50" s="823"/>
      <c r="P50" s="824"/>
      <c r="Q50" s="824"/>
      <c r="R50" s="825"/>
      <c r="S50" s="1124" t="s">
        <v>197</v>
      </c>
      <c r="T50" s="1124"/>
      <c r="U50" s="1124"/>
      <c r="V50" s="1124"/>
      <c r="W50" s="1124"/>
      <c r="X50" s="1124"/>
      <c r="Y50" s="1124"/>
      <c r="Z50" s="1124"/>
      <c r="AA50" s="1124"/>
      <c r="AB50" s="1124"/>
      <c r="AC50" s="1124"/>
      <c r="AD50" s="826"/>
      <c r="AE50" s="827" t="e">
        <f>15278.2-AE49</f>
        <v>#REF!</v>
      </c>
      <c r="AF50" s="828"/>
      <c r="AG50" s="828"/>
      <c r="AH50" s="828"/>
    </row>
    <row r="51" spans="1:35" s="829" customFormat="1" ht="25.2" customHeight="1">
      <c r="A51" s="1112" t="s">
        <v>1698</v>
      </c>
      <c r="B51" s="1112"/>
      <c r="C51" s="1112"/>
      <c r="D51" s="1112"/>
      <c r="E51" s="1112"/>
      <c r="F51" s="1112"/>
      <c r="G51" s="667"/>
      <c r="H51" s="823"/>
      <c r="I51" s="823"/>
      <c r="J51" s="823"/>
      <c r="K51" s="823"/>
      <c r="L51" s="823"/>
      <c r="M51" s="823"/>
      <c r="N51" s="823"/>
      <c r="O51" s="823"/>
      <c r="P51" s="823"/>
      <c r="Q51" s="823"/>
      <c r="R51" s="825"/>
      <c r="S51" s="1112" t="s">
        <v>198</v>
      </c>
      <c r="T51" s="1112"/>
      <c r="U51" s="1112"/>
      <c r="V51" s="1112"/>
      <c r="W51" s="1112"/>
      <c r="X51" s="1112"/>
      <c r="Y51" s="1112"/>
      <c r="Z51" s="1112"/>
      <c r="AA51" s="1112"/>
      <c r="AB51" s="1112"/>
      <c r="AC51" s="1112"/>
      <c r="AE51" s="827"/>
      <c r="AF51" s="826"/>
      <c r="AG51" s="826"/>
      <c r="AH51" s="826"/>
      <c r="AI51" s="826"/>
    </row>
    <row r="52" spans="1:35" ht="21">
      <c r="A52" s="512"/>
      <c r="B52" s="512"/>
      <c r="C52" s="512"/>
      <c r="D52" s="512"/>
      <c r="E52" s="512"/>
      <c r="F52" s="512"/>
      <c r="G52" s="512"/>
      <c r="H52" s="512"/>
      <c r="I52" s="512"/>
      <c r="J52" s="512"/>
      <c r="K52" s="512"/>
      <c r="L52" s="512"/>
      <c r="M52" s="512"/>
      <c r="N52" s="512"/>
      <c r="O52" s="512"/>
      <c r="P52" s="512"/>
      <c r="Q52" s="512"/>
      <c r="R52" s="830"/>
      <c r="S52" s="512"/>
      <c r="T52" s="831"/>
      <c r="U52" s="832"/>
      <c r="V52" s="512"/>
      <c r="W52" s="512"/>
      <c r="X52" s="833"/>
      <c r="Y52" s="834"/>
      <c r="Z52" s="512"/>
      <c r="AA52" s="512"/>
      <c r="AB52" s="1108"/>
      <c r="AC52" s="1108"/>
      <c r="AF52" s="815"/>
    </row>
    <row r="53" spans="1:35" ht="10.199999999999999" hidden="1" customHeight="1">
      <c r="A53" s="512"/>
      <c r="B53" s="512"/>
      <c r="C53" s="512"/>
      <c r="D53" s="512"/>
      <c r="E53" s="512"/>
      <c r="F53" s="512"/>
      <c r="G53" s="512"/>
      <c r="H53" s="512"/>
      <c r="I53" s="512"/>
      <c r="J53" s="512"/>
      <c r="K53" s="512"/>
      <c r="L53" s="512"/>
      <c r="M53" s="512"/>
      <c r="N53" s="512"/>
      <c r="O53" s="512"/>
      <c r="P53" s="512"/>
      <c r="Q53" s="512"/>
      <c r="R53" s="830"/>
      <c r="S53" s="512"/>
      <c r="T53" s="512"/>
      <c r="U53" s="512"/>
      <c r="V53" s="512"/>
      <c r="W53" s="512"/>
      <c r="X53" s="512"/>
      <c r="Y53" s="512"/>
      <c r="Z53" s="512"/>
      <c r="AA53" s="512"/>
      <c r="AB53" s="835"/>
      <c r="AC53" s="512"/>
      <c r="AF53" s="815"/>
    </row>
    <row r="54" spans="1:35" ht="8.4" hidden="1" customHeight="1">
      <c r="A54" s="512"/>
      <c r="B54" s="512"/>
      <c r="C54" s="512"/>
      <c r="D54" s="512"/>
      <c r="E54" s="512"/>
      <c r="F54" s="512"/>
      <c r="G54" s="512"/>
      <c r="H54" s="512"/>
      <c r="I54" s="512"/>
      <c r="J54" s="512"/>
      <c r="K54" s="512"/>
      <c r="L54" s="512"/>
      <c r="M54" s="512"/>
      <c r="N54" s="512"/>
      <c r="O54" s="512"/>
      <c r="P54" s="512"/>
      <c r="Q54" s="512"/>
      <c r="R54" s="830"/>
      <c r="S54" s="512"/>
      <c r="T54" s="512"/>
      <c r="U54" s="512"/>
      <c r="V54" s="512"/>
      <c r="W54" s="512"/>
      <c r="X54" s="512"/>
      <c r="Y54" s="512"/>
      <c r="Z54" s="512"/>
      <c r="AA54" s="512"/>
      <c r="AB54" s="835"/>
      <c r="AC54" s="512"/>
      <c r="AF54" s="815"/>
    </row>
    <row r="55" spans="1:35" ht="21" hidden="1">
      <c r="A55" s="512"/>
      <c r="B55" s="512"/>
      <c r="C55" s="512"/>
      <c r="D55" s="512"/>
      <c r="E55" s="512"/>
      <c r="F55" s="512"/>
      <c r="G55" s="512"/>
      <c r="H55" s="512"/>
      <c r="I55" s="512"/>
      <c r="J55" s="512"/>
      <c r="K55" s="512"/>
      <c r="L55" s="512"/>
      <c r="M55" s="512"/>
      <c r="N55" s="512"/>
      <c r="O55" s="512"/>
      <c r="P55" s="512"/>
      <c r="Q55" s="512"/>
      <c r="R55" s="830"/>
      <c r="S55" s="512"/>
      <c r="T55" s="512"/>
      <c r="U55" s="512"/>
      <c r="V55" s="512"/>
      <c r="W55" s="512"/>
      <c r="X55" s="512"/>
      <c r="Y55" s="512"/>
      <c r="Z55" s="512"/>
      <c r="AA55" s="512"/>
      <c r="AB55" s="835"/>
      <c r="AC55" s="512"/>
      <c r="AF55" s="815"/>
    </row>
    <row r="56" spans="1:35" ht="10.199999999999999" customHeight="1">
      <c r="A56" s="512"/>
      <c r="B56" s="512"/>
      <c r="C56" s="512"/>
      <c r="D56" s="512"/>
      <c r="E56" s="512"/>
      <c r="F56" s="512"/>
      <c r="G56" s="512"/>
      <c r="H56" s="512"/>
      <c r="I56" s="512"/>
      <c r="J56" s="512"/>
      <c r="K56" s="512"/>
      <c r="L56" s="512"/>
      <c r="M56" s="512"/>
      <c r="N56" s="512"/>
      <c r="O56" s="512"/>
      <c r="P56" s="512"/>
      <c r="Q56" s="512"/>
      <c r="R56" s="830"/>
      <c r="S56" s="512"/>
      <c r="T56" s="512"/>
      <c r="U56" s="512"/>
      <c r="V56" s="512"/>
      <c r="W56" s="512"/>
      <c r="X56" s="512"/>
      <c r="Y56" s="512"/>
      <c r="Z56" s="512"/>
      <c r="AA56" s="512"/>
      <c r="AB56" s="835"/>
      <c r="AC56" s="512"/>
      <c r="AF56" s="815"/>
    </row>
    <row r="57" spans="1:35" ht="21">
      <c r="A57" s="512"/>
      <c r="B57" s="512"/>
      <c r="C57" s="512"/>
      <c r="D57" s="512"/>
      <c r="E57" s="512"/>
      <c r="F57" s="512"/>
      <c r="G57" s="512"/>
      <c r="H57" s="512"/>
      <c r="I57" s="512"/>
      <c r="J57" s="512"/>
      <c r="K57" s="512"/>
      <c r="L57" s="512"/>
      <c r="M57" s="512"/>
      <c r="N57" s="512"/>
      <c r="O57" s="512"/>
      <c r="P57" s="512"/>
      <c r="Q57" s="512"/>
      <c r="R57" s="830"/>
      <c r="S57" s="512"/>
      <c r="T57" s="836"/>
      <c r="U57" s="834"/>
      <c r="V57" s="512"/>
      <c r="W57" s="512"/>
      <c r="X57" s="834"/>
      <c r="Y57" s="512"/>
      <c r="Z57" s="512"/>
      <c r="AA57" s="512"/>
      <c r="AB57" s="835"/>
      <c r="AC57" s="512"/>
      <c r="AF57" s="815"/>
    </row>
    <row r="58" spans="1:35" ht="33" customHeight="1">
      <c r="A58" s="1112" t="s">
        <v>199</v>
      </c>
      <c r="B58" s="1112"/>
      <c r="C58" s="1112"/>
      <c r="D58" s="1112"/>
      <c r="E58" s="1112"/>
      <c r="F58" s="512"/>
      <c r="G58" s="512"/>
      <c r="H58" s="512"/>
      <c r="I58" s="512"/>
      <c r="J58" s="512"/>
      <c r="K58" s="512"/>
      <c r="L58" s="512"/>
      <c r="M58" s="512"/>
      <c r="N58" s="512"/>
      <c r="O58" s="512"/>
      <c r="P58" s="512"/>
      <c r="Q58" s="512"/>
      <c r="R58" s="830"/>
      <c r="S58" s="1112" t="s">
        <v>201</v>
      </c>
      <c r="T58" s="1112"/>
      <c r="U58" s="1112"/>
      <c r="V58" s="1112"/>
      <c r="W58" s="1112"/>
      <c r="X58" s="1112"/>
      <c r="Y58" s="1112"/>
      <c r="Z58" s="1112"/>
      <c r="AA58" s="1112"/>
      <c r="AB58" s="1112"/>
      <c r="AC58" s="1112"/>
      <c r="AF58" s="815"/>
    </row>
    <row r="61" spans="1:35" ht="15" customHeight="1"/>
  </sheetData>
  <mergeCells count="48">
    <mergeCell ref="AD11:AD14"/>
    <mergeCell ref="B11:D14"/>
    <mergeCell ref="P11:Q12"/>
    <mergeCell ref="R11:S12"/>
    <mergeCell ref="T11:U12"/>
    <mergeCell ref="V11:W12"/>
    <mergeCell ref="AB52:AC52"/>
    <mergeCell ref="A58:E58"/>
    <mergeCell ref="S58:AC58"/>
    <mergeCell ref="A11:A14"/>
    <mergeCell ref="E11:E14"/>
    <mergeCell ref="AB11:AB14"/>
    <mergeCell ref="I12:O12"/>
    <mergeCell ref="I13:J13"/>
    <mergeCell ref="A47:E47"/>
    <mergeCell ref="R49:AC49"/>
    <mergeCell ref="S50:AC50"/>
    <mergeCell ref="X11:Y12"/>
    <mergeCell ref="Z11:AA12"/>
    <mergeCell ref="T15:U15"/>
    <mergeCell ref="X15:Y15"/>
    <mergeCell ref="F11:H11"/>
    <mergeCell ref="AC11:AC14"/>
    <mergeCell ref="A51:F51"/>
    <mergeCell ref="S51:AC51"/>
    <mergeCell ref="V13:W13"/>
    <mergeCell ref="X13:Y13"/>
    <mergeCell ref="Z13:AA13"/>
    <mergeCell ref="A15:D15"/>
    <mergeCell ref="N13:O13"/>
    <mergeCell ref="P13:Q13"/>
    <mergeCell ref="R13:S13"/>
    <mergeCell ref="T13:U13"/>
    <mergeCell ref="A16:D16"/>
    <mergeCell ref="K13:L13"/>
    <mergeCell ref="I11:O11"/>
    <mergeCell ref="A50:F50"/>
    <mergeCell ref="A4:H4"/>
    <mergeCell ref="A6:AC6"/>
    <mergeCell ref="A7:AC7"/>
    <mergeCell ref="A8:AC8"/>
    <mergeCell ref="A9:AC9"/>
    <mergeCell ref="A1:H1"/>
    <mergeCell ref="S1:AC1"/>
    <mergeCell ref="A2:H2"/>
    <mergeCell ref="S2:AC2"/>
    <mergeCell ref="A3:H3"/>
    <mergeCell ref="S3:AC3"/>
  </mergeCells>
  <conditionalFormatting sqref="B7:E7">
    <cfRule type="duplicateValues" dxfId="4030" priority="11" stopIfTrue="1"/>
    <cfRule type="duplicateValues" dxfId="4029" priority="12" stopIfTrue="1"/>
    <cfRule type="duplicateValues" dxfId="4028" priority="13" stopIfTrue="1"/>
    <cfRule type="duplicateValues" dxfId="4027" priority="14" stopIfTrue="1"/>
    <cfRule type="duplicateValues" dxfId="4026" priority="15" stopIfTrue="1"/>
  </conditionalFormatting>
  <conditionalFormatting sqref="E7">
    <cfRule type="duplicateValues" dxfId="4025" priority="10" stopIfTrue="1"/>
  </conditionalFormatting>
  <conditionalFormatting sqref="B9:E9">
    <cfRule type="duplicateValues" dxfId="4024" priority="5" stopIfTrue="1"/>
    <cfRule type="duplicateValues" dxfId="4023" priority="6" stopIfTrue="1"/>
    <cfRule type="duplicateValues" dxfId="4022" priority="7" stopIfTrue="1"/>
    <cfRule type="duplicateValues" dxfId="4021" priority="8" stopIfTrue="1"/>
    <cfRule type="duplicateValues" dxfId="4020" priority="9" stopIfTrue="1"/>
  </conditionalFormatting>
  <conditionalFormatting sqref="E9">
    <cfRule type="duplicateValues" dxfId="4019" priority="4" stopIfTrue="1"/>
  </conditionalFormatting>
  <conditionalFormatting sqref="D59:D65536">
    <cfRule type="top10" priority="34" stopIfTrue="1" rank="10"/>
    <cfRule type="duplicateValues" dxfId="4018" priority="35" stopIfTrue="1"/>
    <cfRule type="uniqueValues" dxfId="4017" priority="36" stopIfTrue="1"/>
  </conditionalFormatting>
  <conditionalFormatting sqref="E11:E14">
    <cfRule type="duplicateValues" dxfId="4016" priority="3" stopIfTrue="1"/>
  </conditionalFormatting>
  <conditionalFormatting sqref="E1:E6 E8 E10 E15:E65536">
    <cfRule type="duplicateValues" dxfId="4015" priority="28" stopIfTrue="1"/>
  </conditionalFormatting>
  <conditionalFormatting sqref="B2:E6 B8:E8">
    <cfRule type="duplicateValues" dxfId="4014" priority="29" stopIfTrue="1"/>
    <cfRule type="duplicateValues" dxfId="4013" priority="30" stopIfTrue="1"/>
    <cfRule type="duplicateValues" dxfId="4012" priority="31" stopIfTrue="1"/>
    <cfRule type="duplicateValues" dxfId="4011" priority="32" stopIfTrue="1"/>
    <cfRule type="duplicateValues" dxfId="4010" priority="33" stopIfTrue="1"/>
  </conditionalFormatting>
  <conditionalFormatting sqref="C1:C1048576">
    <cfRule type="duplicateValues" dxfId="4009" priority="2" stopIfTrue="1"/>
  </conditionalFormatting>
  <conditionalFormatting sqref="D1:D1048576">
    <cfRule type="duplicateValues" dxfId="4008" priority="1" stopIfTrue="1"/>
  </conditionalFormatting>
  <conditionalFormatting sqref="B17:E46">
    <cfRule type="duplicateValues" dxfId="4007" priority="65221" stopIfTrue="1"/>
  </conditionalFormatting>
  <printOptions horizontalCentered="1"/>
  <pageMargins left="3.937007874015748E-2" right="0.11811023622047245" top="0.31496062992125984" bottom="0.15748031496062992" header="0.31496062992125984" footer="0.22999999999999998"/>
  <pageSetup paperSize="9" scale="70" orientation="landscape" r:id="rId1"/>
  <headerFooter>
    <oddFooter>Page &amp;P of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B325F-9B26-4D04-8060-13D83B7BDE95}">
  <dimension ref="A2:D520"/>
  <sheetViews>
    <sheetView topLeftCell="A496" workbookViewId="0">
      <selection activeCell="D1" sqref="D1:D65536"/>
    </sheetView>
  </sheetViews>
  <sheetFormatPr defaultColWidth="8.69921875" defaultRowHeight="13.8"/>
  <cols>
    <col min="3" max="3" width="14.5" customWidth="1"/>
    <col min="4" max="4" width="18.19921875" customWidth="1"/>
  </cols>
  <sheetData>
    <row r="2" spans="3:4">
      <c r="C2" t="s">
        <v>261</v>
      </c>
      <c r="D2" t="s">
        <v>262</v>
      </c>
    </row>
    <row r="3" spans="3:4">
      <c r="C3" t="s">
        <v>263</v>
      </c>
      <c r="D3" t="s">
        <v>264</v>
      </c>
    </row>
    <row r="4" spans="3:4">
      <c r="C4" t="s">
        <v>1725</v>
      </c>
      <c r="D4" t="s">
        <v>1726</v>
      </c>
    </row>
    <row r="5" spans="3:4">
      <c r="C5" t="s">
        <v>266</v>
      </c>
      <c r="D5" t="s">
        <v>267</v>
      </c>
    </row>
    <row r="6" spans="3:4">
      <c r="C6" t="s">
        <v>1727</v>
      </c>
      <c r="D6" t="s">
        <v>1728</v>
      </c>
    </row>
    <row r="7" spans="3:4">
      <c r="C7" t="s">
        <v>268</v>
      </c>
      <c r="D7" t="s">
        <v>269</v>
      </c>
    </row>
    <row r="8" spans="3:4">
      <c r="C8" t="s">
        <v>270</v>
      </c>
      <c r="D8" t="s">
        <v>271</v>
      </c>
    </row>
    <row r="9" spans="3:4">
      <c r="C9" t="s">
        <v>272</v>
      </c>
      <c r="D9" t="s">
        <v>273</v>
      </c>
    </row>
    <row r="10" spans="3:4">
      <c r="C10" t="s">
        <v>274</v>
      </c>
      <c r="D10" t="s">
        <v>275</v>
      </c>
    </row>
    <row r="11" spans="3:4">
      <c r="C11" t="s">
        <v>276</v>
      </c>
      <c r="D11" t="s">
        <v>277</v>
      </c>
    </row>
    <row r="12" spans="3:4">
      <c r="C12" t="s">
        <v>278</v>
      </c>
      <c r="D12" t="s">
        <v>279</v>
      </c>
    </row>
    <row r="13" spans="3:4">
      <c r="C13" t="s">
        <v>1772</v>
      </c>
      <c r="D13" t="s">
        <v>1773</v>
      </c>
    </row>
    <row r="14" spans="3:4">
      <c r="C14" t="s">
        <v>280</v>
      </c>
      <c r="D14" t="s">
        <v>281</v>
      </c>
    </row>
    <row r="15" spans="3:4">
      <c r="C15" t="s">
        <v>282</v>
      </c>
      <c r="D15" t="s">
        <v>283</v>
      </c>
    </row>
    <row r="16" spans="3:4">
      <c r="C16" t="s">
        <v>1729</v>
      </c>
      <c r="D16" t="s">
        <v>1730</v>
      </c>
    </row>
    <row r="17" spans="3:4">
      <c r="C17" t="s">
        <v>285</v>
      </c>
      <c r="D17" t="s">
        <v>286</v>
      </c>
    </row>
    <row r="18" spans="3:4">
      <c r="C18" t="s">
        <v>287</v>
      </c>
      <c r="D18" t="s">
        <v>288</v>
      </c>
    </row>
    <row r="19" spans="3:4">
      <c r="C19" t="s">
        <v>1731</v>
      </c>
      <c r="D19" t="s">
        <v>1236</v>
      </c>
    </row>
    <row r="20" spans="3:4">
      <c r="C20" t="s">
        <v>289</v>
      </c>
      <c r="D20" t="s">
        <v>290</v>
      </c>
    </row>
    <row r="21" spans="3:4">
      <c r="C21" t="s">
        <v>291</v>
      </c>
      <c r="D21" t="s">
        <v>292</v>
      </c>
    </row>
    <row r="22" spans="3:4">
      <c r="C22" t="s">
        <v>293</v>
      </c>
      <c r="D22" t="s">
        <v>294</v>
      </c>
    </row>
    <row r="23" spans="3:4">
      <c r="C23" t="s">
        <v>295</v>
      </c>
      <c r="D23" t="s">
        <v>296</v>
      </c>
    </row>
    <row r="24" spans="3:4">
      <c r="C24" t="s">
        <v>297</v>
      </c>
      <c r="D24" t="s">
        <v>298</v>
      </c>
    </row>
    <row r="25" spans="3:4">
      <c r="C25" t="s">
        <v>299</v>
      </c>
      <c r="D25" t="s">
        <v>300</v>
      </c>
    </row>
    <row r="26" spans="3:4">
      <c r="C26" t="s">
        <v>301</v>
      </c>
      <c r="D26" t="s">
        <v>302</v>
      </c>
    </row>
    <row r="27" spans="3:4">
      <c r="C27" t="s">
        <v>303</v>
      </c>
      <c r="D27" t="s">
        <v>304</v>
      </c>
    </row>
    <row r="28" spans="3:4">
      <c r="C28" t="s">
        <v>305</v>
      </c>
      <c r="D28" t="s">
        <v>306</v>
      </c>
    </row>
    <row r="29" spans="3:4">
      <c r="C29" t="s">
        <v>1774</v>
      </c>
      <c r="D29" t="s">
        <v>1775</v>
      </c>
    </row>
    <row r="30" spans="3:4">
      <c r="C30" t="s">
        <v>307</v>
      </c>
      <c r="D30" t="s">
        <v>308</v>
      </c>
    </row>
    <row r="31" spans="3:4">
      <c r="C31" t="s">
        <v>309</v>
      </c>
      <c r="D31" t="s">
        <v>310</v>
      </c>
    </row>
    <row r="32" spans="3:4">
      <c r="C32" t="s">
        <v>311</v>
      </c>
      <c r="D32" t="s">
        <v>312</v>
      </c>
    </row>
    <row r="33" spans="3:4">
      <c r="C33" t="s">
        <v>313</v>
      </c>
      <c r="D33" t="s">
        <v>314</v>
      </c>
    </row>
    <row r="34" spans="3:4">
      <c r="C34" t="s">
        <v>315</v>
      </c>
      <c r="D34" t="s">
        <v>316</v>
      </c>
    </row>
    <row r="35" spans="3:4">
      <c r="C35" t="s">
        <v>317</v>
      </c>
      <c r="D35" t="s">
        <v>318</v>
      </c>
    </row>
    <row r="36" spans="3:4">
      <c r="C36" t="s">
        <v>1732</v>
      </c>
      <c r="D36" t="s">
        <v>1733</v>
      </c>
    </row>
    <row r="37" spans="3:4">
      <c r="C37" t="s">
        <v>319</v>
      </c>
      <c r="D37" t="s">
        <v>320</v>
      </c>
    </row>
    <row r="38" spans="3:4">
      <c r="C38" t="s">
        <v>321</v>
      </c>
      <c r="D38" t="s">
        <v>322</v>
      </c>
    </row>
    <row r="39" spans="3:4">
      <c r="C39" t="s">
        <v>323</v>
      </c>
      <c r="D39" t="s">
        <v>324</v>
      </c>
    </row>
    <row r="40" spans="3:4">
      <c r="C40" t="s">
        <v>325</v>
      </c>
      <c r="D40" t="s">
        <v>326</v>
      </c>
    </row>
    <row r="41" spans="3:4">
      <c r="C41" t="s">
        <v>327</v>
      </c>
      <c r="D41" t="s">
        <v>328</v>
      </c>
    </row>
    <row r="42" spans="3:4">
      <c r="C42" t="s">
        <v>329</v>
      </c>
      <c r="D42" t="s">
        <v>330</v>
      </c>
    </row>
    <row r="43" spans="3:4">
      <c r="C43" t="s">
        <v>331</v>
      </c>
      <c r="D43" t="s">
        <v>332</v>
      </c>
    </row>
    <row r="44" spans="3:4">
      <c r="C44" t="s">
        <v>295</v>
      </c>
      <c r="D44" t="s">
        <v>333</v>
      </c>
    </row>
    <row r="45" spans="3:4">
      <c r="C45" t="s">
        <v>334</v>
      </c>
      <c r="D45" t="s">
        <v>335</v>
      </c>
    </row>
    <row r="46" spans="3:4">
      <c r="C46" t="s">
        <v>336</v>
      </c>
      <c r="D46" t="s">
        <v>337</v>
      </c>
    </row>
    <row r="47" spans="3:4">
      <c r="C47" t="s">
        <v>338</v>
      </c>
      <c r="D47" t="s">
        <v>339</v>
      </c>
    </row>
    <row r="48" spans="3:4">
      <c r="C48" t="s">
        <v>340</v>
      </c>
      <c r="D48" t="s">
        <v>341</v>
      </c>
    </row>
    <row r="49" spans="3:4">
      <c r="C49" t="s">
        <v>502</v>
      </c>
      <c r="D49" t="s">
        <v>503</v>
      </c>
    </row>
    <row r="50" spans="3:4">
      <c r="C50" t="s">
        <v>504</v>
      </c>
      <c r="D50" t="s">
        <v>505</v>
      </c>
    </row>
    <row r="51" spans="3:4">
      <c r="C51" t="s">
        <v>1776</v>
      </c>
      <c r="D51" t="s">
        <v>1777</v>
      </c>
    </row>
    <row r="52" spans="3:4">
      <c r="C52" t="s">
        <v>506</v>
      </c>
      <c r="D52" t="s">
        <v>507</v>
      </c>
    </row>
    <row r="53" spans="3:4">
      <c r="C53" t="s">
        <v>1734</v>
      </c>
      <c r="D53" t="s">
        <v>508</v>
      </c>
    </row>
    <row r="54" spans="3:4">
      <c r="C54" t="s">
        <v>509</v>
      </c>
      <c r="D54" t="s">
        <v>510</v>
      </c>
    </row>
    <row r="55" spans="3:4">
      <c r="C55" t="s">
        <v>1778</v>
      </c>
      <c r="D55" t="s">
        <v>1779</v>
      </c>
    </row>
    <row r="56" spans="3:4">
      <c r="C56" t="s">
        <v>511</v>
      </c>
      <c r="D56" t="s">
        <v>512</v>
      </c>
    </row>
    <row r="57" spans="3:4">
      <c r="C57" t="s">
        <v>513</v>
      </c>
      <c r="D57" t="s">
        <v>514</v>
      </c>
    </row>
    <row r="58" spans="3:4">
      <c r="C58" t="s">
        <v>515</v>
      </c>
      <c r="D58" t="s">
        <v>516</v>
      </c>
    </row>
    <row r="59" spans="3:4">
      <c r="C59" t="s">
        <v>517</v>
      </c>
      <c r="D59" t="s">
        <v>518</v>
      </c>
    </row>
    <row r="60" spans="3:4">
      <c r="C60" t="s">
        <v>519</v>
      </c>
      <c r="D60" t="s">
        <v>520</v>
      </c>
    </row>
    <row r="61" spans="3:4">
      <c r="C61" t="s">
        <v>521</v>
      </c>
      <c r="D61" t="s">
        <v>522</v>
      </c>
    </row>
    <row r="62" spans="3:4">
      <c r="C62" t="s">
        <v>523</v>
      </c>
      <c r="D62" t="s">
        <v>524</v>
      </c>
    </row>
    <row r="63" spans="3:4">
      <c r="C63" t="s">
        <v>525</v>
      </c>
      <c r="D63" t="s">
        <v>526</v>
      </c>
    </row>
    <row r="64" spans="3:4">
      <c r="C64" t="s">
        <v>527</v>
      </c>
      <c r="D64" t="s">
        <v>528</v>
      </c>
    </row>
    <row r="65" spans="3:4">
      <c r="C65" t="s">
        <v>529</v>
      </c>
      <c r="D65" t="s">
        <v>530</v>
      </c>
    </row>
    <row r="66" spans="3:4">
      <c r="C66" t="s">
        <v>531</v>
      </c>
      <c r="D66" t="s">
        <v>532</v>
      </c>
    </row>
    <row r="67" spans="3:4">
      <c r="C67" t="s">
        <v>533</v>
      </c>
      <c r="D67" t="s">
        <v>534</v>
      </c>
    </row>
    <row r="68" spans="3:4">
      <c r="C68" t="s">
        <v>535</v>
      </c>
      <c r="D68" t="s">
        <v>536</v>
      </c>
    </row>
    <row r="69" spans="3:4">
      <c r="C69" t="s">
        <v>537</v>
      </c>
      <c r="D69" t="s">
        <v>538</v>
      </c>
    </row>
    <row r="70" spans="3:4">
      <c r="C70" t="s">
        <v>539</v>
      </c>
      <c r="D70" t="s">
        <v>540</v>
      </c>
    </row>
    <row r="71" spans="3:4">
      <c r="C71" t="s">
        <v>541</v>
      </c>
      <c r="D71" t="s">
        <v>542</v>
      </c>
    </row>
    <row r="72" spans="3:4">
      <c r="C72" t="s">
        <v>543</v>
      </c>
      <c r="D72" t="s">
        <v>544</v>
      </c>
    </row>
    <row r="73" spans="3:4">
      <c r="C73" t="s">
        <v>545</v>
      </c>
      <c r="D73" t="s">
        <v>546</v>
      </c>
    </row>
    <row r="74" spans="3:4">
      <c r="C74" t="s">
        <v>547</v>
      </c>
      <c r="D74" t="s">
        <v>548</v>
      </c>
    </row>
    <row r="75" spans="3:4">
      <c r="C75" t="s">
        <v>549</v>
      </c>
      <c r="D75" t="s">
        <v>550</v>
      </c>
    </row>
    <row r="76" spans="3:4">
      <c r="C76" t="s">
        <v>551</v>
      </c>
      <c r="D76" t="s">
        <v>552</v>
      </c>
    </row>
    <row r="77" spans="3:4">
      <c r="C77" t="s">
        <v>553</v>
      </c>
      <c r="D77" t="s">
        <v>554</v>
      </c>
    </row>
    <row r="78" spans="3:4">
      <c r="C78" t="s">
        <v>555</v>
      </c>
      <c r="D78" t="s">
        <v>556</v>
      </c>
    </row>
    <row r="79" spans="3:4">
      <c r="C79" t="s">
        <v>557</v>
      </c>
      <c r="D79" t="s">
        <v>558</v>
      </c>
    </row>
    <row r="80" spans="3:4">
      <c r="C80" t="s">
        <v>559</v>
      </c>
      <c r="D80" t="s">
        <v>560</v>
      </c>
    </row>
    <row r="81" spans="3:4">
      <c r="C81" t="s">
        <v>561</v>
      </c>
      <c r="D81" t="s">
        <v>562</v>
      </c>
    </row>
    <row r="82" spans="3:4">
      <c r="C82" t="s">
        <v>563</v>
      </c>
      <c r="D82" t="s">
        <v>564</v>
      </c>
    </row>
    <row r="83" spans="3:4">
      <c r="C83" t="s">
        <v>565</v>
      </c>
      <c r="D83" t="s">
        <v>566</v>
      </c>
    </row>
    <row r="84" spans="3:4">
      <c r="C84" t="s">
        <v>567</v>
      </c>
      <c r="D84" t="s">
        <v>568</v>
      </c>
    </row>
    <row r="85" spans="3:4">
      <c r="C85" t="s">
        <v>569</v>
      </c>
      <c r="D85" t="s">
        <v>570</v>
      </c>
    </row>
    <row r="86" spans="3:4">
      <c r="C86" t="s">
        <v>571</v>
      </c>
      <c r="D86" t="s">
        <v>572</v>
      </c>
    </row>
    <row r="87" spans="3:4">
      <c r="C87" t="s">
        <v>573</v>
      </c>
      <c r="D87" t="s">
        <v>574</v>
      </c>
    </row>
    <row r="88" spans="3:4">
      <c r="C88" t="s">
        <v>575</v>
      </c>
      <c r="D88" t="s">
        <v>576</v>
      </c>
    </row>
    <row r="89" spans="3:4">
      <c r="C89" t="s">
        <v>577</v>
      </c>
      <c r="D89" t="s">
        <v>578</v>
      </c>
    </row>
    <row r="90" spans="3:4">
      <c r="C90" t="s">
        <v>579</v>
      </c>
      <c r="D90" t="s">
        <v>580</v>
      </c>
    </row>
    <row r="91" spans="3:4">
      <c r="C91" t="s">
        <v>581</v>
      </c>
      <c r="D91" t="s">
        <v>582</v>
      </c>
    </row>
    <row r="92" spans="3:4">
      <c r="C92" t="s">
        <v>583</v>
      </c>
      <c r="D92" t="s">
        <v>584</v>
      </c>
    </row>
    <row r="93" spans="3:4">
      <c r="C93" t="s">
        <v>585</v>
      </c>
      <c r="D93" t="s">
        <v>586</v>
      </c>
    </row>
    <row r="94" spans="3:4">
      <c r="C94" t="s">
        <v>587</v>
      </c>
      <c r="D94" t="s">
        <v>588</v>
      </c>
    </row>
    <row r="95" spans="3:4">
      <c r="C95" t="s">
        <v>589</v>
      </c>
      <c r="D95" t="s">
        <v>590</v>
      </c>
    </row>
    <row r="96" spans="3:4">
      <c r="C96" t="s">
        <v>591</v>
      </c>
      <c r="D96" t="s">
        <v>592</v>
      </c>
    </row>
    <row r="97" spans="3:4">
      <c r="C97" t="s">
        <v>593</v>
      </c>
      <c r="D97" t="s">
        <v>594</v>
      </c>
    </row>
    <row r="98" spans="3:4">
      <c r="C98" t="s">
        <v>595</v>
      </c>
      <c r="D98" t="s">
        <v>596</v>
      </c>
    </row>
    <row r="99" spans="3:4">
      <c r="C99" t="s">
        <v>597</v>
      </c>
      <c r="D99" t="s">
        <v>598</v>
      </c>
    </row>
    <row r="100" spans="3:4">
      <c r="C100" t="s">
        <v>599</v>
      </c>
      <c r="D100" t="s">
        <v>600</v>
      </c>
    </row>
    <row r="101" spans="3:4">
      <c r="C101" t="s">
        <v>601</v>
      </c>
      <c r="D101" t="s">
        <v>602</v>
      </c>
    </row>
    <row r="102" spans="3:4">
      <c r="C102" t="s">
        <v>603</v>
      </c>
      <c r="D102" t="s">
        <v>604</v>
      </c>
    </row>
    <row r="103" spans="3:4">
      <c r="C103" t="s">
        <v>605</v>
      </c>
      <c r="D103" t="s">
        <v>606</v>
      </c>
    </row>
    <row r="104" spans="3:4">
      <c r="C104" t="s">
        <v>607</v>
      </c>
      <c r="D104" t="s">
        <v>608</v>
      </c>
    </row>
    <row r="105" spans="3:4">
      <c r="C105" t="s">
        <v>609</v>
      </c>
      <c r="D105" t="s">
        <v>610</v>
      </c>
    </row>
    <row r="106" spans="3:4">
      <c r="C106" t="s">
        <v>611</v>
      </c>
      <c r="D106" t="s">
        <v>612</v>
      </c>
    </row>
    <row r="107" spans="3:4">
      <c r="C107" t="s">
        <v>613</v>
      </c>
      <c r="D107" t="s">
        <v>614</v>
      </c>
    </row>
    <row r="108" spans="3:4">
      <c r="C108" t="s">
        <v>615</v>
      </c>
      <c r="D108" t="s">
        <v>616</v>
      </c>
    </row>
    <row r="109" spans="3:4">
      <c r="C109" t="s">
        <v>617</v>
      </c>
      <c r="D109" t="s">
        <v>618</v>
      </c>
    </row>
    <row r="110" spans="3:4">
      <c r="C110" t="s">
        <v>1735</v>
      </c>
      <c r="D110" t="s">
        <v>619</v>
      </c>
    </row>
    <row r="111" spans="3:4">
      <c r="C111" t="s">
        <v>620</v>
      </c>
      <c r="D111" t="s">
        <v>621</v>
      </c>
    </row>
    <row r="112" spans="3:4">
      <c r="C112" t="s">
        <v>622</v>
      </c>
      <c r="D112" t="s">
        <v>623</v>
      </c>
    </row>
    <row r="113" spans="3:4">
      <c r="C113" t="s">
        <v>624</v>
      </c>
      <c r="D113" t="s">
        <v>625</v>
      </c>
    </row>
    <row r="114" spans="3:4">
      <c r="C114" t="s">
        <v>626</v>
      </c>
      <c r="D114" t="s">
        <v>627</v>
      </c>
    </row>
    <row r="115" spans="3:4">
      <c r="C115" t="s">
        <v>1699</v>
      </c>
      <c r="D115" t="s">
        <v>1700</v>
      </c>
    </row>
    <row r="116" spans="3:4">
      <c r="C116" t="s">
        <v>1701</v>
      </c>
      <c r="D116" t="s">
        <v>1702</v>
      </c>
    </row>
    <row r="117" spans="3:4">
      <c r="C117" t="s">
        <v>628</v>
      </c>
      <c r="D117" t="s">
        <v>629</v>
      </c>
    </row>
    <row r="118" spans="3:4">
      <c r="C118" t="s">
        <v>630</v>
      </c>
      <c r="D118" t="s">
        <v>631</v>
      </c>
    </row>
    <row r="119" spans="3:4">
      <c r="C119" t="s">
        <v>632</v>
      </c>
      <c r="D119" t="s">
        <v>633</v>
      </c>
    </row>
    <row r="120" spans="3:4">
      <c r="C120" t="s">
        <v>634</v>
      </c>
      <c r="D120" t="s">
        <v>635</v>
      </c>
    </row>
    <row r="121" spans="3:4">
      <c r="C121" t="s">
        <v>636</v>
      </c>
      <c r="D121" t="s">
        <v>637</v>
      </c>
    </row>
    <row r="122" spans="3:4">
      <c r="C122" t="s">
        <v>638</v>
      </c>
      <c r="D122" t="s">
        <v>639</v>
      </c>
    </row>
    <row r="123" spans="3:4">
      <c r="C123" t="s">
        <v>640</v>
      </c>
      <c r="D123" t="s">
        <v>641</v>
      </c>
    </row>
    <row r="124" spans="3:4">
      <c r="C124" t="s">
        <v>642</v>
      </c>
      <c r="D124" t="s">
        <v>643</v>
      </c>
    </row>
    <row r="125" spans="3:4">
      <c r="C125" t="s">
        <v>644</v>
      </c>
      <c r="D125" t="s">
        <v>645</v>
      </c>
    </row>
    <row r="126" spans="3:4">
      <c r="C126" t="s">
        <v>646</v>
      </c>
      <c r="D126" t="s">
        <v>647</v>
      </c>
    </row>
    <row r="127" spans="3:4">
      <c r="C127" t="s">
        <v>734</v>
      </c>
      <c r="D127" t="s">
        <v>735</v>
      </c>
    </row>
    <row r="128" spans="3:4">
      <c r="C128" t="s">
        <v>736</v>
      </c>
      <c r="D128" t="s">
        <v>737</v>
      </c>
    </row>
    <row r="129" spans="3:4">
      <c r="C129" t="s">
        <v>738</v>
      </c>
      <c r="D129" t="s">
        <v>739</v>
      </c>
    </row>
    <row r="130" spans="3:4">
      <c r="C130" t="s">
        <v>740</v>
      </c>
      <c r="D130" t="s">
        <v>741</v>
      </c>
    </row>
    <row r="131" spans="3:4">
      <c r="C131" t="s">
        <v>742</v>
      </c>
      <c r="D131" t="s">
        <v>743</v>
      </c>
    </row>
    <row r="132" spans="3:4">
      <c r="C132" t="s">
        <v>744</v>
      </c>
      <c r="D132" t="s">
        <v>745</v>
      </c>
    </row>
    <row r="133" spans="3:4">
      <c r="C133" t="s">
        <v>746</v>
      </c>
      <c r="D133" t="s">
        <v>747</v>
      </c>
    </row>
    <row r="134" spans="3:4">
      <c r="C134" t="s">
        <v>748</v>
      </c>
      <c r="D134" t="s">
        <v>749</v>
      </c>
    </row>
    <row r="135" spans="3:4">
      <c r="C135" t="s">
        <v>750</v>
      </c>
      <c r="D135" t="s">
        <v>751</v>
      </c>
    </row>
    <row r="136" spans="3:4">
      <c r="C136" t="s">
        <v>752</v>
      </c>
      <c r="D136" t="s">
        <v>753</v>
      </c>
    </row>
    <row r="137" spans="3:4">
      <c r="C137" t="s">
        <v>754</v>
      </c>
      <c r="D137" t="s">
        <v>755</v>
      </c>
    </row>
    <row r="138" spans="3:4">
      <c r="C138" t="s">
        <v>756</v>
      </c>
      <c r="D138" t="s">
        <v>757</v>
      </c>
    </row>
    <row r="139" spans="3:4">
      <c r="C139" t="s">
        <v>758</v>
      </c>
      <c r="D139" t="s">
        <v>759</v>
      </c>
    </row>
    <row r="140" spans="3:4">
      <c r="C140" t="s">
        <v>760</v>
      </c>
      <c r="D140" t="s">
        <v>761</v>
      </c>
    </row>
    <row r="141" spans="3:4">
      <c r="C141" t="s">
        <v>762</v>
      </c>
      <c r="D141" t="s">
        <v>763</v>
      </c>
    </row>
    <row r="142" spans="3:4">
      <c r="C142" t="s">
        <v>764</v>
      </c>
      <c r="D142" t="s">
        <v>765</v>
      </c>
    </row>
    <row r="143" spans="3:4">
      <c r="C143" t="s">
        <v>766</v>
      </c>
      <c r="D143" t="s">
        <v>767</v>
      </c>
    </row>
    <row r="144" spans="3:4">
      <c r="C144" t="s">
        <v>768</v>
      </c>
      <c r="D144" t="s">
        <v>769</v>
      </c>
    </row>
    <row r="145" spans="3:4">
      <c r="C145" t="s">
        <v>770</v>
      </c>
      <c r="D145" t="s">
        <v>771</v>
      </c>
    </row>
    <row r="146" spans="3:4">
      <c r="C146" t="s">
        <v>772</v>
      </c>
      <c r="D146" t="s">
        <v>773</v>
      </c>
    </row>
    <row r="147" spans="3:4">
      <c r="C147" t="s">
        <v>1703</v>
      </c>
      <c r="D147" t="s">
        <v>1704</v>
      </c>
    </row>
    <row r="148" spans="3:4">
      <c r="C148" t="s">
        <v>774</v>
      </c>
      <c r="D148" t="s">
        <v>775</v>
      </c>
    </row>
    <row r="149" spans="3:4">
      <c r="C149" t="s">
        <v>1736</v>
      </c>
      <c r="D149" t="s">
        <v>1705</v>
      </c>
    </row>
    <row r="150" spans="3:4">
      <c r="C150" t="s">
        <v>776</v>
      </c>
      <c r="D150" t="s">
        <v>777</v>
      </c>
    </row>
    <row r="151" spans="3:4">
      <c r="C151" t="s">
        <v>778</v>
      </c>
      <c r="D151" t="s">
        <v>779</v>
      </c>
    </row>
    <row r="152" spans="3:4">
      <c r="C152" t="s">
        <v>780</v>
      </c>
      <c r="D152" t="s">
        <v>781</v>
      </c>
    </row>
    <row r="153" spans="3:4">
      <c r="C153" t="s">
        <v>782</v>
      </c>
      <c r="D153" t="s">
        <v>783</v>
      </c>
    </row>
    <row r="154" spans="3:4">
      <c r="C154" t="s">
        <v>784</v>
      </c>
      <c r="D154" t="s">
        <v>785</v>
      </c>
    </row>
    <row r="155" spans="3:4">
      <c r="C155" t="s">
        <v>1781</v>
      </c>
      <c r="D155" t="s">
        <v>1782</v>
      </c>
    </row>
    <row r="156" spans="3:4">
      <c r="C156" t="s">
        <v>786</v>
      </c>
      <c r="D156" t="s">
        <v>787</v>
      </c>
    </row>
    <row r="157" spans="3:4">
      <c r="C157" t="s">
        <v>788</v>
      </c>
      <c r="D157" t="s">
        <v>789</v>
      </c>
    </row>
    <row r="158" spans="3:4">
      <c r="C158" t="s">
        <v>790</v>
      </c>
      <c r="D158" t="s">
        <v>791</v>
      </c>
    </row>
    <row r="159" spans="3:4">
      <c r="C159" t="s">
        <v>792</v>
      </c>
      <c r="D159" t="s">
        <v>793</v>
      </c>
    </row>
    <row r="160" spans="3:4">
      <c r="C160" t="s">
        <v>794</v>
      </c>
      <c r="D160" t="s">
        <v>795</v>
      </c>
    </row>
    <row r="161" spans="1:4">
      <c r="C161" t="s">
        <v>1783</v>
      </c>
      <c r="D161" t="s">
        <v>1784</v>
      </c>
    </row>
    <row r="162" spans="1:4">
      <c r="C162" t="s">
        <v>1706</v>
      </c>
      <c r="D162" t="s">
        <v>1707</v>
      </c>
    </row>
    <row r="163" spans="1:4">
      <c r="C163" t="s">
        <v>1737</v>
      </c>
      <c r="D163" t="s">
        <v>1708</v>
      </c>
    </row>
    <row r="164" spans="1:4">
      <c r="C164" t="s">
        <v>800</v>
      </c>
      <c r="D164" t="s">
        <v>801</v>
      </c>
    </row>
    <row r="165" spans="1:4">
      <c r="C165" t="s">
        <v>802</v>
      </c>
      <c r="D165" t="s">
        <v>803</v>
      </c>
    </row>
    <row r="166" spans="1:4">
      <c r="C166" t="s">
        <v>804</v>
      </c>
      <c r="D166" t="s">
        <v>805</v>
      </c>
    </row>
    <row r="167" spans="1:4">
      <c r="C167" t="s">
        <v>1709</v>
      </c>
      <c r="D167" t="s">
        <v>1710</v>
      </c>
    </row>
    <row r="168" spans="1:4">
      <c r="C168" t="s">
        <v>806</v>
      </c>
      <c r="D168" t="s">
        <v>807</v>
      </c>
    </row>
    <row r="169" spans="1:4">
      <c r="A169" t="s">
        <v>1697</v>
      </c>
      <c r="C169" t="s">
        <v>342</v>
      </c>
      <c r="D169" t="s">
        <v>343</v>
      </c>
    </row>
    <row r="170" spans="1:4">
      <c r="C170" t="s">
        <v>344</v>
      </c>
      <c r="D170" t="s">
        <v>345</v>
      </c>
    </row>
    <row r="171" spans="1:4">
      <c r="C171" t="s">
        <v>346</v>
      </c>
      <c r="D171" t="s">
        <v>347</v>
      </c>
    </row>
    <row r="172" spans="1:4">
      <c r="C172" t="s">
        <v>348</v>
      </c>
      <c r="D172" t="s">
        <v>349</v>
      </c>
    </row>
    <row r="173" spans="1:4">
      <c r="C173" t="s">
        <v>350</v>
      </c>
      <c r="D173" t="s">
        <v>351</v>
      </c>
    </row>
    <row r="174" spans="1:4">
      <c r="C174" t="s">
        <v>1785</v>
      </c>
      <c r="D174" t="s">
        <v>1241</v>
      </c>
    </row>
    <row r="175" spans="1:4">
      <c r="C175" t="s">
        <v>352</v>
      </c>
      <c r="D175" t="s">
        <v>353</v>
      </c>
    </row>
    <row r="176" spans="1:4">
      <c r="C176" t="s">
        <v>354</v>
      </c>
      <c r="D176" t="s">
        <v>355</v>
      </c>
    </row>
    <row r="177" spans="3:4">
      <c r="C177" t="s">
        <v>356</v>
      </c>
      <c r="D177" t="s">
        <v>357</v>
      </c>
    </row>
    <row r="178" spans="3:4">
      <c r="C178" t="s">
        <v>358</v>
      </c>
      <c r="D178" t="s">
        <v>359</v>
      </c>
    </row>
    <row r="179" spans="3:4">
      <c r="C179" t="s">
        <v>360</v>
      </c>
      <c r="D179" t="s">
        <v>361</v>
      </c>
    </row>
    <row r="180" spans="3:4">
      <c r="C180" t="s">
        <v>362</v>
      </c>
      <c r="D180" t="s">
        <v>363</v>
      </c>
    </row>
    <row r="181" spans="3:4">
      <c r="C181" t="s">
        <v>364</v>
      </c>
      <c r="D181" t="s">
        <v>365</v>
      </c>
    </row>
    <row r="182" spans="3:4">
      <c r="C182" t="s">
        <v>366</v>
      </c>
      <c r="D182" t="s">
        <v>367</v>
      </c>
    </row>
    <row r="183" spans="3:4">
      <c r="C183" t="s">
        <v>368</v>
      </c>
      <c r="D183" t="s">
        <v>369</v>
      </c>
    </row>
    <row r="184" spans="3:4">
      <c r="C184" t="s">
        <v>370</v>
      </c>
      <c r="D184" t="s">
        <v>371</v>
      </c>
    </row>
    <row r="185" spans="3:4">
      <c r="C185" t="s">
        <v>372</v>
      </c>
      <c r="D185" t="s">
        <v>373</v>
      </c>
    </row>
    <row r="186" spans="3:4">
      <c r="C186" t="s">
        <v>374</v>
      </c>
      <c r="D186" t="s">
        <v>375</v>
      </c>
    </row>
    <row r="187" spans="3:4">
      <c r="C187" t="s">
        <v>376</v>
      </c>
      <c r="D187" t="s">
        <v>377</v>
      </c>
    </row>
    <row r="188" spans="3:4">
      <c r="C188" t="s">
        <v>378</v>
      </c>
      <c r="D188" t="s">
        <v>379</v>
      </c>
    </row>
    <row r="189" spans="3:4">
      <c r="C189" t="s">
        <v>380</v>
      </c>
      <c r="D189" t="s">
        <v>381</v>
      </c>
    </row>
    <row r="190" spans="3:4">
      <c r="C190" t="s">
        <v>1738</v>
      </c>
      <c r="D190" t="s">
        <v>382</v>
      </c>
    </row>
    <row r="191" spans="3:4">
      <c r="C191" t="s">
        <v>383</v>
      </c>
      <c r="D191" t="s">
        <v>384</v>
      </c>
    </row>
    <row r="192" spans="3:4">
      <c r="C192" t="s">
        <v>385</v>
      </c>
      <c r="D192" t="s">
        <v>386</v>
      </c>
    </row>
    <row r="193" spans="3:4">
      <c r="C193" t="s">
        <v>387</v>
      </c>
      <c r="D193" t="s">
        <v>388</v>
      </c>
    </row>
    <row r="194" spans="3:4">
      <c r="C194" t="s">
        <v>389</v>
      </c>
      <c r="D194" t="s">
        <v>390</v>
      </c>
    </row>
    <row r="195" spans="3:4">
      <c r="C195" t="s">
        <v>391</v>
      </c>
      <c r="D195" t="s">
        <v>392</v>
      </c>
    </row>
    <row r="196" spans="3:4">
      <c r="C196" t="s">
        <v>393</v>
      </c>
      <c r="D196" t="s">
        <v>394</v>
      </c>
    </row>
    <row r="197" spans="3:4">
      <c r="C197" t="s">
        <v>395</v>
      </c>
      <c r="D197" t="s">
        <v>396</v>
      </c>
    </row>
    <row r="198" spans="3:4">
      <c r="C198" t="s">
        <v>397</v>
      </c>
      <c r="D198" t="s">
        <v>398</v>
      </c>
    </row>
    <row r="199" spans="3:4">
      <c r="C199" t="s">
        <v>399</v>
      </c>
      <c r="D199" t="s">
        <v>400</v>
      </c>
    </row>
    <row r="200" spans="3:4">
      <c r="C200" t="s">
        <v>401</v>
      </c>
      <c r="D200" t="s">
        <v>402</v>
      </c>
    </row>
    <row r="201" spans="3:4">
      <c r="C201" t="s">
        <v>403</v>
      </c>
      <c r="D201" t="s">
        <v>404</v>
      </c>
    </row>
    <row r="202" spans="3:4">
      <c r="C202" t="s">
        <v>405</v>
      </c>
      <c r="D202" t="s">
        <v>406</v>
      </c>
    </row>
    <row r="203" spans="3:4">
      <c r="C203" t="s">
        <v>407</v>
      </c>
      <c r="D203" t="s">
        <v>408</v>
      </c>
    </row>
    <row r="204" spans="3:4">
      <c r="C204" t="s">
        <v>409</v>
      </c>
      <c r="D204" t="s">
        <v>410</v>
      </c>
    </row>
    <row r="205" spans="3:4">
      <c r="C205" t="s">
        <v>411</v>
      </c>
      <c r="D205" t="s">
        <v>412</v>
      </c>
    </row>
    <row r="206" spans="3:4">
      <c r="C206" t="s">
        <v>413</v>
      </c>
      <c r="D206" t="s">
        <v>414</v>
      </c>
    </row>
    <row r="207" spans="3:4">
      <c r="C207" t="s">
        <v>1739</v>
      </c>
      <c r="D207" t="s">
        <v>415</v>
      </c>
    </row>
    <row r="208" spans="3:4">
      <c r="C208" t="s">
        <v>416</v>
      </c>
      <c r="D208" t="s">
        <v>417</v>
      </c>
    </row>
    <row r="209" spans="3:4">
      <c r="C209" t="s">
        <v>1740</v>
      </c>
      <c r="D209" t="s">
        <v>418</v>
      </c>
    </row>
    <row r="210" spans="3:4">
      <c r="C210" t="s">
        <v>419</v>
      </c>
      <c r="D210" t="s">
        <v>420</v>
      </c>
    </row>
    <row r="211" spans="3:4">
      <c r="C211" t="s">
        <v>421</v>
      </c>
      <c r="D211" t="s">
        <v>422</v>
      </c>
    </row>
    <row r="212" spans="3:4">
      <c r="C212" t="s">
        <v>423</v>
      </c>
      <c r="D212" t="s">
        <v>424</v>
      </c>
    </row>
    <row r="213" spans="3:4">
      <c r="C213" t="s">
        <v>425</v>
      </c>
      <c r="D213" t="s">
        <v>426</v>
      </c>
    </row>
    <row r="214" spans="3:4">
      <c r="C214" t="s">
        <v>427</v>
      </c>
      <c r="D214" t="s">
        <v>428</v>
      </c>
    </row>
    <row r="215" spans="3:4">
      <c r="C215" t="s">
        <v>429</v>
      </c>
      <c r="D215" t="s">
        <v>430</v>
      </c>
    </row>
    <row r="216" spans="3:4">
      <c r="C216" t="s">
        <v>431</v>
      </c>
      <c r="D216" t="s">
        <v>432</v>
      </c>
    </row>
    <row r="217" spans="3:4">
      <c r="C217" t="s">
        <v>433</v>
      </c>
      <c r="D217" t="s">
        <v>434</v>
      </c>
    </row>
    <row r="218" spans="3:4">
      <c r="C218" t="s">
        <v>435</v>
      </c>
      <c r="D218" t="s">
        <v>436</v>
      </c>
    </row>
    <row r="219" spans="3:4">
      <c r="C219" t="s">
        <v>437</v>
      </c>
      <c r="D219" t="s">
        <v>438</v>
      </c>
    </row>
    <row r="220" spans="3:4">
      <c r="C220" t="s">
        <v>439</v>
      </c>
      <c r="D220" t="s">
        <v>440</v>
      </c>
    </row>
    <row r="221" spans="3:4">
      <c r="C221" t="s">
        <v>441</v>
      </c>
      <c r="D221" t="s">
        <v>442</v>
      </c>
    </row>
    <row r="222" spans="3:4">
      <c r="C222" t="s">
        <v>443</v>
      </c>
      <c r="D222" t="s">
        <v>444</v>
      </c>
    </row>
    <row r="223" spans="3:4">
      <c r="C223" t="s">
        <v>445</v>
      </c>
      <c r="D223" t="s">
        <v>446</v>
      </c>
    </row>
    <row r="224" spans="3:4">
      <c r="C224" t="s">
        <v>447</v>
      </c>
      <c r="D224" t="s">
        <v>448</v>
      </c>
    </row>
    <row r="225" spans="3:4">
      <c r="C225" t="s">
        <v>449</v>
      </c>
      <c r="D225" t="s">
        <v>450</v>
      </c>
    </row>
    <row r="226" spans="3:4">
      <c r="C226" t="s">
        <v>451</v>
      </c>
      <c r="D226" t="s">
        <v>452</v>
      </c>
    </row>
    <row r="227" spans="3:4">
      <c r="C227" t="s">
        <v>1786</v>
      </c>
      <c r="D227" t="s">
        <v>1214</v>
      </c>
    </row>
    <row r="228" spans="3:4">
      <c r="C228" t="s">
        <v>453</v>
      </c>
      <c r="D228" t="s">
        <v>454</v>
      </c>
    </row>
    <row r="229" spans="3:4">
      <c r="C229" t="s">
        <v>455</v>
      </c>
      <c r="D229" t="s">
        <v>456</v>
      </c>
    </row>
    <row r="230" spans="3:4">
      <c r="C230" t="s">
        <v>457</v>
      </c>
      <c r="D230" t="s">
        <v>458</v>
      </c>
    </row>
    <row r="231" spans="3:4">
      <c r="C231" t="s">
        <v>459</v>
      </c>
      <c r="D231" t="s">
        <v>460</v>
      </c>
    </row>
    <row r="232" spans="3:4">
      <c r="C232" t="s">
        <v>461</v>
      </c>
      <c r="D232" t="s">
        <v>462</v>
      </c>
    </row>
    <row r="233" spans="3:4">
      <c r="C233" t="s">
        <v>463</v>
      </c>
      <c r="D233" t="s">
        <v>464</v>
      </c>
    </row>
    <row r="234" spans="3:4">
      <c r="C234" t="s">
        <v>465</v>
      </c>
      <c r="D234" t="s">
        <v>466</v>
      </c>
    </row>
    <row r="235" spans="3:4">
      <c r="C235" t="s">
        <v>467</v>
      </c>
      <c r="D235" t="s">
        <v>468</v>
      </c>
    </row>
    <row r="236" spans="3:4">
      <c r="C236" t="s">
        <v>469</v>
      </c>
      <c r="D236" t="s">
        <v>470</v>
      </c>
    </row>
    <row r="237" spans="3:4">
      <c r="C237" t="s">
        <v>471</v>
      </c>
      <c r="D237" t="s">
        <v>472</v>
      </c>
    </row>
    <row r="238" spans="3:4">
      <c r="C238" t="s">
        <v>473</v>
      </c>
      <c r="D238" t="s">
        <v>474</v>
      </c>
    </row>
    <row r="239" spans="3:4">
      <c r="C239" t="s">
        <v>1741</v>
      </c>
      <c r="D239" t="s">
        <v>1711</v>
      </c>
    </row>
    <row r="240" spans="3:4">
      <c r="C240" t="s">
        <v>1712</v>
      </c>
      <c r="D240" t="s">
        <v>1713</v>
      </c>
    </row>
    <row r="241" spans="3:4">
      <c r="C241" t="s">
        <v>475</v>
      </c>
      <c r="D241" t="s">
        <v>476</v>
      </c>
    </row>
    <row r="242" spans="3:4">
      <c r="C242" t="s">
        <v>477</v>
      </c>
      <c r="D242" t="s">
        <v>478</v>
      </c>
    </row>
    <row r="243" spans="3:4">
      <c r="C243" t="s">
        <v>1787</v>
      </c>
      <c r="D243" t="s">
        <v>1788</v>
      </c>
    </row>
    <row r="244" spans="3:4">
      <c r="C244" t="s">
        <v>1789</v>
      </c>
      <c r="D244" t="s">
        <v>1790</v>
      </c>
    </row>
    <row r="245" spans="3:4">
      <c r="C245" t="s">
        <v>479</v>
      </c>
      <c r="D245" t="s">
        <v>480</v>
      </c>
    </row>
    <row r="246" spans="3:4">
      <c r="C246" t="s">
        <v>481</v>
      </c>
      <c r="D246" t="s">
        <v>482</v>
      </c>
    </row>
    <row r="247" spans="3:4">
      <c r="C247" t="s">
        <v>1792</v>
      </c>
      <c r="D247" t="s">
        <v>1793</v>
      </c>
    </row>
    <row r="248" spans="3:4">
      <c r="C248" t="s">
        <v>484</v>
      </c>
      <c r="D248" t="s">
        <v>485</v>
      </c>
    </row>
    <row r="249" spans="3:4">
      <c r="C249" t="s">
        <v>486</v>
      </c>
      <c r="D249" t="s">
        <v>487</v>
      </c>
    </row>
    <row r="250" spans="3:4">
      <c r="C250" t="s">
        <v>1795</v>
      </c>
      <c r="D250" t="s">
        <v>1796</v>
      </c>
    </row>
    <row r="251" spans="3:4">
      <c r="C251" t="s">
        <v>488</v>
      </c>
      <c r="D251" t="s">
        <v>489</v>
      </c>
    </row>
    <row r="252" spans="3:4">
      <c r="C252" t="s">
        <v>490</v>
      </c>
      <c r="D252" t="s">
        <v>491</v>
      </c>
    </row>
    <row r="253" spans="3:4">
      <c r="C253" t="s">
        <v>492</v>
      </c>
      <c r="D253" t="s">
        <v>493</v>
      </c>
    </row>
    <row r="254" spans="3:4">
      <c r="C254" t="s">
        <v>494</v>
      </c>
      <c r="D254" t="s">
        <v>495</v>
      </c>
    </row>
    <row r="255" spans="3:4">
      <c r="C255" t="s">
        <v>496</v>
      </c>
      <c r="D255" t="s">
        <v>497</v>
      </c>
    </row>
    <row r="256" spans="3:4">
      <c r="C256" t="s">
        <v>498</v>
      </c>
      <c r="D256" t="s">
        <v>499</v>
      </c>
    </row>
    <row r="257" spans="3:4">
      <c r="C257" t="s">
        <v>500</v>
      </c>
      <c r="D257" t="s">
        <v>501</v>
      </c>
    </row>
    <row r="258" spans="3:4">
      <c r="C258" t="s">
        <v>648</v>
      </c>
      <c r="D258" t="s">
        <v>649</v>
      </c>
    </row>
    <row r="259" spans="3:4">
      <c r="C259" t="s">
        <v>650</v>
      </c>
      <c r="D259" t="s">
        <v>651</v>
      </c>
    </row>
    <row r="260" spans="3:4">
      <c r="C260" t="s">
        <v>652</v>
      </c>
      <c r="D260" t="s">
        <v>653</v>
      </c>
    </row>
    <row r="261" spans="3:4">
      <c r="C261" t="s">
        <v>654</v>
      </c>
      <c r="D261" t="s">
        <v>655</v>
      </c>
    </row>
    <row r="262" spans="3:4">
      <c r="C262" t="s">
        <v>656</v>
      </c>
      <c r="D262" t="s">
        <v>657</v>
      </c>
    </row>
    <row r="263" spans="3:4">
      <c r="C263" t="s">
        <v>658</v>
      </c>
      <c r="D263" t="s">
        <v>659</v>
      </c>
    </row>
    <row r="264" spans="3:4">
      <c r="C264" t="s">
        <v>660</v>
      </c>
      <c r="D264" t="s">
        <v>661</v>
      </c>
    </row>
    <row r="265" spans="3:4">
      <c r="C265" t="s">
        <v>662</v>
      </c>
      <c r="D265" t="s">
        <v>663</v>
      </c>
    </row>
    <row r="266" spans="3:4">
      <c r="C266" t="s">
        <v>664</v>
      </c>
      <c r="D266" t="s">
        <v>665</v>
      </c>
    </row>
    <row r="267" spans="3:4">
      <c r="C267" t="s">
        <v>666</v>
      </c>
      <c r="D267" t="s">
        <v>667</v>
      </c>
    </row>
    <row r="268" spans="3:4">
      <c r="C268" t="s">
        <v>668</v>
      </c>
      <c r="D268" t="s">
        <v>669</v>
      </c>
    </row>
    <row r="269" spans="3:4">
      <c r="C269" t="s">
        <v>670</v>
      </c>
      <c r="D269" t="s">
        <v>671</v>
      </c>
    </row>
    <row r="270" spans="3:4">
      <c r="C270" t="s">
        <v>672</v>
      </c>
      <c r="D270" t="s">
        <v>673</v>
      </c>
    </row>
    <row r="271" spans="3:4">
      <c r="C271" t="s">
        <v>674</v>
      </c>
      <c r="D271" t="s">
        <v>675</v>
      </c>
    </row>
    <row r="272" spans="3:4">
      <c r="C272" t="s">
        <v>676</v>
      </c>
      <c r="D272" t="s">
        <v>677</v>
      </c>
    </row>
    <row r="273" spans="3:4">
      <c r="C273" t="s">
        <v>1742</v>
      </c>
      <c r="D273" t="s">
        <v>678</v>
      </c>
    </row>
    <row r="274" spans="3:4">
      <c r="C274" t="s">
        <v>679</v>
      </c>
      <c r="D274" t="s">
        <v>680</v>
      </c>
    </row>
    <row r="275" spans="3:4">
      <c r="C275" t="s">
        <v>681</v>
      </c>
      <c r="D275" t="s">
        <v>682</v>
      </c>
    </row>
    <row r="276" spans="3:4">
      <c r="C276" t="s">
        <v>683</v>
      </c>
      <c r="D276" t="s">
        <v>684</v>
      </c>
    </row>
    <row r="277" spans="3:4">
      <c r="C277" t="s">
        <v>1797</v>
      </c>
      <c r="D277" t="s">
        <v>1798</v>
      </c>
    </row>
    <row r="278" spans="3:4">
      <c r="C278" t="s">
        <v>685</v>
      </c>
      <c r="D278" t="s">
        <v>686</v>
      </c>
    </row>
    <row r="279" spans="3:4">
      <c r="C279" t="s">
        <v>687</v>
      </c>
      <c r="D279" t="s">
        <v>688</v>
      </c>
    </row>
    <row r="280" spans="3:4">
      <c r="C280" t="s">
        <v>689</v>
      </c>
      <c r="D280" t="s">
        <v>690</v>
      </c>
    </row>
    <row r="281" spans="3:4">
      <c r="C281" t="s">
        <v>1799</v>
      </c>
      <c r="D281" t="s">
        <v>1800</v>
      </c>
    </row>
    <row r="282" spans="3:4">
      <c r="C282" t="s">
        <v>691</v>
      </c>
      <c r="D282" t="s">
        <v>692</v>
      </c>
    </row>
    <row r="283" spans="3:4">
      <c r="C283" t="s">
        <v>693</v>
      </c>
      <c r="D283" t="s">
        <v>694</v>
      </c>
    </row>
    <row r="284" spans="3:4">
      <c r="C284" t="s">
        <v>695</v>
      </c>
      <c r="D284" t="s">
        <v>696</v>
      </c>
    </row>
    <row r="285" spans="3:4">
      <c r="C285" t="s">
        <v>697</v>
      </c>
      <c r="D285" t="s">
        <v>698</v>
      </c>
    </row>
    <row r="286" spans="3:4">
      <c r="C286" t="s">
        <v>699</v>
      </c>
      <c r="D286" t="s">
        <v>700</v>
      </c>
    </row>
    <row r="287" spans="3:4">
      <c r="C287" t="s">
        <v>701</v>
      </c>
      <c r="D287" t="s">
        <v>702</v>
      </c>
    </row>
    <row r="288" spans="3:4">
      <c r="C288" t="s">
        <v>1801</v>
      </c>
      <c r="D288" t="s">
        <v>1802</v>
      </c>
    </row>
    <row r="289" spans="3:4">
      <c r="C289" t="s">
        <v>703</v>
      </c>
      <c r="D289" t="s">
        <v>704</v>
      </c>
    </row>
    <row r="290" spans="3:4">
      <c r="C290" t="s">
        <v>1803</v>
      </c>
      <c r="D290" t="s">
        <v>1804</v>
      </c>
    </row>
    <row r="291" spans="3:4">
      <c r="C291" t="s">
        <v>707</v>
      </c>
      <c r="D291" t="s">
        <v>708</v>
      </c>
    </row>
    <row r="292" spans="3:4">
      <c r="C292" t="s">
        <v>1805</v>
      </c>
      <c r="D292" t="s">
        <v>1365</v>
      </c>
    </row>
    <row r="293" spans="3:4">
      <c r="C293" t="s">
        <v>1806</v>
      </c>
      <c r="D293" t="s">
        <v>1807</v>
      </c>
    </row>
    <row r="294" spans="3:4">
      <c r="C294" t="s">
        <v>710</v>
      </c>
      <c r="D294" t="s">
        <v>711</v>
      </c>
    </row>
    <row r="295" spans="3:4">
      <c r="C295" t="s">
        <v>712</v>
      </c>
      <c r="D295" t="s">
        <v>713</v>
      </c>
    </row>
    <row r="296" spans="3:4">
      <c r="C296" t="s">
        <v>714</v>
      </c>
      <c r="D296" t="s">
        <v>715</v>
      </c>
    </row>
    <row r="297" spans="3:4">
      <c r="C297" t="s">
        <v>716</v>
      </c>
      <c r="D297" t="s">
        <v>717</v>
      </c>
    </row>
    <row r="298" spans="3:4">
      <c r="C298" t="s">
        <v>718</v>
      </c>
      <c r="D298" t="s">
        <v>719</v>
      </c>
    </row>
    <row r="299" spans="3:4">
      <c r="C299" t="s">
        <v>720</v>
      </c>
      <c r="D299" t="s">
        <v>721</v>
      </c>
    </row>
    <row r="300" spans="3:4">
      <c r="C300" t="s">
        <v>722</v>
      </c>
      <c r="D300" t="s">
        <v>723</v>
      </c>
    </row>
    <row r="301" spans="3:4">
      <c r="C301" t="s">
        <v>724</v>
      </c>
      <c r="D301" t="s">
        <v>725</v>
      </c>
    </row>
    <row r="302" spans="3:4">
      <c r="C302" t="s">
        <v>726</v>
      </c>
      <c r="D302" t="s">
        <v>727</v>
      </c>
    </row>
    <row r="303" spans="3:4">
      <c r="C303" t="s">
        <v>728</v>
      </c>
      <c r="D303" t="s">
        <v>729</v>
      </c>
    </row>
    <row r="304" spans="3:4">
      <c r="C304" t="s">
        <v>730</v>
      </c>
      <c r="D304" t="s">
        <v>731</v>
      </c>
    </row>
    <row r="305" spans="1:4">
      <c r="C305" t="s">
        <v>732</v>
      </c>
      <c r="D305" t="s">
        <v>733</v>
      </c>
    </row>
    <row r="306" spans="1:4">
      <c r="A306" t="s">
        <v>1695</v>
      </c>
      <c r="C306" t="s">
        <v>903</v>
      </c>
      <c r="D306" t="s">
        <v>904</v>
      </c>
    </row>
    <row r="307" spans="1:4">
      <c r="C307" t="s">
        <v>905</v>
      </c>
      <c r="D307" t="s">
        <v>906</v>
      </c>
    </row>
    <row r="308" spans="1:4">
      <c r="C308" t="s">
        <v>907</v>
      </c>
      <c r="D308" t="s">
        <v>908</v>
      </c>
    </row>
    <row r="309" spans="1:4">
      <c r="C309" t="s">
        <v>909</v>
      </c>
      <c r="D309" t="s">
        <v>910</v>
      </c>
    </row>
    <row r="310" spans="1:4">
      <c r="C310" t="s">
        <v>911</v>
      </c>
      <c r="D310" t="s">
        <v>912</v>
      </c>
    </row>
    <row r="311" spans="1:4">
      <c r="C311" t="s">
        <v>913</v>
      </c>
      <c r="D311" t="s">
        <v>914</v>
      </c>
    </row>
    <row r="312" spans="1:4">
      <c r="C312" t="s">
        <v>1808</v>
      </c>
      <c r="D312" t="s">
        <v>1809</v>
      </c>
    </row>
    <row r="313" spans="1:4">
      <c r="C313" t="s">
        <v>915</v>
      </c>
      <c r="D313" t="s">
        <v>916</v>
      </c>
    </row>
    <row r="314" spans="1:4">
      <c r="C314" t="s">
        <v>917</v>
      </c>
      <c r="D314" t="s">
        <v>918</v>
      </c>
    </row>
    <row r="315" spans="1:4">
      <c r="C315" t="s">
        <v>919</v>
      </c>
      <c r="D315" t="s">
        <v>920</v>
      </c>
    </row>
    <row r="316" spans="1:4">
      <c r="C316" t="s">
        <v>921</v>
      </c>
      <c r="D316" t="s">
        <v>922</v>
      </c>
    </row>
    <row r="317" spans="1:4">
      <c r="C317" t="s">
        <v>923</v>
      </c>
      <c r="D317" t="s">
        <v>924</v>
      </c>
    </row>
    <row r="318" spans="1:4">
      <c r="C318" t="s">
        <v>1810</v>
      </c>
      <c r="D318" t="s">
        <v>1811</v>
      </c>
    </row>
    <row r="319" spans="1:4">
      <c r="C319" t="s">
        <v>925</v>
      </c>
      <c r="D319" t="s">
        <v>926</v>
      </c>
    </row>
    <row r="320" spans="1:4">
      <c r="C320" t="s">
        <v>927</v>
      </c>
      <c r="D320" t="s">
        <v>928</v>
      </c>
    </row>
    <row r="321" spans="3:4">
      <c r="C321" t="s">
        <v>929</v>
      </c>
      <c r="D321" t="s">
        <v>930</v>
      </c>
    </row>
    <row r="322" spans="3:4">
      <c r="C322" t="s">
        <v>931</v>
      </c>
      <c r="D322" t="s">
        <v>932</v>
      </c>
    </row>
    <row r="323" spans="3:4">
      <c r="C323" t="s">
        <v>933</v>
      </c>
      <c r="D323" t="s">
        <v>934</v>
      </c>
    </row>
    <row r="324" spans="3:4">
      <c r="C324" t="s">
        <v>935</v>
      </c>
      <c r="D324" t="s">
        <v>936</v>
      </c>
    </row>
    <row r="325" spans="3:4">
      <c r="C325" t="s">
        <v>937</v>
      </c>
      <c r="D325" t="s">
        <v>938</v>
      </c>
    </row>
    <row r="326" spans="3:4">
      <c r="C326" t="s">
        <v>939</v>
      </c>
      <c r="D326" t="s">
        <v>940</v>
      </c>
    </row>
    <row r="327" spans="3:4">
      <c r="C327" t="s">
        <v>941</v>
      </c>
      <c r="D327" t="s">
        <v>942</v>
      </c>
    </row>
    <row r="328" spans="3:4">
      <c r="C328" t="s">
        <v>943</v>
      </c>
      <c r="D328" t="s">
        <v>944</v>
      </c>
    </row>
    <row r="329" spans="3:4">
      <c r="C329" t="s">
        <v>1744</v>
      </c>
      <c r="D329" t="s">
        <v>945</v>
      </c>
    </row>
    <row r="330" spans="3:4">
      <c r="C330" t="s">
        <v>946</v>
      </c>
      <c r="D330" t="s">
        <v>947</v>
      </c>
    </row>
    <row r="331" spans="3:4">
      <c r="C331" t="s">
        <v>948</v>
      </c>
      <c r="D331" t="s">
        <v>949</v>
      </c>
    </row>
    <row r="332" spans="3:4">
      <c r="C332" t="s">
        <v>950</v>
      </c>
      <c r="D332" t="s">
        <v>951</v>
      </c>
    </row>
    <row r="333" spans="3:4">
      <c r="C333" t="s">
        <v>952</v>
      </c>
      <c r="D333" t="s">
        <v>953</v>
      </c>
    </row>
    <row r="334" spans="3:4">
      <c r="C334" t="s">
        <v>954</v>
      </c>
      <c r="D334" t="s">
        <v>955</v>
      </c>
    </row>
    <row r="335" spans="3:4">
      <c r="C335" t="s">
        <v>956</v>
      </c>
      <c r="D335" t="s">
        <v>957</v>
      </c>
    </row>
    <row r="336" spans="3:4">
      <c r="C336" t="s">
        <v>958</v>
      </c>
      <c r="D336" t="s">
        <v>959</v>
      </c>
    </row>
    <row r="337" spans="3:4">
      <c r="C337" t="s">
        <v>960</v>
      </c>
      <c r="D337" t="s">
        <v>961</v>
      </c>
    </row>
    <row r="338" spans="3:4">
      <c r="C338" t="s">
        <v>962</v>
      </c>
      <c r="D338" t="s">
        <v>963</v>
      </c>
    </row>
    <row r="339" spans="3:4">
      <c r="C339" t="s">
        <v>964</v>
      </c>
      <c r="D339" t="s">
        <v>965</v>
      </c>
    </row>
    <row r="340" spans="3:4">
      <c r="C340" t="s">
        <v>966</v>
      </c>
      <c r="D340" t="s">
        <v>967</v>
      </c>
    </row>
    <row r="341" spans="3:4">
      <c r="C341" t="s">
        <v>968</v>
      </c>
      <c r="D341" t="s">
        <v>969</v>
      </c>
    </row>
    <row r="342" spans="3:4">
      <c r="C342" t="s">
        <v>970</v>
      </c>
      <c r="D342" t="s">
        <v>971</v>
      </c>
    </row>
    <row r="343" spans="3:4">
      <c r="C343" t="s">
        <v>972</v>
      </c>
      <c r="D343" t="s">
        <v>973</v>
      </c>
    </row>
    <row r="344" spans="3:4">
      <c r="C344" t="s">
        <v>974</v>
      </c>
      <c r="D344" t="s">
        <v>975</v>
      </c>
    </row>
    <row r="345" spans="3:4">
      <c r="C345" t="s">
        <v>976</v>
      </c>
      <c r="D345" t="s">
        <v>977</v>
      </c>
    </row>
    <row r="346" spans="3:4">
      <c r="C346" t="s">
        <v>978</v>
      </c>
      <c r="D346" t="s">
        <v>979</v>
      </c>
    </row>
    <row r="347" spans="3:4">
      <c r="C347" t="s">
        <v>1812</v>
      </c>
      <c r="D347" t="s">
        <v>1813</v>
      </c>
    </row>
    <row r="348" spans="3:4">
      <c r="C348" t="s">
        <v>980</v>
      </c>
      <c r="D348" t="s">
        <v>981</v>
      </c>
    </row>
    <row r="349" spans="3:4">
      <c r="C349" t="s">
        <v>982</v>
      </c>
      <c r="D349" t="s">
        <v>983</v>
      </c>
    </row>
    <row r="350" spans="3:4">
      <c r="C350" t="s">
        <v>984</v>
      </c>
      <c r="D350" t="s">
        <v>985</v>
      </c>
    </row>
    <row r="351" spans="3:4">
      <c r="C351" t="s">
        <v>986</v>
      </c>
      <c r="D351" t="s">
        <v>987</v>
      </c>
    </row>
    <row r="352" spans="3:4">
      <c r="C352" t="s">
        <v>988</v>
      </c>
      <c r="D352" t="s">
        <v>989</v>
      </c>
    </row>
    <row r="353" spans="3:4">
      <c r="C353" t="s">
        <v>1745</v>
      </c>
      <c r="D353" t="s">
        <v>1746</v>
      </c>
    </row>
    <row r="354" spans="3:4">
      <c r="C354" t="s">
        <v>1747</v>
      </c>
      <c r="D354" t="s">
        <v>1748</v>
      </c>
    </row>
    <row r="355" spans="3:4">
      <c r="C355" t="s">
        <v>991</v>
      </c>
      <c r="D355" t="s">
        <v>992</v>
      </c>
    </row>
    <row r="356" spans="3:4">
      <c r="C356" t="s">
        <v>993</v>
      </c>
      <c r="D356" t="s">
        <v>994</v>
      </c>
    </row>
    <row r="357" spans="3:4">
      <c r="C357" t="s">
        <v>995</v>
      </c>
      <c r="D357" t="s">
        <v>996</v>
      </c>
    </row>
    <row r="358" spans="3:4">
      <c r="C358" t="s">
        <v>1749</v>
      </c>
      <c r="D358" t="s">
        <v>1750</v>
      </c>
    </row>
    <row r="359" spans="3:4">
      <c r="C359" t="s">
        <v>1751</v>
      </c>
      <c r="D359" t="s">
        <v>1752</v>
      </c>
    </row>
    <row r="360" spans="3:4">
      <c r="C360" t="s">
        <v>998</v>
      </c>
      <c r="D360" t="s">
        <v>999</v>
      </c>
    </row>
    <row r="361" spans="3:4">
      <c r="C361" t="s">
        <v>1000</v>
      </c>
      <c r="D361" t="s">
        <v>1001</v>
      </c>
    </row>
    <row r="362" spans="3:4">
      <c r="C362" t="s">
        <v>1002</v>
      </c>
      <c r="D362" t="s">
        <v>1003</v>
      </c>
    </row>
    <row r="363" spans="3:4">
      <c r="C363" t="s">
        <v>1004</v>
      </c>
      <c r="D363" t="s">
        <v>1005</v>
      </c>
    </row>
    <row r="364" spans="3:4">
      <c r="C364" t="s">
        <v>1814</v>
      </c>
      <c r="D364" t="s">
        <v>1815</v>
      </c>
    </row>
    <row r="365" spans="3:4">
      <c r="C365" t="s">
        <v>1008</v>
      </c>
      <c r="D365" t="s">
        <v>1009</v>
      </c>
    </row>
    <row r="366" spans="3:4">
      <c r="C366" t="s">
        <v>1010</v>
      </c>
      <c r="D366" t="s">
        <v>1011</v>
      </c>
    </row>
    <row r="367" spans="3:4">
      <c r="C367" t="s">
        <v>1012</v>
      </c>
      <c r="D367" t="s">
        <v>1013</v>
      </c>
    </row>
    <row r="368" spans="3:4">
      <c r="C368" t="s">
        <v>1816</v>
      </c>
      <c r="D368" t="s">
        <v>1817</v>
      </c>
    </row>
    <row r="369" spans="3:4">
      <c r="C369" t="s">
        <v>1014</v>
      </c>
      <c r="D369" t="s">
        <v>1015</v>
      </c>
    </row>
    <row r="370" spans="3:4">
      <c r="C370" t="s">
        <v>1016</v>
      </c>
      <c r="D370" t="s">
        <v>1017</v>
      </c>
    </row>
    <row r="371" spans="3:4">
      <c r="C371" t="s">
        <v>1018</v>
      </c>
      <c r="D371" t="s">
        <v>1019</v>
      </c>
    </row>
    <row r="372" spans="3:4">
      <c r="C372" t="s">
        <v>1020</v>
      </c>
      <c r="D372" t="s">
        <v>1021</v>
      </c>
    </row>
    <row r="373" spans="3:4">
      <c r="C373" t="s">
        <v>1022</v>
      </c>
      <c r="D373" t="s">
        <v>1023</v>
      </c>
    </row>
    <row r="374" spans="3:4">
      <c r="C374" t="s">
        <v>1024</v>
      </c>
      <c r="D374" t="s">
        <v>1025</v>
      </c>
    </row>
    <row r="375" spans="3:4">
      <c r="C375" t="s">
        <v>1026</v>
      </c>
      <c r="D375" t="s">
        <v>1027</v>
      </c>
    </row>
    <row r="376" spans="3:4">
      <c r="C376" t="s">
        <v>1028</v>
      </c>
      <c r="D376" t="s">
        <v>1029</v>
      </c>
    </row>
    <row r="377" spans="3:4">
      <c r="C377" t="s">
        <v>1030</v>
      </c>
      <c r="D377" t="s">
        <v>1031</v>
      </c>
    </row>
    <row r="378" spans="3:4">
      <c r="C378" t="s">
        <v>1818</v>
      </c>
      <c r="D378" t="s">
        <v>1819</v>
      </c>
    </row>
    <row r="379" spans="3:4">
      <c r="C379" t="s">
        <v>1032</v>
      </c>
      <c r="D379" t="s">
        <v>1033</v>
      </c>
    </row>
    <row r="380" spans="3:4">
      <c r="C380" t="s">
        <v>1034</v>
      </c>
      <c r="D380" t="s">
        <v>1035</v>
      </c>
    </row>
    <row r="381" spans="3:4">
      <c r="C381" t="s">
        <v>1820</v>
      </c>
      <c r="D381" t="s">
        <v>1821</v>
      </c>
    </row>
    <row r="382" spans="3:4">
      <c r="C382" t="s">
        <v>1036</v>
      </c>
      <c r="D382" t="s">
        <v>1037</v>
      </c>
    </row>
    <row r="383" spans="3:4">
      <c r="C383" t="s">
        <v>1038</v>
      </c>
      <c r="D383" t="s">
        <v>1039</v>
      </c>
    </row>
    <row r="384" spans="3:4">
      <c r="C384" t="s">
        <v>1040</v>
      </c>
      <c r="D384" t="s">
        <v>1041</v>
      </c>
    </row>
    <row r="385" spans="1:4">
      <c r="C385" t="s">
        <v>1042</v>
      </c>
      <c r="D385" t="s">
        <v>1043</v>
      </c>
    </row>
    <row r="386" spans="1:4">
      <c r="C386" t="s">
        <v>1044</v>
      </c>
      <c r="D386" t="s">
        <v>1045</v>
      </c>
    </row>
    <row r="387" spans="1:4">
      <c r="C387" t="s">
        <v>1822</v>
      </c>
      <c r="D387" t="s">
        <v>1823</v>
      </c>
    </row>
    <row r="388" spans="1:4">
      <c r="C388" t="s">
        <v>1046</v>
      </c>
      <c r="D388" t="s">
        <v>1047</v>
      </c>
    </row>
    <row r="389" spans="1:4">
      <c r="C389" t="s">
        <v>1824</v>
      </c>
      <c r="D389" t="s">
        <v>1825</v>
      </c>
    </row>
    <row r="390" spans="1:4">
      <c r="A390" t="s">
        <v>1696</v>
      </c>
      <c r="C390" t="s">
        <v>1826</v>
      </c>
      <c r="D390" t="s">
        <v>1827</v>
      </c>
    </row>
    <row r="391" spans="1:4">
      <c r="C391" t="s">
        <v>1828</v>
      </c>
      <c r="D391" t="s">
        <v>840</v>
      </c>
    </row>
    <row r="392" spans="1:4">
      <c r="C392" t="s">
        <v>808</v>
      </c>
      <c r="D392" t="s">
        <v>809</v>
      </c>
    </row>
    <row r="393" spans="1:4">
      <c r="C393" t="s">
        <v>810</v>
      </c>
      <c r="D393" t="s">
        <v>811</v>
      </c>
    </row>
    <row r="394" spans="1:4">
      <c r="C394" t="s">
        <v>812</v>
      </c>
      <c r="D394" t="s">
        <v>813</v>
      </c>
    </row>
    <row r="395" spans="1:4">
      <c r="C395" t="s">
        <v>814</v>
      </c>
      <c r="D395" t="s">
        <v>815</v>
      </c>
    </row>
    <row r="396" spans="1:4">
      <c r="C396" t="s">
        <v>816</v>
      </c>
      <c r="D396" t="s">
        <v>817</v>
      </c>
    </row>
    <row r="397" spans="1:4">
      <c r="C397" t="s">
        <v>818</v>
      </c>
      <c r="D397" t="s">
        <v>819</v>
      </c>
    </row>
    <row r="398" spans="1:4">
      <c r="C398" t="s">
        <v>820</v>
      </c>
      <c r="D398" t="s">
        <v>821</v>
      </c>
    </row>
    <row r="399" spans="1:4">
      <c r="C399" t="s">
        <v>822</v>
      </c>
      <c r="D399" t="s">
        <v>823</v>
      </c>
    </row>
    <row r="400" spans="1:4">
      <c r="C400" t="s">
        <v>824</v>
      </c>
      <c r="D400" t="s">
        <v>825</v>
      </c>
    </row>
    <row r="401" spans="3:4">
      <c r="C401" t="s">
        <v>826</v>
      </c>
      <c r="D401" t="s">
        <v>827</v>
      </c>
    </row>
    <row r="402" spans="3:4">
      <c r="C402" t="s">
        <v>828</v>
      </c>
      <c r="D402" t="s">
        <v>829</v>
      </c>
    </row>
    <row r="403" spans="3:4">
      <c r="C403" t="s">
        <v>830</v>
      </c>
      <c r="D403" t="s">
        <v>831</v>
      </c>
    </row>
    <row r="404" spans="3:4">
      <c r="C404" t="s">
        <v>832</v>
      </c>
      <c r="D404" t="s">
        <v>833</v>
      </c>
    </row>
    <row r="405" spans="3:4">
      <c r="C405" t="s">
        <v>834</v>
      </c>
      <c r="D405" t="s">
        <v>835</v>
      </c>
    </row>
    <row r="406" spans="3:4">
      <c r="C406" t="s">
        <v>836</v>
      </c>
      <c r="D406" t="s">
        <v>837</v>
      </c>
    </row>
    <row r="407" spans="3:4">
      <c r="C407" t="s">
        <v>838</v>
      </c>
      <c r="D407" t="s">
        <v>839</v>
      </c>
    </row>
    <row r="408" spans="3:4">
      <c r="C408" t="s">
        <v>1714</v>
      </c>
      <c r="D408" t="s">
        <v>1572</v>
      </c>
    </row>
    <row r="409" spans="3:4">
      <c r="C409" t="s">
        <v>841</v>
      </c>
      <c r="D409" t="s">
        <v>842</v>
      </c>
    </row>
    <row r="410" spans="3:4">
      <c r="C410" t="s">
        <v>843</v>
      </c>
      <c r="D410" t="s">
        <v>844</v>
      </c>
    </row>
    <row r="411" spans="3:4">
      <c r="C411" t="s">
        <v>845</v>
      </c>
      <c r="D411" t="s">
        <v>846</v>
      </c>
    </row>
    <row r="412" spans="3:4">
      <c r="C412" t="s">
        <v>847</v>
      </c>
      <c r="D412" t="s">
        <v>848</v>
      </c>
    </row>
    <row r="413" spans="3:4">
      <c r="C413" t="s">
        <v>849</v>
      </c>
      <c r="D413" t="s">
        <v>850</v>
      </c>
    </row>
    <row r="414" spans="3:4">
      <c r="C414" t="s">
        <v>851</v>
      </c>
      <c r="D414" t="s">
        <v>852</v>
      </c>
    </row>
    <row r="415" spans="3:4">
      <c r="C415" t="s">
        <v>853</v>
      </c>
      <c r="D415" t="s">
        <v>854</v>
      </c>
    </row>
    <row r="416" spans="3:4">
      <c r="C416" t="s">
        <v>855</v>
      </c>
      <c r="D416" t="s">
        <v>856</v>
      </c>
    </row>
    <row r="417" spans="3:4">
      <c r="C417" t="s">
        <v>857</v>
      </c>
      <c r="D417" t="s">
        <v>858</v>
      </c>
    </row>
    <row r="418" spans="3:4">
      <c r="C418" t="s">
        <v>859</v>
      </c>
      <c r="D418" t="s">
        <v>860</v>
      </c>
    </row>
    <row r="419" spans="3:4">
      <c r="C419" t="s">
        <v>861</v>
      </c>
      <c r="D419" t="s">
        <v>862</v>
      </c>
    </row>
    <row r="420" spans="3:4">
      <c r="C420" t="s">
        <v>863</v>
      </c>
      <c r="D420" t="s">
        <v>864</v>
      </c>
    </row>
    <row r="421" spans="3:4">
      <c r="C421" t="s">
        <v>865</v>
      </c>
      <c r="D421" t="s">
        <v>866</v>
      </c>
    </row>
    <row r="422" spans="3:4">
      <c r="C422" t="s">
        <v>867</v>
      </c>
      <c r="D422" t="s">
        <v>868</v>
      </c>
    </row>
    <row r="423" spans="3:4">
      <c r="C423" t="s">
        <v>869</v>
      </c>
      <c r="D423" t="s">
        <v>870</v>
      </c>
    </row>
    <row r="424" spans="3:4">
      <c r="C424" t="s">
        <v>871</v>
      </c>
      <c r="D424" t="s">
        <v>872</v>
      </c>
    </row>
    <row r="425" spans="3:4">
      <c r="C425" t="s">
        <v>873</v>
      </c>
      <c r="D425" t="s">
        <v>874</v>
      </c>
    </row>
    <row r="426" spans="3:4">
      <c r="C426" t="s">
        <v>875</v>
      </c>
      <c r="D426" t="s">
        <v>876</v>
      </c>
    </row>
    <row r="427" spans="3:4">
      <c r="C427" t="s">
        <v>877</v>
      </c>
      <c r="D427" t="s">
        <v>878</v>
      </c>
    </row>
    <row r="428" spans="3:4">
      <c r="C428" t="s">
        <v>879</v>
      </c>
      <c r="D428" t="s">
        <v>880</v>
      </c>
    </row>
    <row r="429" spans="3:4">
      <c r="C429" t="s">
        <v>1754</v>
      </c>
      <c r="D429" t="s">
        <v>1715</v>
      </c>
    </row>
    <row r="430" spans="3:4">
      <c r="C430" t="s">
        <v>882</v>
      </c>
      <c r="D430" t="s">
        <v>883</v>
      </c>
    </row>
    <row r="431" spans="3:4">
      <c r="C431" t="s">
        <v>884</v>
      </c>
      <c r="D431" t="s">
        <v>885</v>
      </c>
    </row>
    <row r="432" spans="3:4">
      <c r="C432" t="s">
        <v>1755</v>
      </c>
      <c r="D432" t="s">
        <v>886</v>
      </c>
    </row>
    <row r="433" spans="3:4">
      <c r="C433" t="s">
        <v>887</v>
      </c>
      <c r="D433" t="s">
        <v>888</v>
      </c>
    </row>
    <row r="434" spans="3:4">
      <c r="C434" t="s">
        <v>889</v>
      </c>
      <c r="D434" t="s">
        <v>890</v>
      </c>
    </row>
    <row r="435" spans="3:4">
      <c r="C435" t="s">
        <v>891</v>
      </c>
      <c r="D435" t="s">
        <v>892</v>
      </c>
    </row>
    <row r="436" spans="3:4">
      <c r="C436" t="s">
        <v>893</v>
      </c>
      <c r="D436" t="s">
        <v>894</v>
      </c>
    </row>
    <row r="437" spans="3:4">
      <c r="C437" t="s">
        <v>895</v>
      </c>
      <c r="D437" t="s">
        <v>896</v>
      </c>
    </row>
    <row r="438" spans="3:4">
      <c r="C438" t="s">
        <v>897</v>
      </c>
      <c r="D438" t="s">
        <v>898</v>
      </c>
    </row>
    <row r="439" spans="3:4">
      <c r="C439" t="s">
        <v>899</v>
      </c>
      <c r="D439" t="s">
        <v>900</v>
      </c>
    </row>
    <row r="440" spans="3:4">
      <c r="C440" t="s">
        <v>901</v>
      </c>
      <c r="D440" t="s">
        <v>902</v>
      </c>
    </row>
    <row r="441" spans="3:4">
      <c r="C441" t="s">
        <v>1006</v>
      </c>
      <c r="D441" t="s">
        <v>1007</v>
      </c>
    </row>
    <row r="442" spans="3:4">
      <c r="C442" t="s">
        <v>1048</v>
      </c>
      <c r="D442" t="s">
        <v>1049</v>
      </c>
    </row>
    <row r="443" spans="3:4">
      <c r="C443" t="s">
        <v>1050</v>
      </c>
      <c r="D443" t="s">
        <v>1051</v>
      </c>
    </row>
    <row r="444" spans="3:4">
      <c r="C444" t="s">
        <v>1052</v>
      </c>
      <c r="D444" t="s">
        <v>1053</v>
      </c>
    </row>
    <row r="445" spans="3:4">
      <c r="C445" t="s">
        <v>1054</v>
      </c>
      <c r="D445" t="s">
        <v>1055</v>
      </c>
    </row>
    <row r="446" spans="3:4">
      <c r="C446" t="s">
        <v>1056</v>
      </c>
      <c r="D446" t="s">
        <v>1057</v>
      </c>
    </row>
    <row r="447" spans="3:4">
      <c r="C447" t="s">
        <v>1058</v>
      </c>
      <c r="D447" t="s">
        <v>1059</v>
      </c>
    </row>
    <row r="448" spans="3:4">
      <c r="C448" t="s">
        <v>1060</v>
      </c>
      <c r="D448" t="s">
        <v>1061</v>
      </c>
    </row>
    <row r="449" spans="3:4">
      <c r="C449" t="s">
        <v>1062</v>
      </c>
      <c r="D449" t="s">
        <v>1063</v>
      </c>
    </row>
    <row r="450" spans="3:4">
      <c r="C450" t="s">
        <v>1064</v>
      </c>
      <c r="D450" t="s">
        <v>1065</v>
      </c>
    </row>
    <row r="451" spans="3:4">
      <c r="C451" t="s">
        <v>1066</v>
      </c>
      <c r="D451" t="s">
        <v>1067</v>
      </c>
    </row>
    <row r="452" spans="3:4">
      <c r="C452" t="s">
        <v>1523</v>
      </c>
      <c r="D452" t="s">
        <v>1524</v>
      </c>
    </row>
    <row r="453" spans="3:4">
      <c r="C453" t="s">
        <v>1756</v>
      </c>
      <c r="D453" t="s">
        <v>1716</v>
      </c>
    </row>
    <row r="454" spans="3:4">
      <c r="C454" t="s">
        <v>1068</v>
      </c>
      <c r="D454" t="s">
        <v>1069</v>
      </c>
    </row>
    <row r="455" spans="3:4">
      <c r="C455" t="s">
        <v>1070</v>
      </c>
      <c r="D455" t="s">
        <v>1071</v>
      </c>
    </row>
    <row r="456" spans="3:4">
      <c r="C456" t="s">
        <v>1072</v>
      </c>
      <c r="D456" t="s">
        <v>1073</v>
      </c>
    </row>
    <row r="457" spans="3:4">
      <c r="C457" t="s">
        <v>1074</v>
      </c>
      <c r="D457" t="s">
        <v>1075</v>
      </c>
    </row>
    <row r="458" spans="3:4">
      <c r="C458" t="s">
        <v>1076</v>
      </c>
      <c r="D458" t="s">
        <v>1077</v>
      </c>
    </row>
    <row r="459" spans="3:4">
      <c r="C459" t="s">
        <v>1757</v>
      </c>
      <c r="D459" t="s">
        <v>1717</v>
      </c>
    </row>
    <row r="460" spans="3:4">
      <c r="C460" t="s">
        <v>1758</v>
      </c>
      <c r="D460" t="s">
        <v>1759</v>
      </c>
    </row>
    <row r="461" spans="3:4">
      <c r="C461" t="s">
        <v>1080</v>
      </c>
      <c r="D461" t="s">
        <v>1081</v>
      </c>
    </row>
    <row r="462" spans="3:4">
      <c r="C462" t="s">
        <v>1082</v>
      </c>
      <c r="D462" t="s">
        <v>1083</v>
      </c>
    </row>
    <row r="463" spans="3:4">
      <c r="C463" t="s">
        <v>1084</v>
      </c>
      <c r="D463" t="s">
        <v>1085</v>
      </c>
    </row>
    <row r="464" spans="3:4">
      <c r="C464" t="s">
        <v>1760</v>
      </c>
      <c r="D464" t="s">
        <v>1718</v>
      </c>
    </row>
    <row r="465" spans="3:4">
      <c r="C465" t="s">
        <v>1086</v>
      </c>
      <c r="D465" t="s">
        <v>1087</v>
      </c>
    </row>
    <row r="466" spans="3:4">
      <c r="C466" t="s">
        <v>1088</v>
      </c>
      <c r="D466" t="s">
        <v>1089</v>
      </c>
    </row>
    <row r="467" spans="3:4">
      <c r="C467" t="s">
        <v>1719</v>
      </c>
      <c r="D467" t="s">
        <v>1720</v>
      </c>
    </row>
    <row r="468" spans="3:4">
      <c r="C468" t="s">
        <v>1091</v>
      </c>
      <c r="D468" t="s">
        <v>1092</v>
      </c>
    </row>
    <row r="469" spans="3:4">
      <c r="C469" t="s">
        <v>1093</v>
      </c>
      <c r="D469" t="s">
        <v>1094</v>
      </c>
    </row>
    <row r="470" spans="3:4">
      <c r="C470" t="s">
        <v>1095</v>
      </c>
      <c r="D470" t="s">
        <v>1096</v>
      </c>
    </row>
    <row r="471" spans="3:4">
      <c r="C471" t="s">
        <v>1097</v>
      </c>
      <c r="D471" t="s">
        <v>1098</v>
      </c>
    </row>
    <row r="472" spans="3:4">
      <c r="C472" t="s">
        <v>1099</v>
      </c>
      <c r="D472" t="s">
        <v>1100</v>
      </c>
    </row>
    <row r="473" spans="3:4">
      <c r="C473" t="s">
        <v>1101</v>
      </c>
      <c r="D473" t="s">
        <v>1102</v>
      </c>
    </row>
    <row r="474" spans="3:4">
      <c r="C474" t="s">
        <v>1103</v>
      </c>
      <c r="D474" t="s">
        <v>1104</v>
      </c>
    </row>
    <row r="475" spans="3:4">
      <c r="C475" t="s">
        <v>1761</v>
      </c>
      <c r="D475" t="s">
        <v>1105</v>
      </c>
    </row>
    <row r="476" spans="3:4">
      <c r="C476" t="s">
        <v>1106</v>
      </c>
      <c r="D476" t="s">
        <v>1107</v>
      </c>
    </row>
    <row r="477" spans="3:4">
      <c r="C477" t="s">
        <v>1108</v>
      </c>
      <c r="D477" t="s">
        <v>1109</v>
      </c>
    </row>
    <row r="478" spans="3:4">
      <c r="C478" t="s">
        <v>1110</v>
      </c>
      <c r="D478" t="s">
        <v>1111</v>
      </c>
    </row>
    <row r="479" spans="3:4">
      <c r="C479" t="s">
        <v>1112</v>
      </c>
      <c r="D479" t="s">
        <v>1113</v>
      </c>
    </row>
    <row r="480" spans="3:4">
      <c r="C480" t="s">
        <v>1114</v>
      </c>
      <c r="D480" t="s">
        <v>1115</v>
      </c>
    </row>
    <row r="481" spans="1:4">
      <c r="C481" t="s">
        <v>1116</v>
      </c>
      <c r="D481" t="s">
        <v>1117</v>
      </c>
    </row>
    <row r="482" spans="1:4">
      <c r="C482" t="s">
        <v>1722</v>
      </c>
      <c r="D482" t="s">
        <v>1723</v>
      </c>
    </row>
    <row r="483" spans="1:4">
      <c r="C483" t="s">
        <v>1119</v>
      </c>
      <c r="D483" t="s">
        <v>1120</v>
      </c>
    </row>
    <row r="484" spans="1:4">
      <c r="C484" t="s">
        <v>1121</v>
      </c>
      <c r="D484" t="s">
        <v>1122</v>
      </c>
    </row>
    <row r="485" spans="1:4">
      <c r="C485" t="s">
        <v>1123</v>
      </c>
      <c r="D485" t="s">
        <v>1124</v>
      </c>
    </row>
    <row r="486" spans="1:4">
      <c r="A486" t="s">
        <v>1770</v>
      </c>
      <c r="C486" t="s">
        <v>1125</v>
      </c>
      <c r="D486" t="s">
        <v>1126</v>
      </c>
    </row>
    <row r="487" spans="1:4">
      <c r="C487" t="s">
        <v>1127</v>
      </c>
      <c r="D487" t="s">
        <v>1128</v>
      </c>
    </row>
    <row r="488" spans="1:4">
      <c r="C488" t="s">
        <v>1129</v>
      </c>
      <c r="D488" t="s">
        <v>1130</v>
      </c>
    </row>
    <row r="489" spans="1:4">
      <c r="C489" t="s">
        <v>1131</v>
      </c>
      <c r="D489" t="s">
        <v>1132</v>
      </c>
    </row>
    <row r="490" spans="1:4">
      <c r="C490" t="s">
        <v>796</v>
      </c>
      <c r="D490" t="s">
        <v>797</v>
      </c>
    </row>
    <row r="491" spans="1:4">
      <c r="C491" t="s">
        <v>705</v>
      </c>
      <c r="D491" t="s">
        <v>706</v>
      </c>
    </row>
    <row r="492" spans="1:4">
      <c r="C492" t="s">
        <v>1134</v>
      </c>
      <c r="D492" t="s">
        <v>1135</v>
      </c>
    </row>
    <row r="493" spans="1:4">
      <c r="C493" t="s">
        <v>1136</v>
      </c>
      <c r="D493" t="s">
        <v>1137</v>
      </c>
    </row>
    <row r="494" spans="1:4">
      <c r="C494" t="s">
        <v>1138</v>
      </c>
      <c r="D494" t="s">
        <v>1139</v>
      </c>
    </row>
    <row r="495" spans="1:4">
      <c r="C495" t="s">
        <v>1140</v>
      </c>
      <c r="D495" t="s">
        <v>252</v>
      </c>
    </row>
    <row r="496" spans="1:4">
      <c r="C496" t="s">
        <v>1141</v>
      </c>
      <c r="D496" t="s">
        <v>1142</v>
      </c>
    </row>
    <row r="497" spans="3:4">
      <c r="C497" t="s">
        <v>1143</v>
      </c>
      <c r="D497" t="s">
        <v>1144</v>
      </c>
    </row>
    <row r="498" spans="3:4">
      <c r="C498" t="s">
        <v>1145</v>
      </c>
      <c r="D498" t="s">
        <v>1146</v>
      </c>
    </row>
    <row r="499" spans="3:4">
      <c r="C499" t="s">
        <v>1147</v>
      </c>
      <c r="D499" t="s">
        <v>1148</v>
      </c>
    </row>
    <row r="500" spans="3:4">
      <c r="C500" t="s">
        <v>1149</v>
      </c>
      <c r="D500" t="s">
        <v>1150</v>
      </c>
    </row>
    <row r="501" spans="3:4">
      <c r="C501" t="s">
        <v>1151</v>
      </c>
      <c r="D501" t="s">
        <v>1152</v>
      </c>
    </row>
    <row r="502" spans="3:4">
      <c r="C502" t="s">
        <v>1153</v>
      </c>
      <c r="D502" t="s">
        <v>1154</v>
      </c>
    </row>
    <row r="503" spans="3:4">
      <c r="C503" t="s">
        <v>1155</v>
      </c>
      <c r="D503" t="s">
        <v>1156</v>
      </c>
    </row>
    <row r="504" spans="3:4">
      <c r="C504" t="s">
        <v>1157</v>
      </c>
      <c r="D504" t="s">
        <v>1158</v>
      </c>
    </row>
    <row r="505" spans="3:4">
      <c r="C505" t="s">
        <v>1159</v>
      </c>
      <c r="D505" t="s">
        <v>1160</v>
      </c>
    </row>
    <row r="506" spans="3:4">
      <c r="C506" t="s">
        <v>1161</v>
      </c>
      <c r="D506" t="s">
        <v>1162</v>
      </c>
    </row>
    <row r="507" spans="3:4">
      <c r="C507" t="s">
        <v>1163</v>
      </c>
      <c r="D507" t="s">
        <v>1164</v>
      </c>
    </row>
    <row r="508" spans="3:4">
      <c r="C508" t="s">
        <v>1165</v>
      </c>
      <c r="D508" t="s">
        <v>1166</v>
      </c>
    </row>
    <row r="509" spans="3:4">
      <c r="C509" t="s">
        <v>1167</v>
      </c>
      <c r="D509" t="s">
        <v>1168</v>
      </c>
    </row>
    <row r="510" spans="3:4">
      <c r="C510" t="s">
        <v>1169</v>
      </c>
      <c r="D510" t="s">
        <v>1170</v>
      </c>
    </row>
    <row r="511" spans="3:4">
      <c r="C511" t="s">
        <v>1171</v>
      </c>
      <c r="D511" t="s">
        <v>1172</v>
      </c>
    </row>
    <row r="512" spans="3:4">
      <c r="C512" t="s">
        <v>1762</v>
      </c>
      <c r="D512" t="s">
        <v>1763</v>
      </c>
    </row>
    <row r="513" spans="3:4">
      <c r="C513" t="s">
        <v>1764</v>
      </c>
      <c r="D513" t="s">
        <v>1765</v>
      </c>
    </row>
    <row r="514" spans="3:4">
      <c r="C514" t="s">
        <v>1767</v>
      </c>
      <c r="D514" t="s">
        <v>1766</v>
      </c>
    </row>
    <row r="515" spans="3:4">
      <c r="C515" t="s">
        <v>1769</v>
      </c>
      <c r="D515" t="s">
        <v>1768</v>
      </c>
    </row>
    <row r="520" spans="3:4" s="90" customFormat="1"/>
  </sheetData>
  <conditionalFormatting sqref="C1:C1048576">
    <cfRule type="duplicateValues" dxfId="4006" priority="2" stopIfTrue="1"/>
  </conditionalFormatting>
  <conditionalFormatting sqref="D1:D1048576">
    <cfRule type="duplicateValues" dxfId="4005" priority="1" stopIfTrue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6EFFE-BE1D-4B4E-AFD7-CFED1DFFE167}">
  <sheetPr>
    <tabColor rgb="FF00B050"/>
  </sheetPr>
  <dimension ref="A1:W510"/>
  <sheetViews>
    <sheetView view="pageBreakPreview" topLeftCell="A434" zoomScale="70" zoomScaleNormal="60" workbookViewId="0">
      <selection activeCell="F500" sqref="F500"/>
    </sheetView>
  </sheetViews>
  <sheetFormatPr defaultColWidth="8.69921875" defaultRowHeight="17.399999999999999"/>
  <cols>
    <col min="1" max="1" width="7.69921875" customWidth="1"/>
    <col min="2" max="2" width="17.69921875" style="662" customWidth="1"/>
    <col min="3" max="3" width="24.59765625" style="662" customWidth="1"/>
    <col min="4" max="4" width="9.59765625" style="662" customWidth="1"/>
    <col min="5" max="5" width="11.69921875" customWidth="1"/>
    <col min="6" max="6" width="13.5" customWidth="1"/>
    <col min="7" max="7" width="18.19921875" style="665" customWidth="1"/>
    <col min="8" max="8" width="13.19921875" style="629" customWidth="1"/>
    <col min="9" max="9" width="19.19921875" style="665" customWidth="1"/>
    <col min="10" max="10" width="17.3984375" style="665" hidden="1" customWidth="1"/>
    <col min="11" max="11" width="16.3984375" style="665" hidden="1" customWidth="1"/>
    <col min="12" max="12" width="18.5" style="665" customWidth="1"/>
    <col min="13" max="13" width="18" style="665" customWidth="1"/>
    <col min="14" max="14" width="16.69921875" style="665" customWidth="1"/>
    <col min="15" max="15" width="16.19921875" customWidth="1"/>
    <col min="16" max="16" width="18.69921875" style="665" customWidth="1"/>
    <col min="17" max="17" width="18" hidden="1" customWidth="1"/>
    <col min="18" max="18" width="19" style="19" customWidth="1"/>
    <col min="19" max="19" width="21.69921875" customWidth="1"/>
    <col min="20" max="20" width="20.59765625" customWidth="1"/>
    <col min="21" max="21" width="20.09765625" customWidth="1"/>
    <col min="22" max="22" width="13.59765625" bestFit="1" customWidth="1"/>
    <col min="23" max="23" width="15.5" customWidth="1"/>
    <col min="24" max="24" width="12.19921875" bestFit="1" customWidth="1"/>
  </cols>
  <sheetData>
    <row r="1" spans="1:20" s="98" customFormat="1" ht="22.8">
      <c r="A1" s="1151" t="s">
        <v>1679</v>
      </c>
      <c r="B1" s="1151"/>
      <c r="C1" s="1151"/>
      <c r="D1" s="1151"/>
      <c r="E1" s="1151"/>
      <c r="F1" s="1151"/>
      <c r="G1"/>
      <c r="H1" s="629"/>
      <c r="I1"/>
      <c r="J1"/>
      <c r="K1"/>
      <c r="L1"/>
      <c r="M1"/>
      <c r="N1"/>
      <c r="O1" s="630"/>
      <c r="P1" s="1152" t="s">
        <v>237</v>
      </c>
      <c r="Q1" s="1152"/>
      <c r="R1" s="1152"/>
      <c r="S1" s="1152"/>
    </row>
    <row r="2" spans="1:20" s="98" customFormat="1" ht="22.8">
      <c r="A2" s="1153" t="s">
        <v>177</v>
      </c>
      <c r="B2" s="1153"/>
      <c r="C2" s="1153"/>
      <c r="D2" s="1153"/>
      <c r="E2" s="1153"/>
      <c r="F2" s="1153"/>
      <c r="G2"/>
      <c r="H2" s="629"/>
      <c r="I2"/>
      <c r="J2"/>
      <c r="K2"/>
      <c r="L2"/>
      <c r="M2"/>
      <c r="N2"/>
      <c r="O2" s="630"/>
      <c r="P2" s="1152" t="s">
        <v>209</v>
      </c>
      <c r="Q2" s="1152"/>
      <c r="R2" s="1152"/>
      <c r="S2" s="1152"/>
    </row>
    <row r="3" spans="1:20" s="98" customFormat="1" ht="32.25" customHeight="1">
      <c r="A3" s="1154" t="s">
        <v>1838</v>
      </c>
      <c r="B3" s="1154"/>
      <c r="C3" s="1154"/>
      <c r="D3" s="1154"/>
      <c r="E3" s="1154"/>
      <c r="F3" s="1154"/>
      <c r="G3"/>
      <c r="H3" s="629"/>
      <c r="I3"/>
      <c r="J3"/>
      <c r="K3"/>
      <c r="L3"/>
      <c r="M3"/>
      <c r="N3"/>
      <c r="O3" s="631"/>
      <c r="P3" s="1155"/>
      <c r="Q3" s="1155"/>
      <c r="R3" s="1155"/>
      <c r="S3" s="1155"/>
    </row>
    <row r="4" spans="1:20" s="98" customFormat="1" ht="11.25" customHeight="1">
      <c r="A4" s="1155"/>
      <c r="B4" s="1155"/>
      <c r="C4" s="1155"/>
      <c r="D4" s="1155"/>
      <c r="E4" s="1155"/>
      <c r="F4" s="1155"/>
      <c r="G4"/>
      <c r="H4" s="629"/>
      <c r="I4"/>
      <c r="J4"/>
      <c r="K4"/>
      <c r="L4"/>
      <c r="M4"/>
      <c r="N4"/>
      <c r="O4" s="631"/>
      <c r="P4"/>
      <c r="Q4" s="673"/>
      <c r="R4"/>
      <c r="S4"/>
    </row>
    <row r="5" spans="1:20" s="98" customFormat="1" ht="39.6" customHeight="1">
      <c r="A5" s="1152" t="s">
        <v>1930</v>
      </c>
      <c r="B5" s="1152"/>
      <c r="C5" s="1152"/>
      <c r="D5" s="1152"/>
      <c r="E5" s="1152"/>
      <c r="F5" s="1152"/>
      <c r="G5" s="1152"/>
      <c r="H5" s="1152"/>
      <c r="I5" s="1152"/>
      <c r="J5" s="1152"/>
      <c r="K5" s="1152"/>
      <c r="L5" s="1152"/>
      <c r="M5" s="1152"/>
      <c r="N5" s="1152"/>
      <c r="O5" s="1152"/>
      <c r="P5" s="1152"/>
      <c r="Q5" s="1152"/>
      <c r="R5" s="1152"/>
      <c r="S5" s="1152"/>
    </row>
    <row r="6" spans="1:20" s="98" customFormat="1" ht="37.950000000000003" customHeight="1">
      <c r="A6" s="1152" t="s">
        <v>2068</v>
      </c>
      <c r="B6" s="1152"/>
      <c r="C6" s="1152"/>
      <c r="D6" s="1152"/>
      <c r="E6" s="1152"/>
      <c r="F6" s="1152"/>
      <c r="G6" s="1152"/>
      <c r="H6" s="1152"/>
      <c r="I6" s="1152"/>
      <c r="J6" s="1152"/>
      <c r="K6" s="1152"/>
      <c r="L6" s="1152"/>
      <c r="M6" s="1152"/>
      <c r="N6" s="1152"/>
      <c r="O6" s="1152"/>
      <c r="P6" s="1152"/>
      <c r="Q6" s="1152"/>
      <c r="R6" s="1152"/>
      <c r="S6" s="1152"/>
    </row>
    <row r="7" spans="1:20" s="97" customFormat="1" ht="26.25" customHeight="1">
      <c r="A7" s="1153" t="s">
        <v>1680</v>
      </c>
      <c r="B7" s="1153"/>
      <c r="C7" s="1153"/>
      <c r="D7" s="1153"/>
      <c r="E7" s="1153"/>
      <c r="F7" s="1153"/>
      <c r="G7" s="1153"/>
      <c r="H7" s="1153"/>
      <c r="I7" s="1153"/>
      <c r="J7" s="1153"/>
      <c r="K7" s="1153"/>
      <c r="L7" s="1153"/>
      <c r="M7" s="1153"/>
      <c r="N7" s="1153"/>
      <c r="O7" s="1153"/>
      <c r="P7" s="1153"/>
      <c r="Q7" s="1153"/>
      <c r="R7" s="1153"/>
      <c r="S7" s="1153"/>
    </row>
    <row r="8" spans="1:20" s="97" customFormat="1" ht="31.95" customHeight="1">
      <c r="A8" s="1153" t="s">
        <v>2059</v>
      </c>
      <c r="B8" s="1153"/>
      <c r="C8" s="1153"/>
      <c r="D8" s="1153"/>
      <c r="E8" s="1153"/>
      <c r="F8" s="1153"/>
      <c r="G8" s="1153"/>
      <c r="H8" s="1153"/>
      <c r="I8" s="1153"/>
      <c r="J8" s="1153"/>
      <c r="K8" s="1153"/>
      <c r="L8" s="1153"/>
      <c r="M8" s="1153"/>
      <c r="N8" s="1153"/>
      <c r="O8" s="1153"/>
      <c r="P8" s="1153"/>
      <c r="Q8" s="1153"/>
      <c r="R8" s="1153"/>
      <c r="S8" s="1153"/>
    </row>
    <row r="9" spans="1:20" s="99" customFormat="1" ht="12.75" customHeight="1">
      <c r="A9" s="526"/>
      <c r="B9" s="507"/>
      <c r="C9" s="507"/>
      <c r="D9" s="507"/>
      <c r="E9" s="632"/>
      <c r="F9" s="526"/>
      <c r="G9" s="530"/>
      <c r="H9" s="528"/>
      <c r="I9" s="530"/>
      <c r="J9" s="530"/>
      <c r="K9" s="530"/>
      <c r="L9" s="530"/>
      <c r="M9" s="530"/>
      <c r="N9" s="530"/>
      <c r="O9" s="526"/>
      <c r="P9" s="530"/>
      <c r="Q9" s="526"/>
      <c r="R9" s="530"/>
      <c r="S9" s="528"/>
    </row>
    <row r="10" spans="1:20" s="99" customFormat="1" ht="18">
      <c r="B10" s="98"/>
      <c r="C10" s="98"/>
      <c r="D10" s="98"/>
      <c r="E10" s="633"/>
      <c r="G10" s="534"/>
      <c r="H10" s="532"/>
      <c r="I10" s="534"/>
      <c r="J10" s="534"/>
      <c r="K10" s="534"/>
      <c r="L10" s="534"/>
      <c r="M10" s="534"/>
      <c r="N10" s="534"/>
      <c r="P10" s="534"/>
      <c r="R10" s="535"/>
      <c r="S10" s="536" t="s">
        <v>1681</v>
      </c>
    </row>
    <row r="11" spans="1:20" s="98" customFormat="1" ht="53.4" customHeight="1">
      <c r="A11" s="1173" t="s">
        <v>1915</v>
      </c>
      <c r="B11" s="1162" t="s">
        <v>1918</v>
      </c>
      <c r="C11" s="1163"/>
      <c r="D11" s="671"/>
      <c r="E11" s="1175" t="s">
        <v>1682</v>
      </c>
      <c r="F11" s="1156" t="s">
        <v>1931</v>
      </c>
      <c r="G11" s="1157"/>
      <c r="H11" s="1156" t="s">
        <v>1932</v>
      </c>
      <c r="I11" s="1157"/>
      <c r="J11" s="1169" t="s">
        <v>196</v>
      </c>
      <c r="K11" s="1158"/>
      <c r="L11" s="1169" t="s">
        <v>1683</v>
      </c>
      <c r="M11" s="1156" t="s">
        <v>1933</v>
      </c>
      <c r="N11" s="1160"/>
      <c r="O11" s="1157"/>
      <c r="P11" s="1169" t="s">
        <v>1684</v>
      </c>
      <c r="Q11" s="1169" t="s">
        <v>1934</v>
      </c>
      <c r="R11" s="1158" t="s">
        <v>1923</v>
      </c>
      <c r="S11" s="1167" t="s">
        <v>1924</v>
      </c>
      <c r="T11" s="634"/>
    </row>
    <row r="12" spans="1:20" s="98" customFormat="1" ht="108" customHeight="1">
      <c r="A12" s="1174"/>
      <c r="B12" s="1164"/>
      <c r="C12" s="1165"/>
      <c r="D12" s="672" t="s">
        <v>240</v>
      </c>
      <c r="E12" s="1176"/>
      <c r="F12" s="669" t="s">
        <v>1935</v>
      </c>
      <c r="G12" s="537" t="s">
        <v>1926</v>
      </c>
      <c r="H12" s="635" t="s">
        <v>1936</v>
      </c>
      <c r="I12" s="537" t="s">
        <v>1926</v>
      </c>
      <c r="J12" s="1171"/>
      <c r="K12" s="1177"/>
      <c r="L12" s="1171"/>
      <c r="M12" s="542" t="s">
        <v>1937</v>
      </c>
      <c r="N12" s="541" t="s">
        <v>1928</v>
      </c>
      <c r="O12" s="541" t="s">
        <v>1938</v>
      </c>
      <c r="P12" s="1170"/>
      <c r="Q12" s="1171"/>
      <c r="R12" s="1159"/>
      <c r="S12" s="1168"/>
      <c r="T12" s="1161"/>
    </row>
    <row r="13" spans="1:20" s="99" customFormat="1" ht="27.75" customHeight="1">
      <c r="A13" s="543" t="s">
        <v>70</v>
      </c>
      <c r="B13" s="545"/>
      <c r="C13" s="545" t="s">
        <v>72</v>
      </c>
      <c r="D13" s="545"/>
      <c r="E13" s="636">
        <v>1</v>
      </c>
      <c r="F13" s="546">
        <v>2</v>
      </c>
      <c r="G13" s="549" t="s">
        <v>188</v>
      </c>
      <c r="H13" s="547">
        <v>4</v>
      </c>
      <c r="I13" s="549" t="s">
        <v>1685</v>
      </c>
      <c r="J13" s="549"/>
      <c r="K13" s="549"/>
      <c r="L13" s="549">
        <v>4</v>
      </c>
      <c r="M13" s="551">
        <v>7</v>
      </c>
      <c r="N13" s="551"/>
      <c r="O13" s="550">
        <v>8</v>
      </c>
      <c r="P13" s="551" t="s">
        <v>1686</v>
      </c>
      <c r="Q13" s="550"/>
      <c r="R13" s="637">
        <v>5</v>
      </c>
      <c r="S13" s="552"/>
      <c r="T13" s="1161"/>
    </row>
    <row r="14" spans="1:20" s="99" customFormat="1" ht="19.2" customHeight="1">
      <c r="A14" s="1178"/>
      <c r="B14" s="1179"/>
      <c r="C14" s="1180"/>
      <c r="D14" s="674"/>
      <c r="E14" s="636"/>
      <c r="F14" s="546"/>
      <c r="G14" s="549"/>
      <c r="H14" s="547"/>
      <c r="I14" s="549"/>
      <c r="J14" s="549"/>
      <c r="K14" s="549"/>
      <c r="L14" s="549"/>
      <c r="M14" s="20"/>
      <c r="N14" s="564"/>
      <c r="O14" s="550"/>
      <c r="P14" s="21"/>
      <c r="Q14" s="550"/>
      <c r="R14" s="549"/>
      <c r="S14" s="552"/>
    </row>
    <row r="15" spans="1:20" s="678" customFormat="1" ht="33" customHeight="1">
      <c r="A15" s="676">
        <v>1</v>
      </c>
      <c r="B15" s="677" t="str">
        <f>'Tên thang 01-26'!E4</f>
        <v>ឆែម ហុង</v>
      </c>
      <c r="C15" s="690" t="str">
        <f>'Tên thang 01-26'!F4</f>
        <v>CHHEM HONG</v>
      </c>
      <c r="D15" s="680">
        <v>1</v>
      </c>
      <c r="E15" s="681">
        <v>31947</v>
      </c>
      <c r="F15" s="682">
        <f t="shared" ref="F15:F60" si="0">ROUND(G15/31947,2)</f>
        <v>10.8</v>
      </c>
      <c r="G15" s="683">
        <v>345028</v>
      </c>
      <c r="H15" s="682">
        <f>'KL 1'!AG17</f>
        <v>31.889999999999997</v>
      </c>
      <c r="I15" s="683">
        <f>ROUND(E15*H15,0)</f>
        <v>1018790</v>
      </c>
      <c r="J15" s="684"/>
      <c r="K15" s="683"/>
      <c r="L15" s="685">
        <f t="shared" ref="L15:L60" si="1">G15+I15+K15+J15</f>
        <v>1363818</v>
      </c>
      <c r="M15" s="683">
        <f t="shared" ref="M15:M60" si="2">G15</f>
        <v>345028</v>
      </c>
      <c r="N15" s="686">
        <f>IF(L15&lt;=400000,400000*2%,IF(L15&lt;=1200000,ROUND(L15*2%,0),ROUND(1200000*2%,0)))</f>
        <v>24000</v>
      </c>
      <c r="O15" s="687">
        <f>ROUND(IF((L15-(K15+N15))&lt;=1500000,0,IF(AND((L15-(K15+N15))&gt;1500000,(L15-(K15+N15))&lt;=2000000),(L15-(K15+N15))*5%-75000,IF(AND((L15-(K15+N15))&gt;2000000,(L15-(K15+N15))&lt;=8500000),(L15-(K15+N15))*10%-175000))),0)</f>
        <v>0</v>
      </c>
      <c r="P15" s="688">
        <f>SUM(M15:O15)</f>
        <v>369028</v>
      </c>
      <c r="Q15" s="689"/>
      <c r="R15" s="683">
        <f t="shared" ref="R15:R60" si="3">L15-P15</f>
        <v>994790</v>
      </c>
      <c r="S15" s="567"/>
    </row>
    <row r="16" spans="1:20" s="678" customFormat="1" ht="33" customHeight="1">
      <c r="A16" s="676">
        <v>2</v>
      </c>
      <c r="B16" s="677" t="str">
        <f>'Tên thang 01-26'!E5</f>
        <v>សុទ្ធ សីថា</v>
      </c>
      <c r="C16" s="690" t="str">
        <f>'Tên thang 01-26'!F5</f>
        <v>SOT SEYTHA</v>
      </c>
      <c r="D16" s="680">
        <v>2</v>
      </c>
      <c r="E16" s="681">
        <v>31947</v>
      </c>
      <c r="F16" s="682">
        <f t="shared" si="0"/>
        <v>14.83</v>
      </c>
      <c r="G16" s="683">
        <v>473774</v>
      </c>
      <c r="H16" s="682">
        <f>'KL 1'!AG18</f>
        <v>34.199999999999996</v>
      </c>
      <c r="I16" s="683">
        <f t="shared" ref="I16:I79" si="4">ROUND(E16*H16,0)</f>
        <v>1092587</v>
      </c>
      <c r="J16" s="684"/>
      <c r="K16" s="683"/>
      <c r="L16" s="685">
        <f t="shared" si="1"/>
        <v>1566361</v>
      </c>
      <c r="M16" s="683">
        <f t="shared" si="2"/>
        <v>473774</v>
      </c>
      <c r="N16" s="686">
        <f t="shared" ref="N16:N79" si="5">IF(L16&lt;=400000,400000*2%,IF(L16&lt;=1200000,ROUND(L16*2%,0),ROUND(1200000*2%,0)))</f>
        <v>24000</v>
      </c>
      <c r="O16" s="687">
        <f t="shared" ref="O16:O60" si="6">ROUND(IF((L16-(K16+N16))&lt;=1500000,0,IF(AND((L16-(K16+N16))&gt;1500000,(L16-(K16+N16))&lt;=2000000),(L16-(K16+N16))*5%-75000,IF(AND((L16-(K16+N16))&gt;2000000,(L16-(K16+N16))&lt;=8500000),(L16-(K16+N16))*10%-175000))),0)</f>
        <v>2118</v>
      </c>
      <c r="P16" s="688">
        <f t="shared" ref="P16:P60" si="7">SUM(M16:O16)</f>
        <v>499892</v>
      </c>
      <c r="Q16" s="689"/>
      <c r="R16" s="683">
        <f t="shared" si="3"/>
        <v>1066469</v>
      </c>
      <c r="S16" s="567"/>
    </row>
    <row r="17" spans="1:19" s="678" customFormat="1" ht="33" customHeight="1">
      <c r="A17" s="676">
        <v>3</v>
      </c>
      <c r="B17" s="677" t="str">
        <f>'Tên thang 01-26'!E6</f>
        <v>រ៉ន ចាន់រាជ</v>
      </c>
      <c r="C17" s="690" t="str">
        <f>'Tên thang 01-26'!F6</f>
        <v>RORN CHANREACH</v>
      </c>
      <c r="D17" s="680">
        <v>3</v>
      </c>
      <c r="E17" s="681">
        <v>31947</v>
      </c>
      <c r="F17" s="682">
        <f t="shared" si="0"/>
        <v>17.71</v>
      </c>
      <c r="G17" s="683">
        <v>565781</v>
      </c>
      <c r="H17" s="682">
        <f>'KL 1'!AG19</f>
        <v>36.809999999999995</v>
      </c>
      <c r="I17" s="683">
        <f t="shared" si="4"/>
        <v>1175969</v>
      </c>
      <c r="J17" s="684"/>
      <c r="K17" s="683"/>
      <c r="L17" s="685">
        <f t="shared" si="1"/>
        <v>1741750</v>
      </c>
      <c r="M17" s="683">
        <f t="shared" si="2"/>
        <v>565781</v>
      </c>
      <c r="N17" s="686">
        <f t="shared" si="5"/>
        <v>24000</v>
      </c>
      <c r="O17" s="687">
        <f t="shared" si="6"/>
        <v>10888</v>
      </c>
      <c r="P17" s="688">
        <f t="shared" si="7"/>
        <v>600669</v>
      </c>
      <c r="Q17" s="689"/>
      <c r="R17" s="683">
        <f t="shared" si="3"/>
        <v>1141081</v>
      </c>
      <c r="S17" s="567"/>
    </row>
    <row r="18" spans="1:19" s="678" customFormat="1" ht="33" customHeight="1">
      <c r="A18" s="676">
        <v>4</v>
      </c>
      <c r="B18" s="677" t="str">
        <f>'Tên thang 01-26'!E7</f>
        <v>ណំ ធីងធីង</v>
      </c>
      <c r="C18" s="690" t="str">
        <f>'Tên thang 01-26'!F7</f>
        <v>NON THING THING</v>
      </c>
      <c r="D18" s="680">
        <v>4</v>
      </c>
      <c r="E18" s="681">
        <v>31947</v>
      </c>
      <c r="F18" s="682">
        <f t="shared" si="0"/>
        <v>14.33</v>
      </c>
      <c r="G18" s="683">
        <v>457801</v>
      </c>
      <c r="H18" s="682">
        <f>'KL 1'!AG20</f>
        <v>34.200000000000003</v>
      </c>
      <c r="I18" s="683">
        <f t="shared" si="4"/>
        <v>1092587</v>
      </c>
      <c r="J18" s="684"/>
      <c r="K18" s="683"/>
      <c r="L18" s="685">
        <f t="shared" si="1"/>
        <v>1550388</v>
      </c>
      <c r="M18" s="683">
        <f t="shared" si="2"/>
        <v>457801</v>
      </c>
      <c r="N18" s="686">
        <f t="shared" si="5"/>
        <v>24000</v>
      </c>
      <c r="O18" s="687">
        <f t="shared" si="6"/>
        <v>1319</v>
      </c>
      <c r="P18" s="688">
        <f t="shared" si="7"/>
        <v>483120</v>
      </c>
      <c r="Q18" s="689"/>
      <c r="R18" s="683">
        <f t="shared" si="3"/>
        <v>1067268</v>
      </c>
      <c r="S18" s="567"/>
    </row>
    <row r="19" spans="1:19" s="678" customFormat="1" ht="33" customHeight="1">
      <c r="A19" s="676">
        <v>5</v>
      </c>
      <c r="B19" s="677" t="str">
        <f>'Tên thang 01-26'!E8</f>
        <v>វ៉ាន់ បូរ៉ុង</v>
      </c>
      <c r="C19" s="690" t="str">
        <f>'Tên thang 01-26'!F8</f>
        <v>VANN BORONG</v>
      </c>
      <c r="D19" s="680">
        <v>5</v>
      </c>
      <c r="E19" s="681">
        <v>31947</v>
      </c>
      <c r="F19" s="682">
        <f t="shared" si="0"/>
        <v>17.04</v>
      </c>
      <c r="G19" s="683">
        <v>544377</v>
      </c>
      <c r="H19" s="682">
        <f>'KL 1'!AG21</f>
        <v>40.97</v>
      </c>
      <c r="I19" s="683">
        <f t="shared" si="4"/>
        <v>1308869</v>
      </c>
      <c r="J19" s="684"/>
      <c r="K19" s="683"/>
      <c r="L19" s="685">
        <f t="shared" si="1"/>
        <v>1853246</v>
      </c>
      <c r="M19" s="683">
        <f t="shared" si="2"/>
        <v>544377</v>
      </c>
      <c r="N19" s="686">
        <f t="shared" si="5"/>
        <v>24000</v>
      </c>
      <c r="O19" s="687">
        <f t="shared" si="6"/>
        <v>16462</v>
      </c>
      <c r="P19" s="688">
        <f t="shared" si="7"/>
        <v>584839</v>
      </c>
      <c r="Q19" s="689"/>
      <c r="R19" s="683">
        <f t="shared" si="3"/>
        <v>1268407</v>
      </c>
      <c r="S19" s="567"/>
    </row>
    <row r="20" spans="1:19" s="678" customFormat="1" ht="33" customHeight="1">
      <c r="A20" s="676">
        <v>6</v>
      </c>
      <c r="B20" s="677" t="str">
        <f>'Tên thang 01-26'!E9</f>
        <v>យឿង សុខជា</v>
      </c>
      <c r="C20" s="690" t="str">
        <f>'Tên thang 01-26'!F9</f>
        <v>YOEUNG SOKCHEA</v>
      </c>
      <c r="D20" s="680">
        <v>6</v>
      </c>
      <c r="E20" s="681">
        <v>31947</v>
      </c>
      <c r="F20" s="682">
        <f t="shared" si="0"/>
        <v>15.6</v>
      </c>
      <c r="G20" s="683">
        <v>498373</v>
      </c>
      <c r="H20" s="682">
        <f>'KL 1'!AG22</f>
        <v>37.08</v>
      </c>
      <c r="I20" s="683">
        <f t="shared" si="4"/>
        <v>1184595</v>
      </c>
      <c r="J20" s="684"/>
      <c r="K20" s="683"/>
      <c r="L20" s="685">
        <f t="shared" si="1"/>
        <v>1682968</v>
      </c>
      <c r="M20" s="683">
        <f t="shared" si="2"/>
        <v>498373</v>
      </c>
      <c r="N20" s="686">
        <f t="shared" si="5"/>
        <v>24000</v>
      </c>
      <c r="O20" s="687">
        <f t="shared" si="6"/>
        <v>7948</v>
      </c>
      <c r="P20" s="688">
        <f t="shared" si="7"/>
        <v>530321</v>
      </c>
      <c r="Q20" s="689"/>
      <c r="R20" s="683">
        <f t="shared" si="3"/>
        <v>1152647</v>
      </c>
      <c r="S20" s="567"/>
    </row>
    <row r="21" spans="1:19" s="678" customFormat="1" ht="33" customHeight="1">
      <c r="A21" s="676">
        <v>7</v>
      </c>
      <c r="B21" s="677" t="str">
        <f>'Tên thang 01-26'!E10</f>
        <v>អួន សុភាព</v>
      </c>
      <c r="C21" s="690" t="str">
        <f>'Tên thang 01-26'!F10</f>
        <v>OURN SOPHEAP</v>
      </c>
      <c r="D21" s="680">
        <v>7</v>
      </c>
      <c r="E21" s="681">
        <v>31947</v>
      </c>
      <c r="F21" s="682">
        <f t="shared" si="0"/>
        <v>13.68</v>
      </c>
      <c r="G21" s="683">
        <v>437035</v>
      </c>
      <c r="H21" s="682">
        <f>'KL 1'!AG23</f>
        <v>34.61</v>
      </c>
      <c r="I21" s="683">
        <f t="shared" si="4"/>
        <v>1105686</v>
      </c>
      <c r="J21" s="684"/>
      <c r="K21" s="683"/>
      <c r="L21" s="685">
        <f t="shared" si="1"/>
        <v>1542721</v>
      </c>
      <c r="M21" s="683">
        <f t="shared" si="2"/>
        <v>437035</v>
      </c>
      <c r="N21" s="686">
        <f t="shared" si="5"/>
        <v>24000</v>
      </c>
      <c r="O21" s="687">
        <f t="shared" si="6"/>
        <v>936</v>
      </c>
      <c r="P21" s="688">
        <f t="shared" si="7"/>
        <v>461971</v>
      </c>
      <c r="Q21" s="689"/>
      <c r="R21" s="683">
        <f t="shared" si="3"/>
        <v>1080750</v>
      </c>
      <c r="S21" s="567"/>
    </row>
    <row r="22" spans="1:19" s="678" customFormat="1" ht="33" customHeight="1">
      <c r="A22" s="676">
        <v>8</v>
      </c>
      <c r="B22" s="677" t="str">
        <f>'Tên thang 01-26'!E11</f>
        <v>ភួន ភី</v>
      </c>
      <c r="C22" s="690" t="str">
        <f>'Tên thang 01-26'!F11</f>
        <v>PHUON PHY</v>
      </c>
      <c r="D22" s="680">
        <v>8</v>
      </c>
      <c r="E22" s="681">
        <v>31947</v>
      </c>
      <c r="F22" s="682">
        <f t="shared" si="0"/>
        <v>15.13</v>
      </c>
      <c r="G22" s="683">
        <v>483358</v>
      </c>
      <c r="H22" s="682">
        <f>'KL 1'!AG24</f>
        <v>35.799999999999997</v>
      </c>
      <c r="I22" s="683">
        <f t="shared" si="4"/>
        <v>1143703</v>
      </c>
      <c r="J22" s="684"/>
      <c r="K22" s="683"/>
      <c r="L22" s="685">
        <f t="shared" si="1"/>
        <v>1627061</v>
      </c>
      <c r="M22" s="683">
        <f t="shared" si="2"/>
        <v>483358</v>
      </c>
      <c r="N22" s="686">
        <f t="shared" si="5"/>
        <v>24000</v>
      </c>
      <c r="O22" s="687">
        <f t="shared" si="6"/>
        <v>5153</v>
      </c>
      <c r="P22" s="688">
        <f t="shared" si="7"/>
        <v>512511</v>
      </c>
      <c r="Q22" s="689"/>
      <c r="R22" s="683">
        <f t="shared" si="3"/>
        <v>1114550</v>
      </c>
      <c r="S22" s="567"/>
    </row>
    <row r="23" spans="1:19" s="678" customFormat="1" ht="33" customHeight="1">
      <c r="A23" s="676">
        <v>9</v>
      </c>
      <c r="B23" s="677" t="str">
        <f>'Tên thang 01-26'!E12</f>
        <v>ទូ គុលា</v>
      </c>
      <c r="C23" s="690" t="str">
        <f>'Tên thang 01-26'!F12</f>
        <v>TO TOKLA</v>
      </c>
      <c r="D23" s="680">
        <v>9</v>
      </c>
      <c r="E23" s="681">
        <v>31947</v>
      </c>
      <c r="F23" s="682">
        <f t="shared" si="0"/>
        <v>10.69</v>
      </c>
      <c r="G23" s="683">
        <v>341513</v>
      </c>
      <c r="H23" s="682">
        <f>'KL 1'!AG25</f>
        <v>28.870000000000005</v>
      </c>
      <c r="I23" s="683">
        <f t="shared" si="4"/>
        <v>922310</v>
      </c>
      <c r="J23" s="684"/>
      <c r="K23" s="683"/>
      <c r="L23" s="685">
        <f t="shared" si="1"/>
        <v>1263823</v>
      </c>
      <c r="M23" s="683">
        <f t="shared" si="2"/>
        <v>341513</v>
      </c>
      <c r="N23" s="686">
        <f t="shared" si="5"/>
        <v>24000</v>
      </c>
      <c r="O23" s="687">
        <f t="shared" si="6"/>
        <v>0</v>
      </c>
      <c r="P23" s="688">
        <f t="shared" si="7"/>
        <v>365513</v>
      </c>
      <c r="Q23" s="689"/>
      <c r="R23" s="683">
        <f t="shared" si="3"/>
        <v>898310</v>
      </c>
      <c r="S23" s="567"/>
    </row>
    <row r="24" spans="1:19" s="678" customFormat="1" ht="33" customHeight="1">
      <c r="A24" s="676">
        <v>10</v>
      </c>
      <c r="B24" s="677" t="str">
        <f>'Tên thang 01-26'!E13</f>
        <v>ណំ សិទ្ធិ</v>
      </c>
      <c r="C24" s="690" t="str">
        <f>'Tên thang 01-26'!F13</f>
        <v>NOM SITH</v>
      </c>
      <c r="D24" s="680">
        <v>10</v>
      </c>
      <c r="E24" s="681">
        <v>31947</v>
      </c>
      <c r="F24" s="682">
        <f t="shared" si="0"/>
        <v>15.91</v>
      </c>
      <c r="G24" s="683">
        <v>508277</v>
      </c>
      <c r="H24" s="682">
        <f>'KL 1'!AG26</f>
        <v>35.389999999999993</v>
      </c>
      <c r="I24" s="683">
        <f t="shared" si="4"/>
        <v>1130604</v>
      </c>
      <c r="J24" s="684"/>
      <c r="K24" s="683"/>
      <c r="L24" s="685">
        <f t="shared" si="1"/>
        <v>1638881</v>
      </c>
      <c r="M24" s="683">
        <f t="shared" si="2"/>
        <v>508277</v>
      </c>
      <c r="N24" s="686">
        <f t="shared" si="5"/>
        <v>24000</v>
      </c>
      <c r="O24" s="687">
        <f t="shared" si="6"/>
        <v>5744</v>
      </c>
      <c r="P24" s="688">
        <f t="shared" si="7"/>
        <v>538021</v>
      </c>
      <c r="Q24" s="689"/>
      <c r="R24" s="683">
        <f t="shared" si="3"/>
        <v>1100860</v>
      </c>
      <c r="S24" s="567"/>
    </row>
    <row r="25" spans="1:19" s="678" customFormat="1" ht="33" customHeight="1">
      <c r="A25" s="676">
        <v>11</v>
      </c>
      <c r="B25" s="677" t="str">
        <f>'Tên thang 01-26'!E14</f>
        <v>ធ្លក រាន់</v>
      </c>
      <c r="C25" s="690" t="str">
        <f>'Tên thang 01-26'!F14</f>
        <v>THLOK ROIN</v>
      </c>
      <c r="D25" s="680">
        <v>11</v>
      </c>
      <c r="E25" s="681">
        <v>31947</v>
      </c>
      <c r="F25" s="682">
        <f t="shared" si="0"/>
        <v>11.97</v>
      </c>
      <c r="G25" s="683">
        <v>382406</v>
      </c>
      <c r="H25" s="682">
        <f>'KL 1'!AG27</f>
        <v>35.909999999999997</v>
      </c>
      <c r="I25" s="683">
        <f t="shared" si="4"/>
        <v>1147217</v>
      </c>
      <c r="J25" s="684"/>
      <c r="K25" s="683"/>
      <c r="L25" s="685">
        <f t="shared" si="1"/>
        <v>1529623</v>
      </c>
      <c r="M25" s="683">
        <f t="shared" si="2"/>
        <v>382406</v>
      </c>
      <c r="N25" s="686">
        <f t="shared" si="5"/>
        <v>24000</v>
      </c>
      <c r="O25" s="687">
        <f t="shared" si="6"/>
        <v>281</v>
      </c>
      <c r="P25" s="688">
        <f t="shared" si="7"/>
        <v>406687</v>
      </c>
      <c r="Q25" s="689"/>
      <c r="R25" s="683">
        <f t="shared" si="3"/>
        <v>1122936</v>
      </c>
      <c r="S25" s="567"/>
    </row>
    <row r="26" spans="1:19" s="678" customFormat="1" ht="33" customHeight="1">
      <c r="A26" s="676">
        <v>12</v>
      </c>
      <c r="B26" s="677" t="str">
        <f>'Tên thang 01-26'!E15</f>
        <v>យ៉ែម ឃឿន</v>
      </c>
      <c r="C26" s="690" t="str">
        <f>'Tên thang 01-26'!F15</f>
        <v>YEM KHOEUN</v>
      </c>
      <c r="D26" s="680">
        <v>12</v>
      </c>
      <c r="E26" s="681">
        <v>31947</v>
      </c>
      <c r="F26" s="682">
        <f t="shared" si="0"/>
        <v>10.54</v>
      </c>
      <c r="G26" s="683">
        <v>336721</v>
      </c>
      <c r="H26" s="682">
        <f>'KL 1'!AG28</f>
        <v>27.340000000000003</v>
      </c>
      <c r="I26" s="683">
        <f t="shared" si="4"/>
        <v>873431</v>
      </c>
      <c r="J26" s="684"/>
      <c r="K26" s="683"/>
      <c r="L26" s="685">
        <f t="shared" si="1"/>
        <v>1210152</v>
      </c>
      <c r="M26" s="683">
        <f t="shared" si="2"/>
        <v>336721</v>
      </c>
      <c r="N26" s="686">
        <f t="shared" si="5"/>
        <v>24000</v>
      </c>
      <c r="O26" s="687">
        <f t="shared" si="6"/>
        <v>0</v>
      </c>
      <c r="P26" s="688">
        <f t="shared" si="7"/>
        <v>360721</v>
      </c>
      <c r="Q26" s="689"/>
      <c r="R26" s="683">
        <f t="shared" si="3"/>
        <v>849431</v>
      </c>
      <c r="S26" s="567"/>
    </row>
    <row r="27" spans="1:19" s="678" customFormat="1" ht="33" customHeight="1">
      <c r="A27" s="676">
        <v>13</v>
      </c>
      <c r="B27" s="677" t="str">
        <f>'Tên thang 01-26'!E16</f>
        <v>យឿង រ៉ាឌី</v>
      </c>
      <c r="C27" s="690" t="str">
        <f>'Tên thang 01-26'!F16</f>
        <v>YOEUNG RADIN</v>
      </c>
      <c r="D27" s="680">
        <v>13</v>
      </c>
      <c r="E27" s="681">
        <v>31947</v>
      </c>
      <c r="F27" s="682">
        <f t="shared" si="0"/>
        <v>13.23</v>
      </c>
      <c r="G27" s="683">
        <v>422659</v>
      </c>
      <c r="H27" s="682">
        <f>'KL 1'!AG29</f>
        <v>37.25</v>
      </c>
      <c r="I27" s="683">
        <f t="shared" si="4"/>
        <v>1190026</v>
      </c>
      <c r="J27" s="684"/>
      <c r="K27" s="683"/>
      <c r="L27" s="685">
        <f t="shared" si="1"/>
        <v>1612685</v>
      </c>
      <c r="M27" s="683">
        <f t="shared" si="2"/>
        <v>422659</v>
      </c>
      <c r="N27" s="686">
        <f t="shared" si="5"/>
        <v>24000</v>
      </c>
      <c r="O27" s="687">
        <f t="shared" si="6"/>
        <v>4434</v>
      </c>
      <c r="P27" s="688">
        <f t="shared" si="7"/>
        <v>451093</v>
      </c>
      <c r="Q27" s="689"/>
      <c r="R27" s="683">
        <f t="shared" si="3"/>
        <v>1161592</v>
      </c>
      <c r="S27" s="567"/>
    </row>
    <row r="28" spans="1:19" s="678" customFormat="1" ht="33" customHeight="1">
      <c r="A28" s="676">
        <v>14</v>
      </c>
      <c r="B28" s="677" t="str">
        <f>'Tên thang 01-26'!E17</f>
        <v>វ៉ាន់ បូរិទ្ធ</v>
      </c>
      <c r="C28" s="690" t="str">
        <f>'Tên thang 01-26'!F17</f>
        <v>VANN BORITH</v>
      </c>
      <c r="D28" s="680">
        <v>14</v>
      </c>
      <c r="E28" s="681">
        <v>31947</v>
      </c>
      <c r="F28" s="682">
        <f t="shared" si="0"/>
        <v>11.18</v>
      </c>
      <c r="G28" s="683">
        <v>357167</v>
      </c>
      <c r="H28" s="682">
        <f>'KL 1'!AG30</f>
        <v>31.91</v>
      </c>
      <c r="I28" s="683">
        <f t="shared" si="4"/>
        <v>1019429</v>
      </c>
      <c r="J28" s="684"/>
      <c r="K28" s="683"/>
      <c r="L28" s="685">
        <f t="shared" si="1"/>
        <v>1376596</v>
      </c>
      <c r="M28" s="683">
        <f t="shared" si="2"/>
        <v>357167</v>
      </c>
      <c r="N28" s="686">
        <f t="shared" si="5"/>
        <v>24000</v>
      </c>
      <c r="O28" s="687">
        <f t="shared" si="6"/>
        <v>0</v>
      </c>
      <c r="P28" s="688">
        <f t="shared" si="7"/>
        <v>381167</v>
      </c>
      <c r="Q28" s="689"/>
      <c r="R28" s="683">
        <f t="shared" si="3"/>
        <v>995429</v>
      </c>
      <c r="S28" s="567"/>
    </row>
    <row r="29" spans="1:19" s="678" customFormat="1" ht="33" customHeight="1">
      <c r="A29" s="676">
        <v>15</v>
      </c>
      <c r="B29" s="677" t="str">
        <f>'Tên thang 01-26'!E18</f>
        <v>ឆែម ហ៊ាច</v>
      </c>
      <c r="C29" s="690" t="str">
        <f>'Tên thang 01-26'!F18</f>
        <v>CHHEM HEACH</v>
      </c>
      <c r="D29" s="680">
        <v>15</v>
      </c>
      <c r="E29" s="681">
        <v>31947</v>
      </c>
      <c r="F29" s="682">
        <f t="shared" si="0"/>
        <v>14.96</v>
      </c>
      <c r="G29" s="683">
        <v>477927</v>
      </c>
      <c r="H29" s="682">
        <f>'KL 1'!AG31</f>
        <v>38.82</v>
      </c>
      <c r="I29" s="683">
        <f t="shared" si="4"/>
        <v>1240183</v>
      </c>
      <c r="J29" s="684"/>
      <c r="K29" s="683"/>
      <c r="L29" s="685">
        <f t="shared" si="1"/>
        <v>1718110</v>
      </c>
      <c r="M29" s="683">
        <f t="shared" si="2"/>
        <v>477927</v>
      </c>
      <c r="N29" s="686">
        <f t="shared" si="5"/>
        <v>24000</v>
      </c>
      <c r="O29" s="687">
        <f t="shared" si="6"/>
        <v>9706</v>
      </c>
      <c r="P29" s="688">
        <f t="shared" si="7"/>
        <v>511633</v>
      </c>
      <c r="Q29" s="689"/>
      <c r="R29" s="683">
        <f t="shared" si="3"/>
        <v>1206477</v>
      </c>
      <c r="S29" s="567"/>
    </row>
    <row r="30" spans="1:19" s="678" customFormat="1" ht="33" customHeight="1">
      <c r="A30" s="676">
        <v>16</v>
      </c>
      <c r="B30" s="677" t="str">
        <f>'Tên thang 01-26'!E19</f>
        <v>ឆែម ឆុន</v>
      </c>
      <c r="C30" s="690" t="str">
        <f>'Tên thang 01-26'!F19</f>
        <v>CHHEN CHHON</v>
      </c>
      <c r="D30" s="680">
        <v>16</v>
      </c>
      <c r="E30" s="681">
        <v>31947</v>
      </c>
      <c r="F30" s="682">
        <f t="shared" si="0"/>
        <v>15.14</v>
      </c>
      <c r="G30" s="683">
        <v>483678</v>
      </c>
      <c r="H30" s="682">
        <f>'KL 1'!AG32</f>
        <v>44.98</v>
      </c>
      <c r="I30" s="683">
        <f t="shared" si="4"/>
        <v>1436976</v>
      </c>
      <c r="J30" s="684"/>
      <c r="K30" s="683"/>
      <c r="L30" s="685">
        <f t="shared" si="1"/>
        <v>1920654</v>
      </c>
      <c r="M30" s="683">
        <f t="shared" si="2"/>
        <v>483678</v>
      </c>
      <c r="N30" s="686">
        <f t="shared" si="5"/>
        <v>24000</v>
      </c>
      <c r="O30" s="687">
        <f t="shared" si="6"/>
        <v>19833</v>
      </c>
      <c r="P30" s="688">
        <f t="shared" si="7"/>
        <v>527511</v>
      </c>
      <c r="Q30" s="689"/>
      <c r="R30" s="683">
        <f t="shared" si="3"/>
        <v>1393143</v>
      </c>
      <c r="S30" s="567"/>
    </row>
    <row r="31" spans="1:19" s="678" customFormat="1" ht="33" customHeight="1">
      <c r="A31" s="676">
        <v>17</v>
      </c>
      <c r="B31" s="677" t="str">
        <f>'Tên thang 01-26'!E20</f>
        <v>មាស សំឡូត</v>
      </c>
      <c r="C31" s="690" t="str">
        <f>'Tên thang 01-26'!F20</f>
        <v>MEAS SOMLOT</v>
      </c>
      <c r="D31" s="680">
        <v>17</v>
      </c>
      <c r="E31" s="681">
        <v>31947</v>
      </c>
      <c r="F31" s="682">
        <f t="shared" si="0"/>
        <v>13.04</v>
      </c>
      <c r="G31" s="683">
        <v>416589</v>
      </c>
      <c r="H31" s="682">
        <f>'KL 1'!AG33</f>
        <v>38.72</v>
      </c>
      <c r="I31" s="683">
        <f t="shared" si="4"/>
        <v>1236988</v>
      </c>
      <c r="J31" s="684"/>
      <c r="K31" s="683"/>
      <c r="L31" s="685">
        <f t="shared" si="1"/>
        <v>1653577</v>
      </c>
      <c r="M31" s="683">
        <f t="shared" si="2"/>
        <v>416589</v>
      </c>
      <c r="N31" s="686">
        <f t="shared" si="5"/>
        <v>24000</v>
      </c>
      <c r="O31" s="687">
        <f t="shared" si="6"/>
        <v>6479</v>
      </c>
      <c r="P31" s="688">
        <f t="shared" si="7"/>
        <v>447068</v>
      </c>
      <c r="Q31" s="689"/>
      <c r="R31" s="683">
        <f t="shared" si="3"/>
        <v>1206509</v>
      </c>
      <c r="S31" s="567"/>
    </row>
    <row r="32" spans="1:19" s="678" customFormat="1" ht="33" customHeight="1">
      <c r="A32" s="676">
        <v>18</v>
      </c>
      <c r="B32" s="677" t="str">
        <f>'Tên thang 01-26'!E21</f>
        <v>ម៉ន វិចិត្រ</v>
      </c>
      <c r="C32" s="690" t="str">
        <f>'Tên thang 01-26'!F21</f>
        <v>MORN VICHET</v>
      </c>
      <c r="D32" s="680">
        <v>18</v>
      </c>
      <c r="E32" s="681">
        <v>31947</v>
      </c>
      <c r="F32" s="682">
        <f t="shared" si="0"/>
        <v>13.01</v>
      </c>
      <c r="G32" s="683">
        <v>415630</v>
      </c>
      <c r="H32" s="682">
        <f>'KL 1'!AG34</f>
        <v>33.130000000000003</v>
      </c>
      <c r="I32" s="683">
        <f t="shared" si="4"/>
        <v>1058404</v>
      </c>
      <c r="J32" s="684"/>
      <c r="K32" s="683"/>
      <c r="L32" s="685">
        <f t="shared" si="1"/>
        <v>1474034</v>
      </c>
      <c r="M32" s="683">
        <f t="shared" si="2"/>
        <v>415630</v>
      </c>
      <c r="N32" s="686">
        <f t="shared" si="5"/>
        <v>24000</v>
      </c>
      <c r="O32" s="687">
        <f t="shared" si="6"/>
        <v>0</v>
      </c>
      <c r="P32" s="688">
        <f t="shared" si="7"/>
        <v>439630</v>
      </c>
      <c r="Q32" s="689"/>
      <c r="R32" s="683">
        <f t="shared" si="3"/>
        <v>1034404</v>
      </c>
      <c r="S32" s="567"/>
    </row>
    <row r="33" spans="1:19" s="678" customFormat="1" ht="34.950000000000003" customHeight="1">
      <c r="A33" s="676">
        <v>19</v>
      </c>
      <c r="B33" s="677" t="str">
        <f>'Tên thang 01-26'!E22</f>
        <v>គ្រួច គ្រីន</v>
      </c>
      <c r="C33" s="690" t="str">
        <f>'Tên thang 01-26'!F22</f>
        <v>KRUOCH KRIN</v>
      </c>
      <c r="D33" s="680">
        <v>19</v>
      </c>
      <c r="E33" s="681">
        <v>31947</v>
      </c>
      <c r="F33" s="682">
        <f t="shared" si="0"/>
        <v>15.33</v>
      </c>
      <c r="G33" s="683">
        <v>489748</v>
      </c>
      <c r="H33" s="682">
        <f>'KL 1'!AG35</f>
        <v>40.449999999999996</v>
      </c>
      <c r="I33" s="683">
        <f t="shared" si="4"/>
        <v>1292256</v>
      </c>
      <c r="J33" s="684"/>
      <c r="K33" s="683"/>
      <c r="L33" s="685">
        <f t="shared" si="1"/>
        <v>1782004</v>
      </c>
      <c r="M33" s="683">
        <f t="shared" si="2"/>
        <v>489748</v>
      </c>
      <c r="N33" s="686">
        <f t="shared" si="5"/>
        <v>24000</v>
      </c>
      <c r="O33" s="687">
        <f>ROUND(IF((L33-(K33+N33))&lt;=1500000,0,IF(AND((L33-(K33+N33))&gt;1500000,(L33-(K33+N33))&lt;=2000000),(L33-(K33+N33))*5%-75000,IF(AND((L33-(K33+N33))&gt;2000000,(L33-(K33+N33))&lt;=8500000),(L33-(K33+N33))*10%-175000))),0)</f>
        <v>12900</v>
      </c>
      <c r="P33" s="688">
        <f t="shared" si="7"/>
        <v>526648</v>
      </c>
      <c r="Q33" s="689"/>
      <c r="R33" s="683">
        <f t="shared" si="3"/>
        <v>1255356</v>
      </c>
      <c r="S33" s="567"/>
    </row>
    <row r="34" spans="1:19" s="678" customFormat="1" ht="34.950000000000003" customHeight="1">
      <c r="A34" s="676">
        <v>20</v>
      </c>
      <c r="B34" s="677" t="str">
        <f>'Tên thang 01-26'!E23</f>
        <v>ស្រេង សំណាង</v>
      </c>
      <c r="C34" s="690" t="str">
        <f>'Tên thang 01-26'!F23</f>
        <v>SRENG SAMNANG</v>
      </c>
      <c r="D34" s="680">
        <v>20</v>
      </c>
      <c r="E34" s="681">
        <v>31947</v>
      </c>
      <c r="F34" s="682">
        <f t="shared" si="0"/>
        <v>15.59</v>
      </c>
      <c r="G34" s="683">
        <v>498054</v>
      </c>
      <c r="H34" s="682">
        <f>'KL 1'!AG36</f>
        <v>35.380000000000003</v>
      </c>
      <c r="I34" s="683">
        <f t="shared" si="4"/>
        <v>1130285</v>
      </c>
      <c r="J34" s="684"/>
      <c r="K34" s="683"/>
      <c r="L34" s="685">
        <f t="shared" si="1"/>
        <v>1628339</v>
      </c>
      <c r="M34" s="683">
        <f t="shared" si="2"/>
        <v>498054</v>
      </c>
      <c r="N34" s="686">
        <f t="shared" si="5"/>
        <v>24000</v>
      </c>
      <c r="O34" s="687">
        <f t="shared" si="6"/>
        <v>5217</v>
      </c>
      <c r="P34" s="688">
        <f t="shared" si="7"/>
        <v>527271</v>
      </c>
      <c r="Q34" s="689"/>
      <c r="R34" s="683">
        <f t="shared" si="3"/>
        <v>1101068</v>
      </c>
      <c r="S34" s="567"/>
    </row>
    <row r="35" spans="1:19" s="678" customFormat="1" ht="34.950000000000003" customHeight="1">
      <c r="A35" s="676">
        <v>21</v>
      </c>
      <c r="B35" s="677" t="str">
        <f>'Tên thang 01-26'!E24</f>
        <v>ហ៊ិក ងួន</v>
      </c>
      <c r="C35" s="690" t="str">
        <f>'Tên thang 01-26'!F24</f>
        <v>HIK NGUON</v>
      </c>
      <c r="D35" s="680">
        <v>21</v>
      </c>
      <c r="E35" s="681">
        <v>31947</v>
      </c>
      <c r="F35" s="682">
        <f t="shared" si="0"/>
        <v>17.23</v>
      </c>
      <c r="G35" s="683">
        <v>550447</v>
      </c>
      <c r="H35" s="682">
        <f>'KL 1'!AG37</f>
        <v>43.11</v>
      </c>
      <c r="I35" s="683">
        <f t="shared" si="4"/>
        <v>1377235</v>
      </c>
      <c r="J35" s="683"/>
      <c r="K35" s="683"/>
      <c r="L35" s="685">
        <f t="shared" si="1"/>
        <v>1927682</v>
      </c>
      <c r="M35" s="683">
        <f t="shared" si="2"/>
        <v>550447</v>
      </c>
      <c r="N35" s="686">
        <f t="shared" si="5"/>
        <v>24000</v>
      </c>
      <c r="O35" s="687">
        <f t="shared" si="6"/>
        <v>20184</v>
      </c>
      <c r="P35" s="688">
        <f t="shared" si="7"/>
        <v>594631</v>
      </c>
      <c r="Q35" s="689"/>
      <c r="R35" s="683">
        <f t="shared" si="3"/>
        <v>1333051</v>
      </c>
      <c r="S35" s="567"/>
    </row>
    <row r="36" spans="1:19" s="678" customFormat="1" ht="34.950000000000003" customHeight="1">
      <c r="A36" s="676">
        <v>22</v>
      </c>
      <c r="B36" s="677" t="str">
        <f>'Tên thang 01-26'!E25</f>
        <v>សៀក សំ</v>
      </c>
      <c r="C36" s="690" t="str">
        <f>'Tên thang 01-26'!F25</f>
        <v>SIEK SAM</v>
      </c>
      <c r="D36" s="680">
        <v>22</v>
      </c>
      <c r="E36" s="681">
        <v>31947</v>
      </c>
      <c r="F36" s="682">
        <f t="shared" si="0"/>
        <v>5.94</v>
      </c>
      <c r="G36" s="683">
        <v>189765</v>
      </c>
      <c r="H36" s="682">
        <f>'KL 1'!AG38</f>
        <v>13.940000000000001</v>
      </c>
      <c r="I36" s="683">
        <f t="shared" si="4"/>
        <v>445341</v>
      </c>
      <c r="J36" s="684"/>
      <c r="K36" s="683"/>
      <c r="L36" s="685">
        <f t="shared" si="1"/>
        <v>635106</v>
      </c>
      <c r="M36" s="683">
        <f t="shared" si="2"/>
        <v>189765</v>
      </c>
      <c r="N36" s="686">
        <f t="shared" si="5"/>
        <v>12702</v>
      </c>
      <c r="O36" s="687">
        <f t="shared" si="6"/>
        <v>0</v>
      </c>
      <c r="P36" s="688">
        <f t="shared" si="7"/>
        <v>202467</v>
      </c>
      <c r="Q36" s="689"/>
      <c r="R36" s="683">
        <f t="shared" si="3"/>
        <v>432639</v>
      </c>
      <c r="S36" s="567"/>
    </row>
    <row r="37" spans="1:19" s="678" customFormat="1" ht="34.950000000000003" customHeight="1">
      <c r="A37" s="676">
        <v>23</v>
      </c>
      <c r="B37" s="677" t="str">
        <f>'Tên thang 01-26'!E26</f>
        <v>ឆែម ឆុំ</v>
      </c>
      <c r="C37" s="690" t="str">
        <f>'Tên thang 01-26'!F26</f>
        <v>CHHEIM CHHOM</v>
      </c>
      <c r="D37" s="680">
        <v>23</v>
      </c>
      <c r="E37" s="681">
        <v>31947</v>
      </c>
      <c r="F37" s="682">
        <f t="shared" si="0"/>
        <v>15.54</v>
      </c>
      <c r="G37" s="683">
        <v>496456</v>
      </c>
      <c r="H37" s="682">
        <f>'KL 1'!AG39</f>
        <v>39.739999999999995</v>
      </c>
      <c r="I37" s="683">
        <f t="shared" si="4"/>
        <v>1269574</v>
      </c>
      <c r="J37" s="684"/>
      <c r="K37" s="683"/>
      <c r="L37" s="685">
        <f t="shared" si="1"/>
        <v>1766030</v>
      </c>
      <c r="M37" s="683">
        <f t="shared" si="2"/>
        <v>496456</v>
      </c>
      <c r="N37" s="686">
        <f t="shared" si="5"/>
        <v>24000</v>
      </c>
      <c r="O37" s="687">
        <f t="shared" si="6"/>
        <v>12102</v>
      </c>
      <c r="P37" s="688">
        <f t="shared" si="7"/>
        <v>532558</v>
      </c>
      <c r="Q37" s="689"/>
      <c r="R37" s="683">
        <f t="shared" si="3"/>
        <v>1233472</v>
      </c>
      <c r="S37" s="567"/>
    </row>
    <row r="38" spans="1:19" s="678" customFormat="1" ht="34.950000000000003" customHeight="1">
      <c r="A38" s="676">
        <v>24</v>
      </c>
      <c r="B38" s="677" t="str">
        <f>'Tên thang 01-26'!E27</f>
        <v>សុទ្ធ សុខជា</v>
      </c>
      <c r="C38" s="690" t="str">
        <f>'Tên thang 01-26'!F27</f>
        <v>SOTH SOKCHEA</v>
      </c>
      <c r="D38" s="680">
        <v>24</v>
      </c>
      <c r="E38" s="681">
        <v>31947</v>
      </c>
      <c r="F38" s="682">
        <f t="shared" si="0"/>
        <v>17.38</v>
      </c>
      <c r="G38" s="683">
        <v>555239</v>
      </c>
      <c r="H38" s="682">
        <f>'KL 1'!AG40</f>
        <v>38.119999999999997</v>
      </c>
      <c r="I38" s="683">
        <f t="shared" si="4"/>
        <v>1217820</v>
      </c>
      <c r="J38" s="684"/>
      <c r="K38" s="683"/>
      <c r="L38" s="685">
        <f t="shared" si="1"/>
        <v>1773059</v>
      </c>
      <c r="M38" s="683">
        <f t="shared" si="2"/>
        <v>555239</v>
      </c>
      <c r="N38" s="686">
        <f t="shared" si="5"/>
        <v>24000</v>
      </c>
      <c r="O38" s="687">
        <f t="shared" si="6"/>
        <v>12453</v>
      </c>
      <c r="P38" s="688">
        <f t="shared" si="7"/>
        <v>591692</v>
      </c>
      <c r="Q38" s="689"/>
      <c r="R38" s="683">
        <f t="shared" si="3"/>
        <v>1181367</v>
      </c>
      <c r="S38" s="567"/>
    </row>
    <row r="39" spans="1:19" s="678" customFormat="1" ht="34.950000000000003" customHeight="1">
      <c r="A39" s="676">
        <v>25</v>
      </c>
      <c r="B39" s="677" t="str">
        <f>'Tên thang 01-26'!E28</f>
        <v>ពិន ឆេន</v>
      </c>
      <c r="C39" s="690" t="str">
        <f>'Tên thang 01-26'!F28</f>
        <v>PIN CHHEN</v>
      </c>
      <c r="D39" s="680">
        <v>25</v>
      </c>
      <c r="E39" s="681">
        <v>31947</v>
      </c>
      <c r="F39" s="682">
        <f t="shared" si="0"/>
        <v>16.13</v>
      </c>
      <c r="G39" s="683">
        <v>515305</v>
      </c>
      <c r="H39" s="682">
        <f>'KL 1'!AG41</f>
        <v>39.6</v>
      </c>
      <c r="I39" s="683">
        <f t="shared" si="4"/>
        <v>1265101</v>
      </c>
      <c r="J39" s="684"/>
      <c r="K39" s="683"/>
      <c r="L39" s="685">
        <f t="shared" si="1"/>
        <v>1780406</v>
      </c>
      <c r="M39" s="683">
        <f t="shared" si="2"/>
        <v>515305</v>
      </c>
      <c r="N39" s="686">
        <f t="shared" si="5"/>
        <v>24000</v>
      </c>
      <c r="O39" s="687">
        <f t="shared" si="6"/>
        <v>12820</v>
      </c>
      <c r="P39" s="688">
        <f t="shared" si="7"/>
        <v>552125</v>
      </c>
      <c r="Q39" s="689"/>
      <c r="R39" s="683">
        <f t="shared" si="3"/>
        <v>1228281</v>
      </c>
      <c r="S39" s="567"/>
    </row>
    <row r="40" spans="1:19" s="678" customFormat="1" ht="34.950000000000003" customHeight="1">
      <c r="A40" s="676">
        <v>26</v>
      </c>
      <c r="B40" s="677" t="str">
        <f>'Tên thang 01-26'!E29</f>
        <v>កេត នី</v>
      </c>
      <c r="C40" s="690" t="str">
        <f>'Tên thang 01-26'!F29</f>
        <v>KET NY</v>
      </c>
      <c r="D40" s="680">
        <v>26</v>
      </c>
      <c r="E40" s="681">
        <v>31947</v>
      </c>
      <c r="F40" s="682">
        <f t="shared" si="0"/>
        <v>15.87</v>
      </c>
      <c r="G40" s="683">
        <v>506999</v>
      </c>
      <c r="H40" s="682">
        <f>'KL 1'!AG42</f>
        <v>40.339999999999996</v>
      </c>
      <c r="I40" s="683">
        <f t="shared" si="4"/>
        <v>1288742</v>
      </c>
      <c r="J40" s="684"/>
      <c r="K40" s="683"/>
      <c r="L40" s="685">
        <f t="shared" si="1"/>
        <v>1795741</v>
      </c>
      <c r="M40" s="683">
        <f t="shared" si="2"/>
        <v>506999</v>
      </c>
      <c r="N40" s="686">
        <f t="shared" si="5"/>
        <v>24000</v>
      </c>
      <c r="O40" s="687">
        <f t="shared" si="6"/>
        <v>13587</v>
      </c>
      <c r="P40" s="688">
        <f t="shared" si="7"/>
        <v>544586</v>
      </c>
      <c r="Q40" s="689"/>
      <c r="R40" s="683">
        <f t="shared" si="3"/>
        <v>1251155</v>
      </c>
      <c r="S40" s="567"/>
    </row>
    <row r="41" spans="1:19" s="678" customFormat="1" ht="34.950000000000003" customHeight="1">
      <c r="A41" s="676">
        <v>27</v>
      </c>
      <c r="B41" s="677" t="str">
        <f>'Tên thang 01-26'!E30</f>
        <v>គៀវ និ</v>
      </c>
      <c r="C41" s="690" t="str">
        <f>'Tên thang 01-26'!F30</f>
        <v>KIEV NIK</v>
      </c>
      <c r="D41" s="680">
        <v>27</v>
      </c>
      <c r="E41" s="681">
        <v>31947</v>
      </c>
      <c r="F41" s="682">
        <f t="shared" si="0"/>
        <v>15.52</v>
      </c>
      <c r="G41" s="683">
        <v>495817</v>
      </c>
      <c r="H41" s="682">
        <f>'KL 1'!AG43</f>
        <v>39.339999999999996</v>
      </c>
      <c r="I41" s="683">
        <f t="shared" si="4"/>
        <v>1256795</v>
      </c>
      <c r="J41" s="684"/>
      <c r="K41" s="683"/>
      <c r="L41" s="685">
        <f t="shared" si="1"/>
        <v>1752612</v>
      </c>
      <c r="M41" s="683">
        <f t="shared" si="2"/>
        <v>495817</v>
      </c>
      <c r="N41" s="686">
        <f t="shared" si="5"/>
        <v>24000</v>
      </c>
      <c r="O41" s="687">
        <f t="shared" si="6"/>
        <v>11431</v>
      </c>
      <c r="P41" s="688">
        <f t="shared" si="7"/>
        <v>531248</v>
      </c>
      <c r="Q41" s="689"/>
      <c r="R41" s="683">
        <f t="shared" si="3"/>
        <v>1221364</v>
      </c>
      <c r="S41" s="567"/>
    </row>
    <row r="42" spans="1:19" s="678" customFormat="1" ht="33" customHeight="1">
      <c r="A42" s="676">
        <v>28</v>
      </c>
      <c r="B42" s="677" t="str">
        <f>'Tên thang 01-26'!E31</f>
        <v>ដួត ដែន</v>
      </c>
      <c r="C42" s="690" t="str">
        <f>'Tên thang 01-26'!F31</f>
        <v>DOUT DEN</v>
      </c>
      <c r="D42" s="680">
        <v>28</v>
      </c>
      <c r="E42" s="681">
        <v>31947</v>
      </c>
      <c r="F42" s="682">
        <f t="shared" si="0"/>
        <v>13.54</v>
      </c>
      <c r="G42" s="683">
        <v>432562</v>
      </c>
      <c r="H42" s="682">
        <f>'KL 1'!AG44</f>
        <v>33.56</v>
      </c>
      <c r="I42" s="683">
        <f t="shared" si="4"/>
        <v>1072141</v>
      </c>
      <c r="J42" s="684"/>
      <c r="K42" s="683"/>
      <c r="L42" s="685">
        <f t="shared" si="1"/>
        <v>1504703</v>
      </c>
      <c r="M42" s="683">
        <f t="shared" si="2"/>
        <v>432562</v>
      </c>
      <c r="N42" s="686">
        <f t="shared" si="5"/>
        <v>24000</v>
      </c>
      <c r="O42" s="687">
        <f t="shared" si="6"/>
        <v>0</v>
      </c>
      <c r="P42" s="688">
        <f t="shared" si="7"/>
        <v>456562</v>
      </c>
      <c r="Q42" s="689"/>
      <c r="R42" s="683">
        <f t="shared" si="3"/>
        <v>1048141</v>
      </c>
      <c r="S42" s="567"/>
    </row>
    <row r="43" spans="1:19" s="678" customFormat="1" ht="33" customHeight="1">
      <c r="A43" s="676">
        <v>29</v>
      </c>
      <c r="B43" s="677" t="str">
        <f>'Tên thang 01-26'!E32</f>
        <v>ចាយ ពន្លក</v>
      </c>
      <c r="C43" s="690" t="str">
        <f>'Tên thang 01-26'!F32</f>
        <v>CHAY PONLOK</v>
      </c>
      <c r="D43" s="680">
        <v>29</v>
      </c>
      <c r="E43" s="681">
        <v>31947</v>
      </c>
      <c r="F43" s="682">
        <f t="shared" si="0"/>
        <v>11.89</v>
      </c>
      <c r="G43" s="683">
        <v>379850</v>
      </c>
      <c r="H43" s="682">
        <f>'KL 1'!AG45</f>
        <v>31.92</v>
      </c>
      <c r="I43" s="683">
        <f t="shared" si="4"/>
        <v>1019748</v>
      </c>
      <c r="J43" s="684"/>
      <c r="K43" s="683"/>
      <c r="L43" s="685">
        <f t="shared" si="1"/>
        <v>1399598</v>
      </c>
      <c r="M43" s="683">
        <f t="shared" si="2"/>
        <v>379850</v>
      </c>
      <c r="N43" s="686">
        <f t="shared" si="5"/>
        <v>24000</v>
      </c>
      <c r="O43" s="687">
        <f t="shared" si="6"/>
        <v>0</v>
      </c>
      <c r="P43" s="688">
        <f t="shared" si="7"/>
        <v>403850</v>
      </c>
      <c r="Q43" s="689"/>
      <c r="R43" s="683">
        <f t="shared" si="3"/>
        <v>995748</v>
      </c>
      <c r="S43" s="567"/>
    </row>
    <row r="44" spans="1:19" s="678" customFormat="1" ht="33" customHeight="1">
      <c r="A44" s="676">
        <v>30</v>
      </c>
      <c r="B44" s="677" t="str">
        <f>'Tên thang 01-26'!E33</f>
        <v>សំ ផុន</v>
      </c>
      <c r="C44" s="690" t="str">
        <f>'Tên thang 01-26'!F33</f>
        <v>SOM PHON</v>
      </c>
      <c r="D44" s="680">
        <v>30</v>
      </c>
      <c r="E44" s="681">
        <v>31947</v>
      </c>
      <c r="F44" s="682">
        <f t="shared" si="0"/>
        <v>17.88</v>
      </c>
      <c r="G44" s="683">
        <v>571212</v>
      </c>
      <c r="H44" s="682">
        <f>'KL 1'!AG46</f>
        <v>40.269999999999996</v>
      </c>
      <c r="I44" s="683">
        <f t="shared" si="4"/>
        <v>1286506</v>
      </c>
      <c r="J44" s="684"/>
      <c r="K44" s="683"/>
      <c r="L44" s="685">
        <f t="shared" si="1"/>
        <v>1857718</v>
      </c>
      <c r="M44" s="683">
        <f t="shared" si="2"/>
        <v>571212</v>
      </c>
      <c r="N44" s="686">
        <f t="shared" si="5"/>
        <v>24000</v>
      </c>
      <c r="O44" s="687">
        <f t="shared" si="6"/>
        <v>16686</v>
      </c>
      <c r="P44" s="688">
        <f t="shared" si="7"/>
        <v>611898</v>
      </c>
      <c r="Q44" s="689"/>
      <c r="R44" s="683">
        <f t="shared" si="3"/>
        <v>1245820</v>
      </c>
      <c r="S44" s="567"/>
    </row>
    <row r="45" spans="1:19" s="678" customFormat="1" ht="33" customHeight="1">
      <c r="A45" s="676">
        <v>31</v>
      </c>
      <c r="B45" s="677" t="str">
        <f>'Tên thang 01-26'!E34</f>
        <v>អ៊ុន ឆវ័ន</v>
      </c>
      <c r="C45" s="690" t="str">
        <f>'Tên thang 01-26'!F34</f>
        <v>UN CHORVON</v>
      </c>
      <c r="D45" s="680">
        <v>31</v>
      </c>
      <c r="E45" s="681">
        <v>31947</v>
      </c>
      <c r="F45" s="682">
        <f t="shared" si="0"/>
        <v>16.670000000000002</v>
      </c>
      <c r="G45" s="683">
        <v>532556</v>
      </c>
      <c r="H45" s="682">
        <f>'KL 1'!AG47</f>
        <v>36.89</v>
      </c>
      <c r="I45" s="683">
        <f t="shared" si="4"/>
        <v>1178525</v>
      </c>
      <c r="J45" s="684"/>
      <c r="K45" s="683"/>
      <c r="L45" s="685">
        <f t="shared" si="1"/>
        <v>1711081</v>
      </c>
      <c r="M45" s="683">
        <f t="shared" si="2"/>
        <v>532556</v>
      </c>
      <c r="N45" s="686">
        <f t="shared" si="5"/>
        <v>24000</v>
      </c>
      <c r="O45" s="687">
        <f t="shared" si="6"/>
        <v>9354</v>
      </c>
      <c r="P45" s="688">
        <f t="shared" si="7"/>
        <v>565910</v>
      </c>
      <c r="Q45" s="689"/>
      <c r="R45" s="683">
        <f t="shared" si="3"/>
        <v>1145171</v>
      </c>
      <c r="S45" s="567"/>
    </row>
    <row r="46" spans="1:19" s="678" customFormat="1" ht="33" customHeight="1">
      <c r="A46" s="676">
        <v>32</v>
      </c>
      <c r="B46" s="677" t="str">
        <f>'Tên thang 01-26'!E35</f>
        <v>ប៉ិល ថា</v>
      </c>
      <c r="C46" s="690" t="str">
        <f>'Tên thang 01-26'!F35</f>
        <v>PEL THA</v>
      </c>
      <c r="D46" s="680">
        <v>32</v>
      </c>
      <c r="E46" s="681">
        <v>31947</v>
      </c>
      <c r="F46" s="682">
        <f t="shared" si="0"/>
        <v>15.46</v>
      </c>
      <c r="G46" s="683">
        <v>493901</v>
      </c>
      <c r="H46" s="682">
        <f>'KL 1'!AG48</f>
        <v>37.049999999999997</v>
      </c>
      <c r="I46" s="683">
        <f t="shared" si="4"/>
        <v>1183636</v>
      </c>
      <c r="J46" s="684"/>
      <c r="K46" s="683"/>
      <c r="L46" s="685">
        <f t="shared" si="1"/>
        <v>1677537</v>
      </c>
      <c r="M46" s="683">
        <f t="shared" si="2"/>
        <v>493901</v>
      </c>
      <c r="N46" s="686">
        <f t="shared" si="5"/>
        <v>24000</v>
      </c>
      <c r="O46" s="687">
        <f t="shared" si="6"/>
        <v>7677</v>
      </c>
      <c r="P46" s="688">
        <f t="shared" si="7"/>
        <v>525578</v>
      </c>
      <c r="Q46" s="689"/>
      <c r="R46" s="683">
        <f t="shared" si="3"/>
        <v>1151959</v>
      </c>
      <c r="S46" s="567"/>
    </row>
    <row r="47" spans="1:19" s="678" customFormat="1" ht="33" customHeight="1">
      <c r="A47" s="676">
        <v>33</v>
      </c>
      <c r="B47" s="677" t="str">
        <f>'Tên thang 01-26'!E36</f>
        <v>ប៉ិល ផល្លា</v>
      </c>
      <c r="C47" s="690" t="str">
        <f>'Tên thang 01-26'!F36</f>
        <v>PEL PHALLA</v>
      </c>
      <c r="D47" s="680">
        <v>33</v>
      </c>
      <c r="E47" s="681">
        <v>31947</v>
      </c>
      <c r="F47" s="682">
        <f t="shared" si="0"/>
        <v>17.329999999999998</v>
      </c>
      <c r="G47" s="683">
        <v>553642</v>
      </c>
      <c r="H47" s="682">
        <f>'KL 1'!AG49</f>
        <v>39.169999999999995</v>
      </c>
      <c r="I47" s="683">
        <f t="shared" si="4"/>
        <v>1251364</v>
      </c>
      <c r="J47" s="684"/>
      <c r="K47" s="683"/>
      <c r="L47" s="685">
        <f t="shared" si="1"/>
        <v>1805006</v>
      </c>
      <c r="M47" s="683">
        <f t="shared" si="2"/>
        <v>553642</v>
      </c>
      <c r="N47" s="686">
        <f t="shared" si="5"/>
        <v>24000</v>
      </c>
      <c r="O47" s="687">
        <f t="shared" si="6"/>
        <v>14050</v>
      </c>
      <c r="P47" s="688">
        <f t="shared" si="7"/>
        <v>591692</v>
      </c>
      <c r="Q47" s="689"/>
      <c r="R47" s="683">
        <f t="shared" si="3"/>
        <v>1213314</v>
      </c>
      <c r="S47" s="567"/>
    </row>
    <row r="48" spans="1:19" s="678" customFormat="1" ht="33" customHeight="1">
      <c r="A48" s="676">
        <v>34</v>
      </c>
      <c r="B48" s="677" t="str">
        <f>'Tên thang 01-26'!E37</f>
        <v>យៀត ឌី</v>
      </c>
      <c r="C48" s="690" t="str">
        <f>'Tên thang 01-26'!F37</f>
        <v>YIEN DY</v>
      </c>
      <c r="D48" s="680">
        <v>34</v>
      </c>
      <c r="E48" s="681">
        <v>31947</v>
      </c>
      <c r="F48" s="682">
        <f t="shared" si="0"/>
        <v>16.309999999999999</v>
      </c>
      <c r="G48" s="683">
        <v>521056</v>
      </c>
      <c r="H48" s="682">
        <f>'KL 1'!AG50</f>
        <v>39.22</v>
      </c>
      <c r="I48" s="683">
        <f t="shared" si="4"/>
        <v>1252961</v>
      </c>
      <c r="J48" s="684"/>
      <c r="K48" s="683"/>
      <c r="L48" s="685">
        <f t="shared" si="1"/>
        <v>1774017</v>
      </c>
      <c r="M48" s="683">
        <f t="shared" si="2"/>
        <v>521056</v>
      </c>
      <c r="N48" s="686">
        <f t="shared" si="5"/>
        <v>24000</v>
      </c>
      <c r="O48" s="687">
        <f t="shared" si="6"/>
        <v>12501</v>
      </c>
      <c r="P48" s="688">
        <f t="shared" si="7"/>
        <v>557557</v>
      </c>
      <c r="Q48" s="689"/>
      <c r="R48" s="683">
        <f t="shared" si="3"/>
        <v>1216460</v>
      </c>
      <c r="S48" s="567"/>
    </row>
    <row r="49" spans="1:21" s="678" customFormat="1" ht="33" customHeight="1">
      <c r="A49" s="676">
        <v>35</v>
      </c>
      <c r="B49" s="677" t="str">
        <f>'Tên thang 01-26'!E38</f>
        <v>រឿន ចាន់រ៉ា</v>
      </c>
      <c r="C49" s="690" t="str">
        <f>'Tên thang 01-26'!F38</f>
        <v>ROEUN CHANRA</v>
      </c>
      <c r="D49" s="680">
        <v>35</v>
      </c>
      <c r="E49" s="681">
        <v>31947</v>
      </c>
      <c r="F49" s="682">
        <f t="shared" si="0"/>
        <v>14.77</v>
      </c>
      <c r="G49" s="683">
        <v>471857</v>
      </c>
      <c r="H49" s="682">
        <f>'KL 1'!AG51</f>
        <v>36.68</v>
      </c>
      <c r="I49" s="683">
        <f t="shared" si="4"/>
        <v>1171816</v>
      </c>
      <c r="J49" s="684"/>
      <c r="K49" s="683"/>
      <c r="L49" s="685">
        <f t="shared" si="1"/>
        <v>1643673</v>
      </c>
      <c r="M49" s="683">
        <f t="shared" si="2"/>
        <v>471857</v>
      </c>
      <c r="N49" s="686">
        <f t="shared" si="5"/>
        <v>24000</v>
      </c>
      <c r="O49" s="687">
        <f t="shared" si="6"/>
        <v>5984</v>
      </c>
      <c r="P49" s="688">
        <f t="shared" si="7"/>
        <v>501841</v>
      </c>
      <c r="Q49" s="689"/>
      <c r="R49" s="683">
        <f t="shared" si="3"/>
        <v>1141832</v>
      </c>
      <c r="S49" s="567"/>
    </row>
    <row r="50" spans="1:21" s="678" customFormat="1" ht="33" customHeight="1">
      <c r="A50" s="676">
        <v>36</v>
      </c>
      <c r="B50" s="677" t="str">
        <f>'Tên thang 01-26'!E39</f>
        <v>អៀវ សុភ័ណ្ឌ</v>
      </c>
      <c r="C50" s="690" t="str">
        <f>'Tên thang 01-26'!F39</f>
        <v>IEV SOPHORN</v>
      </c>
      <c r="D50" s="680">
        <v>36</v>
      </c>
      <c r="E50" s="681">
        <v>31947</v>
      </c>
      <c r="F50" s="682">
        <f t="shared" si="0"/>
        <v>16.649999999999999</v>
      </c>
      <c r="G50" s="683">
        <v>531918</v>
      </c>
      <c r="H50" s="682">
        <f>'KL 1'!AG52</f>
        <v>37.33</v>
      </c>
      <c r="I50" s="683">
        <f t="shared" si="4"/>
        <v>1192582</v>
      </c>
      <c r="J50" s="684"/>
      <c r="K50" s="683"/>
      <c r="L50" s="685">
        <f t="shared" si="1"/>
        <v>1724500</v>
      </c>
      <c r="M50" s="683">
        <f t="shared" si="2"/>
        <v>531918</v>
      </c>
      <c r="N50" s="686">
        <f t="shared" si="5"/>
        <v>24000</v>
      </c>
      <c r="O50" s="687">
        <f t="shared" si="6"/>
        <v>10025</v>
      </c>
      <c r="P50" s="688">
        <f t="shared" si="7"/>
        <v>565943</v>
      </c>
      <c r="Q50" s="689"/>
      <c r="R50" s="683">
        <f t="shared" si="3"/>
        <v>1158557</v>
      </c>
      <c r="S50" s="567"/>
    </row>
    <row r="51" spans="1:21" s="678" customFormat="1" ht="33" customHeight="1">
      <c r="A51" s="676">
        <v>37</v>
      </c>
      <c r="B51" s="677" t="str">
        <f>'Tên thang 01-26'!E40</f>
        <v>គុយ សឿន</v>
      </c>
      <c r="C51" s="690" t="str">
        <f>'Tên thang 01-26'!F40</f>
        <v>KUY SOEUN</v>
      </c>
      <c r="D51" s="680">
        <v>37</v>
      </c>
      <c r="E51" s="681">
        <v>31947</v>
      </c>
      <c r="F51" s="682">
        <f t="shared" si="0"/>
        <v>16.079999999999998</v>
      </c>
      <c r="G51" s="683">
        <v>513708</v>
      </c>
      <c r="H51" s="682">
        <f>'KL 1'!AG53</f>
        <v>37.659999999999997</v>
      </c>
      <c r="I51" s="683">
        <f t="shared" si="4"/>
        <v>1203124</v>
      </c>
      <c r="J51" s="684"/>
      <c r="K51" s="683"/>
      <c r="L51" s="685">
        <f t="shared" si="1"/>
        <v>1716832</v>
      </c>
      <c r="M51" s="683">
        <f t="shared" si="2"/>
        <v>513708</v>
      </c>
      <c r="N51" s="686">
        <f t="shared" si="5"/>
        <v>24000</v>
      </c>
      <c r="O51" s="687">
        <f t="shared" si="6"/>
        <v>9642</v>
      </c>
      <c r="P51" s="688">
        <f t="shared" si="7"/>
        <v>547350</v>
      </c>
      <c r="Q51" s="689"/>
      <c r="R51" s="683">
        <f t="shared" si="3"/>
        <v>1169482</v>
      </c>
      <c r="S51" s="567"/>
    </row>
    <row r="52" spans="1:21" s="678" customFormat="1" ht="33" customHeight="1">
      <c r="A52" s="676">
        <v>38</v>
      </c>
      <c r="B52" s="677" t="str">
        <f>'Tên thang 01-26'!E41</f>
        <v>សាំ សុរីសា</v>
      </c>
      <c r="C52" s="690" t="str">
        <f>'Tên thang 01-26'!F41</f>
        <v>SAM SORYSA</v>
      </c>
      <c r="D52" s="680">
        <v>38</v>
      </c>
      <c r="E52" s="681">
        <v>31947</v>
      </c>
      <c r="F52" s="682">
        <f t="shared" si="0"/>
        <v>16.34</v>
      </c>
      <c r="G52" s="683">
        <v>522014</v>
      </c>
      <c r="H52" s="682">
        <f>'KL 1'!AG54</f>
        <v>37.76</v>
      </c>
      <c r="I52" s="683">
        <f t="shared" si="4"/>
        <v>1206319</v>
      </c>
      <c r="J52" s="684"/>
      <c r="K52" s="683"/>
      <c r="L52" s="685">
        <f t="shared" si="1"/>
        <v>1728333</v>
      </c>
      <c r="M52" s="683">
        <f t="shared" si="2"/>
        <v>522014</v>
      </c>
      <c r="N52" s="686">
        <f t="shared" si="5"/>
        <v>24000</v>
      </c>
      <c r="O52" s="687">
        <f t="shared" si="6"/>
        <v>10217</v>
      </c>
      <c r="P52" s="688">
        <f t="shared" si="7"/>
        <v>556231</v>
      </c>
      <c r="Q52" s="689"/>
      <c r="R52" s="683">
        <f t="shared" si="3"/>
        <v>1172102</v>
      </c>
      <c r="S52" s="567"/>
    </row>
    <row r="53" spans="1:21" s="678" customFormat="1" ht="33" customHeight="1">
      <c r="A53" s="676">
        <v>39</v>
      </c>
      <c r="B53" s="677" t="str">
        <f>'Tên thang 01-26'!E42</f>
        <v>មាស សំបាន</v>
      </c>
      <c r="C53" s="690" t="str">
        <f>'Tên thang 01-26'!F42</f>
        <v>MEAS SOM BAN</v>
      </c>
      <c r="D53" s="680">
        <v>39</v>
      </c>
      <c r="E53" s="681">
        <v>31947</v>
      </c>
      <c r="F53" s="682">
        <f t="shared" si="0"/>
        <v>15.5</v>
      </c>
      <c r="G53" s="683">
        <v>495179</v>
      </c>
      <c r="H53" s="682">
        <f>'KL 1'!AG55</f>
        <v>26.85</v>
      </c>
      <c r="I53" s="683">
        <f t="shared" si="4"/>
        <v>857777</v>
      </c>
      <c r="J53" s="684"/>
      <c r="K53" s="683"/>
      <c r="L53" s="685">
        <f t="shared" si="1"/>
        <v>1352956</v>
      </c>
      <c r="M53" s="683">
        <f t="shared" si="2"/>
        <v>495179</v>
      </c>
      <c r="N53" s="686">
        <f t="shared" si="5"/>
        <v>24000</v>
      </c>
      <c r="O53" s="687">
        <f t="shared" si="6"/>
        <v>0</v>
      </c>
      <c r="P53" s="688">
        <f t="shared" si="7"/>
        <v>519179</v>
      </c>
      <c r="Q53" s="689"/>
      <c r="R53" s="683">
        <f t="shared" si="3"/>
        <v>833777</v>
      </c>
      <c r="S53" s="567"/>
    </row>
    <row r="54" spans="1:21" s="678" customFormat="1" ht="33" customHeight="1">
      <c r="A54" s="676">
        <v>40</v>
      </c>
      <c r="B54" s="677" t="str">
        <f>'Tên thang 01-26'!E43</f>
        <v>សុទ្ធ ឡៃហ័ន</v>
      </c>
      <c r="C54" s="690" t="str">
        <f>'Tên thang 01-26'!F43</f>
        <v>SOT LAYHORN</v>
      </c>
      <c r="D54" s="680">
        <v>40</v>
      </c>
      <c r="E54" s="681">
        <v>31947</v>
      </c>
      <c r="F54" s="682">
        <f t="shared" si="0"/>
        <v>15.48</v>
      </c>
      <c r="G54" s="683">
        <v>494540</v>
      </c>
      <c r="H54" s="682">
        <f>'KL 1'!AG56</f>
        <v>37.97</v>
      </c>
      <c r="I54" s="683">
        <f t="shared" si="4"/>
        <v>1213028</v>
      </c>
      <c r="J54" s="684"/>
      <c r="K54" s="683"/>
      <c r="L54" s="685">
        <f t="shared" si="1"/>
        <v>1707568</v>
      </c>
      <c r="M54" s="683">
        <f t="shared" si="2"/>
        <v>494540</v>
      </c>
      <c r="N54" s="686">
        <f t="shared" si="5"/>
        <v>24000</v>
      </c>
      <c r="O54" s="687">
        <f t="shared" si="6"/>
        <v>9178</v>
      </c>
      <c r="P54" s="688">
        <f t="shared" si="7"/>
        <v>527718</v>
      </c>
      <c r="Q54" s="689"/>
      <c r="R54" s="683">
        <f t="shared" si="3"/>
        <v>1179850</v>
      </c>
      <c r="S54" s="567"/>
    </row>
    <row r="55" spans="1:21" s="678" customFormat="1" ht="33" customHeight="1">
      <c r="A55" s="676">
        <v>41</v>
      </c>
      <c r="B55" s="677" t="str">
        <f>'Tên thang 01-26'!E44</f>
        <v>អឿង សំអុល</v>
      </c>
      <c r="C55" s="690" t="str">
        <f>'Tên thang 01-26'!F44</f>
        <v>OENG SAMOL</v>
      </c>
      <c r="D55" s="680">
        <v>41</v>
      </c>
      <c r="E55" s="681">
        <v>31947</v>
      </c>
      <c r="F55" s="682">
        <f t="shared" si="0"/>
        <v>14.23</v>
      </c>
      <c r="G55" s="683">
        <v>454606</v>
      </c>
      <c r="H55" s="682">
        <f>'KL 1'!AG57</f>
        <v>36.709999999999994</v>
      </c>
      <c r="I55" s="683">
        <f t="shared" si="4"/>
        <v>1172774</v>
      </c>
      <c r="J55" s="684"/>
      <c r="K55" s="683"/>
      <c r="L55" s="685">
        <f t="shared" si="1"/>
        <v>1627380</v>
      </c>
      <c r="M55" s="683">
        <f t="shared" si="2"/>
        <v>454606</v>
      </c>
      <c r="N55" s="686">
        <f t="shared" si="5"/>
        <v>24000</v>
      </c>
      <c r="O55" s="687">
        <f t="shared" si="6"/>
        <v>5169</v>
      </c>
      <c r="P55" s="688">
        <f t="shared" si="7"/>
        <v>483775</v>
      </c>
      <c r="Q55" s="689"/>
      <c r="R55" s="683">
        <f t="shared" si="3"/>
        <v>1143605</v>
      </c>
      <c r="S55" s="567"/>
    </row>
    <row r="56" spans="1:21" s="678" customFormat="1" ht="33" customHeight="1">
      <c r="A56" s="676">
        <v>42</v>
      </c>
      <c r="B56" s="677" t="str">
        <f>'Tên thang 01-26'!E45</f>
        <v>ឡា​ឡច</v>
      </c>
      <c r="C56" s="690" t="str">
        <f>'Tên thang 01-26'!F45</f>
        <v>LA LOCH</v>
      </c>
      <c r="D56" s="680">
        <v>42</v>
      </c>
      <c r="E56" s="681">
        <v>31947</v>
      </c>
      <c r="F56" s="682">
        <f t="shared" si="0"/>
        <v>18.03</v>
      </c>
      <c r="G56" s="683">
        <v>576004</v>
      </c>
      <c r="H56" s="682">
        <f>'KL 1'!AG58</f>
        <v>41.58</v>
      </c>
      <c r="I56" s="683">
        <f t="shared" si="4"/>
        <v>1328356</v>
      </c>
      <c r="J56" s="684"/>
      <c r="K56" s="683"/>
      <c r="L56" s="685">
        <f t="shared" si="1"/>
        <v>1904360</v>
      </c>
      <c r="M56" s="683">
        <f t="shared" si="2"/>
        <v>576004</v>
      </c>
      <c r="N56" s="686">
        <f t="shared" si="5"/>
        <v>24000</v>
      </c>
      <c r="O56" s="687">
        <f t="shared" si="6"/>
        <v>19018</v>
      </c>
      <c r="P56" s="688">
        <f t="shared" si="7"/>
        <v>619022</v>
      </c>
      <c r="Q56" s="689"/>
      <c r="R56" s="683">
        <f t="shared" si="3"/>
        <v>1285338</v>
      </c>
      <c r="S56" s="567"/>
    </row>
    <row r="57" spans="1:21" s="678" customFormat="1" ht="33" customHeight="1">
      <c r="A57" s="676">
        <v>43</v>
      </c>
      <c r="B57" s="677" t="str">
        <f>'Tên thang 01-26'!E46</f>
        <v>សៀក សំ</v>
      </c>
      <c r="C57" s="690" t="str">
        <f>'Tên thang 01-26'!F46</f>
        <v>SIEK SOM</v>
      </c>
      <c r="D57" s="680">
        <v>43</v>
      </c>
      <c r="E57" s="681">
        <v>31947</v>
      </c>
      <c r="F57" s="682">
        <f t="shared" si="0"/>
        <v>14.07</v>
      </c>
      <c r="G57" s="683">
        <v>449494</v>
      </c>
      <c r="H57" s="682">
        <f>'KL 1'!AG59</f>
        <v>36.78</v>
      </c>
      <c r="I57" s="683">
        <f t="shared" si="4"/>
        <v>1175011</v>
      </c>
      <c r="J57" s="684"/>
      <c r="K57" s="683"/>
      <c r="L57" s="685">
        <f t="shared" si="1"/>
        <v>1624505</v>
      </c>
      <c r="M57" s="683">
        <f t="shared" si="2"/>
        <v>449494</v>
      </c>
      <c r="N57" s="686">
        <f t="shared" si="5"/>
        <v>24000</v>
      </c>
      <c r="O57" s="687">
        <f t="shared" si="6"/>
        <v>5025</v>
      </c>
      <c r="P57" s="688">
        <f t="shared" si="7"/>
        <v>478519</v>
      </c>
      <c r="Q57" s="689"/>
      <c r="R57" s="683">
        <f t="shared" si="3"/>
        <v>1145986</v>
      </c>
      <c r="S57" s="567"/>
    </row>
    <row r="58" spans="1:21" s="678" customFormat="1" ht="33" customHeight="1">
      <c r="A58" s="676">
        <v>44</v>
      </c>
      <c r="B58" s="677" t="str">
        <f>'Tên thang 01-26'!E47</f>
        <v>អ៊ីម សារ៉ាន</v>
      </c>
      <c r="C58" s="690" t="str">
        <f>'Tên thang 01-26'!F47</f>
        <v>IM SARAN</v>
      </c>
      <c r="D58" s="680">
        <v>44</v>
      </c>
      <c r="E58" s="681">
        <v>31947</v>
      </c>
      <c r="F58" s="682">
        <f t="shared" si="0"/>
        <v>14.61</v>
      </c>
      <c r="G58" s="683">
        <v>466746</v>
      </c>
      <c r="H58" s="682">
        <f>'KL 1'!AG60</f>
        <v>36.869999999999997</v>
      </c>
      <c r="I58" s="683">
        <f t="shared" si="4"/>
        <v>1177886</v>
      </c>
      <c r="J58" s="684"/>
      <c r="K58" s="683"/>
      <c r="L58" s="685">
        <f t="shared" si="1"/>
        <v>1644632</v>
      </c>
      <c r="M58" s="683">
        <f t="shared" si="2"/>
        <v>466746</v>
      </c>
      <c r="N58" s="686">
        <f t="shared" si="5"/>
        <v>24000</v>
      </c>
      <c r="O58" s="687">
        <f t="shared" si="6"/>
        <v>6032</v>
      </c>
      <c r="P58" s="688">
        <f t="shared" si="7"/>
        <v>496778</v>
      </c>
      <c r="Q58" s="689"/>
      <c r="R58" s="683">
        <f t="shared" si="3"/>
        <v>1147854</v>
      </c>
      <c r="S58" s="567"/>
    </row>
    <row r="59" spans="1:21" s="678" customFormat="1" ht="33" customHeight="1">
      <c r="A59" s="676">
        <v>45</v>
      </c>
      <c r="B59" s="677" t="str">
        <f>'Tên thang 01-26'!E48</f>
        <v>គាន ខេន</v>
      </c>
      <c r="C59" s="690" t="str">
        <f>'Tên thang 01-26'!F48</f>
        <v>KEAN KHEN</v>
      </c>
      <c r="D59" s="680">
        <v>45</v>
      </c>
      <c r="E59" s="681">
        <v>31947</v>
      </c>
      <c r="F59" s="682">
        <f t="shared" si="0"/>
        <v>14.03</v>
      </c>
      <c r="G59" s="683">
        <v>448216</v>
      </c>
      <c r="H59" s="682">
        <f>'KL 1'!AG61</f>
        <v>29.560000000000002</v>
      </c>
      <c r="I59" s="683">
        <f t="shared" si="4"/>
        <v>944353</v>
      </c>
      <c r="J59" s="684"/>
      <c r="K59" s="683"/>
      <c r="L59" s="685">
        <f t="shared" si="1"/>
        <v>1392569</v>
      </c>
      <c r="M59" s="683">
        <f t="shared" si="2"/>
        <v>448216</v>
      </c>
      <c r="N59" s="686">
        <f t="shared" si="5"/>
        <v>24000</v>
      </c>
      <c r="O59" s="687">
        <f t="shared" si="6"/>
        <v>0</v>
      </c>
      <c r="P59" s="688">
        <f t="shared" si="7"/>
        <v>472216</v>
      </c>
      <c r="Q59" s="689"/>
      <c r="R59" s="683">
        <f t="shared" si="3"/>
        <v>920353</v>
      </c>
      <c r="S59" s="567"/>
    </row>
    <row r="60" spans="1:21" s="678" customFormat="1" ht="33" customHeight="1">
      <c r="A60" s="676">
        <v>46</v>
      </c>
      <c r="B60" s="677" t="str">
        <f>'Tên thang 01-26'!E49</f>
        <v>ទួច សុភាន់</v>
      </c>
      <c r="C60" s="690" t="str">
        <f>'Tên thang 01-26'!F49</f>
        <v>TUOCH SOPHOIN</v>
      </c>
      <c r="D60" s="680">
        <v>46</v>
      </c>
      <c r="E60" s="681">
        <v>31947</v>
      </c>
      <c r="F60" s="682">
        <f t="shared" si="0"/>
        <v>16.64</v>
      </c>
      <c r="G60" s="683">
        <v>531598</v>
      </c>
      <c r="H60" s="682">
        <f>'KL 1'!AG62</f>
        <v>33.46</v>
      </c>
      <c r="I60" s="683">
        <f t="shared" si="4"/>
        <v>1068947</v>
      </c>
      <c r="J60" s="684"/>
      <c r="K60" s="683"/>
      <c r="L60" s="685">
        <f t="shared" si="1"/>
        <v>1600545</v>
      </c>
      <c r="M60" s="683">
        <f t="shared" si="2"/>
        <v>531598</v>
      </c>
      <c r="N60" s="686">
        <f t="shared" si="5"/>
        <v>24000</v>
      </c>
      <c r="O60" s="687">
        <f t="shared" si="6"/>
        <v>3827</v>
      </c>
      <c r="P60" s="688">
        <f t="shared" si="7"/>
        <v>559425</v>
      </c>
      <c r="Q60" s="689"/>
      <c r="R60" s="683">
        <f t="shared" si="3"/>
        <v>1041120</v>
      </c>
      <c r="S60" s="567"/>
      <c r="U60" s="679"/>
    </row>
    <row r="61" spans="1:21" s="678" customFormat="1" ht="33" customHeight="1">
      <c r="A61" s="676">
        <v>47</v>
      </c>
      <c r="B61" s="677" t="str">
        <f>'Tên thang 01-26'!E50</f>
        <v>ឆេង យីន</v>
      </c>
      <c r="C61" s="690" t="str">
        <f>'Tên thang 01-26'!F50</f>
        <v>CHHENG YIN</v>
      </c>
      <c r="D61" s="680">
        <v>47</v>
      </c>
      <c r="E61" s="681">
        <v>31947</v>
      </c>
      <c r="F61" s="682">
        <f t="shared" ref="F61:F124" si="8">ROUND(G61/31947,2)</f>
        <v>10.92</v>
      </c>
      <c r="G61" s="683">
        <v>348861</v>
      </c>
      <c r="H61" s="682">
        <f>'KL 1'!AG63</f>
        <v>28.310000000000002</v>
      </c>
      <c r="I61" s="683">
        <f t="shared" si="4"/>
        <v>904420</v>
      </c>
      <c r="J61" s="684"/>
      <c r="K61" s="683"/>
      <c r="L61" s="685">
        <f t="shared" ref="L61:L124" si="9">G61+I61+K61+J61</f>
        <v>1253281</v>
      </c>
      <c r="M61" s="683">
        <f t="shared" ref="M61:M124" si="10">G61</f>
        <v>348861</v>
      </c>
      <c r="N61" s="686">
        <f t="shared" si="5"/>
        <v>24000</v>
      </c>
      <c r="O61" s="687">
        <f t="shared" ref="O61:O124" si="11">ROUND(IF((L61-(K61+N61))&lt;=1500000,0,IF(AND((L61-(K61+N61))&gt;1500000,(L61-(K61+N61))&lt;=2000000),(L61-(K61+N61))*5%-75000,IF(AND((L61-(K61+N61))&gt;2000000,(L61-(K61+N61))&lt;=8500000),(L61-(K61+N61))*10%-175000))),0)</f>
        <v>0</v>
      </c>
      <c r="P61" s="688">
        <f t="shared" ref="P61:P124" si="12">SUM(M61:O61)</f>
        <v>372861</v>
      </c>
      <c r="Q61" s="689"/>
      <c r="R61" s="683">
        <f t="shared" ref="R61:R124" si="13">L61-P61</f>
        <v>880420</v>
      </c>
      <c r="S61" s="567"/>
      <c r="U61" s="679"/>
    </row>
    <row r="62" spans="1:21" s="678" customFormat="1" ht="48" customHeight="1">
      <c r="A62" s="676">
        <v>48</v>
      </c>
      <c r="B62" s="677" t="str">
        <f>'Tên thang 01-26'!E51</f>
        <v>ឆែម អ៊ិន</v>
      </c>
      <c r="C62" s="690" t="str">
        <f>'Tên thang 01-26'!F51</f>
        <v>CHHEM IN</v>
      </c>
      <c r="D62" s="680">
        <v>137</v>
      </c>
      <c r="E62" s="681">
        <v>31947</v>
      </c>
      <c r="F62" s="682">
        <f t="shared" si="8"/>
        <v>15.6</v>
      </c>
      <c r="G62" s="683">
        <v>498373</v>
      </c>
      <c r="H62" s="682">
        <f>'KL 1'!AG64</f>
        <v>39.270000000000003</v>
      </c>
      <c r="I62" s="683">
        <f t="shared" si="4"/>
        <v>1254559</v>
      </c>
      <c r="J62" s="684"/>
      <c r="K62" s="683"/>
      <c r="L62" s="685">
        <f t="shared" si="9"/>
        <v>1752932</v>
      </c>
      <c r="M62" s="683">
        <f t="shared" si="10"/>
        <v>498373</v>
      </c>
      <c r="N62" s="686">
        <f t="shared" si="5"/>
        <v>24000</v>
      </c>
      <c r="O62" s="687">
        <f t="shared" si="11"/>
        <v>11447</v>
      </c>
      <c r="P62" s="688">
        <f t="shared" si="12"/>
        <v>533820</v>
      </c>
      <c r="Q62" s="689"/>
      <c r="R62" s="683">
        <f t="shared" si="13"/>
        <v>1219112</v>
      </c>
      <c r="S62" s="567"/>
      <c r="U62" s="679"/>
    </row>
    <row r="63" spans="1:21" s="678" customFormat="1" ht="48" customHeight="1">
      <c r="A63" s="676">
        <v>49</v>
      </c>
      <c r="B63" s="677" t="str">
        <f>'Tên thang 01-26'!E52</f>
        <v>វឿន លីម</v>
      </c>
      <c r="C63" s="690" t="str">
        <f>'Tên thang 01-26'!F52</f>
        <v>VOEUN LIM</v>
      </c>
      <c r="D63" s="680">
        <v>138</v>
      </c>
      <c r="E63" s="681">
        <v>31947</v>
      </c>
      <c r="F63" s="682">
        <f t="shared" si="8"/>
        <v>17.059999999999999</v>
      </c>
      <c r="G63" s="683">
        <v>545016</v>
      </c>
      <c r="H63" s="682">
        <f>'KL 1'!AG65</f>
        <v>42.05</v>
      </c>
      <c r="I63" s="683">
        <f t="shared" si="4"/>
        <v>1343371</v>
      </c>
      <c r="J63" s="684"/>
      <c r="K63" s="683"/>
      <c r="L63" s="685">
        <f t="shared" si="9"/>
        <v>1888387</v>
      </c>
      <c r="M63" s="683">
        <f t="shared" si="10"/>
        <v>545016</v>
      </c>
      <c r="N63" s="686">
        <f t="shared" si="5"/>
        <v>24000</v>
      </c>
      <c r="O63" s="687">
        <f t="shared" si="11"/>
        <v>18219</v>
      </c>
      <c r="P63" s="688">
        <f t="shared" si="12"/>
        <v>587235</v>
      </c>
      <c r="Q63" s="689"/>
      <c r="R63" s="683">
        <f t="shared" si="13"/>
        <v>1301152</v>
      </c>
      <c r="S63" s="567"/>
      <c r="U63" s="679"/>
    </row>
    <row r="64" spans="1:21" s="678" customFormat="1" ht="48" customHeight="1">
      <c r="A64" s="676">
        <v>50</v>
      </c>
      <c r="B64" s="677" t="str">
        <f>'Tên thang 01-26'!E53</f>
        <v>ហោ យ៉ាន</v>
      </c>
      <c r="C64" s="690" t="str">
        <f>'Tên thang 01-26'!F53</f>
        <v>HO YAN</v>
      </c>
      <c r="D64" s="680">
        <v>139</v>
      </c>
      <c r="E64" s="681">
        <v>31947</v>
      </c>
      <c r="F64" s="682">
        <f t="shared" si="8"/>
        <v>17.25</v>
      </c>
      <c r="G64" s="683">
        <v>551086</v>
      </c>
      <c r="H64" s="682">
        <f>'KL 1'!AG66</f>
        <v>39.15</v>
      </c>
      <c r="I64" s="683">
        <f t="shared" si="4"/>
        <v>1250725</v>
      </c>
      <c r="J64" s="684"/>
      <c r="K64" s="683"/>
      <c r="L64" s="685">
        <f t="shared" si="9"/>
        <v>1801811</v>
      </c>
      <c r="M64" s="683">
        <f t="shared" si="10"/>
        <v>551086</v>
      </c>
      <c r="N64" s="686">
        <f t="shared" si="5"/>
        <v>24000</v>
      </c>
      <c r="O64" s="687">
        <f t="shared" si="11"/>
        <v>13891</v>
      </c>
      <c r="P64" s="688">
        <f t="shared" si="12"/>
        <v>588977</v>
      </c>
      <c r="Q64" s="689"/>
      <c r="R64" s="683">
        <f t="shared" si="13"/>
        <v>1212834</v>
      </c>
      <c r="S64" s="567"/>
      <c r="U64" s="679"/>
    </row>
    <row r="65" spans="1:21" s="678" customFormat="1" ht="48" customHeight="1">
      <c r="A65" s="676">
        <v>51</v>
      </c>
      <c r="B65" s="677" t="str">
        <f>'Tên thang 01-26'!E54</f>
        <v>តោ ទឿន</v>
      </c>
      <c r="C65" s="690" t="str">
        <f>'Tên thang 01-26'!F54</f>
        <v>TOR TOEUN</v>
      </c>
      <c r="D65" s="680">
        <v>140</v>
      </c>
      <c r="E65" s="681">
        <v>31947</v>
      </c>
      <c r="F65" s="682">
        <f t="shared" si="8"/>
        <v>13.87</v>
      </c>
      <c r="G65" s="683">
        <v>443105</v>
      </c>
      <c r="H65" s="682">
        <f>'KL 1'!AG67</f>
        <v>38.94</v>
      </c>
      <c r="I65" s="683">
        <f t="shared" si="4"/>
        <v>1244016</v>
      </c>
      <c r="J65" s="684"/>
      <c r="K65" s="683"/>
      <c r="L65" s="685">
        <f t="shared" si="9"/>
        <v>1687121</v>
      </c>
      <c r="M65" s="683">
        <f t="shared" si="10"/>
        <v>443105</v>
      </c>
      <c r="N65" s="686">
        <f t="shared" si="5"/>
        <v>24000</v>
      </c>
      <c r="O65" s="687">
        <f t="shared" si="11"/>
        <v>8156</v>
      </c>
      <c r="P65" s="688">
        <f t="shared" si="12"/>
        <v>475261</v>
      </c>
      <c r="Q65" s="689"/>
      <c r="R65" s="683">
        <f t="shared" si="13"/>
        <v>1211860</v>
      </c>
      <c r="S65" s="567"/>
      <c r="U65" s="679"/>
    </row>
    <row r="66" spans="1:21" s="678" customFormat="1" ht="48" customHeight="1">
      <c r="A66" s="676">
        <v>52</v>
      </c>
      <c r="B66" s="677" t="str">
        <f>'Tên thang 01-26'!E55</f>
        <v>ញ៉ុវ ញឹម</v>
      </c>
      <c r="C66" s="690" t="str">
        <f>'Tên thang 01-26'!F55</f>
        <v>NHOV NHIM</v>
      </c>
      <c r="D66" s="680">
        <v>141</v>
      </c>
      <c r="E66" s="681">
        <v>31947</v>
      </c>
      <c r="F66" s="682">
        <f t="shared" si="8"/>
        <v>14.56</v>
      </c>
      <c r="G66" s="683">
        <v>465148</v>
      </c>
      <c r="H66" s="682">
        <f>'KL 1'!AG68</f>
        <v>36.79</v>
      </c>
      <c r="I66" s="683">
        <f t="shared" si="4"/>
        <v>1175330</v>
      </c>
      <c r="J66" s="684"/>
      <c r="K66" s="683"/>
      <c r="L66" s="685">
        <f t="shared" si="9"/>
        <v>1640478</v>
      </c>
      <c r="M66" s="683">
        <f t="shared" si="10"/>
        <v>465148</v>
      </c>
      <c r="N66" s="686">
        <f t="shared" si="5"/>
        <v>24000</v>
      </c>
      <c r="O66" s="687">
        <f t="shared" si="11"/>
        <v>5824</v>
      </c>
      <c r="P66" s="688">
        <f t="shared" si="12"/>
        <v>494972</v>
      </c>
      <c r="Q66" s="689"/>
      <c r="R66" s="683">
        <f t="shared" si="13"/>
        <v>1145506</v>
      </c>
      <c r="S66" s="567"/>
      <c r="U66" s="679"/>
    </row>
    <row r="67" spans="1:21" s="678" customFormat="1" ht="48" customHeight="1">
      <c r="A67" s="676">
        <v>53</v>
      </c>
      <c r="B67" s="677" t="str">
        <f>'Tên thang 01-26'!E56</f>
        <v>តូច ចាន់លី</v>
      </c>
      <c r="C67" s="690" t="str">
        <f>'Tên thang 01-26'!F56</f>
        <v>TOUCH CHANLY</v>
      </c>
      <c r="D67" s="680">
        <v>142</v>
      </c>
      <c r="E67" s="681">
        <v>31947</v>
      </c>
      <c r="F67" s="682">
        <f t="shared" si="8"/>
        <v>15.05</v>
      </c>
      <c r="G67" s="683">
        <v>480802</v>
      </c>
      <c r="H67" s="682">
        <f>'KL 1'!AG69</f>
        <v>34.659999999999997</v>
      </c>
      <c r="I67" s="683">
        <f t="shared" si="4"/>
        <v>1107283</v>
      </c>
      <c r="J67" s="684"/>
      <c r="K67" s="683"/>
      <c r="L67" s="685">
        <f t="shared" si="9"/>
        <v>1588085</v>
      </c>
      <c r="M67" s="683">
        <f t="shared" si="10"/>
        <v>480802</v>
      </c>
      <c r="N67" s="686">
        <f t="shared" si="5"/>
        <v>24000</v>
      </c>
      <c r="O67" s="687">
        <f t="shared" si="11"/>
        <v>3204</v>
      </c>
      <c r="P67" s="688">
        <f t="shared" si="12"/>
        <v>508006</v>
      </c>
      <c r="Q67" s="689"/>
      <c r="R67" s="683">
        <f t="shared" si="13"/>
        <v>1080079</v>
      </c>
      <c r="S67" s="567"/>
      <c r="U67" s="679"/>
    </row>
    <row r="68" spans="1:21" s="678" customFormat="1" ht="48" customHeight="1">
      <c r="A68" s="676">
        <v>54</v>
      </c>
      <c r="B68" s="677" t="str">
        <f>'Tên thang 01-26'!E57</f>
        <v>ឡោ ហ៊ុន</v>
      </c>
      <c r="C68" s="690" t="str">
        <f>'Tên thang 01-26'!F57</f>
        <v>LAO HUN</v>
      </c>
      <c r="D68" s="680">
        <v>143</v>
      </c>
      <c r="E68" s="681">
        <v>31947</v>
      </c>
      <c r="F68" s="682">
        <f t="shared" si="8"/>
        <v>15.03</v>
      </c>
      <c r="G68" s="683">
        <v>480163</v>
      </c>
      <c r="H68" s="682">
        <f>'KL 1'!AG70</f>
        <v>38.369999999999997</v>
      </c>
      <c r="I68" s="683">
        <f t="shared" si="4"/>
        <v>1225806</v>
      </c>
      <c r="J68" s="684"/>
      <c r="K68" s="683"/>
      <c r="L68" s="685">
        <f t="shared" si="9"/>
        <v>1705969</v>
      </c>
      <c r="M68" s="683">
        <f t="shared" si="10"/>
        <v>480163</v>
      </c>
      <c r="N68" s="686">
        <f t="shared" si="5"/>
        <v>24000</v>
      </c>
      <c r="O68" s="687">
        <f t="shared" si="11"/>
        <v>9098</v>
      </c>
      <c r="P68" s="688">
        <f t="shared" si="12"/>
        <v>513261</v>
      </c>
      <c r="Q68" s="689"/>
      <c r="R68" s="683">
        <f t="shared" si="13"/>
        <v>1192708</v>
      </c>
      <c r="S68" s="567"/>
      <c r="U68" s="679"/>
    </row>
    <row r="69" spans="1:21" s="678" customFormat="1" ht="48" customHeight="1">
      <c r="A69" s="676">
        <v>55</v>
      </c>
      <c r="B69" s="677" t="str">
        <f>'Tên thang 01-26'!E58</f>
        <v>ឈាន អន</v>
      </c>
      <c r="C69" s="690" t="str">
        <f>'Tên thang 01-26'!F58</f>
        <v>CHHEAN ORN</v>
      </c>
      <c r="D69" s="680">
        <v>144</v>
      </c>
      <c r="E69" s="681">
        <v>31947</v>
      </c>
      <c r="F69" s="682">
        <f t="shared" si="8"/>
        <v>16.37</v>
      </c>
      <c r="G69" s="683">
        <v>522972</v>
      </c>
      <c r="H69" s="682">
        <f>'KL 1'!AG71</f>
        <v>42.389999999999993</v>
      </c>
      <c r="I69" s="683">
        <f t="shared" si="4"/>
        <v>1354233</v>
      </c>
      <c r="J69" s="684"/>
      <c r="K69" s="683"/>
      <c r="L69" s="685">
        <f t="shared" si="9"/>
        <v>1877205</v>
      </c>
      <c r="M69" s="683">
        <f t="shared" si="10"/>
        <v>522972</v>
      </c>
      <c r="N69" s="686">
        <f t="shared" si="5"/>
        <v>24000</v>
      </c>
      <c r="O69" s="687">
        <f t="shared" si="11"/>
        <v>17660</v>
      </c>
      <c r="P69" s="688">
        <f t="shared" si="12"/>
        <v>564632</v>
      </c>
      <c r="Q69" s="689"/>
      <c r="R69" s="683">
        <f t="shared" si="13"/>
        <v>1312573</v>
      </c>
      <c r="S69" s="567"/>
      <c r="U69" s="679"/>
    </row>
    <row r="70" spans="1:21" s="678" customFormat="1" ht="48" customHeight="1">
      <c r="A70" s="676">
        <v>56</v>
      </c>
      <c r="B70" s="677" t="str">
        <f>'Tên thang 01-26'!E59</f>
        <v>មាស ណាលីន</v>
      </c>
      <c r="C70" s="690" t="str">
        <f>'Tên thang 01-26'!F59</f>
        <v>MEAS NALIN</v>
      </c>
      <c r="D70" s="680">
        <v>145</v>
      </c>
      <c r="E70" s="681">
        <v>31947</v>
      </c>
      <c r="F70" s="682">
        <f t="shared" si="8"/>
        <v>15.3</v>
      </c>
      <c r="G70" s="683">
        <v>488789</v>
      </c>
      <c r="H70" s="682">
        <f>'KL 1'!AG72</f>
        <v>34.379999999999995</v>
      </c>
      <c r="I70" s="683">
        <f t="shared" si="4"/>
        <v>1098338</v>
      </c>
      <c r="J70" s="684"/>
      <c r="K70" s="683"/>
      <c r="L70" s="685">
        <f t="shared" si="9"/>
        <v>1587127</v>
      </c>
      <c r="M70" s="683">
        <f t="shared" si="10"/>
        <v>488789</v>
      </c>
      <c r="N70" s="686">
        <f t="shared" si="5"/>
        <v>24000</v>
      </c>
      <c r="O70" s="687">
        <f t="shared" si="11"/>
        <v>3156</v>
      </c>
      <c r="P70" s="688">
        <f t="shared" si="12"/>
        <v>515945</v>
      </c>
      <c r="Q70" s="689"/>
      <c r="R70" s="683">
        <f t="shared" si="13"/>
        <v>1071182</v>
      </c>
      <c r="S70" s="567"/>
      <c r="U70" s="679"/>
    </row>
    <row r="71" spans="1:21" s="678" customFormat="1" ht="48" customHeight="1">
      <c r="A71" s="676">
        <v>57</v>
      </c>
      <c r="B71" s="677" t="str">
        <f>'Tên thang 01-26'!E60</f>
        <v>ម៉ួន ហ៊ាង</v>
      </c>
      <c r="C71" s="690" t="str">
        <f>'Tên thang 01-26'!F60</f>
        <v>MUON HEANG</v>
      </c>
      <c r="D71" s="680">
        <v>146</v>
      </c>
      <c r="E71" s="681">
        <v>31947</v>
      </c>
      <c r="F71" s="682">
        <f t="shared" si="8"/>
        <v>15.98</v>
      </c>
      <c r="G71" s="683">
        <v>510513</v>
      </c>
      <c r="H71" s="682">
        <f>'KL 1'!AG73</f>
        <v>43.26</v>
      </c>
      <c r="I71" s="683">
        <f t="shared" si="4"/>
        <v>1382027</v>
      </c>
      <c r="J71" s="684"/>
      <c r="K71" s="683"/>
      <c r="L71" s="685">
        <f t="shared" si="9"/>
        <v>1892540</v>
      </c>
      <c r="M71" s="683">
        <f t="shared" si="10"/>
        <v>510513</v>
      </c>
      <c r="N71" s="686">
        <f t="shared" si="5"/>
        <v>24000</v>
      </c>
      <c r="O71" s="687">
        <f t="shared" si="11"/>
        <v>18427</v>
      </c>
      <c r="P71" s="688">
        <f t="shared" si="12"/>
        <v>552940</v>
      </c>
      <c r="Q71" s="689"/>
      <c r="R71" s="683">
        <f t="shared" si="13"/>
        <v>1339600</v>
      </c>
      <c r="S71" s="567"/>
      <c r="U71" s="679"/>
    </row>
    <row r="72" spans="1:21" s="678" customFormat="1" ht="48" customHeight="1">
      <c r="A72" s="676">
        <v>58</v>
      </c>
      <c r="B72" s="677" t="str">
        <f>'Tên thang 01-26'!E61</f>
        <v>យ៉េន ហៃ</v>
      </c>
      <c r="C72" s="690" t="str">
        <f>'Tên thang 01-26'!F61</f>
        <v>YEN HAI</v>
      </c>
      <c r="D72" s="680">
        <v>147</v>
      </c>
      <c r="E72" s="681">
        <v>31947</v>
      </c>
      <c r="F72" s="682">
        <f t="shared" si="8"/>
        <v>17.12</v>
      </c>
      <c r="G72" s="683">
        <v>546933</v>
      </c>
      <c r="H72" s="682">
        <f>'KL 1'!AG74</f>
        <v>44.83</v>
      </c>
      <c r="I72" s="683">
        <f t="shared" si="4"/>
        <v>1432184</v>
      </c>
      <c r="J72" s="684"/>
      <c r="K72" s="683"/>
      <c r="L72" s="685">
        <f t="shared" si="9"/>
        <v>1979117</v>
      </c>
      <c r="M72" s="683">
        <f t="shared" si="10"/>
        <v>546933</v>
      </c>
      <c r="N72" s="686">
        <f t="shared" si="5"/>
        <v>24000</v>
      </c>
      <c r="O72" s="687">
        <f t="shared" si="11"/>
        <v>22756</v>
      </c>
      <c r="P72" s="688">
        <f t="shared" si="12"/>
        <v>593689</v>
      </c>
      <c r="Q72" s="689"/>
      <c r="R72" s="683">
        <f t="shared" si="13"/>
        <v>1385428</v>
      </c>
      <c r="S72" s="567"/>
      <c r="U72" s="679"/>
    </row>
    <row r="73" spans="1:21" s="678" customFormat="1" ht="48" customHeight="1">
      <c r="A73" s="676">
        <v>59</v>
      </c>
      <c r="B73" s="677" t="str">
        <f>'Tên thang 01-26'!E62</f>
        <v>ស្រី អ៊ឹម</v>
      </c>
      <c r="C73" s="690" t="str">
        <f>'Tên thang 01-26'!F62</f>
        <v>SREY OEM</v>
      </c>
      <c r="D73" s="680">
        <v>148</v>
      </c>
      <c r="E73" s="681">
        <v>31947</v>
      </c>
      <c r="F73" s="682">
        <f t="shared" si="8"/>
        <v>17.989999999999998</v>
      </c>
      <c r="G73" s="683">
        <v>574727</v>
      </c>
      <c r="H73" s="682">
        <f>'KL 1'!AG75</f>
        <v>45.22</v>
      </c>
      <c r="I73" s="683">
        <f t="shared" si="4"/>
        <v>1444643</v>
      </c>
      <c r="J73" s="684"/>
      <c r="K73" s="683"/>
      <c r="L73" s="685">
        <f t="shared" si="9"/>
        <v>2019370</v>
      </c>
      <c r="M73" s="683">
        <f t="shared" si="10"/>
        <v>574727</v>
      </c>
      <c r="N73" s="686">
        <f t="shared" si="5"/>
        <v>24000</v>
      </c>
      <c r="O73" s="687">
        <f t="shared" si="11"/>
        <v>24769</v>
      </c>
      <c r="P73" s="688">
        <f t="shared" si="12"/>
        <v>623496</v>
      </c>
      <c r="Q73" s="689"/>
      <c r="R73" s="683">
        <f t="shared" si="13"/>
        <v>1395874</v>
      </c>
      <c r="S73" s="567"/>
      <c r="U73" s="679"/>
    </row>
    <row r="74" spans="1:21" s="678" customFormat="1" ht="48" customHeight="1">
      <c r="A74" s="676">
        <v>60</v>
      </c>
      <c r="B74" s="677" t="str">
        <f>'Tên thang 01-26'!E63</f>
        <v>ណេ សារ៉ាត់</v>
      </c>
      <c r="C74" s="690" t="str">
        <f>'Tên thang 01-26'!F63</f>
        <v>NE SARATH</v>
      </c>
      <c r="D74" s="680">
        <v>149</v>
      </c>
      <c r="E74" s="681">
        <v>31947</v>
      </c>
      <c r="F74" s="682">
        <f t="shared" si="8"/>
        <v>15.13</v>
      </c>
      <c r="G74" s="683">
        <v>483358</v>
      </c>
      <c r="H74" s="682">
        <f>'KL 1'!AG76</f>
        <v>42.199999999999996</v>
      </c>
      <c r="I74" s="683">
        <f t="shared" si="4"/>
        <v>1348163</v>
      </c>
      <c r="J74" s="684"/>
      <c r="K74" s="683"/>
      <c r="L74" s="685">
        <f t="shared" si="9"/>
        <v>1831521</v>
      </c>
      <c r="M74" s="683">
        <f t="shared" si="10"/>
        <v>483358</v>
      </c>
      <c r="N74" s="686">
        <f t="shared" si="5"/>
        <v>24000</v>
      </c>
      <c r="O74" s="687">
        <f t="shared" si="11"/>
        <v>15376</v>
      </c>
      <c r="P74" s="688">
        <f t="shared" si="12"/>
        <v>522734</v>
      </c>
      <c r="Q74" s="689"/>
      <c r="R74" s="683">
        <f t="shared" si="13"/>
        <v>1308787</v>
      </c>
      <c r="S74" s="567"/>
      <c r="U74" s="679"/>
    </row>
    <row r="75" spans="1:21" s="678" customFormat="1" ht="48" customHeight="1">
      <c r="A75" s="676">
        <v>61</v>
      </c>
      <c r="B75" s="677" t="str">
        <f>'Tên thang 01-26'!E64</f>
        <v>សន ធីន</v>
      </c>
      <c r="C75" s="690" t="str">
        <f>'Tên thang 01-26'!F64</f>
        <v>SORN THIN</v>
      </c>
      <c r="D75" s="680">
        <v>150</v>
      </c>
      <c r="E75" s="681">
        <v>31947</v>
      </c>
      <c r="F75" s="682">
        <f t="shared" si="8"/>
        <v>14.89</v>
      </c>
      <c r="G75" s="683">
        <v>475691</v>
      </c>
      <c r="H75" s="682">
        <f>'KL 1'!AG77</f>
        <v>39.29</v>
      </c>
      <c r="I75" s="683">
        <f t="shared" si="4"/>
        <v>1255198</v>
      </c>
      <c r="J75" s="684"/>
      <c r="K75" s="683"/>
      <c r="L75" s="685">
        <f t="shared" si="9"/>
        <v>1730889</v>
      </c>
      <c r="M75" s="683">
        <f t="shared" si="10"/>
        <v>475691</v>
      </c>
      <c r="N75" s="686">
        <f t="shared" si="5"/>
        <v>24000</v>
      </c>
      <c r="O75" s="687">
        <f t="shared" si="11"/>
        <v>10344</v>
      </c>
      <c r="P75" s="688">
        <f t="shared" si="12"/>
        <v>510035</v>
      </c>
      <c r="Q75" s="689"/>
      <c r="R75" s="683">
        <f t="shared" si="13"/>
        <v>1220854</v>
      </c>
      <c r="S75" s="567"/>
      <c r="U75" s="679"/>
    </row>
    <row r="76" spans="1:21" s="678" customFormat="1" ht="48" customHeight="1">
      <c r="A76" s="676">
        <v>62</v>
      </c>
      <c r="B76" s="677" t="str">
        <f>'Tên thang 01-26'!E65</f>
        <v>ម៉ន ម៉ៃ</v>
      </c>
      <c r="C76" s="690" t="str">
        <f>'Tên thang 01-26'!F65</f>
        <v>MORN MAY</v>
      </c>
      <c r="D76" s="680">
        <v>151</v>
      </c>
      <c r="E76" s="681">
        <v>31947</v>
      </c>
      <c r="F76" s="682">
        <f t="shared" si="8"/>
        <v>14.15</v>
      </c>
      <c r="G76" s="683">
        <v>452050</v>
      </c>
      <c r="H76" s="682">
        <f>'KL 1'!AG78</f>
        <v>40</v>
      </c>
      <c r="I76" s="683">
        <f t="shared" si="4"/>
        <v>1277880</v>
      </c>
      <c r="J76" s="684"/>
      <c r="K76" s="683"/>
      <c r="L76" s="685">
        <f t="shared" si="9"/>
        <v>1729930</v>
      </c>
      <c r="M76" s="683">
        <f t="shared" si="10"/>
        <v>452050</v>
      </c>
      <c r="N76" s="686">
        <f t="shared" si="5"/>
        <v>24000</v>
      </c>
      <c r="O76" s="687">
        <f t="shared" si="11"/>
        <v>10297</v>
      </c>
      <c r="P76" s="688">
        <f t="shared" si="12"/>
        <v>486347</v>
      </c>
      <c r="Q76" s="689"/>
      <c r="R76" s="683">
        <f t="shared" si="13"/>
        <v>1243583</v>
      </c>
      <c r="S76" s="567"/>
      <c r="U76" s="679"/>
    </row>
    <row r="77" spans="1:21" s="678" customFormat="1" ht="48" customHeight="1">
      <c r="A77" s="676">
        <v>63</v>
      </c>
      <c r="B77" s="677" t="str">
        <f>'Tên thang 01-26'!E66</f>
        <v>ជន សាមាក់</v>
      </c>
      <c r="C77" s="690" t="str">
        <f>'Tên thang 01-26'!F66</f>
        <v>CHORN SAMAK</v>
      </c>
      <c r="D77" s="680">
        <v>152</v>
      </c>
      <c r="E77" s="681">
        <v>31947</v>
      </c>
      <c r="F77" s="682">
        <f t="shared" si="8"/>
        <v>15</v>
      </c>
      <c r="G77" s="683">
        <v>479205</v>
      </c>
      <c r="H77" s="682">
        <f>'KL 1'!AG79</f>
        <v>41.819999999999993</v>
      </c>
      <c r="I77" s="683">
        <f t="shared" si="4"/>
        <v>1336024</v>
      </c>
      <c r="J77" s="684"/>
      <c r="K77" s="683"/>
      <c r="L77" s="685">
        <f t="shared" si="9"/>
        <v>1815229</v>
      </c>
      <c r="M77" s="683">
        <f t="shared" si="10"/>
        <v>479205</v>
      </c>
      <c r="N77" s="686">
        <f t="shared" si="5"/>
        <v>24000</v>
      </c>
      <c r="O77" s="687">
        <f t="shared" si="11"/>
        <v>14561</v>
      </c>
      <c r="P77" s="688">
        <f t="shared" si="12"/>
        <v>517766</v>
      </c>
      <c r="Q77" s="689"/>
      <c r="R77" s="683">
        <f t="shared" si="13"/>
        <v>1297463</v>
      </c>
      <c r="S77" s="567"/>
      <c r="U77" s="679"/>
    </row>
    <row r="78" spans="1:21" s="678" customFormat="1" ht="48" customHeight="1">
      <c r="A78" s="676">
        <v>64</v>
      </c>
      <c r="B78" s="677" t="str">
        <f>'Tên thang 01-26'!E67</f>
        <v>សេង មករា</v>
      </c>
      <c r="C78" s="690" t="str">
        <f>'Tên thang 01-26'!F67</f>
        <v>SENG MEAKARA</v>
      </c>
      <c r="D78" s="680">
        <v>153</v>
      </c>
      <c r="E78" s="681">
        <v>31947</v>
      </c>
      <c r="F78" s="682">
        <f t="shared" si="8"/>
        <v>15.6</v>
      </c>
      <c r="G78" s="683">
        <v>498373</v>
      </c>
      <c r="H78" s="682">
        <f>'KL 1'!AG80</f>
        <v>39.86</v>
      </c>
      <c r="I78" s="683">
        <f t="shared" si="4"/>
        <v>1273407</v>
      </c>
      <c r="J78" s="684"/>
      <c r="K78" s="683"/>
      <c r="L78" s="685">
        <f t="shared" si="9"/>
        <v>1771780</v>
      </c>
      <c r="M78" s="683">
        <f t="shared" si="10"/>
        <v>498373</v>
      </c>
      <c r="N78" s="686">
        <f t="shared" si="5"/>
        <v>24000</v>
      </c>
      <c r="O78" s="687">
        <f t="shared" si="11"/>
        <v>12389</v>
      </c>
      <c r="P78" s="688">
        <f t="shared" si="12"/>
        <v>534762</v>
      </c>
      <c r="Q78" s="689"/>
      <c r="R78" s="683">
        <f t="shared" si="13"/>
        <v>1237018</v>
      </c>
      <c r="S78" s="567"/>
      <c r="U78" s="679"/>
    </row>
    <row r="79" spans="1:21" s="678" customFormat="1" ht="48" customHeight="1">
      <c r="A79" s="676">
        <v>65</v>
      </c>
      <c r="B79" s="677" t="str">
        <f>'Tên thang 01-26'!E68</f>
        <v>ហ៊ាវ ហៃ</v>
      </c>
      <c r="C79" s="690" t="str">
        <f>'Tên thang 01-26'!F68</f>
        <v>HEAV HAI</v>
      </c>
      <c r="D79" s="680">
        <v>154</v>
      </c>
      <c r="E79" s="681">
        <v>31947</v>
      </c>
      <c r="F79" s="682">
        <f t="shared" si="8"/>
        <v>17.7</v>
      </c>
      <c r="G79" s="683">
        <v>565462</v>
      </c>
      <c r="H79" s="682">
        <f>'KL 1'!AG81</f>
        <v>43.22</v>
      </c>
      <c r="I79" s="683">
        <f t="shared" si="4"/>
        <v>1380749</v>
      </c>
      <c r="J79" s="684"/>
      <c r="K79" s="683"/>
      <c r="L79" s="685">
        <f t="shared" si="9"/>
        <v>1946211</v>
      </c>
      <c r="M79" s="683">
        <f t="shared" si="10"/>
        <v>565462</v>
      </c>
      <c r="N79" s="686">
        <f t="shared" si="5"/>
        <v>24000</v>
      </c>
      <c r="O79" s="687">
        <f t="shared" si="11"/>
        <v>21111</v>
      </c>
      <c r="P79" s="688">
        <f t="shared" si="12"/>
        <v>610573</v>
      </c>
      <c r="Q79" s="689"/>
      <c r="R79" s="683">
        <f t="shared" si="13"/>
        <v>1335638</v>
      </c>
      <c r="S79" s="567"/>
      <c r="U79" s="679"/>
    </row>
    <row r="80" spans="1:21" s="678" customFormat="1" ht="48" customHeight="1">
      <c r="A80" s="676">
        <v>66</v>
      </c>
      <c r="B80" s="677" t="str">
        <f>'Tên thang 01-26'!E69</f>
        <v>មឿន សាវន</v>
      </c>
      <c r="C80" s="690" t="str">
        <f>'Tên thang 01-26'!F69</f>
        <v>MOEUN SAVON</v>
      </c>
      <c r="D80" s="680">
        <v>155</v>
      </c>
      <c r="E80" s="681">
        <v>31947</v>
      </c>
      <c r="F80" s="682">
        <f t="shared" si="8"/>
        <v>15.67</v>
      </c>
      <c r="G80" s="683">
        <v>500609</v>
      </c>
      <c r="H80" s="682">
        <f>'KL 1'!AG82</f>
        <v>42.47</v>
      </c>
      <c r="I80" s="683">
        <f t="shared" ref="I80:I143" si="14">ROUND(E80*H80,0)</f>
        <v>1356789</v>
      </c>
      <c r="J80" s="684"/>
      <c r="K80" s="683"/>
      <c r="L80" s="685">
        <f t="shared" si="9"/>
        <v>1857398</v>
      </c>
      <c r="M80" s="683">
        <f t="shared" si="10"/>
        <v>500609</v>
      </c>
      <c r="N80" s="686">
        <f t="shared" ref="N80:N143" si="15">IF(L80&lt;=400000,400000*2%,IF(L80&lt;=1200000,ROUND(L80*2%,0),ROUND(1200000*2%,0)))</f>
        <v>24000</v>
      </c>
      <c r="O80" s="687">
        <f t="shared" si="11"/>
        <v>16670</v>
      </c>
      <c r="P80" s="688">
        <f t="shared" si="12"/>
        <v>541279</v>
      </c>
      <c r="Q80" s="689"/>
      <c r="R80" s="683">
        <f t="shared" si="13"/>
        <v>1316119</v>
      </c>
      <c r="S80" s="567"/>
      <c r="U80" s="679"/>
    </row>
    <row r="81" spans="1:21" s="678" customFormat="1" ht="48" customHeight="1">
      <c r="A81" s="676">
        <v>67</v>
      </c>
      <c r="B81" s="677" t="str">
        <f>'Tên thang 01-26'!E70</f>
        <v>មឿន សុខា</v>
      </c>
      <c r="C81" s="690" t="str">
        <f>'Tên thang 01-26'!F70</f>
        <v>MAEUN SOKHA</v>
      </c>
      <c r="D81" s="680">
        <v>156</v>
      </c>
      <c r="E81" s="681">
        <v>31947</v>
      </c>
      <c r="F81" s="682">
        <f t="shared" si="8"/>
        <v>15.03</v>
      </c>
      <c r="G81" s="683">
        <v>480163</v>
      </c>
      <c r="H81" s="682">
        <f>'KL 1'!AG83</f>
        <v>43.029999999999994</v>
      </c>
      <c r="I81" s="683">
        <f t="shared" si="14"/>
        <v>1374679</v>
      </c>
      <c r="J81" s="684"/>
      <c r="K81" s="683"/>
      <c r="L81" s="685">
        <f t="shared" si="9"/>
        <v>1854842</v>
      </c>
      <c r="M81" s="683">
        <f t="shared" si="10"/>
        <v>480163</v>
      </c>
      <c r="N81" s="686">
        <f t="shared" si="15"/>
        <v>24000</v>
      </c>
      <c r="O81" s="687">
        <f t="shared" si="11"/>
        <v>16542</v>
      </c>
      <c r="P81" s="688">
        <f t="shared" si="12"/>
        <v>520705</v>
      </c>
      <c r="Q81" s="689"/>
      <c r="R81" s="683">
        <f t="shared" si="13"/>
        <v>1334137</v>
      </c>
      <c r="S81" s="567"/>
      <c r="U81" s="679"/>
    </row>
    <row r="82" spans="1:21" s="678" customFormat="1" ht="48" customHeight="1">
      <c r="A82" s="676">
        <v>68</v>
      </c>
      <c r="B82" s="677" t="str">
        <f>'Tên thang 01-26'!E71</f>
        <v>ម៉ិក ស្រីលាក់</v>
      </c>
      <c r="C82" s="690" t="str">
        <f>'Tên thang 01-26'!F71</f>
        <v>MIK SREYLEAK</v>
      </c>
      <c r="D82" s="680">
        <v>157</v>
      </c>
      <c r="E82" s="681">
        <v>31947</v>
      </c>
      <c r="F82" s="682">
        <f t="shared" si="8"/>
        <v>14.95</v>
      </c>
      <c r="G82" s="683">
        <v>477608</v>
      </c>
      <c r="H82" s="682">
        <f>'KL 1'!AG84</f>
        <v>42.74</v>
      </c>
      <c r="I82" s="683">
        <f t="shared" si="14"/>
        <v>1365415</v>
      </c>
      <c r="J82" s="684"/>
      <c r="K82" s="683"/>
      <c r="L82" s="685">
        <f t="shared" si="9"/>
        <v>1843023</v>
      </c>
      <c r="M82" s="683">
        <f t="shared" si="10"/>
        <v>477608</v>
      </c>
      <c r="N82" s="686">
        <f t="shared" si="15"/>
        <v>24000</v>
      </c>
      <c r="O82" s="687">
        <f t="shared" si="11"/>
        <v>15951</v>
      </c>
      <c r="P82" s="688">
        <f t="shared" si="12"/>
        <v>517559</v>
      </c>
      <c r="Q82" s="689"/>
      <c r="R82" s="683">
        <f t="shared" si="13"/>
        <v>1325464</v>
      </c>
      <c r="S82" s="567"/>
      <c r="U82" s="679"/>
    </row>
    <row r="83" spans="1:21" s="678" customFormat="1" ht="48" customHeight="1">
      <c r="A83" s="676">
        <v>69</v>
      </c>
      <c r="B83" s="677" t="str">
        <f>'Tên thang 01-26'!E72</f>
        <v>គង់ ពន្លឺ</v>
      </c>
      <c r="C83" s="690" t="str">
        <f>'Tên thang 01-26'!F72</f>
        <v>KONG PUNLEU</v>
      </c>
      <c r="D83" s="680">
        <v>158</v>
      </c>
      <c r="E83" s="681">
        <v>31947</v>
      </c>
      <c r="F83" s="682">
        <f t="shared" si="8"/>
        <v>14.81</v>
      </c>
      <c r="G83" s="683">
        <v>473135</v>
      </c>
      <c r="H83" s="682">
        <f>'KL 1'!AG85</f>
        <v>43.830000000000005</v>
      </c>
      <c r="I83" s="683">
        <f t="shared" si="14"/>
        <v>1400237</v>
      </c>
      <c r="J83" s="684"/>
      <c r="K83" s="683"/>
      <c r="L83" s="685">
        <f t="shared" si="9"/>
        <v>1873372</v>
      </c>
      <c r="M83" s="683">
        <f t="shared" si="10"/>
        <v>473135</v>
      </c>
      <c r="N83" s="686">
        <f t="shared" si="15"/>
        <v>24000</v>
      </c>
      <c r="O83" s="687">
        <f t="shared" si="11"/>
        <v>17469</v>
      </c>
      <c r="P83" s="688">
        <f t="shared" si="12"/>
        <v>514604</v>
      </c>
      <c r="Q83" s="689"/>
      <c r="R83" s="683">
        <f t="shared" si="13"/>
        <v>1358768</v>
      </c>
      <c r="S83" s="567"/>
      <c r="U83" s="679"/>
    </row>
    <row r="84" spans="1:21" s="678" customFormat="1" ht="48" customHeight="1">
      <c r="A84" s="676">
        <v>70</v>
      </c>
      <c r="B84" s="677" t="str">
        <f>'Tên thang 01-26'!E73</f>
        <v>បាន សុខឿន</v>
      </c>
      <c r="C84" s="690" t="str">
        <f>'Tên thang 01-26'!F73</f>
        <v>BAN SOKHOEUN</v>
      </c>
      <c r="D84" s="680">
        <v>159</v>
      </c>
      <c r="E84" s="681">
        <v>31947</v>
      </c>
      <c r="F84" s="682">
        <f t="shared" si="8"/>
        <v>17.62</v>
      </c>
      <c r="G84" s="683">
        <v>562906</v>
      </c>
      <c r="H84" s="682">
        <f>'KL 1'!AG86</f>
        <v>45.660000000000004</v>
      </c>
      <c r="I84" s="683">
        <f t="shared" si="14"/>
        <v>1458700</v>
      </c>
      <c r="J84" s="684"/>
      <c r="K84" s="683"/>
      <c r="L84" s="685">
        <f t="shared" si="9"/>
        <v>2021606</v>
      </c>
      <c r="M84" s="683">
        <f t="shared" si="10"/>
        <v>562906</v>
      </c>
      <c r="N84" s="686">
        <f t="shared" si="15"/>
        <v>24000</v>
      </c>
      <c r="O84" s="687">
        <f t="shared" si="11"/>
        <v>24880</v>
      </c>
      <c r="P84" s="688">
        <f t="shared" si="12"/>
        <v>611786</v>
      </c>
      <c r="Q84" s="689"/>
      <c r="R84" s="683">
        <f t="shared" si="13"/>
        <v>1409820</v>
      </c>
      <c r="S84" s="567"/>
      <c r="U84" s="679"/>
    </row>
    <row r="85" spans="1:21" s="678" customFormat="1" ht="48" customHeight="1">
      <c r="A85" s="676">
        <v>71</v>
      </c>
      <c r="B85" s="677" t="str">
        <f>'Tên thang 01-26'!E74</f>
        <v>ខុន ស្រីនាង</v>
      </c>
      <c r="C85" s="690" t="str">
        <f>'Tên thang 01-26'!F74</f>
        <v>KHON SREYNEANG</v>
      </c>
      <c r="D85" s="680">
        <v>160</v>
      </c>
      <c r="E85" s="681">
        <v>31947</v>
      </c>
      <c r="F85" s="682">
        <f t="shared" si="8"/>
        <v>17.03</v>
      </c>
      <c r="G85" s="683">
        <v>544057</v>
      </c>
      <c r="H85" s="682">
        <f>'KL 1'!AG87</f>
        <v>43.22</v>
      </c>
      <c r="I85" s="683">
        <f t="shared" si="14"/>
        <v>1380749</v>
      </c>
      <c r="J85" s="684"/>
      <c r="K85" s="683"/>
      <c r="L85" s="685">
        <f t="shared" si="9"/>
        <v>1924806</v>
      </c>
      <c r="M85" s="683">
        <f t="shared" si="10"/>
        <v>544057</v>
      </c>
      <c r="N85" s="686">
        <f t="shared" si="15"/>
        <v>24000</v>
      </c>
      <c r="O85" s="687">
        <f t="shared" si="11"/>
        <v>20040</v>
      </c>
      <c r="P85" s="688">
        <f t="shared" si="12"/>
        <v>588097</v>
      </c>
      <c r="Q85" s="689"/>
      <c r="R85" s="683">
        <f t="shared" si="13"/>
        <v>1336709</v>
      </c>
      <c r="S85" s="567"/>
      <c r="U85" s="679"/>
    </row>
    <row r="86" spans="1:21" s="678" customFormat="1" ht="48" customHeight="1">
      <c r="A86" s="676">
        <v>72</v>
      </c>
      <c r="B86" s="677" t="str">
        <f>'Tên thang 01-26'!E75</f>
        <v>ត្រុចធីតា</v>
      </c>
      <c r="C86" s="690" t="str">
        <f>'Tên thang 01-26'!F75</f>
        <v>TROCH THYDA</v>
      </c>
      <c r="D86" s="680">
        <v>161</v>
      </c>
      <c r="E86" s="681">
        <v>31947</v>
      </c>
      <c r="F86" s="682">
        <f t="shared" si="8"/>
        <v>15.73</v>
      </c>
      <c r="G86" s="683">
        <v>502526</v>
      </c>
      <c r="H86" s="682">
        <f>'KL 1'!AG88</f>
        <v>40.959999999999994</v>
      </c>
      <c r="I86" s="683">
        <f t="shared" si="14"/>
        <v>1308549</v>
      </c>
      <c r="J86" s="684"/>
      <c r="K86" s="683"/>
      <c r="L86" s="685">
        <f t="shared" si="9"/>
        <v>1811075</v>
      </c>
      <c r="M86" s="683">
        <f t="shared" si="10"/>
        <v>502526</v>
      </c>
      <c r="N86" s="686">
        <f t="shared" si="15"/>
        <v>24000</v>
      </c>
      <c r="O86" s="687">
        <f t="shared" si="11"/>
        <v>14354</v>
      </c>
      <c r="P86" s="688">
        <f t="shared" si="12"/>
        <v>540880</v>
      </c>
      <c r="Q86" s="689"/>
      <c r="R86" s="683">
        <f t="shared" si="13"/>
        <v>1270195</v>
      </c>
      <c r="S86" s="567"/>
      <c r="U86" s="679"/>
    </row>
    <row r="87" spans="1:21" s="678" customFormat="1" ht="48" customHeight="1">
      <c r="A87" s="676">
        <v>73</v>
      </c>
      <c r="B87" s="677" t="str">
        <f>'Tên thang 01-26'!E76</f>
        <v>ផល់ ណាត</v>
      </c>
      <c r="C87" s="690" t="str">
        <f>'Tên thang 01-26'!F76</f>
        <v>PHOL NAT</v>
      </c>
      <c r="D87" s="680">
        <v>162</v>
      </c>
      <c r="E87" s="681">
        <v>31947</v>
      </c>
      <c r="F87" s="682">
        <f t="shared" si="8"/>
        <v>15.81</v>
      </c>
      <c r="G87" s="683">
        <v>505082</v>
      </c>
      <c r="H87" s="682">
        <f>'KL 1'!AG89</f>
        <v>43.3</v>
      </c>
      <c r="I87" s="683">
        <f t="shared" si="14"/>
        <v>1383305</v>
      </c>
      <c r="J87" s="684"/>
      <c r="K87" s="683"/>
      <c r="L87" s="685">
        <f t="shared" si="9"/>
        <v>1888387</v>
      </c>
      <c r="M87" s="683">
        <f t="shared" si="10"/>
        <v>505082</v>
      </c>
      <c r="N87" s="686">
        <f t="shared" si="15"/>
        <v>24000</v>
      </c>
      <c r="O87" s="687">
        <f t="shared" si="11"/>
        <v>18219</v>
      </c>
      <c r="P87" s="688">
        <f t="shared" si="12"/>
        <v>547301</v>
      </c>
      <c r="Q87" s="689"/>
      <c r="R87" s="683">
        <f t="shared" si="13"/>
        <v>1341086</v>
      </c>
      <c r="S87" s="567"/>
      <c r="U87" s="679"/>
    </row>
    <row r="88" spans="1:21" s="678" customFormat="1" ht="48" customHeight="1">
      <c r="A88" s="676">
        <v>74</v>
      </c>
      <c r="B88" s="677" t="str">
        <f>'Tên thang 01-26'!E77</f>
        <v>ពិន ចាន់នី</v>
      </c>
      <c r="C88" s="690" t="str">
        <f>'Tên thang 01-26'!F77</f>
        <v>PIN CHANNY</v>
      </c>
      <c r="D88" s="680">
        <v>163</v>
      </c>
      <c r="E88" s="681">
        <v>31947</v>
      </c>
      <c r="F88" s="682">
        <f t="shared" si="8"/>
        <v>16.91</v>
      </c>
      <c r="G88" s="683">
        <v>540224</v>
      </c>
      <c r="H88" s="682">
        <f>'KL 1'!AG90</f>
        <v>42.88</v>
      </c>
      <c r="I88" s="683">
        <f t="shared" si="14"/>
        <v>1369887</v>
      </c>
      <c r="J88" s="684"/>
      <c r="K88" s="683"/>
      <c r="L88" s="685">
        <f t="shared" si="9"/>
        <v>1910111</v>
      </c>
      <c r="M88" s="683">
        <f t="shared" si="10"/>
        <v>540224</v>
      </c>
      <c r="N88" s="686">
        <f t="shared" si="15"/>
        <v>24000</v>
      </c>
      <c r="O88" s="687">
        <f t="shared" si="11"/>
        <v>19306</v>
      </c>
      <c r="P88" s="688">
        <f t="shared" si="12"/>
        <v>583530</v>
      </c>
      <c r="Q88" s="689"/>
      <c r="R88" s="683">
        <f t="shared" si="13"/>
        <v>1326581</v>
      </c>
      <c r="S88" s="567"/>
      <c r="U88" s="679"/>
    </row>
    <row r="89" spans="1:21" s="678" customFormat="1" ht="48" customHeight="1">
      <c r="A89" s="676">
        <v>75</v>
      </c>
      <c r="B89" s="677" t="str">
        <f>'Tên thang 01-26'!E78</f>
        <v>ផា សុផុន</v>
      </c>
      <c r="C89" s="690" t="str">
        <f>'Tên thang 01-26'!F78</f>
        <v>PHA SOPHON</v>
      </c>
      <c r="D89" s="680">
        <v>164</v>
      </c>
      <c r="E89" s="681">
        <v>31947</v>
      </c>
      <c r="F89" s="682">
        <f t="shared" si="8"/>
        <v>14.58</v>
      </c>
      <c r="G89" s="683">
        <v>465787</v>
      </c>
      <c r="H89" s="682">
        <f>'KL 1'!AG91</f>
        <v>43.43</v>
      </c>
      <c r="I89" s="683">
        <f t="shared" si="14"/>
        <v>1387458</v>
      </c>
      <c r="J89" s="684"/>
      <c r="K89" s="683"/>
      <c r="L89" s="685">
        <f t="shared" si="9"/>
        <v>1853245</v>
      </c>
      <c r="M89" s="683">
        <f t="shared" si="10"/>
        <v>465787</v>
      </c>
      <c r="N89" s="686">
        <f t="shared" si="15"/>
        <v>24000</v>
      </c>
      <c r="O89" s="687">
        <f t="shared" si="11"/>
        <v>16462</v>
      </c>
      <c r="P89" s="688">
        <f t="shared" si="12"/>
        <v>506249</v>
      </c>
      <c r="Q89" s="689"/>
      <c r="R89" s="683">
        <f t="shared" si="13"/>
        <v>1346996</v>
      </c>
      <c r="S89" s="567"/>
      <c r="U89" s="679"/>
    </row>
    <row r="90" spans="1:21" s="678" customFormat="1" ht="48" customHeight="1">
      <c r="A90" s="676">
        <v>76</v>
      </c>
      <c r="B90" s="677" t="str">
        <f>'Tên thang 01-26'!E79</f>
        <v>វ៉ា វាសនា</v>
      </c>
      <c r="C90" s="690" t="str">
        <f>'Tên thang 01-26'!F79</f>
        <v>VA VEASNA</v>
      </c>
      <c r="D90" s="680">
        <v>165</v>
      </c>
      <c r="E90" s="681">
        <v>31947</v>
      </c>
      <c r="F90" s="682">
        <f t="shared" si="8"/>
        <v>16.53</v>
      </c>
      <c r="G90" s="683">
        <v>528084</v>
      </c>
      <c r="H90" s="682">
        <f>'KL 1'!AG92</f>
        <v>43.82</v>
      </c>
      <c r="I90" s="683">
        <f t="shared" si="14"/>
        <v>1399918</v>
      </c>
      <c r="J90" s="684"/>
      <c r="K90" s="683"/>
      <c r="L90" s="685">
        <f t="shared" si="9"/>
        <v>1928002</v>
      </c>
      <c r="M90" s="683">
        <f t="shared" si="10"/>
        <v>528084</v>
      </c>
      <c r="N90" s="686">
        <f t="shared" si="15"/>
        <v>24000</v>
      </c>
      <c r="O90" s="687">
        <f t="shared" si="11"/>
        <v>20200</v>
      </c>
      <c r="P90" s="688">
        <f t="shared" si="12"/>
        <v>572284</v>
      </c>
      <c r="Q90" s="689"/>
      <c r="R90" s="683">
        <f t="shared" si="13"/>
        <v>1355718</v>
      </c>
      <c r="S90" s="567"/>
      <c r="U90" s="679"/>
    </row>
    <row r="91" spans="1:21" s="678" customFormat="1" ht="48" customHeight="1">
      <c r="A91" s="676">
        <v>77</v>
      </c>
      <c r="B91" s="677" t="str">
        <f>'Tên thang 01-26'!E80</f>
        <v>សុត តក់</v>
      </c>
      <c r="C91" s="690" t="str">
        <f>'Tên thang 01-26'!F80</f>
        <v>SOT TORK</v>
      </c>
      <c r="D91" s="680">
        <v>166</v>
      </c>
      <c r="E91" s="681">
        <v>31947</v>
      </c>
      <c r="F91" s="682">
        <f t="shared" si="8"/>
        <v>17.18</v>
      </c>
      <c r="G91" s="683">
        <v>548849</v>
      </c>
      <c r="H91" s="682">
        <f>'KL 1'!AG93</f>
        <v>41.349999999999994</v>
      </c>
      <c r="I91" s="683">
        <f t="shared" si="14"/>
        <v>1321008</v>
      </c>
      <c r="J91" s="684"/>
      <c r="K91" s="683"/>
      <c r="L91" s="685">
        <f t="shared" si="9"/>
        <v>1869857</v>
      </c>
      <c r="M91" s="683">
        <f t="shared" si="10"/>
        <v>548849</v>
      </c>
      <c r="N91" s="686">
        <f t="shared" si="15"/>
        <v>24000</v>
      </c>
      <c r="O91" s="687">
        <f t="shared" si="11"/>
        <v>17293</v>
      </c>
      <c r="P91" s="688">
        <f t="shared" si="12"/>
        <v>590142</v>
      </c>
      <c r="Q91" s="689"/>
      <c r="R91" s="683">
        <f t="shared" si="13"/>
        <v>1279715</v>
      </c>
      <c r="S91" s="567"/>
      <c r="U91" s="679"/>
    </row>
    <row r="92" spans="1:21" s="678" customFormat="1" ht="48" customHeight="1">
      <c r="A92" s="676">
        <v>78</v>
      </c>
      <c r="B92" s="677" t="str">
        <f>'Tên thang 01-26'!E81</f>
        <v>បាន ល្អិត</v>
      </c>
      <c r="C92" s="690" t="str">
        <f>'Tên thang 01-26'!F81</f>
        <v>BAN LOITH</v>
      </c>
      <c r="D92" s="680">
        <v>167</v>
      </c>
      <c r="E92" s="681">
        <v>31947</v>
      </c>
      <c r="F92" s="682">
        <f t="shared" si="8"/>
        <v>18.41</v>
      </c>
      <c r="G92" s="683">
        <v>588144</v>
      </c>
      <c r="H92" s="682">
        <f>'KL 1'!AG94</f>
        <v>44</v>
      </c>
      <c r="I92" s="683">
        <f t="shared" si="14"/>
        <v>1405668</v>
      </c>
      <c r="J92" s="684"/>
      <c r="K92" s="683"/>
      <c r="L92" s="685">
        <f t="shared" si="9"/>
        <v>1993812</v>
      </c>
      <c r="M92" s="683">
        <f t="shared" si="10"/>
        <v>588144</v>
      </c>
      <c r="N92" s="686">
        <f t="shared" si="15"/>
        <v>24000</v>
      </c>
      <c r="O92" s="687">
        <f t="shared" si="11"/>
        <v>23491</v>
      </c>
      <c r="P92" s="688">
        <f t="shared" si="12"/>
        <v>635635</v>
      </c>
      <c r="Q92" s="689"/>
      <c r="R92" s="683">
        <f t="shared" si="13"/>
        <v>1358177</v>
      </c>
      <c r="S92" s="567"/>
      <c r="U92" s="679"/>
    </row>
    <row r="93" spans="1:21" s="678" customFormat="1" ht="48" customHeight="1">
      <c r="A93" s="676">
        <v>79</v>
      </c>
      <c r="B93" s="677" t="str">
        <f>'Tên thang 01-26'!E82</f>
        <v>ដា វ៉ាន់ណា</v>
      </c>
      <c r="C93" s="690" t="str">
        <f>'Tên thang 01-26'!F82</f>
        <v>DA VANNA</v>
      </c>
      <c r="D93" s="680">
        <v>168</v>
      </c>
      <c r="E93" s="681">
        <v>31947</v>
      </c>
      <c r="F93" s="682">
        <f t="shared" si="8"/>
        <v>17.77</v>
      </c>
      <c r="G93" s="683">
        <v>567698</v>
      </c>
      <c r="H93" s="682">
        <f>'KL 1'!AG95</f>
        <v>43.72</v>
      </c>
      <c r="I93" s="683">
        <f t="shared" si="14"/>
        <v>1396723</v>
      </c>
      <c r="J93" s="684"/>
      <c r="K93" s="683"/>
      <c r="L93" s="685">
        <f t="shared" si="9"/>
        <v>1964421</v>
      </c>
      <c r="M93" s="683">
        <f t="shared" si="10"/>
        <v>567698</v>
      </c>
      <c r="N93" s="686">
        <f t="shared" si="15"/>
        <v>24000</v>
      </c>
      <c r="O93" s="687">
        <f t="shared" si="11"/>
        <v>22021</v>
      </c>
      <c r="P93" s="688">
        <f t="shared" si="12"/>
        <v>613719</v>
      </c>
      <c r="Q93" s="689"/>
      <c r="R93" s="683">
        <f t="shared" si="13"/>
        <v>1350702</v>
      </c>
      <c r="S93" s="567"/>
      <c r="U93" s="679"/>
    </row>
    <row r="94" spans="1:21" s="678" customFormat="1" ht="48" customHeight="1">
      <c r="A94" s="676">
        <v>80</v>
      </c>
      <c r="B94" s="677" t="str">
        <f>'Tên thang 01-26'!E83</f>
        <v>ទៀន ចែម</v>
      </c>
      <c r="C94" s="690" t="str">
        <f>'Tên thang 01-26'!F83</f>
        <v>TEAN CHEM</v>
      </c>
      <c r="D94" s="680">
        <v>169</v>
      </c>
      <c r="E94" s="681">
        <v>31947</v>
      </c>
      <c r="F94" s="682">
        <f t="shared" si="8"/>
        <v>18.25</v>
      </c>
      <c r="G94" s="683">
        <v>583033</v>
      </c>
      <c r="H94" s="682">
        <f>'KL 1'!AG96</f>
        <v>41.96</v>
      </c>
      <c r="I94" s="683">
        <f t="shared" si="14"/>
        <v>1340496</v>
      </c>
      <c r="J94" s="684"/>
      <c r="K94" s="683"/>
      <c r="L94" s="685">
        <f t="shared" si="9"/>
        <v>1923529</v>
      </c>
      <c r="M94" s="683">
        <f t="shared" si="10"/>
        <v>583033</v>
      </c>
      <c r="N94" s="686">
        <f t="shared" si="15"/>
        <v>24000</v>
      </c>
      <c r="O94" s="687">
        <f t="shared" si="11"/>
        <v>19976</v>
      </c>
      <c r="P94" s="688">
        <f t="shared" si="12"/>
        <v>627009</v>
      </c>
      <c r="Q94" s="689"/>
      <c r="R94" s="683">
        <f t="shared" si="13"/>
        <v>1296520</v>
      </c>
      <c r="S94" s="567"/>
      <c r="U94" s="679"/>
    </row>
    <row r="95" spans="1:21" s="678" customFormat="1" ht="57.6" customHeight="1">
      <c r="A95" s="676">
        <v>81</v>
      </c>
      <c r="B95" s="677" t="str">
        <f>'Tên thang 01-26'!E84</f>
        <v>លី ឡាត់</v>
      </c>
      <c r="C95" s="690" t="str">
        <f>'Tên thang 01-26'!F84</f>
        <v>LY LAYH</v>
      </c>
      <c r="D95" s="680">
        <v>170</v>
      </c>
      <c r="E95" s="681">
        <v>31947</v>
      </c>
      <c r="F95" s="682">
        <f t="shared" si="8"/>
        <v>17.73</v>
      </c>
      <c r="G95" s="683">
        <v>566420</v>
      </c>
      <c r="H95" s="682">
        <f>'KL 1'!AG97</f>
        <v>41.28</v>
      </c>
      <c r="I95" s="683">
        <f t="shared" si="14"/>
        <v>1318772</v>
      </c>
      <c r="J95" s="684"/>
      <c r="K95" s="683"/>
      <c r="L95" s="685">
        <f t="shared" si="9"/>
        <v>1885192</v>
      </c>
      <c r="M95" s="683">
        <f t="shared" si="10"/>
        <v>566420</v>
      </c>
      <c r="N95" s="686">
        <f t="shared" si="15"/>
        <v>24000</v>
      </c>
      <c r="O95" s="687">
        <f t="shared" si="11"/>
        <v>18060</v>
      </c>
      <c r="P95" s="688">
        <f t="shared" si="12"/>
        <v>608480</v>
      </c>
      <c r="Q95" s="689"/>
      <c r="R95" s="683">
        <f t="shared" si="13"/>
        <v>1276712</v>
      </c>
      <c r="S95" s="567"/>
      <c r="U95" s="679"/>
    </row>
    <row r="96" spans="1:21" s="678" customFormat="1" ht="55.95" customHeight="1">
      <c r="A96" s="676">
        <v>82</v>
      </c>
      <c r="B96" s="677" t="str">
        <f>'Tên thang 01-26'!E85</f>
        <v>ទូច ណាង</v>
      </c>
      <c r="C96" s="690" t="str">
        <f>'Tên thang 01-26'!F85</f>
        <v>TOUCH NANG</v>
      </c>
      <c r="D96" s="680">
        <v>171</v>
      </c>
      <c r="E96" s="681">
        <v>31947</v>
      </c>
      <c r="F96" s="682">
        <f t="shared" si="8"/>
        <v>17.05</v>
      </c>
      <c r="G96" s="683">
        <v>544696</v>
      </c>
      <c r="H96" s="682">
        <f>'KL 1'!AG98</f>
        <v>41.589999999999996</v>
      </c>
      <c r="I96" s="683">
        <f t="shared" si="14"/>
        <v>1328676</v>
      </c>
      <c r="J96" s="684"/>
      <c r="K96" s="683"/>
      <c r="L96" s="685">
        <f t="shared" si="9"/>
        <v>1873372</v>
      </c>
      <c r="M96" s="683">
        <f t="shared" si="10"/>
        <v>544696</v>
      </c>
      <c r="N96" s="686">
        <f t="shared" si="15"/>
        <v>24000</v>
      </c>
      <c r="O96" s="687">
        <f t="shared" si="11"/>
        <v>17469</v>
      </c>
      <c r="P96" s="688">
        <f t="shared" si="12"/>
        <v>586165</v>
      </c>
      <c r="Q96" s="689"/>
      <c r="R96" s="683">
        <f t="shared" si="13"/>
        <v>1287207</v>
      </c>
      <c r="S96" s="567"/>
      <c r="U96" s="679"/>
    </row>
    <row r="97" spans="1:21" s="678" customFormat="1" ht="48" customHeight="1">
      <c r="A97" s="676">
        <v>83</v>
      </c>
      <c r="B97" s="677" t="str">
        <f>'Tên thang 01-26'!E86</f>
        <v>មាំង ម៉ែន</v>
      </c>
      <c r="C97" s="690" t="str">
        <f>'Tên thang 01-26'!F86</f>
        <v>MANG MAN</v>
      </c>
      <c r="D97" s="680">
        <v>172</v>
      </c>
      <c r="E97" s="681">
        <v>31947</v>
      </c>
      <c r="F97" s="682">
        <f t="shared" si="8"/>
        <v>13.58</v>
      </c>
      <c r="G97" s="683">
        <v>433840</v>
      </c>
      <c r="H97" s="682">
        <f>'KL 1'!AG99</f>
        <v>38.129999999999995</v>
      </c>
      <c r="I97" s="683">
        <f t="shared" si="14"/>
        <v>1218139</v>
      </c>
      <c r="J97" s="684"/>
      <c r="K97" s="683"/>
      <c r="L97" s="685">
        <f t="shared" si="9"/>
        <v>1651979</v>
      </c>
      <c r="M97" s="683">
        <f t="shared" si="10"/>
        <v>433840</v>
      </c>
      <c r="N97" s="686">
        <f t="shared" si="15"/>
        <v>24000</v>
      </c>
      <c r="O97" s="687">
        <f t="shared" si="11"/>
        <v>6399</v>
      </c>
      <c r="P97" s="688">
        <f t="shared" si="12"/>
        <v>464239</v>
      </c>
      <c r="Q97" s="689"/>
      <c r="R97" s="683">
        <f t="shared" si="13"/>
        <v>1187740</v>
      </c>
      <c r="S97" s="567"/>
      <c r="U97" s="679"/>
    </row>
    <row r="98" spans="1:21" s="678" customFormat="1" ht="61.2" customHeight="1">
      <c r="A98" s="676">
        <v>84</v>
      </c>
      <c r="B98" s="677" t="str">
        <f>'Tên thang 01-26'!E87</f>
        <v>សាត សុខណេង</v>
      </c>
      <c r="C98" s="690" t="str">
        <f>'Tên thang 01-26'!F87</f>
        <v>SAT SOKNENG</v>
      </c>
      <c r="D98" s="680">
        <v>173</v>
      </c>
      <c r="E98" s="681">
        <v>31947</v>
      </c>
      <c r="F98" s="682">
        <f t="shared" si="8"/>
        <v>13.91</v>
      </c>
      <c r="G98" s="683">
        <v>444383</v>
      </c>
      <c r="H98" s="682">
        <f>'KL 1'!AG100</f>
        <v>33.260000000000005</v>
      </c>
      <c r="I98" s="683">
        <f t="shared" si="14"/>
        <v>1062557</v>
      </c>
      <c r="J98" s="684"/>
      <c r="K98" s="683"/>
      <c r="L98" s="685">
        <f t="shared" si="9"/>
        <v>1506940</v>
      </c>
      <c r="M98" s="683">
        <f t="shared" si="10"/>
        <v>444383</v>
      </c>
      <c r="N98" s="686">
        <f t="shared" si="15"/>
        <v>24000</v>
      </c>
      <c r="O98" s="687">
        <f t="shared" si="11"/>
        <v>0</v>
      </c>
      <c r="P98" s="688">
        <f t="shared" si="12"/>
        <v>468383</v>
      </c>
      <c r="Q98" s="689"/>
      <c r="R98" s="683">
        <f t="shared" si="13"/>
        <v>1038557</v>
      </c>
      <c r="S98" s="567"/>
      <c r="U98" s="679"/>
    </row>
    <row r="99" spans="1:21" s="678" customFormat="1" ht="53.4" customHeight="1">
      <c r="A99" s="676">
        <v>85</v>
      </c>
      <c r="B99" s="677" t="str">
        <f>'Tên thang 01-26'!E88</f>
        <v>ស៊ុយ ចាន់នី</v>
      </c>
      <c r="C99" s="690" t="str">
        <f>'Tên thang 01-26'!F88</f>
        <v>SUY CHANNY</v>
      </c>
      <c r="D99" s="680">
        <v>174</v>
      </c>
      <c r="E99" s="681">
        <v>31947</v>
      </c>
      <c r="F99" s="682">
        <f t="shared" si="8"/>
        <v>12.25</v>
      </c>
      <c r="G99" s="683">
        <v>391351</v>
      </c>
      <c r="H99" s="682">
        <f>'KL 1'!AG101</f>
        <v>33.970000000000006</v>
      </c>
      <c r="I99" s="683">
        <f t="shared" si="14"/>
        <v>1085240</v>
      </c>
      <c r="J99" s="684"/>
      <c r="K99" s="683"/>
      <c r="L99" s="685">
        <f t="shared" si="9"/>
        <v>1476591</v>
      </c>
      <c r="M99" s="683">
        <f t="shared" si="10"/>
        <v>391351</v>
      </c>
      <c r="N99" s="686">
        <f t="shared" si="15"/>
        <v>24000</v>
      </c>
      <c r="O99" s="687">
        <f t="shared" si="11"/>
        <v>0</v>
      </c>
      <c r="P99" s="688">
        <f t="shared" si="12"/>
        <v>415351</v>
      </c>
      <c r="Q99" s="689"/>
      <c r="R99" s="683">
        <f t="shared" si="13"/>
        <v>1061240</v>
      </c>
      <c r="S99" s="567"/>
      <c r="U99" s="679"/>
    </row>
    <row r="100" spans="1:21" s="678" customFormat="1" ht="55.95" customHeight="1">
      <c r="A100" s="676">
        <v>86</v>
      </c>
      <c r="B100" s="677" t="str">
        <f>'Tên thang 01-26'!E89</f>
        <v>ហង់ ហើយ</v>
      </c>
      <c r="C100" s="690" t="str">
        <f>'Tên thang 01-26'!F89</f>
        <v>HANG HAEUY</v>
      </c>
      <c r="D100" s="680">
        <v>175</v>
      </c>
      <c r="E100" s="681">
        <v>31947</v>
      </c>
      <c r="F100" s="682">
        <f t="shared" si="8"/>
        <v>14.41</v>
      </c>
      <c r="G100" s="683">
        <v>460356</v>
      </c>
      <c r="H100" s="682">
        <f>'KL 1'!AG102</f>
        <v>40.049999999999997</v>
      </c>
      <c r="I100" s="683">
        <f t="shared" si="14"/>
        <v>1279477</v>
      </c>
      <c r="J100" s="684"/>
      <c r="K100" s="683"/>
      <c r="L100" s="685">
        <f t="shared" si="9"/>
        <v>1739833</v>
      </c>
      <c r="M100" s="683">
        <f t="shared" si="10"/>
        <v>460356</v>
      </c>
      <c r="N100" s="686">
        <f t="shared" si="15"/>
        <v>24000</v>
      </c>
      <c r="O100" s="687">
        <f t="shared" si="11"/>
        <v>10792</v>
      </c>
      <c r="P100" s="688">
        <f t="shared" si="12"/>
        <v>495148</v>
      </c>
      <c r="Q100" s="689"/>
      <c r="R100" s="683">
        <f t="shared" si="13"/>
        <v>1244685</v>
      </c>
      <c r="S100" s="567"/>
      <c r="U100" s="679"/>
    </row>
    <row r="101" spans="1:21" s="678" customFormat="1" ht="48.45" customHeight="1">
      <c r="A101" s="676">
        <v>87</v>
      </c>
      <c r="B101" s="677" t="str">
        <f>'Tên thang 01-26'!E90</f>
        <v>ឡៃ គុណ</v>
      </c>
      <c r="C101" s="690" t="str">
        <f>'Tên thang 01-26'!F90</f>
        <v>LAY KUN</v>
      </c>
      <c r="D101" s="680">
        <v>176</v>
      </c>
      <c r="E101" s="681">
        <v>31947</v>
      </c>
      <c r="F101" s="682">
        <f t="shared" si="8"/>
        <v>17.59</v>
      </c>
      <c r="G101" s="683">
        <v>561948</v>
      </c>
      <c r="H101" s="682">
        <f>'KL 1'!AG103</f>
        <v>40.619999999999997</v>
      </c>
      <c r="I101" s="683">
        <f t="shared" si="14"/>
        <v>1297687</v>
      </c>
      <c r="J101" s="684"/>
      <c r="K101" s="683"/>
      <c r="L101" s="685">
        <f t="shared" si="9"/>
        <v>1859635</v>
      </c>
      <c r="M101" s="683">
        <f t="shared" si="10"/>
        <v>561948</v>
      </c>
      <c r="N101" s="686">
        <f t="shared" si="15"/>
        <v>24000</v>
      </c>
      <c r="O101" s="687">
        <f t="shared" si="11"/>
        <v>16782</v>
      </c>
      <c r="P101" s="688">
        <f t="shared" si="12"/>
        <v>602730</v>
      </c>
      <c r="Q101" s="689"/>
      <c r="R101" s="683">
        <f t="shared" si="13"/>
        <v>1256905</v>
      </c>
      <c r="S101" s="567"/>
      <c r="U101" s="679"/>
    </row>
    <row r="102" spans="1:21" s="678" customFormat="1" ht="48.45" customHeight="1">
      <c r="A102" s="676">
        <v>88</v>
      </c>
      <c r="B102" s="677" t="str">
        <f>'Tên thang 01-26'!E91</f>
        <v>ភា ស្រីភិច</v>
      </c>
      <c r="C102" s="690" t="str">
        <f>'Tên thang 01-26'!F91</f>
        <v>PHEA SREYPHICH</v>
      </c>
      <c r="D102" s="680">
        <v>177</v>
      </c>
      <c r="E102" s="681">
        <v>31947</v>
      </c>
      <c r="F102" s="682">
        <f t="shared" si="8"/>
        <v>16.37</v>
      </c>
      <c r="G102" s="683">
        <v>522972</v>
      </c>
      <c r="H102" s="682">
        <f>'KL 1'!AG104</f>
        <v>39.589999999999996</v>
      </c>
      <c r="I102" s="683">
        <f t="shared" si="14"/>
        <v>1264782</v>
      </c>
      <c r="J102" s="684"/>
      <c r="K102" s="683"/>
      <c r="L102" s="685">
        <f t="shared" si="9"/>
        <v>1787754</v>
      </c>
      <c r="M102" s="683">
        <f t="shared" si="10"/>
        <v>522972</v>
      </c>
      <c r="N102" s="686">
        <f t="shared" si="15"/>
        <v>24000</v>
      </c>
      <c r="O102" s="687">
        <f t="shared" si="11"/>
        <v>13188</v>
      </c>
      <c r="P102" s="688">
        <f t="shared" si="12"/>
        <v>560160</v>
      </c>
      <c r="Q102" s="689"/>
      <c r="R102" s="683">
        <f t="shared" si="13"/>
        <v>1227594</v>
      </c>
      <c r="S102" s="567"/>
      <c r="U102" s="679"/>
    </row>
    <row r="103" spans="1:21" s="678" customFormat="1" ht="48.45" customHeight="1">
      <c r="A103" s="676">
        <v>89</v>
      </c>
      <c r="B103" s="677" t="str">
        <f>'Tên thang 01-26'!E92</f>
        <v>ពិន ចាន់ណា</v>
      </c>
      <c r="C103" s="690" t="str">
        <f>'Tên thang 01-26'!F92</f>
        <v>PIN CHANNA</v>
      </c>
      <c r="D103" s="680">
        <v>178</v>
      </c>
      <c r="E103" s="681">
        <v>31947</v>
      </c>
      <c r="F103" s="682">
        <f t="shared" si="8"/>
        <v>17.690000000000001</v>
      </c>
      <c r="G103" s="683">
        <v>565142</v>
      </c>
      <c r="H103" s="682">
        <f>'KL 1'!AG105</f>
        <v>41.379999999999995</v>
      </c>
      <c r="I103" s="683">
        <f t="shared" si="14"/>
        <v>1321967</v>
      </c>
      <c r="J103" s="684"/>
      <c r="K103" s="683"/>
      <c r="L103" s="685">
        <f t="shared" si="9"/>
        <v>1887109</v>
      </c>
      <c r="M103" s="683">
        <f t="shared" si="10"/>
        <v>565142</v>
      </c>
      <c r="N103" s="686">
        <f t="shared" si="15"/>
        <v>24000</v>
      </c>
      <c r="O103" s="687">
        <f t="shared" si="11"/>
        <v>18155</v>
      </c>
      <c r="P103" s="688">
        <f t="shared" si="12"/>
        <v>607297</v>
      </c>
      <c r="Q103" s="689"/>
      <c r="R103" s="683">
        <f t="shared" si="13"/>
        <v>1279812</v>
      </c>
      <c r="S103" s="567"/>
      <c r="U103" s="679"/>
    </row>
    <row r="104" spans="1:21" s="678" customFormat="1" ht="48.45" customHeight="1">
      <c r="A104" s="676">
        <v>90</v>
      </c>
      <c r="B104" s="677" t="str">
        <f>'Tên thang 01-26'!E93</f>
        <v>ប៊ូ បៀន</v>
      </c>
      <c r="C104" s="690" t="str">
        <f>'Tên thang 01-26'!F93</f>
        <v>BO BEAN</v>
      </c>
      <c r="D104" s="680">
        <v>179</v>
      </c>
      <c r="E104" s="681">
        <v>31947</v>
      </c>
      <c r="F104" s="682">
        <f t="shared" si="8"/>
        <v>16.29</v>
      </c>
      <c r="G104" s="683">
        <v>520417</v>
      </c>
      <c r="H104" s="682">
        <f>'KL 1'!AG106</f>
        <v>44.69</v>
      </c>
      <c r="I104" s="683">
        <f t="shared" si="14"/>
        <v>1427711</v>
      </c>
      <c r="J104" s="684"/>
      <c r="K104" s="683"/>
      <c r="L104" s="685">
        <f t="shared" si="9"/>
        <v>1948128</v>
      </c>
      <c r="M104" s="683">
        <f t="shared" si="10"/>
        <v>520417</v>
      </c>
      <c r="N104" s="686">
        <f t="shared" si="15"/>
        <v>24000</v>
      </c>
      <c r="O104" s="687">
        <f t="shared" si="11"/>
        <v>21206</v>
      </c>
      <c r="P104" s="688">
        <f t="shared" si="12"/>
        <v>565623</v>
      </c>
      <c r="Q104" s="689"/>
      <c r="R104" s="683">
        <f t="shared" si="13"/>
        <v>1382505</v>
      </c>
      <c r="S104" s="567"/>
      <c r="U104" s="679"/>
    </row>
    <row r="105" spans="1:21" s="678" customFormat="1" ht="48.45" customHeight="1">
      <c r="A105" s="676">
        <v>91</v>
      </c>
      <c r="B105" s="677" t="str">
        <f>'Tên thang 01-26'!E94</f>
        <v>មឿន ម៉ាក់</v>
      </c>
      <c r="C105" s="690" t="str">
        <f>'Tên thang 01-26'!F94</f>
        <v>MOEUN MAK</v>
      </c>
      <c r="D105" s="680">
        <v>180</v>
      </c>
      <c r="E105" s="681">
        <v>31947</v>
      </c>
      <c r="F105" s="682">
        <f t="shared" si="8"/>
        <v>17.47</v>
      </c>
      <c r="G105" s="683">
        <v>558114</v>
      </c>
      <c r="H105" s="682">
        <f>'KL 1'!AG107</f>
        <v>42.22</v>
      </c>
      <c r="I105" s="683">
        <f t="shared" si="14"/>
        <v>1348802</v>
      </c>
      <c r="J105" s="684"/>
      <c r="K105" s="683"/>
      <c r="L105" s="685">
        <f t="shared" si="9"/>
        <v>1906916</v>
      </c>
      <c r="M105" s="683">
        <f t="shared" si="10"/>
        <v>558114</v>
      </c>
      <c r="N105" s="686">
        <f t="shared" si="15"/>
        <v>24000</v>
      </c>
      <c r="O105" s="687">
        <f t="shared" si="11"/>
        <v>19146</v>
      </c>
      <c r="P105" s="688">
        <f t="shared" si="12"/>
        <v>601260</v>
      </c>
      <c r="Q105" s="689"/>
      <c r="R105" s="683">
        <f t="shared" si="13"/>
        <v>1305656</v>
      </c>
      <c r="S105" s="567"/>
      <c r="U105" s="679"/>
    </row>
    <row r="106" spans="1:21" s="678" customFormat="1" ht="48.45" customHeight="1">
      <c r="A106" s="676">
        <v>92</v>
      </c>
      <c r="B106" s="677" t="str">
        <f>'Tên thang 01-26'!E95</f>
        <v>ស សឿ</v>
      </c>
      <c r="C106" s="690" t="str">
        <f>'Tên thang 01-26'!F95</f>
        <v>SOR SOEU</v>
      </c>
      <c r="D106" s="680">
        <v>181</v>
      </c>
      <c r="E106" s="681">
        <v>31947</v>
      </c>
      <c r="F106" s="682">
        <f t="shared" si="8"/>
        <v>16.190000000000001</v>
      </c>
      <c r="G106" s="683">
        <v>517222</v>
      </c>
      <c r="H106" s="682">
        <f>'KL 1'!AG108</f>
        <v>41.69</v>
      </c>
      <c r="I106" s="683">
        <f t="shared" si="14"/>
        <v>1331870</v>
      </c>
      <c r="J106" s="684"/>
      <c r="K106" s="683"/>
      <c r="L106" s="685">
        <f t="shared" si="9"/>
        <v>1849092</v>
      </c>
      <c r="M106" s="683">
        <f t="shared" si="10"/>
        <v>517222</v>
      </c>
      <c r="N106" s="686">
        <f t="shared" si="15"/>
        <v>24000</v>
      </c>
      <c r="O106" s="687">
        <f t="shared" si="11"/>
        <v>16255</v>
      </c>
      <c r="P106" s="688">
        <f t="shared" si="12"/>
        <v>557477</v>
      </c>
      <c r="Q106" s="689"/>
      <c r="R106" s="683">
        <f t="shared" si="13"/>
        <v>1291615</v>
      </c>
      <c r="S106" s="567"/>
      <c r="U106" s="679"/>
    </row>
    <row r="107" spans="1:21" s="678" customFormat="1" ht="48.45" customHeight="1">
      <c r="A107" s="676">
        <v>93</v>
      </c>
      <c r="B107" s="677" t="str">
        <f>'Tên thang 01-26'!E96</f>
        <v>ស៊ន សី</v>
      </c>
      <c r="C107" s="690" t="str">
        <f>'Tên thang 01-26'!F96</f>
        <v>SORN SEY</v>
      </c>
      <c r="D107" s="680">
        <v>182</v>
      </c>
      <c r="E107" s="681">
        <v>31947</v>
      </c>
      <c r="F107" s="682">
        <f t="shared" si="8"/>
        <v>18.12</v>
      </c>
      <c r="G107" s="683">
        <v>578880</v>
      </c>
      <c r="H107" s="682">
        <f>'KL 1'!AG109</f>
        <v>39.699999999999996</v>
      </c>
      <c r="I107" s="683">
        <f t="shared" si="14"/>
        <v>1268296</v>
      </c>
      <c r="J107" s="684"/>
      <c r="K107" s="683"/>
      <c r="L107" s="685">
        <f t="shared" si="9"/>
        <v>1847176</v>
      </c>
      <c r="M107" s="683">
        <f t="shared" si="10"/>
        <v>578880</v>
      </c>
      <c r="N107" s="686">
        <f t="shared" si="15"/>
        <v>24000</v>
      </c>
      <c r="O107" s="687">
        <f t="shared" si="11"/>
        <v>16159</v>
      </c>
      <c r="P107" s="688">
        <f t="shared" si="12"/>
        <v>619039</v>
      </c>
      <c r="Q107" s="689"/>
      <c r="R107" s="683">
        <f t="shared" si="13"/>
        <v>1228137</v>
      </c>
      <c r="S107" s="567"/>
      <c r="U107" s="679"/>
    </row>
    <row r="108" spans="1:21" s="678" customFormat="1" ht="48.45" customHeight="1">
      <c r="A108" s="676">
        <v>94</v>
      </c>
      <c r="B108" s="677" t="str">
        <f>'Tên thang 01-26'!E97</f>
        <v>ឡុន លាង</v>
      </c>
      <c r="C108" s="690" t="str">
        <f>'Tên thang 01-26'!F97</f>
        <v>LAUN LENG</v>
      </c>
      <c r="D108" s="680">
        <v>183</v>
      </c>
      <c r="E108" s="681">
        <v>31947</v>
      </c>
      <c r="F108" s="682">
        <f t="shared" si="8"/>
        <v>16.68</v>
      </c>
      <c r="G108" s="683">
        <v>532876</v>
      </c>
      <c r="H108" s="682">
        <f>'KL 1'!AG110</f>
        <v>40.299999999999997</v>
      </c>
      <c r="I108" s="683">
        <f t="shared" si="14"/>
        <v>1287464</v>
      </c>
      <c r="J108" s="684"/>
      <c r="K108" s="683"/>
      <c r="L108" s="685">
        <f t="shared" si="9"/>
        <v>1820340</v>
      </c>
      <c r="M108" s="683">
        <f t="shared" si="10"/>
        <v>532876</v>
      </c>
      <c r="N108" s="686">
        <f t="shared" si="15"/>
        <v>24000</v>
      </c>
      <c r="O108" s="687">
        <f t="shared" si="11"/>
        <v>14817</v>
      </c>
      <c r="P108" s="688">
        <f t="shared" si="12"/>
        <v>571693</v>
      </c>
      <c r="Q108" s="689"/>
      <c r="R108" s="683">
        <f t="shared" si="13"/>
        <v>1248647</v>
      </c>
      <c r="S108" s="567"/>
      <c r="U108" s="679"/>
    </row>
    <row r="109" spans="1:21" s="678" customFormat="1" ht="48.45" customHeight="1">
      <c r="A109" s="676">
        <v>95</v>
      </c>
      <c r="B109" s="677" t="str">
        <f>'Tên thang 01-26'!E98</f>
        <v>ស៊ាន ពិន</v>
      </c>
      <c r="C109" s="690" t="str">
        <f>'Tên thang 01-26'!F98</f>
        <v>SEAN PIN</v>
      </c>
      <c r="D109" s="680">
        <v>184</v>
      </c>
      <c r="E109" s="681">
        <v>31947</v>
      </c>
      <c r="F109" s="682">
        <f t="shared" si="8"/>
        <v>14.82</v>
      </c>
      <c r="G109" s="683">
        <v>473455</v>
      </c>
      <c r="H109" s="682">
        <f>'KL 1'!AG111</f>
        <v>39.869999999999997</v>
      </c>
      <c r="I109" s="683">
        <f t="shared" si="14"/>
        <v>1273727</v>
      </c>
      <c r="J109" s="684"/>
      <c r="K109" s="683"/>
      <c r="L109" s="685">
        <f t="shared" si="9"/>
        <v>1747182</v>
      </c>
      <c r="M109" s="683">
        <f t="shared" si="10"/>
        <v>473455</v>
      </c>
      <c r="N109" s="686">
        <f t="shared" si="15"/>
        <v>24000</v>
      </c>
      <c r="O109" s="687">
        <f t="shared" si="11"/>
        <v>11159</v>
      </c>
      <c r="P109" s="688">
        <f t="shared" si="12"/>
        <v>508614</v>
      </c>
      <c r="Q109" s="689"/>
      <c r="R109" s="683">
        <f t="shared" si="13"/>
        <v>1238568</v>
      </c>
      <c r="S109" s="567"/>
      <c r="U109" s="679"/>
    </row>
    <row r="110" spans="1:21" s="678" customFormat="1" ht="48.45" customHeight="1">
      <c r="A110" s="676">
        <v>96</v>
      </c>
      <c r="B110" s="677" t="str">
        <f>'Tên thang 01-26'!E99</f>
        <v>ប៊ូ ផៃ</v>
      </c>
      <c r="C110" s="690" t="str">
        <f>'Tên thang 01-26'!F99</f>
        <v>BOU PHAY</v>
      </c>
      <c r="D110" s="680">
        <v>185</v>
      </c>
      <c r="E110" s="681">
        <v>31947</v>
      </c>
      <c r="F110" s="682">
        <f t="shared" si="8"/>
        <v>14.71</v>
      </c>
      <c r="G110" s="683">
        <v>469940</v>
      </c>
      <c r="H110" s="682">
        <f>'KL 1'!AG112</f>
        <v>41.52</v>
      </c>
      <c r="I110" s="683">
        <f t="shared" si="14"/>
        <v>1326439</v>
      </c>
      <c r="J110" s="684"/>
      <c r="K110" s="683"/>
      <c r="L110" s="685">
        <f t="shared" si="9"/>
        <v>1796379</v>
      </c>
      <c r="M110" s="683">
        <f t="shared" si="10"/>
        <v>469940</v>
      </c>
      <c r="N110" s="686">
        <f t="shared" si="15"/>
        <v>24000</v>
      </c>
      <c r="O110" s="687">
        <f t="shared" si="11"/>
        <v>13619</v>
      </c>
      <c r="P110" s="688">
        <f t="shared" si="12"/>
        <v>507559</v>
      </c>
      <c r="Q110" s="689"/>
      <c r="R110" s="683">
        <f t="shared" si="13"/>
        <v>1288820</v>
      </c>
      <c r="S110" s="567"/>
      <c r="U110" s="679"/>
    </row>
    <row r="111" spans="1:21" s="678" customFormat="1" ht="48.45" customHeight="1">
      <c r="A111" s="676">
        <v>97</v>
      </c>
      <c r="B111" s="677" t="str">
        <f>'Tên thang 01-26'!E100</f>
        <v>ហួន​ ហ៊ាន</v>
      </c>
      <c r="C111" s="690" t="str">
        <f>'Tên thang 01-26'!F100</f>
        <v>HOURN HEAN</v>
      </c>
      <c r="D111" s="680">
        <v>186</v>
      </c>
      <c r="E111" s="681">
        <v>31947</v>
      </c>
      <c r="F111" s="682">
        <f t="shared" si="8"/>
        <v>18.82</v>
      </c>
      <c r="G111" s="683">
        <v>601243</v>
      </c>
      <c r="H111" s="682">
        <f>'KL 1'!AG113</f>
        <v>46.1</v>
      </c>
      <c r="I111" s="683">
        <f t="shared" si="14"/>
        <v>1472757</v>
      </c>
      <c r="J111" s="684"/>
      <c r="K111" s="683"/>
      <c r="L111" s="685">
        <f t="shared" si="9"/>
        <v>2074000</v>
      </c>
      <c r="M111" s="683">
        <f t="shared" si="10"/>
        <v>601243</v>
      </c>
      <c r="N111" s="686">
        <f t="shared" si="15"/>
        <v>24000</v>
      </c>
      <c r="O111" s="687">
        <f t="shared" si="11"/>
        <v>30000</v>
      </c>
      <c r="P111" s="688">
        <f t="shared" si="12"/>
        <v>655243</v>
      </c>
      <c r="Q111" s="689"/>
      <c r="R111" s="683">
        <f t="shared" si="13"/>
        <v>1418757</v>
      </c>
      <c r="S111" s="567"/>
      <c r="U111" s="679"/>
    </row>
    <row r="112" spans="1:21" s="678" customFormat="1" ht="48.45" customHeight="1">
      <c r="A112" s="676">
        <v>98</v>
      </c>
      <c r="B112" s="677" t="str">
        <f>'Tên thang 01-26'!E101</f>
        <v>ហ៊ាន តុលា</v>
      </c>
      <c r="C112" s="690" t="str">
        <f>'Tên thang 01-26'!F101</f>
        <v>HAN TOLA</v>
      </c>
      <c r="D112" s="680">
        <v>187</v>
      </c>
      <c r="E112" s="681">
        <v>31947</v>
      </c>
      <c r="F112" s="682">
        <f t="shared" si="8"/>
        <v>18.04</v>
      </c>
      <c r="G112" s="683">
        <v>576324</v>
      </c>
      <c r="H112" s="682">
        <f>'KL 1'!AG114</f>
        <v>45.199999999999996</v>
      </c>
      <c r="I112" s="683">
        <f t="shared" si="14"/>
        <v>1444004</v>
      </c>
      <c r="J112" s="684"/>
      <c r="K112" s="683"/>
      <c r="L112" s="685">
        <f t="shared" si="9"/>
        <v>2020328</v>
      </c>
      <c r="M112" s="683">
        <f t="shared" si="10"/>
        <v>576324</v>
      </c>
      <c r="N112" s="686">
        <f t="shared" si="15"/>
        <v>24000</v>
      </c>
      <c r="O112" s="687">
        <f t="shared" si="11"/>
        <v>24816</v>
      </c>
      <c r="P112" s="688">
        <f t="shared" si="12"/>
        <v>625140</v>
      </c>
      <c r="Q112" s="689"/>
      <c r="R112" s="683">
        <f t="shared" si="13"/>
        <v>1395188</v>
      </c>
      <c r="S112" s="567"/>
      <c r="U112" s="679"/>
    </row>
    <row r="113" spans="1:21" s="678" customFormat="1" ht="48.45" customHeight="1">
      <c r="A113" s="676">
        <v>99</v>
      </c>
      <c r="B113" s="677" t="str">
        <f>'Tên thang 01-26'!E102</f>
        <v>ទេព មឿន</v>
      </c>
      <c r="C113" s="690" t="str">
        <f>'Tên thang 01-26'!F102</f>
        <v>TEP MOEUN</v>
      </c>
      <c r="D113" s="680">
        <v>188</v>
      </c>
      <c r="E113" s="681">
        <v>31947</v>
      </c>
      <c r="F113" s="682">
        <f t="shared" si="8"/>
        <v>16.739999999999998</v>
      </c>
      <c r="G113" s="683">
        <v>534793</v>
      </c>
      <c r="H113" s="682">
        <f>'KL 1'!AG115</f>
        <v>43.9</v>
      </c>
      <c r="I113" s="683">
        <f t="shared" si="14"/>
        <v>1402473</v>
      </c>
      <c r="J113" s="684"/>
      <c r="K113" s="683"/>
      <c r="L113" s="685">
        <f t="shared" si="9"/>
        <v>1937266</v>
      </c>
      <c r="M113" s="683">
        <f t="shared" si="10"/>
        <v>534793</v>
      </c>
      <c r="N113" s="686">
        <f t="shared" si="15"/>
        <v>24000</v>
      </c>
      <c r="O113" s="687">
        <f t="shared" si="11"/>
        <v>20663</v>
      </c>
      <c r="P113" s="688">
        <f t="shared" si="12"/>
        <v>579456</v>
      </c>
      <c r="Q113" s="689"/>
      <c r="R113" s="683">
        <f t="shared" si="13"/>
        <v>1357810</v>
      </c>
      <c r="S113" s="567"/>
      <c r="U113" s="679"/>
    </row>
    <row r="114" spans="1:21" s="678" customFormat="1" ht="48.45" customHeight="1">
      <c r="A114" s="676">
        <v>100</v>
      </c>
      <c r="B114" s="677" t="str">
        <f>'Tên thang 01-26'!E103</f>
        <v>ប៊ូ បឿន</v>
      </c>
      <c r="C114" s="690" t="str">
        <f>'Tên thang 01-26'!F103</f>
        <v>BOU BOEUN</v>
      </c>
      <c r="D114" s="680">
        <v>189</v>
      </c>
      <c r="E114" s="681">
        <v>31947</v>
      </c>
      <c r="F114" s="682">
        <f t="shared" si="8"/>
        <v>14.4</v>
      </c>
      <c r="G114" s="683">
        <v>460037</v>
      </c>
      <c r="H114" s="682">
        <f>'KL 1'!AG116</f>
        <v>37.309999999999995</v>
      </c>
      <c r="I114" s="683">
        <f t="shared" si="14"/>
        <v>1191943</v>
      </c>
      <c r="J114" s="684"/>
      <c r="K114" s="683"/>
      <c r="L114" s="685">
        <f t="shared" si="9"/>
        <v>1651980</v>
      </c>
      <c r="M114" s="683">
        <f t="shared" si="10"/>
        <v>460037</v>
      </c>
      <c r="N114" s="686">
        <f t="shared" si="15"/>
        <v>24000</v>
      </c>
      <c r="O114" s="687">
        <f t="shared" si="11"/>
        <v>6399</v>
      </c>
      <c r="P114" s="688">
        <f t="shared" si="12"/>
        <v>490436</v>
      </c>
      <c r="Q114" s="689"/>
      <c r="R114" s="683">
        <f t="shared" si="13"/>
        <v>1161544</v>
      </c>
      <c r="S114" s="567"/>
      <c r="U114" s="679"/>
    </row>
    <row r="115" spans="1:21" s="678" customFormat="1" ht="48.45" customHeight="1">
      <c r="A115" s="676">
        <v>101</v>
      </c>
      <c r="B115" s="677" t="str">
        <f>'Tên thang 01-26'!E104</f>
        <v>ញ៉ីវ ហាន</v>
      </c>
      <c r="C115" s="690" t="str">
        <f>'Tên thang 01-26'!F104</f>
        <v>NHIV HAN</v>
      </c>
      <c r="D115" s="680">
        <v>190</v>
      </c>
      <c r="E115" s="681">
        <v>31947</v>
      </c>
      <c r="F115" s="682">
        <f t="shared" si="8"/>
        <v>17.2</v>
      </c>
      <c r="G115" s="683">
        <v>549488</v>
      </c>
      <c r="H115" s="682">
        <f>'KL 1'!AG117</f>
        <v>41.76</v>
      </c>
      <c r="I115" s="683">
        <f t="shared" si="14"/>
        <v>1334107</v>
      </c>
      <c r="J115" s="684"/>
      <c r="K115" s="683"/>
      <c r="L115" s="685">
        <f t="shared" si="9"/>
        <v>1883595</v>
      </c>
      <c r="M115" s="683">
        <f t="shared" si="10"/>
        <v>549488</v>
      </c>
      <c r="N115" s="686">
        <f t="shared" si="15"/>
        <v>24000</v>
      </c>
      <c r="O115" s="687">
        <f t="shared" si="11"/>
        <v>17980</v>
      </c>
      <c r="P115" s="688">
        <f t="shared" si="12"/>
        <v>591468</v>
      </c>
      <c r="Q115" s="689"/>
      <c r="R115" s="683">
        <f t="shared" si="13"/>
        <v>1292127</v>
      </c>
      <c r="S115" s="567"/>
      <c r="U115" s="679"/>
    </row>
    <row r="116" spans="1:21" s="678" customFormat="1" ht="48.45" customHeight="1">
      <c r="A116" s="676">
        <v>102</v>
      </c>
      <c r="B116" s="677" t="str">
        <f>'Tên thang 01-26'!E105</f>
        <v>ម៉ៅ អ៊ីម</v>
      </c>
      <c r="C116" s="690" t="str">
        <f>'Tên thang 01-26'!F105</f>
        <v>MAO IM</v>
      </c>
      <c r="D116" s="680">
        <v>191</v>
      </c>
      <c r="E116" s="681">
        <v>31947</v>
      </c>
      <c r="F116" s="682">
        <f t="shared" si="8"/>
        <v>16.95</v>
      </c>
      <c r="G116" s="683">
        <v>541502</v>
      </c>
      <c r="H116" s="682">
        <f>'KL 1'!AG118</f>
        <v>42.029999999999994</v>
      </c>
      <c r="I116" s="683">
        <f t="shared" si="14"/>
        <v>1342732</v>
      </c>
      <c r="J116" s="684"/>
      <c r="K116" s="683"/>
      <c r="L116" s="685">
        <f t="shared" si="9"/>
        <v>1884234</v>
      </c>
      <c r="M116" s="683">
        <f t="shared" si="10"/>
        <v>541502</v>
      </c>
      <c r="N116" s="686">
        <f t="shared" si="15"/>
        <v>24000</v>
      </c>
      <c r="O116" s="687">
        <f t="shared" si="11"/>
        <v>18012</v>
      </c>
      <c r="P116" s="688">
        <f t="shared" si="12"/>
        <v>583514</v>
      </c>
      <c r="Q116" s="689"/>
      <c r="R116" s="683">
        <f t="shared" si="13"/>
        <v>1300720</v>
      </c>
      <c r="S116" s="567"/>
      <c r="U116" s="679"/>
    </row>
    <row r="117" spans="1:21" s="678" customFormat="1" ht="48.45" customHeight="1">
      <c r="A117" s="676">
        <v>103</v>
      </c>
      <c r="B117" s="677" t="str">
        <f>'Tên thang 01-26'!E106</f>
        <v>អ៊ុង សុភ័ក្រ</v>
      </c>
      <c r="C117" s="690" t="str">
        <f>'Tên thang 01-26'!F106</f>
        <v>UNG SOPHEAK</v>
      </c>
      <c r="D117" s="680">
        <v>192</v>
      </c>
      <c r="E117" s="681">
        <v>31947</v>
      </c>
      <c r="F117" s="682">
        <f t="shared" si="8"/>
        <v>17.25</v>
      </c>
      <c r="G117" s="683">
        <v>551086</v>
      </c>
      <c r="H117" s="682">
        <f>'KL 1'!AG119</f>
        <v>39.47999999999999</v>
      </c>
      <c r="I117" s="683">
        <f t="shared" si="14"/>
        <v>1261268</v>
      </c>
      <c r="J117" s="684"/>
      <c r="K117" s="683"/>
      <c r="L117" s="685">
        <f t="shared" si="9"/>
        <v>1812354</v>
      </c>
      <c r="M117" s="683">
        <f t="shared" si="10"/>
        <v>551086</v>
      </c>
      <c r="N117" s="686">
        <f t="shared" si="15"/>
        <v>24000</v>
      </c>
      <c r="O117" s="687">
        <f t="shared" si="11"/>
        <v>14418</v>
      </c>
      <c r="P117" s="688">
        <f t="shared" si="12"/>
        <v>589504</v>
      </c>
      <c r="Q117" s="689"/>
      <c r="R117" s="683">
        <f t="shared" si="13"/>
        <v>1222850</v>
      </c>
      <c r="S117" s="567"/>
      <c r="U117" s="679"/>
    </row>
    <row r="118" spans="1:21" s="678" customFormat="1" ht="48.45" customHeight="1">
      <c r="A118" s="676">
        <v>104</v>
      </c>
      <c r="B118" s="677" t="str">
        <f>'Tên thang 01-26'!E107</f>
        <v>លាង ចន្ធី</v>
      </c>
      <c r="C118" s="690" t="str">
        <f>'Tên thang 01-26'!F107</f>
        <v>LEANG CHATHY</v>
      </c>
      <c r="D118" s="680">
        <v>193</v>
      </c>
      <c r="E118" s="681">
        <v>31947</v>
      </c>
      <c r="F118" s="682">
        <f t="shared" si="8"/>
        <v>16.96</v>
      </c>
      <c r="G118" s="683">
        <v>541821</v>
      </c>
      <c r="H118" s="682">
        <f>'KL 1'!AG120</f>
        <v>39.319999999999993</v>
      </c>
      <c r="I118" s="683">
        <f t="shared" si="14"/>
        <v>1256156</v>
      </c>
      <c r="J118" s="684"/>
      <c r="K118" s="683"/>
      <c r="L118" s="685">
        <f t="shared" si="9"/>
        <v>1797977</v>
      </c>
      <c r="M118" s="683">
        <f t="shared" si="10"/>
        <v>541821</v>
      </c>
      <c r="N118" s="686">
        <f t="shared" si="15"/>
        <v>24000</v>
      </c>
      <c r="O118" s="687">
        <f t="shared" si="11"/>
        <v>13699</v>
      </c>
      <c r="P118" s="688">
        <f t="shared" si="12"/>
        <v>579520</v>
      </c>
      <c r="Q118" s="689"/>
      <c r="R118" s="683">
        <f t="shared" si="13"/>
        <v>1218457</v>
      </c>
      <c r="S118" s="567"/>
      <c r="U118" s="679"/>
    </row>
    <row r="119" spans="1:21" s="678" customFormat="1" ht="48.45" customHeight="1">
      <c r="A119" s="676">
        <v>105</v>
      </c>
      <c r="B119" s="677" t="str">
        <f>'Tên thang 01-26'!E108</f>
        <v>ភូន ខេត</v>
      </c>
      <c r="C119" s="690" t="str">
        <f>'Tên thang 01-26'!F108</f>
        <v>PHOUN KHET</v>
      </c>
      <c r="D119" s="680">
        <v>194</v>
      </c>
      <c r="E119" s="681">
        <v>31947</v>
      </c>
      <c r="F119" s="682">
        <f t="shared" si="8"/>
        <v>20.13</v>
      </c>
      <c r="G119" s="683">
        <v>643093</v>
      </c>
      <c r="H119" s="682">
        <f>'KL 1'!AG121</f>
        <v>43.64</v>
      </c>
      <c r="I119" s="683">
        <f t="shared" si="14"/>
        <v>1394167</v>
      </c>
      <c r="J119" s="684"/>
      <c r="K119" s="683"/>
      <c r="L119" s="685">
        <f t="shared" si="9"/>
        <v>2037260</v>
      </c>
      <c r="M119" s="683">
        <f t="shared" si="10"/>
        <v>643093</v>
      </c>
      <c r="N119" s="686">
        <f t="shared" si="15"/>
        <v>24000</v>
      </c>
      <c r="O119" s="687">
        <f t="shared" si="11"/>
        <v>26326</v>
      </c>
      <c r="P119" s="688">
        <f t="shared" si="12"/>
        <v>693419</v>
      </c>
      <c r="Q119" s="689"/>
      <c r="R119" s="683">
        <f t="shared" si="13"/>
        <v>1343841</v>
      </c>
      <c r="S119" s="567"/>
      <c r="U119" s="679"/>
    </row>
    <row r="120" spans="1:21" s="678" customFormat="1" ht="48.45" customHeight="1">
      <c r="A120" s="676">
        <v>106</v>
      </c>
      <c r="B120" s="677" t="str">
        <f>'Tên thang 01-26'!E109</f>
        <v>ហ៊ាន់ គី</v>
      </c>
      <c r="C120" s="690" t="str">
        <f>'Tên thang 01-26'!F109</f>
        <v>HOINN KY</v>
      </c>
      <c r="D120" s="680">
        <v>195</v>
      </c>
      <c r="E120" s="681">
        <v>31947</v>
      </c>
      <c r="F120" s="682">
        <f t="shared" si="8"/>
        <v>19.41</v>
      </c>
      <c r="G120" s="683">
        <v>620091</v>
      </c>
      <c r="H120" s="682">
        <f>'KL 1'!AG122</f>
        <v>43.239999999999995</v>
      </c>
      <c r="I120" s="683">
        <f t="shared" si="14"/>
        <v>1381388</v>
      </c>
      <c r="J120" s="684"/>
      <c r="K120" s="683"/>
      <c r="L120" s="685">
        <f t="shared" si="9"/>
        <v>2001479</v>
      </c>
      <c r="M120" s="683">
        <f t="shared" si="10"/>
        <v>620091</v>
      </c>
      <c r="N120" s="686">
        <f t="shared" si="15"/>
        <v>24000</v>
      </c>
      <c r="O120" s="687">
        <f t="shared" si="11"/>
        <v>23874</v>
      </c>
      <c r="P120" s="688">
        <f t="shared" si="12"/>
        <v>667965</v>
      </c>
      <c r="Q120" s="689"/>
      <c r="R120" s="683">
        <f t="shared" si="13"/>
        <v>1333514</v>
      </c>
      <c r="S120" s="567"/>
      <c r="U120" s="679"/>
    </row>
    <row r="121" spans="1:21" s="678" customFormat="1" ht="48.45" customHeight="1">
      <c r="A121" s="676">
        <v>107</v>
      </c>
      <c r="B121" s="677" t="str">
        <f>'Tên thang 01-26'!E110</f>
        <v>ឃាន អំ</v>
      </c>
      <c r="C121" s="690" t="str">
        <f>'Tên thang 01-26'!F110</f>
        <v>KHEAN AM</v>
      </c>
      <c r="D121" s="680">
        <v>196</v>
      </c>
      <c r="E121" s="681">
        <v>31947</v>
      </c>
      <c r="F121" s="682">
        <f t="shared" si="8"/>
        <v>15</v>
      </c>
      <c r="G121" s="683">
        <v>479205</v>
      </c>
      <c r="H121" s="682">
        <f>'KL 1'!AG123</f>
        <v>37.879999999999995</v>
      </c>
      <c r="I121" s="683">
        <f t="shared" si="14"/>
        <v>1210152</v>
      </c>
      <c r="J121" s="684"/>
      <c r="K121" s="683"/>
      <c r="L121" s="685">
        <f t="shared" si="9"/>
        <v>1689357</v>
      </c>
      <c r="M121" s="683">
        <f t="shared" si="10"/>
        <v>479205</v>
      </c>
      <c r="N121" s="686">
        <f t="shared" si="15"/>
        <v>24000</v>
      </c>
      <c r="O121" s="687">
        <f t="shared" si="11"/>
        <v>8268</v>
      </c>
      <c r="P121" s="688">
        <f t="shared" si="12"/>
        <v>511473</v>
      </c>
      <c r="Q121" s="689"/>
      <c r="R121" s="683">
        <f t="shared" si="13"/>
        <v>1177884</v>
      </c>
      <c r="S121" s="567"/>
      <c r="U121" s="679"/>
    </row>
    <row r="122" spans="1:21" s="678" customFormat="1" ht="48.45" customHeight="1">
      <c r="A122" s="676">
        <v>108</v>
      </c>
      <c r="B122" s="677" t="str">
        <f>'Tên thang 01-26'!E111</f>
        <v>សុខ ទ្រី</v>
      </c>
      <c r="C122" s="690" t="str">
        <f>'Tên thang 01-26'!F111</f>
        <v>SOK TRY</v>
      </c>
      <c r="D122" s="680">
        <v>197</v>
      </c>
      <c r="E122" s="681">
        <v>31947</v>
      </c>
      <c r="F122" s="682">
        <f t="shared" si="8"/>
        <v>12.95</v>
      </c>
      <c r="G122" s="683">
        <v>413714</v>
      </c>
      <c r="H122" s="682">
        <f>'KL 1'!AG124</f>
        <v>37.71</v>
      </c>
      <c r="I122" s="683">
        <f t="shared" si="14"/>
        <v>1204721</v>
      </c>
      <c r="J122" s="684"/>
      <c r="K122" s="683"/>
      <c r="L122" s="685">
        <f t="shared" si="9"/>
        <v>1618435</v>
      </c>
      <c r="M122" s="683">
        <f t="shared" si="10"/>
        <v>413714</v>
      </c>
      <c r="N122" s="686">
        <f t="shared" si="15"/>
        <v>24000</v>
      </c>
      <c r="O122" s="687">
        <f t="shared" si="11"/>
        <v>4722</v>
      </c>
      <c r="P122" s="688">
        <f t="shared" si="12"/>
        <v>442436</v>
      </c>
      <c r="Q122" s="689"/>
      <c r="R122" s="683">
        <f t="shared" si="13"/>
        <v>1175999</v>
      </c>
      <c r="S122" s="567"/>
      <c r="U122" s="679"/>
    </row>
    <row r="123" spans="1:21" s="678" customFormat="1" ht="48.45" customHeight="1">
      <c r="A123" s="676">
        <v>109</v>
      </c>
      <c r="B123" s="677" t="str">
        <f>'Tên thang 01-26'!E112</f>
        <v>ហួន​ ហេត</v>
      </c>
      <c r="C123" s="690" t="str">
        <f>'Tên thang 01-26'!F112</f>
        <v>HOUN HET</v>
      </c>
      <c r="D123" s="680">
        <v>198</v>
      </c>
      <c r="E123" s="681">
        <v>31947</v>
      </c>
      <c r="F123" s="682">
        <f t="shared" si="8"/>
        <v>16.11</v>
      </c>
      <c r="G123" s="683">
        <v>514666</v>
      </c>
      <c r="H123" s="682">
        <f>'KL 1'!AG125</f>
        <v>39.769999999999996</v>
      </c>
      <c r="I123" s="683">
        <f t="shared" si="14"/>
        <v>1270532</v>
      </c>
      <c r="J123" s="684"/>
      <c r="K123" s="683"/>
      <c r="L123" s="685">
        <f t="shared" si="9"/>
        <v>1785198</v>
      </c>
      <c r="M123" s="683">
        <f t="shared" si="10"/>
        <v>514666</v>
      </c>
      <c r="N123" s="686">
        <f t="shared" si="15"/>
        <v>24000</v>
      </c>
      <c r="O123" s="687">
        <f t="shared" si="11"/>
        <v>13060</v>
      </c>
      <c r="P123" s="688">
        <f t="shared" si="12"/>
        <v>551726</v>
      </c>
      <c r="Q123" s="689"/>
      <c r="R123" s="683">
        <f t="shared" si="13"/>
        <v>1233472</v>
      </c>
      <c r="S123" s="567"/>
      <c r="U123" s="679"/>
    </row>
    <row r="124" spans="1:21" s="678" customFormat="1" ht="48.45" customHeight="1">
      <c r="A124" s="676">
        <v>110</v>
      </c>
      <c r="B124" s="677" t="str">
        <f>'Tên thang 01-26'!E113</f>
        <v>សុក ចិន</v>
      </c>
      <c r="C124" s="690" t="str">
        <f>'Tên thang 01-26'!F113</f>
        <v>SOK CHIN</v>
      </c>
      <c r="D124" s="680">
        <v>199</v>
      </c>
      <c r="E124" s="681">
        <v>31947</v>
      </c>
      <c r="F124" s="682">
        <f t="shared" si="8"/>
        <v>15.67</v>
      </c>
      <c r="G124" s="683">
        <v>500609</v>
      </c>
      <c r="H124" s="682">
        <f>'KL 1'!AG126</f>
        <v>38.94</v>
      </c>
      <c r="I124" s="683">
        <f t="shared" si="14"/>
        <v>1244016</v>
      </c>
      <c r="J124" s="684"/>
      <c r="K124" s="683"/>
      <c r="L124" s="685">
        <f t="shared" si="9"/>
        <v>1744625</v>
      </c>
      <c r="M124" s="683">
        <f t="shared" si="10"/>
        <v>500609</v>
      </c>
      <c r="N124" s="686">
        <f t="shared" si="15"/>
        <v>24000</v>
      </c>
      <c r="O124" s="687">
        <f t="shared" si="11"/>
        <v>11031</v>
      </c>
      <c r="P124" s="688">
        <f t="shared" si="12"/>
        <v>535640</v>
      </c>
      <c r="Q124" s="689"/>
      <c r="R124" s="683">
        <f t="shared" si="13"/>
        <v>1208985</v>
      </c>
      <c r="S124" s="567"/>
      <c r="U124" s="679"/>
    </row>
    <row r="125" spans="1:21" s="678" customFormat="1" ht="48.45" customHeight="1">
      <c r="A125" s="676">
        <v>111</v>
      </c>
      <c r="B125" s="677" t="str">
        <f>'Tên thang 01-26'!E114</f>
        <v>ផាន់ ភឿន</v>
      </c>
      <c r="C125" s="690" t="str">
        <f>'Tên thang 01-26'!F114</f>
        <v>PHANN PHOEUN</v>
      </c>
      <c r="D125" s="680">
        <v>200</v>
      </c>
      <c r="E125" s="681">
        <v>31947</v>
      </c>
      <c r="F125" s="682">
        <f t="shared" ref="F125:F156" si="16">ROUND(G125/31947,2)</f>
        <v>17.14</v>
      </c>
      <c r="G125" s="683">
        <v>547572</v>
      </c>
      <c r="H125" s="682">
        <f>'KL 1'!AG127</f>
        <v>40.89</v>
      </c>
      <c r="I125" s="683">
        <f t="shared" si="14"/>
        <v>1306313</v>
      </c>
      <c r="J125" s="684"/>
      <c r="K125" s="683"/>
      <c r="L125" s="685">
        <f t="shared" ref="L125:L156" si="17">G125+I125+K125+J125</f>
        <v>1853885</v>
      </c>
      <c r="M125" s="683">
        <f t="shared" ref="M125:M156" si="18">G125</f>
        <v>547572</v>
      </c>
      <c r="N125" s="686">
        <f t="shared" si="15"/>
        <v>24000</v>
      </c>
      <c r="O125" s="687">
        <f t="shared" ref="O125:O156" si="19">ROUND(IF((L125-(K125+N125))&lt;=1500000,0,IF(AND((L125-(K125+N125))&gt;1500000,(L125-(K125+N125))&lt;=2000000),(L125-(K125+N125))*5%-75000,IF(AND((L125-(K125+N125))&gt;2000000,(L125-(K125+N125))&lt;=8500000),(L125-(K125+N125))*10%-175000))),0)</f>
        <v>16494</v>
      </c>
      <c r="P125" s="688">
        <f t="shared" ref="P125:P156" si="20">SUM(M125:O125)</f>
        <v>588066</v>
      </c>
      <c r="Q125" s="689"/>
      <c r="R125" s="683">
        <f t="shared" ref="R125:R156" si="21">L125-P125</f>
        <v>1265819</v>
      </c>
      <c r="S125" s="567"/>
      <c r="U125" s="679"/>
    </row>
    <row r="126" spans="1:21" s="678" customFormat="1" ht="48.45" customHeight="1">
      <c r="A126" s="676">
        <v>112</v>
      </c>
      <c r="B126" s="677" t="str">
        <f>'Tên thang 01-26'!E115</f>
        <v>ផន នាន</v>
      </c>
      <c r="C126" s="690" t="str">
        <f>'Tên thang 01-26'!F115</f>
        <v>PHON NEAN</v>
      </c>
      <c r="D126" s="680">
        <v>201</v>
      </c>
      <c r="E126" s="681">
        <v>31947</v>
      </c>
      <c r="F126" s="682">
        <f t="shared" si="16"/>
        <v>17.72</v>
      </c>
      <c r="G126" s="683">
        <v>566101</v>
      </c>
      <c r="H126" s="682">
        <f>'KL 1'!AG128</f>
        <v>41.04</v>
      </c>
      <c r="I126" s="683">
        <f t="shared" si="14"/>
        <v>1311105</v>
      </c>
      <c r="J126" s="684"/>
      <c r="K126" s="683"/>
      <c r="L126" s="685">
        <f t="shared" si="17"/>
        <v>1877206</v>
      </c>
      <c r="M126" s="683">
        <f t="shared" si="18"/>
        <v>566101</v>
      </c>
      <c r="N126" s="686">
        <f t="shared" si="15"/>
        <v>24000</v>
      </c>
      <c r="O126" s="687">
        <f t="shared" si="19"/>
        <v>17660</v>
      </c>
      <c r="P126" s="688">
        <f t="shared" si="20"/>
        <v>607761</v>
      </c>
      <c r="Q126" s="689"/>
      <c r="R126" s="683">
        <f t="shared" si="21"/>
        <v>1269445</v>
      </c>
      <c r="S126" s="567"/>
      <c r="U126" s="679"/>
    </row>
    <row r="127" spans="1:21" s="678" customFormat="1" ht="48.45" customHeight="1">
      <c r="A127" s="676">
        <v>113</v>
      </c>
      <c r="B127" s="677" t="str">
        <f>'Tên thang 01-26'!E116</f>
        <v>ផាន់ សុភា</v>
      </c>
      <c r="C127" s="690" t="str">
        <f>'Tên thang 01-26'!F116</f>
        <v>PHANN SOPHEA</v>
      </c>
      <c r="D127" s="680">
        <v>202</v>
      </c>
      <c r="E127" s="681">
        <v>31947</v>
      </c>
      <c r="F127" s="682">
        <f t="shared" si="16"/>
        <v>16.03</v>
      </c>
      <c r="G127" s="683">
        <v>512110</v>
      </c>
      <c r="H127" s="682">
        <f>'KL 1'!AG129</f>
        <v>42.989999999999995</v>
      </c>
      <c r="I127" s="683">
        <f t="shared" si="14"/>
        <v>1373402</v>
      </c>
      <c r="J127" s="684"/>
      <c r="K127" s="683"/>
      <c r="L127" s="685">
        <f t="shared" si="17"/>
        <v>1885512</v>
      </c>
      <c r="M127" s="683">
        <f t="shared" si="18"/>
        <v>512110</v>
      </c>
      <c r="N127" s="686">
        <f t="shared" si="15"/>
        <v>24000</v>
      </c>
      <c r="O127" s="687">
        <f t="shared" si="19"/>
        <v>18076</v>
      </c>
      <c r="P127" s="688">
        <f t="shared" si="20"/>
        <v>554186</v>
      </c>
      <c r="Q127" s="689"/>
      <c r="R127" s="683">
        <f t="shared" si="21"/>
        <v>1331326</v>
      </c>
      <c r="S127" s="567"/>
      <c r="U127" s="679"/>
    </row>
    <row r="128" spans="1:21" s="678" customFormat="1" ht="48.45" customHeight="1">
      <c r="A128" s="676">
        <v>114</v>
      </c>
      <c r="B128" s="677" t="str">
        <f>'Tên thang 01-26'!E117</f>
        <v>សៀន អេម</v>
      </c>
      <c r="C128" s="690" t="str">
        <f>'Tên thang 01-26'!F117</f>
        <v>SEAN EM</v>
      </c>
      <c r="D128" s="680">
        <v>203</v>
      </c>
      <c r="E128" s="681">
        <v>31947</v>
      </c>
      <c r="F128" s="682">
        <f t="shared" si="16"/>
        <v>15.77</v>
      </c>
      <c r="G128" s="683">
        <v>503804</v>
      </c>
      <c r="H128" s="682">
        <f>'KL 1'!AG130</f>
        <v>43.129999999999995</v>
      </c>
      <c r="I128" s="683">
        <f t="shared" si="14"/>
        <v>1377874</v>
      </c>
      <c r="J128" s="684"/>
      <c r="K128" s="683"/>
      <c r="L128" s="685">
        <f t="shared" si="17"/>
        <v>1881678</v>
      </c>
      <c r="M128" s="683">
        <f t="shared" si="18"/>
        <v>503804</v>
      </c>
      <c r="N128" s="686">
        <f t="shared" si="15"/>
        <v>24000</v>
      </c>
      <c r="O128" s="687">
        <f t="shared" si="19"/>
        <v>17884</v>
      </c>
      <c r="P128" s="688">
        <f t="shared" si="20"/>
        <v>545688</v>
      </c>
      <c r="Q128" s="689"/>
      <c r="R128" s="683">
        <f t="shared" si="21"/>
        <v>1335990</v>
      </c>
      <c r="S128" s="567"/>
      <c r="U128" s="679"/>
    </row>
    <row r="129" spans="1:21" s="678" customFormat="1" ht="48" customHeight="1">
      <c r="A129" s="676">
        <v>115</v>
      </c>
      <c r="B129" s="677" t="str">
        <f>'Tên thang 01-26'!E118</f>
        <v>គឿន គា</v>
      </c>
      <c r="C129" s="690" t="str">
        <f>'Tên thang 01-26'!F118</f>
        <v>KOEURN KEA</v>
      </c>
      <c r="D129" s="680">
        <v>204</v>
      </c>
      <c r="E129" s="681">
        <v>31947</v>
      </c>
      <c r="F129" s="682">
        <f t="shared" si="16"/>
        <v>17.29</v>
      </c>
      <c r="G129" s="683">
        <v>552364</v>
      </c>
      <c r="H129" s="682">
        <f>'KL 1'!AG131</f>
        <v>41.83</v>
      </c>
      <c r="I129" s="683">
        <f t="shared" si="14"/>
        <v>1336343</v>
      </c>
      <c r="J129" s="684"/>
      <c r="K129" s="683"/>
      <c r="L129" s="685">
        <f t="shared" si="17"/>
        <v>1888707</v>
      </c>
      <c r="M129" s="683">
        <f t="shared" si="18"/>
        <v>552364</v>
      </c>
      <c r="N129" s="686">
        <f t="shared" si="15"/>
        <v>24000</v>
      </c>
      <c r="O129" s="687">
        <f t="shared" si="19"/>
        <v>18235</v>
      </c>
      <c r="P129" s="688">
        <f t="shared" si="20"/>
        <v>594599</v>
      </c>
      <c r="Q129" s="689"/>
      <c r="R129" s="683">
        <f t="shared" si="21"/>
        <v>1294108</v>
      </c>
      <c r="S129" s="567"/>
      <c r="U129" s="679"/>
    </row>
    <row r="130" spans="1:21" s="678" customFormat="1" ht="48" customHeight="1">
      <c r="A130" s="676">
        <v>116</v>
      </c>
      <c r="B130" s="677" t="str">
        <f>'Tên thang 01-26'!E119</f>
        <v>ផុន អឿន</v>
      </c>
      <c r="C130" s="690" t="str">
        <f>'Tên thang 01-26'!F119</f>
        <v>PON OEUN</v>
      </c>
      <c r="D130" s="680">
        <v>205</v>
      </c>
      <c r="E130" s="681">
        <v>31947</v>
      </c>
      <c r="F130" s="682">
        <f t="shared" si="16"/>
        <v>14.25</v>
      </c>
      <c r="G130" s="683">
        <v>455245</v>
      </c>
      <c r="H130" s="682">
        <f>'KL 1'!AG132</f>
        <v>37.64</v>
      </c>
      <c r="I130" s="683">
        <f t="shared" si="14"/>
        <v>1202485</v>
      </c>
      <c r="J130" s="684"/>
      <c r="K130" s="683"/>
      <c r="L130" s="685">
        <f t="shared" si="17"/>
        <v>1657730</v>
      </c>
      <c r="M130" s="683">
        <f t="shared" si="18"/>
        <v>455245</v>
      </c>
      <c r="N130" s="686">
        <f t="shared" si="15"/>
        <v>24000</v>
      </c>
      <c r="O130" s="687">
        <f t="shared" si="19"/>
        <v>6687</v>
      </c>
      <c r="P130" s="688">
        <f t="shared" si="20"/>
        <v>485932</v>
      </c>
      <c r="Q130" s="689"/>
      <c r="R130" s="683">
        <f t="shared" si="21"/>
        <v>1171798</v>
      </c>
      <c r="S130" s="567"/>
      <c r="U130" s="679"/>
    </row>
    <row r="131" spans="1:21" s="678" customFormat="1" ht="48" customHeight="1">
      <c r="A131" s="676">
        <v>117</v>
      </c>
      <c r="B131" s="677" t="str">
        <f>'Tên thang 01-26'!E120</f>
        <v>ខា​ សុឃីម</v>
      </c>
      <c r="C131" s="690" t="str">
        <f>'Tên thang 01-26'!F120</f>
        <v>KHA SOKHIM</v>
      </c>
      <c r="D131" s="680">
        <v>206</v>
      </c>
      <c r="E131" s="681">
        <v>31947</v>
      </c>
      <c r="F131" s="682">
        <f t="shared" si="16"/>
        <v>17.100000000000001</v>
      </c>
      <c r="G131" s="683">
        <v>546294</v>
      </c>
      <c r="H131" s="682">
        <f>'KL 1'!AG133</f>
        <v>39.709999999999994</v>
      </c>
      <c r="I131" s="683">
        <f t="shared" si="14"/>
        <v>1268615</v>
      </c>
      <c r="J131" s="684"/>
      <c r="K131" s="683"/>
      <c r="L131" s="685">
        <f t="shared" si="17"/>
        <v>1814909</v>
      </c>
      <c r="M131" s="683">
        <f t="shared" si="18"/>
        <v>546294</v>
      </c>
      <c r="N131" s="686">
        <f t="shared" si="15"/>
        <v>24000</v>
      </c>
      <c r="O131" s="687">
        <f t="shared" si="19"/>
        <v>14545</v>
      </c>
      <c r="P131" s="688">
        <f t="shared" si="20"/>
        <v>584839</v>
      </c>
      <c r="Q131" s="689"/>
      <c r="R131" s="683">
        <f t="shared" si="21"/>
        <v>1230070</v>
      </c>
      <c r="S131" s="567"/>
      <c r="U131" s="679"/>
    </row>
    <row r="132" spans="1:21" s="678" customFormat="1" ht="48" customHeight="1">
      <c r="A132" s="676">
        <v>118</v>
      </c>
      <c r="B132" s="677" t="str">
        <f>'Tên thang 01-26'!E121</f>
        <v>ភា សុផាត</v>
      </c>
      <c r="C132" s="690" t="str">
        <f>'Tên thang 01-26'!F121</f>
        <v>PHEA SOPHAT</v>
      </c>
      <c r="D132" s="680">
        <v>207</v>
      </c>
      <c r="E132" s="681">
        <v>31947</v>
      </c>
      <c r="F132" s="682">
        <f t="shared" si="16"/>
        <v>16.010000000000002</v>
      </c>
      <c r="G132" s="683">
        <v>511471</v>
      </c>
      <c r="H132" s="682">
        <f>'KL 1'!AG134</f>
        <v>40.479999999999997</v>
      </c>
      <c r="I132" s="683">
        <f t="shared" si="14"/>
        <v>1293215</v>
      </c>
      <c r="J132" s="684"/>
      <c r="K132" s="683"/>
      <c r="L132" s="685">
        <f t="shared" si="17"/>
        <v>1804686</v>
      </c>
      <c r="M132" s="683">
        <f t="shared" si="18"/>
        <v>511471</v>
      </c>
      <c r="N132" s="686">
        <f t="shared" si="15"/>
        <v>24000</v>
      </c>
      <c r="O132" s="687">
        <f t="shared" si="19"/>
        <v>14034</v>
      </c>
      <c r="P132" s="688">
        <f t="shared" si="20"/>
        <v>549505</v>
      </c>
      <c r="Q132" s="689"/>
      <c r="R132" s="683">
        <f t="shared" si="21"/>
        <v>1255181</v>
      </c>
      <c r="S132" s="567"/>
      <c r="U132" s="679"/>
    </row>
    <row r="133" spans="1:21" s="678" customFormat="1" ht="48" customHeight="1">
      <c r="A133" s="676">
        <v>119</v>
      </c>
      <c r="B133" s="677" t="str">
        <f>'Tên thang 01-26'!E122</f>
        <v>វឿត សុខនីន</v>
      </c>
      <c r="C133" s="690" t="str">
        <f>'Tên thang 01-26'!F122</f>
        <v>VOEUT SOKNIN</v>
      </c>
      <c r="D133" s="680">
        <v>208</v>
      </c>
      <c r="E133" s="681">
        <v>31947</v>
      </c>
      <c r="F133" s="682">
        <f t="shared" si="16"/>
        <v>15.45</v>
      </c>
      <c r="G133" s="683">
        <v>493581</v>
      </c>
      <c r="H133" s="682">
        <f>'KL 1'!AG135</f>
        <v>40.179999999999993</v>
      </c>
      <c r="I133" s="683">
        <f t="shared" si="14"/>
        <v>1283630</v>
      </c>
      <c r="J133" s="684"/>
      <c r="K133" s="683"/>
      <c r="L133" s="685">
        <f t="shared" si="17"/>
        <v>1777211</v>
      </c>
      <c r="M133" s="683">
        <f t="shared" si="18"/>
        <v>493581</v>
      </c>
      <c r="N133" s="686">
        <f t="shared" si="15"/>
        <v>24000</v>
      </c>
      <c r="O133" s="687">
        <f t="shared" si="19"/>
        <v>12661</v>
      </c>
      <c r="P133" s="688">
        <f t="shared" si="20"/>
        <v>530242</v>
      </c>
      <c r="Q133" s="689"/>
      <c r="R133" s="683">
        <f t="shared" si="21"/>
        <v>1246969</v>
      </c>
      <c r="S133" s="567"/>
      <c r="U133" s="679"/>
    </row>
    <row r="134" spans="1:21" s="678" customFormat="1" ht="48" customHeight="1">
      <c r="A134" s="676">
        <v>120</v>
      </c>
      <c r="B134" s="677" t="str">
        <f>'Tên thang 01-26'!E123</f>
        <v>អឿ វឿត</v>
      </c>
      <c r="C134" s="690" t="str">
        <f>'Tên thang 01-26'!F123</f>
        <v>OEUR VOEURTH</v>
      </c>
      <c r="D134" s="680">
        <v>209</v>
      </c>
      <c r="E134" s="681">
        <v>31947</v>
      </c>
      <c r="F134" s="682">
        <f t="shared" si="16"/>
        <v>16.46</v>
      </c>
      <c r="G134" s="683">
        <v>525848</v>
      </c>
      <c r="H134" s="682">
        <f>'KL 1'!AG136</f>
        <v>41.499999999999993</v>
      </c>
      <c r="I134" s="683">
        <f t="shared" si="14"/>
        <v>1325801</v>
      </c>
      <c r="J134" s="684"/>
      <c r="K134" s="683"/>
      <c r="L134" s="685">
        <f t="shared" si="17"/>
        <v>1851649</v>
      </c>
      <c r="M134" s="683">
        <f t="shared" si="18"/>
        <v>525848</v>
      </c>
      <c r="N134" s="686">
        <f t="shared" si="15"/>
        <v>24000</v>
      </c>
      <c r="O134" s="687">
        <f t="shared" si="19"/>
        <v>16382</v>
      </c>
      <c r="P134" s="688">
        <f t="shared" si="20"/>
        <v>566230</v>
      </c>
      <c r="Q134" s="689"/>
      <c r="R134" s="683">
        <f t="shared" si="21"/>
        <v>1285419</v>
      </c>
      <c r="S134" s="567"/>
      <c r="U134" s="679"/>
    </row>
    <row r="135" spans="1:21" s="678" customFormat="1" ht="48" customHeight="1">
      <c r="A135" s="676">
        <v>121</v>
      </c>
      <c r="B135" s="677" t="str">
        <f>'Tên thang 01-26'!E124</f>
        <v>លាង លីម</v>
      </c>
      <c r="C135" s="690" t="str">
        <f>'Tên thang 01-26'!F124</f>
        <v>LEANG LIM</v>
      </c>
      <c r="D135" s="680">
        <v>210</v>
      </c>
      <c r="E135" s="681">
        <v>31947</v>
      </c>
      <c r="F135" s="682">
        <f t="shared" si="16"/>
        <v>18.09</v>
      </c>
      <c r="G135" s="683">
        <v>577921</v>
      </c>
      <c r="H135" s="682">
        <f>'KL 1'!AG137</f>
        <v>38.969999999999992</v>
      </c>
      <c r="I135" s="683">
        <f t="shared" si="14"/>
        <v>1244975</v>
      </c>
      <c r="J135" s="684"/>
      <c r="K135" s="683"/>
      <c r="L135" s="685">
        <f t="shared" si="17"/>
        <v>1822896</v>
      </c>
      <c r="M135" s="683">
        <f t="shared" si="18"/>
        <v>577921</v>
      </c>
      <c r="N135" s="686">
        <f t="shared" si="15"/>
        <v>24000</v>
      </c>
      <c r="O135" s="687">
        <f t="shared" si="19"/>
        <v>14945</v>
      </c>
      <c r="P135" s="688">
        <f t="shared" si="20"/>
        <v>616866</v>
      </c>
      <c r="Q135" s="689"/>
      <c r="R135" s="683">
        <f t="shared" si="21"/>
        <v>1206030</v>
      </c>
      <c r="S135" s="567"/>
      <c r="U135" s="679"/>
    </row>
    <row r="136" spans="1:21" s="678" customFormat="1" ht="48" customHeight="1">
      <c r="A136" s="676">
        <v>122</v>
      </c>
      <c r="B136" s="677" t="str">
        <f>'Tên thang 01-26'!E125</f>
        <v>ឃឹម ឡន</v>
      </c>
      <c r="C136" s="690" t="str">
        <f>'Tên thang 01-26'!F125</f>
        <v>KHOEM LAN</v>
      </c>
      <c r="D136" s="680">
        <v>211</v>
      </c>
      <c r="E136" s="681">
        <v>31947</v>
      </c>
      <c r="F136" s="682">
        <f t="shared" si="16"/>
        <v>16.100000000000001</v>
      </c>
      <c r="G136" s="683">
        <v>514347</v>
      </c>
      <c r="H136" s="682">
        <f>'KL 1'!AG138</f>
        <v>41.61</v>
      </c>
      <c r="I136" s="683">
        <f t="shared" si="14"/>
        <v>1329315</v>
      </c>
      <c r="J136" s="684"/>
      <c r="K136" s="683"/>
      <c r="L136" s="685">
        <f t="shared" si="17"/>
        <v>1843662</v>
      </c>
      <c r="M136" s="683">
        <f t="shared" si="18"/>
        <v>514347</v>
      </c>
      <c r="N136" s="686">
        <f t="shared" si="15"/>
        <v>24000</v>
      </c>
      <c r="O136" s="687">
        <f t="shared" si="19"/>
        <v>15983</v>
      </c>
      <c r="P136" s="688">
        <f t="shared" si="20"/>
        <v>554330</v>
      </c>
      <c r="Q136" s="689"/>
      <c r="R136" s="683">
        <f t="shared" si="21"/>
        <v>1289332</v>
      </c>
      <c r="S136" s="567"/>
      <c r="U136" s="679"/>
    </row>
    <row r="137" spans="1:21" s="678" customFormat="1" ht="60" customHeight="1">
      <c r="A137" s="676">
        <v>123</v>
      </c>
      <c r="B137" s="677" t="str">
        <f>'Tên thang 01-26'!E126</f>
        <v>ឈឿន សារិន</v>
      </c>
      <c r="C137" s="690" t="str">
        <f>'Tên thang 01-26'!F126</f>
        <v>CHHOEUN SARIN</v>
      </c>
      <c r="D137" s="680">
        <v>212</v>
      </c>
      <c r="E137" s="681">
        <v>31947</v>
      </c>
      <c r="F137" s="682">
        <f t="shared" si="16"/>
        <v>14.84</v>
      </c>
      <c r="G137" s="683">
        <v>474093</v>
      </c>
      <c r="H137" s="682">
        <f>'KL 1'!AG139</f>
        <v>41.46</v>
      </c>
      <c r="I137" s="683">
        <f t="shared" si="14"/>
        <v>1324523</v>
      </c>
      <c r="J137" s="684"/>
      <c r="K137" s="683"/>
      <c r="L137" s="685">
        <f t="shared" si="17"/>
        <v>1798616</v>
      </c>
      <c r="M137" s="683">
        <f t="shared" si="18"/>
        <v>474093</v>
      </c>
      <c r="N137" s="686">
        <f t="shared" si="15"/>
        <v>24000</v>
      </c>
      <c r="O137" s="687">
        <f t="shared" si="19"/>
        <v>13731</v>
      </c>
      <c r="P137" s="688">
        <f t="shared" si="20"/>
        <v>511824</v>
      </c>
      <c r="Q137" s="689"/>
      <c r="R137" s="683">
        <f t="shared" si="21"/>
        <v>1286792</v>
      </c>
      <c r="S137" s="567"/>
      <c r="U137" s="679"/>
    </row>
    <row r="138" spans="1:21" s="678" customFormat="1" ht="54.6" customHeight="1">
      <c r="A138" s="676">
        <v>124</v>
      </c>
      <c r="B138" s="677" t="str">
        <f>'Tên thang 01-26'!E127</f>
        <v>លាង ឡៃហេង</v>
      </c>
      <c r="C138" s="690" t="str">
        <f>'Tên thang 01-26'!F127</f>
        <v>LEANG LAIHENG</v>
      </c>
      <c r="D138" s="680">
        <v>213</v>
      </c>
      <c r="E138" s="681">
        <v>31947</v>
      </c>
      <c r="F138" s="682">
        <f t="shared" si="16"/>
        <v>15.25</v>
      </c>
      <c r="G138" s="683">
        <v>487192</v>
      </c>
      <c r="H138" s="682">
        <f>'KL 1'!AG140</f>
        <v>38.18</v>
      </c>
      <c r="I138" s="683">
        <f t="shared" si="14"/>
        <v>1219736</v>
      </c>
      <c r="J138" s="684"/>
      <c r="K138" s="683"/>
      <c r="L138" s="685">
        <f t="shared" si="17"/>
        <v>1706928</v>
      </c>
      <c r="M138" s="683">
        <f t="shared" si="18"/>
        <v>487192</v>
      </c>
      <c r="N138" s="686">
        <f t="shared" si="15"/>
        <v>24000</v>
      </c>
      <c r="O138" s="687">
        <f t="shared" si="19"/>
        <v>9146</v>
      </c>
      <c r="P138" s="688">
        <f t="shared" si="20"/>
        <v>520338</v>
      </c>
      <c r="Q138" s="689"/>
      <c r="R138" s="683">
        <f t="shared" si="21"/>
        <v>1186590</v>
      </c>
      <c r="S138" s="567"/>
      <c r="U138" s="679"/>
    </row>
    <row r="139" spans="1:21" s="678" customFormat="1" ht="55.95" customHeight="1">
      <c r="A139" s="676">
        <v>125</v>
      </c>
      <c r="B139" s="677" t="str">
        <f>'Tên thang 01-26'!E128</f>
        <v>ហួយ ភើក</v>
      </c>
      <c r="C139" s="690" t="str">
        <f>'Tên thang 01-26'!F128</f>
        <v>HOURY PHEAK</v>
      </c>
      <c r="D139" s="680">
        <v>214</v>
      </c>
      <c r="E139" s="681">
        <v>31947</v>
      </c>
      <c r="F139" s="682">
        <f t="shared" si="16"/>
        <v>17.809999999999999</v>
      </c>
      <c r="G139" s="683">
        <v>568976</v>
      </c>
      <c r="H139" s="682">
        <f>'KL 1'!AG141</f>
        <v>41.49</v>
      </c>
      <c r="I139" s="683">
        <f t="shared" si="14"/>
        <v>1325481</v>
      </c>
      <c r="J139" s="684"/>
      <c r="K139" s="683"/>
      <c r="L139" s="685">
        <f t="shared" si="17"/>
        <v>1894457</v>
      </c>
      <c r="M139" s="683">
        <f t="shared" si="18"/>
        <v>568976</v>
      </c>
      <c r="N139" s="686">
        <f t="shared" si="15"/>
        <v>24000</v>
      </c>
      <c r="O139" s="687">
        <f t="shared" si="19"/>
        <v>18523</v>
      </c>
      <c r="P139" s="688">
        <f t="shared" si="20"/>
        <v>611499</v>
      </c>
      <c r="Q139" s="689"/>
      <c r="R139" s="683">
        <f t="shared" si="21"/>
        <v>1282958</v>
      </c>
      <c r="S139" s="567"/>
      <c r="U139" s="679"/>
    </row>
    <row r="140" spans="1:21" s="678" customFormat="1" ht="45" customHeight="1">
      <c r="A140" s="676">
        <v>126</v>
      </c>
      <c r="B140" s="677" t="str">
        <f>'Tên thang 01-26'!E129</f>
        <v>ធឿន ​ធា</v>
      </c>
      <c r="C140" s="690" t="str">
        <f>'Tên thang 01-26'!F129</f>
        <v>THOEURN THEA</v>
      </c>
      <c r="D140" s="680">
        <v>251</v>
      </c>
      <c r="E140" s="681">
        <v>31947</v>
      </c>
      <c r="F140" s="682">
        <f t="shared" si="16"/>
        <v>5.42</v>
      </c>
      <c r="G140" s="683">
        <v>173153</v>
      </c>
      <c r="H140" s="682">
        <f>'KL 1'!AG142</f>
        <v>29.220000000000002</v>
      </c>
      <c r="I140" s="683">
        <f t="shared" si="14"/>
        <v>933491</v>
      </c>
      <c r="J140" s="684"/>
      <c r="K140" s="683"/>
      <c r="L140" s="685">
        <f t="shared" si="17"/>
        <v>1106644</v>
      </c>
      <c r="M140" s="683">
        <f t="shared" si="18"/>
        <v>173153</v>
      </c>
      <c r="N140" s="686">
        <f t="shared" si="15"/>
        <v>22133</v>
      </c>
      <c r="O140" s="687">
        <f t="shared" si="19"/>
        <v>0</v>
      </c>
      <c r="P140" s="688">
        <f t="shared" si="20"/>
        <v>195286</v>
      </c>
      <c r="Q140" s="689"/>
      <c r="R140" s="683">
        <f t="shared" si="21"/>
        <v>911358</v>
      </c>
      <c r="S140" s="567"/>
      <c r="U140" s="679"/>
    </row>
    <row r="141" spans="1:21" s="678" customFormat="1" ht="45" customHeight="1">
      <c r="A141" s="676">
        <v>127</v>
      </c>
      <c r="B141" s="677" t="str">
        <f>'Tên thang 01-26'!E130</f>
        <v>យី ប៉ាង</v>
      </c>
      <c r="C141" s="690" t="str">
        <f>'Tên thang 01-26'!F130</f>
        <v>YI PANG</v>
      </c>
      <c r="D141" s="680">
        <v>252</v>
      </c>
      <c r="E141" s="681">
        <v>31947</v>
      </c>
      <c r="F141" s="682">
        <f t="shared" si="16"/>
        <v>4.88</v>
      </c>
      <c r="G141" s="683">
        <v>155901</v>
      </c>
      <c r="H141" s="682">
        <f>'KL 1'!AG143</f>
        <v>28.48</v>
      </c>
      <c r="I141" s="683">
        <f t="shared" si="14"/>
        <v>909851</v>
      </c>
      <c r="J141" s="684"/>
      <c r="K141" s="683"/>
      <c r="L141" s="685">
        <f t="shared" si="17"/>
        <v>1065752</v>
      </c>
      <c r="M141" s="683">
        <f t="shared" si="18"/>
        <v>155901</v>
      </c>
      <c r="N141" s="686">
        <f t="shared" si="15"/>
        <v>21315</v>
      </c>
      <c r="O141" s="687">
        <f t="shared" si="19"/>
        <v>0</v>
      </c>
      <c r="P141" s="688">
        <f t="shared" si="20"/>
        <v>177216</v>
      </c>
      <c r="Q141" s="689"/>
      <c r="R141" s="683">
        <f t="shared" si="21"/>
        <v>888536</v>
      </c>
      <c r="S141" s="567"/>
      <c r="U141" s="679"/>
    </row>
    <row r="142" spans="1:21" s="678" customFormat="1" ht="45" customHeight="1">
      <c r="A142" s="676">
        <v>128</v>
      </c>
      <c r="B142" s="677" t="str">
        <f>'Tên thang 01-26'!E131</f>
        <v>វ៉ិត មីត</v>
      </c>
      <c r="C142" s="690" t="str">
        <f>'Tên thang 01-26'!F131</f>
        <v>VET MIT</v>
      </c>
      <c r="D142" s="680">
        <v>253</v>
      </c>
      <c r="E142" s="681">
        <v>31947</v>
      </c>
      <c r="F142" s="682">
        <f t="shared" si="16"/>
        <v>4.79</v>
      </c>
      <c r="G142" s="683">
        <v>153026</v>
      </c>
      <c r="H142" s="682">
        <f>'KL 1'!AG144</f>
        <v>28.400000000000002</v>
      </c>
      <c r="I142" s="683">
        <f t="shared" si="14"/>
        <v>907295</v>
      </c>
      <c r="J142" s="684"/>
      <c r="K142" s="683"/>
      <c r="L142" s="685">
        <f t="shared" si="17"/>
        <v>1060321</v>
      </c>
      <c r="M142" s="683">
        <f t="shared" si="18"/>
        <v>153026</v>
      </c>
      <c r="N142" s="686">
        <f t="shared" si="15"/>
        <v>21206</v>
      </c>
      <c r="O142" s="687">
        <f t="shared" si="19"/>
        <v>0</v>
      </c>
      <c r="P142" s="688">
        <f t="shared" si="20"/>
        <v>174232</v>
      </c>
      <c r="Q142" s="689"/>
      <c r="R142" s="683">
        <f t="shared" si="21"/>
        <v>886089</v>
      </c>
      <c r="S142" s="567"/>
      <c r="U142" s="679"/>
    </row>
    <row r="143" spans="1:21" s="678" customFormat="1" ht="45" customHeight="1">
      <c r="A143" s="676">
        <v>129</v>
      </c>
      <c r="B143" s="677" t="str">
        <f>'Tên thang 01-26'!E132</f>
        <v>ប៉ែន វណ្ណា</v>
      </c>
      <c r="C143" s="690" t="str">
        <f>'Tên thang 01-26'!F132</f>
        <v>BEN VANNA</v>
      </c>
      <c r="D143" s="680">
        <v>254</v>
      </c>
      <c r="E143" s="681">
        <v>31947</v>
      </c>
      <c r="F143" s="682">
        <f t="shared" si="16"/>
        <v>8.3699999999999992</v>
      </c>
      <c r="G143" s="683">
        <v>267396</v>
      </c>
      <c r="H143" s="682">
        <f>'KL 1'!AG145</f>
        <v>24.990000000000002</v>
      </c>
      <c r="I143" s="683">
        <f t="shared" si="14"/>
        <v>798356</v>
      </c>
      <c r="J143" s="684"/>
      <c r="K143" s="683"/>
      <c r="L143" s="685">
        <f t="shared" si="17"/>
        <v>1065752</v>
      </c>
      <c r="M143" s="683">
        <f t="shared" si="18"/>
        <v>267396</v>
      </c>
      <c r="N143" s="686">
        <f t="shared" si="15"/>
        <v>21315</v>
      </c>
      <c r="O143" s="687">
        <f t="shared" si="19"/>
        <v>0</v>
      </c>
      <c r="P143" s="688">
        <f t="shared" si="20"/>
        <v>288711</v>
      </c>
      <c r="Q143" s="689"/>
      <c r="R143" s="683">
        <f t="shared" si="21"/>
        <v>777041</v>
      </c>
      <c r="S143" s="567"/>
      <c r="U143" s="679"/>
    </row>
    <row r="144" spans="1:21" s="678" customFormat="1" ht="45" customHeight="1">
      <c r="A144" s="676">
        <v>130</v>
      </c>
      <c r="B144" s="677" t="str">
        <f>'Tên thang 01-26'!E133</f>
        <v>លឿន ម៉ៅ</v>
      </c>
      <c r="C144" s="690" t="str">
        <f>'Tên thang 01-26'!F133</f>
        <v>LOEURN MAO</v>
      </c>
      <c r="D144" s="680">
        <v>255</v>
      </c>
      <c r="E144" s="681">
        <v>31947</v>
      </c>
      <c r="F144" s="682">
        <f t="shared" si="16"/>
        <v>11.81</v>
      </c>
      <c r="G144" s="683">
        <v>377294</v>
      </c>
      <c r="H144" s="682">
        <f>'KL 1'!AG146</f>
        <v>30.32</v>
      </c>
      <c r="I144" s="683">
        <f t="shared" ref="I144:I207" si="22">ROUND(E144*H144,0)</f>
        <v>968633</v>
      </c>
      <c r="J144" s="684"/>
      <c r="K144" s="683"/>
      <c r="L144" s="685">
        <f t="shared" si="17"/>
        <v>1345927</v>
      </c>
      <c r="M144" s="683">
        <f t="shared" si="18"/>
        <v>377294</v>
      </c>
      <c r="N144" s="686">
        <f t="shared" ref="N144:N207" si="23">IF(L144&lt;=400000,400000*2%,IF(L144&lt;=1200000,ROUND(L144*2%,0),ROUND(1200000*2%,0)))</f>
        <v>24000</v>
      </c>
      <c r="O144" s="687">
        <f t="shared" si="19"/>
        <v>0</v>
      </c>
      <c r="P144" s="688">
        <f t="shared" si="20"/>
        <v>401294</v>
      </c>
      <c r="Q144" s="689"/>
      <c r="R144" s="683">
        <f t="shared" si="21"/>
        <v>944633</v>
      </c>
      <c r="S144" s="567"/>
      <c r="U144" s="679"/>
    </row>
    <row r="145" spans="1:21" s="678" customFormat="1" ht="45" customHeight="1">
      <c r="A145" s="676">
        <v>131</v>
      </c>
      <c r="B145" s="677" t="str">
        <f>'Tên thang 01-26'!E134</f>
        <v>សុក ចូក</v>
      </c>
      <c r="C145" s="690" t="str">
        <f>'Tên thang 01-26'!F134</f>
        <v>SOK CHOUK</v>
      </c>
      <c r="D145" s="680">
        <v>256</v>
      </c>
      <c r="E145" s="681">
        <v>31947</v>
      </c>
      <c r="F145" s="682">
        <f t="shared" si="16"/>
        <v>11.54</v>
      </c>
      <c r="G145" s="683">
        <v>368668</v>
      </c>
      <c r="H145" s="682">
        <f>'KL 1'!AG147</f>
        <v>32.26</v>
      </c>
      <c r="I145" s="683">
        <f t="shared" si="22"/>
        <v>1030610</v>
      </c>
      <c r="J145" s="684"/>
      <c r="K145" s="683"/>
      <c r="L145" s="685">
        <f t="shared" si="17"/>
        <v>1399278</v>
      </c>
      <c r="M145" s="683">
        <f t="shared" si="18"/>
        <v>368668</v>
      </c>
      <c r="N145" s="686">
        <f t="shared" si="23"/>
        <v>24000</v>
      </c>
      <c r="O145" s="687">
        <f t="shared" si="19"/>
        <v>0</v>
      </c>
      <c r="P145" s="688">
        <f t="shared" si="20"/>
        <v>392668</v>
      </c>
      <c r="Q145" s="689"/>
      <c r="R145" s="683">
        <f t="shared" si="21"/>
        <v>1006610</v>
      </c>
      <c r="S145" s="567"/>
      <c r="U145" s="679"/>
    </row>
    <row r="146" spans="1:21" s="678" customFormat="1" ht="45" customHeight="1">
      <c r="A146" s="676">
        <v>132</v>
      </c>
      <c r="B146" s="677" t="str">
        <f>'Tên thang 01-26'!E135</f>
        <v>រី ឆេង</v>
      </c>
      <c r="C146" s="690" t="str">
        <f>'Tên thang 01-26'!F135</f>
        <v>RY CHHENG</v>
      </c>
      <c r="D146" s="680">
        <v>257</v>
      </c>
      <c r="E146" s="681">
        <v>31947</v>
      </c>
      <c r="F146" s="682">
        <f t="shared" si="16"/>
        <v>11.46</v>
      </c>
      <c r="G146" s="683">
        <v>366113</v>
      </c>
      <c r="H146" s="682">
        <f>'KL 1'!AG148</f>
        <v>31.91</v>
      </c>
      <c r="I146" s="683">
        <f t="shared" si="22"/>
        <v>1019429</v>
      </c>
      <c r="J146" s="684"/>
      <c r="K146" s="683"/>
      <c r="L146" s="685">
        <f t="shared" si="17"/>
        <v>1385542</v>
      </c>
      <c r="M146" s="683">
        <f t="shared" si="18"/>
        <v>366113</v>
      </c>
      <c r="N146" s="686">
        <f t="shared" si="23"/>
        <v>24000</v>
      </c>
      <c r="O146" s="687">
        <f t="shared" si="19"/>
        <v>0</v>
      </c>
      <c r="P146" s="688">
        <f t="shared" si="20"/>
        <v>390113</v>
      </c>
      <c r="Q146" s="689"/>
      <c r="R146" s="683">
        <f t="shared" si="21"/>
        <v>995429</v>
      </c>
      <c r="S146" s="567"/>
      <c r="U146" s="679"/>
    </row>
    <row r="147" spans="1:21" s="678" customFormat="1" ht="45" customHeight="1">
      <c r="A147" s="676">
        <v>133</v>
      </c>
      <c r="B147" s="677" t="str">
        <f>'Tên thang 01-26'!E136</f>
        <v>ហឿង រីន</v>
      </c>
      <c r="C147" s="690" t="str">
        <f>'Tên thang 01-26'!F136</f>
        <v>HOEUNG RIN</v>
      </c>
      <c r="D147" s="680">
        <v>258</v>
      </c>
      <c r="E147" s="681">
        <v>31947</v>
      </c>
      <c r="F147" s="682">
        <f t="shared" si="16"/>
        <v>4.88</v>
      </c>
      <c r="G147" s="683">
        <v>155901</v>
      </c>
      <c r="H147" s="682">
        <f>'KL 1'!AG149</f>
        <v>28.12</v>
      </c>
      <c r="I147" s="683">
        <f t="shared" si="22"/>
        <v>898350</v>
      </c>
      <c r="J147" s="684"/>
      <c r="K147" s="683"/>
      <c r="L147" s="685">
        <f t="shared" si="17"/>
        <v>1054251</v>
      </c>
      <c r="M147" s="683">
        <f t="shared" si="18"/>
        <v>155901</v>
      </c>
      <c r="N147" s="686">
        <f t="shared" si="23"/>
        <v>21085</v>
      </c>
      <c r="O147" s="687">
        <f t="shared" si="19"/>
        <v>0</v>
      </c>
      <c r="P147" s="688">
        <f t="shared" si="20"/>
        <v>176986</v>
      </c>
      <c r="Q147" s="689"/>
      <c r="R147" s="683">
        <f t="shared" si="21"/>
        <v>877265</v>
      </c>
      <c r="S147" s="567"/>
      <c r="U147" s="679"/>
    </row>
    <row r="148" spans="1:21" s="678" customFormat="1" ht="45" customHeight="1">
      <c r="A148" s="676">
        <v>134</v>
      </c>
      <c r="B148" s="677" t="str">
        <f>'Tên thang 01-26'!E137</f>
        <v>ធី សុខខៃ</v>
      </c>
      <c r="C148" s="690" t="str">
        <f>'Tên thang 01-26'!F137</f>
        <v>THY SOKKHAI</v>
      </c>
      <c r="D148" s="680">
        <v>259</v>
      </c>
      <c r="E148" s="681">
        <v>31947</v>
      </c>
      <c r="F148" s="682">
        <f t="shared" si="16"/>
        <v>13.06</v>
      </c>
      <c r="G148" s="683">
        <v>417228</v>
      </c>
      <c r="H148" s="682">
        <f>'KL 1'!AG150</f>
        <v>34.19</v>
      </c>
      <c r="I148" s="683">
        <f t="shared" si="22"/>
        <v>1092268</v>
      </c>
      <c r="J148" s="684"/>
      <c r="K148" s="683"/>
      <c r="L148" s="685">
        <f t="shared" si="17"/>
        <v>1509496</v>
      </c>
      <c r="M148" s="683">
        <f t="shared" si="18"/>
        <v>417228</v>
      </c>
      <c r="N148" s="686">
        <f t="shared" si="23"/>
        <v>24000</v>
      </c>
      <c r="O148" s="687">
        <f t="shared" si="19"/>
        <v>0</v>
      </c>
      <c r="P148" s="688">
        <f t="shared" si="20"/>
        <v>441228</v>
      </c>
      <c r="Q148" s="689"/>
      <c r="R148" s="683">
        <f t="shared" si="21"/>
        <v>1068268</v>
      </c>
      <c r="S148" s="567"/>
      <c r="U148" s="679"/>
    </row>
    <row r="149" spans="1:21" s="678" customFormat="1" ht="45" customHeight="1">
      <c r="A149" s="676">
        <v>135</v>
      </c>
      <c r="B149" s="677" t="str">
        <f>'Tên thang 01-26'!E138</f>
        <v>កើត អាត</v>
      </c>
      <c r="C149" s="690" t="str">
        <f>'Tên thang 01-26'!F138</f>
        <v>KOEUT AT</v>
      </c>
      <c r="D149" s="680">
        <v>260</v>
      </c>
      <c r="E149" s="681">
        <v>31947</v>
      </c>
      <c r="F149" s="682">
        <f t="shared" si="16"/>
        <v>12.69</v>
      </c>
      <c r="G149" s="683">
        <v>405407</v>
      </c>
      <c r="H149" s="682">
        <f>'KL 1'!AG151</f>
        <v>34.199999999999996</v>
      </c>
      <c r="I149" s="683">
        <f t="shared" si="22"/>
        <v>1092587</v>
      </c>
      <c r="J149" s="684"/>
      <c r="K149" s="683"/>
      <c r="L149" s="685">
        <f t="shared" si="17"/>
        <v>1497994</v>
      </c>
      <c r="M149" s="683">
        <f t="shared" si="18"/>
        <v>405407</v>
      </c>
      <c r="N149" s="686">
        <f t="shared" si="23"/>
        <v>24000</v>
      </c>
      <c r="O149" s="687">
        <f t="shared" si="19"/>
        <v>0</v>
      </c>
      <c r="P149" s="688">
        <f t="shared" si="20"/>
        <v>429407</v>
      </c>
      <c r="Q149" s="689"/>
      <c r="R149" s="683">
        <f t="shared" si="21"/>
        <v>1068587</v>
      </c>
      <c r="S149" s="567"/>
      <c r="U149" s="679"/>
    </row>
    <row r="150" spans="1:21" s="678" customFormat="1" ht="45" customHeight="1">
      <c r="A150" s="676">
        <v>136</v>
      </c>
      <c r="B150" s="677" t="str">
        <f>'Tên thang 01-26'!E139</f>
        <v>ឆ្លាម ឆ្លាត</v>
      </c>
      <c r="C150" s="690" t="str">
        <f>'Tên thang 01-26'!F139</f>
        <v>CHLAM CHLAT</v>
      </c>
      <c r="D150" s="680">
        <v>261</v>
      </c>
      <c r="E150" s="681">
        <v>31947</v>
      </c>
      <c r="F150" s="682">
        <f t="shared" si="16"/>
        <v>11.44</v>
      </c>
      <c r="G150" s="683">
        <v>365474</v>
      </c>
      <c r="H150" s="682">
        <f>'KL 1'!AG152</f>
        <v>31.31</v>
      </c>
      <c r="I150" s="683">
        <f t="shared" si="22"/>
        <v>1000261</v>
      </c>
      <c r="J150" s="684"/>
      <c r="K150" s="683"/>
      <c r="L150" s="685">
        <f t="shared" si="17"/>
        <v>1365735</v>
      </c>
      <c r="M150" s="683">
        <f t="shared" si="18"/>
        <v>365474</v>
      </c>
      <c r="N150" s="686">
        <f t="shared" si="23"/>
        <v>24000</v>
      </c>
      <c r="O150" s="687">
        <f t="shared" si="19"/>
        <v>0</v>
      </c>
      <c r="P150" s="688">
        <f t="shared" si="20"/>
        <v>389474</v>
      </c>
      <c r="Q150" s="689"/>
      <c r="R150" s="683">
        <f t="shared" si="21"/>
        <v>976261</v>
      </c>
      <c r="S150" s="567"/>
      <c r="U150" s="679"/>
    </row>
    <row r="151" spans="1:21" s="678" customFormat="1" ht="45" customHeight="1">
      <c r="A151" s="676">
        <v>137</v>
      </c>
      <c r="B151" s="677" t="str">
        <f>'Tên thang 01-26'!E140</f>
        <v>សៅ​ ធី</v>
      </c>
      <c r="C151" s="690" t="str">
        <f>'Tên thang 01-26'!F140</f>
        <v>SOA THY</v>
      </c>
      <c r="D151" s="680">
        <v>262</v>
      </c>
      <c r="E151" s="681">
        <v>31947</v>
      </c>
      <c r="F151" s="682">
        <f t="shared" si="16"/>
        <v>12.26</v>
      </c>
      <c r="G151" s="683">
        <v>391670</v>
      </c>
      <c r="H151" s="682">
        <f>'KL 1'!AG153</f>
        <v>31.3</v>
      </c>
      <c r="I151" s="683">
        <f t="shared" si="22"/>
        <v>999941</v>
      </c>
      <c r="J151" s="684"/>
      <c r="K151" s="683"/>
      <c r="L151" s="685">
        <f t="shared" si="17"/>
        <v>1391611</v>
      </c>
      <c r="M151" s="683">
        <f t="shared" si="18"/>
        <v>391670</v>
      </c>
      <c r="N151" s="686">
        <f t="shared" si="23"/>
        <v>24000</v>
      </c>
      <c r="O151" s="687">
        <f t="shared" si="19"/>
        <v>0</v>
      </c>
      <c r="P151" s="688">
        <f t="shared" si="20"/>
        <v>415670</v>
      </c>
      <c r="Q151" s="689"/>
      <c r="R151" s="683">
        <f t="shared" si="21"/>
        <v>975941</v>
      </c>
      <c r="S151" s="567"/>
      <c r="U151" s="679"/>
    </row>
    <row r="152" spans="1:21" s="678" customFormat="1" ht="45" customHeight="1">
      <c r="A152" s="676">
        <v>138</v>
      </c>
      <c r="B152" s="677" t="str">
        <f>'Tên thang 01-26'!E141</f>
        <v>រី អឿន</v>
      </c>
      <c r="C152" s="690" t="str">
        <f>'Tên thang 01-26'!F141</f>
        <v>RY OEUN</v>
      </c>
      <c r="D152" s="680">
        <v>263</v>
      </c>
      <c r="E152" s="681">
        <v>31947</v>
      </c>
      <c r="F152" s="682">
        <f t="shared" si="16"/>
        <v>11.44</v>
      </c>
      <c r="G152" s="683">
        <v>365474</v>
      </c>
      <c r="H152" s="682">
        <f>'KL 1'!AG154</f>
        <v>30.28</v>
      </c>
      <c r="I152" s="683">
        <f t="shared" si="22"/>
        <v>967355</v>
      </c>
      <c r="J152" s="684"/>
      <c r="K152" s="683"/>
      <c r="L152" s="685">
        <f t="shared" si="17"/>
        <v>1332829</v>
      </c>
      <c r="M152" s="683">
        <f t="shared" si="18"/>
        <v>365474</v>
      </c>
      <c r="N152" s="686">
        <f t="shared" si="23"/>
        <v>24000</v>
      </c>
      <c r="O152" s="687">
        <f t="shared" si="19"/>
        <v>0</v>
      </c>
      <c r="P152" s="688">
        <f t="shared" si="20"/>
        <v>389474</v>
      </c>
      <c r="Q152" s="689"/>
      <c r="R152" s="683">
        <f t="shared" si="21"/>
        <v>943355</v>
      </c>
      <c r="S152" s="567"/>
      <c r="U152" s="679"/>
    </row>
    <row r="153" spans="1:21" s="678" customFormat="1" ht="45" customHeight="1">
      <c r="A153" s="676">
        <v>139</v>
      </c>
      <c r="B153" s="677" t="str">
        <f>'Tên thang 01-26'!E142</f>
        <v>ប៊ុត សុគង់</v>
      </c>
      <c r="C153" s="690" t="str">
        <f>'Tên thang 01-26'!F142</f>
        <v>BUT SOKONG</v>
      </c>
      <c r="D153" s="680">
        <v>264</v>
      </c>
      <c r="E153" s="681">
        <v>31947</v>
      </c>
      <c r="F153" s="682">
        <f t="shared" si="16"/>
        <v>10.84</v>
      </c>
      <c r="G153" s="683">
        <v>346305</v>
      </c>
      <c r="H153" s="682">
        <f>'KL 1'!AG155</f>
        <v>35.33</v>
      </c>
      <c r="I153" s="683">
        <f t="shared" si="22"/>
        <v>1128688</v>
      </c>
      <c r="J153" s="684"/>
      <c r="K153" s="683"/>
      <c r="L153" s="685">
        <f t="shared" si="17"/>
        <v>1474993</v>
      </c>
      <c r="M153" s="683">
        <f t="shared" si="18"/>
        <v>346305</v>
      </c>
      <c r="N153" s="686">
        <f t="shared" si="23"/>
        <v>24000</v>
      </c>
      <c r="O153" s="687">
        <f t="shared" si="19"/>
        <v>0</v>
      </c>
      <c r="P153" s="688">
        <f t="shared" si="20"/>
        <v>370305</v>
      </c>
      <c r="Q153" s="689"/>
      <c r="R153" s="683">
        <f t="shared" si="21"/>
        <v>1104688</v>
      </c>
      <c r="S153" s="567"/>
      <c r="U153" s="679"/>
    </row>
    <row r="154" spans="1:21" s="678" customFormat="1" ht="45" customHeight="1">
      <c r="A154" s="676">
        <v>140</v>
      </c>
      <c r="B154" s="677" t="str">
        <f>'Tên thang 01-26'!E143</f>
        <v>ឡាម វង្ស</v>
      </c>
      <c r="C154" s="690" t="str">
        <f>'Tên thang 01-26'!F143</f>
        <v>LAM VONG</v>
      </c>
      <c r="D154" s="680">
        <v>265</v>
      </c>
      <c r="E154" s="681">
        <v>31947</v>
      </c>
      <c r="F154" s="682">
        <f t="shared" si="16"/>
        <v>11.57</v>
      </c>
      <c r="G154" s="683">
        <v>369627</v>
      </c>
      <c r="H154" s="682">
        <f>'KL 1'!AG156</f>
        <v>33.01</v>
      </c>
      <c r="I154" s="683">
        <f t="shared" si="22"/>
        <v>1054570</v>
      </c>
      <c r="J154" s="684"/>
      <c r="K154" s="683"/>
      <c r="L154" s="685">
        <f t="shared" si="17"/>
        <v>1424197</v>
      </c>
      <c r="M154" s="683">
        <f t="shared" si="18"/>
        <v>369627</v>
      </c>
      <c r="N154" s="686">
        <f t="shared" si="23"/>
        <v>24000</v>
      </c>
      <c r="O154" s="687">
        <f t="shared" si="19"/>
        <v>0</v>
      </c>
      <c r="P154" s="688">
        <f t="shared" si="20"/>
        <v>393627</v>
      </c>
      <c r="Q154" s="689"/>
      <c r="R154" s="683">
        <f t="shared" si="21"/>
        <v>1030570</v>
      </c>
      <c r="S154" s="567"/>
      <c r="U154" s="679"/>
    </row>
    <row r="155" spans="1:21" s="678" customFormat="1" ht="45" customHeight="1">
      <c r="A155" s="676">
        <v>141</v>
      </c>
      <c r="B155" s="677" t="str">
        <f>'Tên thang 01-26'!E144</f>
        <v>លីម ធា</v>
      </c>
      <c r="C155" s="690" t="str">
        <f>'Tên thang 01-26'!F144</f>
        <v>LIM THEA</v>
      </c>
      <c r="D155" s="680">
        <v>266</v>
      </c>
      <c r="E155" s="681">
        <v>31947</v>
      </c>
      <c r="F155" s="682">
        <f t="shared" si="16"/>
        <v>12.25</v>
      </c>
      <c r="G155" s="683">
        <v>391351</v>
      </c>
      <c r="H155" s="682">
        <f>'KL 1'!AG157</f>
        <v>32.589999999999996</v>
      </c>
      <c r="I155" s="683">
        <f t="shared" si="22"/>
        <v>1041153</v>
      </c>
      <c r="J155" s="684"/>
      <c r="K155" s="683"/>
      <c r="L155" s="685">
        <f t="shared" si="17"/>
        <v>1432504</v>
      </c>
      <c r="M155" s="683">
        <f t="shared" si="18"/>
        <v>391351</v>
      </c>
      <c r="N155" s="686">
        <f t="shared" si="23"/>
        <v>24000</v>
      </c>
      <c r="O155" s="687">
        <f t="shared" si="19"/>
        <v>0</v>
      </c>
      <c r="P155" s="688">
        <f t="shared" si="20"/>
        <v>415351</v>
      </c>
      <c r="Q155" s="689"/>
      <c r="R155" s="683">
        <f t="shared" si="21"/>
        <v>1017153</v>
      </c>
      <c r="S155" s="567"/>
      <c r="U155" s="679"/>
    </row>
    <row r="156" spans="1:21" s="678" customFormat="1" ht="45" customHeight="1">
      <c r="A156" s="676">
        <v>142</v>
      </c>
      <c r="B156" s="677" t="str">
        <f>'Tên thang 01-26'!E145</f>
        <v>យ៉ុន ឆាយ</v>
      </c>
      <c r="C156" s="690" t="str">
        <f>'Tên thang 01-26'!F145</f>
        <v>YON CHHAY</v>
      </c>
      <c r="D156" s="680">
        <v>267</v>
      </c>
      <c r="E156" s="681">
        <v>31947</v>
      </c>
      <c r="F156" s="682">
        <f t="shared" si="16"/>
        <v>13.84</v>
      </c>
      <c r="G156" s="683">
        <v>442146</v>
      </c>
      <c r="H156" s="682">
        <f>'KL 1'!AG158</f>
        <v>35.54</v>
      </c>
      <c r="I156" s="683">
        <f t="shared" si="22"/>
        <v>1135396</v>
      </c>
      <c r="J156" s="684"/>
      <c r="K156" s="683"/>
      <c r="L156" s="685">
        <f t="shared" si="17"/>
        <v>1577542</v>
      </c>
      <c r="M156" s="683">
        <f t="shared" si="18"/>
        <v>442146</v>
      </c>
      <c r="N156" s="686">
        <f t="shared" si="23"/>
        <v>24000</v>
      </c>
      <c r="O156" s="687">
        <f t="shared" si="19"/>
        <v>2677</v>
      </c>
      <c r="P156" s="688">
        <f t="shared" si="20"/>
        <v>468823</v>
      </c>
      <c r="Q156" s="689"/>
      <c r="R156" s="683">
        <f t="shared" si="21"/>
        <v>1108719</v>
      </c>
      <c r="S156" s="567"/>
      <c r="U156" s="679"/>
    </row>
    <row r="157" spans="1:21" s="678" customFormat="1" ht="45" customHeight="1">
      <c r="A157" s="676">
        <v>143</v>
      </c>
      <c r="B157" s="677" t="str">
        <f>'Tên thang 01-26'!E146</f>
        <v>យ៉ាត សុឃីម</v>
      </c>
      <c r="C157" s="690" t="str">
        <f>'Tên thang 01-26'!F146</f>
        <v>YAT SOKHIM</v>
      </c>
      <c r="D157" s="680">
        <v>268</v>
      </c>
      <c r="E157" s="681">
        <v>31947</v>
      </c>
      <c r="F157" s="682">
        <f t="shared" ref="F157:F180" si="24">ROUND(G157/31947,2)</f>
        <v>10.07</v>
      </c>
      <c r="G157" s="683">
        <v>321706</v>
      </c>
      <c r="H157" s="682">
        <f>'KL 1'!AG159</f>
        <v>27</v>
      </c>
      <c r="I157" s="683">
        <f t="shared" si="22"/>
        <v>862569</v>
      </c>
      <c r="J157" s="684"/>
      <c r="K157" s="683"/>
      <c r="L157" s="685">
        <f t="shared" ref="L157:L180" si="25">G157+I157+K157+J157</f>
        <v>1184275</v>
      </c>
      <c r="M157" s="683">
        <f t="shared" ref="M157:M180" si="26">G157</f>
        <v>321706</v>
      </c>
      <c r="N157" s="686">
        <f t="shared" si="23"/>
        <v>23686</v>
      </c>
      <c r="O157" s="687">
        <f t="shared" ref="O157:O180" si="27">ROUND(IF((L157-(K157+N157))&lt;=1500000,0,IF(AND((L157-(K157+N157))&gt;1500000,(L157-(K157+N157))&lt;=2000000),(L157-(K157+N157))*5%-75000,IF(AND((L157-(K157+N157))&gt;2000000,(L157-(K157+N157))&lt;=8500000),(L157-(K157+N157))*10%-175000))),0)</f>
        <v>0</v>
      </c>
      <c r="P157" s="688">
        <f t="shared" ref="P157:P180" si="28">SUM(M157:O157)</f>
        <v>345392</v>
      </c>
      <c r="Q157" s="689"/>
      <c r="R157" s="683">
        <f t="shared" ref="R157:R180" si="29">L157-P157</f>
        <v>838883</v>
      </c>
      <c r="S157" s="567"/>
      <c r="U157" s="679"/>
    </row>
    <row r="158" spans="1:21" s="678" customFormat="1" ht="45" customHeight="1">
      <c r="A158" s="676">
        <v>144</v>
      </c>
      <c r="B158" s="677" t="str">
        <f>'Tên thang 01-26'!E147</f>
        <v>ឈន ប៊ន</v>
      </c>
      <c r="C158" s="690" t="str">
        <f>'Tên thang 01-26'!F147</f>
        <v>CHHON BORN</v>
      </c>
      <c r="D158" s="680">
        <v>269</v>
      </c>
      <c r="E158" s="681">
        <v>31947</v>
      </c>
      <c r="F158" s="682">
        <f t="shared" si="24"/>
        <v>15</v>
      </c>
      <c r="G158" s="683">
        <v>479205</v>
      </c>
      <c r="H158" s="682">
        <f>'KL 1'!AG160</f>
        <v>27.610000000000003</v>
      </c>
      <c r="I158" s="683">
        <f t="shared" si="22"/>
        <v>882057</v>
      </c>
      <c r="J158" s="684"/>
      <c r="K158" s="683"/>
      <c r="L158" s="685">
        <f t="shared" si="25"/>
        <v>1361262</v>
      </c>
      <c r="M158" s="683">
        <f t="shared" si="26"/>
        <v>479205</v>
      </c>
      <c r="N158" s="686">
        <f t="shared" si="23"/>
        <v>24000</v>
      </c>
      <c r="O158" s="687">
        <f t="shared" si="27"/>
        <v>0</v>
      </c>
      <c r="P158" s="688">
        <f t="shared" si="28"/>
        <v>503205</v>
      </c>
      <c r="Q158" s="689"/>
      <c r="R158" s="683">
        <f t="shared" si="29"/>
        <v>858057</v>
      </c>
      <c r="S158" s="567"/>
      <c r="U158" s="679"/>
    </row>
    <row r="159" spans="1:21" s="678" customFormat="1" ht="45" customHeight="1">
      <c r="A159" s="676">
        <v>145</v>
      </c>
      <c r="B159" s="677" t="str">
        <f>'Tên thang 01-26'!E148</f>
        <v>ចន អ៊ន់</v>
      </c>
      <c r="C159" s="690" t="str">
        <f>'Tên thang 01-26'!F148</f>
        <v>CHAN ON</v>
      </c>
      <c r="D159" s="680">
        <v>270</v>
      </c>
      <c r="E159" s="681">
        <v>31947</v>
      </c>
      <c r="F159" s="682">
        <f t="shared" si="24"/>
        <v>14.72</v>
      </c>
      <c r="G159" s="683">
        <v>470260</v>
      </c>
      <c r="H159" s="682">
        <f>'KL 1'!AG161</f>
        <v>27.68</v>
      </c>
      <c r="I159" s="683">
        <f t="shared" si="22"/>
        <v>884293</v>
      </c>
      <c r="J159" s="684"/>
      <c r="K159" s="683"/>
      <c r="L159" s="685">
        <f t="shared" si="25"/>
        <v>1354553</v>
      </c>
      <c r="M159" s="683">
        <f t="shared" si="26"/>
        <v>470260</v>
      </c>
      <c r="N159" s="686">
        <f t="shared" si="23"/>
        <v>24000</v>
      </c>
      <c r="O159" s="687">
        <f t="shared" si="27"/>
        <v>0</v>
      </c>
      <c r="P159" s="688">
        <f t="shared" si="28"/>
        <v>494260</v>
      </c>
      <c r="Q159" s="689"/>
      <c r="R159" s="683">
        <f t="shared" si="29"/>
        <v>860293</v>
      </c>
      <c r="S159" s="567"/>
      <c r="U159" s="679"/>
    </row>
    <row r="160" spans="1:21" s="678" customFormat="1" ht="45" customHeight="1">
      <c r="A160" s="676">
        <v>146</v>
      </c>
      <c r="B160" s="677" t="str">
        <f>'Tên thang 01-26'!E149</f>
        <v>សែម ធឿន</v>
      </c>
      <c r="C160" s="690" t="str">
        <f>'Tên thang 01-26'!F149</f>
        <v>SEM THOEURN</v>
      </c>
      <c r="D160" s="680">
        <v>271</v>
      </c>
      <c r="E160" s="681">
        <v>31947</v>
      </c>
      <c r="F160" s="682">
        <f t="shared" si="24"/>
        <v>12.73</v>
      </c>
      <c r="G160" s="683">
        <v>406685</v>
      </c>
      <c r="H160" s="682">
        <f>'KL 1'!AG162</f>
        <v>32.220000000000006</v>
      </c>
      <c r="I160" s="683">
        <f t="shared" si="22"/>
        <v>1029332</v>
      </c>
      <c r="J160" s="684"/>
      <c r="K160" s="683"/>
      <c r="L160" s="685">
        <f t="shared" si="25"/>
        <v>1436017</v>
      </c>
      <c r="M160" s="683">
        <f t="shared" si="26"/>
        <v>406685</v>
      </c>
      <c r="N160" s="686">
        <f t="shared" si="23"/>
        <v>24000</v>
      </c>
      <c r="O160" s="687">
        <f t="shared" si="27"/>
        <v>0</v>
      </c>
      <c r="P160" s="688">
        <f t="shared" si="28"/>
        <v>430685</v>
      </c>
      <c r="Q160" s="689"/>
      <c r="R160" s="683">
        <f t="shared" si="29"/>
        <v>1005332</v>
      </c>
      <c r="S160" s="567"/>
      <c r="U160" s="679"/>
    </row>
    <row r="161" spans="1:21" s="678" customFormat="1" ht="45" customHeight="1">
      <c r="A161" s="676">
        <v>147</v>
      </c>
      <c r="B161" s="677" t="str">
        <f>'Tên thang 01-26'!E150</f>
        <v>ហ៊ាន ភ័ក្រ</v>
      </c>
      <c r="C161" s="690" t="str">
        <f>'Tên thang 01-26'!F150</f>
        <v>HEAN PHEAK</v>
      </c>
      <c r="D161" s="680">
        <v>272</v>
      </c>
      <c r="E161" s="681">
        <v>31947</v>
      </c>
      <c r="F161" s="682">
        <f t="shared" si="24"/>
        <v>13.81</v>
      </c>
      <c r="G161" s="683">
        <v>441188</v>
      </c>
      <c r="H161" s="682">
        <f>'KL 1'!AG163</f>
        <v>38.299999999999997</v>
      </c>
      <c r="I161" s="683">
        <f t="shared" si="22"/>
        <v>1223570</v>
      </c>
      <c r="J161" s="684"/>
      <c r="K161" s="683"/>
      <c r="L161" s="685">
        <f t="shared" si="25"/>
        <v>1664758</v>
      </c>
      <c r="M161" s="683">
        <f t="shared" si="26"/>
        <v>441188</v>
      </c>
      <c r="N161" s="686">
        <f t="shared" si="23"/>
        <v>24000</v>
      </c>
      <c r="O161" s="687">
        <f t="shared" si="27"/>
        <v>7038</v>
      </c>
      <c r="P161" s="688">
        <f t="shared" si="28"/>
        <v>472226</v>
      </c>
      <c r="Q161" s="689"/>
      <c r="R161" s="683">
        <f t="shared" si="29"/>
        <v>1192532</v>
      </c>
      <c r="S161" s="567"/>
      <c r="U161" s="679"/>
    </row>
    <row r="162" spans="1:21" s="678" customFormat="1" ht="45" customHeight="1">
      <c r="A162" s="676">
        <v>148</v>
      </c>
      <c r="B162" s="677" t="str">
        <f>'Tên thang 01-26'!E151</f>
        <v>ឆ្លាមឆ្លាត សុខេន</v>
      </c>
      <c r="C162" s="690" t="str">
        <f>'Tên thang 01-26'!F151</f>
        <v>CHHLAMCHHAT SOKHEN</v>
      </c>
      <c r="D162" s="680">
        <v>273</v>
      </c>
      <c r="E162" s="681">
        <v>31947</v>
      </c>
      <c r="F162" s="682">
        <f t="shared" si="24"/>
        <v>12.56</v>
      </c>
      <c r="G162" s="683">
        <v>401254</v>
      </c>
      <c r="H162" s="682">
        <f>'KL 1'!AG164</f>
        <v>35.21</v>
      </c>
      <c r="I162" s="683">
        <f t="shared" si="22"/>
        <v>1124854</v>
      </c>
      <c r="J162" s="684"/>
      <c r="K162" s="683"/>
      <c r="L162" s="685">
        <f t="shared" si="25"/>
        <v>1526108</v>
      </c>
      <c r="M162" s="683">
        <f t="shared" si="26"/>
        <v>401254</v>
      </c>
      <c r="N162" s="686">
        <f t="shared" si="23"/>
        <v>24000</v>
      </c>
      <c r="O162" s="687">
        <f t="shared" si="27"/>
        <v>105</v>
      </c>
      <c r="P162" s="688">
        <f t="shared" si="28"/>
        <v>425359</v>
      </c>
      <c r="Q162" s="689"/>
      <c r="R162" s="683">
        <f t="shared" si="29"/>
        <v>1100749</v>
      </c>
      <c r="S162" s="567"/>
      <c r="U162" s="679"/>
    </row>
    <row r="163" spans="1:21" s="678" customFormat="1" ht="45" customHeight="1">
      <c r="A163" s="676">
        <v>149</v>
      </c>
      <c r="B163" s="677" t="str">
        <f>'Tên thang 01-26'!E152</f>
        <v>ប៊ូ ស្រីណយ</v>
      </c>
      <c r="C163" s="690" t="str">
        <f>'Tên thang 01-26'!F152</f>
        <v>BOU SREYNOY</v>
      </c>
      <c r="D163" s="680">
        <v>274</v>
      </c>
      <c r="E163" s="681">
        <v>31947</v>
      </c>
      <c r="F163" s="682">
        <f t="shared" si="24"/>
        <v>13.62</v>
      </c>
      <c r="G163" s="683">
        <v>435118</v>
      </c>
      <c r="H163" s="682">
        <f>'KL 1'!AG165</f>
        <v>32.58</v>
      </c>
      <c r="I163" s="683">
        <f t="shared" si="22"/>
        <v>1040833</v>
      </c>
      <c r="J163" s="684"/>
      <c r="K163" s="683"/>
      <c r="L163" s="685">
        <f t="shared" si="25"/>
        <v>1475951</v>
      </c>
      <c r="M163" s="683">
        <f t="shared" si="26"/>
        <v>435118</v>
      </c>
      <c r="N163" s="686">
        <f t="shared" si="23"/>
        <v>24000</v>
      </c>
      <c r="O163" s="687">
        <f t="shared" si="27"/>
        <v>0</v>
      </c>
      <c r="P163" s="688">
        <f t="shared" si="28"/>
        <v>459118</v>
      </c>
      <c r="Q163" s="689"/>
      <c r="R163" s="683">
        <f t="shared" si="29"/>
        <v>1016833</v>
      </c>
      <c r="S163" s="567"/>
      <c r="U163" s="679"/>
    </row>
    <row r="164" spans="1:21" s="678" customFormat="1" ht="45" customHeight="1">
      <c r="A164" s="676">
        <v>150</v>
      </c>
      <c r="B164" s="677" t="str">
        <f>'Tên thang 01-26'!E153</f>
        <v>អ៊ីវ សាវុន</v>
      </c>
      <c r="C164" s="690" t="str">
        <f>'Tên thang 01-26'!F153</f>
        <v>IV SAVUN</v>
      </c>
      <c r="D164" s="680">
        <v>275</v>
      </c>
      <c r="E164" s="681">
        <v>31947</v>
      </c>
      <c r="F164" s="682">
        <f t="shared" si="24"/>
        <v>13.18</v>
      </c>
      <c r="G164" s="683">
        <v>421061</v>
      </c>
      <c r="H164" s="682">
        <f>'KL 1'!AG166</f>
        <v>33.650000000000006</v>
      </c>
      <c r="I164" s="683">
        <f t="shared" si="22"/>
        <v>1075017</v>
      </c>
      <c r="J164" s="684"/>
      <c r="K164" s="683"/>
      <c r="L164" s="685">
        <f t="shared" si="25"/>
        <v>1496078</v>
      </c>
      <c r="M164" s="683">
        <f t="shared" si="26"/>
        <v>421061</v>
      </c>
      <c r="N164" s="686">
        <f t="shared" si="23"/>
        <v>24000</v>
      </c>
      <c r="O164" s="687">
        <f t="shared" si="27"/>
        <v>0</v>
      </c>
      <c r="P164" s="688">
        <f t="shared" si="28"/>
        <v>445061</v>
      </c>
      <c r="Q164" s="689"/>
      <c r="R164" s="683">
        <f t="shared" si="29"/>
        <v>1051017</v>
      </c>
      <c r="S164" s="567"/>
      <c r="U164" s="679"/>
    </row>
    <row r="165" spans="1:21" s="678" customFormat="1" ht="45" customHeight="1">
      <c r="A165" s="676">
        <v>151</v>
      </c>
      <c r="B165" s="677" t="str">
        <f>'Tên thang 01-26'!E154</f>
        <v>សាត គឹមសេង</v>
      </c>
      <c r="C165" s="690" t="str">
        <f>'Tên thang 01-26'!F154</f>
        <v>SAT KIMSENG</v>
      </c>
      <c r="D165" s="680">
        <v>276</v>
      </c>
      <c r="E165" s="681">
        <v>31947</v>
      </c>
      <c r="F165" s="682">
        <f t="shared" si="24"/>
        <v>12.24</v>
      </c>
      <c r="G165" s="683">
        <v>391031</v>
      </c>
      <c r="H165" s="682">
        <f>'KL 1'!AG167</f>
        <v>34.36</v>
      </c>
      <c r="I165" s="683">
        <f t="shared" si="22"/>
        <v>1097699</v>
      </c>
      <c r="J165" s="684"/>
      <c r="K165" s="683"/>
      <c r="L165" s="685">
        <f t="shared" si="25"/>
        <v>1488730</v>
      </c>
      <c r="M165" s="683">
        <f t="shared" si="26"/>
        <v>391031</v>
      </c>
      <c r="N165" s="686">
        <f t="shared" si="23"/>
        <v>24000</v>
      </c>
      <c r="O165" s="687">
        <f t="shared" si="27"/>
        <v>0</v>
      </c>
      <c r="P165" s="688">
        <f t="shared" si="28"/>
        <v>415031</v>
      </c>
      <c r="Q165" s="689"/>
      <c r="R165" s="683">
        <f t="shared" si="29"/>
        <v>1073699</v>
      </c>
      <c r="S165" s="567"/>
      <c r="U165" s="679"/>
    </row>
    <row r="166" spans="1:21" s="678" customFormat="1" ht="45" customHeight="1">
      <c r="A166" s="676">
        <v>152</v>
      </c>
      <c r="B166" s="677" t="str">
        <f>'Tên thang 01-26'!E155</f>
        <v>ធី សៀងហេង</v>
      </c>
      <c r="C166" s="690" t="str">
        <f>'Tên thang 01-26'!F155</f>
        <v>THY SEANG HENG</v>
      </c>
      <c r="D166" s="680">
        <v>277</v>
      </c>
      <c r="E166" s="681">
        <v>31947</v>
      </c>
      <c r="F166" s="682">
        <f t="shared" si="24"/>
        <v>12.2</v>
      </c>
      <c r="G166" s="683">
        <v>389753</v>
      </c>
      <c r="H166" s="682">
        <f>'KL 1'!AG168</f>
        <v>34.479999999999997</v>
      </c>
      <c r="I166" s="683">
        <f t="shared" si="22"/>
        <v>1101533</v>
      </c>
      <c r="J166" s="684"/>
      <c r="K166" s="683"/>
      <c r="L166" s="685">
        <f t="shared" si="25"/>
        <v>1491286</v>
      </c>
      <c r="M166" s="683">
        <f t="shared" si="26"/>
        <v>389753</v>
      </c>
      <c r="N166" s="686">
        <f t="shared" si="23"/>
        <v>24000</v>
      </c>
      <c r="O166" s="687">
        <f t="shared" si="27"/>
        <v>0</v>
      </c>
      <c r="P166" s="688">
        <f t="shared" si="28"/>
        <v>413753</v>
      </c>
      <c r="Q166" s="689"/>
      <c r="R166" s="683">
        <f t="shared" si="29"/>
        <v>1077533</v>
      </c>
      <c r="S166" s="567"/>
      <c r="U166" s="679"/>
    </row>
    <row r="167" spans="1:21" s="678" customFormat="1" ht="45" customHeight="1">
      <c r="A167" s="676">
        <v>153</v>
      </c>
      <c r="B167" s="677" t="str">
        <f>'Tên thang 01-26'!E156</f>
        <v>វ៉ាត ចន្ធី</v>
      </c>
      <c r="C167" s="690" t="str">
        <f>'Tên thang 01-26'!F156</f>
        <v>VAT CHANTHY</v>
      </c>
      <c r="D167" s="680">
        <v>278</v>
      </c>
      <c r="E167" s="681">
        <v>31947</v>
      </c>
      <c r="F167" s="682">
        <f t="shared" si="24"/>
        <v>14.7</v>
      </c>
      <c r="G167" s="683">
        <v>469621</v>
      </c>
      <c r="H167" s="682">
        <f>'KL 1'!AG169</f>
        <v>35.99</v>
      </c>
      <c r="I167" s="683">
        <f t="shared" si="22"/>
        <v>1149773</v>
      </c>
      <c r="J167" s="684"/>
      <c r="K167" s="683"/>
      <c r="L167" s="685">
        <f t="shared" si="25"/>
        <v>1619394</v>
      </c>
      <c r="M167" s="683">
        <f t="shared" si="26"/>
        <v>469621</v>
      </c>
      <c r="N167" s="686">
        <f t="shared" si="23"/>
        <v>24000</v>
      </c>
      <c r="O167" s="687">
        <f t="shared" si="27"/>
        <v>4770</v>
      </c>
      <c r="P167" s="688">
        <f t="shared" si="28"/>
        <v>498391</v>
      </c>
      <c r="Q167" s="689"/>
      <c r="R167" s="683">
        <f t="shared" si="29"/>
        <v>1121003</v>
      </c>
      <c r="S167" s="567"/>
      <c r="U167" s="679"/>
    </row>
    <row r="168" spans="1:21" s="678" customFormat="1" ht="45" customHeight="1">
      <c r="A168" s="676">
        <v>154</v>
      </c>
      <c r="B168" s="677" t="str">
        <f>'Tên thang 01-26'!E157</f>
        <v>តែ សុនាង</v>
      </c>
      <c r="C168" s="690" t="str">
        <f>'Tên thang 01-26'!F157</f>
        <v>TOE AONANG</v>
      </c>
      <c r="D168" s="680">
        <v>279</v>
      </c>
      <c r="E168" s="681">
        <v>31947</v>
      </c>
      <c r="F168" s="682">
        <f t="shared" si="24"/>
        <v>14.45</v>
      </c>
      <c r="G168" s="683">
        <v>461634</v>
      </c>
      <c r="H168" s="682">
        <f>'KL 1'!AG170</f>
        <v>33.720000000000006</v>
      </c>
      <c r="I168" s="683">
        <f t="shared" si="22"/>
        <v>1077253</v>
      </c>
      <c r="J168" s="684"/>
      <c r="K168" s="683"/>
      <c r="L168" s="685">
        <f t="shared" si="25"/>
        <v>1538887</v>
      </c>
      <c r="M168" s="683">
        <f t="shared" si="26"/>
        <v>461634</v>
      </c>
      <c r="N168" s="686">
        <f t="shared" si="23"/>
        <v>24000</v>
      </c>
      <c r="O168" s="687">
        <f t="shared" si="27"/>
        <v>744</v>
      </c>
      <c r="P168" s="688">
        <f t="shared" si="28"/>
        <v>486378</v>
      </c>
      <c r="Q168" s="689"/>
      <c r="R168" s="683">
        <f t="shared" si="29"/>
        <v>1052509</v>
      </c>
      <c r="S168" s="567"/>
      <c r="U168" s="679"/>
    </row>
    <row r="169" spans="1:21" s="678" customFormat="1" ht="45" customHeight="1">
      <c r="A169" s="676">
        <v>155</v>
      </c>
      <c r="B169" s="677" t="str">
        <f>'Tên thang 01-26'!E158</f>
        <v>យ៉ុន ឈីន</v>
      </c>
      <c r="C169" s="690" t="str">
        <f>'Tên thang 01-26'!F158</f>
        <v>YON CHHIN</v>
      </c>
      <c r="D169" s="680">
        <v>280</v>
      </c>
      <c r="E169" s="681">
        <v>31947</v>
      </c>
      <c r="F169" s="682">
        <f t="shared" si="24"/>
        <v>13.64</v>
      </c>
      <c r="G169" s="683">
        <v>435757</v>
      </c>
      <c r="H169" s="682">
        <f>'KL 1'!AG171</f>
        <v>35.22</v>
      </c>
      <c r="I169" s="683">
        <f t="shared" si="22"/>
        <v>1125173</v>
      </c>
      <c r="J169" s="684"/>
      <c r="K169" s="683"/>
      <c r="L169" s="685">
        <f t="shared" si="25"/>
        <v>1560930</v>
      </c>
      <c r="M169" s="683">
        <f t="shared" si="26"/>
        <v>435757</v>
      </c>
      <c r="N169" s="686">
        <f t="shared" si="23"/>
        <v>24000</v>
      </c>
      <c r="O169" s="687">
        <f t="shared" si="27"/>
        <v>1847</v>
      </c>
      <c r="P169" s="688">
        <f t="shared" si="28"/>
        <v>461604</v>
      </c>
      <c r="Q169" s="689"/>
      <c r="R169" s="683">
        <f t="shared" si="29"/>
        <v>1099326</v>
      </c>
      <c r="S169" s="567"/>
      <c r="U169" s="679"/>
    </row>
    <row r="170" spans="1:21" s="678" customFormat="1" ht="45" customHeight="1">
      <c r="A170" s="676">
        <v>156</v>
      </c>
      <c r="B170" s="677" t="str">
        <f>'Tên thang 01-26'!E159</f>
        <v>ហេង សុខ​</v>
      </c>
      <c r="C170" s="690" t="str">
        <f>'Tên thang 01-26'!F159</f>
        <v>HENG SOK</v>
      </c>
      <c r="D170" s="680">
        <v>281</v>
      </c>
      <c r="E170" s="681">
        <v>31947</v>
      </c>
      <c r="F170" s="682">
        <f t="shared" si="24"/>
        <v>12.12</v>
      </c>
      <c r="G170" s="683">
        <v>387198</v>
      </c>
      <c r="H170" s="682">
        <f>'KL 1'!AG172</f>
        <v>34.769999999999996</v>
      </c>
      <c r="I170" s="683">
        <f t="shared" si="22"/>
        <v>1110797</v>
      </c>
      <c r="J170" s="684"/>
      <c r="K170" s="683"/>
      <c r="L170" s="685">
        <f t="shared" si="25"/>
        <v>1497995</v>
      </c>
      <c r="M170" s="683">
        <f t="shared" si="26"/>
        <v>387198</v>
      </c>
      <c r="N170" s="686">
        <f t="shared" si="23"/>
        <v>24000</v>
      </c>
      <c r="O170" s="687">
        <f t="shared" si="27"/>
        <v>0</v>
      </c>
      <c r="P170" s="688">
        <f t="shared" si="28"/>
        <v>411198</v>
      </c>
      <c r="Q170" s="689"/>
      <c r="R170" s="683">
        <f t="shared" si="29"/>
        <v>1086797</v>
      </c>
      <c r="S170" s="567"/>
      <c r="U170" s="679"/>
    </row>
    <row r="171" spans="1:21" s="678" customFormat="1" ht="45" customHeight="1">
      <c r="A171" s="676">
        <v>157</v>
      </c>
      <c r="B171" s="677" t="str">
        <f>'Tên thang 01-26'!E160</f>
        <v>មឿន រម្យ</v>
      </c>
      <c r="C171" s="690" t="str">
        <f>'Tên thang 01-26'!F160</f>
        <v>MOEUN RUM</v>
      </c>
      <c r="D171" s="680">
        <v>282</v>
      </c>
      <c r="E171" s="681">
        <v>31947</v>
      </c>
      <c r="F171" s="682">
        <f t="shared" si="24"/>
        <v>11.48</v>
      </c>
      <c r="G171" s="683">
        <v>366752</v>
      </c>
      <c r="H171" s="682">
        <f>'KL 1'!AG173</f>
        <v>33.880000000000003</v>
      </c>
      <c r="I171" s="683">
        <f t="shared" si="22"/>
        <v>1082364</v>
      </c>
      <c r="J171" s="684"/>
      <c r="K171" s="683"/>
      <c r="L171" s="685">
        <f t="shared" si="25"/>
        <v>1449116</v>
      </c>
      <c r="M171" s="683">
        <f t="shared" si="26"/>
        <v>366752</v>
      </c>
      <c r="N171" s="686">
        <f t="shared" si="23"/>
        <v>24000</v>
      </c>
      <c r="O171" s="687">
        <f t="shared" si="27"/>
        <v>0</v>
      </c>
      <c r="P171" s="688">
        <f t="shared" si="28"/>
        <v>390752</v>
      </c>
      <c r="Q171" s="689"/>
      <c r="R171" s="683">
        <f t="shared" si="29"/>
        <v>1058364</v>
      </c>
      <c r="S171" s="567"/>
      <c r="U171" s="679"/>
    </row>
    <row r="172" spans="1:21" s="678" customFormat="1" ht="45" customHeight="1">
      <c r="A172" s="676">
        <v>158</v>
      </c>
      <c r="B172" s="677" t="str">
        <f>'Tên thang 01-26'!E161</f>
        <v>សំ វិជ្ជា</v>
      </c>
      <c r="C172" s="690" t="str">
        <f>'Tên thang 01-26'!F161</f>
        <v>SAM VICHEA</v>
      </c>
      <c r="D172" s="680">
        <v>283</v>
      </c>
      <c r="E172" s="681">
        <v>31947</v>
      </c>
      <c r="F172" s="682">
        <f t="shared" si="24"/>
        <v>13.63</v>
      </c>
      <c r="G172" s="683">
        <v>435438</v>
      </c>
      <c r="H172" s="682">
        <f>'KL 1'!AG174</f>
        <v>35.03</v>
      </c>
      <c r="I172" s="683">
        <f t="shared" si="22"/>
        <v>1119103</v>
      </c>
      <c r="J172" s="684"/>
      <c r="K172" s="683"/>
      <c r="L172" s="685">
        <f t="shared" si="25"/>
        <v>1554541</v>
      </c>
      <c r="M172" s="683">
        <f t="shared" si="26"/>
        <v>435438</v>
      </c>
      <c r="N172" s="686">
        <f t="shared" si="23"/>
        <v>24000</v>
      </c>
      <c r="O172" s="687">
        <f t="shared" si="27"/>
        <v>1527</v>
      </c>
      <c r="P172" s="688">
        <f t="shared" si="28"/>
        <v>460965</v>
      </c>
      <c r="Q172" s="689"/>
      <c r="R172" s="683">
        <f t="shared" si="29"/>
        <v>1093576</v>
      </c>
      <c r="S172" s="567"/>
      <c r="U172" s="679"/>
    </row>
    <row r="173" spans="1:21" s="678" customFormat="1" ht="45" customHeight="1">
      <c r="A173" s="676">
        <v>159</v>
      </c>
      <c r="B173" s="677" t="str">
        <f>'Tên thang 01-26'!E162</f>
        <v>គង់ កៀន</v>
      </c>
      <c r="C173" s="690" t="str">
        <f>'Tên thang 01-26'!F162</f>
        <v>KONG KIEN</v>
      </c>
      <c r="D173" s="680">
        <v>284</v>
      </c>
      <c r="E173" s="681">
        <v>31947</v>
      </c>
      <c r="F173" s="682">
        <f t="shared" si="24"/>
        <v>12.67</v>
      </c>
      <c r="G173" s="683">
        <v>404768</v>
      </c>
      <c r="H173" s="682">
        <f>'KL 1'!AG175</f>
        <v>36.799999999999997</v>
      </c>
      <c r="I173" s="683">
        <f t="shared" si="22"/>
        <v>1175650</v>
      </c>
      <c r="J173" s="684"/>
      <c r="K173" s="683"/>
      <c r="L173" s="685">
        <f t="shared" si="25"/>
        <v>1580418</v>
      </c>
      <c r="M173" s="683">
        <f t="shared" si="26"/>
        <v>404768</v>
      </c>
      <c r="N173" s="686">
        <f t="shared" si="23"/>
        <v>24000</v>
      </c>
      <c r="O173" s="687">
        <f t="shared" si="27"/>
        <v>2821</v>
      </c>
      <c r="P173" s="688">
        <f t="shared" si="28"/>
        <v>431589</v>
      </c>
      <c r="Q173" s="689"/>
      <c r="R173" s="683">
        <f t="shared" si="29"/>
        <v>1148829</v>
      </c>
      <c r="S173" s="567"/>
      <c r="U173" s="679"/>
    </row>
    <row r="174" spans="1:21" s="678" customFormat="1" ht="45" customHeight="1">
      <c r="A174" s="676">
        <v>160</v>
      </c>
      <c r="B174" s="677" t="str">
        <f>'Tên thang 01-26'!E163</f>
        <v>បាវ ប៊ន</v>
      </c>
      <c r="C174" s="690" t="str">
        <f>'Tên thang 01-26'!F163</f>
        <v>BAV BORN</v>
      </c>
      <c r="D174" s="680">
        <v>285</v>
      </c>
      <c r="E174" s="681">
        <v>31947</v>
      </c>
      <c r="F174" s="682">
        <f t="shared" si="24"/>
        <v>12.02</v>
      </c>
      <c r="G174" s="683">
        <v>384003</v>
      </c>
      <c r="H174" s="682">
        <f>'KL 1'!AG176</f>
        <v>36.51</v>
      </c>
      <c r="I174" s="683">
        <f t="shared" si="22"/>
        <v>1166385</v>
      </c>
      <c r="J174" s="684"/>
      <c r="K174" s="683"/>
      <c r="L174" s="685">
        <f t="shared" si="25"/>
        <v>1550388</v>
      </c>
      <c r="M174" s="683">
        <f t="shared" si="26"/>
        <v>384003</v>
      </c>
      <c r="N174" s="686">
        <f t="shared" si="23"/>
        <v>24000</v>
      </c>
      <c r="O174" s="687">
        <f t="shared" si="27"/>
        <v>1319</v>
      </c>
      <c r="P174" s="688">
        <f t="shared" si="28"/>
        <v>409322</v>
      </c>
      <c r="Q174" s="689"/>
      <c r="R174" s="683">
        <f t="shared" si="29"/>
        <v>1141066</v>
      </c>
      <c r="S174" s="567"/>
      <c r="U174" s="679"/>
    </row>
    <row r="175" spans="1:21" s="678" customFormat="1" ht="45" customHeight="1">
      <c r="A175" s="676">
        <v>161</v>
      </c>
      <c r="B175" s="677" t="str">
        <f>'Tên thang 01-26'!E164</f>
        <v>ខុន ចំរ៉ុង</v>
      </c>
      <c r="C175" s="690" t="str">
        <f>'Tên thang 01-26'!F164</f>
        <v>KHUN CHAMRONG</v>
      </c>
      <c r="D175" s="680">
        <v>286</v>
      </c>
      <c r="E175" s="681">
        <v>31947</v>
      </c>
      <c r="F175" s="682">
        <f t="shared" si="24"/>
        <v>12.36</v>
      </c>
      <c r="G175" s="683">
        <v>394865</v>
      </c>
      <c r="H175" s="682">
        <f>'KL 1'!AG177</f>
        <v>33</v>
      </c>
      <c r="I175" s="683">
        <f t="shared" si="22"/>
        <v>1054251</v>
      </c>
      <c r="J175" s="684"/>
      <c r="K175" s="683"/>
      <c r="L175" s="685">
        <f t="shared" si="25"/>
        <v>1449116</v>
      </c>
      <c r="M175" s="683">
        <f t="shared" si="26"/>
        <v>394865</v>
      </c>
      <c r="N175" s="686">
        <f t="shared" si="23"/>
        <v>24000</v>
      </c>
      <c r="O175" s="687">
        <f t="shared" si="27"/>
        <v>0</v>
      </c>
      <c r="P175" s="688">
        <f t="shared" si="28"/>
        <v>418865</v>
      </c>
      <c r="Q175" s="689"/>
      <c r="R175" s="683">
        <f t="shared" si="29"/>
        <v>1030251</v>
      </c>
      <c r="S175" s="567"/>
      <c r="U175" s="679"/>
    </row>
    <row r="176" spans="1:21" s="678" customFormat="1" ht="45" customHeight="1">
      <c r="A176" s="676">
        <v>162</v>
      </c>
      <c r="B176" s="677" t="str">
        <f>'Tên thang 01-26'!E165</f>
        <v>សែម មុំ</v>
      </c>
      <c r="C176" s="690" t="str">
        <f>'Tên thang 01-26'!F165</f>
        <v>SEM MOM</v>
      </c>
      <c r="D176" s="680">
        <v>287</v>
      </c>
      <c r="E176" s="681">
        <v>31947</v>
      </c>
      <c r="F176" s="682">
        <f t="shared" si="24"/>
        <v>16.239999999999998</v>
      </c>
      <c r="G176" s="683">
        <v>518819</v>
      </c>
      <c r="H176" s="682">
        <f>'KL 1'!AG178</f>
        <v>36.699999999999996</v>
      </c>
      <c r="I176" s="683">
        <f t="shared" si="22"/>
        <v>1172455</v>
      </c>
      <c r="J176" s="684"/>
      <c r="K176" s="683"/>
      <c r="L176" s="685">
        <f t="shared" si="25"/>
        <v>1691274</v>
      </c>
      <c r="M176" s="683">
        <f t="shared" si="26"/>
        <v>518819</v>
      </c>
      <c r="N176" s="686">
        <f t="shared" si="23"/>
        <v>24000</v>
      </c>
      <c r="O176" s="687">
        <f t="shared" si="27"/>
        <v>8364</v>
      </c>
      <c r="P176" s="688">
        <f t="shared" si="28"/>
        <v>551183</v>
      </c>
      <c r="Q176" s="689"/>
      <c r="R176" s="683">
        <f t="shared" si="29"/>
        <v>1140091</v>
      </c>
      <c r="S176" s="567"/>
      <c r="U176" s="679"/>
    </row>
    <row r="177" spans="1:21" s="678" customFormat="1" ht="45" customHeight="1">
      <c r="A177" s="676">
        <v>163</v>
      </c>
      <c r="B177" s="677" t="str">
        <f>'Tên thang 01-26'!E166</f>
        <v>ឈិត លាង</v>
      </c>
      <c r="C177" s="690" t="str">
        <f>'Tên thang 01-26'!F166</f>
        <v>CHHET LEANG</v>
      </c>
      <c r="D177" s="680">
        <v>288</v>
      </c>
      <c r="E177" s="681">
        <v>31947</v>
      </c>
      <c r="F177" s="682">
        <f t="shared" si="24"/>
        <v>11.6</v>
      </c>
      <c r="G177" s="683">
        <v>370585</v>
      </c>
      <c r="H177" s="682">
        <f>'KL 1'!AG179</f>
        <v>33.6</v>
      </c>
      <c r="I177" s="683">
        <f t="shared" si="22"/>
        <v>1073419</v>
      </c>
      <c r="J177" s="684"/>
      <c r="K177" s="683"/>
      <c r="L177" s="685">
        <f t="shared" si="25"/>
        <v>1444004</v>
      </c>
      <c r="M177" s="683">
        <f t="shared" si="26"/>
        <v>370585</v>
      </c>
      <c r="N177" s="686">
        <f t="shared" si="23"/>
        <v>24000</v>
      </c>
      <c r="O177" s="687">
        <f t="shared" si="27"/>
        <v>0</v>
      </c>
      <c r="P177" s="688">
        <f t="shared" si="28"/>
        <v>394585</v>
      </c>
      <c r="Q177" s="689"/>
      <c r="R177" s="683">
        <f t="shared" si="29"/>
        <v>1049419</v>
      </c>
      <c r="S177" s="567"/>
      <c r="U177" s="679"/>
    </row>
    <row r="178" spans="1:21" s="678" customFormat="1" ht="45" customHeight="1">
      <c r="A178" s="676">
        <v>164</v>
      </c>
      <c r="B178" s="677" t="str">
        <f>'Tên thang 01-26'!E167</f>
        <v>ឡាម ពុំ</v>
      </c>
      <c r="C178" s="690" t="str">
        <f>'Tên thang 01-26'!F167</f>
        <v>LAM PUM</v>
      </c>
      <c r="D178" s="680">
        <v>289</v>
      </c>
      <c r="E178" s="681">
        <v>31947</v>
      </c>
      <c r="F178" s="682">
        <f t="shared" si="24"/>
        <v>11.66</v>
      </c>
      <c r="G178" s="683">
        <v>372502</v>
      </c>
      <c r="H178" s="682">
        <f>'KL 1'!AG180</f>
        <v>33.570000000000007</v>
      </c>
      <c r="I178" s="683">
        <f t="shared" si="22"/>
        <v>1072461</v>
      </c>
      <c r="J178" s="684"/>
      <c r="K178" s="683"/>
      <c r="L178" s="685">
        <f t="shared" si="25"/>
        <v>1444963</v>
      </c>
      <c r="M178" s="683">
        <f t="shared" si="26"/>
        <v>372502</v>
      </c>
      <c r="N178" s="686">
        <f t="shared" si="23"/>
        <v>24000</v>
      </c>
      <c r="O178" s="687">
        <f t="shared" si="27"/>
        <v>0</v>
      </c>
      <c r="P178" s="688">
        <f t="shared" si="28"/>
        <v>396502</v>
      </c>
      <c r="Q178" s="689"/>
      <c r="R178" s="683">
        <f t="shared" si="29"/>
        <v>1048461</v>
      </c>
      <c r="S178" s="567"/>
      <c r="U178" s="679"/>
    </row>
    <row r="179" spans="1:21" s="678" customFormat="1" ht="45" customHeight="1">
      <c r="A179" s="676">
        <v>165</v>
      </c>
      <c r="B179" s="677" t="str">
        <f>'Tên thang 01-26'!E168</f>
        <v>ភ័ក្រ ធិ</v>
      </c>
      <c r="C179" s="690" t="str">
        <f>'Tên thang 01-26'!F168</f>
        <v>PHEAK THIK</v>
      </c>
      <c r="D179" s="680">
        <v>290</v>
      </c>
      <c r="E179" s="681">
        <v>31947</v>
      </c>
      <c r="F179" s="682">
        <f t="shared" si="24"/>
        <v>12.85</v>
      </c>
      <c r="G179" s="683">
        <v>410519</v>
      </c>
      <c r="H179" s="682">
        <f>'KL 1'!AG181</f>
        <v>29.640000000000004</v>
      </c>
      <c r="I179" s="683">
        <f t="shared" si="22"/>
        <v>946909</v>
      </c>
      <c r="J179" s="684"/>
      <c r="K179" s="683"/>
      <c r="L179" s="685">
        <f t="shared" si="25"/>
        <v>1357428</v>
      </c>
      <c r="M179" s="683">
        <f t="shared" si="26"/>
        <v>410519</v>
      </c>
      <c r="N179" s="686">
        <f t="shared" si="23"/>
        <v>24000</v>
      </c>
      <c r="O179" s="687">
        <f t="shared" si="27"/>
        <v>0</v>
      </c>
      <c r="P179" s="688">
        <f t="shared" si="28"/>
        <v>434519</v>
      </c>
      <c r="Q179" s="689"/>
      <c r="R179" s="683">
        <f t="shared" si="29"/>
        <v>922909</v>
      </c>
      <c r="S179" s="567"/>
      <c r="U179" s="679"/>
    </row>
    <row r="180" spans="1:21" s="678" customFormat="1" ht="45" customHeight="1">
      <c r="A180" s="676">
        <v>166</v>
      </c>
      <c r="B180" s="677" t="str">
        <f>'Tên thang 01-26'!E169</f>
        <v>ជុំ មី</v>
      </c>
      <c r="C180" s="690" t="str">
        <f>'Tên thang 01-26'!F169</f>
        <v>CHUM ME</v>
      </c>
      <c r="D180" s="680">
        <v>291</v>
      </c>
      <c r="E180" s="681">
        <v>31947</v>
      </c>
      <c r="F180" s="682">
        <f t="shared" si="24"/>
        <v>11.43</v>
      </c>
      <c r="G180" s="683">
        <v>365154</v>
      </c>
      <c r="H180" s="682">
        <f>'KL 1'!AG182</f>
        <v>34.35</v>
      </c>
      <c r="I180" s="683">
        <f t="shared" si="22"/>
        <v>1097379</v>
      </c>
      <c r="J180" s="684"/>
      <c r="K180" s="683"/>
      <c r="L180" s="685">
        <f t="shared" si="25"/>
        <v>1462533</v>
      </c>
      <c r="M180" s="683">
        <f t="shared" si="26"/>
        <v>365154</v>
      </c>
      <c r="N180" s="686">
        <f t="shared" si="23"/>
        <v>24000</v>
      </c>
      <c r="O180" s="687">
        <f t="shared" si="27"/>
        <v>0</v>
      </c>
      <c r="P180" s="688">
        <f t="shared" si="28"/>
        <v>389154</v>
      </c>
      <c r="Q180" s="689"/>
      <c r="R180" s="683">
        <f t="shared" si="29"/>
        <v>1073379</v>
      </c>
      <c r="S180" s="567"/>
      <c r="U180" s="679"/>
    </row>
    <row r="181" spans="1:21" s="678" customFormat="1" ht="45" customHeight="1">
      <c r="A181" s="676">
        <v>167</v>
      </c>
      <c r="B181" s="677" t="str">
        <f>'Tên thang 01-26'!E170</f>
        <v>សៀក សិទ្ធ</v>
      </c>
      <c r="C181" s="690" t="str">
        <f>'Tên thang 01-26'!F170</f>
        <v>SIEK SITH</v>
      </c>
      <c r="D181" s="680">
        <v>292</v>
      </c>
      <c r="E181" s="681">
        <v>31947</v>
      </c>
      <c r="F181" s="682">
        <f t="shared" ref="F181:F244" si="30">ROUND(G181/31947,2)</f>
        <v>11.05</v>
      </c>
      <c r="G181" s="683">
        <v>353014</v>
      </c>
      <c r="H181" s="682">
        <f>'KL 1'!AG183</f>
        <v>33.31</v>
      </c>
      <c r="I181" s="683">
        <f t="shared" si="22"/>
        <v>1064155</v>
      </c>
      <c r="J181" s="684"/>
      <c r="K181" s="683"/>
      <c r="L181" s="685">
        <f t="shared" ref="L181:L244" si="31">G181+I181+K181+J181</f>
        <v>1417169</v>
      </c>
      <c r="M181" s="683">
        <f t="shared" ref="M181:M244" si="32">G181</f>
        <v>353014</v>
      </c>
      <c r="N181" s="686">
        <f t="shared" si="23"/>
        <v>24000</v>
      </c>
      <c r="O181" s="687">
        <f t="shared" ref="O181:O244" si="33">ROUND(IF((L181-(K181+N181))&lt;=1500000,0,IF(AND((L181-(K181+N181))&gt;1500000,(L181-(K181+N181))&lt;=2000000),(L181-(K181+N181))*5%-75000,IF(AND((L181-(K181+N181))&gt;2000000,(L181-(K181+N181))&lt;=8500000),(L181-(K181+N181))*10%-175000))),0)</f>
        <v>0</v>
      </c>
      <c r="P181" s="688">
        <f t="shared" ref="P181:P244" si="34">SUM(M181:O181)</f>
        <v>377014</v>
      </c>
      <c r="Q181" s="689"/>
      <c r="R181" s="683">
        <f t="shared" ref="R181:R244" si="35">L181-P181</f>
        <v>1040155</v>
      </c>
      <c r="S181" s="567"/>
      <c r="U181" s="679"/>
    </row>
    <row r="182" spans="1:21" s="678" customFormat="1" ht="43.95" customHeight="1">
      <c r="A182" s="676">
        <v>168</v>
      </c>
      <c r="B182" s="677" t="str">
        <f>'Tên thang 01-26'!E171</f>
        <v>ណាក់ ស៊ាក</v>
      </c>
      <c r="C182" s="690" t="str">
        <f>'Tên thang 01-26'!F171</f>
        <v>NAK SEAK</v>
      </c>
      <c r="D182" s="680">
        <v>48</v>
      </c>
      <c r="E182" s="681">
        <v>31947</v>
      </c>
      <c r="F182" s="682">
        <f t="shared" si="30"/>
        <v>11.09</v>
      </c>
      <c r="G182" s="683">
        <v>354292</v>
      </c>
      <c r="H182" s="682">
        <f>'KL 1'!AG184</f>
        <v>32.47</v>
      </c>
      <c r="I182" s="683">
        <f t="shared" si="22"/>
        <v>1037319</v>
      </c>
      <c r="J182" s="684"/>
      <c r="K182" s="683"/>
      <c r="L182" s="685">
        <f t="shared" si="31"/>
        <v>1391611</v>
      </c>
      <c r="M182" s="683">
        <f t="shared" si="32"/>
        <v>354292</v>
      </c>
      <c r="N182" s="686">
        <f t="shared" si="23"/>
        <v>24000</v>
      </c>
      <c r="O182" s="687">
        <f t="shared" si="33"/>
        <v>0</v>
      </c>
      <c r="P182" s="688">
        <f t="shared" si="34"/>
        <v>378292</v>
      </c>
      <c r="Q182" s="689"/>
      <c r="R182" s="683">
        <f t="shared" si="35"/>
        <v>1013319</v>
      </c>
      <c r="S182" s="567"/>
      <c r="U182" s="679"/>
    </row>
    <row r="183" spans="1:21" s="678" customFormat="1" ht="43.95" customHeight="1">
      <c r="A183" s="676">
        <v>169</v>
      </c>
      <c r="B183" s="677" t="str">
        <f>'Tên thang 01-26'!E172</f>
        <v>ឈុន សុខឃឿន</v>
      </c>
      <c r="C183" s="690" t="str">
        <f>'Tên thang 01-26'!F172</f>
        <v>CHHUN SOKHOEUN</v>
      </c>
      <c r="D183" s="680">
        <v>49</v>
      </c>
      <c r="E183" s="681">
        <v>31947</v>
      </c>
      <c r="F183" s="682">
        <f t="shared" si="30"/>
        <v>10.89</v>
      </c>
      <c r="G183" s="683">
        <v>347903</v>
      </c>
      <c r="H183" s="682">
        <f>'KL 1'!AG185</f>
        <v>33.25</v>
      </c>
      <c r="I183" s="683">
        <f t="shared" si="22"/>
        <v>1062238</v>
      </c>
      <c r="J183" s="684"/>
      <c r="K183" s="683"/>
      <c r="L183" s="685">
        <f t="shared" si="31"/>
        <v>1410141</v>
      </c>
      <c r="M183" s="683">
        <f t="shared" si="32"/>
        <v>347903</v>
      </c>
      <c r="N183" s="686">
        <f t="shared" si="23"/>
        <v>24000</v>
      </c>
      <c r="O183" s="687">
        <f t="shared" si="33"/>
        <v>0</v>
      </c>
      <c r="P183" s="688">
        <f t="shared" si="34"/>
        <v>371903</v>
      </c>
      <c r="Q183" s="689"/>
      <c r="R183" s="683">
        <f t="shared" si="35"/>
        <v>1038238</v>
      </c>
      <c r="S183" s="567"/>
      <c r="U183" s="679"/>
    </row>
    <row r="184" spans="1:21" s="678" customFormat="1" ht="43.95" customHeight="1">
      <c r="A184" s="676">
        <v>170</v>
      </c>
      <c r="B184" s="677" t="str">
        <f>'Tên thang 01-26'!E173</f>
        <v>កោ លីណា</v>
      </c>
      <c r="C184" s="690" t="str">
        <f>'Tên thang 01-26'!F173</f>
        <v>KOA LYNA</v>
      </c>
      <c r="D184" s="680">
        <v>50</v>
      </c>
      <c r="E184" s="681">
        <v>31947</v>
      </c>
      <c r="F184" s="682">
        <f t="shared" si="30"/>
        <v>14.17</v>
      </c>
      <c r="G184" s="683">
        <v>452689</v>
      </c>
      <c r="H184" s="682">
        <f>'KL 1'!AG186</f>
        <v>37.020000000000003</v>
      </c>
      <c r="I184" s="683">
        <f t="shared" si="22"/>
        <v>1182678</v>
      </c>
      <c r="J184" s="684"/>
      <c r="K184" s="683"/>
      <c r="L184" s="685">
        <f t="shared" si="31"/>
        <v>1635367</v>
      </c>
      <c r="M184" s="683">
        <f t="shared" si="32"/>
        <v>452689</v>
      </c>
      <c r="N184" s="686">
        <f t="shared" si="23"/>
        <v>24000</v>
      </c>
      <c r="O184" s="687">
        <f t="shared" si="33"/>
        <v>5568</v>
      </c>
      <c r="P184" s="688">
        <f t="shared" si="34"/>
        <v>482257</v>
      </c>
      <c r="Q184" s="689"/>
      <c r="R184" s="683">
        <f t="shared" si="35"/>
        <v>1153110</v>
      </c>
      <c r="S184" s="567"/>
      <c r="U184" s="679"/>
    </row>
    <row r="185" spans="1:21" s="678" customFormat="1" ht="43.95" customHeight="1">
      <c r="A185" s="676">
        <v>171</v>
      </c>
      <c r="B185" s="677" t="str">
        <f>'Tên thang 01-26'!E174</f>
        <v>ទ្រី ចាន់ធូ</v>
      </c>
      <c r="C185" s="690" t="str">
        <f>'Tên thang 01-26'!F174</f>
        <v>TRY CHANTHOU</v>
      </c>
      <c r="D185" s="680">
        <v>51</v>
      </c>
      <c r="E185" s="681">
        <v>31947</v>
      </c>
      <c r="F185" s="682">
        <f t="shared" si="30"/>
        <v>13.77</v>
      </c>
      <c r="G185" s="683">
        <v>439910</v>
      </c>
      <c r="H185" s="682">
        <f>'KL 1'!AG187</f>
        <v>36.409999999999997</v>
      </c>
      <c r="I185" s="683">
        <f t="shared" si="22"/>
        <v>1163190</v>
      </c>
      <c r="J185" s="684"/>
      <c r="K185" s="683"/>
      <c r="L185" s="685">
        <f t="shared" si="31"/>
        <v>1603100</v>
      </c>
      <c r="M185" s="683">
        <f t="shared" si="32"/>
        <v>439910</v>
      </c>
      <c r="N185" s="686">
        <f t="shared" si="23"/>
        <v>24000</v>
      </c>
      <c r="O185" s="687">
        <f t="shared" si="33"/>
        <v>3955</v>
      </c>
      <c r="P185" s="688">
        <f t="shared" si="34"/>
        <v>467865</v>
      </c>
      <c r="Q185" s="689"/>
      <c r="R185" s="683">
        <f t="shared" si="35"/>
        <v>1135235</v>
      </c>
      <c r="S185" s="567"/>
      <c r="U185" s="679"/>
    </row>
    <row r="186" spans="1:21" s="678" customFormat="1" ht="43.95" customHeight="1">
      <c r="A186" s="676">
        <v>172</v>
      </c>
      <c r="B186" s="677" t="str">
        <f>'Tên thang 01-26'!E175</f>
        <v>កេរ្ត៍​ ថ្លម</v>
      </c>
      <c r="C186" s="690" t="str">
        <f>'Tên thang 01-26'!F175</f>
        <v>KE THNORM</v>
      </c>
      <c r="D186" s="680">
        <v>52</v>
      </c>
      <c r="E186" s="681">
        <v>31947</v>
      </c>
      <c r="F186" s="682">
        <f t="shared" si="30"/>
        <v>9.31</v>
      </c>
      <c r="G186" s="683">
        <v>297427</v>
      </c>
      <c r="H186" s="682">
        <f>'KL 1'!AG188</f>
        <v>32.22</v>
      </c>
      <c r="I186" s="683">
        <f t="shared" si="22"/>
        <v>1029332</v>
      </c>
      <c r="J186" s="684"/>
      <c r="K186" s="683"/>
      <c r="L186" s="685">
        <f t="shared" si="31"/>
        <v>1326759</v>
      </c>
      <c r="M186" s="683">
        <f t="shared" si="32"/>
        <v>297427</v>
      </c>
      <c r="N186" s="686">
        <f t="shared" si="23"/>
        <v>24000</v>
      </c>
      <c r="O186" s="687">
        <f t="shared" si="33"/>
        <v>0</v>
      </c>
      <c r="P186" s="688">
        <f t="shared" si="34"/>
        <v>321427</v>
      </c>
      <c r="Q186" s="689"/>
      <c r="R186" s="683">
        <f t="shared" si="35"/>
        <v>1005332</v>
      </c>
      <c r="S186" s="567"/>
      <c r="U186" s="679"/>
    </row>
    <row r="187" spans="1:21" s="678" customFormat="1" ht="43.95" customHeight="1">
      <c r="A187" s="676">
        <v>173</v>
      </c>
      <c r="B187" s="677" t="str">
        <f>'Tên thang 01-26'!E176</f>
        <v>សាយ សេង</v>
      </c>
      <c r="C187" s="690" t="str">
        <f>'Tên thang 01-26'!F176</f>
        <v>SAY SENG</v>
      </c>
      <c r="D187" s="680">
        <v>53</v>
      </c>
      <c r="E187" s="681">
        <v>31947</v>
      </c>
      <c r="F187" s="682">
        <f t="shared" si="30"/>
        <v>13.98</v>
      </c>
      <c r="G187" s="683">
        <v>446619</v>
      </c>
      <c r="H187" s="682">
        <f>'KL 1'!AG189</f>
        <v>39.019999999999996</v>
      </c>
      <c r="I187" s="683">
        <f t="shared" si="22"/>
        <v>1246572</v>
      </c>
      <c r="J187" s="684"/>
      <c r="K187" s="683"/>
      <c r="L187" s="685">
        <f t="shared" si="31"/>
        <v>1693191</v>
      </c>
      <c r="M187" s="683">
        <f t="shared" si="32"/>
        <v>446619</v>
      </c>
      <c r="N187" s="686">
        <f t="shared" si="23"/>
        <v>24000</v>
      </c>
      <c r="O187" s="687">
        <f t="shared" si="33"/>
        <v>8460</v>
      </c>
      <c r="P187" s="688">
        <f t="shared" si="34"/>
        <v>479079</v>
      </c>
      <c r="Q187" s="689"/>
      <c r="R187" s="683">
        <f t="shared" si="35"/>
        <v>1214112</v>
      </c>
      <c r="S187" s="567"/>
      <c r="U187" s="679"/>
    </row>
    <row r="188" spans="1:21" s="678" customFormat="1" ht="43.95" customHeight="1">
      <c r="A188" s="676">
        <v>174</v>
      </c>
      <c r="B188" s="677" t="str">
        <f>'Tên thang 01-26'!E177</f>
        <v>ឃឿន ហែ</v>
      </c>
      <c r="C188" s="690" t="str">
        <f>'Tên thang 01-26'!F177</f>
        <v>KHOEUN HE</v>
      </c>
      <c r="D188" s="680">
        <v>54</v>
      </c>
      <c r="E188" s="681">
        <v>31947</v>
      </c>
      <c r="F188" s="682">
        <f t="shared" si="30"/>
        <v>11.24</v>
      </c>
      <c r="G188" s="683">
        <v>359084</v>
      </c>
      <c r="H188" s="682">
        <f>'KL 1'!AG190</f>
        <v>42.11</v>
      </c>
      <c r="I188" s="683">
        <f t="shared" si="22"/>
        <v>1345288</v>
      </c>
      <c r="J188" s="684"/>
      <c r="K188" s="683"/>
      <c r="L188" s="685">
        <f t="shared" si="31"/>
        <v>1704372</v>
      </c>
      <c r="M188" s="683">
        <f t="shared" si="32"/>
        <v>359084</v>
      </c>
      <c r="N188" s="686">
        <f t="shared" si="23"/>
        <v>24000</v>
      </c>
      <c r="O188" s="687">
        <f t="shared" si="33"/>
        <v>9019</v>
      </c>
      <c r="P188" s="688">
        <f t="shared" si="34"/>
        <v>392103</v>
      </c>
      <c r="Q188" s="689"/>
      <c r="R188" s="683">
        <f t="shared" si="35"/>
        <v>1312269</v>
      </c>
      <c r="S188" s="567"/>
      <c r="U188" s="679"/>
    </row>
    <row r="189" spans="1:21" s="678" customFormat="1" ht="43.95" customHeight="1">
      <c r="A189" s="676">
        <v>175</v>
      </c>
      <c r="B189" s="677" t="str">
        <f>'Tên thang 01-26'!E178</f>
        <v>ប៉ឹង ថា</v>
      </c>
      <c r="C189" s="690" t="str">
        <f>'Tên thang 01-26'!F178</f>
        <v>POENG THA</v>
      </c>
      <c r="D189" s="680">
        <v>55</v>
      </c>
      <c r="E189" s="681">
        <v>31947</v>
      </c>
      <c r="F189" s="682">
        <f t="shared" si="30"/>
        <v>14.41</v>
      </c>
      <c r="G189" s="683">
        <v>460356</v>
      </c>
      <c r="H189" s="682">
        <f>'KL 1'!AG191</f>
        <v>35.72</v>
      </c>
      <c r="I189" s="683">
        <f t="shared" si="22"/>
        <v>1141147</v>
      </c>
      <c r="J189" s="684"/>
      <c r="K189" s="683"/>
      <c r="L189" s="685">
        <f t="shared" si="31"/>
        <v>1601503</v>
      </c>
      <c r="M189" s="683">
        <f t="shared" si="32"/>
        <v>460356</v>
      </c>
      <c r="N189" s="686">
        <f t="shared" si="23"/>
        <v>24000</v>
      </c>
      <c r="O189" s="687">
        <f t="shared" si="33"/>
        <v>3875</v>
      </c>
      <c r="P189" s="688">
        <f t="shared" si="34"/>
        <v>488231</v>
      </c>
      <c r="Q189" s="689"/>
      <c r="R189" s="683">
        <f t="shared" si="35"/>
        <v>1113272</v>
      </c>
      <c r="S189" s="567"/>
      <c r="U189" s="679"/>
    </row>
    <row r="190" spans="1:21" s="678" customFormat="1" ht="43.95" customHeight="1">
      <c r="A190" s="676">
        <v>176</v>
      </c>
      <c r="B190" s="677" t="str">
        <f>'Tên thang 01-26'!E179</f>
        <v>កោ គង្គា</v>
      </c>
      <c r="C190" s="690" t="str">
        <f>'Tên thang 01-26'!F179</f>
        <v>KOR KONGKEA</v>
      </c>
      <c r="D190" s="680">
        <v>56</v>
      </c>
      <c r="E190" s="681">
        <v>31947</v>
      </c>
      <c r="F190" s="682">
        <f t="shared" si="30"/>
        <v>13.89</v>
      </c>
      <c r="G190" s="683">
        <v>443744</v>
      </c>
      <c r="H190" s="682">
        <f>'KL 1'!AG192</f>
        <v>36.46</v>
      </c>
      <c r="I190" s="683">
        <f t="shared" si="22"/>
        <v>1164788</v>
      </c>
      <c r="J190" s="684"/>
      <c r="K190" s="683"/>
      <c r="L190" s="685">
        <f t="shared" si="31"/>
        <v>1608532</v>
      </c>
      <c r="M190" s="683">
        <f t="shared" si="32"/>
        <v>443744</v>
      </c>
      <c r="N190" s="686">
        <f t="shared" si="23"/>
        <v>24000</v>
      </c>
      <c r="O190" s="687">
        <f t="shared" si="33"/>
        <v>4227</v>
      </c>
      <c r="P190" s="688">
        <f t="shared" si="34"/>
        <v>471971</v>
      </c>
      <c r="Q190" s="689"/>
      <c r="R190" s="683">
        <f t="shared" si="35"/>
        <v>1136561</v>
      </c>
      <c r="S190" s="567"/>
      <c r="U190" s="679"/>
    </row>
    <row r="191" spans="1:21" s="678" customFormat="1" ht="43.95" customHeight="1">
      <c r="A191" s="676">
        <v>177</v>
      </c>
      <c r="B191" s="677" t="str">
        <f>'Tên thang 01-26'!E180</f>
        <v>សេង សីហា</v>
      </c>
      <c r="C191" s="690" t="str">
        <f>'Tên thang 01-26'!F180</f>
        <v>SENG SEYHA</v>
      </c>
      <c r="D191" s="680">
        <v>57</v>
      </c>
      <c r="E191" s="681">
        <v>31947</v>
      </c>
      <c r="F191" s="682">
        <f t="shared" si="30"/>
        <v>14.87</v>
      </c>
      <c r="G191" s="683">
        <v>475052</v>
      </c>
      <c r="H191" s="682">
        <f>'KL 1'!AG193</f>
        <v>34.020000000000003</v>
      </c>
      <c r="I191" s="683">
        <f t="shared" si="22"/>
        <v>1086837</v>
      </c>
      <c r="J191" s="684"/>
      <c r="K191" s="683"/>
      <c r="L191" s="685">
        <f t="shared" si="31"/>
        <v>1561889</v>
      </c>
      <c r="M191" s="683">
        <f t="shared" si="32"/>
        <v>475052</v>
      </c>
      <c r="N191" s="686">
        <f t="shared" si="23"/>
        <v>24000</v>
      </c>
      <c r="O191" s="687">
        <f t="shared" si="33"/>
        <v>1894</v>
      </c>
      <c r="P191" s="688">
        <f t="shared" si="34"/>
        <v>500946</v>
      </c>
      <c r="Q191" s="689"/>
      <c r="R191" s="683">
        <f t="shared" si="35"/>
        <v>1060943</v>
      </c>
      <c r="S191" s="567"/>
      <c r="U191" s="679"/>
    </row>
    <row r="192" spans="1:21" s="678" customFormat="1" ht="43.95" customHeight="1">
      <c r="A192" s="676">
        <v>178</v>
      </c>
      <c r="B192" s="677" t="str">
        <f>'Tên thang 01-26'!E181</f>
        <v>ថៃ លក្ខិណា</v>
      </c>
      <c r="C192" s="690" t="str">
        <f>'Tên thang 01-26'!F181</f>
        <v>THAI LEAKANA</v>
      </c>
      <c r="D192" s="680">
        <v>58</v>
      </c>
      <c r="E192" s="681">
        <v>31947</v>
      </c>
      <c r="F192" s="682">
        <f t="shared" si="30"/>
        <v>15.98</v>
      </c>
      <c r="G192" s="683">
        <v>510513</v>
      </c>
      <c r="H192" s="682">
        <f>'KL 1'!AG194</f>
        <v>39.46</v>
      </c>
      <c r="I192" s="683">
        <f t="shared" si="22"/>
        <v>1260629</v>
      </c>
      <c r="J192" s="684"/>
      <c r="K192" s="683"/>
      <c r="L192" s="685">
        <f t="shared" si="31"/>
        <v>1771142</v>
      </c>
      <c r="M192" s="683">
        <f t="shared" si="32"/>
        <v>510513</v>
      </c>
      <c r="N192" s="686">
        <f t="shared" si="23"/>
        <v>24000</v>
      </c>
      <c r="O192" s="687">
        <f t="shared" si="33"/>
        <v>12357</v>
      </c>
      <c r="P192" s="688">
        <f t="shared" si="34"/>
        <v>546870</v>
      </c>
      <c r="Q192" s="689"/>
      <c r="R192" s="683">
        <f t="shared" si="35"/>
        <v>1224272</v>
      </c>
      <c r="S192" s="567"/>
      <c r="U192" s="679"/>
    </row>
    <row r="193" spans="1:21" s="678" customFormat="1" ht="43.95" customHeight="1">
      <c r="A193" s="676">
        <v>179</v>
      </c>
      <c r="B193" s="677" t="str">
        <f>'Tên thang 01-26'!E182</f>
        <v>ឈឿន សុខច័ន្ទ</v>
      </c>
      <c r="C193" s="690" t="str">
        <f>'Tên thang 01-26'!F182</f>
        <v>CHHOEUN SOKCHAN</v>
      </c>
      <c r="D193" s="680">
        <v>59</v>
      </c>
      <c r="E193" s="681">
        <v>31947</v>
      </c>
      <c r="F193" s="682">
        <f t="shared" si="30"/>
        <v>1.99</v>
      </c>
      <c r="G193" s="683">
        <v>63575</v>
      </c>
      <c r="H193" s="682">
        <f>'KL 1'!AG195</f>
        <v>13.329999999999998</v>
      </c>
      <c r="I193" s="683">
        <f t="shared" si="22"/>
        <v>425854</v>
      </c>
      <c r="J193" s="684"/>
      <c r="K193" s="683"/>
      <c r="L193" s="685">
        <f t="shared" si="31"/>
        <v>489429</v>
      </c>
      <c r="M193" s="683">
        <f t="shared" si="32"/>
        <v>63575</v>
      </c>
      <c r="N193" s="686">
        <f t="shared" si="23"/>
        <v>9789</v>
      </c>
      <c r="O193" s="687">
        <f t="shared" si="33"/>
        <v>0</v>
      </c>
      <c r="P193" s="688">
        <f t="shared" si="34"/>
        <v>73364</v>
      </c>
      <c r="Q193" s="689"/>
      <c r="R193" s="683">
        <f t="shared" si="35"/>
        <v>416065</v>
      </c>
      <c r="S193" s="567"/>
      <c r="U193" s="679"/>
    </row>
    <row r="194" spans="1:21" s="678" customFormat="1" ht="43.95" customHeight="1">
      <c r="A194" s="676">
        <v>180</v>
      </c>
      <c r="B194" s="677" t="str">
        <f>'Tên thang 01-26'!E183</f>
        <v>សុទ្ធ សានី</v>
      </c>
      <c r="C194" s="690" t="str">
        <f>'Tên thang 01-26'!F183</f>
        <v>SOTH SANY</v>
      </c>
      <c r="D194" s="680">
        <v>60</v>
      </c>
      <c r="E194" s="681">
        <v>31947</v>
      </c>
      <c r="F194" s="682">
        <f t="shared" si="30"/>
        <v>10.26</v>
      </c>
      <c r="G194" s="683">
        <v>327776</v>
      </c>
      <c r="H194" s="682">
        <f>'KL 1'!AG196</f>
        <v>38.03</v>
      </c>
      <c r="I194" s="683">
        <f t="shared" si="22"/>
        <v>1214944</v>
      </c>
      <c r="J194" s="684"/>
      <c r="K194" s="683"/>
      <c r="L194" s="685">
        <f t="shared" si="31"/>
        <v>1542720</v>
      </c>
      <c r="M194" s="683">
        <f t="shared" si="32"/>
        <v>327776</v>
      </c>
      <c r="N194" s="686">
        <f t="shared" si="23"/>
        <v>24000</v>
      </c>
      <c r="O194" s="687">
        <f t="shared" si="33"/>
        <v>936</v>
      </c>
      <c r="P194" s="688">
        <f t="shared" si="34"/>
        <v>352712</v>
      </c>
      <c r="Q194" s="689"/>
      <c r="R194" s="683">
        <f t="shared" si="35"/>
        <v>1190008</v>
      </c>
      <c r="S194" s="567"/>
      <c r="U194" s="679"/>
    </row>
    <row r="195" spans="1:21" s="678" customFormat="1" ht="43.95" customHeight="1">
      <c r="A195" s="676">
        <v>181</v>
      </c>
      <c r="B195" s="677" t="str">
        <f>'Tên thang 01-26'!E184</f>
        <v>យឿង សុខជាតិ</v>
      </c>
      <c r="C195" s="690" t="str">
        <f>'Tên thang 01-26'!F184</f>
        <v>YOEUNG SOCHEAT</v>
      </c>
      <c r="D195" s="680">
        <v>61</v>
      </c>
      <c r="E195" s="681">
        <v>31947</v>
      </c>
      <c r="F195" s="682">
        <f t="shared" si="30"/>
        <v>15.88</v>
      </c>
      <c r="G195" s="683">
        <v>507318</v>
      </c>
      <c r="H195" s="682">
        <f>'KL 1'!AG197</f>
        <v>35.619999999999997</v>
      </c>
      <c r="I195" s="683">
        <f t="shared" si="22"/>
        <v>1137952</v>
      </c>
      <c r="J195" s="684"/>
      <c r="K195" s="683"/>
      <c r="L195" s="685">
        <f t="shared" si="31"/>
        <v>1645270</v>
      </c>
      <c r="M195" s="683">
        <f t="shared" si="32"/>
        <v>507318</v>
      </c>
      <c r="N195" s="686">
        <f t="shared" si="23"/>
        <v>24000</v>
      </c>
      <c r="O195" s="687">
        <f t="shared" si="33"/>
        <v>6064</v>
      </c>
      <c r="P195" s="688">
        <f t="shared" si="34"/>
        <v>537382</v>
      </c>
      <c r="Q195" s="689"/>
      <c r="R195" s="683">
        <f t="shared" si="35"/>
        <v>1107888</v>
      </c>
      <c r="S195" s="567"/>
      <c r="U195" s="679"/>
    </row>
    <row r="196" spans="1:21" s="678" customFormat="1" ht="43.95" customHeight="1">
      <c r="A196" s="676">
        <v>182</v>
      </c>
      <c r="B196" s="677" t="str">
        <f>'Tên thang 01-26'!E185</f>
        <v>ម៉ែន មឿន</v>
      </c>
      <c r="C196" s="690" t="str">
        <f>'Tên thang 01-26'!F185</f>
        <v>MEN MOEUN</v>
      </c>
      <c r="D196" s="680">
        <v>62</v>
      </c>
      <c r="E196" s="681">
        <v>31947</v>
      </c>
      <c r="F196" s="682">
        <f t="shared" si="30"/>
        <v>15.49</v>
      </c>
      <c r="G196" s="683">
        <v>494859</v>
      </c>
      <c r="H196" s="682">
        <f>'KL 1'!AG198</f>
        <v>36.669999999999995</v>
      </c>
      <c r="I196" s="683">
        <f t="shared" si="22"/>
        <v>1171496</v>
      </c>
      <c r="J196" s="684"/>
      <c r="K196" s="683"/>
      <c r="L196" s="685">
        <f t="shared" si="31"/>
        <v>1666355</v>
      </c>
      <c r="M196" s="683">
        <f t="shared" si="32"/>
        <v>494859</v>
      </c>
      <c r="N196" s="686">
        <f t="shared" si="23"/>
        <v>24000</v>
      </c>
      <c r="O196" s="687">
        <f t="shared" si="33"/>
        <v>7118</v>
      </c>
      <c r="P196" s="688">
        <f t="shared" si="34"/>
        <v>525977</v>
      </c>
      <c r="Q196" s="689"/>
      <c r="R196" s="683">
        <f t="shared" si="35"/>
        <v>1140378</v>
      </c>
      <c r="S196" s="567"/>
      <c r="U196" s="679"/>
    </row>
    <row r="197" spans="1:21" s="678" customFormat="1" ht="43.95" customHeight="1">
      <c r="A197" s="676">
        <v>183</v>
      </c>
      <c r="B197" s="677" t="str">
        <f>'Tên thang 01-26'!E186</f>
        <v>យ៉ុង រី</v>
      </c>
      <c r="C197" s="690" t="str">
        <f>'Tên thang 01-26'!F186</f>
        <v>YONG RY</v>
      </c>
      <c r="D197" s="680">
        <v>63</v>
      </c>
      <c r="E197" s="681">
        <v>31947</v>
      </c>
      <c r="F197" s="682">
        <f t="shared" si="30"/>
        <v>12.98</v>
      </c>
      <c r="G197" s="683">
        <v>414672</v>
      </c>
      <c r="H197" s="682">
        <f>'KL 1'!AG199</f>
        <v>36.300000000000004</v>
      </c>
      <c r="I197" s="683">
        <f t="shared" si="22"/>
        <v>1159676</v>
      </c>
      <c r="J197" s="684"/>
      <c r="K197" s="683"/>
      <c r="L197" s="685">
        <f t="shared" si="31"/>
        <v>1574348</v>
      </c>
      <c r="M197" s="683">
        <f t="shared" si="32"/>
        <v>414672</v>
      </c>
      <c r="N197" s="686">
        <f t="shared" si="23"/>
        <v>24000</v>
      </c>
      <c r="O197" s="687">
        <f t="shared" si="33"/>
        <v>2517</v>
      </c>
      <c r="P197" s="688">
        <f t="shared" si="34"/>
        <v>441189</v>
      </c>
      <c r="Q197" s="689"/>
      <c r="R197" s="683">
        <f t="shared" si="35"/>
        <v>1133159</v>
      </c>
      <c r="S197" s="567"/>
      <c r="U197" s="679"/>
    </row>
    <row r="198" spans="1:21" s="678" customFormat="1" ht="43.95" customHeight="1">
      <c r="A198" s="676">
        <v>184</v>
      </c>
      <c r="B198" s="677" t="str">
        <f>'Tên thang 01-26'!E187</f>
        <v>ហៃ អូន</v>
      </c>
      <c r="C198" s="690" t="str">
        <f>'Tên thang 01-26'!F187</f>
        <v>HAI ON</v>
      </c>
      <c r="D198" s="680">
        <v>64</v>
      </c>
      <c r="E198" s="681">
        <v>31947</v>
      </c>
      <c r="F198" s="682">
        <f t="shared" si="30"/>
        <v>13.64</v>
      </c>
      <c r="G198" s="683">
        <v>435757</v>
      </c>
      <c r="H198" s="682">
        <f>'KL 1'!AG200</f>
        <v>36.1</v>
      </c>
      <c r="I198" s="683">
        <f t="shared" si="22"/>
        <v>1153287</v>
      </c>
      <c r="J198" s="684"/>
      <c r="K198" s="683"/>
      <c r="L198" s="685">
        <f t="shared" si="31"/>
        <v>1589044</v>
      </c>
      <c r="M198" s="683">
        <f t="shared" si="32"/>
        <v>435757</v>
      </c>
      <c r="N198" s="686">
        <f t="shared" si="23"/>
        <v>24000</v>
      </c>
      <c r="O198" s="687">
        <f t="shared" si="33"/>
        <v>3252</v>
      </c>
      <c r="P198" s="688">
        <f t="shared" si="34"/>
        <v>463009</v>
      </c>
      <c r="Q198" s="689"/>
      <c r="R198" s="683">
        <f t="shared" si="35"/>
        <v>1126035</v>
      </c>
      <c r="S198" s="567"/>
      <c r="U198" s="679"/>
    </row>
    <row r="199" spans="1:21" s="678" customFormat="1" ht="43.95" customHeight="1">
      <c r="A199" s="676">
        <v>185</v>
      </c>
      <c r="B199" s="677" t="str">
        <f>'Tên thang 01-26'!E188</f>
        <v>វ៉ាន់ គាត</v>
      </c>
      <c r="C199" s="690" t="str">
        <f>'Tên thang 01-26'!F188</f>
        <v>VANN KEAT</v>
      </c>
      <c r="D199" s="680">
        <v>65</v>
      </c>
      <c r="E199" s="681">
        <v>31947</v>
      </c>
      <c r="F199" s="682">
        <f t="shared" si="30"/>
        <v>12.5</v>
      </c>
      <c r="G199" s="683">
        <v>399338</v>
      </c>
      <c r="H199" s="682">
        <f>'KL 1'!AG201</f>
        <v>43.879999999999995</v>
      </c>
      <c r="I199" s="683">
        <f t="shared" si="22"/>
        <v>1401834</v>
      </c>
      <c r="J199" s="684"/>
      <c r="K199" s="683"/>
      <c r="L199" s="685">
        <f t="shared" si="31"/>
        <v>1801172</v>
      </c>
      <c r="M199" s="683">
        <f t="shared" si="32"/>
        <v>399338</v>
      </c>
      <c r="N199" s="686">
        <f t="shared" si="23"/>
        <v>24000</v>
      </c>
      <c r="O199" s="687">
        <f t="shared" si="33"/>
        <v>13859</v>
      </c>
      <c r="P199" s="688">
        <f t="shared" si="34"/>
        <v>437197</v>
      </c>
      <c r="Q199" s="689"/>
      <c r="R199" s="683">
        <f t="shared" si="35"/>
        <v>1363975</v>
      </c>
      <c r="S199" s="567"/>
      <c r="U199" s="679"/>
    </row>
    <row r="200" spans="1:21" s="678" customFormat="1" ht="43.95" customHeight="1">
      <c r="A200" s="676">
        <v>186</v>
      </c>
      <c r="B200" s="677" t="str">
        <f>'Tên thang 01-26'!E189</f>
        <v>សេង សោភា</v>
      </c>
      <c r="C200" s="690" t="str">
        <f>'Tên thang 01-26'!F189</f>
        <v>SENG SOPHEA</v>
      </c>
      <c r="D200" s="680">
        <v>66</v>
      </c>
      <c r="E200" s="681">
        <v>31947</v>
      </c>
      <c r="F200" s="682">
        <f t="shared" si="30"/>
        <v>11.92</v>
      </c>
      <c r="G200" s="683">
        <v>380808</v>
      </c>
      <c r="H200" s="682">
        <f>'KL 1'!AG202</f>
        <v>31.29</v>
      </c>
      <c r="I200" s="683">
        <f t="shared" si="22"/>
        <v>999622</v>
      </c>
      <c r="J200" s="684"/>
      <c r="K200" s="683"/>
      <c r="L200" s="685">
        <f t="shared" si="31"/>
        <v>1380430</v>
      </c>
      <c r="M200" s="683">
        <f t="shared" si="32"/>
        <v>380808</v>
      </c>
      <c r="N200" s="686">
        <f t="shared" si="23"/>
        <v>24000</v>
      </c>
      <c r="O200" s="687">
        <f t="shared" si="33"/>
        <v>0</v>
      </c>
      <c r="P200" s="688">
        <f t="shared" si="34"/>
        <v>404808</v>
      </c>
      <c r="Q200" s="689"/>
      <c r="R200" s="683">
        <f t="shared" si="35"/>
        <v>975622</v>
      </c>
      <c r="S200" s="567"/>
      <c r="U200" s="679"/>
    </row>
    <row r="201" spans="1:21" s="678" customFormat="1" ht="43.95" customHeight="1">
      <c r="A201" s="676">
        <v>187</v>
      </c>
      <c r="B201" s="677" t="str">
        <f>'Tên thang 01-26'!E190</f>
        <v>ឃឿន សុក</v>
      </c>
      <c r="C201" s="690" t="str">
        <f>'Tên thang 01-26'!F190</f>
        <v>KHOEUN SOK</v>
      </c>
      <c r="D201" s="680">
        <v>67</v>
      </c>
      <c r="E201" s="681">
        <v>31947</v>
      </c>
      <c r="F201" s="682">
        <f t="shared" si="30"/>
        <v>12.07</v>
      </c>
      <c r="G201" s="683">
        <v>385600</v>
      </c>
      <c r="H201" s="682">
        <f>'KL 1'!AG203</f>
        <v>36.96</v>
      </c>
      <c r="I201" s="683">
        <f t="shared" si="22"/>
        <v>1180761</v>
      </c>
      <c r="J201" s="684"/>
      <c r="K201" s="683"/>
      <c r="L201" s="685">
        <f t="shared" si="31"/>
        <v>1566361</v>
      </c>
      <c r="M201" s="683">
        <f t="shared" si="32"/>
        <v>385600</v>
      </c>
      <c r="N201" s="686">
        <f t="shared" si="23"/>
        <v>24000</v>
      </c>
      <c r="O201" s="687">
        <f t="shared" si="33"/>
        <v>2118</v>
      </c>
      <c r="P201" s="688">
        <f t="shared" si="34"/>
        <v>411718</v>
      </c>
      <c r="Q201" s="689"/>
      <c r="R201" s="683">
        <f t="shared" si="35"/>
        <v>1154643</v>
      </c>
      <c r="S201" s="567"/>
      <c r="U201" s="679"/>
    </row>
    <row r="202" spans="1:21" s="678" customFormat="1" ht="43.95" customHeight="1">
      <c r="A202" s="676">
        <v>188</v>
      </c>
      <c r="B202" s="677" t="str">
        <f>'Tên thang 01-26'!E191</f>
        <v>ណំ វ៉ាន់​ស៊ីង</v>
      </c>
      <c r="C202" s="690" t="str">
        <f>'Tên thang 01-26'!F191</f>
        <v>NOM VANSING</v>
      </c>
      <c r="D202" s="680">
        <v>68</v>
      </c>
      <c r="E202" s="681">
        <v>31947</v>
      </c>
      <c r="F202" s="682">
        <f t="shared" si="30"/>
        <v>13</v>
      </c>
      <c r="G202" s="683">
        <v>415311</v>
      </c>
      <c r="H202" s="682">
        <f>'KL 1'!AG204</f>
        <v>34.93</v>
      </c>
      <c r="I202" s="683">
        <f t="shared" si="22"/>
        <v>1115909</v>
      </c>
      <c r="J202" s="684"/>
      <c r="K202" s="683"/>
      <c r="L202" s="685">
        <f t="shared" si="31"/>
        <v>1531220</v>
      </c>
      <c r="M202" s="683">
        <f t="shared" si="32"/>
        <v>415311</v>
      </c>
      <c r="N202" s="686">
        <f t="shared" si="23"/>
        <v>24000</v>
      </c>
      <c r="O202" s="687">
        <f t="shared" si="33"/>
        <v>361</v>
      </c>
      <c r="P202" s="688">
        <f t="shared" si="34"/>
        <v>439672</v>
      </c>
      <c r="Q202" s="689"/>
      <c r="R202" s="683">
        <f t="shared" si="35"/>
        <v>1091548</v>
      </c>
      <c r="S202" s="567"/>
      <c r="U202" s="679"/>
    </row>
    <row r="203" spans="1:21" s="678" customFormat="1" ht="43.95" customHeight="1">
      <c r="A203" s="676">
        <v>189</v>
      </c>
      <c r="B203" s="677" t="str">
        <f>'Tên thang 01-26'!E192</f>
        <v>ដៀប ចាន់ណា</v>
      </c>
      <c r="C203" s="690" t="str">
        <f>'Tên thang 01-26'!F192</f>
        <v>DIEB CHANNA</v>
      </c>
      <c r="D203" s="680">
        <v>69</v>
      </c>
      <c r="E203" s="681">
        <v>31947</v>
      </c>
      <c r="F203" s="682">
        <f t="shared" si="30"/>
        <v>12.04</v>
      </c>
      <c r="G203" s="683">
        <v>384642</v>
      </c>
      <c r="H203" s="682">
        <f>'KL 1'!AG205</f>
        <v>34.369999999999997</v>
      </c>
      <c r="I203" s="683">
        <f t="shared" si="22"/>
        <v>1098018</v>
      </c>
      <c r="J203" s="684"/>
      <c r="K203" s="683"/>
      <c r="L203" s="685">
        <f t="shared" si="31"/>
        <v>1482660</v>
      </c>
      <c r="M203" s="683">
        <f t="shared" si="32"/>
        <v>384642</v>
      </c>
      <c r="N203" s="686">
        <f t="shared" si="23"/>
        <v>24000</v>
      </c>
      <c r="O203" s="687">
        <f t="shared" si="33"/>
        <v>0</v>
      </c>
      <c r="P203" s="688">
        <f t="shared" si="34"/>
        <v>408642</v>
      </c>
      <c r="Q203" s="689"/>
      <c r="R203" s="683">
        <f t="shared" si="35"/>
        <v>1074018</v>
      </c>
      <c r="S203" s="567"/>
      <c r="U203" s="679"/>
    </row>
    <row r="204" spans="1:21" s="678" customFormat="1" ht="43.95" customHeight="1">
      <c r="A204" s="676">
        <v>190</v>
      </c>
      <c r="B204" s="677" t="str">
        <f>'Tên thang 01-26'!E193</f>
        <v>ឆែម ឆាន</v>
      </c>
      <c r="C204" s="690" t="str">
        <f>'Tên thang 01-26'!F193</f>
        <v>CHHEM CHHAN</v>
      </c>
      <c r="D204" s="680">
        <v>70</v>
      </c>
      <c r="E204" s="681">
        <v>31947</v>
      </c>
      <c r="F204" s="682">
        <f t="shared" si="30"/>
        <v>10.53</v>
      </c>
      <c r="G204" s="683">
        <v>336402</v>
      </c>
      <c r="H204" s="682">
        <f>'KL 1'!AG206</f>
        <v>38.190000000000005</v>
      </c>
      <c r="I204" s="683">
        <f t="shared" si="22"/>
        <v>1220056</v>
      </c>
      <c r="J204" s="684"/>
      <c r="K204" s="683"/>
      <c r="L204" s="685">
        <f t="shared" si="31"/>
        <v>1556458</v>
      </c>
      <c r="M204" s="683">
        <f t="shared" si="32"/>
        <v>336402</v>
      </c>
      <c r="N204" s="686">
        <f t="shared" si="23"/>
        <v>24000</v>
      </c>
      <c r="O204" s="687">
        <f t="shared" si="33"/>
        <v>1623</v>
      </c>
      <c r="P204" s="688">
        <f t="shared" si="34"/>
        <v>362025</v>
      </c>
      <c r="Q204" s="689"/>
      <c r="R204" s="683">
        <f t="shared" si="35"/>
        <v>1194433</v>
      </c>
      <c r="S204" s="567"/>
      <c r="U204" s="679"/>
    </row>
    <row r="205" spans="1:21" s="678" customFormat="1" ht="43.95" customHeight="1">
      <c r="A205" s="676">
        <v>191</v>
      </c>
      <c r="B205" s="677" t="str">
        <f>'Tên thang 01-26'!E194</f>
        <v>ហៃ សុខវី</v>
      </c>
      <c r="C205" s="690" t="str">
        <f>'Tên thang 01-26'!F194</f>
        <v>HAY SOK VY</v>
      </c>
      <c r="D205" s="680">
        <v>71</v>
      </c>
      <c r="E205" s="681">
        <v>31947</v>
      </c>
      <c r="F205" s="682">
        <f t="shared" si="30"/>
        <v>13.25</v>
      </c>
      <c r="G205" s="683">
        <v>423298</v>
      </c>
      <c r="H205" s="682">
        <f>'KL 1'!AG207</f>
        <v>37.93</v>
      </c>
      <c r="I205" s="683">
        <f t="shared" si="22"/>
        <v>1211750</v>
      </c>
      <c r="J205" s="684"/>
      <c r="K205" s="683"/>
      <c r="L205" s="685">
        <f t="shared" si="31"/>
        <v>1635048</v>
      </c>
      <c r="M205" s="683">
        <f t="shared" si="32"/>
        <v>423298</v>
      </c>
      <c r="N205" s="686">
        <f t="shared" si="23"/>
        <v>24000</v>
      </c>
      <c r="O205" s="687">
        <f t="shared" si="33"/>
        <v>5552</v>
      </c>
      <c r="P205" s="688">
        <f t="shared" si="34"/>
        <v>452850</v>
      </c>
      <c r="Q205" s="689"/>
      <c r="R205" s="683">
        <f t="shared" si="35"/>
        <v>1182198</v>
      </c>
      <c r="S205" s="567"/>
      <c r="U205" s="679"/>
    </row>
    <row r="206" spans="1:21" s="678" customFormat="1" ht="43.95" customHeight="1">
      <c r="A206" s="676">
        <v>192</v>
      </c>
      <c r="B206" s="677" t="str">
        <f>'Tên thang 01-26'!E195</f>
        <v>ចយ សុខណា</v>
      </c>
      <c r="C206" s="690" t="str">
        <f>'Tên thang 01-26'!F195</f>
        <v>JOY SOKNA</v>
      </c>
      <c r="D206" s="680">
        <v>72</v>
      </c>
      <c r="E206" s="681">
        <v>31947</v>
      </c>
      <c r="F206" s="682">
        <f t="shared" si="30"/>
        <v>12.49</v>
      </c>
      <c r="G206" s="683">
        <v>399018</v>
      </c>
      <c r="H206" s="682">
        <f>'KL 1'!AG208</f>
        <v>39.620000000000005</v>
      </c>
      <c r="I206" s="683">
        <f t="shared" si="22"/>
        <v>1265740</v>
      </c>
      <c r="J206" s="684"/>
      <c r="K206" s="683"/>
      <c r="L206" s="685">
        <f t="shared" si="31"/>
        <v>1664758</v>
      </c>
      <c r="M206" s="683">
        <f t="shared" si="32"/>
        <v>399018</v>
      </c>
      <c r="N206" s="686">
        <f t="shared" si="23"/>
        <v>24000</v>
      </c>
      <c r="O206" s="687">
        <f t="shared" si="33"/>
        <v>7038</v>
      </c>
      <c r="P206" s="688">
        <f t="shared" si="34"/>
        <v>430056</v>
      </c>
      <c r="Q206" s="689"/>
      <c r="R206" s="683">
        <f t="shared" si="35"/>
        <v>1234702</v>
      </c>
      <c r="S206" s="567"/>
      <c r="U206" s="679"/>
    </row>
    <row r="207" spans="1:21" s="678" customFormat="1" ht="43.95" customHeight="1">
      <c r="A207" s="676">
        <v>193</v>
      </c>
      <c r="B207" s="677" t="str">
        <f>'Tên thang 01-26'!E196</f>
        <v>វៀត សុខេន</v>
      </c>
      <c r="C207" s="690" t="str">
        <f>'Tên thang 01-26'!F196</f>
        <v>VEAT SOKHEN</v>
      </c>
      <c r="D207" s="680">
        <v>73</v>
      </c>
      <c r="E207" s="681">
        <v>31947</v>
      </c>
      <c r="F207" s="682">
        <f t="shared" si="30"/>
        <v>12.86</v>
      </c>
      <c r="G207" s="683">
        <v>410838</v>
      </c>
      <c r="H207" s="682">
        <f>'KL 1'!AG209</f>
        <v>38.1</v>
      </c>
      <c r="I207" s="683">
        <f t="shared" si="22"/>
        <v>1217181</v>
      </c>
      <c r="J207" s="684"/>
      <c r="K207" s="683"/>
      <c r="L207" s="685">
        <f t="shared" si="31"/>
        <v>1628019</v>
      </c>
      <c r="M207" s="683">
        <f t="shared" si="32"/>
        <v>410838</v>
      </c>
      <c r="N207" s="686">
        <f t="shared" si="23"/>
        <v>24000</v>
      </c>
      <c r="O207" s="687">
        <f t="shared" si="33"/>
        <v>5201</v>
      </c>
      <c r="P207" s="688">
        <f t="shared" si="34"/>
        <v>440039</v>
      </c>
      <c r="Q207" s="689"/>
      <c r="R207" s="683">
        <f t="shared" si="35"/>
        <v>1187980</v>
      </c>
      <c r="S207" s="567"/>
      <c r="U207" s="679"/>
    </row>
    <row r="208" spans="1:21" s="678" customFormat="1" ht="43.95" customHeight="1">
      <c r="A208" s="676">
        <v>194</v>
      </c>
      <c r="B208" s="677" t="str">
        <f>'Tên thang 01-26'!E197</f>
        <v>រ៉ែម រ៉ុម</v>
      </c>
      <c r="C208" s="690" t="str">
        <f>'Tên thang 01-26'!F197</f>
        <v>REM ROM</v>
      </c>
      <c r="D208" s="680">
        <v>74</v>
      </c>
      <c r="E208" s="681">
        <v>31947</v>
      </c>
      <c r="F208" s="682">
        <f t="shared" si="30"/>
        <v>12.89</v>
      </c>
      <c r="G208" s="683">
        <v>411797</v>
      </c>
      <c r="H208" s="682">
        <f>'KL 1'!AG210</f>
        <v>38.300000000000004</v>
      </c>
      <c r="I208" s="683">
        <f t="shared" ref="I208:I271" si="36">ROUND(E208*H208,0)</f>
        <v>1223570</v>
      </c>
      <c r="J208" s="684"/>
      <c r="K208" s="683"/>
      <c r="L208" s="685">
        <f t="shared" si="31"/>
        <v>1635367</v>
      </c>
      <c r="M208" s="683">
        <f t="shared" si="32"/>
        <v>411797</v>
      </c>
      <c r="N208" s="686">
        <f t="shared" ref="N208:N271" si="37">IF(L208&lt;=400000,400000*2%,IF(L208&lt;=1200000,ROUND(L208*2%,0),ROUND(1200000*2%,0)))</f>
        <v>24000</v>
      </c>
      <c r="O208" s="687">
        <f t="shared" si="33"/>
        <v>5568</v>
      </c>
      <c r="P208" s="688">
        <f t="shared" si="34"/>
        <v>441365</v>
      </c>
      <c r="Q208" s="689"/>
      <c r="R208" s="683">
        <f t="shared" si="35"/>
        <v>1194002</v>
      </c>
      <c r="S208" s="567"/>
      <c r="U208" s="679"/>
    </row>
    <row r="209" spans="1:21" s="678" customFormat="1" ht="43.95" customHeight="1">
      <c r="A209" s="676">
        <v>195</v>
      </c>
      <c r="B209" s="677" t="str">
        <f>'Tên thang 01-26'!E198</f>
        <v>ចយ សុខា</v>
      </c>
      <c r="C209" s="690" t="str">
        <f>'Tên thang 01-26'!F198</f>
        <v>CHORY SOKHA</v>
      </c>
      <c r="D209" s="680">
        <v>75</v>
      </c>
      <c r="E209" s="681">
        <v>31947</v>
      </c>
      <c r="F209" s="682">
        <f t="shared" si="30"/>
        <v>12.93</v>
      </c>
      <c r="G209" s="683">
        <v>413075</v>
      </c>
      <c r="H209" s="682">
        <f>'KL 1'!AG211</f>
        <v>38.770000000000003</v>
      </c>
      <c r="I209" s="683">
        <f t="shared" si="36"/>
        <v>1238585</v>
      </c>
      <c r="J209" s="684"/>
      <c r="K209" s="683"/>
      <c r="L209" s="685">
        <f t="shared" si="31"/>
        <v>1651660</v>
      </c>
      <c r="M209" s="683">
        <f t="shared" si="32"/>
        <v>413075</v>
      </c>
      <c r="N209" s="686">
        <f t="shared" si="37"/>
        <v>24000</v>
      </c>
      <c r="O209" s="687">
        <f t="shared" si="33"/>
        <v>6383</v>
      </c>
      <c r="P209" s="688">
        <f t="shared" si="34"/>
        <v>443458</v>
      </c>
      <c r="Q209" s="689"/>
      <c r="R209" s="683">
        <f t="shared" si="35"/>
        <v>1208202</v>
      </c>
      <c r="S209" s="567"/>
      <c r="U209" s="679"/>
    </row>
    <row r="210" spans="1:21" s="678" customFormat="1" ht="43.95" customHeight="1">
      <c r="A210" s="676">
        <v>196</v>
      </c>
      <c r="B210" s="677" t="str">
        <f>'Tên thang 01-26'!E199</f>
        <v>ងិន ភា</v>
      </c>
      <c r="C210" s="690" t="str">
        <f>'Tên thang 01-26'!F199</f>
        <v>NGIN PHEA</v>
      </c>
      <c r="D210" s="680">
        <v>76</v>
      </c>
      <c r="E210" s="681">
        <v>31947</v>
      </c>
      <c r="F210" s="682">
        <f t="shared" si="30"/>
        <v>12.04</v>
      </c>
      <c r="G210" s="683">
        <v>384642</v>
      </c>
      <c r="H210" s="682">
        <f>'KL 1'!AG212</f>
        <v>36.729999999999997</v>
      </c>
      <c r="I210" s="683">
        <f t="shared" si="36"/>
        <v>1173413</v>
      </c>
      <c r="J210" s="684"/>
      <c r="K210" s="683"/>
      <c r="L210" s="685">
        <f t="shared" si="31"/>
        <v>1558055</v>
      </c>
      <c r="M210" s="683">
        <f t="shared" si="32"/>
        <v>384642</v>
      </c>
      <c r="N210" s="686">
        <f t="shared" si="37"/>
        <v>24000</v>
      </c>
      <c r="O210" s="687">
        <f t="shared" si="33"/>
        <v>1703</v>
      </c>
      <c r="P210" s="688">
        <f t="shared" si="34"/>
        <v>410345</v>
      </c>
      <c r="Q210" s="689"/>
      <c r="R210" s="683">
        <f t="shared" si="35"/>
        <v>1147710</v>
      </c>
      <c r="S210" s="567"/>
      <c r="U210" s="679"/>
    </row>
    <row r="211" spans="1:21" s="678" customFormat="1" ht="43.95" customHeight="1">
      <c r="A211" s="676">
        <v>197</v>
      </c>
      <c r="B211" s="677" t="str">
        <f>'Tên thang 01-26'!E200</f>
        <v>ប៉ិល សុដា</v>
      </c>
      <c r="C211" s="690" t="str">
        <f>'Tên thang 01-26'!F200</f>
        <v>PEL SODA</v>
      </c>
      <c r="D211" s="680">
        <v>77</v>
      </c>
      <c r="E211" s="681">
        <v>31947</v>
      </c>
      <c r="F211" s="682">
        <f t="shared" si="30"/>
        <v>14.26</v>
      </c>
      <c r="G211" s="683">
        <v>455564</v>
      </c>
      <c r="H211" s="682">
        <f>'KL 1'!AG213</f>
        <v>35.42</v>
      </c>
      <c r="I211" s="683">
        <f t="shared" si="36"/>
        <v>1131563</v>
      </c>
      <c r="J211" s="684"/>
      <c r="K211" s="683"/>
      <c r="L211" s="685">
        <f t="shared" si="31"/>
        <v>1587127</v>
      </c>
      <c r="M211" s="683">
        <f t="shared" si="32"/>
        <v>455564</v>
      </c>
      <c r="N211" s="686">
        <f t="shared" si="37"/>
        <v>24000</v>
      </c>
      <c r="O211" s="687">
        <f t="shared" si="33"/>
        <v>3156</v>
      </c>
      <c r="P211" s="688">
        <f t="shared" si="34"/>
        <v>482720</v>
      </c>
      <c r="Q211" s="689"/>
      <c r="R211" s="683">
        <f t="shared" si="35"/>
        <v>1104407</v>
      </c>
      <c r="S211" s="567"/>
      <c r="U211" s="679"/>
    </row>
    <row r="212" spans="1:21" s="678" customFormat="1" ht="43.95" customHeight="1">
      <c r="A212" s="676">
        <v>198</v>
      </c>
      <c r="B212" s="677" t="str">
        <f>'Tên thang 01-26'!E201</f>
        <v>ទ្រី​ សុខខី</v>
      </c>
      <c r="C212" s="690" t="str">
        <f>'Tên thang 01-26'!F201</f>
        <v>TRY SOKKHEY</v>
      </c>
      <c r="D212" s="680">
        <v>78</v>
      </c>
      <c r="E212" s="681">
        <v>31947</v>
      </c>
      <c r="F212" s="682">
        <f t="shared" si="30"/>
        <v>11.36</v>
      </c>
      <c r="G212" s="683">
        <v>362918</v>
      </c>
      <c r="H212" s="682">
        <f>'KL 1'!AG214</f>
        <v>17.53</v>
      </c>
      <c r="I212" s="683">
        <f t="shared" si="36"/>
        <v>560031</v>
      </c>
      <c r="J212" s="684"/>
      <c r="K212" s="683"/>
      <c r="L212" s="685">
        <f t="shared" si="31"/>
        <v>922949</v>
      </c>
      <c r="M212" s="683">
        <f t="shared" si="32"/>
        <v>362918</v>
      </c>
      <c r="N212" s="686">
        <f t="shared" si="37"/>
        <v>18459</v>
      </c>
      <c r="O212" s="687">
        <f t="shared" si="33"/>
        <v>0</v>
      </c>
      <c r="P212" s="688">
        <f t="shared" si="34"/>
        <v>381377</v>
      </c>
      <c r="Q212" s="689"/>
      <c r="R212" s="683">
        <f t="shared" si="35"/>
        <v>541572</v>
      </c>
      <c r="S212" s="567"/>
      <c r="U212" s="679"/>
    </row>
    <row r="213" spans="1:21" s="678" customFormat="1" ht="43.95" customHeight="1">
      <c r="A213" s="676">
        <v>199</v>
      </c>
      <c r="B213" s="677" t="str">
        <f>'Tên thang 01-26'!E202</f>
        <v>ដែង ស</v>
      </c>
      <c r="C213" s="690" t="str">
        <f>'Tên thang 01-26'!F202</f>
        <v>DENG SOR</v>
      </c>
      <c r="D213" s="680">
        <v>79</v>
      </c>
      <c r="E213" s="681">
        <v>31947</v>
      </c>
      <c r="F213" s="682">
        <f t="shared" si="30"/>
        <v>11.53</v>
      </c>
      <c r="G213" s="683">
        <v>368349</v>
      </c>
      <c r="H213" s="682">
        <f>'KL 1'!AG215</f>
        <v>36.06</v>
      </c>
      <c r="I213" s="683">
        <f t="shared" si="36"/>
        <v>1152009</v>
      </c>
      <c r="J213" s="684"/>
      <c r="K213" s="683"/>
      <c r="L213" s="685">
        <f t="shared" si="31"/>
        <v>1520358</v>
      </c>
      <c r="M213" s="683">
        <f t="shared" si="32"/>
        <v>368349</v>
      </c>
      <c r="N213" s="686">
        <f t="shared" si="37"/>
        <v>24000</v>
      </c>
      <c r="O213" s="687">
        <f t="shared" si="33"/>
        <v>0</v>
      </c>
      <c r="P213" s="688">
        <f t="shared" si="34"/>
        <v>392349</v>
      </c>
      <c r="Q213" s="689"/>
      <c r="R213" s="683">
        <f t="shared" si="35"/>
        <v>1128009</v>
      </c>
      <c r="S213" s="567"/>
      <c r="U213" s="679"/>
    </row>
    <row r="214" spans="1:21" s="678" customFormat="1" ht="43.95" customHeight="1">
      <c r="A214" s="676">
        <v>200</v>
      </c>
      <c r="B214" s="677" t="str">
        <f>'Tên thang 01-26'!E203</f>
        <v>អ៊ុក រដ្ឋ</v>
      </c>
      <c r="C214" s="690" t="str">
        <f>'Tên thang 01-26'!F203</f>
        <v>UK ROTH</v>
      </c>
      <c r="D214" s="680">
        <v>80</v>
      </c>
      <c r="E214" s="681">
        <v>31947</v>
      </c>
      <c r="F214" s="682">
        <f t="shared" si="30"/>
        <v>13.75</v>
      </c>
      <c r="G214" s="683">
        <v>439271</v>
      </c>
      <c r="H214" s="682">
        <f>'KL 1'!AG216</f>
        <v>38.380000000000003</v>
      </c>
      <c r="I214" s="683">
        <f t="shared" si="36"/>
        <v>1226126</v>
      </c>
      <c r="J214" s="684"/>
      <c r="K214" s="683"/>
      <c r="L214" s="685">
        <f t="shared" si="31"/>
        <v>1665397</v>
      </c>
      <c r="M214" s="683">
        <f t="shared" si="32"/>
        <v>439271</v>
      </c>
      <c r="N214" s="686">
        <f t="shared" si="37"/>
        <v>24000</v>
      </c>
      <c r="O214" s="687">
        <f t="shared" si="33"/>
        <v>7070</v>
      </c>
      <c r="P214" s="688">
        <f t="shared" si="34"/>
        <v>470341</v>
      </c>
      <c r="Q214" s="689"/>
      <c r="R214" s="683">
        <f t="shared" si="35"/>
        <v>1195056</v>
      </c>
      <c r="S214" s="567"/>
      <c r="U214" s="679"/>
    </row>
    <row r="215" spans="1:21" s="678" customFormat="1" ht="43.95" customHeight="1">
      <c r="A215" s="676">
        <v>201</v>
      </c>
      <c r="B215" s="677" t="str">
        <f>'Tên thang 01-26'!E204</f>
        <v>ដែង សន</v>
      </c>
      <c r="C215" s="690" t="str">
        <f>'Tên thang 01-26'!F204</f>
        <v>DENG SAN</v>
      </c>
      <c r="D215" s="680">
        <v>81</v>
      </c>
      <c r="E215" s="681">
        <v>31947</v>
      </c>
      <c r="F215" s="682">
        <f t="shared" si="30"/>
        <v>14.1</v>
      </c>
      <c r="G215" s="683">
        <v>450453</v>
      </c>
      <c r="H215" s="682">
        <f>'KL 1'!AG217</f>
        <v>37.840000000000003</v>
      </c>
      <c r="I215" s="683">
        <f t="shared" si="36"/>
        <v>1208874</v>
      </c>
      <c r="J215" s="684"/>
      <c r="K215" s="683"/>
      <c r="L215" s="685">
        <f t="shared" si="31"/>
        <v>1659327</v>
      </c>
      <c r="M215" s="683">
        <f t="shared" si="32"/>
        <v>450453</v>
      </c>
      <c r="N215" s="686">
        <f t="shared" si="37"/>
        <v>24000</v>
      </c>
      <c r="O215" s="687">
        <f t="shared" si="33"/>
        <v>6766</v>
      </c>
      <c r="P215" s="688">
        <f t="shared" si="34"/>
        <v>481219</v>
      </c>
      <c r="Q215" s="689"/>
      <c r="R215" s="683">
        <f t="shared" si="35"/>
        <v>1178108</v>
      </c>
      <c r="S215" s="567"/>
      <c r="U215" s="679"/>
    </row>
    <row r="216" spans="1:21" s="678" customFormat="1" ht="43.95" customHeight="1">
      <c r="A216" s="676">
        <v>202</v>
      </c>
      <c r="B216" s="677" t="str">
        <f>'Tên thang 01-26'!E205</f>
        <v>ញូន ស្រីខួច</v>
      </c>
      <c r="C216" s="690" t="str">
        <f>'Tên thang 01-26'!F205</f>
        <v>NHOUN SREYKHOUCH</v>
      </c>
      <c r="D216" s="680">
        <v>82</v>
      </c>
      <c r="E216" s="681">
        <v>31947</v>
      </c>
      <c r="F216" s="682">
        <f t="shared" si="30"/>
        <v>10.83</v>
      </c>
      <c r="G216" s="683">
        <v>345986</v>
      </c>
      <c r="H216" s="682">
        <f>'KL 1'!AG218</f>
        <v>36.22</v>
      </c>
      <c r="I216" s="683">
        <f t="shared" si="36"/>
        <v>1157120</v>
      </c>
      <c r="J216" s="684"/>
      <c r="K216" s="683"/>
      <c r="L216" s="685">
        <f t="shared" si="31"/>
        <v>1503106</v>
      </c>
      <c r="M216" s="683">
        <f t="shared" si="32"/>
        <v>345986</v>
      </c>
      <c r="N216" s="686">
        <f t="shared" si="37"/>
        <v>24000</v>
      </c>
      <c r="O216" s="687">
        <f t="shared" si="33"/>
        <v>0</v>
      </c>
      <c r="P216" s="688">
        <f t="shared" si="34"/>
        <v>369986</v>
      </c>
      <c r="Q216" s="689"/>
      <c r="R216" s="683">
        <f t="shared" si="35"/>
        <v>1133120</v>
      </c>
      <c r="S216" s="567"/>
      <c r="U216" s="679"/>
    </row>
    <row r="217" spans="1:21" s="678" customFormat="1" ht="39.6" customHeight="1">
      <c r="A217" s="676">
        <v>203</v>
      </c>
      <c r="B217" s="677" t="str">
        <f>'Tên thang 01-26'!E206</f>
        <v>សេក សាមន់</v>
      </c>
      <c r="C217" s="690" t="str">
        <f>'Tên thang 01-26'!F206</f>
        <v>SEK SAMON</v>
      </c>
      <c r="D217" s="680">
        <v>83</v>
      </c>
      <c r="E217" s="681">
        <v>31947</v>
      </c>
      <c r="F217" s="682">
        <f t="shared" si="30"/>
        <v>13.1</v>
      </c>
      <c r="G217" s="683">
        <v>418506</v>
      </c>
      <c r="H217" s="682">
        <f>'KL 1'!AG219</f>
        <v>36</v>
      </c>
      <c r="I217" s="683">
        <f t="shared" si="36"/>
        <v>1150092</v>
      </c>
      <c r="J217" s="684"/>
      <c r="K217" s="683"/>
      <c r="L217" s="685">
        <f t="shared" si="31"/>
        <v>1568598</v>
      </c>
      <c r="M217" s="683">
        <f t="shared" si="32"/>
        <v>418506</v>
      </c>
      <c r="N217" s="686">
        <f t="shared" si="37"/>
        <v>24000</v>
      </c>
      <c r="O217" s="687">
        <f t="shared" si="33"/>
        <v>2230</v>
      </c>
      <c r="P217" s="688">
        <f t="shared" si="34"/>
        <v>444736</v>
      </c>
      <c r="Q217" s="689"/>
      <c r="R217" s="683">
        <f t="shared" si="35"/>
        <v>1123862</v>
      </c>
      <c r="S217" s="567"/>
      <c r="U217" s="679"/>
    </row>
    <row r="218" spans="1:21" s="678" customFormat="1" ht="39.6" customHeight="1">
      <c r="A218" s="676">
        <v>204</v>
      </c>
      <c r="B218" s="677" t="str">
        <f>'Tên thang 01-26'!E207</f>
        <v>សាត ម៉េងហួង</v>
      </c>
      <c r="C218" s="690" t="str">
        <f>'Tên thang 01-26'!F207</f>
        <v>SAT MENGHOUR</v>
      </c>
      <c r="D218" s="680">
        <v>84</v>
      </c>
      <c r="E218" s="681">
        <v>31947</v>
      </c>
      <c r="F218" s="682">
        <f t="shared" si="30"/>
        <v>12.47</v>
      </c>
      <c r="G218" s="683">
        <v>398379</v>
      </c>
      <c r="H218" s="682">
        <f>'KL 1'!AG220</f>
        <v>31.309999999999995</v>
      </c>
      <c r="I218" s="683">
        <f t="shared" si="36"/>
        <v>1000261</v>
      </c>
      <c r="J218" s="684"/>
      <c r="K218" s="683"/>
      <c r="L218" s="685">
        <f t="shared" si="31"/>
        <v>1398640</v>
      </c>
      <c r="M218" s="683">
        <f t="shared" si="32"/>
        <v>398379</v>
      </c>
      <c r="N218" s="686">
        <f t="shared" si="37"/>
        <v>24000</v>
      </c>
      <c r="O218" s="687">
        <f t="shared" si="33"/>
        <v>0</v>
      </c>
      <c r="P218" s="688">
        <f t="shared" si="34"/>
        <v>422379</v>
      </c>
      <c r="Q218" s="689"/>
      <c r="R218" s="683">
        <f t="shared" si="35"/>
        <v>976261</v>
      </c>
      <c r="S218" s="567"/>
      <c r="U218" s="679"/>
    </row>
    <row r="219" spans="1:21" s="678" customFormat="1" ht="39.6" customHeight="1">
      <c r="A219" s="676">
        <v>205</v>
      </c>
      <c r="B219" s="677" t="str">
        <f>'Tên thang 01-26'!E208</f>
        <v>ខ្វាន់ ណាក់</v>
      </c>
      <c r="C219" s="690" t="str">
        <f>'Tên thang 01-26'!F208</f>
        <v>KHVANN NAK</v>
      </c>
      <c r="D219" s="680">
        <v>85</v>
      </c>
      <c r="E219" s="681">
        <v>31947</v>
      </c>
      <c r="F219" s="682">
        <f t="shared" si="30"/>
        <v>12.84</v>
      </c>
      <c r="G219" s="683">
        <v>410199</v>
      </c>
      <c r="H219" s="682">
        <f>'KL 1'!AG221</f>
        <v>39.520000000000003</v>
      </c>
      <c r="I219" s="683">
        <f t="shared" si="36"/>
        <v>1262545</v>
      </c>
      <c r="J219" s="684"/>
      <c r="K219" s="683"/>
      <c r="L219" s="685">
        <f t="shared" si="31"/>
        <v>1672744</v>
      </c>
      <c r="M219" s="683">
        <f t="shared" si="32"/>
        <v>410199</v>
      </c>
      <c r="N219" s="686">
        <f t="shared" si="37"/>
        <v>24000</v>
      </c>
      <c r="O219" s="687">
        <f t="shared" si="33"/>
        <v>7437</v>
      </c>
      <c r="P219" s="688">
        <f t="shared" si="34"/>
        <v>441636</v>
      </c>
      <c r="Q219" s="689"/>
      <c r="R219" s="683">
        <f t="shared" si="35"/>
        <v>1231108</v>
      </c>
      <c r="S219" s="567"/>
      <c r="U219" s="679"/>
    </row>
    <row r="220" spans="1:21" s="678" customFormat="1" ht="39.6" customHeight="1">
      <c r="A220" s="676">
        <v>206</v>
      </c>
      <c r="B220" s="677" t="str">
        <f>'Tên thang 01-26'!E209</f>
        <v>ខា សឿន</v>
      </c>
      <c r="C220" s="690" t="str">
        <f>'Tên thang 01-26'!F209</f>
        <v>KHA SOEUN</v>
      </c>
      <c r="D220" s="680">
        <v>86</v>
      </c>
      <c r="E220" s="681">
        <v>31947</v>
      </c>
      <c r="F220" s="682">
        <f t="shared" si="30"/>
        <v>11.92</v>
      </c>
      <c r="G220" s="683">
        <v>380808</v>
      </c>
      <c r="H220" s="682">
        <f>'KL 1'!AG222</f>
        <v>37.020000000000003</v>
      </c>
      <c r="I220" s="683">
        <f t="shared" si="36"/>
        <v>1182678</v>
      </c>
      <c r="J220" s="684"/>
      <c r="K220" s="683"/>
      <c r="L220" s="685">
        <f t="shared" si="31"/>
        <v>1563486</v>
      </c>
      <c r="M220" s="683">
        <f t="shared" si="32"/>
        <v>380808</v>
      </c>
      <c r="N220" s="686">
        <f t="shared" si="37"/>
        <v>24000</v>
      </c>
      <c r="O220" s="687">
        <f t="shared" si="33"/>
        <v>1974</v>
      </c>
      <c r="P220" s="688">
        <f t="shared" si="34"/>
        <v>406782</v>
      </c>
      <c r="Q220" s="689"/>
      <c r="R220" s="683">
        <f t="shared" si="35"/>
        <v>1156704</v>
      </c>
      <c r="S220" s="567"/>
      <c r="U220" s="679"/>
    </row>
    <row r="221" spans="1:21" s="678" customFormat="1" ht="39.6" customHeight="1">
      <c r="A221" s="676">
        <v>207</v>
      </c>
      <c r="B221" s="677" t="str">
        <f>'Tên thang 01-26'!E210</f>
        <v>ឈូក ឆោម</v>
      </c>
      <c r="C221" s="690" t="str">
        <f>'Tên thang 01-26'!F210</f>
        <v>CHHOUK CHHAOM</v>
      </c>
      <c r="D221" s="680">
        <v>87</v>
      </c>
      <c r="E221" s="681">
        <v>31947</v>
      </c>
      <c r="F221" s="682">
        <f t="shared" si="30"/>
        <v>14.47</v>
      </c>
      <c r="G221" s="683">
        <v>462273</v>
      </c>
      <c r="H221" s="682">
        <f>'KL 1'!AG223</f>
        <v>36.25</v>
      </c>
      <c r="I221" s="683">
        <f t="shared" si="36"/>
        <v>1158079</v>
      </c>
      <c r="J221" s="684"/>
      <c r="K221" s="683"/>
      <c r="L221" s="685">
        <f t="shared" si="31"/>
        <v>1620352</v>
      </c>
      <c r="M221" s="683">
        <f t="shared" si="32"/>
        <v>462273</v>
      </c>
      <c r="N221" s="686">
        <f t="shared" si="37"/>
        <v>24000</v>
      </c>
      <c r="O221" s="687">
        <f t="shared" si="33"/>
        <v>4818</v>
      </c>
      <c r="P221" s="688">
        <f t="shared" si="34"/>
        <v>491091</v>
      </c>
      <c r="Q221" s="689"/>
      <c r="R221" s="683">
        <f t="shared" si="35"/>
        <v>1129261</v>
      </c>
      <c r="S221" s="567"/>
      <c r="U221" s="679"/>
    </row>
    <row r="222" spans="1:21" s="678" customFormat="1" ht="39.6" customHeight="1">
      <c r="A222" s="676">
        <v>208</v>
      </c>
      <c r="B222" s="677" t="str">
        <f>'Tên thang 01-26'!E211</f>
        <v>ឡា រ៉ាសែន</v>
      </c>
      <c r="C222" s="690" t="str">
        <f>'Tên thang 01-26'!F211</f>
        <v>LA RASAEN</v>
      </c>
      <c r="D222" s="680">
        <v>88</v>
      </c>
      <c r="E222" s="681">
        <v>31947</v>
      </c>
      <c r="F222" s="682">
        <f t="shared" si="30"/>
        <v>13.63</v>
      </c>
      <c r="G222" s="683">
        <v>435438</v>
      </c>
      <c r="H222" s="682">
        <f>'KL 1'!AG224</f>
        <v>37.660000000000004</v>
      </c>
      <c r="I222" s="683">
        <f t="shared" si="36"/>
        <v>1203124</v>
      </c>
      <c r="J222" s="684"/>
      <c r="K222" s="683"/>
      <c r="L222" s="685">
        <f t="shared" si="31"/>
        <v>1638562</v>
      </c>
      <c r="M222" s="683">
        <f t="shared" si="32"/>
        <v>435438</v>
      </c>
      <c r="N222" s="686">
        <f t="shared" si="37"/>
        <v>24000</v>
      </c>
      <c r="O222" s="687">
        <f t="shared" si="33"/>
        <v>5728</v>
      </c>
      <c r="P222" s="688">
        <f t="shared" si="34"/>
        <v>465166</v>
      </c>
      <c r="Q222" s="689"/>
      <c r="R222" s="683">
        <f t="shared" si="35"/>
        <v>1173396</v>
      </c>
      <c r="S222" s="567"/>
      <c r="U222" s="679"/>
    </row>
    <row r="223" spans="1:21" s="678" customFormat="1" ht="39.6" customHeight="1">
      <c r="A223" s="676">
        <v>209</v>
      </c>
      <c r="B223" s="677" t="str">
        <f>'Tên thang 01-26'!E212</f>
        <v>អ៊ី សុខួច</v>
      </c>
      <c r="C223" s="690" t="str">
        <f>'Tên thang 01-26'!F212</f>
        <v>Y SOKHOUCH</v>
      </c>
      <c r="D223" s="680">
        <v>89</v>
      </c>
      <c r="E223" s="681">
        <v>31947</v>
      </c>
      <c r="F223" s="682">
        <f t="shared" si="30"/>
        <v>12.31</v>
      </c>
      <c r="G223" s="683">
        <v>393268</v>
      </c>
      <c r="H223" s="682">
        <f>'KL 1'!AG225</f>
        <v>35.32</v>
      </c>
      <c r="I223" s="683">
        <f t="shared" si="36"/>
        <v>1128368</v>
      </c>
      <c r="J223" s="684"/>
      <c r="K223" s="683"/>
      <c r="L223" s="685">
        <f t="shared" si="31"/>
        <v>1521636</v>
      </c>
      <c r="M223" s="683">
        <f t="shared" si="32"/>
        <v>393268</v>
      </c>
      <c r="N223" s="686">
        <f t="shared" si="37"/>
        <v>24000</v>
      </c>
      <c r="O223" s="687">
        <f t="shared" si="33"/>
        <v>0</v>
      </c>
      <c r="P223" s="688">
        <f t="shared" si="34"/>
        <v>417268</v>
      </c>
      <c r="Q223" s="689"/>
      <c r="R223" s="683">
        <f t="shared" si="35"/>
        <v>1104368</v>
      </c>
      <c r="S223" s="567"/>
      <c r="U223" s="679"/>
    </row>
    <row r="224" spans="1:21" s="678" customFormat="1" ht="39.6" customHeight="1">
      <c r="A224" s="676">
        <v>210</v>
      </c>
      <c r="B224" s="677" t="str">
        <f>'Tên thang 01-26'!E213</f>
        <v>សាំ សាន</v>
      </c>
      <c r="C224" s="690" t="str">
        <f>'Tên thang 01-26'!F213</f>
        <v>SOM SAN</v>
      </c>
      <c r="D224" s="680">
        <v>90</v>
      </c>
      <c r="E224" s="681">
        <v>31947</v>
      </c>
      <c r="F224" s="682">
        <f t="shared" si="30"/>
        <v>16.62</v>
      </c>
      <c r="G224" s="683">
        <v>530959</v>
      </c>
      <c r="H224" s="682">
        <f>'KL 1'!AG226</f>
        <v>38.69</v>
      </c>
      <c r="I224" s="683">
        <f t="shared" si="36"/>
        <v>1236029</v>
      </c>
      <c r="J224" s="684"/>
      <c r="K224" s="683"/>
      <c r="L224" s="685">
        <f t="shared" si="31"/>
        <v>1766988</v>
      </c>
      <c r="M224" s="683">
        <f t="shared" si="32"/>
        <v>530959</v>
      </c>
      <c r="N224" s="686">
        <f t="shared" si="37"/>
        <v>24000</v>
      </c>
      <c r="O224" s="687">
        <f t="shared" si="33"/>
        <v>12149</v>
      </c>
      <c r="P224" s="688">
        <f t="shared" si="34"/>
        <v>567108</v>
      </c>
      <c r="Q224" s="689"/>
      <c r="R224" s="683">
        <f t="shared" si="35"/>
        <v>1199880</v>
      </c>
      <c r="S224" s="567"/>
      <c r="U224" s="679"/>
    </row>
    <row r="225" spans="1:21" s="678" customFormat="1" ht="39.6" customHeight="1">
      <c r="A225" s="676">
        <v>211</v>
      </c>
      <c r="B225" s="677" t="str">
        <f>'Tên thang 01-26'!E214</f>
        <v>សំអុន កាសេន</v>
      </c>
      <c r="C225" s="690" t="str">
        <f>'Tên thang 01-26'!F214</f>
        <v>SAMUN KASEN</v>
      </c>
      <c r="D225" s="680">
        <v>91</v>
      </c>
      <c r="E225" s="681">
        <v>31947</v>
      </c>
      <c r="F225" s="682">
        <f t="shared" si="30"/>
        <v>16.36</v>
      </c>
      <c r="G225" s="683">
        <v>522653</v>
      </c>
      <c r="H225" s="682">
        <f>'KL 1'!AG227</f>
        <v>38.54</v>
      </c>
      <c r="I225" s="683">
        <f t="shared" si="36"/>
        <v>1231237</v>
      </c>
      <c r="J225" s="684"/>
      <c r="K225" s="683"/>
      <c r="L225" s="685">
        <f t="shared" si="31"/>
        <v>1753890</v>
      </c>
      <c r="M225" s="683">
        <f t="shared" si="32"/>
        <v>522653</v>
      </c>
      <c r="N225" s="686">
        <f t="shared" si="37"/>
        <v>24000</v>
      </c>
      <c r="O225" s="687">
        <f t="shared" si="33"/>
        <v>11495</v>
      </c>
      <c r="P225" s="688">
        <f t="shared" si="34"/>
        <v>558148</v>
      </c>
      <c r="Q225" s="689"/>
      <c r="R225" s="683">
        <f t="shared" si="35"/>
        <v>1195742</v>
      </c>
      <c r="S225" s="567"/>
      <c r="U225" s="679"/>
    </row>
    <row r="226" spans="1:21" s="678" customFormat="1" ht="39.6" customHeight="1">
      <c r="A226" s="676">
        <v>212</v>
      </c>
      <c r="B226" s="677" t="str">
        <f>'Tên thang 01-26'!E215</f>
        <v>ប៉ែន វី</v>
      </c>
      <c r="C226" s="690" t="str">
        <f>'Tên thang 01-26'!F215</f>
        <v>PEN VY</v>
      </c>
      <c r="D226" s="680">
        <v>92</v>
      </c>
      <c r="E226" s="681">
        <v>31947</v>
      </c>
      <c r="F226" s="682">
        <f t="shared" si="30"/>
        <v>15.21</v>
      </c>
      <c r="G226" s="683">
        <v>485914</v>
      </c>
      <c r="H226" s="682">
        <f>'KL 1'!AG228</f>
        <v>40.21</v>
      </c>
      <c r="I226" s="683">
        <f t="shared" si="36"/>
        <v>1284589</v>
      </c>
      <c r="J226" s="684"/>
      <c r="K226" s="683"/>
      <c r="L226" s="685">
        <f t="shared" si="31"/>
        <v>1770503</v>
      </c>
      <c r="M226" s="683">
        <f t="shared" si="32"/>
        <v>485914</v>
      </c>
      <c r="N226" s="686">
        <f t="shared" si="37"/>
        <v>24000</v>
      </c>
      <c r="O226" s="687">
        <f t="shared" si="33"/>
        <v>12325</v>
      </c>
      <c r="P226" s="688">
        <f t="shared" si="34"/>
        <v>522239</v>
      </c>
      <c r="Q226" s="689"/>
      <c r="R226" s="683">
        <f t="shared" si="35"/>
        <v>1248264</v>
      </c>
      <c r="S226" s="567"/>
      <c r="U226" s="679"/>
    </row>
    <row r="227" spans="1:21" s="678" customFormat="1" ht="42.6" customHeight="1">
      <c r="A227" s="676">
        <v>213</v>
      </c>
      <c r="B227" s="677" t="str">
        <f>'Tên thang 01-26'!E216</f>
        <v>លី​ ភៀត</v>
      </c>
      <c r="C227" s="690" t="str">
        <f>'Tên thang 01-26'!F216</f>
        <v>LY PHIET</v>
      </c>
      <c r="D227" s="680">
        <v>93</v>
      </c>
      <c r="E227" s="681">
        <v>31947</v>
      </c>
      <c r="F227" s="682">
        <f t="shared" si="30"/>
        <v>15.84</v>
      </c>
      <c r="G227" s="683">
        <v>506040</v>
      </c>
      <c r="H227" s="682">
        <f>'KL 1'!AG229</f>
        <v>39.409999999999997</v>
      </c>
      <c r="I227" s="683">
        <f t="shared" si="36"/>
        <v>1259031</v>
      </c>
      <c r="J227" s="684"/>
      <c r="K227" s="683"/>
      <c r="L227" s="685">
        <f t="shared" si="31"/>
        <v>1765071</v>
      </c>
      <c r="M227" s="683">
        <f t="shared" si="32"/>
        <v>506040</v>
      </c>
      <c r="N227" s="686">
        <f t="shared" si="37"/>
        <v>24000</v>
      </c>
      <c r="O227" s="687">
        <f t="shared" si="33"/>
        <v>12054</v>
      </c>
      <c r="P227" s="688">
        <f t="shared" si="34"/>
        <v>542094</v>
      </c>
      <c r="Q227" s="689"/>
      <c r="R227" s="683">
        <f t="shared" si="35"/>
        <v>1222977</v>
      </c>
      <c r="S227" s="567"/>
      <c r="U227" s="679"/>
    </row>
    <row r="228" spans="1:21" s="678" customFormat="1" ht="42.6" customHeight="1">
      <c r="A228" s="676">
        <v>214</v>
      </c>
      <c r="B228" s="677" t="str">
        <f>'Tên thang 01-26'!E217</f>
        <v>ហ៊ុយ ចយ</v>
      </c>
      <c r="C228" s="690" t="str">
        <f>'Tên thang 01-26'!F217</f>
        <v>HUY CHOY</v>
      </c>
      <c r="D228" s="680">
        <v>94</v>
      </c>
      <c r="E228" s="681">
        <v>31947</v>
      </c>
      <c r="F228" s="682">
        <f t="shared" si="30"/>
        <v>11.95</v>
      </c>
      <c r="G228" s="683">
        <v>381767</v>
      </c>
      <c r="H228" s="682">
        <f>'KL 1'!AG230</f>
        <v>13.53</v>
      </c>
      <c r="I228" s="683">
        <f t="shared" si="36"/>
        <v>432243</v>
      </c>
      <c r="J228" s="684"/>
      <c r="K228" s="683"/>
      <c r="L228" s="685">
        <f t="shared" si="31"/>
        <v>814010</v>
      </c>
      <c r="M228" s="683">
        <f t="shared" si="32"/>
        <v>381767</v>
      </c>
      <c r="N228" s="686">
        <f t="shared" si="37"/>
        <v>16280</v>
      </c>
      <c r="O228" s="687">
        <f t="shared" si="33"/>
        <v>0</v>
      </c>
      <c r="P228" s="688">
        <f t="shared" si="34"/>
        <v>398047</v>
      </c>
      <c r="Q228" s="689"/>
      <c r="R228" s="683">
        <f t="shared" si="35"/>
        <v>415963</v>
      </c>
      <c r="S228" s="567"/>
      <c r="U228" s="679"/>
    </row>
    <row r="229" spans="1:21" s="678" customFormat="1" ht="42.6" customHeight="1">
      <c r="A229" s="676">
        <v>215</v>
      </c>
      <c r="B229" s="677" t="str">
        <f>'Tên thang 01-26'!E218</f>
        <v>ឈាង ឆេន</v>
      </c>
      <c r="C229" s="690" t="str">
        <f>'Tên thang 01-26'!F218</f>
        <v>CHHEANG CHHEN</v>
      </c>
      <c r="D229" s="680">
        <v>95</v>
      </c>
      <c r="E229" s="681">
        <v>31947</v>
      </c>
      <c r="F229" s="682">
        <f t="shared" si="30"/>
        <v>13.3</v>
      </c>
      <c r="G229" s="683">
        <v>424895</v>
      </c>
      <c r="H229" s="682">
        <f>'KL 1'!AG231</f>
        <v>38.270000000000003</v>
      </c>
      <c r="I229" s="683">
        <f t="shared" si="36"/>
        <v>1222612</v>
      </c>
      <c r="J229" s="684"/>
      <c r="K229" s="683"/>
      <c r="L229" s="685">
        <f t="shared" si="31"/>
        <v>1647507</v>
      </c>
      <c r="M229" s="683">
        <f t="shared" si="32"/>
        <v>424895</v>
      </c>
      <c r="N229" s="686">
        <f t="shared" si="37"/>
        <v>24000</v>
      </c>
      <c r="O229" s="687">
        <f t="shared" si="33"/>
        <v>6175</v>
      </c>
      <c r="P229" s="688">
        <f t="shared" si="34"/>
        <v>455070</v>
      </c>
      <c r="Q229" s="689"/>
      <c r="R229" s="683">
        <f t="shared" si="35"/>
        <v>1192437</v>
      </c>
      <c r="S229" s="567"/>
      <c r="U229" s="679"/>
    </row>
    <row r="230" spans="1:21" s="678" customFormat="1" ht="42.6" customHeight="1">
      <c r="A230" s="676">
        <v>216</v>
      </c>
      <c r="B230" s="677" t="str">
        <f>'Tên thang 01-26'!E219</f>
        <v>ប៉ឹង តូច</v>
      </c>
      <c r="C230" s="690" t="str">
        <f>'Tên thang 01-26'!F219</f>
        <v>POENG TOUCH</v>
      </c>
      <c r="D230" s="680">
        <v>96</v>
      </c>
      <c r="E230" s="681">
        <v>31947</v>
      </c>
      <c r="F230" s="682">
        <f t="shared" si="30"/>
        <v>17.8</v>
      </c>
      <c r="G230" s="683">
        <v>568657</v>
      </c>
      <c r="H230" s="682">
        <f>'KL 1'!AG232</f>
        <v>38.89</v>
      </c>
      <c r="I230" s="683">
        <f t="shared" si="36"/>
        <v>1242419</v>
      </c>
      <c r="J230" s="684"/>
      <c r="K230" s="683"/>
      <c r="L230" s="685">
        <f t="shared" si="31"/>
        <v>1811076</v>
      </c>
      <c r="M230" s="683">
        <f t="shared" si="32"/>
        <v>568657</v>
      </c>
      <c r="N230" s="686">
        <f t="shared" si="37"/>
        <v>24000</v>
      </c>
      <c r="O230" s="687">
        <f t="shared" si="33"/>
        <v>14354</v>
      </c>
      <c r="P230" s="688">
        <f t="shared" si="34"/>
        <v>607011</v>
      </c>
      <c r="Q230" s="689"/>
      <c r="R230" s="683">
        <f t="shared" si="35"/>
        <v>1204065</v>
      </c>
      <c r="S230" s="567"/>
      <c r="U230" s="679"/>
    </row>
    <row r="231" spans="1:21" s="678" customFormat="1" ht="42.6" customHeight="1">
      <c r="A231" s="676">
        <v>217</v>
      </c>
      <c r="B231" s="677" t="str">
        <f>'Tên thang 01-26'!E220</f>
        <v>ម៉ន ស៊ីន</v>
      </c>
      <c r="C231" s="690" t="str">
        <f>'Tên thang 01-26'!F220</f>
        <v>MORN SIN</v>
      </c>
      <c r="D231" s="680">
        <v>97</v>
      </c>
      <c r="E231" s="681">
        <v>31947</v>
      </c>
      <c r="F231" s="682">
        <f t="shared" si="30"/>
        <v>14.13</v>
      </c>
      <c r="G231" s="683">
        <v>451411</v>
      </c>
      <c r="H231" s="682">
        <f>'KL 1'!AG233</f>
        <v>37.029999999999994</v>
      </c>
      <c r="I231" s="683">
        <f t="shared" si="36"/>
        <v>1182997</v>
      </c>
      <c r="J231" s="684"/>
      <c r="K231" s="683"/>
      <c r="L231" s="685">
        <f t="shared" si="31"/>
        <v>1634408</v>
      </c>
      <c r="M231" s="683">
        <f t="shared" si="32"/>
        <v>451411</v>
      </c>
      <c r="N231" s="686">
        <f t="shared" si="37"/>
        <v>24000</v>
      </c>
      <c r="O231" s="687">
        <f t="shared" si="33"/>
        <v>5520</v>
      </c>
      <c r="P231" s="688">
        <f t="shared" si="34"/>
        <v>480931</v>
      </c>
      <c r="Q231" s="689"/>
      <c r="R231" s="683">
        <f t="shared" si="35"/>
        <v>1153477</v>
      </c>
      <c r="S231" s="567"/>
      <c r="U231" s="679"/>
    </row>
    <row r="232" spans="1:21" s="678" customFormat="1" ht="42.6" customHeight="1">
      <c r="A232" s="676">
        <v>218</v>
      </c>
      <c r="B232" s="677" t="str">
        <f>'Tên thang 01-26'!E221</f>
        <v>យឿន យួន</v>
      </c>
      <c r="C232" s="690" t="str">
        <f>'Tên thang 01-26'!F221</f>
        <v>YOEUN YOUN</v>
      </c>
      <c r="D232" s="680">
        <v>98</v>
      </c>
      <c r="E232" s="681">
        <v>31947</v>
      </c>
      <c r="F232" s="682">
        <f t="shared" si="30"/>
        <v>16.670000000000002</v>
      </c>
      <c r="G232" s="683">
        <v>532556</v>
      </c>
      <c r="H232" s="682">
        <f>'KL 1'!AG234</f>
        <v>38.590000000000003</v>
      </c>
      <c r="I232" s="683">
        <f t="shared" si="36"/>
        <v>1232835</v>
      </c>
      <c r="J232" s="684"/>
      <c r="K232" s="683"/>
      <c r="L232" s="685">
        <f t="shared" si="31"/>
        <v>1765391</v>
      </c>
      <c r="M232" s="683">
        <f t="shared" si="32"/>
        <v>532556</v>
      </c>
      <c r="N232" s="686">
        <f t="shared" si="37"/>
        <v>24000</v>
      </c>
      <c r="O232" s="687">
        <f t="shared" si="33"/>
        <v>12070</v>
      </c>
      <c r="P232" s="688">
        <f t="shared" si="34"/>
        <v>568626</v>
      </c>
      <c r="Q232" s="689"/>
      <c r="R232" s="683">
        <f t="shared" si="35"/>
        <v>1196765</v>
      </c>
      <c r="S232" s="567"/>
      <c r="U232" s="679"/>
    </row>
    <row r="233" spans="1:21" s="678" customFormat="1" ht="42.6" customHeight="1">
      <c r="A233" s="676">
        <v>219</v>
      </c>
      <c r="B233" s="677" t="str">
        <f>'Tên thang 01-26'!E222</f>
        <v>ណាក់ ញ៉ាញ់</v>
      </c>
      <c r="C233" s="690" t="str">
        <f>'Tên thang 01-26'!F222</f>
        <v>NAK NHANH</v>
      </c>
      <c r="D233" s="680">
        <v>99</v>
      </c>
      <c r="E233" s="681">
        <v>31947</v>
      </c>
      <c r="F233" s="682">
        <f t="shared" si="30"/>
        <v>16.52</v>
      </c>
      <c r="G233" s="683">
        <v>527764</v>
      </c>
      <c r="H233" s="682">
        <f>'KL 1'!AG235</f>
        <v>36.65</v>
      </c>
      <c r="I233" s="683">
        <f t="shared" si="36"/>
        <v>1170858</v>
      </c>
      <c r="J233" s="684"/>
      <c r="K233" s="683"/>
      <c r="L233" s="685">
        <f t="shared" si="31"/>
        <v>1698622</v>
      </c>
      <c r="M233" s="683">
        <f t="shared" si="32"/>
        <v>527764</v>
      </c>
      <c r="N233" s="686">
        <f t="shared" si="37"/>
        <v>24000</v>
      </c>
      <c r="O233" s="687">
        <f t="shared" si="33"/>
        <v>8731</v>
      </c>
      <c r="P233" s="688">
        <f t="shared" si="34"/>
        <v>560495</v>
      </c>
      <c r="Q233" s="689"/>
      <c r="R233" s="683">
        <f t="shared" si="35"/>
        <v>1138127</v>
      </c>
      <c r="S233" s="567"/>
      <c r="U233" s="679"/>
    </row>
    <row r="234" spans="1:21" s="678" customFormat="1" ht="42.6" customHeight="1">
      <c r="A234" s="676">
        <v>220</v>
      </c>
      <c r="B234" s="677" t="str">
        <f>'Tên thang 01-26'!E223</f>
        <v>មាន រិទ្ធី</v>
      </c>
      <c r="C234" s="690" t="str">
        <f>'Tên thang 01-26'!F223</f>
        <v>MEAN RITHY</v>
      </c>
      <c r="D234" s="680">
        <v>100</v>
      </c>
      <c r="E234" s="681">
        <v>31947</v>
      </c>
      <c r="F234" s="682">
        <f t="shared" si="30"/>
        <v>15.58</v>
      </c>
      <c r="G234" s="683">
        <v>497734</v>
      </c>
      <c r="H234" s="682">
        <f>'KL 1'!AG236</f>
        <v>37.5</v>
      </c>
      <c r="I234" s="683">
        <f t="shared" si="36"/>
        <v>1198013</v>
      </c>
      <c r="J234" s="684"/>
      <c r="K234" s="683"/>
      <c r="L234" s="685">
        <f t="shared" si="31"/>
        <v>1695747</v>
      </c>
      <c r="M234" s="683">
        <f t="shared" si="32"/>
        <v>497734</v>
      </c>
      <c r="N234" s="686">
        <f t="shared" si="37"/>
        <v>24000</v>
      </c>
      <c r="O234" s="687">
        <f t="shared" si="33"/>
        <v>8587</v>
      </c>
      <c r="P234" s="688">
        <f t="shared" si="34"/>
        <v>530321</v>
      </c>
      <c r="Q234" s="689"/>
      <c r="R234" s="683">
        <f t="shared" si="35"/>
        <v>1165426</v>
      </c>
      <c r="S234" s="567"/>
      <c r="U234" s="679"/>
    </row>
    <row r="235" spans="1:21" s="678" customFormat="1" ht="42.6" customHeight="1">
      <c r="A235" s="676">
        <v>221</v>
      </c>
      <c r="B235" s="677" t="str">
        <f>'Tên thang 01-26'!E224</f>
        <v>ក្រឹង រ៉ែម</v>
      </c>
      <c r="C235" s="690" t="str">
        <f>'Tên thang 01-26'!F224</f>
        <v>KROENG REM</v>
      </c>
      <c r="D235" s="680">
        <v>101</v>
      </c>
      <c r="E235" s="681">
        <v>31947</v>
      </c>
      <c r="F235" s="682">
        <f t="shared" si="30"/>
        <v>17.239999999999998</v>
      </c>
      <c r="G235" s="683">
        <v>550766</v>
      </c>
      <c r="H235" s="682">
        <f>'KL 1'!AG237</f>
        <v>39.130000000000003</v>
      </c>
      <c r="I235" s="683">
        <f t="shared" si="36"/>
        <v>1250086</v>
      </c>
      <c r="J235" s="684"/>
      <c r="K235" s="683"/>
      <c r="L235" s="685">
        <f t="shared" si="31"/>
        <v>1800852</v>
      </c>
      <c r="M235" s="683">
        <f t="shared" si="32"/>
        <v>550766</v>
      </c>
      <c r="N235" s="686">
        <f t="shared" si="37"/>
        <v>24000</v>
      </c>
      <c r="O235" s="687">
        <f t="shared" si="33"/>
        <v>13843</v>
      </c>
      <c r="P235" s="688">
        <f t="shared" si="34"/>
        <v>588609</v>
      </c>
      <c r="Q235" s="689"/>
      <c r="R235" s="683">
        <f t="shared" si="35"/>
        <v>1212243</v>
      </c>
      <c r="S235" s="567"/>
      <c r="U235" s="679"/>
    </row>
    <row r="236" spans="1:21" s="678" customFormat="1" ht="42.6" customHeight="1">
      <c r="A236" s="676">
        <v>222</v>
      </c>
      <c r="B236" s="677" t="str">
        <f>'Tên thang 01-26'!E225</f>
        <v>អ៊ុក សុខគួន</v>
      </c>
      <c r="C236" s="690" t="str">
        <f>'Tên thang 01-26'!F225</f>
        <v>UK SOKOURN</v>
      </c>
      <c r="D236" s="680">
        <v>102</v>
      </c>
      <c r="E236" s="681">
        <v>31947</v>
      </c>
      <c r="F236" s="682">
        <f t="shared" si="30"/>
        <v>15.16</v>
      </c>
      <c r="G236" s="683">
        <v>484317</v>
      </c>
      <c r="H236" s="682">
        <f>'KL 1'!AG238</f>
        <v>38.119999999999997</v>
      </c>
      <c r="I236" s="683">
        <f t="shared" si="36"/>
        <v>1217820</v>
      </c>
      <c r="J236" s="684"/>
      <c r="K236" s="683"/>
      <c r="L236" s="685">
        <f t="shared" si="31"/>
        <v>1702137</v>
      </c>
      <c r="M236" s="683">
        <f t="shared" si="32"/>
        <v>484317</v>
      </c>
      <c r="N236" s="686">
        <f t="shared" si="37"/>
        <v>24000</v>
      </c>
      <c r="O236" s="687">
        <f t="shared" si="33"/>
        <v>8907</v>
      </c>
      <c r="P236" s="688">
        <f t="shared" si="34"/>
        <v>517224</v>
      </c>
      <c r="Q236" s="689"/>
      <c r="R236" s="683">
        <f t="shared" si="35"/>
        <v>1184913</v>
      </c>
      <c r="S236" s="567"/>
      <c r="U236" s="679"/>
    </row>
    <row r="237" spans="1:21" s="678" customFormat="1" ht="42.6" customHeight="1">
      <c r="A237" s="676">
        <v>223</v>
      </c>
      <c r="B237" s="677" t="str">
        <f>'Tên thang 01-26'!E226</f>
        <v>ហ៊ាង ហេន</v>
      </c>
      <c r="C237" s="690" t="str">
        <f>'Tên thang 01-26'!F226</f>
        <v>HEANG HEN</v>
      </c>
      <c r="D237" s="680">
        <v>103</v>
      </c>
      <c r="E237" s="681">
        <v>31947</v>
      </c>
      <c r="F237" s="682">
        <f t="shared" si="30"/>
        <v>18.309999999999999</v>
      </c>
      <c r="G237" s="683">
        <v>584950</v>
      </c>
      <c r="H237" s="682">
        <f>'KL 1'!AG239</f>
        <v>40.43</v>
      </c>
      <c r="I237" s="683">
        <f t="shared" si="36"/>
        <v>1291617</v>
      </c>
      <c r="J237" s="684"/>
      <c r="K237" s="683"/>
      <c r="L237" s="685">
        <f t="shared" si="31"/>
        <v>1876567</v>
      </c>
      <c r="M237" s="683">
        <f t="shared" si="32"/>
        <v>584950</v>
      </c>
      <c r="N237" s="686">
        <f t="shared" si="37"/>
        <v>24000</v>
      </c>
      <c r="O237" s="687">
        <f t="shared" si="33"/>
        <v>17628</v>
      </c>
      <c r="P237" s="688">
        <f t="shared" si="34"/>
        <v>626578</v>
      </c>
      <c r="Q237" s="689"/>
      <c r="R237" s="683">
        <f t="shared" si="35"/>
        <v>1249989</v>
      </c>
      <c r="S237" s="567"/>
      <c r="U237" s="679"/>
    </row>
    <row r="238" spans="1:21" s="678" customFormat="1" ht="42.6" customHeight="1">
      <c r="A238" s="676">
        <v>224</v>
      </c>
      <c r="B238" s="677" t="str">
        <f>'Tên thang 01-26'!E227</f>
        <v>ហួន យ៉េ</v>
      </c>
      <c r="C238" s="690" t="str">
        <f>'Tên thang 01-26'!F227</f>
        <v>HOURN YE</v>
      </c>
      <c r="D238" s="680">
        <v>104</v>
      </c>
      <c r="E238" s="681">
        <v>31947</v>
      </c>
      <c r="F238" s="682">
        <f t="shared" si="30"/>
        <v>13.72</v>
      </c>
      <c r="G238" s="683">
        <v>438313</v>
      </c>
      <c r="H238" s="682">
        <f>'KL 1'!AG240</f>
        <v>31.06</v>
      </c>
      <c r="I238" s="683">
        <f t="shared" si="36"/>
        <v>992274</v>
      </c>
      <c r="J238" s="684"/>
      <c r="K238" s="683"/>
      <c r="L238" s="685">
        <f t="shared" si="31"/>
        <v>1430587</v>
      </c>
      <c r="M238" s="683">
        <f t="shared" si="32"/>
        <v>438313</v>
      </c>
      <c r="N238" s="686">
        <f t="shared" si="37"/>
        <v>24000</v>
      </c>
      <c r="O238" s="687">
        <f t="shared" si="33"/>
        <v>0</v>
      </c>
      <c r="P238" s="688">
        <f t="shared" si="34"/>
        <v>462313</v>
      </c>
      <c r="Q238" s="689"/>
      <c r="R238" s="683">
        <f t="shared" si="35"/>
        <v>968274</v>
      </c>
      <c r="S238" s="567"/>
      <c r="U238" s="679"/>
    </row>
    <row r="239" spans="1:21" s="678" customFormat="1" ht="42.6" customHeight="1">
      <c r="A239" s="676">
        <v>225</v>
      </c>
      <c r="B239" s="677" t="str">
        <f>'Tên thang 01-26'!E228</f>
        <v>លី ចិត្តត្រា</v>
      </c>
      <c r="C239" s="690" t="str">
        <f>'Tên thang 01-26'!F228</f>
        <v>LY CHITRA</v>
      </c>
      <c r="D239" s="680">
        <v>105</v>
      </c>
      <c r="E239" s="681">
        <v>31947</v>
      </c>
      <c r="F239" s="682">
        <f t="shared" si="30"/>
        <v>15.68</v>
      </c>
      <c r="G239" s="683">
        <v>500929</v>
      </c>
      <c r="H239" s="682">
        <f>'KL 1'!AG241</f>
        <v>36.9</v>
      </c>
      <c r="I239" s="683">
        <f t="shared" si="36"/>
        <v>1178844</v>
      </c>
      <c r="J239" s="684"/>
      <c r="K239" s="683"/>
      <c r="L239" s="685">
        <f t="shared" si="31"/>
        <v>1679773</v>
      </c>
      <c r="M239" s="683">
        <f t="shared" si="32"/>
        <v>500929</v>
      </c>
      <c r="N239" s="686">
        <f t="shared" si="37"/>
        <v>24000</v>
      </c>
      <c r="O239" s="687">
        <f t="shared" si="33"/>
        <v>7789</v>
      </c>
      <c r="P239" s="688">
        <f t="shared" si="34"/>
        <v>532718</v>
      </c>
      <c r="Q239" s="689"/>
      <c r="R239" s="683">
        <f t="shared" si="35"/>
        <v>1147055</v>
      </c>
      <c r="S239" s="567"/>
      <c r="U239" s="679"/>
    </row>
    <row r="240" spans="1:21" s="678" customFormat="1" ht="42.6" customHeight="1">
      <c r="A240" s="676">
        <v>226</v>
      </c>
      <c r="B240" s="677" t="str">
        <f>'Tên thang 01-26'!E229</f>
        <v>សល់ សុភី</v>
      </c>
      <c r="C240" s="690" t="str">
        <f>'Tên thang 01-26'!F229</f>
        <v>SAL SOPHY</v>
      </c>
      <c r="D240" s="680">
        <v>106</v>
      </c>
      <c r="E240" s="681">
        <v>31947</v>
      </c>
      <c r="F240" s="682">
        <f t="shared" si="30"/>
        <v>14.09</v>
      </c>
      <c r="G240" s="683">
        <v>450133</v>
      </c>
      <c r="H240" s="682">
        <f>'KL 1'!AG242</f>
        <v>40.930000000000007</v>
      </c>
      <c r="I240" s="683">
        <f t="shared" si="36"/>
        <v>1307591</v>
      </c>
      <c r="J240" s="684"/>
      <c r="K240" s="683"/>
      <c r="L240" s="685">
        <f t="shared" si="31"/>
        <v>1757724</v>
      </c>
      <c r="M240" s="683">
        <f t="shared" si="32"/>
        <v>450133</v>
      </c>
      <c r="N240" s="686">
        <f t="shared" si="37"/>
        <v>24000</v>
      </c>
      <c r="O240" s="687">
        <f t="shared" si="33"/>
        <v>11686</v>
      </c>
      <c r="P240" s="688">
        <f t="shared" si="34"/>
        <v>485819</v>
      </c>
      <c r="Q240" s="689"/>
      <c r="R240" s="683">
        <f t="shared" si="35"/>
        <v>1271905</v>
      </c>
      <c r="S240" s="567"/>
      <c r="U240" s="679"/>
    </row>
    <row r="241" spans="1:21" s="678" customFormat="1" ht="42.6" customHeight="1">
      <c r="A241" s="676">
        <v>227</v>
      </c>
      <c r="B241" s="677" t="str">
        <f>'Tên thang 01-26'!E230</f>
        <v>ម៉ោន ហ៊ុំ</v>
      </c>
      <c r="C241" s="690" t="str">
        <f>'Tên thang 01-26'!F230</f>
        <v>MORN HUM</v>
      </c>
      <c r="D241" s="680">
        <v>107</v>
      </c>
      <c r="E241" s="681">
        <v>31947</v>
      </c>
      <c r="F241" s="682">
        <f t="shared" si="30"/>
        <v>15.66</v>
      </c>
      <c r="G241" s="683">
        <v>500290</v>
      </c>
      <c r="H241" s="682">
        <f>'KL 1'!AG243</f>
        <v>38.599999999999994</v>
      </c>
      <c r="I241" s="683">
        <f t="shared" si="36"/>
        <v>1233154</v>
      </c>
      <c r="J241" s="684"/>
      <c r="K241" s="683"/>
      <c r="L241" s="685">
        <f t="shared" si="31"/>
        <v>1733444</v>
      </c>
      <c r="M241" s="683">
        <f t="shared" si="32"/>
        <v>500290</v>
      </c>
      <c r="N241" s="686">
        <f t="shared" si="37"/>
        <v>24000</v>
      </c>
      <c r="O241" s="687">
        <f t="shared" si="33"/>
        <v>10472</v>
      </c>
      <c r="P241" s="688">
        <f t="shared" si="34"/>
        <v>534762</v>
      </c>
      <c r="Q241" s="689"/>
      <c r="R241" s="683">
        <f t="shared" si="35"/>
        <v>1198682</v>
      </c>
      <c r="S241" s="567"/>
      <c r="U241" s="679"/>
    </row>
    <row r="242" spans="1:21" s="678" customFormat="1" ht="42.6" customHeight="1">
      <c r="A242" s="676">
        <v>228</v>
      </c>
      <c r="B242" s="677" t="str">
        <f>'Tên thang 01-26'!E231</f>
        <v>លី សឹង</v>
      </c>
      <c r="C242" s="690" t="str">
        <f>'Tên thang 01-26'!F231</f>
        <v>LY SOENG</v>
      </c>
      <c r="D242" s="680">
        <v>108</v>
      </c>
      <c r="E242" s="681">
        <v>31947</v>
      </c>
      <c r="F242" s="682">
        <f t="shared" si="30"/>
        <v>16.850000000000001</v>
      </c>
      <c r="G242" s="683">
        <v>538307</v>
      </c>
      <c r="H242" s="682">
        <f>'KL 1'!AG244</f>
        <v>42.239999999999995</v>
      </c>
      <c r="I242" s="683">
        <f t="shared" si="36"/>
        <v>1349441</v>
      </c>
      <c r="J242" s="684"/>
      <c r="K242" s="683"/>
      <c r="L242" s="685">
        <f t="shared" si="31"/>
        <v>1887748</v>
      </c>
      <c r="M242" s="683">
        <f t="shared" si="32"/>
        <v>538307</v>
      </c>
      <c r="N242" s="686">
        <f t="shared" si="37"/>
        <v>24000</v>
      </c>
      <c r="O242" s="687">
        <f t="shared" si="33"/>
        <v>18187</v>
      </c>
      <c r="P242" s="688">
        <f t="shared" si="34"/>
        <v>580494</v>
      </c>
      <c r="Q242" s="689"/>
      <c r="R242" s="683">
        <f t="shared" si="35"/>
        <v>1307254</v>
      </c>
      <c r="S242" s="567"/>
      <c r="U242" s="679"/>
    </row>
    <row r="243" spans="1:21" s="678" customFormat="1" ht="42.6" customHeight="1">
      <c r="A243" s="676">
        <v>229</v>
      </c>
      <c r="B243" s="677" t="str">
        <f>'Tên thang 01-26'!E232</f>
        <v>ងិន ម៉ុត</v>
      </c>
      <c r="C243" s="690" t="str">
        <f>'Tên thang 01-26'!F232</f>
        <v>NGIN MOT</v>
      </c>
      <c r="D243" s="680">
        <v>109</v>
      </c>
      <c r="E243" s="681">
        <v>31947</v>
      </c>
      <c r="F243" s="682">
        <f t="shared" si="30"/>
        <v>13.93</v>
      </c>
      <c r="G243" s="683">
        <v>445022</v>
      </c>
      <c r="H243" s="682">
        <f>'KL 1'!AG245</f>
        <v>34.169999999999995</v>
      </c>
      <c r="I243" s="683">
        <f t="shared" si="36"/>
        <v>1091629</v>
      </c>
      <c r="J243" s="684"/>
      <c r="K243" s="683"/>
      <c r="L243" s="685">
        <f t="shared" si="31"/>
        <v>1536651</v>
      </c>
      <c r="M243" s="683">
        <f t="shared" si="32"/>
        <v>445022</v>
      </c>
      <c r="N243" s="686">
        <f t="shared" si="37"/>
        <v>24000</v>
      </c>
      <c r="O243" s="687">
        <f t="shared" si="33"/>
        <v>633</v>
      </c>
      <c r="P243" s="688">
        <f t="shared" si="34"/>
        <v>469655</v>
      </c>
      <c r="Q243" s="689"/>
      <c r="R243" s="683">
        <f t="shared" si="35"/>
        <v>1066996</v>
      </c>
      <c r="S243" s="567"/>
      <c r="U243" s="679"/>
    </row>
    <row r="244" spans="1:21" s="678" customFormat="1" ht="42.6" customHeight="1">
      <c r="A244" s="676">
        <v>230</v>
      </c>
      <c r="B244" s="677" t="str">
        <f>'Tên thang 01-26'!E233</f>
        <v>វ៉ន សុភី</v>
      </c>
      <c r="C244" s="690" t="str">
        <f>'Tên thang 01-26'!F233</f>
        <v>VORN SOPHY</v>
      </c>
      <c r="D244" s="680">
        <v>110</v>
      </c>
      <c r="E244" s="681">
        <v>31947</v>
      </c>
      <c r="F244" s="682">
        <f t="shared" si="30"/>
        <v>12.46</v>
      </c>
      <c r="G244" s="683">
        <v>398060</v>
      </c>
      <c r="H244" s="682">
        <f>'KL 1'!AG246</f>
        <v>31.49</v>
      </c>
      <c r="I244" s="683">
        <f t="shared" si="36"/>
        <v>1006011</v>
      </c>
      <c r="J244" s="684"/>
      <c r="K244" s="683"/>
      <c r="L244" s="685">
        <f t="shared" si="31"/>
        <v>1404071</v>
      </c>
      <c r="M244" s="683">
        <f t="shared" si="32"/>
        <v>398060</v>
      </c>
      <c r="N244" s="686">
        <f t="shared" si="37"/>
        <v>24000</v>
      </c>
      <c r="O244" s="687">
        <f t="shared" si="33"/>
        <v>0</v>
      </c>
      <c r="P244" s="688">
        <f t="shared" si="34"/>
        <v>422060</v>
      </c>
      <c r="Q244" s="689"/>
      <c r="R244" s="683">
        <f t="shared" si="35"/>
        <v>982011</v>
      </c>
      <c r="S244" s="567"/>
      <c r="U244" s="679"/>
    </row>
    <row r="245" spans="1:21" s="678" customFormat="1" ht="42.6" customHeight="1">
      <c r="A245" s="676">
        <v>231</v>
      </c>
      <c r="B245" s="677" t="str">
        <f>'Tên thang 01-26'!E234</f>
        <v>កោ វុទ្ធី</v>
      </c>
      <c r="C245" s="690" t="str">
        <f>'Tên thang 01-26'!F234</f>
        <v>KOR VUTHY</v>
      </c>
      <c r="D245" s="680">
        <v>111</v>
      </c>
      <c r="E245" s="681">
        <v>31947</v>
      </c>
      <c r="F245" s="682">
        <f t="shared" ref="F245:F308" si="38">ROUND(G245/31947,2)</f>
        <v>14.29</v>
      </c>
      <c r="G245" s="683">
        <v>456523</v>
      </c>
      <c r="H245" s="682">
        <f>'KL 1'!AG247</f>
        <v>34.020000000000003</v>
      </c>
      <c r="I245" s="683">
        <f t="shared" si="36"/>
        <v>1086837</v>
      </c>
      <c r="J245" s="684"/>
      <c r="K245" s="683"/>
      <c r="L245" s="685">
        <f t="shared" ref="L245:L308" si="39">G245+I245+K245+J245</f>
        <v>1543360</v>
      </c>
      <c r="M245" s="683">
        <f t="shared" ref="M245:M308" si="40">G245</f>
        <v>456523</v>
      </c>
      <c r="N245" s="686">
        <f t="shared" si="37"/>
        <v>24000</v>
      </c>
      <c r="O245" s="687">
        <f t="shared" ref="O245:O308" si="41">ROUND(IF((L245-(K245+N245))&lt;=1500000,0,IF(AND((L245-(K245+N245))&gt;1500000,(L245-(K245+N245))&lt;=2000000),(L245-(K245+N245))*5%-75000,IF(AND((L245-(K245+N245))&gt;2000000,(L245-(K245+N245))&lt;=8500000),(L245-(K245+N245))*10%-175000))),0)</f>
        <v>968</v>
      </c>
      <c r="P245" s="688">
        <f t="shared" ref="P245:P308" si="42">SUM(M245:O245)</f>
        <v>481491</v>
      </c>
      <c r="Q245" s="689"/>
      <c r="R245" s="683">
        <f t="shared" ref="R245:R308" si="43">L245-P245</f>
        <v>1061869</v>
      </c>
      <c r="S245" s="567"/>
      <c r="U245" s="679"/>
    </row>
    <row r="246" spans="1:21" s="678" customFormat="1" ht="42.6" customHeight="1">
      <c r="A246" s="676">
        <v>232</v>
      </c>
      <c r="B246" s="677" t="str">
        <f>'Tên thang 01-26'!E235</f>
        <v>ហាយ សុភី</v>
      </c>
      <c r="C246" s="690" t="str">
        <f>'Tên thang 01-26'!F235</f>
        <v>HAY SOPHY</v>
      </c>
      <c r="D246" s="680">
        <v>112</v>
      </c>
      <c r="E246" s="681">
        <v>31947</v>
      </c>
      <c r="F246" s="682">
        <f t="shared" si="38"/>
        <v>14.41</v>
      </c>
      <c r="G246" s="683">
        <v>460356</v>
      </c>
      <c r="H246" s="682">
        <f>'KL 1'!AG248</f>
        <v>37.870000000000005</v>
      </c>
      <c r="I246" s="683">
        <f t="shared" si="36"/>
        <v>1209833</v>
      </c>
      <c r="J246" s="684"/>
      <c r="K246" s="683"/>
      <c r="L246" s="685">
        <f t="shared" si="39"/>
        <v>1670189</v>
      </c>
      <c r="M246" s="683">
        <f t="shared" si="40"/>
        <v>460356</v>
      </c>
      <c r="N246" s="686">
        <f t="shared" si="37"/>
        <v>24000</v>
      </c>
      <c r="O246" s="687">
        <f t="shared" si="41"/>
        <v>7309</v>
      </c>
      <c r="P246" s="688">
        <f t="shared" si="42"/>
        <v>491665</v>
      </c>
      <c r="Q246" s="689"/>
      <c r="R246" s="683">
        <f t="shared" si="43"/>
        <v>1178524</v>
      </c>
      <c r="S246" s="567"/>
      <c r="U246" s="679"/>
    </row>
    <row r="247" spans="1:21" s="678" customFormat="1" ht="42.6" customHeight="1">
      <c r="A247" s="676">
        <v>233</v>
      </c>
      <c r="B247" s="677" t="str">
        <f>'Tên thang 01-26'!E236</f>
        <v>សែ ពីពី</v>
      </c>
      <c r="C247" s="690" t="str">
        <f>'Tên thang 01-26'!F236</f>
        <v>SE PIPY</v>
      </c>
      <c r="D247" s="680">
        <v>113</v>
      </c>
      <c r="E247" s="681">
        <v>31947</v>
      </c>
      <c r="F247" s="682">
        <f t="shared" si="38"/>
        <v>13.54</v>
      </c>
      <c r="G247" s="683">
        <v>432562</v>
      </c>
      <c r="H247" s="682">
        <f>'KL 1'!AG249</f>
        <v>39.250000000000007</v>
      </c>
      <c r="I247" s="683">
        <f t="shared" si="36"/>
        <v>1253920</v>
      </c>
      <c r="J247" s="684"/>
      <c r="K247" s="683"/>
      <c r="L247" s="685">
        <f t="shared" si="39"/>
        <v>1686482</v>
      </c>
      <c r="M247" s="683">
        <f t="shared" si="40"/>
        <v>432562</v>
      </c>
      <c r="N247" s="686">
        <f t="shared" si="37"/>
        <v>24000</v>
      </c>
      <c r="O247" s="687">
        <f t="shared" si="41"/>
        <v>8124</v>
      </c>
      <c r="P247" s="688">
        <f t="shared" si="42"/>
        <v>464686</v>
      </c>
      <c r="Q247" s="689"/>
      <c r="R247" s="683">
        <f t="shared" si="43"/>
        <v>1221796</v>
      </c>
      <c r="S247" s="567"/>
      <c r="U247" s="679"/>
    </row>
    <row r="248" spans="1:21" s="678" customFormat="1" ht="42.6" customHeight="1">
      <c r="A248" s="676">
        <v>234</v>
      </c>
      <c r="B248" s="677" t="str">
        <f>'Tên thang 01-26'!E237</f>
        <v>ឈីវ ភាត</v>
      </c>
      <c r="C248" s="690" t="str">
        <f>'Tên thang 01-26'!F237</f>
        <v>CHHIV PHEAT</v>
      </c>
      <c r="D248" s="680">
        <v>114</v>
      </c>
      <c r="E248" s="681">
        <v>31947</v>
      </c>
      <c r="F248" s="682">
        <f t="shared" si="38"/>
        <v>14.91</v>
      </c>
      <c r="G248" s="683">
        <v>476330</v>
      </c>
      <c r="H248" s="682">
        <f>'KL 1'!AG250</f>
        <v>39.200000000000003</v>
      </c>
      <c r="I248" s="683">
        <f t="shared" si="36"/>
        <v>1252322</v>
      </c>
      <c r="J248" s="684"/>
      <c r="K248" s="683"/>
      <c r="L248" s="685">
        <f t="shared" si="39"/>
        <v>1728652</v>
      </c>
      <c r="M248" s="683">
        <f t="shared" si="40"/>
        <v>476330</v>
      </c>
      <c r="N248" s="686">
        <f t="shared" si="37"/>
        <v>24000</v>
      </c>
      <c r="O248" s="687">
        <f t="shared" si="41"/>
        <v>10233</v>
      </c>
      <c r="P248" s="688">
        <f t="shared" si="42"/>
        <v>510563</v>
      </c>
      <c r="Q248" s="689"/>
      <c r="R248" s="683">
        <f t="shared" si="43"/>
        <v>1218089</v>
      </c>
      <c r="S248" s="567"/>
      <c r="U248" s="679"/>
    </row>
    <row r="249" spans="1:21" s="678" customFormat="1" ht="42.6" customHeight="1">
      <c r="A249" s="676">
        <v>235</v>
      </c>
      <c r="B249" s="677" t="str">
        <f>'Tên thang 01-26'!E238</f>
        <v>សុខ ណេ</v>
      </c>
      <c r="C249" s="690" t="str">
        <f>'Tên thang 01-26'!F238</f>
        <v>SOK NE</v>
      </c>
      <c r="D249" s="680">
        <v>115</v>
      </c>
      <c r="E249" s="681">
        <v>31947</v>
      </c>
      <c r="F249" s="682">
        <f t="shared" si="38"/>
        <v>15.83</v>
      </c>
      <c r="G249" s="683">
        <v>505721</v>
      </c>
      <c r="H249" s="682">
        <f>'KL 1'!AG251</f>
        <v>40.71</v>
      </c>
      <c r="I249" s="683">
        <f t="shared" si="36"/>
        <v>1300562</v>
      </c>
      <c r="J249" s="684"/>
      <c r="K249" s="683"/>
      <c r="L249" s="685">
        <f t="shared" si="39"/>
        <v>1806283</v>
      </c>
      <c r="M249" s="683">
        <f t="shared" si="40"/>
        <v>505721</v>
      </c>
      <c r="N249" s="686">
        <f t="shared" si="37"/>
        <v>24000</v>
      </c>
      <c r="O249" s="687">
        <f t="shared" si="41"/>
        <v>14114</v>
      </c>
      <c r="P249" s="688">
        <f t="shared" si="42"/>
        <v>543835</v>
      </c>
      <c r="Q249" s="689"/>
      <c r="R249" s="683">
        <f t="shared" si="43"/>
        <v>1262448</v>
      </c>
      <c r="S249" s="567"/>
      <c r="U249" s="679"/>
    </row>
    <row r="250" spans="1:21" s="678" customFormat="1" ht="42.6" customHeight="1">
      <c r="A250" s="676">
        <v>236</v>
      </c>
      <c r="B250" s="677" t="str">
        <f>'Tên thang 01-26'!E239</f>
        <v>កាន់ សុគីន</v>
      </c>
      <c r="C250" s="690" t="str">
        <f>'Tên thang 01-26'!F239</f>
        <v>KAN SOKIN</v>
      </c>
      <c r="D250" s="680">
        <v>116</v>
      </c>
      <c r="E250" s="681">
        <v>31947</v>
      </c>
      <c r="F250" s="682">
        <f t="shared" si="38"/>
        <v>15.53</v>
      </c>
      <c r="G250" s="683">
        <v>496137</v>
      </c>
      <c r="H250" s="682">
        <f>'KL 1'!AG252</f>
        <v>39.21</v>
      </c>
      <c r="I250" s="683">
        <f t="shared" si="36"/>
        <v>1252642</v>
      </c>
      <c r="J250" s="684"/>
      <c r="K250" s="683"/>
      <c r="L250" s="685">
        <f t="shared" si="39"/>
        <v>1748779</v>
      </c>
      <c r="M250" s="683">
        <f t="shared" si="40"/>
        <v>496137</v>
      </c>
      <c r="N250" s="686">
        <f t="shared" si="37"/>
        <v>24000</v>
      </c>
      <c r="O250" s="687">
        <f t="shared" si="41"/>
        <v>11239</v>
      </c>
      <c r="P250" s="688">
        <f t="shared" si="42"/>
        <v>531376</v>
      </c>
      <c r="Q250" s="689"/>
      <c r="R250" s="683">
        <f t="shared" si="43"/>
        <v>1217403</v>
      </c>
      <c r="S250" s="567"/>
      <c r="U250" s="679"/>
    </row>
    <row r="251" spans="1:21" s="678" customFormat="1" ht="42.6" customHeight="1">
      <c r="A251" s="676">
        <v>237</v>
      </c>
      <c r="B251" s="677" t="str">
        <f>'Tên thang 01-26'!E240</f>
        <v>ដែង តូច</v>
      </c>
      <c r="C251" s="690" t="str">
        <f>'Tên thang 01-26'!F240</f>
        <v>DENG TOUCH</v>
      </c>
      <c r="D251" s="680">
        <v>117</v>
      </c>
      <c r="E251" s="681">
        <v>31947</v>
      </c>
      <c r="F251" s="682">
        <f t="shared" si="38"/>
        <v>16.489999999999998</v>
      </c>
      <c r="G251" s="683">
        <v>526806</v>
      </c>
      <c r="H251" s="682">
        <f>'KL 1'!AG253</f>
        <v>36.44</v>
      </c>
      <c r="I251" s="683">
        <f t="shared" si="36"/>
        <v>1164149</v>
      </c>
      <c r="J251" s="684"/>
      <c r="K251" s="683"/>
      <c r="L251" s="685">
        <f t="shared" si="39"/>
        <v>1690955</v>
      </c>
      <c r="M251" s="683">
        <f t="shared" si="40"/>
        <v>526806</v>
      </c>
      <c r="N251" s="686">
        <f t="shared" si="37"/>
        <v>24000</v>
      </c>
      <c r="O251" s="687">
        <f t="shared" si="41"/>
        <v>8348</v>
      </c>
      <c r="P251" s="688">
        <f t="shared" si="42"/>
        <v>559154</v>
      </c>
      <c r="Q251" s="689"/>
      <c r="R251" s="683">
        <f t="shared" si="43"/>
        <v>1131801</v>
      </c>
      <c r="S251" s="567"/>
      <c r="U251" s="679"/>
    </row>
    <row r="252" spans="1:21" s="678" customFormat="1" ht="42.6" customHeight="1">
      <c r="A252" s="676">
        <v>238</v>
      </c>
      <c r="B252" s="677" t="str">
        <f>'Tên thang 01-26'!E241</f>
        <v>ហេត គឹមលីង</v>
      </c>
      <c r="C252" s="690" t="str">
        <f>'Tên thang 01-26'!F241</f>
        <v>HET KIMLING</v>
      </c>
      <c r="D252" s="680">
        <v>118</v>
      </c>
      <c r="E252" s="681">
        <v>31947</v>
      </c>
      <c r="F252" s="682">
        <f t="shared" si="38"/>
        <v>14.24</v>
      </c>
      <c r="G252" s="683">
        <v>454925</v>
      </c>
      <c r="H252" s="682">
        <f>'KL 1'!AG254</f>
        <v>39.46</v>
      </c>
      <c r="I252" s="683">
        <f t="shared" si="36"/>
        <v>1260629</v>
      </c>
      <c r="J252" s="684"/>
      <c r="K252" s="683"/>
      <c r="L252" s="685">
        <f t="shared" si="39"/>
        <v>1715554</v>
      </c>
      <c r="M252" s="683">
        <f t="shared" si="40"/>
        <v>454925</v>
      </c>
      <c r="N252" s="686">
        <f t="shared" si="37"/>
        <v>24000</v>
      </c>
      <c r="O252" s="687">
        <f t="shared" si="41"/>
        <v>9578</v>
      </c>
      <c r="P252" s="688">
        <f t="shared" si="42"/>
        <v>488503</v>
      </c>
      <c r="Q252" s="689"/>
      <c r="R252" s="683">
        <f t="shared" si="43"/>
        <v>1227051</v>
      </c>
      <c r="S252" s="567"/>
      <c r="U252" s="679"/>
    </row>
    <row r="253" spans="1:21" s="678" customFormat="1" ht="42.6" customHeight="1">
      <c r="A253" s="676">
        <v>239</v>
      </c>
      <c r="B253" s="677" t="str">
        <f>'Tên thang 01-26'!E242</f>
        <v>យៀត សុជឿន</v>
      </c>
      <c r="C253" s="690" t="str">
        <f>'Tên thang 01-26'!F242</f>
        <v>YIET SOCHOEUN</v>
      </c>
      <c r="D253" s="680">
        <v>119</v>
      </c>
      <c r="E253" s="681">
        <v>31947</v>
      </c>
      <c r="F253" s="682">
        <f t="shared" si="38"/>
        <v>16.54</v>
      </c>
      <c r="G253" s="683">
        <v>528403</v>
      </c>
      <c r="H253" s="682">
        <f>'KL 1'!AG255</f>
        <v>37.14</v>
      </c>
      <c r="I253" s="683">
        <f t="shared" si="36"/>
        <v>1186512</v>
      </c>
      <c r="J253" s="684"/>
      <c r="K253" s="683"/>
      <c r="L253" s="685">
        <f t="shared" si="39"/>
        <v>1714915</v>
      </c>
      <c r="M253" s="683">
        <f t="shared" si="40"/>
        <v>528403</v>
      </c>
      <c r="N253" s="686">
        <f t="shared" si="37"/>
        <v>24000</v>
      </c>
      <c r="O253" s="687">
        <f t="shared" si="41"/>
        <v>9546</v>
      </c>
      <c r="P253" s="688">
        <f t="shared" si="42"/>
        <v>561949</v>
      </c>
      <c r="Q253" s="689"/>
      <c r="R253" s="683">
        <f t="shared" si="43"/>
        <v>1152966</v>
      </c>
      <c r="S253" s="567"/>
      <c r="U253" s="679"/>
    </row>
    <row r="254" spans="1:21" s="678" customFormat="1" ht="42.6" customHeight="1">
      <c r="A254" s="676">
        <v>240</v>
      </c>
      <c r="B254" s="677" t="str">
        <f>'Tên thang 01-26'!E243</f>
        <v>ឈីវ ផល</v>
      </c>
      <c r="C254" s="690" t="str">
        <f>'Tên thang 01-26'!F243</f>
        <v>CHHIV PHALL</v>
      </c>
      <c r="D254" s="680">
        <v>120</v>
      </c>
      <c r="E254" s="681">
        <v>31947</v>
      </c>
      <c r="F254" s="682">
        <f t="shared" si="38"/>
        <v>14.17</v>
      </c>
      <c r="G254" s="683">
        <v>452689</v>
      </c>
      <c r="H254" s="682">
        <f>'KL 1'!AG256</f>
        <v>39.5</v>
      </c>
      <c r="I254" s="683">
        <f t="shared" si="36"/>
        <v>1261907</v>
      </c>
      <c r="J254" s="684"/>
      <c r="K254" s="683"/>
      <c r="L254" s="685">
        <f t="shared" si="39"/>
        <v>1714596</v>
      </c>
      <c r="M254" s="683">
        <f t="shared" si="40"/>
        <v>452689</v>
      </c>
      <c r="N254" s="686">
        <f t="shared" si="37"/>
        <v>24000</v>
      </c>
      <c r="O254" s="687">
        <f t="shared" si="41"/>
        <v>9530</v>
      </c>
      <c r="P254" s="688">
        <f t="shared" si="42"/>
        <v>486219</v>
      </c>
      <c r="Q254" s="689"/>
      <c r="R254" s="683">
        <f t="shared" si="43"/>
        <v>1228377</v>
      </c>
      <c r="S254" s="567"/>
      <c r="U254" s="679"/>
    </row>
    <row r="255" spans="1:21" s="678" customFormat="1" ht="42.6" customHeight="1">
      <c r="A255" s="676">
        <v>241</v>
      </c>
      <c r="B255" s="677" t="str">
        <f>'Tên thang 01-26'!E244</f>
        <v>កែវ សុខគង់</v>
      </c>
      <c r="C255" s="690" t="str">
        <f>'Tên thang 01-26'!F244</f>
        <v>KEO SOKONG</v>
      </c>
      <c r="D255" s="680">
        <v>121</v>
      </c>
      <c r="E255" s="681">
        <v>31947</v>
      </c>
      <c r="F255" s="682">
        <f t="shared" si="38"/>
        <v>14.88</v>
      </c>
      <c r="G255" s="683">
        <v>475371</v>
      </c>
      <c r="H255" s="682">
        <f>'KL 1'!AG257</f>
        <v>38.93</v>
      </c>
      <c r="I255" s="683">
        <f t="shared" si="36"/>
        <v>1243697</v>
      </c>
      <c r="J255" s="684"/>
      <c r="K255" s="683"/>
      <c r="L255" s="685">
        <f t="shared" si="39"/>
        <v>1719068</v>
      </c>
      <c r="M255" s="683">
        <f t="shared" si="40"/>
        <v>475371</v>
      </c>
      <c r="N255" s="686">
        <f t="shared" si="37"/>
        <v>24000</v>
      </c>
      <c r="O255" s="687">
        <f t="shared" si="41"/>
        <v>9753</v>
      </c>
      <c r="P255" s="688">
        <f t="shared" si="42"/>
        <v>509124</v>
      </c>
      <c r="Q255" s="689"/>
      <c r="R255" s="683">
        <f t="shared" si="43"/>
        <v>1209944</v>
      </c>
      <c r="S255" s="567"/>
      <c r="U255" s="679"/>
    </row>
    <row r="256" spans="1:21" s="678" customFormat="1" ht="42.6" customHeight="1">
      <c r="A256" s="676">
        <v>242</v>
      </c>
      <c r="B256" s="677" t="str">
        <f>'Tên thang 01-26'!E245</f>
        <v>បូ បូត</v>
      </c>
      <c r="C256" s="690" t="str">
        <f>'Tên thang 01-26'!F245</f>
        <v>BO BOUT</v>
      </c>
      <c r="D256" s="680">
        <v>122</v>
      </c>
      <c r="E256" s="681">
        <v>31947</v>
      </c>
      <c r="F256" s="682">
        <f t="shared" si="38"/>
        <v>19.95</v>
      </c>
      <c r="G256" s="683">
        <v>637343</v>
      </c>
      <c r="H256" s="682">
        <f>'KL 1'!AG258</f>
        <v>47.28</v>
      </c>
      <c r="I256" s="683">
        <f t="shared" si="36"/>
        <v>1510454</v>
      </c>
      <c r="J256" s="684"/>
      <c r="K256" s="683"/>
      <c r="L256" s="685">
        <f t="shared" si="39"/>
        <v>2147797</v>
      </c>
      <c r="M256" s="683">
        <f t="shared" si="40"/>
        <v>637343</v>
      </c>
      <c r="N256" s="686">
        <f t="shared" si="37"/>
        <v>24000</v>
      </c>
      <c r="O256" s="687">
        <f t="shared" si="41"/>
        <v>37380</v>
      </c>
      <c r="P256" s="688">
        <f t="shared" si="42"/>
        <v>698723</v>
      </c>
      <c r="Q256" s="689"/>
      <c r="R256" s="683">
        <f t="shared" si="43"/>
        <v>1449074</v>
      </c>
      <c r="S256" s="567"/>
      <c r="U256" s="679"/>
    </row>
    <row r="257" spans="1:21" s="678" customFormat="1" ht="42.6" customHeight="1">
      <c r="A257" s="676">
        <v>243</v>
      </c>
      <c r="B257" s="677" t="str">
        <f>'Tên thang 01-26'!E246</f>
        <v>ធា ចាន់</v>
      </c>
      <c r="C257" s="690" t="str">
        <f>'Tên thang 01-26'!F246</f>
        <v>THEA CHANN</v>
      </c>
      <c r="D257" s="680">
        <v>123</v>
      </c>
      <c r="E257" s="681">
        <v>31947</v>
      </c>
      <c r="F257" s="682">
        <f t="shared" si="38"/>
        <v>12.59</v>
      </c>
      <c r="G257" s="683">
        <v>402213</v>
      </c>
      <c r="H257" s="682">
        <f>'KL 1'!AG259</f>
        <v>27.53</v>
      </c>
      <c r="I257" s="683">
        <f t="shared" si="36"/>
        <v>879501</v>
      </c>
      <c r="J257" s="684"/>
      <c r="K257" s="683"/>
      <c r="L257" s="685">
        <f t="shared" si="39"/>
        <v>1281714</v>
      </c>
      <c r="M257" s="683">
        <f t="shared" si="40"/>
        <v>402213</v>
      </c>
      <c r="N257" s="686">
        <f t="shared" si="37"/>
        <v>24000</v>
      </c>
      <c r="O257" s="687">
        <f t="shared" si="41"/>
        <v>0</v>
      </c>
      <c r="P257" s="688">
        <f t="shared" si="42"/>
        <v>426213</v>
      </c>
      <c r="Q257" s="689"/>
      <c r="R257" s="683">
        <f t="shared" si="43"/>
        <v>855501</v>
      </c>
      <c r="S257" s="567"/>
      <c r="U257" s="679"/>
    </row>
    <row r="258" spans="1:21" s="678" customFormat="1" ht="42.6" customHeight="1">
      <c r="A258" s="676">
        <v>244</v>
      </c>
      <c r="B258" s="677" t="str">
        <f>'Tên thang 01-26'!E247</f>
        <v>គីន ចន្ថា</v>
      </c>
      <c r="C258" s="690" t="str">
        <f>'Tên thang 01-26'!F247</f>
        <v>KIN CHANTHA</v>
      </c>
      <c r="D258" s="680">
        <v>124</v>
      </c>
      <c r="E258" s="681">
        <v>31947</v>
      </c>
      <c r="F258" s="682">
        <f t="shared" si="38"/>
        <v>14.63</v>
      </c>
      <c r="G258" s="683">
        <v>467385</v>
      </c>
      <c r="H258" s="682">
        <f>'KL 1'!AG260</f>
        <v>32.210000000000008</v>
      </c>
      <c r="I258" s="683">
        <f t="shared" si="36"/>
        <v>1029013</v>
      </c>
      <c r="J258" s="684"/>
      <c r="K258" s="683"/>
      <c r="L258" s="685">
        <f t="shared" si="39"/>
        <v>1496398</v>
      </c>
      <c r="M258" s="683">
        <f t="shared" si="40"/>
        <v>467385</v>
      </c>
      <c r="N258" s="686">
        <f t="shared" si="37"/>
        <v>24000</v>
      </c>
      <c r="O258" s="687">
        <f t="shared" si="41"/>
        <v>0</v>
      </c>
      <c r="P258" s="688">
        <f t="shared" si="42"/>
        <v>491385</v>
      </c>
      <c r="Q258" s="689"/>
      <c r="R258" s="683">
        <f t="shared" si="43"/>
        <v>1005013</v>
      </c>
      <c r="S258" s="567"/>
      <c r="U258" s="679"/>
    </row>
    <row r="259" spans="1:21" s="678" customFormat="1" ht="38.4" customHeight="1">
      <c r="A259" s="676">
        <v>245</v>
      </c>
      <c r="B259" s="677" t="str">
        <f>'Tên thang 01-26'!E248</f>
        <v>តូច លីម</v>
      </c>
      <c r="C259" s="690" t="str">
        <f>'Tên thang 01-26'!F248</f>
        <v>TOUCH LIM</v>
      </c>
      <c r="D259" s="680">
        <v>125</v>
      </c>
      <c r="E259" s="681">
        <v>31947</v>
      </c>
      <c r="F259" s="682">
        <f t="shared" si="38"/>
        <v>14.59</v>
      </c>
      <c r="G259" s="683">
        <v>466107</v>
      </c>
      <c r="H259" s="682">
        <f>'KL 1'!AG261</f>
        <v>37.370000000000005</v>
      </c>
      <c r="I259" s="683">
        <f t="shared" si="36"/>
        <v>1193859</v>
      </c>
      <c r="J259" s="684"/>
      <c r="K259" s="683"/>
      <c r="L259" s="685">
        <f t="shared" si="39"/>
        <v>1659966</v>
      </c>
      <c r="M259" s="683">
        <f t="shared" si="40"/>
        <v>466107</v>
      </c>
      <c r="N259" s="686">
        <f t="shared" si="37"/>
        <v>24000</v>
      </c>
      <c r="O259" s="687">
        <f t="shared" si="41"/>
        <v>6798</v>
      </c>
      <c r="P259" s="688">
        <f t="shared" si="42"/>
        <v>496905</v>
      </c>
      <c r="Q259" s="689"/>
      <c r="R259" s="683">
        <f t="shared" si="43"/>
        <v>1163061</v>
      </c>
      <c r="S259" s="567"/>
      <c r="U259" s="679"/>
    </row>
    <row r="260" spans="1:21" s="678" customFormat="1" ht="39" customHeight="1">
      <c r="A260" s="676">
        <v>246</v>
      </c>
      <c r="B260" s="677" t="str">
        <f>'Tên thang 01-26'!E249</f>
        <v>ស្រឿន ស្រីហាន់</v>
      </c>
      <c r="C260" s="690" t="str">
        <f>'Tên thang 01-26'!F249</f>
        <v>SROEUN SREYHANN</v>
      </c>
      <c r="D260" s="680">
        <v>126</v>
      </c>
      <c r="E260" s="681">
        <v>31947</v>
      </c>
      <c r="F260" s="682">
        <f t="shared" si="38"/>
        <v>14.73</v>
      </c>
      <c r="G260" s="683">
        <v>470579</v>
      </c>
      <c r="H260" s="682">
        <f>'KL 1'!AG262</f>
        <v>36.82</v>
      </c>
      <c r="I260" s="683">
        <f t="shared" si="36"/>
        <v>1176289</v>
      </c>
      <c r="J260" s="684"/>
      <c r="K260" s="683"/>
      <c r="L260" s="685">
        <f t="shared" si="39"/>
        <v>1646868</v>
      </c>
      <c r="M260" s="683">
        <f t="shared" si="40"/>
        <v>470579</v>
      </c>
      <c r="N260" s="686">
        <f t="shared" si="37"/>
        <v>24000</v>
      </c>
      <c r="O260" s="687">
        <f t="shared" si="41"/>
        <v>6143</v>
      </c>
      <c r="P260" s="688">
        <f t="shared" si="42"/>
        <v>500722</v>
      </c>
      <c r="Q260" s="689"/>
      <c r="R260" s="683">
        <f t="shared" si="43"/>
        <v>1146146</v>
      </c>
      <c r="S260" s="567"/>
      <c r="U260" s="679"/>
    </row>
    <row r="261" spans="1:21" s="678" customFormat="1" ht="48.6" customHeight="1">
      <c r="A261" s="676">
        <v>247</v>
      </c>
      <c r="B261" s="677" t="str">
        <f>'Tên thang 01-26'!E250</f>
        <v>ហង់ យ៉ាត់</v>
      </c>
      <c r="C261" s="690" t="str">
        <f>'Tên thang 01-26'!F250</f>
        <v>HANG YATH</v>
      </c>
      <c r="D261" s="680">
        <v>127</v>
      </c>
      <c r="E261" s="681">
        <v>31947</v>
      </c>
      <c r="F261" s="682">
        <f t="shared" si="38"/>
        <v>15.68</v>
      </c>
      <c r="G261" s="683">
        <v>500929</v>
      </c>
      <c r="H261" s="682">
        <f>'KL 1'!AG263</f>
        <v>42.18</v>
      </c>
      <c r="I261" s="683">
        <f t="shared" si="36"/>
        <v>1347524</v>
      </c>
      <c r="J261" s="684"/>
      <c r="K261" s="683"/>
      <c r="L261" s="685">
        <f t="shared" si="39"/>
        <v>1848453</v>
      </c>
      <c r="M261" s="683">
        <f t="shared" si="40"/>
        <v>500929</v>
      </c>
      <c r="N261" s="686">
        <f t="shared" si="37"/>
        <v>24000</v>
      </c>
      <c r="O261" s="687">
        <f t="shared" si="41"/>
        <v>16223</v>
      </c>
      <c r="P261" s="688">
        <f t="shared" si="42"/>
        <v>541152</v>
      </c>
      <c r="Q261" s="689"/>
      <c r="R261" s="683">
        <f t="shared" si="43"/>
        <v>1307301</v>
      </c>
      <c r="S261" s="567"/>
      <c r="U261" s="679"/>
    </row>
    <row r="262" spans="1:21" s="678" customFormat="1" ht="46.95" customHeight="1">
      <c r="A262" s="676">
        <v>248</v>
      </c>
      <c r="B262" s="677" t="str">
        <f>'Tên thang 01-26'!E251</f>
        <v>សែម សាមេន</v>
      </c>
      <c r="C262" s="690" t="str">
        <f>'Tên thang 01-26'!F251</f>
        <v>SEM SAMEN</v>
      </c>
      <c r="D262" s="680">
        <v>128</v>
      </c>
      <c r="E262" s="681">
        <v>31947</v>
      </c>
      <c r="F262" s="682">
        <f t="shared" si="38"/>
        <v>14.47</v>
      </c>
      <c r="G262" s="683">
        <v>462273</v>
      </c>
      <c r="H262" s="682">
        <f>'KL 1'!AG264</f>
        <v>35.14</v>
      </c>
      <c r="I262" s="683">
        <f t="shared" si="36"/>
        <v>1122618</v>
      </c>
      <c r="J262" s="684"/>
      <c r="K262" s="683"/>
      <c r="L262" s="685">
        <f t="shared" si="39"/>
        <v>1584891</v>
      </c>
      <c r="M262" s="683">
        <f t="shared" si="40"/>
        <v>462273</v>
      </c>
      <c r="N262" s="686">
        <f t="shared" si="37"/>
        <v>24000</v>
      </c>
      <c r="O262" s="687">
        <f t="shared" si="41"/>
        <v>3045</v>
      </c>
      <c r="P262" s="688">
        <f t="shared" si="42"/>
        <v>489318</v>
      </c>
      <c r="Q262" s="689"/>
      <c r="R262" s="683">
        <f t="shared" si="43"/>
        <v>1095573</v>
      </c>
      <c r="S262" s="567"/>
      <c r="U262" s="679"/>
    </row>
    <row r="263" spans="1:21" s="678" customFormat="1" ht="48" customHeight="1">
      <c r="A263" s="676">
        <v>249</v>
      </c>
      <c r="B263" s="677" t="str">
        <f>'Tên thang 01-26'!E252</f>
        <v>ជី ឆេងលាង</v>
      </c>
      <c r="C263" s="690" t="str">
        <f>'Tên thang 01-26'!F252</f>
        <v>CHY CHHENGLENG</v>
      </c>
      <c r="D263" s="680">
        <v>129</v>
      </c>
      <c r="E263" s="681">
        <v>31947</v>
      </c>
      <c r="F263" s="682">
        <f t="shared" si="38"/>
        <v>13.85</v>
      </c>
      <c r="G263" s="683">
        <v>442466</v>
      </c>
      <c r="H263" s="682">
        <f>'KL 1'!AG265</f>
        <v>34.040000000000006</v>
      </c>
      <c r="I263" s="683">
        <f t="shared" si="36"/>
        <v>1087476</v>
      </c>
      <c r="J263" s="684"/>
      <c r="K263" s="683"/>
      <c r="L263" s="685">
        <f t="shared" si="39"/>
        <v>1529942</v>
      </c>
      <c r="M263" s="683">
        <f t="shared" si="40"/>
        <v>442466</v>
      </c>
      <c r="N263" s="686">
        <f t="shared" si="37"/>
        <v>24000</v>
      </c>
      <c r="O263" s="687">
        <f t="shared" si="41"/>
        <v>297</v>
      </c>
      <c r="P263" s="688">
        <f t="shared" si="42"/>
        <v>466763</v>
      </c>
      <c r="Q263" s="689"/>
      <c r="R263" s="683">
        <f t="shared" si="43"/>
        <v>1063179</v>
      </c>
      <c r="S263" s="567"/>
      <c r="U263" s="679"/>
    </row>
    <row r="264" spans="1:21" s="678" customFormat="1" ht="48.6" customHeight="1">
      <c r="A264" s="676">
        <v>250</v>
      </c>
      <c r="B264" s="677" t="str">
        <f>'Tên thang 01-26'!E253</f>
        <v>ភឿន សុផល់</v>
      </c>
      <c r="C264" s="690" t="str">
        <f>'Tên thang 01-26'!F253</f>
        <v>PHOEUN SOPHAL</v>
      </c>
      <c r="D264" s="680">
        <v>130</v>
      </c>
      <c r="E264" s="681">
        <v>31947</v>
      </c>
      <c r="F264" s="682">
        <f t="shared" si="38"/>
        <v>5.08</v>
      </c>
      <c r="G264" s="683">
        <v>162291</v>
      </c>
      <c r="H264" s="682">
        <f>'KL 1'!AG266</f>
        <v>30.720000000000002</v>
      </c>
      <c r="I264" s="683">
        <f t="shared" si="36"/>
        <v>981412</v>
      </c>
      <c r="J264" s="684"/>
      <c r="K264" s="683"/>
      <c r="L264" s="685">
        <f t="shared" si="39"/>
        <v>1143703</v>
      </c>
      <c r="M264" s="683">
        <f t="shared" si="40"/>
        <v>162291</v>
      </c>
      <c r="N264" s="686">
        <f t="shared" si="37"/>
        <v>22874</v>
      </c>
      <c r="O264" s="687">
        <f t="shared" si="41"/>
        <v>0</v>
      </c>
      <c r="P264" s="688">
        <f t="shared" si="42"/>
        <v>185165</v>
      </c>
      <c r="Q264" s="689"/>
      <c r="R264" s="683">
        <f t="shared" si="43"/>
        <v>958538</v>
      </c>
      <c r="S264" s="567"/>
      <c r="U264" s="679"/>
    </row>
    <row r="265" spans="1:21" s="678" customFormat="1" ht="50.4" customHeight="1">
      <c r="A265" s="676">
        <v>251</v>
      </c>
      <c r="B265" s="677" t="str">
        <f>'Tên thang 01-26'!E254</f>
        <v>លន លៀម</v>
      </c>
      <c r="C265" s="690" t="str">
        <f>'Tên thang 01-26'!F254</f>
        <v>LON LEAM</v>
      </c>
      <c r="D265" s="680">
        <v>131</v>
      </c>
      <c r="E265" s="681">
        <v>31947</v>
      </c>
      <c r="F265" s="682">
        <f t="shared" si="38"/>
        <v>3.53</v>
      </c>
      <c r="G265" s="683">
        <v>112773</v>
      </c>
      <c r="H265" s="682">
        <f>'KL 1'!AG267</f>
        <v>25.870000000000005</v>
      </c>
      <c r="I265" s="683">
        <f t="shared" si="36"/>
        <v>826469</v>
      </c>
      <c r="J265" s="684"/>
      <c r="K265" s="683"/>
      <c r="L265" s="685">
        <f t="shared" si="39"/>
        <v>939242</v>
      </c>
      <c r="M265" s="683">
        <f t="shared" si="40"/>
        <v>112773</v>
      </c>
      <c r="N265" s="686">
        <f t="shared" si="37"/>
        <v>18785</v>
      </c>
      <c r="O265" s="687">
        <f t="shared" si="41"/>
        <v>0</v>
      </c>
      <c r="P265" s="688">
        <f t="shared" si="42"/>
        <v>131558</v>
      </c>
      <c r="Q265" s="689"/>
      <c r="R265" s="683">
        <f t="shared" si="43"/>
        <v>807684</v>
      </c>
      <c r="S265" s="567"/>
      <c r="U265" s="679"/>
    </row>
    <row r="266" spans="1:21" s="678" customFormat="1" ht="42.6" customHeight="1">
      <c r="A266" s="676">
        <v>252</v>
      </c>
      <c r="B266" s="677" t="str">
        <f>'Tên thang 01-26'!E255</f>
        <v>ចាន់ ណារ៉ុង</v>
      </c>
      <c r="C266" s="690" t="str">
        <f>'Tên thang 01-26'!F255</f>
        <v>CHAN NARONG</v>
      </c>
      <c r="D266" s="680">
        <v>132</v>
      </c>
      <c r="E266" s="681">
        <v>31947</v>
      </c>
      <c r="F266" s="682">
        <f t="shared" si="38"/>
        <v>14.9</v>
      </c>
      <c r="G266" s="683">
        <v>476010</v>
      </c>
      <c r="H266" s="682">
        <f>'KL 1'!AG268</f>
        <v>37.82</v>
      </c>
      <c r="I266" s="683">
        <f t="shared" si="36"/>
        <v>1208236</v>
      </c>
      <c r="J266" s="684"/>
      <c r="K266" s="683"/>
      <c r="L266" s="685">
        <f t="shared" si="39"/>
        <v>1684246</v>
      </c>
      <c r="M266" s="683">
        <f t="shared" si="40"/>
        <v>476010</v>
      </c>
      <c r="N266" s="686">
        <f t="shared" si="37"/>
        <v>24000</v>
      </c>
      <c r="O266" s="687">
        <f t="shared" si="41"/>
        <v>8012</v>
      </c>
      <c r="P266" s="688">
        <f t="shared" si="42"/>
        <v>508022</v>
      </c>
      <c r="Q266" s="689"/>
      <c r="R266" s="683">
        <f t="shared" si="43"/>
        <v>1176224</v>
      </c>
      <c r="S266" s="567"/>
      <c r="U266" s="679"/>
    </row>
    <row r="267" spans="1:21" s="678" customFormat="1" ht="48" customHeight="1">
      <c r="A267" s="676">
        <v>253</v>
      </c>
      <c r="B267" s="677" t="str">
        <f>'Tên thang 01-26'!E256</f>
        <v>ង៉ា អ៊ាត</v>
      </c>
      <c r="C267" s="690" t="str">
        <f>'Tên thang 01-26'!F256</f>
        <v>NGAR EAT</v>
      </c>
      <c r="D267" s="680">
        <v>133</v>
      </c>
      <c r="E267" s="681">
        <v>31947</v>
      </c>
      <c r="F267" s="682">
        <f t="shared" si="38"/>
        <v>15.34</v>
      </c>
      <c r="G267" s="683">
        <v>490067</v>
      </c>
      <c r="H267" s="682">
        <f>'KL 1'!AG269</f>
        <v>38.229999999999997</v>
      </c>
      <c r="I267" s="683">
        <f t="shared" si="36"/>
        <v>1221334</v>
      </c>
      <c r="J267" s="684"/>
      <c r="K267" s="683"/>
      <c r="L267" s="685">
        <f t="shared" si="39"/>
        <v>1711401</v>
      </c>
      <c r="M267" s="683">
        <f t="shared" si="40"/>
        <v>490067</v>
      </c>
      <c r="N267" s="686">
        <f t="shared" si="37"/>
        <v>24000</v>
      </c>
      <c r="O267" s="687">
        <f t="shared" si="41"/>
        <v>9370</v>
      </c>
      <c r="P267" s="688">
        <f t="shared" si="42"/>
        <v>523437</v>
      </c>
      <c r="Q267" s="689"/>
      <c r="R267" s="683">
        <f t="shared" si="43"/>
        <v>1187964</v>
      </c>
      <c r="S267" s="567"/>
      <c r="U267" s="679"/>
    </row>
    <row r="268" spans="1:21" s="678" customFormat="1" ht="42.6" customHeight="1">
      <c r="A268" s="676">
        <v>254</v>
      </c>
      <c r="B268" s="677" t="str">
        <f>'Tên thang 01-26'!E257</f>
        <v>ហង់ ស៊ីយាន</v>
      </c>
      <c r="C268" s="690" t="str">
        <f>'Tên thang 01-26'!F257</f>
        <v>HONG SIYEAN</v>
      </c>
      <c r="D268" s="680">
        <v>134</v>
      </c>
      <c r="E268" s="681">
        <v>31947</v>
      </c>
      <c r="F268" s="682">
        <f t="shared" si="38"/>
        <v>13.86</v>
      </c>
      <c r="G268" s="683">
        <v>442785</v>
      </c>
      <c r="H268" s="682">
        <f>'KL 1'!AG270</f>
        <v>38.97</v>
      </c>
      <c r="I268" s="683">
        <f t="shared" si="36"/>
        <v>1244975</v>
      </c>
      <c r="J268" s="684"/>
      <c r="K268" s="683"/>
      <c r="L268" s="685">
        <f t="shared" si="39"/>
        <v>1687760</v>
      </c>
      <c r="M268" s="683">
        <f t="shared" si="40"/>
        <v>442785</v>
      </c>
      <c r="N268" s="686">
        <f t="shared" si="37"/>
        <v>24000</v>
      </c>
      <c r="O268" s="687">
        <f t="shared" si="41"/>
        <v>8188</v>
      </c>
      <c r="P268" s="688">
        <f t="shared" si="42"/>
        <v>474973</v>
      </c>
      <c r="Q268" s="689"/>
      <c r="R268" s="683">
        <f t="shared" si="43"/>
        <v>1212787</v>
      </c>
      <c r="S268" s="567"/>
      <c r="U268" s="679"/>
    </row>
    <row r="269" spans="1:21" s="678" customFormat="1" ht="46.2" customHeight="1">
      <c r="A269" s="676">
        <v>255</v>
      </c>
      <c r="B269" s="677" t="str">
        <f>'Tên thang 01-26'!E258</f>
        <v>បួ សុខជា</v>
      </c>
      <c r="C269" s="690" t="str">
        <f>'Tên thang 01-26'!F258</f>
        <v>BOUR SOKCHEA</v>
      </c>
      <c r="D269" s="680">
        <v>135</v>
      </c>
      <c r="E269" s="681">
        <v>31947</v>
      </c>
      <c r="F269" s="682">
        <f t="shared" si="38"/>
        <v>14.53</v>
      </c>
      <c r="G269" s="683">
        <v>464190</v>
      </c>
      <c r="H269" s="682">
        <f>'KL 1'!AG271</f>
        <v>40.22</v>
      </c>
      <c r="I269" s="683">
        <f t="shared" si="36"/>
        <v>1284908</v>
      </c>
      <c r="J269" s="684"/>
      <c r="K269" s="683"/>
      <c r="L269" s="685">
        <f t="shared" si="39"/>
        <v>1749098</v>
      </c>
      <c r="M269" s="683">
        <f t="shared" si="40"/>
        <v>464190</v>
      </c>
      <c r="N269" s="686">
        <f t="shared" si="37"/>
        <v>24000</v>
      </c>
      <c r="O269" s="687">
        <f t="shared" si="41"/>
        <v>11255</v>
      </c>
      <c r="P269" s="688">
        <f t="shared" si="42"/>
        <v>499445</v>
      </c>
      <c r="Q269" s="689"/>
      <c r="R269" s="683">
        <f t="shared" si="43"/>
        <v>1249653</v>
      </c>
      <c r="S269" s="567"/>
      <c r="U269" s="679"/>
    </row>
    <row r="270" spans="1:21" s="678" customFormat="1" ht="52.2" customHeight="1">
      <c r="A270" s="676">
        <v>256</v>
      </c>
      <c r="B270" s="677" t="str">
        <f>'Tên thang 01-26'!E259</f>
        <v>ឃឹម ធឿន</v>
      </c>
      <c r="C270" s="690" t="str">
        <f>'Tên thang 01-26'!F259</f>
        <v>KHOEM THOEUN</v>
      </c>
      <c r="D270" s="680">
        <v>136</v>
      </c>
      <c r="E270" s="681">
        <v>31947</v>
      </c>
      <c r="F270" s="682">
        <f t="shared" si="38"/>
        <v>14.32</v>
      </c>
      <c r="G270" s="683">
        <v>457481</v>
      </c>
      <c r="H270" s="682">
        <f>'KL 1'!AG272</f>
        <v>13.559999999999999</v>
      </c>
      <c r="I270" s="683">
        <f t="shared" si="36"/>
        <v>433201</v>
      </c>
      <c r="J270" s="684"/>
      <c r="K270" s="683"/>
      <c r="L270" s="685">
        <f t="shared" si="39"/>
        <v>890682</v>
      </c>
      <c r="M270" s="683">
        <f t="shared" si="40"/>
        <v>457481</v>
      </c>
      <c r="N270" s="686">
        <f t="shared" si="37"/>
        <v>17814</v>
      </c>
      <c r="O270" s="687">
        <f t="shared" si="41"/>
        <v>0</v>
      </c>
      <c r="P270" s="688">
        <f t="shared" si="42"/>
        <v>475295</v>
      </c>
      <c r="Q270" s="689"/>
      <c r="R270" s="683">
        <f t="shared" si="43"/>
        <v>415387</v>
      </c>
      <c r="S270" s="567"/>
      <c r="U270" s="679"/>
    </row>
    <row r="271" spans="1:21" s="678" customFormat="1" ht="39" customHeight="1">
      <c r="A271" s="676">
        <v>257</v>
      </c>
      <c r="B271" s="677" t="str">
        <f>'Tên thang 01-26'!E260</f>
        <v>ហន ហាយ</v>
      </c>
      <c r="C271" s="690" t="str">
        <f>'Tên thang 01-26'!F260</f>
        <v>HORN HAY</v>
      </c>
      <c r="D271" s="680">
        <v>215</v>
      </c>
      <c r="E271" s="681">
        <v>31947</v>
      </c>
      <c r="F271" s="682">
        <f t="shared" si="38"/>
        <v>16.09</v>
      </c>
      <c r="G271" s="683">
        <v>514027</v>
      </c>
      <c r="H271" s="682">
        <f>'KL 1'!AG273</f>
        <v>39.869999999999997</v>
      </c>
      <c r="I271" s="683">
        <f t="shared" si="36"/>
        <v>1273727</v>
      </c>
      <c r="J271" s="684"/>
      <c r="K271" s="683"/>
      <c r="L271" s="685">
        <f t="shared" si="39"/>
        <v>1787754</v>
      </c>
      <c r="M271" s="683">
        <f t="shared" si="40"/>
        <v>514027</v>
      </c>
      <c r="N271" s="686">
        <f t="shared" si="37"/>
        <v>24000</v>
      </c>
      <c r="O271" s="687">
        <f t="shared" si="41"/>
        <v>13188</v>
      </c>
      <c r="P271" s="688">
        <f t="shared" si="42"/>
        <v>551215</v>
      </c>
      <c r="Q271" s="689"/>
      <c r="R271" s="683">
        <f t="shared" si="43"/>
        <v>1236539</v>
      </c>
      <c r="S271" s="567"/>
      <c r="U271" s="679"/>
    </row>
    <row r="272" spans="1:21" s="678" customFormat="1" ht="39" customHeight="1">
      <c r="A272" s="676">
        <v>258</v>
      </c>
      <c r="B272" s="677" t="str">
        <f>'Tên thang 01-26'!E261</f>
        <v>លាង ផា</v>
      </c>
      <c r="C272" s="690" t="str">
        <f>'Tên thang 01-26'!F261</f>
        <v>LEANG PHA</v>
      </c>
      <c r="D272" s="680">
        <v>216</v>
      </c>
      <c r="E272" s="681">
        <v>31947</v>
      </c>
      <c r="F272" s="682">
        <f t="shared" si="38"/>
        <v>14.05</v>
      </c>
      <c r="G272" s="683">
        <v>448855</v>
      </c>
      <c r="H272" s="682">
        <f>'KL 1'!AG274</f>
        <v>41.290000000000006</v>
      </c>
      <c r="I272" s="683">
        <f t="shared" ref="I272:I335" si="44">ROUND(E272*H272,0)</f>
        <v>1319092</v>
      </c>
      <c r="J272" s="684"/>
      <c r="K272" s="683"/>
      <c r="L272" s="685">
        <f t="shared" si="39"/>
        <v>1767947</v>
      </c>
      <c r="M272" s="683">
        <f t="shared" si="40"/>
        <v>448855</v>
      </c>
      <c r="N272" s="686">
        <f t="shared" ref="N272:N335" si="45">IF(L272&lt;=400000,400000*2%,IF(L272&lt;=1200000,ROUND(L272*2%,0),ROUND(1200000*2%,0)))</f>
        <v>24000</v>
      </c>
      <c r="O272" s="687">
        <f t="shared" si="41"/>
        <v>12197</v>
      </c>
      <c r="P272" s="688">
        <f t="shared" si="42"/>
        <v>485052</v>
      </c>
      <c r="Q272" s="689"/>
      <c r="R272" s="683">
        <f t="shared" si="43"/>
        <v>1282895</v>
      </c>
      <c r="S272" s="567"/>
      <c r="U272" s="679"/>
    </row>
    <row r="273" spans="1:21" s="678" customFormat="1" ht="39" customHeight="1">
      <c r="A273" s="676">
        <v>259</v>
      </c>
      <c r="B273" s="677" t="str">
        <f>'Tên thang 01-26'!E262</f>
        <v>អ៊ឹម ចាន់ណា</v>
      </c>
      <c r="C273" s="690" t="str">
        <f>'Tên thang 01-26'!F262</f>
        <v>OEM CHANNA</v>
      </c>
      <c r="D273" s="680">
        <v>217</v>
      </c>
      <c r="E273" s="681">
        <v>31947</v>
      </c>
      <c r="F273" s="682">
        <f t="shared" si="38"/>
        <v>16.29</v>
      </c>
      <c r="G273" s="683">
        <v>520417</v>
      </c>
      <c r="H273" s="682">
        <f>'KL 1'!AG275</f>
        <v>41.13</v>
      </c>
      <c r="I273" s="683">
        <f t="shared" si="44"/>
        <v>1313980</v>
      </c>
      <c r="J273" s="684"/>
      <c r="K273" s="683"/>
      <c r="L273" s="685">
        <f t="shared" si="39"/>
        <v>1834397</v>
      </c>
      <c r="M273" s="683">
        <f t="shared" si="40"/>
        <v>520417</v>
      </c>
      <c r="N273" s="686">
        <f t="shared" si="45"/>
        <v>24000</v>
      </c>
      <c r="O273" s="687">
        <f t="shared" si="41"/>
        <v>15520</v>
      </c>
      <c r="P273" s="688">
        <f t="shared" si="42"/>
        <v>559937</v>
      </c>
      <c r="Q273" s="689"/>
      <c r="R273" s="683">
        <f t="shared" si="43"/>
        <v>1274460</v>
      </c>
      <c r="S273" s="567"/>
      <c r="U273" s="679"/>
    </row>
    <row r="274" spans="1:21" s="678" customFormat="1" ht="39" customHeight="1">
      <c r="A274" s="676">
        <v>260</v>
      </c>
      <c r="B274" s="677" t="str">
        <f>'Tên thang 01-26'!E263</f>
        <v>អៀង វី</v>
      </c>
      <c r="C274" s="690" t="str">
        <f>'Tên thang 01-26'!F263</f>
        <v>EANG VY</v>
      </c>
      <c r="D274" s="680">
        <v>218</v>
      </c>
      <c r="E274" s="681">
        <v>31947</v>
      </c>
      <c r="F274" s="682">
        <f t="shared" si="38"/>
        <v>18.13</v>
      </c>
      <c r="G274" s="683">
        <v>579199</v>
      </c>
      <c r="H274" s="682">
        <f>'KL 1'!AG276</f>
        <v>42.79</v>
      </c>
      <c r="I274" s="683">
        <f t="shared" si="44"/>
        <v>1367012</v>
      </c>
      <c r="J274" s="684"/>
      <c r="K274" s="683"/>
      <c r="L274" s="685">
        <f t="shared" si="39"/>
        <v>1946211</v>
      </c>
      <c r="M274" s="683">
        <f t="shared" si="40"/>
        <v>579199</v>
      </c>
      <c r="N274" s="686">
        <f t="shared" si="45"/>
        <v>24000</v>
      </c>
      <c r="O274" s="687">
        <f t="shared" si="41"/>
        <v>21111</v>
      </c>
      <c r="P274" s="688">
        <f t="shared" si="42"/>
        <v>624310</v>
      </c>
      <c r="Q274" s="689"/>
      <c r="R274" s="683">
        <f t="shared" si="43"/>
        <v>1321901</v>
      </c>
      <c r="S274" s="567"/>
      <c r="U274" s="679"/>
    </row>
    <row r="275" spans="1:21" s="678" customFormat="1" ht="39" customHeight="1">
      <c r="A275" s="676">
        <v>261</v>
      </c>
      <c r="B275" s="677" t="str">
        <f>'Tên thang 01-26'!E264</f>
        <v>បុន បួត</v>
      </c>
      <c r="C275" s="690" t="str">
        <f>'Tên thang 01-26'!F264</f>
        <v>BON BUOT</v>
      </c>
      <c r="D275" s="680">
        <v>219</v>
      </c>
      <c r="E275" s="681">
        <v>31947</v>
      </c>
      <c r="F275" s="682">
        <f t="shared" si="38"/>
        <v>17.98</v>
      </c>
      <c r="G275" s="683">
        <v>574407</v>
      </c>
      <c r="H275" s="682">
        <f>'KL 1'!AG277</f>
        <v>32.869999999999997</v>
      </c>
      <c r="I275" s="683">
        <f t="shared" si="44"/>
        <v>1050098</v>
      </c>
      <c r="J275" s="684"/>
      <c r="K275" s="683"/>
      <c r="L275" s="685">
        <f t="shared" si="39"/>
        <v>1624505</v>
      </c>
      <c r="M275" s="683">
        <f t="shared" si="40"/>
        <v>574407</v>
      </c>
      <c r="N275" s="686">
        <f t="shared" si="45"/>
        <v>24000</v>
      </c>
      <c r="O275" s="687">
        <f t="shared" si="41"/>
        <v>5025</v>
      </c>
      <c r="P275" s="688">
        <f t="shared" si="42"/>
        <v>603432</v>
      </c>
      <c r="Q275" s="689"/>
      <c r="R275" s="683">
        <f t="shared" si="43"/>
        <v>1021073</v>
      </c>
      <c r="S275" s="567"/>
      <c r="U275" s="679"/>
    </row>
    <row r="276" spans="1:21" s="678" customFormat="1" ht="39" customHeight="1">
      <c r="A276" s="676">
        <v>262</v>
      </c>
      <c r="B276" s="677" t="str">
        <f>'Tên thang 01-26'!E265</f>
        <v>អ៊ួន ខ្មិក</v>
      </c>
      <c r="C276" s="690" t="str">
        <f>'Tên thang 01-26'!F265</f>
        <v>OUN KHMEK</v>
      </c>
      <c r="D276" s="680">
        <v>220</v>
      </c>
      <c r="E276" s="681">
        <v>31947</v>
      </c>
      <c r="F276" s="682">
        <f t="shared" si="38"/>
        <v>15.51</v>
      </c>
      <c r="G276" s="683">
        <v>495498</v>
      </c>
      <c r="H276" s="682">
        <f>'KL 1'!AG278</f>
        <v>35.53</v>
      </c>
      <c r="I276" s="683">
        <f t="shared" si="44"/>
        <v>1135077</v>
      </c>
      <c r="J276" s="684"/>
      <c r="K276" s="683"/>
      <c r="L276" s="685">
        <f t="shared" si="39"/>
        <v>1630575</v>
      </c>
      <c r="M276" s="683">
        <f t="shared" si="40"/>
        <v>495498</v>
      </c>
      <c r="N276" s="686">
        <f t="shared" si="45"/>
        <v>24000</v>
      </c>
      <c r="O276" s="687">
        <f t="shared" si="41"/>
        <v>5329</v>
      </c>
      <c r="P276" s="688">
        <f t="shared" si="42"/>
        <v>524827</v>
      </c>
      <c r="Q276" s="689"/>
      <c r="R276" s="683">
        <f t="shared" si="43"/>
        <v>1105748</v>
      </c>
      <c r="S276" s="567"/>
      <c r="U276" s="679"/>
    </row>
    <row r="277" spans="1:21" s="678" customFormat="1" ht="39" customHeight="1">
      <c r="A277" s="676">
        <v>263</v>
      </c>
      <c r="B277" s="677" t="str">
        <f>'Tên thang 01-26'!E266</f>
        <v>ឡាញ់ រ៉ុម</v>
      </c>
      <c r="C277" s="690" t="str">
        <f>'Tên thang 01-26'!F266</f>
        <v>LANG ROM</v>
      </c>
      <c r="D277" s="680">
        <v>221</v>
      </c>
      <c r="E277" s="681">
        <v>31947</v>
      </c>
      <c r="F277" s="682">
        <f t="shared" si="38"/>
        <v>21.39</v>
      </c>
      <c r="G277" s="683">
        <v>683346</v>
      </c>
      <c r="H277" s="682">
        <f>'KL 1'!AG279</f>
        <v>43.769999999999996</v>
      </c>
      <c r="I277" s="683">
        <f t="shared" si="44"/>
        <v>1398320</v>
      </c>
      <c r="J277" s="684"/>
      <c r="K277" s="683"/>
      <c r="L277" s="685">
        <f t="shared" si="39"/>
        <v>2081666</v>
      </c>
      <c r="M277" s="683">
        <f t="shared" si="40"/>
        <v>683346</v>
      </c>
      <c r="N277" s="686">
        <f t="shared" si="45"/>
        <v>24000</v>
      </c>
      <c r="O277" s="687">
        <f t="shared" si="41"/>
        <v>30767</v>
      </c>
      <c r="P277" s="688">
        <f t="shared" si="42"/>
        <v>738113</v>
      </c>
      <c r="Q277" s="689"/>
      <c r="R277" s="683">
        <f t="shared" si="43"/>
        <v>1343553</v>
      </c>
      <c r="S277" s="567"/>
      <c r="U277" s="679"/>
    </row>
    <row r="278" spans="1:21" s="678" customFormat="1" ht="39" customHeight="1">
      <c r="A278" s="676">
        <v>264</v>
      </c>
      <c r="B278" s="677" t="str">
        <f>'Tên thang 01-26'!E267</f>
        <v>ឡាញ់ លី</v>
      </c>
      <c r="C278" s="690" t="str">
        <f>'Tên thang 01-26'!F267</f>
        <v>LANH LY</v>
      </c>
      <c r="D278" s="680">
        <v>222</v>
      </c>
      <c r="E278" s="681">
        <v>31947</v>
      </c>
      <c r="F278" s="682">
        <f t="shared" si="38"/>
        <v>19.739999999999998</v>
      </c>
      <c r="G278" s="683">
        <v>630634</v>
      </c>
      <c r="H278" s="682">
        <f>'KL 1'!AG280</f>
        <v>41.980000000000004</v>
      </c>
      <c r="I278" s="683">
        <f t="shared" si="44"/>
        <v>1341135</v>
      </c>
      <c r="J278" s="684"/>
      <c r="K278" s="683"/>
      <c r="L278" s="685">
        <f t="shared" si="39"/>
        <v>1971769</v>
      </c>
      <c r="M278" s="683">
        <f t="shared" si="40"/>
        <v>630634</v>
      </c>
      <c r="N278" s="686">
        <f t="shared" si="45"/>
        <v>24000</v>
      </c>
      <c r="O278" s="687">
        <f t="shared" si="41"/>
        <v>22388</v>
      </c>
      <c r="P278" s="688">
        <f t="shared" si="42"/>
        <v>677022</v>
      </c>
      <c r="Q278" s="689"/>
      <c r="R278" s="683">
        <f t="shared" si="43"/>
        <v>1294747</v>
      </c>
      <c r="S278" s="567"/>
      <c r="U278" s="679"/>
    </row>
    <row r="279" spans="1:21" s="678" customFormat="1" ht="39" customHeight="1">
      <c r="A279" s="676">
        <v>265</v>
      </c>
      <c r="B279" s="677" t="str">
        <f>'Tên thang 01-26'!E268</f>
        <v>ប៊ិន យ៉ូត</v>
      </c>
      <c r="C279" s="690" t="str">
        <f>'Tên thang 01-26'!F268</f>
        <v>BIN YOUT</v>
      </c>
      <c r="D279" s="680">
        <v>223</v>
      </c>
      <c r="E279" s="681">
        <v>31947</v>
      </c>
      <c r="F279" s="682">
        <f t="shared" si="38"/>
        <v>17.739999999999998</v>
      </c>
      <c r="G279" s="683">
        <v>566740</v>
      </c>
      <c r="H279" s="682">
        <f>'KL 1'!AG281</f>
        <v>39.799999999999997</v>
      </c>
      <c r="I279" s="683">
        <f t="shared" si="44"/>
        <v>1271491</v>
      </c>
      <c r="J279" s="684"/>
      <c r="K279" s="683"/>
      <c r="L279" s="685">
        <f t="shared" si="39"/>
        <v>1838231</v>
      </c>
      <c r="M279" s="683">
        <f t="shared" si="40"/>
        <v>566740</v>
      </c>
      <c r="N279" s="686">
        <f t="shared" si="45"/>
        <v>24000</v>
      </c>
      <c r="O279" s="687">
        <f t="shared" si="41"/>
        <v>15712</v>
      </c>
      <c r="P279" s="688">
        <f t="shared" si="42"/>
        <v>606452</v>
      </c>
      <c r="Q279" s="689"/>
      <c r="R279" s="683">
        <f t="shared" si="43"/>
        <v>1231779</v>
      </c>
      <c r="S279" s="567"/>
      <c r="U279" s="679"/>
    </row>
    <row r="280" spans="1:21" s="678" customFormat="1" ht="39" customHeight="1">
      <c r="A280" s="676">
        <v>266</v>
      </c>
      <c r="B280" s="677" t="str">
        <f>'Tên thang 01-26'!E269</f>
        <v>ជ្រឹម សាត</v>
      </c>
      <c r="C280" s="690" t="str">
        <f>'Tên thang 01-26'!F269</f>
        <v>CHRIM SATH</v>
      </c>
      <c r="D280" s="680">
        <v>224</v>
      </c>
      <c r="E280" s="681">
        <v>31947</v>
      </c>
      <c r="F280" s="682">
        <f t="shared" si="38"/>
        <v>17.95</v>
      </c>
      <c r="G280" s="683">
        <v>573449</v>
      </c>
      <c r="H280" s="682">
        <f>'KL 1'!AG282</f>
        <v>39.5</v>
      </c>
      <c r="I280" s="683">
        <f t="shared" si="44"/>
        <v>1261907</v>
      </c>
      <c r="J280" s="684"/>
      <c r="K280" s="683"/>
      <c r="L280" s="685">
        <f t="shared" si="39"/>
        <v>1835356</v>
      </c>
      <c r="M280" s="683">
        <f t="shared" si="40"/>
        <v>573449</v>
      </c>
      <c r="N280" s="686">
        <f t="shared" si="45"/>
        <v>24000</v>
      </c>
      <c r="O280" s="687">
        <f t="shared" si="41"/>
        <v>15568</v>
      </c>
      <c r="P280" s="688">
        <f t="shared" si="42"/>
        <v>613017</v>
      </c>
      <c r="Q280" s="689"/>
      <c r="R280" s="683">
        <f t="shared" si="43"/>
        <v>1222339</v>
      </c>
      <c r="S280" s="567"/>
      <c r="U280" s="679"/>
    </row>
    <row r="281" spans="1:21" s="678" customFormat="1" ht="39" customHeight="1">
      <c r="A281" s="676">
        <v>267</v>
      </c>
      <c r="B281" s="677" t="str">
        <f>'Tên thang 01-26'!E270</f>
        <v>មិក ម៉ាច</v>
      </c>
      <c r="C281" s="690" t="str">
        <f>'Tên thang 01-26'!F270</f>
        <v>MIK MACH</v>
      </c>
      <c r="D281" s="680">
        <v>225</v>
      </c>
      <c r="E281" s="681">
        <v>31947</v>
      </c>
      <c r="F281" s="682">
        <f t="shared" si="38"/>
        <v>16.71</v>
      </c>
      <c r="G281" s="683">
        <v>533834</v>
      </c>
      <c r="H281" s="682">
        <f>'KL 1'!AG283</f>
        <v>41.180000000000007</v>
      </c>
      <c r="I281" s="683">
        <f t="shared" si="44"/>
        <v>1315577</v>
      </c>
      <c r="J281" s="684"/>
      <c r="K281" s="683"/>
      <c r="L281" s="685">
        <f t="shared" si="39"/>
        <v>1849411</v>
      </c>
      <c r="M281" s="683">
        <f t="shared" si="40"/>
        <v>533834</v>
      </c>
      <c r="N281" s="686">
        <f t="shared" si="45"/>
        <v>24000</v>
      </c>
      <c r="O281" s="687">
        <f t="shared" si="41"/>
        <v>16271</v>
      </c>
      <c r="P281" s="688">
        <f t="shared" si="42"/>
        <v>574105</v>
      </c>
      <c r="Q281" s="689"/>
      <c r="R281" s="683">
        <f t="shared" si="43"/>
        <v>1275306</v>
      </c>
      <c r="S281" s="567"/>
      <c r="U281" s="679"/>
    </row>
    <row r="282" spans="1:21" s="678" customFormat="1" ht="39" customHeight="1">
      <c r="A282" s="676">
        <v>268</v>
      </c>
      <c r="B282" s="677" t="str">
        <f>'Tên thang 01-26'!E271</f>
        <v>សៃ ឆាយា</v>
      </c>
      <c r="C282" s="690" t="str">
        <f>'Tên thang 01-26'!F271</f>
        <v>SAI CHHAYA</v>
      </c>
      <c r="D282" s="680">
        <v>226</v>
      </c>
      <c r="E282" s="681">
        <v>31947</v>
      </c>
      <c r="F282" s="682">
        <f t="shared" si="38"/>
        <v>15.68</v>
      </c>
      <c r="G282" s="683">
        <v>500929</v>
      </c>
      <c r="H282" s="682">
        <f>'KL 1'!AG284</f>
        <v>37.24</v>
      </c>
      <c r="I282" s="683">
        <f t="shared" si="44"/>
        <v>1189706</v>
      </c>
      <c r="J282" s="684"/>
      <c r="K282" s="683"/>
      <c r="L282" s="685">
        <f t="shared" si="39"/>
        <v>1690635</v>
      </c>
      <c r="M282" s="683">
        <f t="shared" si="40"/>
        <v>500929</v>
      </c>
      <c r="N282" s="686">
        <f t="shared" si="45"/>
        <v>24000</v>
      </c>
      <c r="O282" s="687">
        <f t="shared" si="41"/>
        <v>8332</v>
      </c>
      <c r="P282" s="688">
        <f t="shared" si="42"/>
        <v>533261</v>
      </c>
      <c r="Q282" s="689"/>
      <c r="R282" s="683">
        <f t="shared" si="43"/>
        <v>1157374</v>
      </c>
      <c r="S282" s="567"/>
      <c r="U282" s="679"/>
    </row>
    <row r="283" spans="1:21" s="678" customFormat="1" ht="39" customHeight="1">
      <c r="A283" s="676">
        <v>269</v>
      </c>
      <c r="B283" s="677" t="str">
        <f>'Tên thang 01-26'!E272</f>
        <v>ធី ភិរក្ស</v>
      </c>
      <c r="C283" s="690" t="str">
        <f>'Tên thang 01-26'!F272</f>
        <v>THY PHY REAK</v>
      </c>
      <c r="D283" s="680">
        <v>227</v>
      </c>
      <c r="E283" s="681">
        <v>31947</v>
      </c>
      <c r="F283" s="682">
        <f t="shared" si="38"/>
        <v>20.32</v>
      </c>
      <c r="G283" s="683">
        <v>649163</v>
      </c>
      <c r="H283" s="682">
        <f>'KL 1'!AG285</f>
        <v>44.58</v>
      </c>
      <c r="I283" s="683">
        <f t="shared" si="44"/>
        <v>1424197</v>
      </c>
      <c r="J283" s="684"/>
      <c r="K283" s="683"/>
      <c r="L283" s="685">
        <f t="shared" si="39"/>
        <v>2073360</v>
      </c>
      <c r="M283" s="683">
        <f t="shared" si="40"/>
        <v>649163</v>
      </c>
      <c r="N283" s="686">
        <f t="shared" si="45"/>
        <v>24000</v>
      </c>
      <c r="O283" s="687">
        <f t="shared" si="41"/>
        <v>29936</v>
      </c>
      <c r="P283" s="688">
        <f t="shared" si="42"/>
        <v>703099</v>
      </c>
      <c r="Q283" s="689"/>
      <c r="R283" s="683">
        <f t="shared" si="43"/>
        <v>1370261</v>
      </c>
      <c r="S283" s="567"/>
      <c r="U283" s="679"/>
    </row>
    <row r="284" spans="1:21" s="678" customFormat="1" ht="39" customHeight="1">
      <c r="A284" s="676">
        <v>270</v>
      </c>
      <c r="B284" s="677" t="str">
        <f>'Tên thang 01-26'!E273</f>
        <v>ភី ភ័ក្រ</v>
      </c>
      <c r="C284" s="690" t="str">
        <f>'Tên thang 01-26'!F273</f>
        <v>PHY PHAEK</v>
      </c>
      <c r="D284" s="680">
        <v>228</v>
      </c>
      <c r="E284" s="681">
        <v>31947</v>
      </c>
      <c r="F284" s="682">
        <f t="shared" si="38"/>
        <v>19.05</v>
      </c>
      <c r="G284" s="683">
        <v>608590</v>
      </c>
      <c r="H284" s="682">
        <f>'KL 1'!AG286</f>
        <v>43.98</v>
      </c>
      <c r="I284" s="683">
        <f t="shared" si="44"/>
        <v>1405029</v>
      </c>
      <c r="J284" s="684"/>
      <c r="K284" s="683"/>
      <c r="L284" s="685">
        <f t="shared" si="39"/>
        <v>2013619</v>
      </c>
      <c r="M284" s="683">
        <f t="shared" si="40"/>
        <v>608590</v>
      </c>
      <c r="N284" s="686">
        <f t="shared" si="45"/>
        <v>24000</v>
      </c>
      <c r="O284" s="687">
        <f t="shared" si="41"/>
        <v>24481</v>
      </c>
      <c r="P284" s="688">
        <f t="shared" si="42"/>
        <v>657071</v>
      </c>
      <c r="Q284" s="689"/>
      <c r="R284" s="683">
        <f t="shared" si="43"/>
        <v>1356548</v>
      </c>
      <c r="S284" s="567"/>
      <c r="U284" s="679"/>
    </row>
    <row r="285" spans="1:21" s="678" customFormat="1" ht="39" customHeight="1">
      <c r="A285" s="676">
        <v>271</v>
      </c>
      <c r="B285" s="677" t="str">
        <f>'Tên thang 01-26'!E274</f>
        <v>ឈួន ធី</v>
      </c>
      <c r="C285" s="690" t="str">
        <f>'Tên thang 01-26'!F274</f>
        <v>CHHUON THY</v>
      </c>
      <c r="D285" s="680">
        <v>229</v>
      </c>
      <c r="E285" s="681">
        <v>31947</v>
      </c>
      <c r="F285" s="682">
        <f t="shared" si="38"/>
        <v>18.079999999999998</v>
      </c>
      <c r="G285" s="683">
        <v>577602</v>
      </c>
      <c r="H285" s="682">
        <f>'KL 1'!AG287</f>
        <v>39.059999999999995</v>
      </c>
      <c r="I285" s="683">
        <f t="shared" si="44"/>
        <v>1247850</v>
      </c>
      <c r="J285" s="684"/>
      <c r="K285" s="683"/>
      <c r="L285" s="685">
        <f t="shared" si="39"/>
        <v>1825452</v>
      </c>
      <c r="M285" s="683">
        <f t="shared" si="40"/>
        <v>577602</v>
      </c>
      <c r="N285" s="686">
        <f t="shared" si="45"/>
        <v>24000</v>
      </c>
      <c r="O285" s="687">
        <f t="shared" si="41"/>
        <v>15073</v>
      </c>
      <c r="P285" s="688">
        <f t="shared" si="42"/>
        <v>616675</v>
      </c>
      <c r="Q285" s="689"/>
      <c r="R285" s="683">
        <f t="shared" si="43"/>
        <v>1208777</v>
      </c>
      <c r="S285" s="567"/>
      <c r="U285" s="679"/>
    </row>
    <row r="286" spans="1:21" s="678" customFormat="1" ht="39" customHeight="1">
      <c r="A286" s="676">
        <v>272</v>
      </c>
      <c r="B286" s="677" t="str">
        <f>'Tên thang 01-26'!E275</f>
        <v>អ៊ាង ឈីន</v>
      </c>
      <c r="C286" s="690" t="str">
        <f>'Tên thang 01-26'!F275</f>
        <v>EANG CHHIN</v>
      </c>
      <c r="D286" s="680">
        <v>230</v>
      </c>
      <c r="E286" s="681">
        <v>31947</v>
      </c>
      <c r="F286" s="682">
        <f t="shared" si="38"/>
        <v>17.559999999999999</v>
      </c>
      <c r="G286" s="683">
        <v>560989</v>
      </c>
      <c r="H286" s="682">
        <f>'KL 1'!AG288</f>
        <v>39.19</v>
      </c>
      <c r="I286" s="683">
        <f t="shared" si="44"/>
        <v>1252003</v>
      </c>
      <c r="J286" s="684"/>
      <c r="K286" s="683"/>
      <c r="L286" s="685">
        <f t="shared" si="39"/>
        <v>1812992</v>
      </c>
      <c r="M286" s="683">
        <f t="shared" si="40"/>
        <v>560989</v>
      </c>
      <c r="N286" s="686">
        <f t="shared" si="45"/>
        <v>24000</v>
      </c>
      <c r="O286" s="687">
        <f t="shared" si="41"/>
        <v>14450</v>
      </c>
      <c r="P286" s="688">
        <f t="shared" si="42"/>
        <v>599439</v>
      </c>
      <c r="Q286" s="689"/>
      <c r="R286" s="683">
        <f t="shared" si="43"/>
        <v>1213553</v>
      </c>
      <c r="S286" s="567"/>
      <c r="U286" s="679"/>
    </row>
    <row r="287" spans="1:21" s="678" customFormat="1" ht="39" customHeight="1">
      <c r="A287" s="676">
        <v>273</v>
      </c>
      <c r="B287" s="677" t="str">
        <f>'Tên thang 01-26'!E276</f>
        <v>លី គី</v>
      </c>
      <c r="C287" s="690" t="str">
        <f>'Tên thang 01-26'!F276</f>
        <v>LY KY</v>
      </c>
      <c r="D287" s="680">
        <v>231</v>
      </c>
      <c r="E287" s="681">
        <v>31947</v>
      </c>
      <c r="F287" s="682">
        <f t="shared" si="38"/>
        <v>16.739999999999998</v>
      </c>
      <c r="G287" s="683">
        <v>534793</v>
      </c>
      <c r="H287" s="682">
        <f>'KL 1'!AG289</f>
        <v>35.6</v>
      </c>
      <c r="I287" s="683">
        <f t="shared" si="44"/>
        <v>1137313</v>
      </c>
      <c r="J287" s="684"/>
      <c r="K287" s="683"/>
      <c r="L287" s="685">
        <f t="shared" si="39"/>
        <v>1672106</v>
      </c>
      <c r="M287" s="683">
        <f t="shared" si="40"/>
        <v>534793</v>
      </c>
      <c r="N287" s="686">
        <f t="shared" si="45"/>
        <v>24000</v>
      </c>
      <c r="O287" s="687">
        <f t="shared" si="41"/>
        <v>7405</v>
      </c>
      <c r="P287" s="688">
        <f t="shared" si="42"/>
        <v>566198</v>
      </c>
      <c r="Q287" s="689"/>
      <c r="R287" s="683">
        <f t="shared" si="43"/>
        <v>1105908</v>
      </c>
      <c r="S287" s="567"/>
      <c r="U287" s="679"/>
    </row>
    <row r="288" spans="1:21" s="678" customFormat="1" ht="39" customHeight="1">
      <c r="A288" s="676">
        <v>274</v>
      </c>
      <c r="B288" s="677" t="str">
        <f>'Tên thang 01-26'!E277</f>
        <v>សឿង ថេង</v>
      </c>
      <c r="C288" s="690" t="str">
        <f>'Tên thang 01-26'!F277</f>
        <v>SOEUNG THENG</v>
      </c>
      <c r="D288" s="680">
        <v>232</v>
      </c>
      <c r="E288" s="681">
        <v>31947</v>
      </c>
      <c r="F288" s="682">
        <f t="shared" si="38"/>
        <v>19.97</v>
      </c>
      <c r="G288" s="683">
        <v>637982</v>
      </c>
      <c r="H288" s="682">
        <f>'KL 1'!AG290</f>
        <v>41.839999999999996</v>
      </c>
      <c r="I288" s="683">
        <f t="shared" si="44"/>
        <v>1336662</v>
      </c>
      <c r="J288" s="684"/>
      <c r="K288" s="683"/>
      <c r="L288" s="685">
        <f t="shared" si="39"/>
        <v>1974644</v>
      </c>
      <c r="M288" s="683">
        <f t="shared" si="40"/>
        <v>637982</v>
      </c>
      <c r="N288" s="686">
        <f t="shared" si="45"/>
        <v>24000</v>
      </c>
      <c r="O288" s="687">
        <f t="shared" si="41"/>
        <v>22532</v>
      </c>
      <c r="P288" s="688">
        <f t="shared" si="42"/>
        <v>684514</v>
      </c>
      <c r="Q288" s="689"/>
      <c r="R288" s="683">
        <f t="shared" si="43"/>
        <v>1290130</v>
      </c>
      <c r="S288" s="567"/>
      <c r="U288" s="679"/>
    </row>
    <row r="289" spans="1:21" s="678" customFormat="1" ht="39" customHeight="1">
      <c r="A289" s="676">
        <v>275</v>
      </c>
      <c r="B289" s="677" t="str">
        <f>'Tên thang 01-26'!E278</f>
        <v>សឿន ចាន់</v>
      </c>
      <c r="C289" s="690" t="str">
        <f>'Tên thang 01-26'!F278</f>
        <v>SOEUN CHAN</v>
      </c>
      <c r="D289" s="680">
        <v>233</v>
      </c>
      <c r="E289" s="681">
        <v>31947</v>
      </c>
      <c r="F289" s="682">
        <f t="shared" si="38"/>
        <v>17.05</v>
      </c>
      <c r="G289" s="683">
        <v>544696</v>
      </c>
      <c r="H289" s="682">
        <f>'KL 1'!AG291</f>
        <v>41.699999999999996</v>
      </c>
      <c r="I289" s="683">
        <f t="shared" si="44"/>
        <v>1332190</v>
      </c>
      <c r="J289" s="684"/>
      <c r="K289" s="683"/>
      <c r="L289" s="685">
        <f t="shared" si="39"/>
        <v>1876886</v>
      </c>
      <c r="M289" s="683">
        <f t="shared" si="40"/>
        <v>544696</v>
      </c>
      <c r="N289" s="686">
        <f t="shared" si="45"/>
        <v>24000</v>
      </c>
      <c r="O289" s="687">
        <f t="shared" si="41"/>
        <v>17644</v>
      </c>
      <c r="P289" s="688">
        <f t="shared" si="42"/>
        <v>586340</v>
      </c>
      <c r="Q289" s="689"/>
      <c r="R289" s="683">
        <f t="shared" si="43"/>
        <v>1290546</v>
      </c>
      <c r="S289" s="567"/>
      <c r="U289" s="679"/>
    </row>
    <row r="290" spans="1:21" s="678" customFormat="1" ht="39" customHeight="1">
      <c r="A290" s="676">
        <v>276</v>
      </c>
      <c r="B290" s="677" t="str">
        <f>'Tên thang 01-26'!E279</f>
        <v>ពយ នីន</v>
      </c>
      <c r="C290" s="690" t="str">
        <f>'Tên thang 01-26'!F279</f>
        <v>POY NIN</v>
      </c>
      <c r="D290" s="680">
        <v>234</v>
      </c>
      <c r="E290" s="681">
        <v>31947</v>
      </c>
      <c r="F290" s="682">
        <f t="shared" si="38"/>
        <v>16.5</v>
      </c>
      <c r="G290" s="683">
        <v>527126</v>
      </c>
      <c r="H290" s="682">
        <f>'KL 1'!AG292</f>
        <v>39.51</v>
      </c>
      <c r="I290" s="683">
        <f t="shared" si="44"/>
        <v>1262226</v>
      </c>
      <c r="J290" s="684"/>
      <c r="K290" s="683"/>
      <c r="L290" s="685">
        <f t="shared" si="39"/>
        <v>1789352</v>
      </c>
      <c r="M290" s="683">
        <f t="shared" si="40"/>
        <v>527126</v>
      </c>
      <c r="N290" s="686">
        <f t="shared" si="45"/>
        <v>24000</v>
      </c>
      <c r="O290" s="687">
        <f t="shared" si="41"/>
        <v>13268</v>
      </c>
      <c r="P290" s="688">
        <f t="shared" si="42"/>
        <v>564394</v>
      </c>
      <c r="Q290" s="689"/>
      <c r="R290" s="683">
        <f t="shared" si="43"/>
        <v>1224958</v>
      </c>
      <c r="S290" s="567"/>
      <c r="U290" s="679"/>
    </row>
    <row r="291" spans="1:21" s="678" customFormat="1" ht="39" customHeight="1">
      <c r="A291" s="676">
        <v>277</v>
      </c>
      <c r="B291" s="677" t="str">
        <f>'Tên thang 01-26'!E280</f>
        <v>សោម ច័ន្ធសុភា</v>
      </c>
      <c r="C291" s="690" t="str">
        <f>'Tên thang 01-26'!F280</f>
        <v>SAOM CHAN SOPHEA</v>
      </c>
      <c r="D291" s="680">
        <v>235</v>
      </c>
      <c r="E291" s="681">
        <v>31947</v>
      </c>
      <c r="F291" s="682">
        <f t="shared" si="38"/>
        <v>16.690000000000001</v>
      </c>
      <c r="G291" s="683">
        <v>533195</v>
      </c>
      <c r="H291" s="682">
        <f>'KL 1'!AG293</f>
        <v>39.569999999999993</v>
      </c>
      <c r="I291" s="683">
        <f t="shared" si="44"/>
        <v>1264143</v>
      </c>
      <c r="J291" s="684"/>
      <c r="K291" s="683"/>
      <c r="L291" s="685">
        <f t="shared" si="39"/>
        <v>1797338</v>
      </c>
      <c r="M291" s="683">
        <f t="shared" si="40"/>
        <v>533195</v>
      </c>
      <c r="N291" s="686">
        <f t="shared" si="45"/>
        <v>24000</v>
      </c>
      <c r="O291" s="687">
        <f t="shared" si="41"/>
        <v>13667</v>
      </c>
      <c r="P291" s="688">
        <f t="shared" si="42"/>
        <v>570862</v>
      </c>
      <c r="Q291" s="689"/>
      <c r="R291" s="683">
        <f t="shared" si="43"/>
        <v>1226476</v>
      </c>
      <c r="S291" s="567"/>
      <c r="U291" s="679"/>
    </row>
    <row r="292" spans="1:21" s="678" customFormat="1" ht="39" customHeight="1">
      <c r="A292" s="676">
        <v>278</v>
      </c>
      <c r="B292" s="677" t="str">
        <f>'Tên thang 01-26'!E281</f>
        <v>គង់ សុផាន</v>
      </c>
      <c r="C292" s="690" t="str">
        <f>'Tên thang 01-26'!F281</f>
        <v>KONG SOPHAN</v>
      </c>
      <c r="D292" s="680">
        <v>236</v>
      </c>
      <c r="E292" s="681">
        <v>31947</v>
      </c>
      <c r="F292" s="682">
        <f t="shared" si="38"/>
        <v>16.64</v>
      </c>
      <c r="G292" s="683">
        <v>531598</v>
      </c>
      <c r="H292" s="682">
        <f>'KL 1'!AG294</f>
        <v>39.779999999999994</v>
      </c>
      <c r="I292" s="683">
        <f t="shared" si="44"/>
        <v>1270852</v>
      </c>
      <c r="J292" s="684"/>
      <c r="K292" s="683"/>
      <c r="L292" s="685">
        <f t="shared" si="39"/>
        <v>1802450</v>
      </c>
      <c r="M292" s="683">
        <f t="shared" si="40"/>
        <v>531598</v>
      </c>
      <c r="N292" s="686">
        <f t="shared" si="45"/>
        <v>24000</v>
      </c>
      <c r="O292" s="687">
        <f t="shared" si="41"/>
        <v>13923</v>
      </c>
      <c r="P292" s="688">
        <f t="shared" si="42"/>
        <v>569521</v>
      </c>
      <c r="Q292" s="689"/>
      <c r="R292" s="683">
        <f t="shared" si="43"/>
        <v>1232929</v>
      </c>
      <c r="S292" s="567"/>
      <c r="U292" s="679"/>
    </row>
    <row r="293" spans="1:21" s="678" customFormat="1" ht="39" customHeight="1">
      <c r="A293" s="676">
        <v>279</v>
      </c>
      <c r="B293" s="677" t="str">
        <f>'Tên thang 01-26'!E282</f>
        <v>ពាង ដែន</v>
      </c>
      <c r="C293" s="690" t="str">
        <f>'Tên thang 01-26'!F282</f>
        <v>PEANG DEN</v>
      </c>
      <c r="D293" s="680">
        <v>237</v>
      </c>
      <c r="E293" s="681">
        <v>31947</v>
      </c>
      <c r="F293" s="682">
        <f t="shared" si="38"/>
        <v>14.06</v>
      </c>
      <c r="G293" s="683">
        <v>449175</v>
      </c>
      <c r="H293" s="682">
        <f>'KL 1'!AG295</f>
        <v>33.840000000000003</v>
      </c>
      <c r="I293" s="683">
        <f t="shared" si="44"/>
        <v>1081086</v>
      </c>
      <c r="J293" s="684"/>
      <c r="K293" s="683"/>
      <c r="L293" s="685">
        <f t="shared" si="39"/>
        <v>1530261</v>
      </c>
      <c r="M293" s="683">
        <f t="shared" si="40"/>
        <v>449175</v>
      </c>
      <c r="N293" s="686">
        <f t="shared" si="45"/>
        <v>24000</v>
      </c>
      <c r="O293" s="687">
        <f t="shared" si="41"/>
        <v>313</v>
      </c>
      <c r="P293" s="688">
        <f t="shared" si="42"/>
        <v>473488</v>
      </c>
      <c r="Q293" s="689"/>
      <c r="R293" s="683">
        <f t="shared" si="43"/>
        <v>1056773</v>
      </c>
      <c r="S293" s="567"/>
      <c r="U293" s="679"/>
    </row>
    <row r="294" spans="1:21" s="678" customFormat="1" ht="39" customHeight="1">
      <c r="A294" s="676">
        <v>280</v>
      </c>
      <c r="B294" s="677" t="str">
        <f>'Tên thang 01-26'!E283</f>
        <v>ពៅ ផាត</v>
      </c>
      <c r="C294" s="690" t="str">
        <f>'Tên thang 01-26'!F283</f>
        <v>POV PHAT</v>
      </c>
      <c r="D294" s="680">
        <v>238</v>
      </c>
      <c r="E294" s="681">
        <v>31947</v>
      </c>
      <c r="F294" s="682">
        <f t="shared" si="38"/>
        <v>13.98</v>
      </c>
      <c r="G294" s="683">
        <v>446619</v>
      </c>
      <c r="H294" s="682">
        <f>'KL 1'!AG296</f>
        <v>39.24</v>
      </c>
      <c r="I294" s="683">
        <f t="shared" si="44"/>
        <v>1253600</v>
      </c>
      <c r="J294" s="684"/>
      <c r="K294" s="683"/>
      <c r="L294" s="685">
        <f t="shared" si="39"/>
        <v>1700219</v>
      </c>
      <c r="M294" s="683">
        <f t="shared" si="40"/>
        <v>446619</v>
      </c>
      <c r="N294" s="686">
        <f t="shared" si="45"/>
        <v>24000</v>
      </c>
      <c r="O294" s="687">
        <f t="shared" si="41"/>
        <v>8811</v>
      </c>
      <c r="P294" s="688">
        <f t="shared" si="42"/>
        <v>479430</v>
      </c>
      <c r="Q294" s="689"/>
      <c r="R294" s="683">
        <f t="shared" si="43"/>
        <v>1220789</v>
      </c>
      <c r="S294" s="567"/>
      <c r="U294" s="679"/>
    </row>
    <row r="295" spans="1:21" s="678" customFormat="1" ht="39" customHeight="1">
      <c r="A295" s="676">
        <v>281</v>
      </c>
      <c r="B295" s="677" t="str">
        <f>'Tên thang 01-26'!E284</f>
        <v>តុត យាង</v>
      </c>
      <c r="C295" s="690" t="str">
        <f>'Tên thang 01-26'!F284</f>
        <v>TOT YEANG</v>
      </c>
      <c r="D295" s="680">
        <v>239</v>
      </c>
      <c r="E295" s="681">
        <v>31947</v>
      </c>
      <c r="F295" s="682">
        <f t="shared" si="38"/>
        <v>15.09</v>
      </c>
      <c r="G295" s="683">
        <v>482080</v>
      </c>
      <c r="H295" s="682">
        <f>'KL 1'!AG297</f>
        <v>40.97</v>
      </c>
      <c r="I295" s="683">
        <f t="shared" si="44"/>
        <v>1308869</v>
      </c>
      <c r="J295" s="684"/>
      <c r="K295" s="683"/>
      <c r="L295" s="685">
        <f t="shared" si="39"/>
        <v>1790949</v>
      </c>
      <c r="M295" s="683">
        <f t="shared" si="40"/>
        <v>482080</v>
      </c>
      <c r="N295" s="686">
        <f t="shared" si="45"/>
        <v>24000</v>
      </c>
      <c r="O295" s="687">
        <f t="shared" si="41"/>
        <v>13347</v>
      </c>
      <c r="P295" s="688">
        <f t="shared" si="42"/>
        <v>519427</v>
      </c>
      <c r="Q295" s="689"/>
      <c r="R295" s="683">
        <f t="shared" si="43"/>
        <v>1271522</v>
      </c>
      <c r="S295" s="567"/>
      <c r="U295" s="679"/>
    </row>
    <row r="296" spans="1:21" s="678" customFormat="1" ht="39" customHeight="1">
      <c r="A296" s="676">
        <v>282</v>
      </c>
      <c r="B296" s="677" t="str">
        <f>'Tên thang 01-26'!E285</f>
        <v>ថន សាន</v>
      </c>
      <c r="C296" s="690" t="str">
        <f>'Tên thang 01-26'!F285</f>
        <v>THAN SAN</v>
      </c>
      <c r="D296" s="680">
        <v>240</v>
      </c>
      <c r="E296" s="681">
        <v>31947</v>
      </c>
      <c r="F296" s="682">
        <f t="shared" si="38"/>
        <v>14.9</v>
      </c>
      <c r="G296" s="683">
        <v>476010</v>
      </c>
      <c r="H296" s="682">
        <f>'KL 1'!AG298</f>
        <v>35.349999999999994</v>
      </c>
      <c r="I296" s="683">
        <f t="shared" si="44"/>
        <v>1129326</v>
      </c>
      <c r="J296" s="684"/>
      <c r="K296" s="683"/>
      <c r="L296" s="685">
        <f t="shared" si="39"/>
        <v>1605336</v>
      </c>
      <c r="M296" s="683">
        <f t="shared" si="40"/>
        <v>476010</v>
      </c>
      <c r="N296" s="686">
        <f t="shared" si="45"/>
        <v>24000</v>
      </c>
      <c r="O296" s="687">
        <f t="shared" si="41"/>
        <v>4067</v>
      </c>
      <c r="P296" s="688">
        <f t="shared" si="42"/>
        <v>504077</v>
      </c>
      <c r="Q296" s="689"/>
      <c r="R296" s="683">
        <f t="shared" si="43"/>
        <v>1101259</v>
      </c>
      <c r="S296" s="567"/>
      <c r="U296" s="679"/>
    </row>
    <row r="297" spans="1:21" s="678" customFormat="1" ht="39" customHeight="1">
      <c r="A297" s="676">
        <v>283</v>
      </c>
      <c r="B297" s="677" t="str">
        <f>'Tên thang 01-26'!E286</f>
        <v>គឿន សុខអន</v>
      </c>
      <c r="C297" s="690" t="str">
        <f>'Tên thang 01-26'!F286</f>
        <v>KOEUN SOH ON</v>
      </c>
      <c r="D297" s="680">
        <v>241</v>
      </c>
      <c r="E297" s="681">
        <v>31947</v>
      </c>
      <c r="F297" s="682">
        <f t="shared" si="38"/>
        <v>12.17</v>
      </c>
      <c r="G297" s="683">
        <v>388795</v>
      </c>
      <c r="H297" s="682">
        <f>'KL 1'!AG299</f>
        <v>39.619999999999997</v>
      </c>
      <c r="I297" s="683">
        <f t="shared" si="44"/>
        <v>1265740</v>
      </c>
      <c r="J297" s="684"/>
      <c r="K297" s="683"/>
      <c r="L297" s="685">
        <f t="shared" si="39"/>
        <v>1654535</v>
      </c>
      <c r="M297" s="683">
        <f t="shared" si="40"/>
        <v>388795</v>
      </c>
      <c r="N297" s="686">
        <f t="shared" si="45"/>
        <v>24000</v>
      </c>
      <c r="O297" s="687">
        <f t="shared" si="41"/>
        <v>6527</v>
      </c>
      <c r="P297" s="688">
        <f t="shared" si="42"/>
        <v>419322</v>
      </c>
      <c r="Q297" s="689"/>
      <c r="R297" s="683">
        <f t="shared" si="43"/>
        <v>1235213</v>
      </c>
      <c r="S297" s="567"/>
      <c r="U297" s="679"/>
    </row>
    <row r="298" spans="1:21" s="678" customFormat="1" ht="39" customHeight="1">
      <c r="A298" s="676">
        <v>284</v>
      </c>
      <c r="B298" s="677" t="str">
        <f>'Tên thang 01-26'!E287</f>
        <v>ជិន ជឿន</v>
      </c>
      <c r="C298" s="690" t="str">
        <f>'Tên thang 01-26'!F287</f>
        <v>CHIN CHOEUNG</v>
      </c>
      <c r="D298" s="680">
        <v>242</v>
      </c>
      <c r="E298" s="681">
        <v>31947</v>
      </c>
      <c r="F298" s="682">
        <f t="shared" si="38"/>
        <v>12.73</v>
      </c>
      <c r="G298" s="683">
        <v>406685</v>
      </c>
      <c r="H298" s="682">
        <f>'KL 1'!AG300</f>
        <v>40.31</v>
      </c>
      <c r="I298" s="683">
        <f t="shared" si="44"/>
        <v>1287784</v>
      </c>
      <c r="J298" s="684"/>
      <c r="K298" s="683"/>
      <c r="L298" s="685">
        <f t="shared" si="39"/>
        <v>1694469</v>
      </c>
      <c r="M298" s="683">
        <f t="shared" si="40"/>
        <v>406685</v>
      </c>
      <c r="N298" s="686">
        <f t="shared" si="45"/>
        <v>24000</v>
      </c>
      <c r="O298" s="687">
        <f t="shared" si="41"/>
        <v>8523</v>
      </c>
      <c r="P298" s="688">
        <f t="shared" si="42"/>
        <v>439208</v>
      </c>
      <c r="Q298" s="689"/>
      <c r="R298" s="683">
        <f t="shared" si="43"/>
        <v>1255261</v>
      </c>
      <c r="S298" s="567"/>
      <c r="U298" s="679"/>
    </row>
    <row r="299" spans="1:21" s="678" customFormat="1" ht="39" customHeight="1">
      <c r="A299" s="676">
        <v>285</v>
      </c>
      <c r="B299" s="677" t="str">
        <f>'Tên thang 01-26'!E288</f>
        <v>កុង នេត្រា</v>
      </c>
      <c r="C299" s="690" t="str">
        <f>'Tên thang 01-26'!F288</f>
        <v>KONG NETRA</v>
      </c>
      <c r="D299" s="680">
        <v>243</v>
      </c>
      <c r="E299" s="681">
        <v>31947</v>
      </c>
      <c r="F299" s="682">
        <f t="shared" si="38"/>
        <v>19.21</v>
      </c>
      <c r="G299" s="683">
        <v>613702</v>
      </c>
      <c r="H299" s="682">
        <f>'KL 1'!AG301</f>
        <v>40.93</v>
      </c>
      <c r="I299" s="683">
        <f t="shared" si="44"/>
        <v>1307591</v>
      </c>
      <c r="J299" s="684"/>
      <c r="K299" s="683"/>
      <c r="L299" s="685">
        <f t="shared" si="39"/>
        <v>1921293</v>
      </c>
      <c r="M299" s="683">
        <f t="shared" si="40"/>
        <v>613702</v>
      </c>
      <c r="N299" s="686">
        <f t="shared" si="45"/>
        <v>24000</v>
      </c>
      <c r="O299" s="687">
        <f t="shared" si="41"/>
        <v>19865</v>
      </c>
      <c r="P299" s="688">
        <f t="shared" si="42"/>
        <v>657567</v>
      </c>
      <c r="Q299" s="689"/>
      <c r="R299" s="683">
        <f t="shared" si="43"/>
        <v>1263726</v>
      </c>
      <c r="S299" s="567"/>
      <c r="U299" s="679"/>
    </row>
    <row r="300" spans="1:21" s="678" customFormat="1" ht="39" customHeight="1">
      <c r="A300" s="676">
        <v>286</v>
      </c>
      <c r="B300" s="677" t="str">
        <f>'Tên thang 01-26'!E289</f>
        <v>យាង យេង</v>
      </c>
      <c r="C300" s="690" t="str">
        <f>'Tên thang 01-26'!F289</f>
        <v>YEANG YENG</v>
      </c>
      <c r="D300" s="680">
        <v>244</v>
      </c>
      <c r="E300" s="681">
        <v>31947</v>
      </c>
      <c r="F300" s="682">
        <f t="shared" si="38"/>
        <v>19.52</v>
      </c>
      <c r="G300" s="683">
        <v>623605</v>
      </c>
      <c r="H300" s="682">
        <f>'KL 1'!AG302</f>
        <v>40.809999999999995</v>
      </c>
      <c r="I300" s="683">
        <f t="shared" si="44"/>
        <v>1303757</v>
      </c>
      <c r="J300" s="684"/>
      <c r="K300" s="683"/>
      <c r="L300" s="685">
        <f t="shared" si="39"/>
        <v>1927362</v>
      </c>
      <c r="M300" s="683">
        <f t="shared" si="40"/>
        <v>623605</v>
      </c>
      <c r="N300" s="686">
        <f t="shared" si="45"/>
        <v>24000</v>
      </c>
      <c r="O300" s="687">
        <f t="shared" si="41"/>
        <v>20168</v>
      </c>
      <c r="P300" s="688">
        <f t="shared" si="42"/>
        <v>667773</v>
      </c>
      <c r="Q300" s="689"/>
      <c r="R300" s="683">
        <f t="shared" si="43"/>
        <v>1259589</v>
      </c>
      <c r="S300" s="567"/>
      <c r="U300" s="679"/>
    </row>
    <row r="301" spans="1:21" s="678" customFormat="1" ht="39" customHeight="1">
      <c r="A301" s="676">
        <v>287</v>
      </c>
      <c r="B301" s="677" t="str">
        <f>'Tên thang 01-26'!E290</f>
        <v>សេង​ ធឿ</v>
      </c>
      <c r="C301" s="690" t="str">
        <f>'Tên thang 01-26'!F290</f>
        <v>SENG THOEU</v>
      </c>
      <c r="D301" s="680">
        <v>245</v>
      </c>
      <c r="E301" s="681">
        <v>31947</v>
      </c>
      <c r="F301" s="682">
        <f t="shared" si="38"/>
        <v>14.94</v>
      </c>
      <c r="G301" s="683">
        <v>477288</v>
      </c>
      <c r="H301" s="682">
        <f>'KL 1'!AG303</f>
        <v>27.87</v>
      </c>
      <c r="I301" s="683">
        <f t="shared" si="44"/>
        <v>890363</v>
      </c>
      <c r="J301" s="684"/>
      <c r="K301" s="683"/>
      <c r="L301" s="685">
        <f t="shared" si="39"/>
        <v>1367651</v>
      </c>
      <c r="M301" s="683">
        <f t="shared" si="40"/>
        <v>477288</v>
      </c>
      <c r="N301" s="686">
        <f t="shared" si="45"/>
        <v>24000</v>
      </c>
      <c r="O301" s="687">
        <f t="shared" si="41"/>
        <v>0</v>
      </c>
      <c r="P301" s="688">
        <f t="shared" si="42"/>
        <v>501288</v>
      </c>
      <c r="Q301" s="689"/>
      <c r="R301" s="683">
        <f t="shared" si="43"/>
        <v>866363</v>
      </c>
      <c r="S301" s="567"/>
      <c r="U301" s="679"/>
    </row>
    <row r="302" spans="1:21" s="678" customFormat="1" ht="39" customHeight="1">
      <c r="A302" s="676">
        <v>288</v>
      </c>
      <c r="B302" s="677" t="str">
        <f>'Tên thang 01-26'!E291</f>
        <v>យ៉ាំ ឡត</v>
      </c>
      <c r="C302" s="690" t="str">
        <f>'Tên thang 01-26'!F291</f>
        <v>YAM LOTH</v>
      </c>
      <c r="D302" s="680">
        <v>246</v>
      </c>
      <c r="E302" s="681">
        <v>31947</v>
      </c>
      <c r="F302" s="682">
        <f t="shared" si="38"/>
        <v>20.309999999999999</v>
      </c>
      <c r="G302" s="683">
        <v>648844</v>
      </c>
      <c r="H302" s="682">
        <f>'KL 1'!AG304</f>
        <v>43.04</v>
      </c>
      <c r="I302" s="683">
        <f t="shared" si="44"/>
        <v>1374999</v>
      </c>
      <c r="J302" s="684"/>
      <c r="K302" s="683"/>
      <c r="L302" s="685">
        <f t="shared" si="39"/>
        <v>2023843</v>
      </c>
      <c r="M302" s="683">
        <f t="shared" si="40"/>
        <v>648844</v>
      </c>
      <c r="N302" s="686">
        <f t="shared" si="45"/>
        <v>24000</v>
      </c>
      <c r="O302" s="687">
        <f t="shared" si="41"/>
        <v>24992</v>
      </c>
      <c r="P302" s="688">
        <f t="shared" si="42"/>
        <v>697836</v>
      </c>
      <c r="Q302" s="689"/>
      <c r="R302" s="683">
        <f t="shared" si="43"/>
        <v>1326007</v>
      </c>
      <c r="S302" s="567"/>
      <c r="U302" s="679"/>
    </row>
    <row r="303" spans="1:21" s="678" customFormat="1" ht="39" customHeight="1">
      <c r="A303" s="676">
        <v>289</v>
      </c>
      <c r="B303" s="677" t="str">
        <f>'Tên thang 01-26'!E292</f>
        <v>វី ភក្កី</v>
      </c>
      <c r="C303" s="690" t="str">
        <f>'Tên thang 01-26'!F292</f>
        <v>VY PHEAKDEY</v>
      </c>
      <c r="D303" s="680">
        <v>247</v>
      </c>
      <c r="E303" s="681">
        <v>31947</v>
      </c>
      <c r="F303" s="682">
        <f t="shared" si="38"/>
        <v>20.69</v>
      </c>
      <c r="G303" s="683">
        <v>660983</v>
      </c>
      <c r="H303" s="682">
        <f>'KL 1'!AG305</f>
        <v>42.38</v>
      </c>
      <c r="I303" s="683">
        <f t="shared" si="44"/>
        <v>1353914</v>
      </c>
      <c r="J303" s="684"/>
      <c r="K303" s="683"/>
      <c r="L303" s="685">
        <f t="shared" si="39"/>
        <v>2014897</v>
      </c>
      <c r="M303" s="683">
        <f t="shared" si="40"/>
        <v>660983</v>
      </c>
      <c r="N303" s="686">
        <f t="shared" si="45"/>
        <v>24000</v>
      </c>
      <c r="O303" s="687">
        <f t="shared" si="41"/>
        <v>24545</v>
      </c>
      <c r="P303" s="688">
        <f t="shared" si="42"/>
        <v>709528</v>
      </c>
      <c r="Q303" s="689"/>
      <c r="R303" s="683">
        <f t="shared" si="43"/>
        <v>1305369</v>
      </c>
      <c r="S303" s="567"/>
      <c r="U303" s="679"/>
    </row>
    <row r="304" spans="1:21" s="678" customFormat="1" ht="39" customHeight="1">
      <c r="A304" s="676">
        <v>290</v>
      </c>
      <c r="B304" s="677" t="str">
        <f>'Tên thang 01-26'!E293</f>
        <v>ហាប់ វឿ</v>
      </c>
      <c r="C304" s="690" t="str">
        <f>'Tên thang 01-26'!F293</f>
        <v>HAB VOR</v>
      </c>
      <c r="D304" s="680">
        <v>248</v>
      </c>
      <c r="E304" s="681">
        <v>31947</v>
      </c>
      <c r="F304" s="682">
        <f t="shared" si="38"/>
        <v>18.39</v>
      </c>
      <c r="G304" s="683">
        <v>587505</v>
      </c>
      <c r="H304" s="682">
        <f>'KL 1'!AG306</f>
        <v>40.65</v>
      </c>
      <c r="I304" s="683">
        <f t="shared" si="44"/>
        <v>1298646</v>
      </c>
      <c r="J304" s="684"/>
      <c r="K304" s="683"/>
      <c r="L304" s="685">
        <f t="shared" si="39"/>
        <v>1886151</v>
      </c>
      <c r="M304" s="683">
        <f t="shared" si="40"/>
        <v>587505</v>
      </c>
      <c r="N304" s="686">
        <f t="shared" si="45"/>
        <v>24000</v>
      </c>
      <c r="O304" s="687">
        <f t="shared" si="41"/>
        <v>18108</v>
      </c>
      <c r="P304" s="688">
        <f t="shared" si="42"/>
        <v>629613</v>
      </c>
      <c r="Q304" s="689"/>
      <c r="R304" s="683">
        <f t="shared" si="43"/>
        <v>1256538</v>
      </c>
      <c r="S304" s="567"/>
      <c r="U304" s="679"/>
    </row>
    <row r="305" spans="1:21" s="678" customFormat="1" ht="39" customHeight="1">
      <c r="A305" s="676">
        <v>291</v>
      </c>
      <c r="B305" s="677" t="str">
        <f>'Tên thang 01-26'!E294</f>
        <v>ឃុន សុខខៃ</v>
      </c>
      <c r="C305" s="690" t="str">
        <f>'Tên thang 01-26'!F294</f>
        <v>KHOEN SOKKHEY</v>
      </c>
      <c r="D305" s="680">
        <v>249</v>
      </c>
      <c r="E305" s="681">
        <v>31947</v>
      </c>
      <c r="F305" s="682">
        <f t="shared" si="38"/>
        <v>22.45</v>
      </c>
      <c r="G305" s="683">
        <v>717210</v>
      </c>
      <c r="H305" s="682">
        <f>'KL 1'!AG307</f>
        <v>45.74</v>
      </c>
      <c r="I305" s="683">
        <f t="shared" si="44"/>
        <v>1461256</v>
      </c>
      <c r="J305" s="684"/>
      <c r="K305" s="683"/>
      <c r="L305" s="685">
        <f t="shared" si="39"/>
        <v>2178466</v>
      </c>
      <c r="M305" s="683">
        <f t="shared" si="40"/>
        <v>717210</v>
      </c>
      <c r="N305" s="686">
        <f t="shared" si="45"/>
        <v>24000</v>
      </c>
      <c r="O305" s="687">
        <f t="shared" si="41"/>
        <v>40447</v>
      </c>
      <c r="P305" s="688">
        <f t="shared" si="42"/>
        <v>781657</v>
      </c>
      <c r="Q305" s="689"/>
      <c r="R305" s="683">
        <f t="shared" si="43"/>
        <v>1396809</v>
      </c>
      <c r="S305" s="567"/>
      <c r="U305" s="679"/>
    </row>
    <row r="306" spans="1:21" s="678" customFormat="1" ht="39" customHeight="1">
      <c r="A306" s="676">
        <v>292</v>
      </c>
      <c r="B306" s="677" t="str">
        <f>'Tên thang 01-26'!E295</f>
        <v>ហាន គឹមហុង</v>
      </c>
      <c r="C306" s="690" t="str">
        <f>'Tên thang 01-26'!F295</f>
        <v>HEAN KIMHONG</v>
      </c>
      <c r="D306" s="680">
        <v>250</v>
      </c>
      <c r="E306" s="681">
        <v>31947</v>
      </c>
      <c r="F306" s="682">
        <f t="shared" si="38"/>
        <v>15.51</v>
      </c>
      <c r="G306" s="683">
        <v>495498</v>
      </c>
      <c r="H306" s="682">
        <f>'KL 1'!AG308</f>
        <v>31.710000000000004</v>
      </c>
      <c r="I306" s="683">
        <f t="shared" si="44"/>
        <v>1013039</v>
      </c>
      <c r="J306" s="684"/>
      <c r="K306" s="683"/>
      <c r="L306" s="685">
        <f t="shared" si="39"/>
        <v>1508537</v>
      </c>
      <c r="M306" s="683">
        <f t="shared" si="40"/>
        <v>495498</v>
      </c>
      <c r="N306" s="686">
        <f t="shared" si="45"/>
        <v>24000</v>
      </c>
      <c r="O306" s="687">
        <f t="shared" si="41"/>
        <v>0</v>
      </c>
      <c r="P306" s="688">
        <f t="shared" si="42"/>
        <v>519498</v>
      </c>
      <c r="Q306" s="689"/>
      <c r="R306" s="683">
        <f t="shared" si="43"/>
        <v>989039</v>
      </c>
      <c r="S306" s="567"/>
      <c r="U306" s="679"/>
    </row>
    <row r="307" spans="1:21" s="678" customFormat="1" ht="36.6" customHeight="1">
      <c r="A307" s="676">
        <v>293</v>
      </c>
      <c r="B307" s="677" t="str">
        <f>'Tên thang 01-26'!E296</f>
        <v>ឃាន ជាង</v>
      </c>
      <c r="C307" s="690" t="str">
        <f>'Tên thang 01-26'!F296</f>
        <v>KHEAN CHIENG</v>
      </c>
      <c r="D307" s="680">
        <v>499</v>
      </c>
      <c r="E307" s="681">
        <v>31947</v>
      </c>
      <c r="F307" s="682">
        <f t="shared" si="38"/>
        <v>18.28</v>
      </c>
      <c r="G307" s="683">
        <v>583991</v>
      </c>
      <c r="H307" s="682">
        <f>'KL 1'!AG309</f>
        <v>31.43</v>
      </c>
      <c r="I307" s="683">
        <f t="shared" si="44"/>
        <v>1004094</v>
      </c>
      <c r="J307" s="684"/>
      <c r="K307" s="683"/>
      <c r="L307" s="685">
        <f t="shared" si="39"/>
        <v>1588085</v>
      </c>
      <c r="M307" s="683">
        <f t="shared" si="40"/>
        <v>583991</v>
      </c>
      <c r="N307" s="686">
        <f t="shared" si="45"/>
        <v>24000</v>
      </c>
      <c r="O307" s="687">
        <f t="shared" si="41"/>
        <v>3204</v>
      </c>
      <c r="P307" s="688">
        <f t="shared" si="42"/>
        <v>611195</v>
      </c>
      <c r="Q307" s="689"/>
      <c r="R307" s="683">
        <f t="shared" si="43"/>
        <v>976890</v>
      </c>
      <c r="S307" s="567"/>
      <c r="U307" s="679"/>
    </row>
    <row r="308" spans="1:21" s="678" customFormat="1" ht="39" customHeight="1">
      <c r="A308" s="676">
        <v>294</v>
      </c>
      <c r="B308" s="677" t="str">
        <f>'Tên thang 01-26'!E297</f>
        <v>ឃន សាវី</v>
      </c>
      <c r="C308" s="690" t="str">
        <f>'Tên thang 01-26'!F297</f>
        <v>KHORN SAVY</v>
      </c>
      <c r="D308" s="680">
        <v>500</v>
      </c>
      <c r="E308" s="681">
        <v>31947</v>
      </c>
      <c r="F308" s="682">
        <f t="shared" si="38"/>
        <v>20.93</v>
      </c>
      <c r="G308" s="683">
        <v>668651</v>
      </c>
      <c r="H308" s="682">
        <f>'KL 1'!AG310</f>
        <v>30.8</v>
      </c>
      <c r="I308" s="683">
        <f t="shared" si="44"/>
        <v>983968</v>
      </c>
      <c r="J308" s="684"/>
      <c r="K308" s="683"/>
      <c r="L308" s="685">
        <f t="shared" si="39"/>
        <v>1652619</v>
      </c>
      <c r="M308" s="683">
        <f t="shared" si="40"/>
        <v>668651</v>
      </c>
      <c r="N308" s="686">
        <f t="shared" si="45"/>
        <v>24000</v>
      </c>
      <c r="O308" s="687">
        <f t="shared" si="41"/>
        <v>6431</v>
      </c>
      <c r="P308" s="688">
        <f t="shared" si="42"/>
        <v>699082</v>
      </c>
      <c r="Q308" s="689"/>
      <c r="R308" s="683">
        <f t="shared" si="43"/>
        <v>953537</v>
      </c>
      <c r="S308" s="567"/>
      <c r="U308" s="679"/>
    </row>
    <row r="309" spans="1:21" s="678" customFormat="1" ht="35.4" customHeight="1">
      <c r="A309" s="676">
        <v>295</v>
      </c>
      <c r="B309" s="677" t="str">
        <f>'Tên thang 01-26'!E298</f>
        <v>ផាវ ផាន់</v>
      </c>
      <c r="C309" s="690" t="str">
        <f>'Tên thang 01-26'!F298</f>
        <v>PHAV PHANN</v>
      </c>
      <c r="D309" s="680">
        <v>501</v>
      </c>
      <c r="E309" s="681">
        <v>31947</v>
      </c>
      <c r="F309" s="682">
        <f t="shared" ref="F309:F372" si="46">ROUND(G309/31947,2)</f>
        <v>20.14</v>
      </c>
      <c r="G309" s="683">
        <v>643413</v>
      </c>
      <c r="H309" s="682">
        <f>'KL 1'!AG311</f>
        <v>41.86</v>
      </c>
      <c r="I309" s="683">
        <f t="shared" si="44"/>
        <v>1337301</v>
      </c>
      <c r="J309" s="684"/>
      <c r="K309" s="683"/>
      <c r="L309" s="685">
        <f t="shared" ref="L309:L372" si="47">G309+I309+K309+J309</f>
        <v>1980714</v>
      </c>
      <c r="M309" s="683">
        <f t="shared" ref="M309:M372" si="48">G309</f>
        <v>643413</v>
      </c>
      <c r="N309" s="686">
        <f t="shared" si="45"/>
        <v>24000</v>
      </c>
      <c r="O309" s="687">
        <f t="shared" ref="O309:O372" si="49">ROUND(IF((L309-(K309+N309))&lt;=1500000,0,IF(AND((L309-(K309+N309))&gt;1500000,(L309-(K309+N309))&lt;=2000000),(L309-(K309+N309))*5%-75000,IF(AND((L309-(K309+N309))&gt;2000000,(L309-(K309+N309))&lt;=8500000),(L309-(K309+N309))*10%-175000))),0)</f>
        <v>22836</v>
      </c>
      <c r="P309" s="688">
        <f t="shared" ref="P309:P372" si="50">SUM(M309:O309)</f>
        <v>690249</v>
      </c>
      <c r="Q309" s="689"/>
      <c r="R309" s="683">
        <f t="shared" ref="R309:R372" si="51">L309-P309</f>
        <v>1290465</v>
      </c>
      <c r="S309" s="567"/>
      <c r="U309" s="679"/>
    </row>
    <row r="310" spans="1:21" s="678" customFormat="1" ht="37.950000000000003" customHeight="1">
      <c r="A310" s="676">
        <v>296</v>
      </c>
      <c r="B310" s="677" t="str">
        <f>'Tên thang 01-26'!E299</f>
        <v>ជិន សីឡា</v>
      </c>
      <c r="C310" s="690" t="str">
        <f>'Tên thang 01-26'!F299</f>
        <v>CHIN SEYLA</v>
      </c>
      <c r="D310" s="680">
        <v>502</v>
      </c>
      <c r="E310" s="681">
        <v>31947</v>
      </c>
      <c r="F310" s="682">
        <f t="shared" si="46"/>
        <v>19.98</v>
      </c>
      <c r="G310" s="683">
        <v>638301</v>
      </c>
      <c r="H310" s="682">
        <f>'KL 1'!AG312</f>
        <v>37.040000000000006</v>
      </c>
      <c r="I310" s="683">
        <f t="shared" si="44"/>
        <v>1183317</v>
      </c>
      <c r="J310" s="684"/>
      <c r="K310" s="683"/>
      <c r="L310" s="685">
        <f t="shared" si="47"/>
        <v>1821618</v>
      </c>
      <c r="M310" s="683">
        <f t="shared" si="48"/>
        <v>638301</v>
      </c>
      <c r="N310" s="686">
        <f t="shared" si="45"/>
        <v>24000</v>
      </c>
      <c r="O310" s="687">
        <f t="shared" si="49"/>
        <v>14881</v>
      </c>
      <c r="P310" s="688">
        <f t="shared" si="50"/>
        <v>677182</v>
      </c>
      <c r="Q310" s="689"/>
      <c r="R310" s="683">
        <f t="shared" si="51"/>
        <v>1144436</v>
      </c>
      <c r="S310" s="567"/>
      <c r="U310" s="679"/>
    </row>
    <row r="311" spans="1:21" s="678" customFormat="1" ht="42.6" customHeight="1">
      <c r="A311" s="676">
        <v>297</v>
      </c>
      <c r="B311" s="677" t="str">
        <f>'Tên thang 01-26'!E300</f>
        <v>ជិន ឡូត</v>
      </c>
      <c r="C311" s="690" t="str">
        <f>'Tên thang 01-26'!F300</f>
        <v>CHIN LOT</v>
      </c>
      <c r="D311" s="680">
        <v>503</v>
      </c>
      <c r="E311" s="681">
        <v>31947</v>
      </c>
      <c r="F311" s="682">
        <f t="shared" si="46"/>
        <v>18.48</v>
      </c>
      <c r="G311" s="683">
        <v>590381</v>
      </c>
      <c r="H311" s="682">
        <f>'KL 1'!AG313</f>
        <v>38.22</v>
      </c>
      <c r="I311" s="683">
        <f t="shared" si="44"/>
        <v>1221014</v>
      </c>
      <c r="J311" s="684"/>
      <c r="K311" s="683"/>
      <c r="L311" s="685">
        <f t="shared" si="47"/>
        <v>1811395</v>
      </c>
      <c r="M311" s="683">
        <f t="shared" si="48"/>
        <v>590381</v>
      </c>
      <c r="N311" s="686">
        <f t="shared" si="45"/>
        <v>24000</v>
      </c>
      <c r="O311" s="687">
        <f t="shared" si="49"/>
        <v>14370</v>
      </c>
      <c r="P311" s="688">
        <f t="shared" si="50"/>
        <v>628751</v>
      </c>
      <c r="Q311" s="689"/>
      <c r="R311" s="683">
        <f t="shared" si="51"/>
        <v>1182644</v>
      </c>
      <c r="S311" s="567"/>
      <c r="U311" s="679"/>
    </row>
    <row r="312" spans="1:21" s="678" customFormat="1" ht="41.4" customHeight="1">
      <c r="A312" s="676">
        <v>298</v>
      </c>
      <c r="B312" s="677" t="str">
        <f>'Tên thang 01-26'!E301</f>
        <v>អឿង សុឃាក់</v>
      </c>
      <c r="C312" s="690" t="str">
        <f>'Tên thang 01-26'!F301</f>
        <v>EURNG SOKEAK</v>
      </c>
      <c r="D312" s="680">
        <v>504</v>
      </c>
      <c r="E312" s="681">
        <v>31947</v>
      </c>
      <c r="F312" s="682">
        <f t="shared" si="46"/>
        <v>10.44</v>
      </c>
      <c r="G312" s="683">
        <v>333527</v>
      </c>
      <c r="H312" s="682">
        <f>'KL 1'!AG314</f>
        <v>40.739999999999995</v>
      </c>
      <c r="I312" s="683">
        <f t="shared" si="44"/>
        <v>1301521</v>
      </c>
      <c r="J312" s="684"/>
      <c r="K312" s="683"/>
      <c r="L312" s="685">
        <f t="shared" si="47"/>
        <v>1635048</v>
      </c>
      <c r="M312" s="683">
        <f t="shared" si="48"/>
        <v>333527</v>
      </c>
      <c r="N312" s="686">
        <f t="shared" si="45"/>
        <v>24000</v>
      </c>
      <c r="O312" s="687">
        <f t="shared" si="49"/>
        <v>5552</v>
      </c>
      <c r="P312" s="688">
        <f t="shared" si="50"/>
        <v>363079</v>
      </c>
      <c r="Q312" s="689"/>
      <c r="R312" s="683">
        <f t="shared" si="51"/>
        <v>1271969</v>
      </c>
      <c r="S312" s="567"/>
      <c r="U312" s="679"/>
    </row>
    <row r="313" spans="1:21" s="678" customFormat="1" ht="47.4" customHeight="1">
      <c r="A313" s="676">
        <v>299</v>
      </c>
      <c r="B313" s="677" t="str">
        <f>'Tên thang 01-26'!E302</f>
        <v>ឡន លី</v>
      </c>
      <c r="C313" s="690" t="str">
        <f>'Tên thang 01-26'!F302</f>
        <v>LORN LY</v>
      </c>
      <c r="D313" s="680">
        <v>505</v>
      </c>
      <c r="E313" s="681">
        <v>31947</v>
      </c>
      <c r="F313" s="682">
        <f t="shared" si="46"/>
        <v>15.38</v>
      </c>
      <c r="G313" s="683">
        <v>491345</v>
      </c>
      <c r="H313" s="682">
        <f>'KL 1'!AG315</f>
        <v>33.769999999999996</v>
      </c>
      <c r="I313" s="683">
        <f t="shared" si="44"/>
        <v>1078850</v>
      </c>
      <c r="J313" s="684"/>
      <c r="K313" s="683"/>
      <c r="L313" s="685">
        <f t="shared" si="47"/>
        <v>1570195</v>
      </c>
      <c r="M313" s="683">
        <f t="shared" si="48"/>
        <v>491345</v>
      </c>
      <c r="N313" s="686">
        <f t="shared" si="45"/>
        <v>24000</v>
      </c>
      <c r="O313" s="687">
        <f t="shared" si="49"/>
        <v>2310</v>
      </c>
      <c r="P313" s="688">
        <f t="shared" si="50"/>
        <v>517655</v>
      </c>
      <c r="Q313" s="689"/>
      <c r="R313" s="683">
        <f t="shared" si="51"/>
        <v>1052540</v>
      </c>
      <c r="S313" s="567"/>
      <c r="U313" s="679"/>
    </row>
    <row r="314" spans="1:21" s="678" customFormat="1" ht="47.4" customHeight="1">
      <c r="A314" s="676">
        <v>300</v>
      </c>
      <c r="B314" s="677" t="str">
        <f>'Tên thang 01-26'!E303</f>
        <v>ឃួន លា</v>
      </c>
      <c r="C314" s="690" t="str">
        <f>'Tên thang 01-26'!F303</f>
        <v>KHUN LEA</v>
      </c>
      <c r="D314" s="680">
        <v>506</v>
      </c>
      <c r="E314" s="681">
        <v>31947</v>
      </c>
      <c r="F314" s="682">
        <f t="shared" si="46"/>
        <v>18.2</v>
      </c>
      <c r="G314" s="683">
        <v>581435</v>
      </c>
      <c r="H314" s="682">
        <f>'KL 1'!AG316</f>
        <v>41.32</v>
      </c>
      <c r="I314" s="683">
        <f t="shared" si="44"/>
        <v>1320050</v>
      </c>
      <c r="J314" s="684"/>
      <c r="K314" s="683"/>
      <c r="L314" s="685">
        <f t="shared" si="47"/>
        <v>1901485</v>
      </c>
      <c r="M314" s="683">
        <f t="shared" si="48"/>
        <v>581435</v>
      </c>
      <c r="N314" s="686">
        <f t="shared" si="45"/>
        <v>24000</v>
      </c>
      <c r="O314" s="687">
        <f t="shared" si="49"/>
        <v>18874</v>
      </c>
      <c r="P314" s="688">
        <f t="shared" si="50"/>
        <v>624309</v>
      </c>
      <c r="Q314" s="689"/>
      <c r="R314" s="683">
        <f t="shared" si="51"/>
        <v>1277176</v>
      </c>
      <c r="S314" s="567"/>
      <c r="U314" s="679"/>
    </row>
    <row r="315" spans="1:21" s="678" customFormat="1" ht="45.6" customHeight="1">
      <c r="A315" s="676">
        <v>301</v>
      </c>
      <c r="B315" s="677" t="str">
        <f>'Tên thang 01-26'!E304</f>
        <v>ញាន សំបុក</v>
      </c>
      <c r="C315" s="690" t="str">
        <f>'Tên thang 01-26'!F304</f>
        <v>NHAN SAMBOK</v>
      </c>
      <c r="D315" s="680">
        <v>507</v>
      </c>
      <c r="E315" s="681">
        <v>31947</v>
      </c>
      <c r="F315" s="682">
        <f t="shared" si="46"/>
        <v>17.16</v>
      </c>
      <c r="G315" s="683">
        <v>548211</v>
      </c>
      <c r="H315" s="682">
        <f>'KL 1'!AG317</f>
        <v>40.25</v>
      </c>
      <c r="I315" s="683">
        <f t="shared" si="44"/>
        <v>1285867</v>
      </c>
      <c r="J315" s="684"/>
      <c r="K315" s="683"/>
      <c r="L315" s="685">
        <f t="shared" si="47"/>
        <v>1834078</v>
      </c>
      <c r="M315" s="683">
        <f t="shared" si="48"/>
        <v>548211</v>
      </c>
      <c r="N315" s="686">
        <f t="shared" si="45"/>
        <v>24000</v>
      </c>
      <c r="O315" s="687">
        <f t="shared" si="49"/>
        <v>15504</v>
      </c>
      <c r="P315" s="688">
        <f t="shared" si="50"/>
        <v>587715</v>
      </c>
      <c r="Q315" s="689"/>
      <c r="R315" s="683">
        <f t="shared" si="51"/>
        <v>1246363</v>
      </c>
      <c r="S315" s="567"/>
      <c r="U315" s="679"/>
    </row>
    <row r="316" spans="1:21" s="678" customFormat="1" ht="46.95" customHeight="1">
      <c r="A316" s="676">
        <v>302</v>
      </c>
      <c r="B316" s="677" t="str">
        <f>'Tên thang 01-26'!E305</f>
        <v>ឆាង លាស</v>
      </c>
      <c r="C316" s="690" t="str">
        <f>'Tên thang 01-26'!F305</f>
        <v>CHHANG LEAS</v>
      </c>
      <c r="D316" s="680">
        <v>508</v>
      </c>
      <c r="E316" s="681">
        <v>31947</v>
      </c>
      <c r="F316" s="682">
        <f t="shared" si="46"/>
        <v>16.420000000000002</v>
      </c>
      <c r="G316" s="683">
        <v>524570</v>
      </c>
      <c r="H316" s="682">
        <f>'KL 1'!AG318</f>
        <v>39.76</v>
      </c>
      <c r="I316" s="683">
        <f t="shared" si="44"/>
        <v>1270213</v>
      </c>
      <c r="J316" s="684"/>
      <c r="K316" s="683"/>
      <c r="L316" s="685">
        <f t="shared" si="47"/>
        <v>1794783</v>
      </c>
      <c r="M316" s="683">
        <f t="shared" si="48"/>
        <v>524570</v>
      </c>
      <c r="N316" s="686">
        <f t="shared" si="45"/>
        <v>24000</v>
      </c>
      <c r="O316" s="687">
        <f t="shared" si="49"/>
        <v>13539</v>
      </c>
      <c r="P316" s="688">
        <f t="shared" si="50"/>
        <v>562109</v>
      </c>
      <c r="Q316" s="689"/>
      <c r="R316" s="683">
        <f t="shared" si="51"/>
        <v>1232674</v>
      </c>
      <c r="S316" s="567"/>
      <c r="U316" s="679"/>
    </row>
    <row r="317" spans="1:21" s="678" customFormat="1" ht="40.200000000000003" customHeight="1">
      <c r="A317" s="676">
        <v>303</v>
      </c>
      <c r="B317" s="677" t="str">
        <f>'Tên thang 01-26'!E306</f>
        <v>ឆែម ភាព</v>
      </c>
      <c r="C317" s="690" t="str">
        <f>'Tên thang 01-26'!F306</f>
        <v>CHHEM PHEAP</v>
      </c>
      <c r="D317" s="680">
        <v>509</v>
      </c>
      <c r="E317" s="681">
        <v>31947</v>
      </c>
      <c r="F317" s="682">
        <f t="shared" si="46"/>
        <v>18.14</v>
      </c>
      <c r="G317" s="683">
        <v>579519</v>
      </c>
      <c r="H317" s="682">
        <f>'KL 1'!AG319</f>
        <v>39.730000000000004</v>
      </c>
      <c r="I317" s="683">
        <f t="shared" si="44"/>
        <v>1269254</v>
      </c>
      <c r="J317" s="684"/>
      <c r="K317" s="683"/>
      <c r="L317" s="685">
        <f t="shared" si="47"/>
        <v>1848773</v>
      </c>
      <c r="M317" s="683">
        <f t="shared" si="48"/>
        <v>579519</v>
      </c>
      <c r="N317" s="686">
        <f t="shared" si="45"/>
        <v>24000</v>
      </c>
      <c r="O317" s="687">
        <f t="shared" si="49"/>
        <v>16239</v>
      </c>
      <c r="P317" s="688">
        <f t="shared" si="50"/>
        <v>619758</v>
      </c>
      <c r="Q317" s="689"/>
      <c r="R317" s="683">
        <f t="shared" si="51"/>
        <v>1229015</v>
      </c>
      <c r="S317" s="567"/>
      <c r="U317" s="679"/>
    </row>
    <row r="318" spans="1:21" s="678" customFormat="1" ht="46.2" customHeight="1">
      <c r="A318" s="676">
        <v>304</v>
      </c>
      <c r="B318" s="677" t="str">
        <f>'Tên thang 01-26'!E307</f>
        <v>ចាន់ រស់</v>
      </c>
      <c r="C318" s="690" t="str">
        <f>'Tên thang 01-26'!F307</f>
        <v>CHAN ROS</v>
      </c>
      <c r="D318" s="680">
        <v>510</v>
      </c>
      <c r="E318" s="681">
        <v>31947</v>
      </c>
      <c r="F318" s="682">
        <f t="shared" si="46"/>
        <v>17.329999999999998</v>
      </c>
      <c r="G318" s="683">
        <v>553642</v>
      </c>
      <c r="H318" s="682">
        <f>'KL 1'!AG320</f>
        <v>40.43</v>
      </c>
      <c r="I318" s="683">
        <f t="shared" si="44"/>
        <v>1291617</v>
      </c>
      <c r="J318" s="684"/>
      <c r="K318" s="683"/>
      <c r="L318" s="685">
        <f t="shared" si="47"/>
        <v>1845259</v>
      </c>
      <c r="M318" s="683">
        <f t="shared" si="48"/>
        <v>553642</v>
      </c>
      <c r="N318" s="686">
        <f t="shared" si="45"/>
        <v>24000</v>
      </c>
      <c r="O318" s="687">
        <f t="shared" si="49"/>
        <v>16063</v>
      </c>
      <c r="P318" s="688">
        <f t="shared" si="50"/>
        <v>593705</v>
      </c>
      <c r="Q318" s="689"/>
      <c r="R318" s="683">
        <f t="shared" si="51"/>
        <v>1251554</v>
      </c>
      <c r="S318" s="567"/>
      <c r="U318" s="679"/>
    </row>
    <row r="319" spans="1:21" s="678" customFormat="1" ht="45.6" customHeight="1">
      <c r="A319" s="676">
        <v>305</v>
      </c>
      <c r="B319" s="677" t="str">
        <f>'Tên thang 01-26'!E308</f>
        <v>សួស ថេ</v>
      </c>
      <c r="C319" s="690" t="str">
        <f>'Tên thang 01-26'!F308</f>
        <v>SOUS THE</v>
      </c>
      <c r="D319" s="680">
        <v>344</v>
      </c>
      <c r="E319" s="681">
        <v>31947</v>
      </c>
      <c r="F319" s="682">
        <f t="shared" si="46"/>
        <v>17.05</v>
      </c>
      <c r="G319" s="683">
        <v>544696</v>
      </c>
      <c r="H319" s="682">
        <f>'KL 1'!AG321</f>
        <v>38.76</v>
      </c>
      <c r="I319" s="683">
        <f t="shared" si="44"/>
        <v>1238266</v>
      </c>
      <c r="J319" s="684"/>
      <c r="K319" s="683"/>
      <c r="L319" s="685">
        <f t="shared" si="47"/>
        <v>1782962</v>
      </c>
      <c r="M319" s="683">
        <f t="shared" si="48"/>
        <v>544696</v>
      </c>
      <c r="N319" s="686">
        <f t="shared" si="45"/>
        <v>24000</v>
      </c>
      <c r="O319" s="687">
        <f t="shared" si="49"/>
        <v>12948</v>
      </c>
      <c r="P319" s="688">
        <f t="shared" si="50"/>
        <v>581644</v>
      </c>
      <c r="Q319" s="689"/>
      <c r="R319" s="683">
        <f t="shared" si="51"/>
        <v>1201318</v>
      </c>
      <c r="S319" s="567"/>
      <c r="U319" s="679"/>
    </row>
    <row r="320" spans="1:21" s="678" customFormat="1" ht="45.6" customHeight="1">
      <c r="A320" s="676">
        <v>306</v>
      </c>
      <c r="B320" s="677" t="str">
        <f>'Tên thang 01-26'!E309</f>
        <v>ហំ គា</v>
      </c>
      <c r="C320" s="690" t="str">
        <f>'Tên thang 01-26'!F309</f>
        <v>HOM KEA</v>
      </c>
      <c r="D320" s="680">
        <v>345</v>
      </c>
      <c r="E320" s="681">
        <v>31947</v>
      </c>
      <c r="F320" s="682">
        <f t="shared" si="46"/>
        <v>15.38</v>
      </c>
      <c r="G320" s="683">
        <v>491345</v>
      </c>
      <c r="H320" s="682">
        <f>'KL 1'!AG322</f>
        <v>35.869999999999997</v>
      </c>
      <c r="I320" s="683">
        <f t="shared" si="44"/>
        <v>1145939</v>
      </c>
      <c r="J320" s="684"/>
      <c r="K320" s="683"/>
      <c r="L320" s="685">
        <f t="shared" si="47"/>
        <v>1637284</v>
      </c>
      <c r="M320" s="683">
        <f t="shared" si="48"/>
        <v>491345</v>
      </c>
      <c r="N320" s="686">
        <f t="shared" si="45"/>
        <v>24000</v>
      </c>
      <c r="O320" s="687">
        <f t="shared" si="49"/>
        <v>5664</v>
      </c>
      <c r="P320" s="688">
        <f t="shared" si="50"/>
        <v>521009</v>
      </c>
      <c r="Q320" s="689"/>
      <c r="R320" s="683">
        <f t="shared" si="51"/>
        <v>1116275</v>
      </c>
      <c r="S320" s="567"/>
      <c r="U320" s="679"/>
    </row>
    <row r="321" spans="1:21" s="678" customFormat="1" ht="45.6" customHeight="1">
      <c r="A321" s="676">
        <v>307</v>
      </c>
      <c r="B321" s="677" t="str">
        <f>'Tên thang 01-26'!E310</f>
        <v>លី ភាក់</v>
      </c>
      <c r="C321" s="690" t="str">
        <f>'Tên thang 01-26'!F310</f>
        <v>LY PHEAK</v>
      </c>
      <c r="D321" s="680">
        <v>346</v>
      </c>
      <c r="E321" s="681">
        <v>31947</v>
      </c>
      <c r="F321" s="682">
        <f t="shared" si="46"/>
        <v>15.43</v>
      </c>
      <c r="G321" s="683">
        <v>492942</v>
      </c>
      <c r="H321" s="682">
        <f>'KL 1'!AG323</f>
        <v>38.229999999999997</v>
      </c>
      <c r="I321" s="683">
        <f t="shared" si="44"/>
        <v>1221334</v>
      </c>
      <c r="J321" s="684"/>
      <c r="K321" s="683"/>
      <c r="L321" s="685">
        <f t="shared" si="47"/>
        <v>1714276</v>
      </c>
      <c r="M321" s="683">
        <f t="shared" si="48"/>
        <v>492942</v>
      </c>
      <c r="N321" s="686">
        <f t="shared" si="45"/>
        <v>24000</v>
      </c>
      <c r="O321" s="687">
        <f t="shared" si="49"/>
        <v>9514</v>
      </c>
      <c r="P321" s="688">
        <f t="shared" si="50"/>
        <v>526456</v>
      </c>
      <c r="Q321" s="689"/>
      <c r="R321" s="683">
        <f t="shared" si="51"/>
        <v>1187820</v>
      </c>
      <c r="S321" s="567"/>
      <c r="U321" s="679"/>
    </row>
    <row r="322" spans="1:21" s="678" customFormat="1" ht="45.6" customHeight="1">
      <c r="A322" s="676">
        <v>308</v>
      </c>
      <c r="B322" s="677" t="str">
        <f>'Tên thang 01-26'!E311</f>
        <v>រ៉ុន​ ម៉ៃ</v>
      </c>
      <c r="C322" s="690" t="str">
        <f>'Tên thang 01-26'!F311</f>
        <v>RON MAY</v>
      </c>
      <c r="D322" s="680">
        <v>347</v>
      </c>
      <c r="E322" s="681">
        <v>31947</v>
      </c>
      <c r="F322" s="682">
        <f t="shared" si="46"/>
        <v>15.38</v>
      </c>
      <c r="G322" s="683">
        <v>491345</v>
      </c>
      <c r="H322" s="682">
        <f>'KL 1'!AG324</f>
        <v>36.959999999999994</v>
      </c>
      <c r="I322" s="683">
        <f t="shared" si="44"/>
        <v>1180761</v>
      </c>
      <c r="J322" s="684"/>
      <c r="K322" s="683"/>
      <c r="L322" s="685">
        <f t="shared" si="47"/>
        <v>1672106</v>
      </c>
      <c r="M322" s="683">
        <f t="shared" si="48"/>
        <v>491345</v>
      </c>
      <c r="N322" s="686">
        <f t="shared" si="45"/>
        <v>24000</v>
      </c>
      <c r="O322" s="687">
        <f t="shared" si="49"/>
        <v>7405</v>
      </c>
      <c r="P322" s="688">
        <f t="shared" si="50"/>
        <v>522750</v>
      </c>
      <c r="Q322" s="689"/>
      <c r="R322" s="683">
        <f t="shared" si="51"/>
        <v>1149356</v>
      </c>
      <c r="S322" s="567"/>
      <c r="U322" s="679"/>
    </row>
    <row r="323" spans="1:21" s="678" customFormat="1" ht="45.6" customHeight="1">
      <c r="A323" s="676">
        <v>309</v>
      </c>
      <c r="B323" s="677" t="str">
        <f>'Tên thang 01-26'!E312</f>
        <v>ហួត ហ៊ាញ</v>
      </c>
      <c r="C323" s="690" t="str">
        <f>'Tên thang 01-26'!F312</f>
        <v>HUOT HEANH</v>
      </c>
      <c r="D323" s="680">
        <v>348</v>
      </c>
      <c r="E323" s="681">
        <v>31947</v>
      </c>
      <c r="F323" s="682">
        <f t="shared" si="46"/>
        <v>16.010000000000002</v>
      </c>
      <c r="G323" s="683">
        <v>511471</v>
      </c>
      <c r="H323" s="682">
        <f>'KL 1'!AG325</f>
        <v>35.81</v>
      </c>
      <c r="I323" s="683">
        <f t="shared" si="44"/>
        <v>1144022</v>
      </c>
      <c r="J323" s="684"/>
      <c r="K323" s="683"/>
      <c r="L323" s="685">
        <f t="shared" si="47"/>
        <v>1655493</v>
      </c>
      <c r="M323" s="683">
        <f t="shared" si="48"/>
        <v>511471</v>
      </c>
      <c r="N323" s="686">
        <f t="shared" si="45"/>
        <v>24000</v>
      </c>
      <c r="O323" s="687">
        <f t="shared" si="49"/>
        <v>6575</v>
      </c>
      <c r="P323" s="688">
        <f t="shared" si="50"/>
        <v>542046</v>
      </c>
      <c r="Q323" s="689"/>
      <c r="R323" s="683">
        <f t="shared" si="51"/>
        <v>1113447</v>
      </c>
      <c r="S323" s="567"/>
      <c r="U323" s="679"/>
    </row>
    <row r="324" spans="1:21" s="678" customFormat="1" ht="45.6" customHeight="1">
      <c r="A324" s="676">
        <v>310</v>
      </c>
      <c r="B324" s="677" t="str">
        <f>'Tên thang 01-26'!E313</f>
        <v>ថាន់ ណារី</v>
      </c>
      <c r="C324" s="690" t="str">
        <f>'Tên thang 01-26'!F313</f>
        <v>THANN NARY</v>
      </c>
      <c r="D324" s="680">
        <v>349</v>
      </c>
      <c r="E324" s="681">
        <v>31947</v>
      </c>
      <c r="F324" s="682">
        <f t="shared" si="46"/>
        <v>15.42</v>
      </c>
      <c r="G324" s="683">
        <v>492623</v>
      </c>
      <c r="H324" s="682">
        <f>'KL 1'!AG326</f>
        <v>35.89</v>
      </c>
      <c r="I324" s="683">
        <f t="shared" si="44"/>
        <v>1146578</v>
      </c>
      <c r="J324" s="684"/>
      <c r="K324" s="683"/>
      <c r="L324" s="685">
        <f t="shared" si="47"/>
        <v>1639201</v>
      </c>
      <c r="M324" s="683">
        <f t="shared" si="48"/>
        <v>492623</v>
      </c>
      <c r="N324" s="686">
        <f t="shared" si="45"/>
        <v>24000</v>
      </c>
      <c r="O324" s="687">
        <f t="shared" si="49"/>
        <v>5760</v>
      </c>
      <c r="P324" s="688">
        <f t="shared" si="50"/>
        <v>522383</v>
      </c>
      <c r="Q324" s="689"/>
      <c r="R324" s="683">
        <f t="shared" si="51"/>
        <v>1116818</v>
      </c>
      <c r="S324" s="567"/>
      <c r="U324" s="679"/>
    </row>
    <row r="325" spans="1:21" s="678" customFormat="1" ht="45.6" customHeight="1">
      <c r="A325" s="676">
        <v>311</v>
      </c>
      <c r="B325" s="677" t="str">
        <f>'Tên thang 01-26'!E314</f>
        <v>ហ៊ី សុន</v>
      </c>
      <c r="C325" s="690" t="str">
        <f>'Tên thang 01-26'!F314</f>
        <v>HY SON</v>
      </c>
      <c r="D325" s="680">
        <v>350</v>
      </c>
      <c r="E325" s="681">
        <v>31947</v>
      </c>
      <c r="F325" s="682">
        <f t="shared" si="46"/>
        <v>15.2</v>
      </c>
      <c r="G325" s="683">
        <v>485594</v>
      </c>
      <c r="H325" s="682">
        <f>'KL 1'!AG327</f>
        <v>40</v>
      </c>
      <c r="I325" s="683">
        <f t="shared" si="44"/>
        <v>1277880</v>
      </c>
      <c r="J325" s="684"/>
      <c r="K325" s="683"/>
      <c r="L325" s="685">
        <f t="shared" si="47"/>
        <v>1763474</v>
      </c>
      <c r="M325" s="683">
        <f t="shared" si="48"/>
        <v>485594</v>
      </c>
      <c r="N325" s="686">
        <f t="shared" si="45"/>
        <v>24000</v>
      </c>
      <c r="O325" s="687">
        <f t="shared" si="49"/>
        <v>11974</v>
      </c>
      <c r="P325" s="688">
        <f t="shared" si="50"/>
        <v>521568</v>
      </c>
      <c r="Q325" s="689"/>
      <c r="R325" s="683">
        <f t="shared" si="51"/>
        <v>1241906</v>
      </c>
      <c r="S325" s="567"/>
      <c r="U325" s="679"/>
    </row>
    <row r="326" spans="1:21" s="678" customFormat="1" ht="45.6" customHeight="1">
      <c r="A326" s="676">
        <v>312</v>
      </c>
      <c r="B326" s="677" t="str">
        <f>'Tên thang 01-26'!E315</f>
        <v>ហោ នាង</v>
      </c>
      <c r="C326" s="690" t="str">
        <f>'Tên thang 01-26'!F315</f>
        <v>HAO NEANG</v>
      </c>
      <c r="D326" s="680">
        <v>351</v>
      </c>
      <c r="E326" s="681">
        <v>31947</v>
      </c>
      <c r="F326" s="682">
        <f t="shared" si="46"/>
        <v>15.31</v>
      </c>
      <c r="G326" s="683">
        <v>489109</v>
      </c>
      <c r="H326" s="682">
        <f>'KL 1'!AG328</f>
        <v>40.39</v>
      </c>
      <c r="I326" s="683">
        <f t="shared" si="44"/>
        <v>1290339</v>
      </c>
      <c r="J326" s="684"/>
      <c r="K326" s="683"/>
      <c r="L326" s="685">
        <f t="shared" si="47"/>
        <v>1779448</v>
      </c>
      <c r="M326" s="683">
        <f t="shared" si="48"/>
        <v>489109</v>
      </c>
      <c r="N326" s="686">
        <f t="shared" si="45"/>
        <v>24000</v>
      </c>
      <c r="O326" s="687">
        <f t="shared" si="49"/>
        <v>12772</v>
      </c>
      <c r="P326" s="688">
        <f t="shared" si="50"/>
        <v>525881</v>
      </c>
      <c r="Q326" s="689"/>
      <c r="R326" s="683">
        <f t="shared" si="51"/>
        <v>1253567</v>
      </c>
      <c r="S326" s="567"/>
      <c r="U326" s="679"/>
    </row>
    <row r="327" spans="1:21" s="678" customFormat="1" ht="45.6" customHeight="1">
      <c r="A327" s="676">
        <v>313</v>
      </c>
      <c r="B327" s="677" t="str">
        <f>'Tên thang 01-26'!E316</f>
        <v>ប៉ិន ប៉ីន</v>
      </c>
      <c r="C327" s="690" t="str">
        <f>'Tên thang 01-26'!F316</f>
        <v>BIN BEN</v>
      </c>
      <c r="D327" s="680">
        <v>352</v>
      </c>
      <c r="E327" s="681">
        <v>31947</v>
      </c>
      <c r="F327" s="682">
        <f t="shared" si="46"/>
        <v>18.84</v>
      </c>
      <c r="G327" s="683">
        <v>601881</v>
      </c>
      <c r="H327" s="682">
        <f>'KL 1'!AG329</f>
        <v>40.18</v>
      </c>
      <c r="I327" s="683">
        <f t="shared" si="44"/>
        <v>1283630</v>
      </c>
      <c r="J327" s="684"/>
      <c r="K327" s="683"/>
      <c r="L327" s="685">
        <f t="shared" si="47"/>
        <v>1885511</v>
      </c>
      <c r="M327" s="683">
        <f t="shared" si="48"/>
        <v>601881</v>
      </c>
      <c r="N327" s="686">
        <f t="shared" si="45"/>
        <v>24000</v>
      </c>
      <c r="O327" s="687">
        <f t="shared" si="49"/>
        <v>18076</v>
      </c>
      <c r="P327" s="688">
        <f t="shared" si="50"/>
        <v>643957</v>
      </c>
      <c r="Q327" s="689"/>
      <c r="R327" s="683">
        <f t="shared" si="51"/>
        <v>1241554</v>
      </c>
      <c r="S327" s="567"/>
      <c r="U327" s="679"/>
    </row>
    <row r="328" spans="1:21" s="678" customFormat="1" ht="45.6" customHeight="1">
      <c r="A328" s="676">
        <v>314</v>
      </c>
      <c r="B328" s="677" t="str">
        <f>'Tên thang 01-26'!E317</f>
        <v>ហង់ ទីន</v>
      </c>
      <c r="C328" s="690" t="str">
        <f>'Tên thang 01-26'!F317</f>
        <v>HANG TIN</v>
      </c>
      <c r="D328" s="680">
        <v>353</v>
      </c>
      <c r="E328" s="681">
        <v>31947</v>
      </c>
      <c r="F328" s="682">
        <f t="shared" si="46"/>
        <v>15.79</v>
      </c>
      <c r="G328" s="683">
        <v>504443</v>
      </c>
      <c r="H328" s="682">
        <f>'KL 1'!AG330</f>
        <v>40.78</v>
      </c>
      <c r="I328" s="683">
        <f t="shared" si="44"/>
        <v>1302799</v>
      </c>
      <c r="J328" s="684"/>
      <c r="K328" s="683"/>
      <c r="L328" s="685">
        <f t="shared" si="47"/>
        <v>1807242</v>
      </c>
      <c r="M328" s="683">
        <f t="shared" si="48"/>
        <v>504443</v>
      </c>
      <c r="N328" s="686">
        <f t="shared" si="45"/>
        <v>24000</v>
      </c>
      <c r="O328" s="687">
        <f t="shared" si="49"/>
        <v>14162</v>
      </c>
      <c r="P328" s="688">
        <f t="shared" si="50"/>
        <v>542605</v>
      </c>
      <c r="Q328" s="689"/>
      <c r="R328" s="683">
        <f t="shared" si="51"/>
        <v>1264637</v>
      </c>
      <c r="S328" s="567"/>
      <c r="U328" s="679"/>
    </row>
    <row r="329" spans="1:21" s="678" customFormat="1" ht="45.6" customHeight="1">
      <c r="A329" s="676">
        <v>315</v>
      </c>
      <c r="B329" s="677" t="str">
        <f>'Tên thang 01-26'!E318</f>
        <v>ខឿន ខេន</v>
      </c>
      <c r="C329" s="690" t="str">
        <f>'Tên thang 01-26'!F318</f>
        <v>KHOEUN KHEN</v>
      </c>
      <c r="D329" s="680">
        <v>354</v>
      </c>
      <c r="E329" s="681">
        <v>31947</v>
      </c>
      <c r="F329" s="682">
        <f t="shared" si="46"/>
        <v>15.47</v>
      </c>
      <c r="G329" s="683">
        <v>494220</v>
      </c>
      <c r="H329" s="682">
        <f>'KL 1'!AG331</f>
        <v>38.25</v>
      </c>
      <c r="I329" s="683">
        <f t="shared" si="44"/>
        <v>1221973</v>
      </c>
      <c r="J329" s="684"/>
      <c r="K329" s="683"/>
      <c r="L329" s="685">
        <f t="shared" si="47"/>
        <v>1716193</v>
      </c>
      <c r="M329" s="683">
        <f t="shared" si="48"/>
        <v>494220</v>
      </c>
      <c r="N329" s="686">
        <f t="shared" si="45"/>
        <v>24000</v>
      </c>
      <c r="O329" s="687">
        <f t="shared" si="49"/>
        <v>9610</v>
      </c>
      <c r="P329" s="688">
        <f t="shared" si="50"/>
        <v>527830</v>
      </c>
      <c r="Q329" s="689"/>
      <c r="R329" s="683">
        <f t="shared" si="51"/>
        <v>1188363</v>
      </c>
      <c r="S329" s="567"/>
      <c r="U329" s="679"/>
    </row>
    <row r="330" spans="1:21" s="678" customFormat="1" ht="45.6" customHeight="1">
      <c r="A330" s="676">
        <v>316</v>
      </c>
      <c r="B330" s="677" t="str">
        <f>'Tên thang 01-26'!E319</f>
        <v>យ៉ុង កាញ់</v>
      </c>
      <c r="C330" s="690" t="str">
        <f>'Tên thang 01-26'!F319</f>
        <v>YONG KANH</v>
      </c>
      <c r="D330" s="680">
        <v>355</v>
      </c>
      <c r="E330" s="681">
        <v>31947</v>
      </c>
      <c r="F330" s="682">
        <f t="shared" si="46"/>
        <v>14.73</v>
      </c>
      <c r="G330" s="683">
        <v>470579</v>
      </c>
      <c r="H330" s="682">
        <f>'KL 1'!AG332</f>
        <v>37.68</v>
      </c>
      <c r="I330" s="683">
        <f t="shared" si="44"/>
        <v>1203763</v>
      </c>
      <c r="J330" s="684"/>
      <c r="K330" s="683"/>
      <c r="L330" s="685">
        <f t="shared" si="47"/>
        <v>1674342</v>
      </c>
      <c r="M330" s="683">
        <f t="shared" si="48"/>
        <v>470579</v>
      </c>
      <c r="N330" s="686">
        <f t="shared" si="45"/>
        <v>24000</v>
      </c>
      <c r="O330" s="687">
        <f t="shared" si="49"/>
        <v>7517</v>
      </c>
      <c r="P330" s="688">
        <f t="shared" si="50"/>
        <v>502096</v>
      </c>
      <c r="Q330" s="689"/>
      <c r="R330" s="683">
        <f t="shared" si="51"/>
        <v>1172246</v>
      </c>
      <c r="S330" s="567"/>
      <c r="U330" s="679"/>
    </row>
    <row r="331" spans="1:21" s="678" customFormat="1" ht="45.6" customHeight="1">
      <c r="A331" s="676">
        <v>317</v>
      </c>
      <c r="B331" s="677" t="str">
        <f>'Tên thang 01-26'!E320</f>
        <v>ញ៉ិប អេន</v>
      </c>
      <c r="C331" s="690" t="str">
        <f>'Tên thang 01-26'!F320</f>
        <v>NHIB EN</v>
      </c>
      <c r="D331" s="680">
        <v>356</v>
      </c>
      <c r="E331" s="681">
        <v>31947</v>
      </c>
      <c r="F331" s="682">
        <f t="shared" si="46"/>
        <v>16.43</v>
      </c>
      <c r="G331" s="683">
        <v>524889</v>
      </c>
      <c r="H331" s="682">
        <f>'KL 1'!AG333</f>
        <v>38.81</v>
      </c>
      <c r="I331" s="683">
        <f t="shared" si="44"/>
        <v>1239863</v>
      </c>
      <c r="J331" s="684"/>
      <c r="K331" s="683"/>
      <c r="L331" s="685">
        <f t="shared" si="47"/>
        <v>1764752</v>
      </c>
      <c r="M331" s="683">
        <f t="shared" si="48"/>
        <v>524889</v>
      </c>
      <c r="N331" s="686">
        <f t="shared" si="45"/>
        <v>24000</v>
      </c>
      <c r="O331" s="687">
        <f t="shared" si="49"/>
        <v>12038</v>
      </c>
      <c r="P331" s="688">
        <f t="shared" si="50"/>
        <v>560927</v>
      </c>
      <c r="Q331" s="689"/>
      <c r="R331" s="683">
        <f t="shared" si="51"/>
        <v>1203825</v>
      </c>
      <c r="S331" s="567"/>
      <c r="U331" s="679"/>
    </row>
    <row r="332" spans="1:21" s="678" customFormat="1" ht="45.6" customHeight="1">
      <c r="A332" s="676">
        <v>318</v>
      </c>
      <c r="B332" s="677" t="str">
        <f>'Tên thang 01-26'!E321</f>
        <v>ងិន យុត</v>
      </c>
      <c r="C332" s="690" t="str">
        <f>'Tên thang 01-26'!F321</f>
        <v>NGIN YUT</v>
      </c>
      <c r="D332" s="680">
        <v>357</v>
      </c>
      <c r="E332" s="681">
        <v>31947</v>
      </c>
      <c r="F332" s="682">
        <f t="shared" si="46"/>
        <v>17.68</v>
      </c>
      <c r="G332" s="683">
        <v>564823</v>
      </c>
      <c r="H332" s="682">
        <f>'KL 1'!AG334</f>
        <v>41.650000000000006</v>
      </c>
      <c r="I332" s="683">
        <f t="shared" si="44"/>
        <v>1330593</v>
      </c>
      <c r="J332" s="684"/>
      <c r="K332" s="683"/>
      <c r="L332" s="685">
        <f t="shared" si="47"/>
        <v>1895416</v>
      </c>
      <c r="M332" s="683">
        <f t="shared" si="48"/>
        <v>564823</v>
      </c>
      <c r="N332" s="686">
        <f t="shared" si="45"/>
        <v>24000</v>
      </c>
      <c r="O332" s="687">
        <f t="shared" si="49"/>
        <v>18571</v>
      </c>
      <c r="P332" s="688">
        <f t="shared" si="50"/>
        <v>607394</v>
      </c>
      <c r="Q332" s="689"/>
      <c r="R332" s="683">
        <f t="shared" si="51"/>
        <v>1288022</v>
      </c>
      <c r="S332" s="567"/>
      <c r="U332" s="679"/>
    </row>
    <row r="333" spans="1:21" s="678" customFormat="1" ht="45.6" customHeight="1">
      <c r="A333" s="676">
        <v>319</v>
      </c>
      <c r="B333" s="677" t="str">
        <f>'Tên thang 01-26'!E322</f>
        <v>ឃួន ឃីម</v>
      </c>
      <c r="C333" s="690" t="str">
        <f>'Tên thang 01-26'!F322</f>
        <v>KHOUN KHIM</v>
      </c>
      <c r="D333" s="680">
        <v>358</v>
      </c>
      <c r="E333" s="681">
        <v>31947</v>
      </c>
      <c r="F333" s="682">
        <f t="shared" si="46"/>
        <v>19.34</v>
      </c>
      <c r="G333" s="683">
        <v>617855</v>
      </c>
      <c r="H333" s="682">
        <f>'KL 1'!AG335</f>
        <v>41.36</v>
      </c>
      <c r="I333" s="683">
        <f t="shared" si="44"/>
        <v>1321328</v>
      </c>
      <c r="J333" s="684"/>
      <c r="K333" s="683"/>
      <c r="L333" s="685">
        <f t="shared" si="47"/>
        <v>1939183</v>
      </c>
      <c r="M333" s="683">
        <f t="shared" si="48"/>
        <v>617855</v>
      </c>
      <c r="N333" s="686">
        <f t="shared" si="45"/>
        <v>24000</v>
      </c>
      <c r="O333" s="687">
        <f t="shared" si="49"/>
        <v>20759</v>
      </c>
      <c r="P333" s="688">
        <f t="shared" si="50"/>
        <v>662614</v>
      </c>
      <c r="Q333" s="689"/>
      <c r="R333" s="683">
        <f t="shared" si="51"/>
        <v>1276569</v>
      </c>
      <c r="S333" s="567"/>
      <c r="U333" s="679"/>
    </row>
    <row r="334" spans="1:21" s="678" customFormat="1" ht="45.6" customHeight="1">
      <c r="A334" s="676">
        <v>320</v>
      </c>
      <c r="B334" s="677" t="str">
        <f>'Tên thang 01-26'!E323</f>
        <v>រីម យ៉ុម</v>
      </c>
      <c r="C334" s="690" t="str">
        <f>'Tên thang 01-26'!F323</f>
        <v>RIM YOM</v>
      </c>
      <c r="D334" s="680">
        <v>359</v>
      </c>
      <c r="E334" s="681">
        <v>31947</v>
      </c>
      <c r="F334" s="682">
        <f t="shared" si="46"/>
        <v>14.12</v>
      </c>
      <c r="G334" s="683">
        <v>451092</v>
      </c>
      <c r="H334" s="682">
        <f>'KL 1'!AG336</f>
        <v>37.25</v>
      </c>
      <c r="I334" s="683">
        <f t="shared" si="44"/>
        <v>1190026</v>
      </c>
      <c r="J334" s="684"/>
      <c r="K334" s="683"/>
      <c r="L334" s="685">
        <f t="shared" si="47"/>
        <v>1641118</v>
      </c>
      <c r="M334" s="683">
        <f t="shared" si="48"/>
        <v>451092</v>
      </c>
      <c r="N334" s="686">
        <f t="shared" si="45"/>
        <v>24000</v>
      </c>
      <c r="O334" s="687">
        <f t="shared" si="49"/>
        <v>5856</v>
      </c>
      <c r="P334" s="688">
        <f t="shared" si="50"/>
        <v>480948</v>
      </c>
      <c r="Q334" s="689"/>
      <c r="R334" s="683">
        <f t="shared" si="51"/>
        <v>1160170</v>
      </c>
      <c r="S334" s="567"/>
      <c r="U334" s="679"/>
    </row>
    <row r="335" spans="1:21" s="678" customFormat="1" ht="45.6" customHeight="1">
      <c r="A335" s="676">
        <v>321</v>
      </c>
      <c r="B335" s="677" t="str">
        <f>'Tên thang 01-26'!E324</f>
        <v>ហឿន សារ៉េ</v>
      </c>
      <c r="C335" s="690" t="str">
        <f>'Tên thang 01-26'!F324</f>
        <v>HOEUN SAREN</v>
      </c>
      <c r="D335" s="680">
        <v>360</v>
      </c>
      <c r="E335" s="681">
        <v>31947</v>
      </c>
      <c r="F335" s="682">
        <f t="shared" si="46"/>
        <v>13.65</v>
      </c>
      <c r="G335" s="683">
        <v>436077</v>
      </c>
      <c r="H335" s="682">
        <f>'KL 1'!AG337</f>
        <v>35.809999999999995</v>
      </c>
      <c r="I335" s="683">
        <f t="shared" si="44"/>
        <v>1144022</v>
      </c>
      <c r="J335" s="684"/>
      <c r="K335" s="683"/>
      <c r="L335" s="685">
        <f t="shared" si="47"/>
        <v>1580099</v>
      </c>
      <c r="M335" s="683">
        <f t="shared" si="48"/>
        <v>436077</v>
      </c>
      <c r="N335" s="686">
        <f t="shared" si="45"/>
        <v>24000</v>
      </c>
      <c r="O335" s="687">
        <f t="shared" si="49"/>
        <v>2805</v>
      </c>
      <c r="P335" s="688">
        <f t="shared" si="50"/>
        <v>462882</v>
      </c>
      <c r="Q335" s="689"/>
      <c r="R335" s="683">
        <f t="shared" si="51"/>
        <v>1117217</v>
      </c>
      <c r="S335" s="567"/>
      <c r="U335" s="679"/>
    </row>
    <row r="336" spans="1:21" s="678" customFormat="1" ht="45.6" customHeight="1">
      <c r="A336" s="676">
        <v>322</v>
      </c>
      <c r="B336" s="677" t="str">
        <f>'Tên thang 01-26'!E325</f>
        <v>វន តាត</v>
      </c>
      <c r="C336" s="690" t="str">
        <f>'Tên thang 01-26'!F325</f>
        <v>VON TATH</v>
      </c>
      <c r="D336" s="680">
        <v>361</v>
      </c>
      <c r="E336" s="681">
        <v>31947</v>
      </c>
      <c r="F336" s="682">
        <f t="shared" si="46"/>
        <v>14.03</v>
      </c>
      <c r="G336" s="683">
        <v>448216</v>
      </c>
      <c r="H336" s="682">
        <f>'KL 1'!AG338</f>
        <v>35.540000000000006</v>
      </c>
      <c r="I336" s="683">
        <f t="shared" ref="I336:I399" si="52">ROUND(E336*H336,0)</f>
        <v>1135396</v>
      </c>
      <c r="J336" s="684"/>
      <c r="K336" s="683"/>
      <c r="L336" s="685">
        <f t="shared" si="47"/>
        <v>1583612</v>
      </c>
      <c r="M336" s="683">
        <f t="shared" si="48"/>
        <v>448216</v>
      </c>
      <c r="N336" s="686">
        <f t="shared" ref="N336:N399" si="53">IF(L336&lt;=400000,400000*2%,IF(L336&lt;=1200000,ROUND(L336*2%,0),ROUND(1200000*2%,0)))</f>
        <v>24000</v>
      </c>
      <c r="O336" s="687">
        <f t="shared" si="49"/>
        <v>2981</v>
      </c>
      <c r="P336" s="688">
        <f t="shared" si="50"/>
        <v>475197</v>
      </c>
      <c r="Q336" s="689"/>
      <c r="R336" s="683">
        <f t="shared" si="51"/>
        <v>1108415</v>
      </c>
      <c r="S336" s="567"/>
      <c r="U336" s="679"/>
    </row>
    <row r="337" spans="1:21" s="678" customFormat="1" ht="45.6" customHeight="1">
      <c r="A337" s="676">
        <v>323</v>
      </c>
      <c r="B337" s="677" t="str">
        <f>'Tên thang 01-26'!E326</f>
        <v>គួន រ៉ាល់</v>
      </c>
      <c r="C337" s="690" t="str">
        <f>'Tên thang 01-26'!F326</f>
        <v>KUON RAL</v>
      </c>
      <c r="D337" s="680">
        <v>362</v>
      </c>
      <c r="E337" s="681">
        <v>31947</v>
      </c>
      <c r="F337" s="682">
        <f t="shared" si="46"/>
        <v>7.49</v>
      </c>
      <c r="G337" s="683">
        <v>239283</v>
      </c>
      <c r="H337" s="682">
        <f>'KL 1'!AG339</f>
        <v>32.479999999999997</v>
      </c>
      <c r="I337" s="683">
        <f t="shared" si="52"/>
        <v>1037639</v>
      </c>
      <c r="J337" s="684"/>
      <c r="K337" s="683"/>
      <c r="L337" s="685">
        <f t="shared" si="47"/>
        <v>1276922</v>
      </c>
      <c r="M337" s="683">
        <f t="shared" si="48"/>
        <v>239283</v>
      </c>
      <c r="N337" s="686">
        <f t="shared" si="53"/>
        <v>24000</v>
      </c>
      <c r="O337" s="687">
        <f t="shared" si="49"/>
        <v>0</v>
      </c>
      <c r="P337" s="688">
        <f t="shared" si="50"/>
        <v>263283</v>
      </c>
      <c r="Q337" s="689"/>
      <c r="R337" s="683">
        <f t="shared" si="51"/>
        <v>1013639</v>
      </c>
      <c r="S337" s="567"/>
      <c r="U337" s="679"/>
    </row>
    <row r="338" spans="1:21" s="678" customFormat="1" ht="45.6" customHeight="1">
      <c r="A338" s="676">
        <v>324</v>
      </c>
      <c r="B338" s="677" t="str">
        <f>'Tên thang 01-26'!E327</f>
        <v>ឃុន ស៊ីសា</v>
      </c>
      <c r="C338" s="690" t="str">
        <f>'Tên thang 01-26'!F327</f>
        <v>KHOUNSY SA</v>
      </c>
      <c r="D338" s="680">
        <v>363</v>
      </c>
      <c r="E338" s="681">
        <v>31947</v>
      </c>
      <c r="F338" s="682">
        <f t="shared" si="46"/>
        <v>13.77</v>
      </c>
      <c r="G338" s="683">
        <v>439910</v>
      </c>
      <c r="H338" s="682">
        <f>'KL 1'!AG340</f>
        <v>37.11</v>
      </c>
      <c r="I338" s="683">
        <f t="shared" si="52"/>
        <v>1185553</v>
      </c>
      <c r="J338" s="684"/>
      <c r="K338" s="683"/>
      <c r="L338" s="685">
        <f t="shared" si="47"/>
        <v>1625463</v>
      </c>
      <c r="M338" s="683">
        <f t="shared" si="48"/>
        <v>439910</v>
      </c>
      <c r="N338" s="686">
        <f t="shared" si="53"/>
        <v>24000</v>
      </c>
      <c r="O338" s="687">
        <f t="shared" si="49"/>
        <v>5073</v>
      </c>
      <c r="P338" s="688">
        <f t="shared" si="50"/>
        <v>468983</v>
      </c>
      <c r="Q338" s="689"/>
      <c r="R338" s="683">
        <f t="shared" si="51"/>
        <v>1156480</v>
      </c>
      <c r="S338" s="567"/>
      <c r="U338" s="679"/>
    </row>
    <row r="339" spans="1:21" s="678" customFormat="1" ht="45.6" customHeight="1">
      <c r="A339" s="676">
        <v>325</v>
      </c>
      <c r="B339" s="677" t="str">
        <f>'Tên thang 01-26'!E328</f>
        <v>អៀម យ៉េន</v>
      </c>
      <c r="C339" s="690" t="str">
        <f>'Tên thang 01-26'!F328</f>
        <v>EAM YEN</v>
      </c>
      <c r="D339" s="680">
        <v>364</v>
      </c>
      <c r="E339" s="681">
        <v>31947</v>
      </c>
      <c r="F339" s="682">
        <f t="shared" si="46"/>
        <v>12.54</v>
      </c>
      <c r="G339" s="683">
        <v>400615</v>
      </c>
      <c r="H339" s="682">
        <f>'KL 1'!AG341</f>
        <v>36.549999999999997</v>
      </c>
      <c r="I339" s="683">
        <f t="shared" si="52"/>
        <v>1167663</v>
      </c>
      <c r="J339" s="684"/>
      <c r="K339" s="683"/>
      <c r="L339" s="685">
        <f t="shared" si="47"/>
        <v>1568278</v>
      </c>
      <c r="M339" s="683">
        <f t="shared" si="48"/>
        <v>400615</v>
      </c>
      <c r="N339" s="686">
        <f t="shared" si="53"/>
        <v>24000</v>
      </c>
      <c r="O339" s="687">
        <f t="shared" si="49"/>
        <v>2214</v>
      </c>
      <c r="P339" s="688">
        <f t="shared" si="50"/>
        <v>426829</v>
      </c>
      <c r="Q339" s="689"/>
      <c r="R339" s="683">
        <f t="shared" si="51"/>
        <v>1141449</v>
      </c>
      <c r="S339" s="567"/>
      <c r="U339" s="679"/>
    </row>
    <row r="340" spans="1:21" s="678" customFormat="1" ht="45.6" customHeight="1">
      <c r="A340" s="676">
        <v>326</v>
      </c>
      <c r="B340" s="677" t="str">
        <f>'Tên thang 01-26'!E329</f>
        <v>លាន ស៊ីដា</v>
      </c>
      <c r="C340" s="690" t="str">
        <f>'Tên thang 01-26'!F329</f>
        <v>LEAN SIDA</v>
      </c>
      <c r="D340" s="680">
        <v>365</v>
      </c>
      <c r="E340" s="681">
        <v>31947</v>
      </c>
      <c r="F340" s="682">
        <f t="shared" si="46"/>
        <v>17.55</v>
      </c>
      <c r="G340" s="683">
        <v>560670</v>
      </c>
      <c r="H340" s="682">
        <f>'KL 1'!AG342</f>
        <v>40.550000000000004</v>
      </c>
      <c r="I340" s="683">
        <f t="shared" si="52"/>
        <v>1295451</v>
      </c>
      <c r="J340" s="684"/>
      <c r="K340" s="683"/>
      <c r="L340" s="685">
        <f t="shared" si="47"/>
        <v>1856121</v>
      </c>
      <c r="M340" s="683">
        <f t="shared" si="48"/>
        <v>560670</v>
      </c>
      <c r="N340" s="686">
        <f t="shared" si="53"/>
        <v>24000</v>
      </c>
      <c r="O340" s="687">
        <f t="shared" si="49"/>
        <v>16606</v>
      </c>
      <c r="P340" s="688">
        <f t="shared" si="50"/>
        <v>601276</v>
      </c>
      <c r="Q340" s="689"/>
      <c r="R340" s="683">
        <f t="shared" si="51"/>
        <v>1254845</v>
      </c>
      <c r="S340" s="567"/>
      <c r="U340" s="679"/>
    </row>
    <row r="341" spans="1:21" s="678" customFormat="1" ht="45.6" customHeight="1">
      <c r="A341" s="676">
        <v>327</v>
      </c>
      <c r="B341" s="677" t="str">
        <f>'Tên thang 01-26'!E330</f>
        <v>គីន ធី</v>
      </c>
      <c r="C341" s="690" t="str">
        <f>'Tên thang 01-26'!F330</f>
        <v>KIN THY</v>
      </c>
      <c r="D341" s="680">
        <v>366</v>
      </c>
      <c r="E341" s="681">
        <v>31947</v>
      </c>
      <c r="F341" s="682">
        <f t="shared" si="46"/>
        <v>15.73</v>
      </c>
      <c r="G341" s="683">
        <v>502526</v>
      </c>
      <c r="H341" s="682">
        <f>'KL 1'!AG343</f>
        <v>38.31</v>
      </c>
      <c r="I341" s="683">
        <f t="shared" si="52"/>
        <v>1223890</v>
      </c>
      <c r="J341" s="684"/>
      <c r="K341" s="683"/>
      <c r="L341" s="685">
        <f t="shared" si="47"/>
        <v>1726416</v>
      </c>
      <c r="M341" s="683">
        <f t="shared" si="48"/>
        <v>502526</v>
      </c>
      <c r="N341" s="686">
        <f t="shared" si="53"/>
        <v>24000</v>
      </c>
      <c r="O341" s="687">
        <f t="shared" si="49"/>
        <v>10121</v>
      </c>
      <c r="P341" s="688">
        <f t="shared" si="50"/>
        <v>536647</v>
      </c>
      <c r="Q341" s="689"/>
      <c r="R341" s="683">
        <f t="shared" si="51"/>
        <v>1189769</v>
      </c>
      <c r="S341" s="567"/>
      <c r="U341" s="679"/>
    </row>
    <row r="342" spans="1:21" s="678" customFormat="1" ht="45.6" customHeight="1">
      <c r="A342" s="676">
        <v>328</v>
      </c>
      <c r="B342" s="677" t="str">
        <f>'Tên thang 01-26'!E331</f>
        <v>ខ្វាន់ ឡាត់</v>
      </c>
      <c r="C342" s="690" t="str">
        <f>'Tên thang 01-26'!F331</f>
        <v>KHVAN LATH</v>
      </c>
      <c r="D342" s="680">
        <v>367</v>
      </c>
      <c r="E342" s="681">
        <v>31947</v>
      </c>
      <c r="F342" s="682">
        <f t="shared" si="46"/>
        <v>17.079999999999998</v>
      </c>
      <c r="G342" s="683">
        <v>545655</v>
      </c>
      <c r="H342" s="682">
        <f>'KL 1'!AG344</f>
        <v>38.46</v>
      </c>
      <c r="I342" s="683">
        <f t="shared" si="52"/>
        <v>1228682</v>
      </c>
      <c r="J342" s="684"/>
      <c r="K342" s="683"/>
      <c r="L342" s="685">
        <f t="shared" si="47"/>
        <v>1774337</v>
      </c>
      <c r="M342" s="683">
        <f t="shared" si="48"/>
        <v>545655</v>
      </c>
      <c r="N342" s="686">
        <f t="shared" si="53"/>
        <v>24000</v>
      </c>
      <c r="O342" s="687">
        <f t="shared" si="49"/>
        <v>12517</v>
      </c>
      <c r="P342" s="688">
        <f t="shared" si="50"/>
        <v>582172</v>
      </c>
      <c r="Q342" s="689"/>
      <c r="R342" s="683">
        <f t="shared" si="51"/>
        <v>1192165</v>
      </c>
      <c r="S342" s="567"/>
      <c r="U342" s="679"/>
    </row>
    <row r="343" spans="1:21" s="678" customFormat="1" ht="45.6" customHeight="1">
      <c r="A343" s="676">
        <v>329</v>
      </c>
      <c r="B343" s="677" t="str">
        <f>'Tên thang 01-26'!E332</f>
        <v>ងី វីន</v>
      </c>
      <c r="C343" s="690" t="str">
        <f>'Tên thang 01-26'!F332</f>
        <v>NGY VIN</v>
      </c>
      <c r="D343" s="680">
        <v>368</v>
      </c>
      <c r="E343" s="681">
        <v>31947</v>
      </c>
      <c r="F343" s="682">
        <f t="shared" si="46"/>
        <v>15.69</v>
      </c>
      <c r="G343" s="683">
        <v>501248</v>
      </c>
      <c r="H343" s="682">
        <f>'KL 1'!AG345</f>
        <v>37.590000000000003</v>
      </c>
      <c r="I343" s="683">
        <f t="shared" si="52"/>
        <v>1200888</v>
      </c>
      <c r="J343" s="684"/>
      <c r="K343" s="683"/>
      <c r="L343" s="685">
        <f t="shared" si="47"/>
        <v>1702136</v>
      </c>
      <c r="M343" s="683">
        <f t="shared" si="48"/>
        <v>501248</v>
      </c>
      <c r="N343" s="686">
        <f t="shared" si="53"/>
        <v>24000</v>
      </c>
      <c r="O343" s="687">
        <f t="shared" si="49"/>
        <v>8907</v>
      </c>
      <c r="P343" s="688">
        <f t="shared" si="50"/>
        <v>534155</v>
      </c>
      <c r="Q343" s="689"/>
      <c r="R343" s="683">
        <f t="shared" si="51"/>
        <v>1167981</v>
      </c>
      <c r="S343" s="567"/>
      <c r="U343" s="679"/>
    </row>
    <row r="344" spans="1:21" s="678" customFormat="1" ht="45.6" customHeight="1">
      <c r="A344" s="676">
        <v>330</v>
      </c>
      <c r="B344" s="677" t="str">
        <f>'Tên thang 01-26'!E333</f>
        <v>ឆេង ផល្លា</v>
      </c>
      <c r="C344" s="690" t="str">
        <f>'Tên thang 01-26'!F333</f>
        <v>CHHENG PHALLA</v>
      </c>
      <c r="D344" s="680">
        <v>369</v>
      </c>
      <c r="E344" s="681">
        <v>31947</v>
      </c>
      <c r="F344" s="682">
        <f t="shared" si="46"/>
        <v>13.84</v>
      </c>
      <c r="G344" s="683">
        <v>442146</v>
      </c>
      <c r="H344" s="682">
        <f>'KL 1'!AG346</f>
        <v>38.06</v>
      </c>
      <c r="I344" s="683">
        <f t="shared" si="52"/>
        <v>1215903</v>
      </c>
      <c r="J344" s="684"/>
      <c r="K344" s="683"/>
      <c r="L344" s="685">
        <f t="shared" si="47"/>
        <v>1658049</v>
      </c>
      <c r="M344" s="683">
        <f t="shared" si="48"/>
        <v>442146</v>
      </c>
      <c r="N344" s="686">
        <f t="shared" si="53"/>
        <v>24000</v>
      </c>
      <c r="O344" s="687">
        <f t="shared" si="49"/>
        <v>6702</v>
      </c>
      <c r="P344" s="688">
        <f t="shared" si="50"/>
        <v>472848</v>
      </c>
      <c r="Q344" s="689"/>
      <c r="R344" s="683">
        <f t="shared" si="51"/>
        <v>1185201</v>
      </c>
      <c r="S344" s="567"/>
      <c r="U344" s="679"/>
    </row>
    <row r="345" spans="1:21" s="678" customFormat="1" ht="45.6" customHeight="1">
      <c r="A345" s="676">
        <v>331</v>
      </c>
      <c r="B345" s="677" t="str">
        <f>'Tên thang 01-26'!E334</f>
        <v>ហោន វាសនា</v>
      </c>
      <c r="C345" s="690" t="str">
        <f>'Tên thang 01-26'!F334</f>
        <v>HORN VEASNA</v>
      </c>
      <c r="D345" s="680">
        <v>370</v>
      </c>
      <c r="E345" s="681">
        <v>31947</v>
      </c>
      <c r="F345" s="682">
        <f t="shared" si="46"/>
        <v>14.29</v>
      </c>
      <c r="G345" s="683">
        <v>456523</v>
      </c>
      <c r="H345" s="682">
        <f>'KL 1'!AG347</f>
        <v>37.04</v>
      </c>
      <c r="I345" s="683">
        <f t="shared" si="52"/>
        <v>1183317</v>
      </c>
      <c r="J345" s="684"/>
      <c r="K345" s="683"/>
      <c r="L345" s="685">
        <f t="shared" si="47"/>
        <v>1639840</v>
      </c>
      <c r="M345" s="683">
        <f t="shared" si="48"/>
        <v>456523</v>
      </c>
      <c r="N345" s="686">
        <f t="shared" si="53"/>
        <v>24000</v>
      </c>
      <c r="O345" s="687">
        <f t="shared" si="49"/>
        <v>5792</v>
      </c>
      <c r="P345" s="688">
        <f t="shared" si="50"/>
        <v>486315</v>
      </c>
      <c r="Q345" s="689"/>
      <c r="R345" s="683">
        <f t="shared" si="51"/>
        <v>1153525</v>
      </c>
      <c r="S345" s="567"/>
      <c r="U345" s="679"/>
    </row>
    <row r="346" spans="1:21" s="678" customFormat="1" ht="45.6" customHeight="1">
      <c r="A346" s="676">
        <v>332</v>
      </c>
      <c r="B346" s="677" t="str">
        <f>'Tên thang 01-26'!E335</f>
        <v>ឡាម ហេង</v>
      </c>
      <c r="C346" s="690" t="str">
        <f>'Tên thang 01-26'!F335</f>
        <v>LAM HENG</v>
      </c>
      <c r="D346" s="680">
        <v>371</v>
      </c>
      <c r="E346" s="681">
        <v>31947</v>
      </c>
      <c r="F346" s="682">
        <f t="shared" si="46"/>
        <v>11.79</v>
      </c>
      <c r="G346" s="683">
        <v>376655</v>
      </c>
      <c r="H346" s="682">
        <f>'KL 1'!AG348</f>
        <v>29.3</v>
      </c>
      <c r="I346" s="683">
        <f t="shared" si="52"/>
        <v>936047</v>
      </c>
      <c r="J346" s="684"/>
      <c r="K346" s="683"/>
      <c r="L346" s="685">
        <f t="shared" si="47"/>
        <v>1312702</v>
      </c>
      <c r="M346" s="683">
        <f t="shared" si="48"/>
        <v>376655</v>
      </c>
      <c r="N346" s="686">
        <f t="shared" si="53"/>
        <v>24000</v>
      </c>
      <c r="O346" s="687">
        <f t="shared" si="49"/>
        <v>0</v>
      </c>
      <c r="P346" s="688">
        <f t="shared" si="50"/>
        <v>400655</v>
      </c>
      <c r="Q346" s="689"/>
      <c r="R346" s="683">
        <f t="shared" si="51"/>
        <v>912047</v>
      </c>
      <c r="S346" s="567"/>
      <c r="U346" s="679"/>
    </row>
    <row r="347" spans="1:21" s="678" customFormat="1" ht="45.6" customHeight="1">
      <c r="A347" s="676">
        <v>333</v>
      </c>
      <c r="B347" s="677" t="str">
        <f>'Tên thang 01-26'!E336</f>
        <v>សឿន ចំរើន</v>
      </c>
      <c r="C347" s="690" t="str">
        <f>'Tên thang 01-26'!F336</f>
        <v>SOEUN CHAMRAEUN</v>
      </c>
      <c r="D347" s="680">
        <v>372</v>
      </c>
      <c r="E347" s="681">
        <v>31947</v>
      </c>
      <c r="F347" s="682">
        <f t="shared" si="46"/>
        <v>13.72</v>
      </c>
      <c r="G347" s="683">
        <v>438313</v>
      </c>
      <c r="H347" s="682">
        <f>'KL 1'!AG349</f>
        <v>35.81</v>
      </c>
      <c r="I347" s="683">
        <f t="shared" si="52"/>
        <v>1144022</v>
      </c>
      <c r="J347" s="684"/>
      <c r="K347" s="683"/>
      <c r="L347" s="685">
        <f t="shared" si="47"/>
        <v>1582335</v>
      </c>
      <c r="M347" s="683">
        <f t="shared" si="48"/>
        <v>438313</v>
      </c>
      <c r="N347" s="686">
        <f t="shared" si="53"/>
        <v>24000</v>
      </c>
      <c r="O347" s="687">
        <f t="shared" si="49"/>
        <v>2917</v>
      </c>
      <c r="P347" s="688">
        <f t="shared" si="50"/>
        <v>465230</v>
      </c>
      <c r="Q347" s="689"/>
      <c r="R347" s="683">
        <f t="shared" si="51"/>
        <v>1117105</v>
      </c>
      <c r="S347" s="567"/>
      <c r="U347" s="679"/>
    </row>
    <row r="348" spans="1:21" s="678" customFormat="1" ht="45.6" customHeight="1">
      <c r="A348" s="676">
        <v>334</v>
      </c>
      <c r="B348" s="677" t="str">
        <f>'Tên thang 01-26'!E337</f>
        <v>ខា ខន</v>
      </c>
      <c r="C348" s="690" t="str">
        <f>'Tên thang 01-26'!F337</f>
        <v>KHA KHORN</v>
      </c>
      <c r="D348" s="680">
        <v>373</v>
      </c>
      <c r="E348" s="681">
        <v>31947</v>
      </c>
      <c r="F348" s="682">
        <f t="shared" si="46"/>
        <v>12.54</v>
      </c>
      <c r="G348" s="683">
        <v>400615</v>
      </c>
      <c r="H348" s="682">
        <f>'KL 1'!AG350</f>
        <v>34.769999999999996</v>
      </c>
      <c r="I348" s="683">
        <f t="shared" si="52"/>
        <v>1110797</v>
      </c>
      <c r="J348" s="684"/>
      <c r="K348" s="683"/>
      <c r="L348" s="685">
        <f t="shared" si="47"/>
        <v>1511412</v>
      </c>
      <c r="M348" s="683">
        <f t="shared" si="48"/>
        <v>400615</v>
      </c>
      <c r="N348" s="686">
        <f t="shared" si="53"/>
        <v>24000</v>
      </c>
      <c r="O348" s="687">
        <f t="shared" si="49"/>
        <v>0</v>
      </c>
      <c r="P348" s="688">
        <f t="shared" si="50"/>
        <v>424615</v>
      </c>
      <c r="Q348" s="689"/>
      <c r="R348" s="683">
        <f t="shared" si="51"/>
        <v>1086797</v>
      </c>
      <c r="S348" s="567"/>
      <c r="U348" s="679"/>
    </row>
    <row r="349" spans="1:21" s="678" customFormat="1" ht="45.6" customHeight="1">
      <c r="A349" s="676">
        <v>335</v>
      </c>
      <c r="B349" s="677" t="str">
        <f>'Tên thang 01-26'!E338</f>
        <v>ជុំ ជាតិ</v>
      </c>
      <c r="C349" s="690" t="str">
        <f>'Tên thang 01-26'!F338</f>
        <v>CHUM CHEAT</v>
      </c>
      <c r="D349" s="680">
        <v>374</v>
      </c>
      <c r="E349" s="681">
        <v>31947</v>
      </c>
      <c r="F349" s="682">
        <f t="shared" si="46"/>
        <v>14.32</v>
      </c>
      <c r="G349" s="683">
        <v>457481</v>
      </c>
      <c r="H349" s="682">
        <f>'KL 1'!AG351</f>
        <v>37.589999999999996</v>
      </c>
      <c r="I349" s="683">
        <f t="shared" si="52"/>
        <v>1200888</v>
      </c>
      <c r="J349" s="684"/>
      <c r="K349" s="683"/>
      <c r="L349" s="685">
        <f t="shared" si="47"/>
        <v>1658369</v>
      </c>
      <c r="M349" s="683">
        <f t="shared" si="48"/>
        <v>457481</v>
      </c>
      <c r="N349" s="686">
        <f t="shared" si="53"/>
        <v>24000</v>
      </c>
      <c r="O349" s="687">
        <f t="shared" si="49"/>
        <v>6718</v>
      </c>
      <c r="P349" s="688">
        <f t="shared" si="50"/>
        <v>488199</v>
      </c>
      <c r="Q349" s="689"/>
      <c r="R349" s="683">
        <f t="shared" si="51"/>
        <v>1170170</v>
      </c>
      <c r="S349" s="567"/>
      <c r="U349" s="679"/>
    </row>
    <row r="350" spans="1:21" s="678" customFormat="1" ht="45.6" customHeight="1">
      <c r="A350" s="676">
        <v>336</v>
      </c>
      <c r="B350" s="677" t="str">
        <f>'Tên thang 01-26'!E339</f>
        <v>គឿន ភាក់</v>
      </c>
      <c r="C350" s="690" t="str">
        <f>'Tên thang 01-26'!F339</f>
        <v>KOEUN PHEAK</v>
      </c>
      <c r="D350" s="680">
        <v>375</v>
      </c>
      <c r="E350" s="681">
        <v>31947</v>
      </c>
      <c r="F350" s="682">
        <f t="shared" si="46"/>
        <v>14.16</v>
      </c>
      <c r="G350" s="683">
        <v>452370</v>
      </c>
      <c r="H350" s="682">
        <f>'KL 1'!AG352</f>
        <v>37.19</v>
      </c>
      <c r="I350" s="683">
        <f t="shared" si="52"/>
        <v>1188109</v>
      </c>
      <c r="J350" s="684"/>
      <c r="K350" s="683"/>
      <c r="L350" s="685">
        <f t="shared" si="47"/>
        <v>1640479</v>
      </c>
      <c r="M350" s="683">
        <f t="shared" si="48"/>
        <v>452370</v>
      </c>
      <c r="N350" s="686">
        <f t="shared" si="53"/>
        <v>24000</v>
      </c>
      <c r="O350" s="687">
        <f t="shared" si="49"/>
        <v>5824</v>
      </c>
      <c r="P350" s="688">
        <f t="shared" si="50"/>
        <v>482194</v>
      </c>
      <c r="Q350" s="689"/>
      <c r="R350" s="683">
        <f t="shared" si="51"/>
        <v>1158285</v>
      </c>
      <c r="S350" s="567"/>
      <c r="U350" s="679"/>
    </row>
    <row r="351" spans="1:21" s="678" customFormat="1" ht="45.6" customHeight="1">
      <c r="A351" s="676">
        <v>337</v>
      </c>
      <c r="B351" s="677" t="str">
        <f>'Tên thang 01-26'!E340</f>
        <v>ផាក់ វ៉ង់</v>
      </c>
      <c r="C351" s="690" t="str">
        <f>'Tên thang 01-26'!F340</f>
        <v>PHAK VORNG</v>
      </c>
      <c r="D351" s="680">
        <v>376</v>
      </c>
      <c r="E351" s="681">
        <v>31947</v>
      </c>
      <c r="F351" s="682">
        <f t="shared" si="46"/>
        <v>7.67</v>
      </c>
      <c r="G351" s="683">
        <v>245033</v>
      </c>
      <c r="H351" s="682">
        <f>'KL 1'!AG353</f>
        <v>28.629999999999995</v>
      </c>
      <c r="I351" s="683">
        <f t="shared" si="52"/>
        <v>914643</v>
      </c>
      <c r="J351" s="684"/>
      <c r="K351" s="683"/>
      <c r="L351" s="685">
        <f t="shared" si="47"/>
        <v>1159676</v>
      </c>
      <c r="M351" s="683">
        <f t="shared" si="48"/>
        <v>245033</v>
      </c>
      <c r="N351" s="686">
        <f t="shared" si="53"/>
        <v>23194</v>
      </c>
      <c r="O351" s="687">
        <f t="shared" si="49"/>
        <v>0</v>
      </c>
      <c r="P351" s="688">
        <f t="shared" si="50"/>
        <v>268227</v>
      </c>
      <c r="Q351" s="689"/>
      <c r="R351" s="683">
        <f t="shared" si="51"/>
        <v>891449</v>
      </c>
      <c r="S351" s="567"/>
      <c r="U351" s="679"/>
    </row>
    <row r="352" spans="1:21" s="678" customFormat="1" ht="45.6" customHeight="1">
      <c r="A352" s="676">
        <v>338</v>
      </c>
      <c r="B352" s="677" t="str">
        <f>'Tên thang 01-26'!E341</f>
        <v>ហោន លីដា</v>
      </c>
      <c r="C352" s="690" t="str">
        <f>'Tên thang 01-26'!F341</f>
        <v>HORN LIDA</v>
      </c>
      <c r="D352" s="680">
        <v>377</v>
      </c>
      <c r="E352" s="681">
        <v>31947</v>
      </c>
      <c r="F352" s="682">
        <f t="shared" si="46"/>
        <v>12.91</v>
      </c>
      <c r="G352" s="683">
        <v>412436</v>
      </c>
      <c r="H352" s="682">
        <f>'KL 1'!AG354</f>
        <v>35.81</v>
      </c>
      <c r="I352" s="683">
        <f t="shared" si="52"/>
        <v>1144022</v>
      </c>
      <c r="J352" s="684"/>
      <c r="K352" s="683"/>
      <c r="L352" s="685">
        <f t="shared" si="47"/>
        <v>1556458</v>
      </c>
      <c r="M352" s="683">
        <f t="shared" si="48"/>
        <v>412436</v>
      </c>
      <c r="N352" s="686">
        <f t="shared" si="53"/>
        <v>24000</v>
      </c>
      <c r="O352" s="687">
        <f t="shared" si="49"/>
        <v>1623</v>
      </c>
      <c r="P352" s="688">
        <f t="shared" si="50"/>
        <v>438059</v>
      </c>
      <c r="Q352" s="689"/>
      <c r="R352" s="683">
        <f t="shared" si="51"/>
        <v>1118399</v>
      </c>
      <c r="S352" s="567"/>
      <c r="U352" s="679"/>
    </row>
    <row r="353" spans="1:21" s="678" customFormat="1" ht="45.6" customHeight="1">
      <c r="A353" s="676">
        <v>339</v>
      </c>
      <c r="B353" s="677" t="str">
        <f>'Tên thang 01-26'!E342</f>
        <v>ផល អេ</v>
      </c>
      <c r="C353" s="690" t="str">
        <f>'Tên thang 01-26'!F342</f>
        <v>PHAL E</v>
      </c>
      <c r="D353" s="680">
        <v>378</v>
      </c>
      <c r="E353" s="681">
        <v>31947</v>
      </c>
      <c r="F353" s="682">
        <f t="shared" si="46"/>
        <v>16.05</v>
      </c>
      <c r="G353" s="683">
        <v>512749</v>
      </c>
      <c r="H353" s="682">
        <f>'KL 1'!AG355</f>
        <v>37.4</v>
      </c>
      <c r="I353" s="683">
        <f t="shared" si="52"/>
        <v>1194818</v>
      </c>
      <c r="J353" s="684"/>
      <c r="K353" s="683"/>
      <c r="L353" s="685">
        <f t="shared" si="47"/>
        <v>1707567</v>
      </c>
      <c r="M353" s="683">
        <f t="shared" si="48"/>
        <v>512749</v>
      </c>
      <c r="N353" s="686">
        <f t="shared" si="53"/>
        <v>24000</v>
      </c>
      <c r="O353" s="687">
        <f t="shared" si="49"/>
        <v>9178</v>
      </c>
      <c r="P353" s="688">
        <f t="shared" si="50"/>
        <v>545927</v>
      </c>
      <c r="Q353" s="689"/>
      <c r="R353" s="683">
        <f t="shared" si="51"/>
        <v>1161640</v>
      </c>
      <c r="S353" s="567"/>
      <c r="U353" s="679"/>
    </row>
    <row r="354" spans="1:21" s="678" customFormat="1" ht="45.6" customHeight="1">
      <c r="A354" s="676">
        <v>340</v>
      </c>
      <c r="B354" s="677" t="str">
        <f>'Tên thang 01-26'!E343</f>
        <v>ខឹង យ៉ាត់</v>
      </c>
      <c r="C354" s="690" t="str">
        <f>'Tên thang 01-26'!F343</f>
        <v>KHING YATH</v>
      </c>
      <c r="D354" s="680">
        <v>379</v>
      </c>
      <c r="E354" s="681">
        <v>31947</v>
      </c>
      <c r="F354" s="682">
        <f t="shared" si="46"/>
        <v>15.54</v>
      </c>
      <c r="G354" s="683">
        <v>496456</v>
      </c>
      <c r="H354" s="682">
        <f>'KL 1'!AG356</f>
        <v>35.659999999999997</v>
      </c>
      <c r="I354" s="683">
        <f t="shared" si="52"/>
        <v>1139230</v>
      </c>
      <c r="J354" s="684"/>
      <c r="K354" s="683"/>
      <c r="L354" s="685">
        <f t="shared" si="47"/>
        <v>1635686</v>
      </c>
      <c r="M354" s="683">
        <f t="shared" si="48"/>
        <v>496456</v>
      </c>
      <c r="N354" s="686">
        <f t="shared" si="53"/>
        <v>24000</v>
      </c>
      <c r="O354" s="687">
        <f t="shared" si="49"/>
        <v>5584</v>
      </c>
      <c r="P354" s="688">
        <f t="shared" si="50"/>
        <v>526040</v>
      </c>
      <c r="Q354" s="689"/>
      <c r="R354" s="683">
        <f t="shared" si="51"/>
        <v>1109646</v>
      </c>
      <c r="S354" s="567"/>
      <c r="U354" s="679"/>
    </row>
    <row r="355" spans="1:21" s="678" customFormat="1" ht="45.6" customHeight="1">
      <c r="A355" s="676">
        <v>341</v>
      </c>
      <c r="B355" s="677" t="str">
        <f>'Tên thang 01-26'!E344</f>
        <v>ថា ស្រីអែម</v>
      </c>
      <c r="C355" s="690" t="str">
        <f>'Tên thang 01-26'!F344</f>
        <v>THA SREY EM</v>
      </c>
      <c r="D355" s="680">
        <v>380</v>
      </c>
      <c r="E355" s="681">
        <v>31947</v>
      </c>
      <c r="F355" s="682">
        <f t="shared" si="46"/>
        <v>16.21</v>
      </c>
      <c r="G355" s="683">
        <v>517861</v>
      </c>
      <c r="H355" s="682">
        <f>'KL 1'!AG357</f>
        <v>38.739999999999995</v>
      </c>
      <c r="I355" s="683">
        <f t="shared" si="52"/>
        <v>1237627</v>
      </c>
      <c r="J355" s="684"/>
      <c r="K355" s="683"/>
      <c r="L355" s="685">
        <f t="shared" si="47"/>
        <v>1755488</v>
      </c>
      <c r="M355" s="683">
        <f t="shared" si="48"/>
        <v>517861</v>
      </c>
      <c r="N355" s="686">
        <f t="shared" si="53"/>
        <v>24000</v>
      </c>
      <c r="O355" s="687">
        <f t="shared" si="49"/>
        <v>11574</v>
      </c>
      <c r="P355" s="688">
        <f t="shared" si="50"/>
        <v>553435</v>
      </c>
      <c r="Q355" s="689"/>
      <c r="R355" s="683">
        <f t="shared" si="51"/>
        <v>1202053</v>
      </c>
      <c r="S355" s="567"/>
      <c r="U355" s="679"/>
    </row>
    <row r="356" spans="1:21" s="678" customFormat="1" ht="45.6" customHeight="1">
      <c r="A356" s="676">
        <v>342</v>
      </c>
      <c r="B356" s="677" t="str">
        <f>'Tên thang 01-26'!E345</f>
        <v>ឆាន ណាន់</v>
      </c>
      <c r="C356" s="690" t="str">
        <f>'Tên thang 01-26'!F345</f>
        <v>CHHAN NANN</v>
      </c>
      <c r="D356" s="680">
        <v>381</v>
      </c>
      <c r="E356" s="681">
        <v>31947</v>
      </c>
      <c r="F356" s="682">
        <f t="shared" si="46"/>
        <v>16.2</v>
      </c>
      <c r="G356" s="683">
        <v>517541</v>
      </c>
      <c r="H356" s="682">
        <f>'KL 1'!AG358</f>
        <v>36.92</v>
      </c>
      <c r="I356" s="683">
        <f t="shared" si="52"/>
        <v>1179483</v>
      </c>
      <c r="J356" s="684"/>
      <c r="K356" s="683"/>
      <c r="L356" s="685">
        <f t="shared" si="47"/>
        <v>1697024</v>
      </c>
      <c r="M356" s="683">
        <f t="shared" si="48"/>
        <v>517541</v>
      </c>
      <c r="N356" s="686">
        <f t="shared" si="53"/>
        <v>24000</v>
      </c>
      <c r="O356" s="687">
        <f t="shared" si="49"/>
        <v>8651</v>
      </c>
      <c r="P356" s="688">
        <f t="shared" si="50"/>
        <v>550192</v>
      </c>
      <c r="Q356" s="689"/>
      <c r="R356" s="683">
        <f t="shared" si="51"/>
        <v>1146832</v>
      </c>
      <c r="S356" s="567"/>
      <c r="U356" s="679"/>
    </row>
    <row r="357" spans="1:21" s="678" customFormat="1" ht="45.6" customHeight="1">
      <c r="A357" s="676">
        <v>343</v>
      </c>
      <c r="B357" s="677" t="str">
        <f>'Tên thang 01-26'!E346</f>
        <v>គន នឿន</v>
      </c>
      <c r="C357" s="690" t="str">
        <f>'Tên thang 01-26'!F346</f>
        <v>KON NOEUN</v>
      </c>
      <c r="D357" s="680">
        <v>382</v>
      </c>
      <c r="E357" s="681">
        <v>31947</v>
      </c>
      <c r="F357" s="682">
        <f t="shared" si="46"/>
        <v>16.239999999999998</v>
      </c>
      <c r="G357" s="683">
        <v>518819</v>
      </c>
      <c r="H357" s="682">
        <f>'KL 1'!AG359</f>
        <v>37.78</v>
      </c>
      <c r="I357" s="683">
        <f t="shared" si="52"/>
        <v>1206958</v>
      </c>
      <c r="J357" s="684"/>
      <c r="K357" s="683"/>
      <c r="L357" s="685">
        <f t="shared" si="47"/>
        <v>1725777</v>
      </c>
      <c r="M357" s="683">
        <f t="shared" si="48"/>
        <v>518819</v>
      </c>
      <c r="N357" s="686">
        <f t="shared" si="53"/>
        <v>24000</v>
      </c>
      <c r="O357" s="687">
        <f t="shared" si="49"/>
        <v>10089</v>
      </c>
      <c r="P357" s="688">
        <f t="shared" si="50"/>
        <v>552908</v>
      </c>
      <c r="Q357" s="689"/>
      <c r="R357" s="683">
        <f t="shared" si="51"/>
        <v>1172869</v>
      </c>
      <c r="S357" s="567"/>
      <c r="U357" s="679"/>
    </row>
    <row r="358" spans="1:21" s="678" customFormat="1" ht="45.6" customHeight="1">
      <c r="A358" s="676">
        <v>344</v>
      </c>
      <c r="B358" s="677" t="str">
        <f>'Tên thang 01-26'!E347</f>
        <v>ណាន ពន្លក</v>
      </c>
      <c r="C358" s="690" t="str">
        <f>'Tên thang 01-26'!F347</f>
        <v>NAN POLORK</v>
      </c>
      <c r="D358" s="680">
        <v>383</v>
      </c>
      <c r="E358" s="681">
        <v>31947</v>
      </c>
      <c r="F358" s="682">
        <f t="shared" si="46"/>
        <v>16.329999999999998</v>
      </c>
      <c r="G358" s="683">
        <v>521695</v>
      </c>
      <c r="H358" s="682">
        <f>'KL 1'!AG360</f>
        <v>38.42</v>
      </c>
      <c r="I358" s="683">
        <f t="shared" si="52"/>
        <v>1227404</v>
      </c>
      <c r="J358" s="684"/>
      <c r="K358" s="683"/>
      <c r="L358" s="685">
        <f t="shared" si="47"/>
        <v>1749099</v>
      </c>
      <c r="M358" s="683">
        <f t="shared" si="48"/>
        <v>521695</v>
      </c>
      <c r="N358" s="686">
        <f t="shared" si="53"/>
        <v>24000</v>
      </c>
      <c r="O358" s="687">
        <f t="shared" si="49"/>
        <v>11255</v>
      </c>
      <c r="P358" s="688">
        <f t="shared" si="50"/>
        <v>556950</v>
      </c>
      <c r="Q358" s="689"/>
      <c r="R358" s="683">
        <f t="shared" si="51"/>
        <v>1192149</v>
      </c>
      <c r="S358" s="567"/>
      <c r="U358" s="679"/>
    </row>
    <row r="359" spans="1:21" s="678" customFormat="1" ht="45.6" customHeight="1">
      <c r="A359" s="676">
        <v>345</v>
      </c>
      <c r="B359" s="677" t="str">
        <f>'Tên thang 01-26'!E348</f>
        <v>ត្រុច ម៉ាច</v>
      </c>
      <c r="C359" s="690" t="str">
        <f>'Tên thang 01-26'!F348</f>
        <v>TROCH MACH</v>
      </c>
      <c r="D359" s="680">
        <v>384</v>
      </c>
      <c r="E359" s="681">
        <v>31947</v>
      </c>
      <c r="F359" s="682">
        <f t="shared" si="46"/>
        <v>13.88</v>
      </c>
      <c r="G359" s="683">
        <v>443424</v>
      </c>
      <c r="H359" s="682">
        <f>'KL 1'!AG361</f>
        <v>38.020000000000003</v>
      </c>
      <c r="I359" s="683">
        <f t="shared" si="52"/>
        <v>1214625</v>
      </c>
      <c r="J359" s="684"/>
      <c r="K359" s="683"/>
      <c r="L359" s="685">
        <f t="shared" si="47"/>
        <v>1658049</v>
      </c>
      <c r="M359" s="683">
        <f t="shared" si="48"/>
        <v>443424</v>
      </c>
      <c r="N359" s="686">
        <f t="shared" si="53"/>
        <v>24000</v>
      </c>
      <c r="O359" s="687">
        <f t="shared" si="49"/>
        <v>6702</v>
      </c>
      <c r="P359" s="688">
        <f t="shared" si="50"/>
        <v>474126</v>
      </c>
      <c r="Q359" s="689"/>
      <c r="R359" s="683">
        <f t="shared" si="51"/>
        <v>1183923</v>
      </c>
      <c r="S359" s="567"/>
      <c r="U359" s="679"/>
    </row>
    <row r="360" spans="1:21" s="678" customFormat="1" ht="45.6" customHeight="1">
      <c r="A360" s="676">
        <v>346</v>
      </c>
      <c r="B360" s="677" t="str">
        <f>'Tên thang 01-26'!E349</f>
        <v>យ៉ុន ស្រីរ័ត្ន</v>
      </c>
      <c r="C360" s="690" t="str">
        <f>'Tên thang 01-26'!F349</f>
        <v>YON SREYROTH</v>
      </c>
      <c r="D360" s="680">
        <v>385</v>
      </c>
      <c r="E360" s="681">
        <v>31947</v>
      </c>
      <c r="F360" s="682">
        <f t="shared" si="46"/>
        <v>16.28</v>
      </c>
      <c r="G360" s="683">
        <v>520097</v>
      </c>
      <c r="H360" s="682">
        <f>'KL 1'!AG362</f>
        <v>38.450000000000003</v>
      </c>
      <c r="I360" s="683">
        <f t="shared" si="52"/>
        <v>1228362</v>
      </c>
      <c r="J360" s="684"/>
      <c r="K360" s="683"/>
      <c r="L360" s="685">
        <f t="shared" si="47"/>
        <v>1748459</v>
      </c>
      <c r="M360" s="683">
        <f t="shared" si="48"/>
        <v>520097</v>
      </c>
      <c r="N360" s="686">
        <f t="shared" si="53"/>
        <v>24000</v>
      </c>
      <c r="O360" s="687">
        <f t="shared" si="49"/>
        <v>11223</v>
      </c>
      <c r="P360" s="688">
        <f t="shared" si="50"/>
        <v>555320</v>
      </c>
      <c r="Q360" s="689"/>
      <c r="R360" s="683">
        <f t="shared" si="51"/>
        <v>1193139</v>
      </c>
      <c r="S360" s="567"/>
      <c r="U360" s="679"/>
    </row>
    <row r="361" spans="1:21" s="678" customFormat="1" ht="45.6" customHeight="1">
      <c r="A361" s="676">
        <v>347</v>
      </c>
      <c r="B361" s="677" t="str">
        <f>'Tên thang 01-26'!E350</f>
        <v>អ៊ាង ទិត</v>
      </c>
      <c r="C361" s="690" t="str">
        <f>'Tên thang 01-26'!F350</f>
        <v>EANG TITH</v>
      </c>
      <c r="D361" s="680">
        <v>386</v>
      </c>
      <c r="E361" s="681">
        <v>31947</v>
      </c>
      <c r="F361" s="682">
        <f t="shared" si="46"/>
        <v>18.72</v>
      </c>
      <c r="G361" s="683">
        <v>598048</v>
      </c>
      <c r="H361" s="682">
        <f>'KL 1'!AG363</f>
        <v>43.040000000000006</v>
      </c>
      <c r="I361" s="683">
        <f t="shared" si="52"/>
        <v>1374999</v>
      </c>
      <c r="J361" s="684"/>
      <c r="K361" s="683"/>
      <c r="L361" s="685">
        <f t="shared" si="47"/>
        <v>1973047</v>
      </c>
      <c r="M361" s="683">
        <f t="shared" si="48"/>
        <v>598048</v>
      </c>
      <c r="N361" s="686">
        <f t="shared" si="53"/>
        <v>24000</v>
      </c>
      <c r="O361" s="687">
        <f t="shared" si="49"/>
        <v>22452</v>
      </c>
      <c r="P361" s="688">
        <f t="shared" si="50"/>
        <v>644500</v>
      </c>
      <c r="Q361" s="689"/>
      <c r="R361" s="683">
        <f t="shared" si="51"/>
        <v>1328547</v>
      </c>
      <c r="S361" s="567"/>
      <c r="U361" s="679"/>
    </row>
    <row r="362" spans="1:21" s="678" customFormat="1" ht="45.6" customHeight="1">
      <c r="A362" s="676">
        <v>348</v>
      </c>
      <c r="B362" s="677" t="str">
        <f>'Tên thang 01-26'!E351</f>
        <v>យ៉ុន ណែត</v>
      </c>
      <c r="C362" s="690" t="str">
        <f>'Tên thang 01-26'!F351</f>
        <v>YON NEIT</v>
      </c>
      <c r="D362" s="680">
        <v>387</v>
      </c>
      <c r="E362" s="681">
        <v>31947</v>
      </c>
      <c r="F362" s="682">
        <f t="shared" si="46"/>
        <v>17.72</v>
      </c>
      <c r="G362" s="683">
        <v>566101</v>
      </c>
      <c r="H362" s="682">
        <f>'KL 1'!AG364</f>
        <v>43</v>
      </c>
      <c r="I362" s="683">
        <f t="shared" si="52"/>
        <v>1373721</v>
      </c>
      <c r="J362" s="684"/>
      <c r="K362" s="683"/>
      <c r="L362" s="685">
        <f t="shared" si="47"/>
        <v>1939822</v>
      </c>
      <c r="M362" s="683">
        <f t="shared" si="48"/>
        <v>566101</v>
      </c>
      <c r="N362" s="686">
        <f t="shared" si="53"/>
        <v>24000</v>
      </c>
      <c r="O362" s="687">
        <f t="shared" si="49"/>
        <v>20791</v>
      </c>
      <c r="P362" s="688">
        <f t="shared" si="50"/>
        <v>610892</v>
      </c>
      <c r="Q362" s="689"/>
      <c r="R362" s="683">
        <f t="shared" si="51"/>
        <v>1328930</v>
      </c>
      <c r="S362" s="567"/>
      <c r="U362" s="679"/>
    </row>
    <row r="363" spans="1:21" s="678" customFormat="1" ht="45.6" customHeight="1">
      <c r="A363" s="676">
        <v>349</v>
      </c>
      <c r="B363" s="677" t="str">
        <f>'Tên thang 01-26'!E352</f>
        <v>អឿន វិចិត្រ</v>
      </c>
      <c r="C363" s="690" t="str">
        <f>'Tên thang 01-26'!F352</f>
        <v>AEURN VECHET</v>
      </c>
      <c r="D363" s="680">
        <v>388</v>
      </c>
      <c r="E363" s="681">
        <v>31947</v>
      </c>
      <c r="F363" s="682">
        <f t="shared" si="46"/>
        <v>18.52</v>
      </c>
      <c r="G363" s="683">
        <v>591658</v>
      </c>
      <c r="H363" s="682">
        <f>'KL 1'!AG365</f>
        <v>40.81</v>
      </c>
      <c r="I363" s="683">
        <f t="shared" si="52"/>
        <v>1303757</v>
      </c>
      <c r="J363" s="684"/>
      <c r="K363" s="683"/>
      <c r="L363" s="685">
        <f t="shared" si="47"/>
        <v>1895415</v>
      </c>
      <c r="M363" s="683">
        <f t="shared" si="48"/>
        <v>591658</v>
      </c>
      <c r="N363" s="686">
        <f t="shared" si="53"/>
        <v>24000</v>
      </c>
      <c r="O363" s="687">
        <f t="shared" si="49"/>
        <v>18571</v>
      </c>
      <c r="P363" s="688">
        <f t="shared" si="50"/>
        <v>634229</v>
      </c>
      <c r="Q363" s="689"/>
      <c r="R363" s="683">
        <f t="shared" si="51"/>
        <v>1261186</v>
      </c>
      <c r="S363" s="567"/>
      <c r="U363" s="679"/>
    </row>
    <row r="364" spans="1:21" s="678" customFormat="1" ht="45.6" customHeight="1">
      <c r="A364" s="676">
        <v>350</v>
      </c>
      <c r="B364" s="677" t="str">
        <f>'Tên thang 01-26'!E353</f>
        <v>ឈិត ម៉ៅ</v>
      </c>
      <c r="C364" s="690" t="str">
        <f>'Tên thang 01-26'!F353</f>
        <v>CHHIT MOA</v>
      </c>
      <c r="D364" s="680">
        <v>389</v>
      </c>
      <c r="E364" s="681">
        <v>31947</v>
      </c>
      <c r="F364" s="682">
        <f t="shared" si="46"/>
        <v>15.83</v>
      </c>
      <c r="G364" s="683">
        <v>505721</v>
      </c>
      <c r="H364" s="682">
        <f>'KL 1'!AG366</f>
        <v>40.840000000000003</v>
      </c>
      <c r="I364" s="683">
        <f t="shared" si="52"/>
        <v>1304715</v>
      </c>
      <c r="J364" s="684"/>
      <c r="K364" s="683"/>
      <c r="L364" s="685">
        <f t="shared" si="47"/>
        <v>1810436</v>
      </c>
      <c r="M364" s="683">
        <f t="shared" si="48"/>
        <v>505721</v>
      </c>
      <c r="N364" s="686">
        <f t="shared" si="53"/>
        <v>24000</v>
      </c>
      <c r="O364" s="687">
        <f t="shared" si="49"/>
        <v>14322</v>
      </c>
      <c r="P364" s="688">
        <f t="shared" si="50"/>
        <v>544043</v>
      </c>
      <c r="Q364" s="689"/>
      <c r="R364" s="683">
        <f t="shared" si="51"/>
        <v>1266393</v>
      </c>
      <c r="S364" s="567"/>
      <c r="U364" s="679"/>
    </row>
    <row r="365" spans="1:21" s="678" customFormat="1" ht="45.6" customHeight="1">
      <c r="A365" s="676">
        <v>351</v>
      </c>
      <c r="B365" s="677" t="str">
        <f>'Tên thang 01-26'!E354</f>
        <v>ស៊ឹម យ៉ង់</v>
      </c>
      <c r="C365" s="690" t="str">
        <f>'Tên thang 01-26'!F354</f>
        <v>SIM YANG</v>
      </c>
      <c r="D365" s="680">
        <v>390</v>
      </c>
      <c r="E365" s="681">
        <v>31947</v>
      </c>
      <c r="F365" s="682">
        <f t="shared" si="46"/>
        <v>16.23</v>
      </c>
      <c r="G365" s="683">
        <v>518500</v>
      </c>
      <c r="H365" s="682">
        <f>'KL 1'!AG367</f>
        <v>41.910000000000004</v>
      </c>
      <c r="I365" s="683">
        <f t="shared" si="52"/>
        <v>1338899</v>
      </c>
      <c r="J365" s="684"/>
      <c r="K365" s="683"/>
      <c r="L365" s="685">
        <f t="shared" si="47"/>
        <v>1857399</v>
      </c>
      <c r="M365" s="683">
        <f t="shared" si="48"/>
        <v>518500</v>
      </c>
      <c r="N365" s="686">
        <f t="shared" si="53"/>
        <v>24000</v>
      </c>
      <c r="O365" s="687">
        <f t="shared" si="49"/>
        <v>16670</v>
      </c>
      <c r="P365" s="688">
        <f t="shared" si="50"/>
        <v>559170</v>
      </c>
      <c r="Q365" s="689"/>
      <c r="R365" s="683">
        <f t="shared" si="51"/>
        <v>1298229</v>
      </c>
      <c r="S365" s="567"/>
      <c r="U365" s="679"/>
    </row>
    <row r="366" spans="1:21" s="678" customFormat="1" ht="45.6" customHeight="1">
      <c r="A366" s="676">
        <v>352</v>
      </c>
      <c r="B366" s="677" t="str">
        <f>'Tên thang 01-26'!E355</f>
        <v>លឹម ឡាច</v>
      </c>
      <c r="C366" s="690" t="str">
        <f>'Tên thang 01-26'!F355</f>
        <v>LOEM LACH</v>
      </c>
      <c r="D366" s="680">
        <v>391</v>
      </c>
      <c r="E366" s="681">
        <v>31947</v>
      </c>
      <c r="F366" s="682">
        <f t="shared" si="46"/>
        <v>18.22</v>
      </c>
      <c r="G366" s="683">
        <v>582074</v>
      </c>
      <c r="H366" s="682">
        <f>'KL 1'!AG368</f>
        <v>42.79</v>
      </c>
      <c r="I366" s="683">
        <f t="shared" si="52"/>
        <v>1367012</v>
      </c>
      <c r="J366" s="684"/>
      <c r="K366" s="683"/>
      <c r="L366" s="685">
        <f t="shared" si="47"/>
        <v>1949086</v>
      </c>
      <c r="M366" s="683">
        <f t="shared" si="48"/>
        <v>582074</v>
      </c>
      <c r="N366" s="686">
        <f t="shared" si="53"/>
        <v>24000</v>
      </c>
      <c r="O366" s="687">
        <f t="shared" si="49"/>
        <v>21254</v>
      </c>
      <c r="P366" s="688">
        <f t="shared" si="50"/>
        <v>627328</v>
      </c>
      <c r="Q366" s="689"/>
      <c r="R366" s="683">
        <f t="shared" si="51"/>
        <v>1321758</v>
      </c>
      <c r="S366" s="567"/>
      <c r="U366" s="679"/>
    </row>
    <row r="367" spans="1:21" s="678" customFormat="1" ht="45.6" customHeight="1">
      <c r="A367" s="676">
        <v>353</v>
      </c>
      <c r="B367" s="677" t="str">
        <f>'Tên thang 01-26'!E356</f>
        <v>ឈុន សុខខុម</v>
      </c>
      <c r="C367" s="690" t="str">
        <f>'Tên thang 01-26'!F356</f>
        <v>CHHUN SOKHOM</v>
      </c>
      <c r="D367" s="680">
        <v>392</v>
      </c>
      <c r="E367" s="681">
        <v>31947</v>
      </c>
      <c r="F367" s="682">
        <f t="shared" si="46"/>
        <v>16.309999999999999</v>
      </c>
      <c r="G367" s="683">
        <v>521056</v>
      </c>
      <c r="H367" s="682">
        <f>'KL 1'!AG369</f>
        <v>33.860000000000007</v>
      </c>
      <c r="I367" s="683">
        <f t="shared" si="52"/>
        <v>1081725</v>
      </c>
      <c r="J367" s="684"/>
      <c r="K367" s="683"/>
      <c r="L367" s="685">
        <f t="shared" si="47"/>
        <v>1602781</v>
      </c>
      <c r="M367" s="683">
        <f t="shared" si="48"/>
        <v>521056</v>
      </c>
      <c r="N367" s="686">
        <f t="shared" si="53"/>
        <v>24000</v>
      </c>
      <c r="O367" s="687">
        <f t="shared" si="49"/>
        <v>3939</v>
      </c>
      <c r="P367" s="688">
        <f t="shared" si="50"/>
        <v>548995</v>
      </c>
      <c r="Q367" s="689"/>
      <c r="R367" s="683">
        <f t="shared" si="51"/>
        <v>1053786</v>
      </c>
      <c r="S367" s="567"/>
      <c r="U367" s="679"/>
    </row>
    <row r="368" spans="1:21" s="678" customFormat="1" ht="45.6" customHeight="1">
      <c r="A368" s="676">
        <v>354</v>
      </c>
      <c r="B368" s="677" t="str">
        <f>'Tên thang 01-26'!E357</f>
        <v>ទិត ចំរើន</v>
      </c>
      <c r="C368" s="690" t="str">
        <f>'Tên thang 01-26'!F357</f>
        <v>TET CHAMRAEUN</v>
      </c>
      <c r="D368" s="680">
        <v>393</v>
      </c>
      <c r="E368" s="681">
        <v>31947</v>
      </c>
      <c r="F368" s="682">
        <f t="shared" si="46"/>
        <v>15.87</v>
      </c>
      <c r="G368" s="683">
        <v>506999</v>
      </c>
      <c r="H368" s="682">
        <f>'KL 1'!AG370</f>
        <v>33.800000000000004</v>
      </c>
      <c r="I368" s="683">
        <f t="shared" si="52"/>
        <v>1079809</v>
      </c>
      <c r="J368" s="684"/>
      <c r="K368" s="683"/>
      <c r="L368" s="685">
        <f t="shared" si="47"/>
        <v>1586808</v>
      </c>
      <c r="M368" s="683">
        <f t="shared" si="48"/>
        <v>506999</v>
      </c>
      <c r="N368" s="686">
        <f t="shared" si="53"/>
        <v>24000</v>
      </c>
      <c r="O368" s="687">
        <f t="shared" si="49"/>
        <v>3140</v>
      </c>
      <c r="P368" s="688">
        <f t="shared" si="50"/>
        <v>534139</v>
      </c>
      <c r="Q368" s="689"/>
      <c r="R368" s="683">
        <f t="shared" si="51"/>
        <v>1052669</v>
      </c>
      <c r="S368" s="567"/>
      <c r="U368" s="679"/>
    </row>
    <row r="369" spans="1:21" s="678" customFormat="1" ht="45.6" customHeight="1">
      <c r="A369" s="676">
        <v>355</v>
      </c>
      <c r="B369" s="677" t="str">
        <f>'Tên thang 01-26'!E358</f>
        <v>លី ចាន់នី</v>
      </c>
      <c r="C369" s="690" t="str">
        <f>'Tên thang 01-26'!F358</f>
        <v>LY CHANNY</v>
      </c>
      <c r="D369" s="680">
        <v>394</v>
      </c>
      <c r="E369" s="681">
        <v>31947</v>
      </c>
      <c r="F369" s="682">
        <f t="shared" si="46"/>
        <v>17.38</v>
      </c>
      <c r="G369" s="683">
        <v>555239</v>
      </c>
      <c r="H369" s="682">
        <f>'KL 1'!AG371</f>
        <v>37.46</v>
      </c>
      <c r="I369" s="683">
        <f t="shared" si="52"/>
        <v>1196735</v>
      </c>
      <c r="J369" s="684"/>
      <c r="K369" s="683"/>
      <c r="L369" s="685">
        <f t="shared" si="47"/>
        <v>1751974</v>
      </c>
      <c r="M369" s="683">
        <f t="shared" si="48"/>
        <v>555239</v>
      </c>
      <c r="N369" s="686">
        <f t="shared" si="53"/>
        <v>24000</v>
      </c>
      <c r="O369" s="687">
        <f t="shared" si="49"/>
        <v>11399</v>
      </c>
      <c r="P369" s="688">
        <f t="shared" si="50"/>
        <v>590638</v>
      </c>
      <c r="Q369" s="689"/>
      <c r="R369" s="683">
        <f t="shared" si="51"/>
        <v>1161336</v>
      </c>
      <c r="S369" s="567"/>
      <c r="U369" s="679"/>
    </row>
    <row r="370" spans="1:21" s="678" customFormat="1" ht="45.6" customHeight="1">
      <c r="A370" s="676">
        <v>356</v>
      </c>
      <c r="B370" s="677" t="str">
        <f>'Tên thang 01-26'!E359</f>
        <v>ងិន វន</v>
      </c>
      <c r="C370" s="690" t="str">
        <f>'Tên thang 01-26'!F359</f>
        <v>NGIN VORN</v>
      </c>
      <c r="D370" s="680">
        <v>395</v>
      </c>
      <c r="E370" s="681">
        <v>31947</v>
      </c>
      <c r="F370" s="682">
        <f t="shared" si="46"/>
        <v>17.55</v>
      </c>
      <c r="G370" s="683">
        <v>560670</v>
      </c>
      <c r="H370" s="682">
        <f>'KL 1'!AG372</f>
        <v>37.669999999999995</v>
      </c>
      <c r="I370" s="683">
        <f t="shared" si="52"/>
        <v>1203443</v>
      </c>
      <c r="J370" s="684"/>
      <c r="K370" s="683"/>
      <c r="L370" s="685">
        <f t="shared" si="47"/>
        <v>1764113</v>
      </c>
      <c r="M370" s="683">
        <f t="shared" si="48"/>
        <v>560670</v>
      </c>
      <c r="N370" s="686">
        <f t="shared" si="53"/>
        <v>24000</v>
      </c>
      <c r="O370" s="687">
        <f t="shared" si="49"/>
        <v>12006</v>
      </c>
      <c r="P370" s="688">
        <f t="shared" si="50"/>
        <v>596676</v>
      </c>
      <c r="Q370" s="689"/>
      <c r="R370" s="683">
        <f t="shared" si="51"/>
        <v>1167437</v>
      </c>
      <c r="S370" s="567"/>
      <c r="U370" s="679"/>
    </row>
    <row r="371" spans="1:21" s="678" customFormat="1" ht="45.6" customHeight="1">
      <c r="A371" s="676">
        <v>357</v>
      </c>
      <c r="B371" s="677" t="str">
        <f>'Tên thang 01-26'!E360</f>
        <v>ខុន ឃាង</v>
      </c>
      <c r="C371" s="690" t="str">
        <f>'Tên thang 01-26'!F360</f>
        <v>KHON KHEARNG</v>
      </c>
      <c r="D371" s="680">
        <v>396</v>
      </c>
      <c r="E371" s="681">
        <v>31947</v>
      </c>
      <c r="F371" s="682">
        <f t="shared" si="46"/>
        <v>13.54</v>
      </c>
      <c r="G371" s="683">
        <v>432562</v>
      </c>
      <c r="H371" s="682">
        <f>'KL 1'!AG373</f>
        <v>39.519999999999996</v>
      </c>
      <c r="I371" s="683">
        <f t="shared" si="52"/>
        <v>1262545</v>
      </c>
      <c r="J371" s="684"/>
      <c r="K371" s="683"/>
      <c r="L371" s="685">
        <f t="shared" si="47"/>
        <v>1695107</v>
      </c>
      <c r="M371" s="683">
        <f t="shared" si="48"/>
        <v>432562</v>
      </c>
      <c r="N371" s="686">
        <f t="shared" si="53"/>
        <v>24000</v>
      </c>
      <c r="O371" s="687">
        <f t="shared" si="49"/>
        <v>8555</v>
      </c>
      <c r="P371" s="688">
        <f t="shared" si="50"/>
        <v>465117</v>
      </c>
      <c r="Q371" s="689"/>
      <c r="R371" s="683">
        <f t="shared" si="51"/>
        <v>1229990</v>
      </c>
      <c r="S371" s="567"/>
      <c r="U371" s="679"/>
    </row>
    <row r="372" spans="1:21" s="678" customFormat="1" ht="45.6" customHeight="1">
      <c r="A372" s="676">
        <v>358</v>
      </c>
      <c r="B372" s="677" t="str">
        <f>'Tên thang 01-26'!E361</f>
        <v>គ្រីប ថេត</v>
      </c>
      <c r="C372" s="690" t="str">
        <f>'Tên thang 01-26'!F361</f>
        <v>KRIP THET</v>
      </c>
      <c r="D372" s="680">
        <v>397</v>
      </c>
      <c r="E372" s="681">
        <v>31947</v>
      </c>
      <c r="F372" s="682">
        <f t="shared" si="46"/>
        <v>13.47</v>
      </c>
      <c r="G372" s="683">
        <v>430326</v>
      </c>
      <c r="H372" s="682">
        <f>'KL 1'!AG374</f>
        <v>39.659999999999997</v>
      </c>
      <c r="I372" s="683">
        <f t="shared" si="52"/>
        <v>1267018</v>
      </c>
      <c r="J372" s="684"/>
      <c r="K372" s="683"/>
      <c r="L372" s="685">
        <f t="shared" si="47"/>
        <v>1697344</v>
      </c>
      <c r="M372" s="683">
        <f t="shared" si="48"/>
        <v>430326</v>
      </c>
      <c r="N372" s="686">
        <f t="shared" si="53"/>
        <v>24000</v>
      </c>
      <c r="O372" s="687">
        <f t="shared" si="49"/>
        <v>8667</v>
      </c>
      <c r="P372" s="688">
        <f t="shared" si="50"/>
        <v>462993</v>
      </c>
      <c r="Q372" s="689"/>
      <c r="R372" s="683">
        <f t="shared" si="51"/>
        <v>1234351</v>
      </c>
      <c r="S372" s="567"/>
      <c r="U372" s="679"/>
    </row>
    <row r="373" spans="1:21" s="678" customFormat="1" ht="45.6" customHeight="1">
      <c r="A373" s="676">
        <v>359</v>
      </c>
      <c r="B373" s="677" t="str">
        <f>'Tên thang 01-26'!E362</f>
        <v>ធាន​ ញ៉ាញ់</v>
      </c>
      <c r="C373" s="690" t="str">
        <f>'Tên thang 01-26'!F362</f>
        <v>THEAN NHANH</v>
      </c>
      <c r="D373" s="680">
        <v>398</v>
      </c>
      <c r="E373" s="681">
        <v>31947</v>
      </c>
      <c r="F373" s="682">
        <f t="shared" ref="F373:F436" si="54">ROUND(G373/31947,2)</f>
        <v>16.54</v>
      </c>
      <c r="G373" s="683">
        <v>528403</v>
      </c>
      <c r="H373" s="682">
        <f>'KL 1'!AG375</f>
        <v>41.410000000000004</v>
      </c>
      <c r="I373" s="683">
        <f t="shared" si="52"/>
        <v>1322925</v>
      </c>
      <c r="J373" s="684"/>
      <c r="K373" s="683"/>
      <c r="L373" s="685">
        <f t="shared" ref="L373:L436" si="55">G373+I373+K373+J373</f>
        <v>1851328</v>
      </c>
      <c r="M373" s="683">
        <f t="shared" ref="M373:M436" si="56">G373</f>
        <v>528403</v>
      </c>
      <c r="N373" s="686">
        <f t="shared" si="53"/>
        <v>24000</v>
      </c>
      <c r="O373" s="687">
        <f t="shared" ref="O373:O436" si="57">ROUND(IF((L373-(K373+N373))&lt;=1500000,0,IF(AND((L373-(K373+N373))&gt;1500000,(L373-(K373+N373))&lt;=2000000),(L373-(K373+N373))*5%-75000,IF(AND((L373-(K373+N373))&gt;2000000,(L373-(K373+N373))&lt;=8500000),(L373-(K373+N373))*10%-175000))),0)</f>
        <v>16366</v>
      </c>
      <c r="P373" s="688">
        <f t="shared" ref="P373:P436" si="58">SUM(M373:O373)</f>
        <v>568769</v>
      </c>
      <c r="Q373" s="689"/>
      <c r="R373" s="683">
        <f t="shared" ref="R373:R436" si="59">L373-P373</f>
        <v>1282559</v>
      </c>
      <c r="S373" s="567"/>
      <c r="U373" s="679"/>
    </row>
    <row r="374" spans="1:21" s="678" customFormat="1" ht="45.6" customHeight="1">
      <c r="A374" s="676">
        <v>360</v>
      </c>
      <c r="B374" s="677" t="str">
        <f>'Tên thang 01-26'!E363</f>
        <v>ក ប៉ា</v>
      </c>
      <c r="C374" s="690" t="str">
        <f>'Tên thang 01-26'!F363</f>
        <v>KOR PA</v>
      </c>
      <c r="D374" s="680">
        <v>399</v>
      </c>
      <c r="E374" s="681">
        <v>31947</v>
      </c>
      <c r="F374" s="682">
        <f t="shared" si="54"/>
        <v>15.55</v>
      </c>
      <c r="G374" s="683">
        <v>496776</v>
      </c>
      <c r="H374" s="682">
        <f>'KL 1'!AG376</f>
        <v>40.89</v>
      </c>
      <c r="I374" s="683">
        <f t="shared" si="52"/>
        <v>1306313</v>
      </c>
      <c r="J374" s="684"/>
      <c r="K374" s="683"/>
      <c r="L374" s="685">
        <f t="shared" si="55"/>
        <v>1803089</v>
      </c>
      <c r="M374" s="683">
        <f t="shared" si="56"/>
        <v>496776</v>
      </c>
      <c r="N374" s="686">
        <f t="shared" si="53"/>
        <v>24000</v>
      </c>
      <c r="O374" s="687">
        <f t="shared" si="57"/>
        <v>13954</v>
      </c>
      <c r="P374" s="688">
        <f t="shared" si="58"/>
        <v>534730</v>
      </c>
      <c r="Q374" s="689"/>
      <c r="R374" s="683">
        <f t="shared" si="59"/>
        <v>1268359</v>
      </c>
      <c r="S374" s="567"/>
      <c r="U374" s="679"/>
    </row>
    <row r="375" spans="1:21" s="678" customFormat="1" ht="45.6" customHeight="1">
      <c r="A375" s="676">
        <v>361</v>
      </c>
      <c r="B375" s="677" t="str">
        <f>'Tên thang 01-26'!E364</f>
        <v>ឡុង ឡុំ</v>
      </c>
      <c r="C375" s="690" t="str">
        <f>'Tên thang 01-26'!F364</f>
        <v>LONG LOM</v>
      </c>
      <c r="D375" s="680">
        <v>400</v>
      </c>
      <c r="E375" s="681">
        <v>31947</v>
      </c>
      <c r="F375" s="682">
        <f t="shared" si="54"/>
        <v>15.48</v>
      </c>
      <c r="G375" s="683">
        <v>494540</v>
      </c>
      <c r="H375" s="682">
        <f>'KL 1'!AG377</f>
        <v>40.750000000000007</v>
      </c>
      <c r="I375" s="683">
        <f t="shared" si="52"/>
        <v>1301840</v>
      </c>
      <c r="J375" s="684"/>
      <c r="K375" s="683"/>
      <c r="L375" s="685">
        <f t="shared" si="55"/>
        <v>1796380</v>
      </c>
      <c r="M375" s="683">
        <f t="shared" si="56"/>
        <v>494540</v>
      </c>
      <c r="N375" s="686">
        <f t="shared" si="53"/>
        <v>24000</v>
      </c>
      <c r="O375" s="687">
        <f t="shared" si="57"/>
        <v>13619</v>
      </c>
      <c r="P375" s="688">
        <f t="shared" si="58"/>
        <v>532159</v>
      </c>
      <c r="Q375" s="689"/>
      <c r="R375" s="683">
        <f t="shared" si="59"/>
        <v>1264221</v>
      </c>
      <c r="S375" s="567"/>
      <c r="U375" s="679"/>
    </row>
    <row r="376" spans="1:21" s="678" customFormat="1" ht="45.6" customHeight="1">
      <c r="A376" s="676">
        <v>362</v>
      </c>
      <c r="B376" s="677" t="str">
        <f>'Tên thang 01-26'!E365</f>
        <v>ក កុល</v>
      </c>
      <c r="C376" s="690" t="str">
        <f>'Tên thang 01-26'!F365</f>
        <v>KOR KOL</v>
      </c>
      <c r="D376" s="680">
        <v>401</v>
      </c>
      <c r="E376" s="681">
        <v>31947</v>
      </c>
      <c r="F376" s="682">
        <f t="shared" si="54"/>
        <v>13.43</v>
      </c>
      <c r="G376" s="683">
        <v>429048</v>
      </c>
      <c r="H376" s="682">
        <f>'KL 1'!AG378</f>
        <v>32.480000000000004</v>
      </c>
      <c r="I376" s="683">
        <f t="shared" si="52"/>
        <v>1037639</v>
      </c>
      <c r="J376" s="684"/>
      <c r="K376" s="683"/>
      <c r="L376" s="685">
        <f t="shared" si="55"/>
        <v>1466687</v>
      </c>
      <c r="M376" s="683">
        <f t="shared" si="56"/>
        <v>429048</v>
      </c>
      <c r="N376" s="686">
        <f t="shared" si="53"/>
        <v>24000</v>
      </c>
      <c r="O376" s="687">
        <f t="shared" si="57"/>
        <v>0</v>
      </c>
      <c r="P376" s="688">
        <f t="shared" si="58"/>
        <v>453048</v>
      </c>
      <c r="Q376" s="689"/>
      <c r="R376" s="683">
        <f t="shared" si="59"/>
        <v>1013639</v>
      </c>
      <c r="S376" s="567"/>
      <c r="U376" s="679"/>
    </row>
    <row r="377" spans="1:21" s="678" customFormat="1" ht="45.6" customHeight="1">
      <c r="A377" s="676">
        <v>363</v>
      </c>
      <c r="B377" s="677" t="str">
        <f>'Tên thang 01-26'!E366</f>
        <v>ឃី ស៊ីណា</v>
      </c>
      <c r="C377" s="690" t="str">
        <f>'Tên thang 01-26'!F366</f>
        <v>KHY SINA</v>
      </c>
      <c r="D377" s="680">
        <v>402</v>
      </c>
      <c r="E377" s="681">
        <v>31947</v>
      </c>
      <c r="F377" s="682">
        <f t="shared" si="54"/>
        <v>17.64</v>
      </c>
      <c r="G377" s="683">
        <v>563545</v>
      </c>
      <c r="H377" s="682">
        <f>'KL 1'!AG379</f>
        <v>42.29</v>
      </c>
      <c r="I377" s="683">
        <f t="shared" si="52"/>
        <v>1351039</v>
      </c>
      <c r="J377" s="684"/>
      <c r="K377" s="683"/>
      <c r="L377" s="685">
        <f t="shared" si="55"/>
        <v>1914584</v>
      </c>
      <c r="M377" s="683">
        <f t="shared" si="56"/>
        <v>563545</v>
      </c>
      <c r="N377" s="686">
        <f t="shared" si="53"/>
        <v>24000</v>
      </c>
      <c r="O377" s="687">
        <f t="shared" si="57"/>
        <v>19529</v>
      </c>
      <c r="P377" s="688">
        <f t="shared" si="58"/>
        <v>607074</v>
      </c>
      <c r="Q377" s="689"/>
      <c r="R377" s="683">
        <f t="shared" si="59"/>
        <v>1307510</v>
      </c>
      <c r="S377" s="567"/>
      <c r="U377" s="679"/>
    </row>
    <row r="378" spans="1:21" s="678" customFormat="1" ht="45.6" customHeight="1">
      <c r="A378" s="676">
        <v>364</v>
      </c>
      <c r="B378" s="677" t="str">
        <f>'Tên thang 01-26'!E367</f>
        <v>ទូច ចន្ថា</v>
      </c>
      <c r="C378" s="690" t="str">
        <f>'Tên thang 01-26'!F367</f>
        <v>TOCH CHANTHA</v>
      </c>
      <c r="D378" s="680">
        <v>403</v>
      </c>
      <c r="E378" s="681">
        <v>31947</v>
      </c>
      <c r="F378" s="682">
        <f t="shared" si="54"/>
        <v>16.25</v>
      </c>
      <c r="G378" s="683">
        <v>519139</v>
      </c>
      <c r="H378" s="682">
        <f>'KL 1'!AG380</f>
        <v>39.630000000000003</v>
      </c>
      <c r="I378" s="683">
        <f t="shared" si="52"/>
        <v>1266060</v>
      </c>
      <c r="J378" s="684"/>
      <c r="K378" s="683"/>
      <c r="L378" s="685">
        <f t="shared" si="55"/>
        <v>1785199</v>
      </c>
      <c r="M378" s="683">
        <f t="shared" si="56"/>
        <v>519139</v>
      </c>
      <c r="N378" s="686">
        <f t="shared" si="53"/>
        <v>24000</v>
      </c>
      <c r="O378" s="687">
        <f t="shared" si="57"/>
        <v>13060</v>
      </c>
      <c r="P378" s="688">
        <f t="shared" si="58"/>
        <v>556199</v>
      </c>
      <c r="Q378" s="689"/>
      <c r="R378" s="683">
        <f t="shared" si="59"/>
        <v>1229000</v>
      </c>
      <c r="S378" s="567"/>
      <c r="U378" s="679"/>
    </row>
    <row r="379" spans="1:21" s="678" customFormat="1" ht="45.6" customHeight="1">
      <c r="A379" s="676">
        <v>365</v>
      </c>
      <c r="B379" s="677" t="str">
        <f>'Tên thang 01-26'!E368</f>
        <v>ប៊ិន ចាន់</v>
      </c>
      <c r="C379" s="690" t="str">
        <f>'Tên thang 01-26'!F368</f>
        <v>BEN CHANN</v>
      </c>
      <c r="D379" s="680">
        <v>404</v>
      </c>
      <c r="E379" s="681">
        <v>31947</v>
      </c>
      <c r="F379" s="682">
        <f t="shared" si="54"/>
        <v>17.05</v>
      </c>
      <c r="G379" s="683">
        <v>544696</v>
      </c>
      <c r="H379" s="682">
        <f>'KL 1'!AG381</f>
        <v>39.160000000000004</v>
      </c>
      <c r="I379" s="683">
        <f t="shared" si="52"/>
        <v>1251045</v>
      </c>
      <c r="J379" s="684"/>
      <c r="K379" s="683"/>
      <c r="L379" s="685">
        <f t="shared" si="55"/>
        <v>1795741</v>
      </c>
      <c r="M379" s="683">
        <f t="shared" si="56"/>
        <v>544696</v>
      </c>
      <c r="N379" s="686">
        <f t="shared" si="53"/>
        <v>24000</v>
      </c>
      <c r="O379" s="687">
        <f t="shared" si="57"/>
        <v>13587</v>
      </c>
      <c r="P379" s="688">
        <f t="shared" si="58"/>
        <v>582283</v>
      </c>
      <c r="Q379" s="689"/>
      <c r="R379" s="683">
        <f t="shared" si="59"/>
        <v>1213458</v>
      </c>
      <c r="S379" s="567"/>
      <c r="U379" s="679"/>
    </row>
    <row r="380" spans="1:21" s="678" customFormat="1" ht="45.6" customHeight="1">
      <c r="A380" s="676">
        <v>366</v>
      </c>
      <c r="B380" s="677" t="str">
        <f>'Tên thang 01-26'!E369</f>
        <v>ធាន ថេង</v>
      </c>
      <c r="C380" s="690" t="str">
        <f>'Tên thang 01-26'!F369</f>
        <v>THEAN THENG</v>
      </c>
      <c r="D380" s="680">
        <v>405</v>
      </c>
      <c r="E380" s="681">
        <v>31947</v>
      </c>
      <c r="F380" s="682">
        <f t="shared" si="54"/>
        <v>12.67</v>
      </c>
      <c r="G380" s="683">
        <v>404768</v>
      </c>
      <c r="H380" s="682">
        <f>'KL 1'!AG382</f>
        <v>36.58</v>
      </c>
      <c r="I380" s="683">
        <f t="shared" si="52"/>
        <v>1168621</v>
      </c>
      <c r="J380" s="684"/>
      <c r="K380" s="683"/>
      <c r="L380" s="685">
        <f t="shared" si="55"/>
        <v>1573389</v>
      </c>
      <c r="M380" s="683">
        <f t="shared" si="56"/>
        <v>404768</v>
      </c>
      <c r="N380" s="686">
        <f t="shared" si="53"/>
        <v>24000</v>
      </c>
      <c r="O380" s="687">
        <f t="shared" si="57"/>
        <v>2469</v>
      </c>
      <c r="P380" s="688">
        <f t="shared" si="58"/>
        <v>431237</v>
      </c>
      <c r="Q380" s="689"/>
      <c r="R380" s="683">
        <f t="shared" si="59"/>
        <v>1142152</v>
      </c>
      <c r="S380" s="567"/>
      <c r="U380" s="679"/>
    </row>
    <row r="381" spans="1:21" s="678" customFormat="1" ht="45.6" customHeight="1">
      <c r="A381" s="676">
        <v>367</v>
      </c>
      <c r="B381" s="677" t="str">
        <f>'Tên thang 01-26'!E370</f>
        <v>ហ៊ន់ ហ៊ីម</v>
      </c>
      <c r="C381" s="690" t="str">
        <f>'Tên thang 01-26'!F370</f>
        <v>HOUN HIM</v>
      </c>
      <c r="D381" s="680">
        <v>406</v>
      </c>
      <c r="E381" s="681">
        <v>31947</v>
      </c>
      <c r="F381" s="682">
        <f t="shared" si="54"/>
        <v>18.88</v>
      </c>
      <c r="G381" s="683">
        <v>603159</v>
      </c>
      <c r="H381" s="682">
        <f>'KL 1'!AG383</f>
        <v>40.480000000000004</v>
      </c>
      <c r="I381" s="683">
        <f t="shared" si="52"/>
        <v>1293215</v>
      </c>
      <c r="J381" s="684"/>
      <c r="K381" s="683"/>
      <c r="L381" s="685">
        <f t="shared" si="55"/>
        <v>1896374</v>
      </c>
      <c r="M381" s="683">
        <f t="shared" si="56"/>
        <v>603159</v>
      </c>
      <c r="N381" s="686">
        <f t="shared" si="53"/>
        <v>24000</v>
      </c>
      <c r="O381" s="687">
        <f t="shared" si="57"/>
        <v>18619</v>
      </c>
      <c r="P381" s="688">
        <f t="shared" si="58"/>
        <v>645778</v>
      </c>
      <c r="Q381" s="689"/>
      <c r="R381" s="683">
        <f t="shared" si="59"/>
        <v>1250596</v>
      </c>
      <c r="S381" s="567"/>
      <c r="U381" s="679"/>
    </row>
    <row r="382" spans="1:21" s="678" customFormat="1" ht="45.6" customHeight="1">
      <c r="A382" s="676">
        <v>368</v>
      </c>
      <c r="B382" s="677" t="str">
        <f>'Tên thang 01-26'!E371</f>
        <v>ឈុន សុឃីម</v>
      </c>
      <c r="C382" s="690" t="str">
        <f>'Tên thang 01-26'!F371</f>
        <v>CHHUN SOKHIM</v>
      </c>
      <c r="D382" s="680">
        <v>407</v>
      </c>
      <c r="E382" s="681">
        <v>31947</v>
      </c>
      <c r="F382" s="682">
        <f t="shared" si="54"/>
        <v>15.97</v>
      </c>
      <c r="G382" s="683">
        <v>510194</v>
      </c>
      <c r="H382" s="682">
        <f>'KL 1'!AG384</f>
        <v>39.659999999999997</v>
      </c>
      <c r="I382" s="683">
        <f t="shared" si="52"/>
        <v>1267018</v>
      </c>
      <c r="J382" s="684"/>
      <c r="K382" s="683"/>
      <c r="L382" s="685">
        <f t="shared" si="55"/>
        <v>1777212</v>
      </c>
      <c r="M382" s="683">
        <f t="shared" si="56"/>
        <v>510194</v>
      </c>
      <c r="N382" s="686">
        <f t="shared" si="53"/>
        <v>24000</v>
      </c>
      <c r="O382" s="687">
        <f t="shared" si="57"/>
        <v>12661</v>
      </c>
      <c r="P382" s="688">
        <f t="shared" si="58"/>
        <v>546855</v>
      </c>
      <c r="Q382" s="689"/>
      <c r="R382" s="683">
        <f t="shared" si="59"/>
        <v>1230357</v>
      </c>
      <c r="S382" s="567"/>
      <c r="U382" s="679"/>
    </row>
    <row r="383" spans="1:21" s="678" customFormat="1" ht="45.6" customHeight="1">
      <c r="A383" s="676">
        <v>369</v>
      </c>
      <c r="B383" s="677" t="str">
        <f>'Tên thang 01-26'!E372</f>
        <v>អ៊ី​ សុខេង</v>
      </c>
      <c r="C383" s="690" t="str">
        <f>'Tên thang 01-26'!F372</f>
        <v>IY SOHKENG</v>
      </c>
      <c r="D383" s="680">
        <v>408</v>
      </c>
      <c r="E383" s="681">
        <v>31947</v>
      </c>
      <c r="F383" s="682">
        <f t="shared" si="54"/>
        <v>15.89</v>
      </c>
      <c r="G383" s="683">
        <v>507638</v>
      </c>
      <c r="H383" s="682">
        <f>'KL 1'!AG385</f>
        <v>38.56</v>
      </c>
      <c r="I383" s="683">
        <f t="shared" si="52"/>
        <v>1231876</v>
      </c>
      <c r="J383" s="684"/>
      <c r="K383" s="683"/>
      <c r="L383" s="685">
        <f t="shared" si="55"/>
        <v>1739514</v>
      </c>
      <c r="M383" s="683">
        <f t="shared" si="56"/>
        <v>507638</v>
      </c>
      <c r="N383" s="686">
        <f t="shared" si="53"/>
        <v>24000</v>
      </c>
      <c r="O383" s="687">
        <f t="shared" si="57"/>
        <v>10776</v>
      </c>
      <c r="P383" s="688">
        <f t="shared" si="58"/>
        <v>542414</v>
      </c>
      <c r="Q383" s="689"/>
      <c r="R383" s="683">
        <f t="shared" si="59"/>
        <v>1197100</v>
      </c>
      <c r="S383" s="567"/>
      <c r="U383" s="679"/>
    </row>
    <row r="384" spans="1:21" s="678" customFormat="1" ht="45.6" customHeight="1">
      <c r="A384" s="676">
        <v>370</v>
      </c>
      <c r="B384" s="677" t="str">
        <f>'Tên thang 01-26'!E373</f>
        <v>អ៊ាង ផាត</v>
      </c>
      <c r="C384" s="690" t="str">
        <f>'Tên thang 01-26'!F373</f>
        <v>IENG PHAT</v>
      </c>
      <c r="D384" s="680">
        <v>409</v>
      </c>
      <c r="E384" s="681">
        <v>31947</v>
      </c>
      <c r="F384" s="682">
        <f t="shared" si="54"/>
        <v>13.68</v>
      </c>
      <c r="G384" s="683">
        <v>437035</v>
      </c>
      <c r="H384" s="682">
        <f>'KL 1'!AG386</f>
        <v>32.610000000000007</v>
      </c>
      <c r="I384" s="683">
        <f t="shared" si="52"/>
        <v>1041792</v>
      </c>
      <c r="J384" s="684"/>
      <c r="K384" s="683"/>
      <c r="L384" s="685">
        <f t="shared" si="55"/>
        <v>1478827</v>
      </c>
      <c r="M384" s="683">
        <f t="shared" si="56"/>
        <v>437035</v>
      </c>
      <c r="N384" s="686">
        <f t="shared" si="53"/>
        <v>24000</v>
      </c>
      <c r="O384" s="687">
        <f t="shared" si="57"/>
        <v>0</v>
      </c>
      <c r="P384" s="688">
        <f t="shared" si="58"/>
        <v>461035</v>
      </c>
      <c r="Q384" s="689"/>
      <c r="R384" s="683">
        <f t="shared" si="59"/>
        <v>1017792</v>
      </c>
      <c r="S384" s="567"/>
      <c r="U384" s="679"/>
    </row>
    <row r="385" spans="1:21" s="678" customFormat="1" ht="45.6" customHeight="1">
      <c r="A385" s="676">
        <v>371</v>
      </c>
      <c r="B385" s="677" t="str">
        <f>'Tên thang 01-26'!E374</f>
        <v>ហ៊ន់ ស្រីហ៊ាង</v>
      </c>
      <c r="C385" s="690" t="str">
        <f>'Tên thang 01-26'!F374</f>
        <v>HORN SREYHEANG</v>
      </c>
      <c r="D385" s="680">
        <v>410</v>
      </c>
      <c r="E385" s="681">
        <v>31947</v>
      </c>
      <c r="F385" s="682">
        <f t="shared" si="54"/>
        <v>13.48</v>
      </c>
      <c r="G385" s="683">
        <v>430646</v>
      </c>
      <c r="H385" s="682">
        <f>'KL 1'!AG387</f>
        <v>32.750000000000007</v>
      </c>
      <c r="I385" s="683">
        <f t="shared" si="52"/>
        <v>1046264</v>
      </c>
      <c r="J385" s="684"/>
      <c r="K385" s="683"/>
      <c r="L385" s="685">
        <f t="shared" si="55"/>
        <v>1476910</v>
      </c>
      <c r="M385" s="683">
        <f t="shared" si="56"/>
        <v>430646</v>
      </c>
      <c r="N385" s="686">
        <f t="shared" si="53"/>
        <v>24000</v>
      </c>
      <c r="O385" s="687">
        <f t="shared" si="57"/>
        <v>0</v>
      </c>
      <c r="P385" s="688">
        <f t="shared" si="58"/>
        <v>454646</v>
      </c>
      <c r="Q385" s="689"/>
      <c r="R385" s="683">
        <f t="shared" si="59"/>
        <v>1022264</v>
      </c>
      <c r="S385" s="567"/>
      <c r="U385" s="679"/>
    </row>
    <row r="386" spans="1:21" s="678" customFormat="1" ht="45.6" customHeight="1">
      <c r="A386" s="676">
        <v>372</v>
      </c>
      <c r="B386" s="677" t="str">
        <f>'Tên thang 01-26'!E375</f>
        <v>ត្រុច ចិត្រ្តា</v>
      </c>
      <c r="C386" s="690" t="str">
        <f>'Tên thang 01-26'!F375</f>
        <v>TROCH CHET TRA</v>
      </c>
      <c r="D386" s="680">
        <v>411</v>
      </c>
      <c r="E386" s="681">
        <v>31947</v>
      </c>
      <c r="F386" s="682">
        <f t="shared" si="54"/>
        <v>14.93</v>
      </c>
      <c r="G386" s="683">
        <v>476969</v>
      </c>
      <c r="H386" s="682">
        <f>'KL 1'!AG388</f>
        <v>40.11</v>
      </c>
      <c r="I386" s="683">
        <f t="shared" si="52"/>
        <v>1281394</v>
      </c>
      <c r="J386" s="684"/>
      <c r="K386" s="683"/>
      <c r="L386" s="685">
        <f t="shared" si="55"/>
        <v>1758363</v>
      </c>
      <c r="M386" s="683">
        <f t="shared" si="56"/>
        <v>476969</v>
      </c>
      <c r="N386" s="686">
        <f t="shared" si="53"/>
        <v>24000</v>
      </c>
      <c r="O386" s="687">
        <f t="shared" si="57"/>
        <v>11718</v>
      </c>
      <c r="P386" s="688">
        <f t="shared" si="58"/>
        <v>512687</v>
      </c>
      <c r="Q386" s="689"/>
      <c r="R386" s="683">
        <f t="shared" si="59"/>
        <v>1245676</v>
      </c>
      <c r="S386" s="567"/>
      <c r="U386" s="679"/>
    </row>
    <row r="387" spans="1:21" s="678" customFormat="1" ht="45.6" customHeight="1">
      <c r="A387" s="676">
        <v>373</v>
      </c>
      <c r="B387" s="677" t="str">
        <f>'Tên thang 01-26'!E376</f>
        <v>ឈុន សុខធា</v>
      </c>
      <c r="C387" s="690" t="str">
        <f>'Tên thang 01-26'!F376</f>
        <v>CHHUN SOKTHEA</v>
      </c>
      <c r="D387" s="680">
        <v>412</v>
      </c>
      <c r="E387" s="681">
        <v>31947</v>
      </c>
      <c r="F387" s="682">
        <f t="shared" si="54"/>
        <v>13.95</v>
      </c>
      <c r="G387" s="683">
        <v>445661</v>
      </c>
      <c r="H387" s="682">
        <f>'KL 1'!AG389</f>
        <v>39.979999999999997</v>
      </c>
      <c r="I387" s="683">
        <f t="shared" si="52"/>
        <v>1277241</v>
      </c>
      <c r="J387" s="684"/>
      <c r="K387" s="683"/>
      <c r="L387" s="685">
        <f t="shared" si="55"/>
        <v>1722902</v>
      </c>
      <c r="M387" s="683">
        <f t="shared" si="56"/>
        <v>445661</v>
      </c>
      <c r="N387" s="686">
        <f t="shared" si="53"/>
        <v>24000</v>
      </c>
      <c r="O387" s="687">
        <f t="shared" si="57"/>
        <v>9945</v>
      </c>
      <c r="P387" s="688">
        <f t="shared" si="58"/>
        <v>479606</v>
      </c>
      <c r="Q387" s="689"/>
      <c r="R387" s="683">
        <f t="shared" si="59"/>
        <v>1243296</v>
      </c>
      <c r="S387" s="567"/>
      <c r="U387" s="679"/>
    </row>
    <row r="388" spans="1:21" s="678" customFormat="1" ht="45.6" customHeight="1">
      <c r="A388" s="676">
        <v>374</v>
      </c>
      <c r="B388" s="677" t="str">
        <f>'Tên thang 01-26'!E377</f>
        <v>ថាវ ផា</v>
      </c>
      <c r="C388" s="690" t="str">
        <f>'Tên thang 01-26'!F377</f>
        <v>THAV PHA</v>
      </c>
      <c r="D388" s="680">
        <v>413</v>
      </c>
      <c r="E388" s="681">
        <v>31947</v>
      </c>
      <c r="F388" s="682">
        <f t="shared" si="54"/>
        <v>20.149999999999999</v>
      </c>
      <c r="G388" s="683">
        <v>643732</v>
      </c>
      <c r="H388" s="682">
        <f>'KL 1'!AG390</f>
        <v>42.83</v>
      </c>
      <c r="I388" s="683">
        <f t="shared" si="52"/>
        <v>1368290</v>
      </c>
      <c r="J388" s="684"/>
      <c r="K388" s="683"/>
      <c r="L388" s="685">
        <f t="shared" si="55"/>
        <v>2012022</v>
      </c>
      <c r="M388" s="683">
        <f t="shared" si="56"/>
        <v>643732</v>
      </c>
      <c r="N388" s="686">
        <f t="shared" si="53"/>
        <v>24000</v>
      </c>
      <c r="O388" s="687">
        <f t="shared" si="57"/>
        <v>24401</v>
      </c>
      <c r="P388" s="688">
        <f t="shared" si="58"/>
        <v>692133</v>
      </c>
      <c r="Q388" s="689"/>
      <c r="R388" s="683">
        <f t="shared" si="59"/>
        <v>1319889</v>
      </c>
      <c r="S388" s="567"/>
      <c r="U388" s="679"/>
    </row>
    <row r="389" spans="1:21" s="678" customFormat="1" ht="45.6" customHeight="1">
      <c r="A389" s="676">
        <v>375</v>
      </c>
      <c r="B389" s="677" t="str">
        <f>'Tên thang 01-26'!E378</f>
        <v>លន វុត</v>
      </c>
      <c r="C389" s="690" t="str">
        <f>'Tên thang 01-26'!F378</f>
        <v>LORN VUT</v>
      </c>
      <c r="D389" s="680">
        <v>414</v>
      </c>
      <c r="E389" s="681">
        <v>31947</v>
      </c>
      <c r="F389" s="682">
        <f t="shared" si="54"/>
        <v>18.98</v>
      </c>
      <c r="G389" s="683">
        <v>606354</v>
      </c>
      <c r="H389" s="682">
        <f>'KL 1'!AG391</f>
        <v>43.08</v>
      </c>
      <c r="I389" s="683">
        <f t="shared" si="52"/>
        <v>1376277</v>
      </c>
      <c r="J389" s="684"/>
      <c r="K389" s="683"/>
      <c r="L389" s="685">
        <f t="shared" si="55"/>
        <v>1982631</v>
      </c>
      <c r="M389" s="683">
        <f t="shared" si="56"/>
        <v>606354</v>
      </c>
      <c r="N389" s="686">
        <f t="shared" si="53"/>
        <v>24000</v>
      </c>
      <c r="O389" s="687">
        <f t="shared" si="57"/>
        <v>22932</v>
      </c>
      <c r="P389" s="688">
        <f t="shared" si="58"/>
        <v>653286</v>
      </c>
      <c r="Q389" s="689"/>
      <c r="R389" s="683">
        <f t="shared" si="59"/>
        <v>1329345</v>
      </c>
      <c r="S389" s="567"/>
      <c r="U389" s="679"/>
    </row>
    <row r="390" spans="1:21" s="678" customFormat="1" ht="45.6" customHeight="1">
      <c r="A390" s="676">
        <v>376</v>
      </c>
      <c r="B390" s="677" t="str">
        <f>'Tên thang 01-26'!E379</f>
        <v>លីន ចាន់</v>
      </c>
      <c r="C390" s="690" t="str">
        <f>'Tên thang 01-26'!F379</f>
        <v>LIN CHAN</v>
      </c>
      <c r="D390" s="680">
        <v>415</v>
      </c>
      <c r="E390" s="681">
        <v>31947</v>
      </c>
      <c r="F390" s="682">
        <f t="shared" si="54"/>
        <v>18.84</v>
      </c>
      <c r="G390" s="683">
        <v>601881</v>
      </c>
      <c r="H390" s="682">
        <f>'KL 1'!AG392</f>
        <v>41.92</v>
      </c>
      <c r="I390" s="683">
        <f t="shared" si="52"/>
        <v>1339218</v>
      </c>
      <c r="J390" s="684"/>
      <c r="K390" s="683"/>
      <c r="L390" s="685">
        <f t="shared" si="55"/>
        <v>1941099</v>
      </c>
      <c r="M390" s="683">
        <f t="shared" si="56"/>
        <v>601881</v>
      </c>
      <c r="N390" s="686">
        <f t="shared" si="53"/>
        <v>24000</v>
      </c>
      <c r="O390" s="687">
        <f t="shared" si="57"/>
        <v>20855</v>
      </c>
      <c r="P390" s="688">
        <f t="shared" si="58"/>
        <v>646736</v>
      </c>
      <c r="Q390" s="689"/>
      <c r="R390" s="683">
        <f t="shared" si="59"/>
        <v>1294363</v>
      </c>
      <c r="S390" s="567"/>
      <c r="U390" s="679"/>
    </row>
    <row r="391" spans="1:21" s="678" customFormat="1" ht="45.6" customHeight="1">
      <c r="A391" s="676">
        <v>377</v>
      </c>
      <c r="B391" s="677" t="str">
        <f>'Tên thang 01-26'!E380</f>
        <v>ប៊ុណ្ណា ចាន់ទ្រា</v>
      </c>
      <c r="C391" s="690" t="str">
        <f>'Tên thang 01-26'!F380</f>
        <v>BUNNA CHAN TREA</v>
      </c>
      <c r="D391" s="680">
        <v>416</v>
      </c>
      <c r="E391" s="681">
        <v>31947</v>
      </c>
      <c r="F391" s="682">
        <f t="shared" si="54"/>
        <v>16.16</v>
      </c>
      <c r="G391" s="683">
        <v>516264</v>
      </c>
      <c r="H391" s="682">
        <f>'KL 1'!AG393</f>
        <v>32.870000000000005</v>
      </c>
      <c r="I391" s="683">
        <f t="shared" si="52"/>
        <v>1050098</v>
      </c>
      <c r="J391" s="684"/>
      <c r="K391" s="683"/>
      <c r="L391" s="685">
        <f t="shared" si="55"/>
        <v>1566362</v>
      </c>
      <c r="M391" s="683">
        <f t="shared" si="56"/>
        <v>516264</v>
      </c>
      <c r="N391" s="686">
        <f t="shared" si="53"/>
        <v>24000</v>
      </c>
      <c r="O391" s="687">
        <f t="shared" si="57"/>
        <v>2118</v>
      </c>
      <c r="P391" s="688">
        <f t="shared" si="58"/>
        <v>542382</v>
      </c>
      <c r="Q391" s="689"/>
      <c r="R391" s="683">
        <f t="shared" si="59"/>
        <v>1023980</v>
      </c>
      <c r="S391" s="567"/>
      <c r="U391" s="679"/>
    </row>
    <row r="392" spans="1:21" s="678" customFormat="1" ht="45.6" customHeight="1">
      <c r="A392" s="676">
        <v>378</v>
      </c>
      <c r="B392" s="677" t="str">
        <f>'Tên thang 01-26'!E381</f>
        <v>ទិត ភឿន</v>
      </c>
      <c r="C392" s="690" t="str">
        <f>'Tên thang 01-26'!F381</f>
        <v>TITH PHOEUN</v>
      </c>
      <c r="D392" s="680">
        <v>417</v>
      </c>
      <c r="E392" s="681">
        <v>31947</v>
      </c>
      <c r="F392" s="682">
        <f t="shared" si="54"/>
        <v>16.260000000000002</v>
      </c>
      <c r="G392" s="683">
        <v>519458</v>
      </c>
      <c r="H392" s="682">
        <f>'KL 1'!AG394</f>
        <v>43.59</v>
      </c>
      <c r="I392" s="683">
        <f t="shared" si="52"/>
        <v>1392570</v>
      </c>
      <c r="J392" s="684"/>
      <c r="K392" s="683"/>
      <c r="L392" s="685">
        <f t="shared" si="55"/>
        <v>1912028</v>
      </c>
      <c r="M392" s="683">
        <f t="shared" si="56"/>
        <v>519458</v>
      </c>
      <c r="N392" s="686">
        <f t="shared" si="53"/>
        <v>24000</v>
      </c>
      <c r="O392" s="687">
        <f t="shared" si="57"/>
        <v>19401</v>
      </c>
      <c r="P392" s="688">
        <f t="shared" si="58"/>
        <v>562859</v>
      </c>
      <c r="Q392" s="689"/>
      <c r="R392" s="683">
        <f t="shared" si="59"/>
        <v>1349169</v>
      </c>
      <c r="S392" s="567"/>
      <c r="U392" s="679"/>
    </row>
    <row r="393" spans="1:21" s="678" customFormat="1" ht="45.6" customHeight="1">
      <c r="A393" s="676">
        <v>379</v>
      </c>
      <c r="B393" s="677" t="str">
        <f>'Tên thang 01-26'!E382</f>
        <v>យេត​ យ៉ឺ</v>
      </c>
      <c r="C393" s="690" t="str">
        <f>'Tên thang 01-26'!F382</f>
        <v>YET YEV</v>
      </c>
      <c r="D393" s="680">
        <v>418</v>
      </c>
      <c r="E393" s="681">
        <v>31947</v>
      </c>
      <c r="F393" s="682">
        <f t="shared" si="54"/>
        <v>18.61</v>
      </c>
      <c r="G393" s="683">
        <v>594534</v>
      </c>
      <c r="H393" s="682">
        <f>'KL 1'!AG395</f>
        <v>41.620000000000005</v>
      </c>
      <c r="I393" s="683">
        <f t="shared" si="52"/>
        <v>1329634</v>
      </c>
      <c r="J393" s="684"/>
      <c r="K393" s="683"/>
      <c r="L393" s="685">
        <f t="shared" si="55"/>
        <v>1924168</v>
      </c>
      <c r="M393" s="683">
        <f t="shared" si="56"/>
        <v>594534</v>
      </c>
      <c r="N393" s="686">
        <f t="shared" si="53"/>
        <v>24000</v>
      </c>
      <c r="O393" s="687">
        <f t="shared" si="57"/>
        <v>20008</v>
      </c>
      <c r="P393" s="688">
        <f t="shared" si="58"/>
        <v>638542</v>
      </c>
      <c r="Q393" s="689"/>
      <c r="R393" s="683">
        <f t="shared" si="59"/>
        <v>1285626</v>
      </c>
      <c r="S393" s="567"/>
      <c r="U393" s="679"/>
    </row>
    <row r="394" spans="1:21" s="678" customFormat="1" ht="45.6" customHeight="1">
      <c r="A394" s="676">
        <v>380</v>
      </c>
      <c r="B394" s="677" t="str">
        <f>'Tên thang 01-26'!E383</f>
        <v>ប៊ុនណា មករា</v>
      </c>
      <c r="C394" s="690" t="str">
        <f>'Tên thang 01-26'!F383</f>
        <v>BUNNA MAKARA</v>
      </c>
      <c r="D394" s="680">
        <v>419</v>
      </c>
      <c r="E394" s="681">
        <v>31947</v>
      </c>
      <c r="F394" s="682">
        <f t="shared" si="54"/>
        <v>18.54</v>
      </c>
      <c r="G394" s="683">
        <v>592297</v>
      </c>
      <c r="H394" s="682">
        <f>'KL 1'!AG396</f>
        <v>41.03</v>
      </c>
      <c r="I394" s="683">
        <f t="shared" si="52"/>
        <v>1310785</v>
      </c>
      <c r="J394" s="684"/>
      <c r="K394" s="683"/>
      <c r="L394" s="685">
        <f t="shared" si="55"/>
        <v>1903082</v>
      </c>
      <c r="M394" s="683">
        <f t="shared" si="56"/>
        <v>592297</v>
      </c>
      <c r="N394" s="686">
        <f t="shared" si="53"/>
        <v>24000</v>
      </c>
      <c r="O394" s="687">
        <f t="shared" si="57"/>
        <v>18954</v>
      </c>
      <c r="P394" s="688">
        <f t="shared" si="58"/>
        <v>635251</v>
      </c>
      <c r="Q394" s="689"/>
      <c r="R394" s="683">
        <f t="shared" si="59"/>
        <v>1267831</v>
      </c>
      <c r="S394" s="567"/>
      <c r="U394" s="679"/>
    </row>
    <row r="395" spans="1:21" s="678" customFormat="1" ht="45.6" customHeight="1">
      <c r="A395" s="676">
        <v>381</v>
      </c>
      <c r="B395" s="677" t="str">
        <f>'Tên thang 01-26'!E384</f>
        <v>ប៉ិច រក្សា</v>
      </c>
      <c r="C395" s="690" t="str">
        <f>'Tên thang 01-26'!F384</f>
        <v>PECH REAKSA</v>
      </c>
      <c r="D395" s="680">
        <v>420</v>
      </c>
      <c r="E395" s="681">
        <v>31947</v>
      </c>
      <c r="F395" s="682">
        <f t="shared" si="54"/>
        <v>17.37</v>
      </c>
      <c r="G395" s="683">
        <v>554919</v>
      </c>
      <c r="H395" s="682">
        <f>'KL 1'!AG397</f>
        <v>40.700000000000003</v>
      </c>
      <c r="I395" s="683">
        <f t="shared" si="52"/>
        <v>1300243</v>
      </c>
      <c r="J395" s="684"/>
      <c r="K395" s="683"/>
      <c r="L395" s="685">
        <f t="shared" si="55"/>
        <v>1855162</v>
      </c>
      <c r="M395" s="683">
        <f t="shared" si="56"/>
        <v>554919</v>
      </c>
      <c r="N395" s="686">
        <f t="shared" si="53"/>
        <v>24000</v>
      </c>
      <c r="O395" s="687">
        <f t="shared" si="57"/>
        <v>16558</v>
      </c>
      <c r="P395" s="688">
        <f t="shared" si="58"/>
        <v>595477</v>
      </c>
      <c r="Q395" s="689"/>
      <c r="R395" s="683">
        <f t="shared" si="59"/>
        <v>1259685</v>
      </c>
      <c r="S395" s="567"/>
      <c r="U395" s="679"/>
    </row>
    <row r="396" spans="1:21" s="678" customFormat="1" ht="45.6" customHeight="1">
      <c r="A396" s="676">
        <v>382</v>
      </c>
      <c r="B396" s="677" t="str">
        <f>'Tên thang 01-26'!E385</f>
        <v>គ្រីប គន្ធា</v>
      </c>
      <c r="C396" s="690" t="str">
        <f>'Tên thang 01-26'!F385</f>
        <v>KRIB KUNTHEA</v>
      </c>
      <c r="D396" s="680">
        <v>421</v>
      </c>
      <c r="E396" s="681">
        <v>31947</v>
      </c>
      <c r="F396" s="682">
        <f t="shared" si="54"/>
        <v>17.399999999999999</v>
      </c>
      <c r="G396" s="683">
        <v>555878</v>
      </c>
      <c r="H396" s="682">
        <f>'KL 1'!AG398</f>
        <v>38.950000000000003</v>
      </c>
      <c r="I396" s="683">
        <f t="shared" si="52"/>
        <v>1244336</v>
      </c>
      <c r="J396" s="684"/>
      <c r="K396" s="683"/>
      <c r="L396" s="685">
        <f t="shared" si="55"/>
        <v>1800214</v>
      </c>
      <c r="M396" s="683">
        <f t="shared" si="56"/>
        <v>555878</v>
      </c>
      <c r="N396" s="686">
        <f t="shared" si="53"/>
        <v>24000</v>
      </c>
      <c r="O396" s="687">
        <f t="shared" si="57"/>
        <v>13811</v>
      </c>
      <c r="P396" s="688">
        <f t="shared" si="58"/>
        <v>593689</v>
      </c>
      <c r="Q396" s="689"/>
      <c r="R396" s="683">
        <f t="shared" si="59"/>
        <v>1206525</v>
      </c>
      <c r="S396" s="567"/>
      <c r="U396" s="679"/>
    </row>
    <row r="397" spans="1:21" s="678" customFormat="1" ht="45.6" customHeight="1">
      <c r="A397" s="676">
        <v>383</v>
      </c>
      <c r="B397" s="677" t="str">
        <f>'Tên thang 01-26'!E386</f>
        <v>គ្រីប ស្រិន</v>
      </c>
      <c r="C397" s="690" t="str">
        <f>'Tên thang 01-26'!F386</f>
        <v>KRIB SRIN</v>
      </c>
      <c r="D397" s="680">
        <v>422</v>
      </c>
      <c r="E397" s="681">
        <v>31947</v>
      </c>
      <c r="F397" s="682">
        <f t="shared" si="54"/>
        <v>17.05</v>
      </c>
      <c r="G397" s="683">
        <v>544696</v>
      </c>
      <c r="H397" s="682">
        <f>'KL 1'!AG399</f>
        <v>35.299999999999997</v>
      </c>
      <c r="I397" s="683">
        <f t="shared" si="52"/>
        <v>1127729</v>
      </c>
      <c r="J397" s="684"/>
      <c r="K397" s="683"/>
      <c r="L397" s="685">
        <f t="shared" si="55"/>
        <v>1672425</v>
      </c>
      <c r="M397" s="683">
        <f t="shared" si="56"/>
        <v>544696</v>
      </c>
      <c r="N397" s="686">
        <f t="shared" si="53"/>
        <v>24000</v>
      </c>
      <c r="O397" s="687">
        <f t="shared" si="57"/>
        <v>7421</v>
      </c>
      <c r="P397" s="688">
        <f t="shared" si="58"/>
        <v>576117</v>
      </c>
      <c r="Q397" s="689"/>
      <c r="R397" s="683">
        <f t="shared" si="59"/>
        <v>1096308</v>
      </c>
      <c r="S397" s="567"/>
      <c r="U397" s="679"/>
    </row>
    <row r="398" spans="1:21" s="678" customFormat="1" ht="45.6" customHeight="1">
      <c r="A398" s="676">
        <v>384</v>
      </c>
      <c r="B398" s="677" t="str">
        <f>'Tên thang 01-26'!E387</f>
        <v>យូន ថាញ់</v>
      </c>
      <c r="C398" s="690" t="str">
        <f>'Tên thang 01-26'!F387</f>
        <v>YOUN THANH</v>
      </c>
      <c r="D398" s="680">
        <v>423</v>
      </c>
      <c r="E398" s="681">
        <v>31947</v>
      </c>
      <c r="F398" s="682">
        <f t="shared" si="54"/>
        <v>17.47</v>
      </c>
      <c r="G398" s="683">
        <v>558114</v>
      </c>
      <c r="H398" s="682">
        <f>'KL 1'!AG400</f>
        <v>34.749999999999993</v>
      </c>
      <c r="I398" s="683">
        <f t="shared" si="52"/>
        <v>1110158</v>
      </c>
      <c r="J398" s="684"/>
      <c r="K398" s="683"/>
      <c r="L398" s="685">
        <f t="shared" si="55"/>
        <v>1668272</v>
      </c>
      <c r="M398" s="683">
        <f t="shared" si="56"/>
        <v>558114</v>
      </c>
      <c r="N398" s="686">
        <f t="shared" si="53"/>
        <v>24000</v>
      </c>
      <c r="O398" s="687">
        <f t="shared" si="57"/>
        <v>7214</v>
      </c>
      <c r="P398" s="688">
        <f t="shared" si="58"/>
        <v>589328</v>
      </c>
      <c r="Q398" s="689"/>
      <c r="R398" s="683">
        <f t="shared" si="59"/>
        <v>1078944</v>
      </c>
      <c r="S398" s="567"/>
      <c r="U398" s="679"/>
    </row>
    <row r="399" spans="1:21" s="678" customFormat="1" ht="45.6" customHeight="1">
      <c r="A399" s="676">
        <v>385</v>
      </c>
      <c r="B399" s="677" t="str">
        <f>'Tên thang 01-26'!E388</f>
        <v>រត សារិ</v>
      </c>
      <c r="C399" s="690" t="str">
        <f>'Tên thang 01-26'!F388</f>
        <v>ROT SARIK</v>
      </c>
      <c r="D399" s="680">
        <v>424</v>
      </c>
      <c r="E399" s="681">
        <v>31947</v>
      </c>
      <c r="F399" s="682">
        <f t="shared" si="54"/>
        <v>13.31</v>
      </c>
      <c r="G399" s="683">
        <v>425215</v>
      </c>
      <c r="H399" s="682">
        <f>'KL 1'!AG401</f>
        <v>37.230000000000004</v>
      </c>
      <c r="I399" s="683">
        <f t="shared" si="52"/>
        <v>1189387</v>
      </c>
      <c r="J399" s="684"/>
      <c r="K399" s="683"/>
      <c r="L399" s="685">
        <f t="shared" si="55"/>
        <v>1614602</v>
      </c>
      <c r="M399" s="683">
        <f t="shared" si="56"/>
        <v>425215</v>
      </c>
      <c r="N399" s="686">
        <f t="shared" si="53"/>
        <v>24000</v>
      </c>
      <c r="O399" s="687">
        <f t="shared" si="57"/>
        <v>4530</v>
      </c>
      <c r="P399" s="688">
        <f t="shared" si="58"/>
        <v>453745</v>
      </c>
      <c r="Q399" s="689"/>
      <c r="R399" s="683">
        <f t="shared" si="59"/>
        <v>1160857</v>
      </c>
      <c r="S399" s="567"/>
      <c r="U399" s="679"/>
    </row>
    <row r="400" spans="1:21" s="678" customFormat="1" ht="45.6" customHeight="1">
      <c r="A400" s="676">
        <v>386</v>
      </c>
      <c r="B400" s="677" t="str">
        <f>'Tên thang 01-26'!E389</f>
        <v>គា គន្ធា</v>
      </c>
      <c r="C400" s="690" t="str">
        <f>'Tên thang 01-26'!F389</f>
        <v>KHEA KUNTHEA</v>
      </c>
      <c r="D400" s="680">
        <v>425</v>
      </c>
      <c r="E400" s="681">
        <v>31947</v>
      </c>
      <c r="F400" s="682">
        <f t="shared" si="54"/>
        <v>19.14</v>
      </c>
      <c r="G400" s="683">
        <v>611466</v>
      </c>
      <c r="H400" s="682">
        <f>'KL 1'!AG402</f>
        <v>39.1</v>
      </c>
      <c r="I400" s="683">
        <f t="shared" ref="I400:I463" si="60">ROUND(E400*H400,0)</f>
        <v>1249128</v>
      </c>
      <c r="J400" s="684"/>
      <c r="K400" s="683"/>
      <c r="L400" s="685">
        <f t="shared" si="55"/>
        <v>1860594</v>
      </c>
      <c r="M400" s="683">
        <f t="shared" si="56"/>
        <v>611466</v>
      </c>
      <c r="N400" s="686">
        <f t="shared" ref="N400:N463" si="61">IF(L400&lt;=400000,400000*2%,IF(L400&lt;=1200000,ROUND(L400*2%,0),ROUND(1200000*2%,0)))</f>
        <v>24000</v>
      </c>
      <c r="O400" s="687">
        <f t="shared" si="57"/>
        <v>16830</v>
      </c>
      <c r="P400" s="688">
        <f t="shared" si="58"/>
        <v>652296</v>
      </c>
      <c r="Q400" s="689"/>
      <c r="R400" s="683">
        <f t="shared" si="59"/>
        <v>1208298</v>
      </c>
      <c r="S400" s="567"/>
      <c r="U400" s="679"/>
    </row>
    <row r="401" spans="1:21" s="678" customFormat="1" ht="45.6" customHeight="1">
      <c r="A401" s="676">
        <v>387</v>
      </c>
      <c r="B401" s="677" t="str">
        <f>'Tên thang 01-26'!E390</f>
        <v>សេង ត្រុច</v>
      </c>
      <c r="C401" s="690" t="str">
        <f>'Tên thang 01-26'!F390</f>
        <v>SENG TROCH</v>
      </c>
      <c r="D401" s="680">
        <v>426</v>
      </c>
      <c r="E401" s="681">
        <v>31947</v>
      </c>
      <c r="F401" s="682">
        <f t="shared" si="54"/>
        <v>17.62</v>
      </c>
      <c r="G401" s="683">
        <v>562906</v>
      </c>
      <c r="H401" s="682">
        <f>'KL 1'!AG403</f>
        <v>41.95</v>
      </c>
      <c r="I401" s="683">
        <f t="shared" si="60"/>
        <v>1340177</v>
      </c>
      <c r="J401" s="684"/>
      <c r="K401" s="683"/>
      <c r="L401" s="685">
        <f t="shared" si="55"/>
        <v>1903083</v>
      </c>
      <c r="M401" s="683">
        <f t="shared" si="56"/>
        <v>562906</v>
      </c>
      <c r="N401" s="686">
        <f t="shared" si="61"/>
        <v>24000</v>
      </c>
      <c r="O401" s="687">
        <f t="shared" si="57"/>
        <v>18954</v>
      </c>
      <c r="P401" s="688">
        <f t="shared" si="58"/>
        <v>605860</v>
      </c>
      <c r="Q401" s="689"/>
      <c r="R401" s="683">
        <f t="shared" si="59"/>
        <v>1297223</v>
      </c>
      <c r="S401" s="567"/>
      <c r="U401" s="679"/>
    </row>
    <row r="402" spans="1:21" s="678" customFormat="1" ht="45.6" customHeight="1">
      <c r="A402" s="676">
        <v>388</v>
      </c>
      <c r="B402" s="677" t="str">
        <f>'Tên thang 01-26'!E391</f>
        <v>ឡាក់ ចំរើន</v>
      </c>
      <c r="C402" s="690" t="str">
        <f>'Tên thang 01-26'!F391</f>
        <v>LAK CHAMRERN</v>
      </c>
      <c r="D402" s="680">
        <v>427</v>
      </c>
      <c r="E402" s="681">
        <v>31947</v>
      </c>
      <c r="F402" s="682">
        <f t="shared" si="54"/>
        <v>19.57</v>
      </c>
      <c r="G402" s="683">
        <v>625203</v>
      </c>
      <c r="H402" s="682">
        <f>'KL 1'!AG404</f>
        <v>41.74</v>
      </c>
      <c r="I402" s="683">
        <f t="shared" si="60"/>
        <v>1333468</v>
      </c>
      <c r="J402" s="684"/>
      <c r="K402" s="683"/>
      <c r="L402" s="685">
        <f t="shared" si="55"/>
        <v>1958671</v>
      </c>
      <c r="M402" s="683">
        <f t="shared" si="56"/>
        <v>625203</v>
      </c>
      <c r="N402" s="686">
        <f t="shared" si="61"/>
        <v>24000</v>
      </c>
      <c r="O402" s="687">
        <f t="shared" si="57"/>
        <v>21734</v>
      </c>
      <c r="P402" s="688">
        <f t="shared" si="58"/>
        <v>670937</v>
      </c>
      <c r="Q402" s="689"/>
      <c r="R402" s="683">
        <f t="shared" si="59"/>
        <v>1287734</v>
      </c>
      <c r="S402" s="567"/>
      <c r="U402" s="679"/>
    </row>
    <row r="403" spans="1:21" s="678" customFormat="1" ht="37.200000000000003" customHeight="1">
      <c r="A403" s="676">
        <v>389</v>
      </c>
      <c r="B403" s="677" t="str">
        <f>'Tên thang 01-26'!E392</f>
        <v>ធី ចាន់</v>
      </c>
      <c r="C403" s="690" t="str">
        <f>'Tên thang 01-26'!F392</f>
        <v>THY CHAN</v>
      </c>
      <c r="D403" s="680">
        <v>293</v>
      </c>
      <c r="E403" s="681">
        <v>31947</v>
      </c>
      <c r="F403" s="682">
        <f t="shared" si="54"/>
        <v>12.57</v>
      </c>
      <c r="G403" s="683">
        <v>401574</v>
      </c>
      <c r="H403" s="682">
        <f>'KL 1'!AG405</f>
        <v>32.49</v>
      </c>
      <c r="I403" s="683">
        <f t="shared" si="60"/>
        <v>1037958</v>
      </c>
      <c r="J403" s="684"/>
      <c r="K403" s="683"/>
      <c r="L403" s="685">
        <f t="shared" si="55"/>
        <v>1439532</v>
      </c>
      <c r="M403" s="683">
        <f t="shared" si="56"/>
        <v>401574</v>
      </c>
      <c r="N403" s="686">
        <f t="shared" si="61"/>
        <v>24000</v>
      </c>
      <c r="O403" s="687">
        <f t="shared" si="57"/>
        <v>0</v>
      </c>
      <c r="P403" s="688">
        <f t="shared" si="58"/>
        <v>425574</v>
      </c>
      <c r="Q403" s="689"/>
      <c r="R403" s="683">
        <f t="shared" si="59"/>
        <v>1013958</v>
      </c>
      <c r="S403" s="567"/>
      <c r="U403" s="679"/>
    </row>
    <row r="404" spans="1:21" s="678" customFormat="1" ht="37.200000000000003" customHeight="1">
      <c r="A404" s="676">
        <v>390</v>
      </c>
      <c r="B404" s="677" t="str">
        <f>'Tên thang 01-26'!E393</f>
        <v>ស៊ុត សុផល</v>
      </c>
      <c r="C404" s="690" t="str">
        <f>'Tên thang 01-26'!F393</f>
        <v>SUT SOPHAL</v>
      </c>
      <c r="D404" s="680">
        <v>294</v>
      </c>
      <c r="E404" s="681">
        <v>31947</v>
      </c>
      <c r="F404" s="682">
        <f t="shared" si="54"/>
        <v>14.3</v>
      </c>
      <c r="G404" s="683">
        <v>456842</v>
      </c>
      <c r="H404" s="682">
        <f>'KL 1'!AG406</f>
        <v>35.910000000000004</v>
      </c>
      <c r="I404" s="683">
        <f t="shared" si="60"/>
        <v>1147217</v>
      </c>
      <c r="J404" s="684"/>
      <c r="K404" s="683"/>
      <c r="L404" s="685">
        <f t="shared" si="55"/>
        <v>1604059</v>
      </c>
      <c r="M404" s="683">
        <f t="shared" si="56"/>
        <v>456842</v>
      </c>
      <c r="N404" s="686">
        <f t="shared" si="61"/>
        <v>24000</v>
      </c>
      <c r="O404" s="687">
        <f t="shared" si="57"/>
        <v>4003</v>
      </c>
      <c r="P404" s="688">
        <f t="shared" si="58"/>
        <v>484845</v>
      </c>
      <c r="Q404" s="689"/>
      <c r="R404" s="683">
        <f t="shared" si="59"/>
        <v>1119214</v>
      </c>
      <c r="S404" s="567"/>
      <c r="U404" s="679"/>
    </row>
    <row r="405" spans="1:21" s="678" customFormat="1" ht="37.200000000000003" customHeight="1">
      <c r="A405" s="676">
        <v>391</v>
      </c>
      <c r="B405" s="677" t="str">
        <f>'Tên thang 01-26'!E394</f>
        <v>ហៃ អុល</v>
      </c>
      <c r="C405" s="690" t="str">
        <f>'Tên thang 01-26'!F394</f>
        <v>HAI OL</v>
      </c>
      <c r="D405" s="680">
        <v>295</v>
      </c>
      <c r="E405" s="681">
        <v>31947</v>
      </c>
      <c r="F405" s="682">
        <f t="shared" si="54"/>
        <v>17</v>
      </c>
      <c r="G405" s="683">
        <v>543099</v>
      </c>
      <c r="H405" s="682">
        <f>'KL 1'!AG407</f>
        <v>37.33</v>
      </c>
      <c r="I405" s="683">
        <f t="shared" si="60"/>
        <v>1192582</v>
      </c>
      <c r="J405" s="684"/>
      <c r="K405" s="683"/>
      <c r="L405" s="685">
        <f t="shared" si="55"/>
        <v>1735681</v>
      </c>
      <c r="M405" s="683">
        <f t="shared" si="56"/>
        <v>543099</v>
      </c>
      <c r="N405" s="686">
        <f t="shared" si="61"/>
        <v>24000</v>
      </c>
      <c r="O405" s="687">
        <f t="shared" si="57"/>
        <v>10584</v>
      </c>
      <c r="P405" s="688">
        <f t="shared" si="58"/>
        <v>577683</v>
      </c>
      <c r="Q405" s="689"/>
      <c r="R405" s="683">
        <f t="shared" si="59"/>
        <v>1157998</v>
      </c>
      <c r="S405" s="567"/>
      <c r="U405" s="679"/>
    </row>
    <row r="406" spans="1:21" s="678" customFormat="1" ht="37.200000000000003" customHeight="1">
      <c r="A406" s="676">
        <v>392</v>
      </c>
      <c r="B406" s="677" t="str">
        <f>'Tên thang 01-26'!E395</f>
        <v>អាង សី</v>
      </c>
      <c r="C406" s="690" t="str">
        <f>'Tên thang 01-26'!F395</f>
        <v>ANG SEY</v>
      </c>
      <c r="D406" s="680">
        <v>296</v>
      </c>
      <c r="E406" s="681">
        <v>31947</v>
      </c>
      <c r="F406" s="682">
        <f t="shared" si="54"/>
        <v>14.54</v>
      </c>
      <c r="G406" s="683">
        <v>464509</v>
      </c>
      <c r="H406" s="682">
        <f>'KL 1'!AG408</f>
        <v>34.65</v>
      </c>
      <c r="I406" s="683">
        <f t="shared" si="60"/>
        <v>1106964</v>
      </c>
      <c r="J406" s="684"/>
      <c r="K406" s="683"/>
      <c r="L406" s="685">
        <f t="shared" si="55"/>
        <v>1571473</v>
      </c>
      <c r="M406" s="683">
        <f t="shared" si="56"/>
        <v>464509</v>
      </c>
      <c r="N406" s="686">
        <f t="shared" si="61"/>
        <v>24000</v>
      </c>
      <c r="O406" s="687">
        <f t="shared" si="57"/>
        <v>2374</v>
      </c>
      <c r="P406" s="688">
        <f t="shared" si="58"/>
        <v>490883</v>
      </c>
      <c r="Q406" s="689"/>
      <c r="R406" s="683">
        <f t="shared" si="59"/>
        <v>1080590</v>
      </c>
      <c r="S406" s="567"/>
      <c r="U406" s="679"/>
    </row>
    <row r="407" spans="1:21" s="678" customFormat="1" ht="37.200000000000003" customHeight="1">
      <c r="A407" s="676">
        <v>393</v>
      </c>
      <c r="B407" s="677" t="str">
        <f>'Tên thang 01-26'!E396</f>
        <v>អាន់ សំអូន</v>
      </c>
      <c r="C407" s="690" t="str">
        <f>'Tên thang 01-26'!F396</f>
        <v>ANN SAMOUN</v>
      </c>
      <c r="D407" s="680">
        <v>297</v>
      </c>
      <c r="E407" s="681">
        <v>31947</v>
      </c>
      <c r="F407" s="682">
        <f t="shared" si="54"/>
        <v>18.23</v>
      </c>
      <c r="G407" s="683">
        <v>582394</v>
      </c>
      <c r="H407" s="682">
        <f>'KL 1'!AG409</f>
        <v>38.67</v>
      </c>
      <c r="I407" s="683">
        <f t="shared" si="60"/>
        <v>1235390</v>
      </c>
      <c r="J407" s="684"/>
      <c r="K407" s="683"/>
      <c r="L407" s="685">
        <f t="shared" si="55"/>
        <v>1817784</v>
      </c>
      <c r="M407" s="683">
        <f t="shared" si="56"/>
        <v>582394</v>
      </c>
      <c r="N407" s="686">
        <f t="shared" si="61"/>
        <v>24000</v>
      </c>
      <c r="O407" s="687">
        <f t="shared" si="57"/>
        <v>14689</v>
      </c>
      <c r="P407" s="688">
        <f t="shared" si="58"/>
        <v>621083</v>
      </c>
      <c r="Q407" s="689"/>
      <c r="R407" s="683">
        <f t="shared" si="59"/>
        <v>1196701</v>
      </c>
      <c r="S407" s="567"/>
      <c r="U407" s="679"/>
    </row>
    <row r="408" spans="1:21" s="678" customFormat="1" ht="37.200000000000003" customHeight="1">
      <c r="A408" s="676">
        <v>394</v>
      </c>
      <c r="B408" s="677" t="str">
        <f>'Tên thang 01-26'!E397</f>
        <v>ឡូត សុភ័ក្រ</v>
      </c>
      <c r="C408" s="690" t="str">
        <f>'Tên thang 01-26'!F397</f>
        <v>LOT SOPHEAK</v>
      </c>
      <c r="D408" s="680">
        <v>298</v>
      </c>
      <c r="E408" s="681">
        <v>31947</v>
      </c>
      <c r="F408" s="682">
        <f t="shared" si="54"/>
        <v>12.69</v>
      </c>
      <c r="G408" s="683">
        <v>405407</v>
      </c>
      <c r="H408" s="682">
        <f>'KL 1'!AG410</f>
        <v>29.88</v>
      </c>
      <c r="I408" s="683">
        <f t="shared" si="60"/>
        <v>954576</v>
      </c>
      <c r="J408" s="684"/>
      <c r="K408" s="683"/>
      <c r="L408" s="685">
        <f t="shared" si="55"/>
        <v>1359983</v>
      </c>
      <c r="M408" s="683">
        <f t="shared" si="56"/>
        <v>405407</v>
      </c>
      <c r="N408" s="686">
        <f t="shared" si="61"/>
        <v>24000</v>
      </c>
      <c r="O408" s="687">
        <f t="shared" si="57"/>
        <v>0</v>
      </c>
      <c r="P408" s="688">
        <f t="shared" si="58"/>
        <v>429407</v>
      </c>
      <c r="Q408" s="689"/>
      <c r="R408" s="683">
        <f t="shared" si="59"/>
        <v>930576</v>
      </c>
      <c r="S408" s="567"/>
      <c r="U408" s="679"/>
    </row>
    <row r="409" spans="1:21" s="678" customFormat="1" ht="37.200000000000003" customHeight="1">
      <c r="A409" s="676">
        <v>395</v>
      </c>
      <c r="B409" s="677" t="str">
        <f>'Tên thang 01-26'!E398</f>
        <v>យ៉ុន ផល</v>
      </c>
      <c r="C409" s="690" t="str">
        <f>'Tên thang 01-26'!F398</f>
        <v>YON PHAL</v>
      </c>
      <c r="D409" s="680">
        <v>299</v>
      </c>
      <c r="E409" s="681">
        <v>31947</v>
      </c>
      <c r="F409" s="682">
        <f t="shared" si="54"/>
        <v>17.850000000000001</v>
      </c>
      <c r="G409" s="683">
        <v>570254</v>
      </c>
      <c r="H409" s="682">
        <f>'KL 1'!AG411</f>
        <v>36.419999999999995</v>
      </c>
      <c r="I409" s="683">
        <f t="shared" si="60"/>
        <v>1163510</v>
      </c>
      <c r="J409" s="684"/>
      <c r="K409" s="683"/>
      <c r="L409" s="685">
        <f t="shared" si="55"/>
        <v>1733764</v>
      </c>
      <c r="M409" s="683">
        <f t="shared" si="56"/>
        <v>570254</v>
      </c>
      <c r="N409" s="686">
        <f t="shared" si="61"/>
        <v>24000</v>
      </c>
      <c r="O409" s="687">
        <f t="shared" si="57"/>
        <v>10488</v>
      </c>
      <c r="P409" s="688">
        <f t="shared" si="58"/>
        <v>604742</v>
      </c>
      <c r="Q409" s="689"/>
      <c r="R409" s="683">
        <f t="shared" si="59"/>
        <v>1129022</v>
      </c>
      <c r="S409" s="567"/>
      <c r="U409" s="679"/>
    </row>
    <row r="410" spans="1:21" s="678" customFormat="1" ht="37.200000000000003" customHeight="1">
      <c r="A410" s="676">
        <v>396</v>
      </c>
      <c r="B410" s="677" t="str">
        <f>'Tên thang 01-26'!E399</f>
        <v>រឹម ធីម</v>
      </c>
      <c r="C410" s="690" t="str">
        <f>'Tên thang 01-26'!F399</f>
        <v>ROEM THIM</v>
      </c>
      <c r="D410" s="680">
        <v>300</v>
      </c>
      <c r="E410" s="681">
        <v>31947</v>
      </c>
      <c r="F410" s="682">
        <f t="shared" si="54"/>
        <v>17.170000000000002</v>
      </c>
      <c r="G410" s="683">
        <v>548530</v>
      </c>
      <c r="H410" s="682">
        <f>'KL 1'!AG412</f>
        <v>35.78</v>
      </c>
      <c r="I410" s="683">
        <f t="shared" si="60"/>
        <v>1143064</v>
      </c>
      <c r="J410" s="684"/>
      <c r="K410" s="683"/>
      <c r="L410" s="685">
        <f t="shared" si="55"/>
        <v>1691594</v>
      </c>
      <c r="M410" s="683">
        <f t="shared" si="56"/>
        <v>548530</v>
      </c>
      <c r="N410" s="686">
        <f t="shared" si="61"/>
        <v>24000</v>
      </c>
      <c r="O410" s="687">
        <f t="shared" si="57"/>
        <v>8380</v>
      </c>
      <c r="P410" s="688">
        <f t="shared" si="58"/>
        <v>580910</v>
      </c>
      <c r="Q410" s="689"/>
      <c r="R410" s="683">
        <f t="shared" si="59"/>
        <v>1110684</v>
      </c>
      <c r="S410" s="567"/>
      <c r="U410" s="679"/>
    </row>
    <row r="411" spans="1:21" s="678" customFormat="1" ht="37.200000000000003" customHeight="1">
      <c r="A411" s="676">
        <v>397</v>
      </c>
      <c r="B411" s="677" t="str">
        <f>'Tên thang 01-26'!E400</f>
        <v>យ៉ុន ធា</v>
      </c>
      <c r="C411" s="690" t="str">
        <f>'Tên thang 01-26'!F400</f>
        <v>YON THEA</v>
      </c>
      <c r="D411" s="680">
        <v>301</v>
      </c>
      <c r="E411" s="681">
        <v>31947</v>
      </c>
      <c r="F411" s="682">
        <f t="shared" si="54"/>
        <v>14.76</v>
      </c>
      <c r="G411" s="683">
        <v>471538</v>
      </c>
      <c r="H411" s="682">
        <f>'KL 1'!AG413</f>
        <v>35.57</v>
      </c>
      <c r="I411" s="683">
        <f t="shared" si="60"/>
        <v>1136355</v>
      </c>
      <c r="J411" s="684"/>
      <c r="K411" s="683"/>
      <c r="L411" s="685">
        <f t="shared" si="55"/>
        <v>1607893</v>
      </c>
      <c r="M411" s="683">
        <f t="shared" si="56"/>
        <v>471538</v>
      </c>
      <c r="N411" s="686">
        <f t="shared" si="61"/>
        <v>24000</v>
      </c>
      <c r="O411" s="687">
        <f t="shared" si="57"/>
        <v>4195</v>
      </c>
      <c r="P411" s="688">
        <f t="shared" si="58"/>
        <v>499733</v>
      </c>
      <c r="Q411" s="689"/>
      <c r="R411" s="683">
        <f t="shared" si="59"/>
        <v>1108160</v>
      </c>
      <c r="S411" s="567"/>
      <c r="U411" s="679"/>
    </row>
    <row r="412" spans="1:21" s="678" customFormat="1" ht="37.200000000000003" customHeight="1">
      <c r="A412" s="676">
        <v>398</v>
      </c>
      <c r="B412" s="677" t="str">
        <f>'Tên thang 01-26'!E401</f>
        <v>ហួន ហេង</v>
      </c>
      <c r="C412" s="690" t="str">
        <f>'Tên thang 01-26'!F401</f>
        <v>HOUN HENG</v>
      </c>
      <c r="D412" s="680">
        <v>302</v>
      </c>
      <c r="E412" s="681">
        <v>31947</v>
      </c>
      <c r="F412" s="682">
        <f t="shared" si="54"/>
        <v>18.760000000000002</v>
      </c>
      <c r="G412" s="683">
        <v>599326</v>
      </c>
      <c r="H412" s="682">
        <f>'KL 1'!AG414</f>
        <v>36.57</v>
      </c>
      <c r="I412" s="683">
        <f t="shared" si="60"/>
        <v>1168302</v>
      </c>
      <c r="J412" s="684"/>
      <c r="K412" s="683"/>
      <c r="L412" s="685">
        <f t="shared" si="55"/>
        <v>1767628</v>
      </c>
      <c r="M412" s="683">
        <f t="shared" si="56"/>
        <v>599326</v>
      </c>
      <c r="N412" s="686">
        <f t="shared" si="61"/>
        <v>24000</v>
      </c>
      <c r="O412" s="687">
        <f t="shared" si="57"/>
        <v>12181</v>
      </c>
      <c r="P412" s="688">
        <f t="shared" si="58"/>
        <v>635507</v>
      </c>
      <c r="Q412" s="689"/>
      <c r="R412" s="683">
        <f t="shared" si="59"/>
        <v>1132121</v>
      </c>
      <c r="S412" s="567"/>
      <c r="U412" s="679"/>
    </row>
    <row r="413" spans="1:21" s="678" customFormat="1" ht="37.200000000000003" customHeight="1">
      <c r="A413" s="676">
        <v>399</v>
      </c>
      <c r="B413" s="677" t="str">
        <f>'Tên thang 01-26'!E402</f>
        <v>ភួន ភា</v>
      </c>
      <c r="C413" s="690" t="str">
        <f>'Tên thang 01-26'!F402</f>
        <v>PHUON PHEA</v>
      </c>
      <c r="D413" s="680">
        <v>303</v>
      </c>
      <c r="E413" s="681">
        <v>31947</v>
      </c>
      <c r="F413" s="682">
        <f t="shared" si="54"/>
        <v>16.420000000000002</v>
      </c>
      <c r="G413" s="683">
        <v>524570</v>
      </c>
      <c r="H413" s="682">
        <f>'KL 1'!AG415</f>
        <v>35.51</v>
      </c>
      <c r="I413" s="683">
        <f t="shared" si="60"/>
        <v>1134438</v>
      </c>
      <c r="J413" s="684"/>
      <c r="K413" s="683"/>
      <c r="L413" s="685">
        <f t="shared" si="55"/>
        <v>1659008</v>
      </c>
      <c r="M413" s="683">
        <f t="shared" si="56"/>
        <v>524570</v>
      </c>
      <c r="N413" s="686">
        <f t="shared" si="61"/>
        <v>24000</v>
      </c>
      <c r="O413" s="687">
        <f t="shared" si="57"/>
        <v>6750</v>
      </c>
      <c r="P413" s="688">
        <f t="shared" si="58"/>
        <v>555320</v>
      </c>
      <c r="Q413" s="689"/>
      <c r="R413" s="683">
        <f t="shared" si="59"/>
        <v>1103688</v>
      </c>
      <c r="S413" s="567"/>
      <c r="U413" s="679"/>
    </row>
    <row r="414" spans="1:21" s="678" customFormat="1" ht="37.200000000000003" customHeight="1">
      <c r="A414" s="676">
        <v>400</v>
      </c>
      <c r="B414" s="677" t="str">
        <f>'Tên thang 01-26'!E403</f>
        <v>ងី តំ</v>
      </c>
      <c r="C414" s="690" t="str">
        <f>'Tên thang 01-26'!F403</f>
        <v>NGY TOM</v>
      </c>
      <c r="D414" s="680">
        <v>304</v>
      </c>
      <c r="E414" s="681">
        <v>31947</v>
      </c>
      <c r="F414" s="682">
        <f t="shared" si="54"/>
        <v>18.48</v>
      </c>
      <c r="G414" s="683">
        <v>590381</v>
      </c>
      <c r="H414" s="682">
        <f>'KL 1'!AG416</f>
        <v>36.980000000000004</v>
      </c>
      <c r="I414" s="683">
        <f t="shared" si="60"/>
        <v>1181400</v>
      </c>
      <c r="J414" s="684"/>
      <c r="K414" s="683"/>
      <c r="L414" s="685">
        <f t="shared" si="55"/>
        <v>1771781</v>
      </c>
      <c r="M414" s="683">
        <f t="shared" si="56"/>
        <v>590381</v>
      </c>
      <c r="N414" s="686">
        <f t="shared" si="61"/>
        <v>24000</v>
      </c>
      <c r="O414" s="687">
        <f t="shared" si="57"/>
        <v>12389</v>
      </c>
      <c r="P414" s="688">
        <f t="shared" si="58"/>
        <v>626770</v>
      </c>
      <c r="Q414" s="689"/>
      <c r="R414" s="683">
        <f t="shared" si="59"/>
        <v>1145011</v>
      </c>
      <c r="S414" s="567"/>
      <c r="U414" s="679"/>
    </row>
    <row r="415" spans="1:21" s="678" customFormat="1" ht="37.200000000000003" customHeight="1">
      <c r="A415" s="676">
        <v>401</v>
      </c>
      <c r="B415" s="677" t="str">
        <f>'Tên thang 01-26'!E404</f>
        <v>ហូយ វាសនា</v>
      </c>
      <c r="C415" s="690" t="str">
        <f>'Tên thang 01-26'!F404</f>
        <v>HAUY VEASNA</v>
      </c>
      <c r="D415" s="680">
        <v>305</v>
      </c>
      <c r="E415" s="681">
        <v>31947</v>
      </c>
      <c r="F415" s="682">
        <f t="shared" si="54"/>
        <v>10.66</v>
      </c>
      <c r="G415" s="683">
        <v>340555</v>
      </c>
      <c r="H415" s="682">
        <f>'KL 1'!AG417</f>
        <v>28.32</v>
      </c>
      <c r="I415" s="683">
        <f t="shared" si="60"/>
        <v>904739</v>
      </c>
      <c r="J415" s="684"/>
      <c r="K415" s="683"/>
      <c r="L415" s="685">
        <f t="shared" si="55"/>
        <v>1245294</v>
      </c>
      <c r="M415" s="683">
        <f t="shared" si="56"/>
        <v>340555</v>
      </c>
      <c r="N415" s="686">
        <f t="shared" si="61"/>
        <v>24000</v>
      </c>
      <c r="O415" s="687">
        <f t="shared" si="57"/>
        <v>0</v>
      </c>
      <c r="P415" s="688">
        <f t="shared" si="58"/>
        <v>364555</v>
      </c>
      <c r="Q415" s="689"/>
      <c r="R415" s="683">
        <f t="shared" si="59"/>
        <v>880739</v>
      </c>
      <c r="S415" s="567"/>
      <c r="U415" s="679"/>
    </row>
    <row r="416" spans="1:21" s="678" customFormat="1" ht="37.200000000000003" customHeight="1">
      <c r="A416" s="676">
        <v>402</v>
      </c>
      <c r="B416" s="677" t="str">
        <f>'Tên thang 01-26'!E405</f>
        <v>សឿន ចែម</v>
      </c>
      <c r="C416" s="690" t="str">
        <f>'Tên thang 01-26'!F405</f>
        <v>SOEUN CHEM</v>
      </c>
      <c r="D416" s="680">
        <v>306</v>
      </c>
      <c r="E416" s="681">
        <v>31947</v>
      </c>
      <c r="F416" s="682">
        <f t="shared" si="54"/>
        <v>11.64</v>
      </c>
      <c r="G416" s="683">
        <v>371863</v>
      </c>
      <c r="H416" s="682">
        <f>'KL 1'!AG418</f>
        <v>32.25</v>
      </c>
      <c r="I416" s="683">
        <f t="shared" si="60"/>
        <v>1030291</v>
      </c>
      <c r="J416" s="684"/>
      <c r="K416" s="683"/>
      <c r="L416" s="685">
        <f t="shared" si="55"/>
        <v>1402154</v>
      </c>
      <c r="M416" s="683">
        <f t="shared" si="56"/>
        <v>371863</v>
      </c>
      <c r="N416" s="686">
        <f t="shared" si="61"/>
        <v>24000</v>
      </c>
      <c r="O416" s="687">
        <f t="shared" si="57"/>
        <v>0</v>
      </c>
      <c r="P416" s="688">
        <f t="shared" si="58"/>
        <v>395863</v>
      </c>
      <c r="Q416" s="689"/>
      <c r="R416" s="683">
        <f t="shared" si="59"/>
        <v>1006291</v>
      </c>
      <c r="S416" s="567"/>
      <c r="U416" s="679"/>
    </row>
    <row r="417" spans="1:21" s="678" customFormat="1" ht="37.200000000000003" customHeight="1">
      <c r="A417" s="676">
        <v>403</v>
      </c>
      <c r="B417" s="677" t="str">
        <f>'Tên thang 01-26'!E406</f>
        <v>អាន អឿន</v>
      </c>
      <c r="C417" s="690" t="str">
        <f>'Tên thang 01-26'!F406</f>
        <v>AN OEURN</v>
      </c>
      <c r="D417" s="680">
        <v>307</v>
      </c>
      <c r="E417" s="681">
        <v>31947</v>
      </c>
      <c r="F417" s="682">
        <f t="shared" si="54"/>
        <v>12.54</v>
      </c>
      <c r="G417" s="683">
        <v>400615</v>
      </c>
      <c r="H417" s="682">
        <f>'KL 1'!AG419</f>
        <v>32.1</v>
      </c>
      <c r="I417" s="683">
        <f t="shared" si="60"/>
        <v>1025499</v>
      </c>
      <c r="J417" s="684"/>
      <c r="K417" s="683"/>
      <c r="L417" s="685">
        <f t="shared" si="55"/>
        <v>1426114</v>
      </c>
      <c r="M417" s="683">
        <f t="shared" si="56"/>
        <v>400615</v>
      </c>
      <c r="N417" s="686">
        <f t="shared" si="61"/>
        <v>24000</v>
      </c>
      <c r="O417" s="687">
        <f t="shared" si="57"/>
        <v>0</v>
      </c>
      <c r="P417" s="688">
        <f t="shared" si="58"/>
        <v>424615</v>
      </c>
      <c r="Q417" s="689"/>
      <c r="R417" s="683">
        <f t="shared" si="59"/>
        <v>1001499</v>
      </c>
      <c r="S417" s="567"/>
      <c r="U417" s="679"/>
    </row>
    <row r="418" spans="1:21" s="678" customFormat="1" ht="37.200000000000003" customHeight="1">
      <c r="A418" s="676">
        <v>404</v>
      </c>
      <c r="B418" s="677" t="str">
        <f>'Tên thang 01-26'!E407</f>
        <v>ភួន ធារី</v>
      </c>
      <c r="C418" s="690" t="str">
        <f>'Tên thang 01-26'!F407</f>
        <v>PHUON THEARY</v>
      </c>
      <c r="D418" s="680">
        <v>308</v>
      </c>
      <c r="E418" s="681">
        <v>31947</v>
      </c>
      <c r="F418" s="682">
        <f t="shared" si="54"/>
        <v>15.67</v>
      </c>
      <c r="G418" s="683">
        <v>500609</v>
      </c>
      <c r="H418" s="682">
        <f>'KL 1'!AG420</f>
        <v>34.479999999999997</v>
      </c>
      <c r="I418" s="683">
        <f t="shared" si="60"/>
        <v>1101533</v>
      </c>
      <c r="J418" s="684"/>
      <c r="K418" s="683"/>
      <c r="L418" s="685">
        <f t="shared" si="55"/>
        <v>1602142</v>
      </c>
      <c r="M418" s="683">
        <f t="shared" si="56"/>
        <v>500609</v>
      </c>
      <c r="N418" s="686">
        <f t="shared" si="61"/>
        <v>24000</v>
      </c>
      <c r="O418" s="687">
        <f t="shared" si="57"/>
        <v>3907</v>
      </c>
      <c r="P418" s="688">
        <f t="shared" si="58"/>
        <v>528516</v>
      </c>
      <c r="Q418" s="689"/>
      <c r="R418" s="683">
        <f t="shared" si="59"/>
        <v>1073626</v>
      </c>
      <c r="S418" s="567"/>
      <c r="U418" s="679"/>
    </row>
    <row r="419" spans="1:21" s="678" customFormat="1" ht="37.200000000000003" customHeight="1">
      <c r="A419" s="676">
        <v>405</v>
      </c>
      <c r="B419" s="677" t="str">
        <f>'Tên thang 01-26'!E408</f>
        <v>ឈិន ឈឿន</v>
      </c>
      <c r="C419" s="690" t="str">
        <f>'Tên thang 01-26'!F408</f>
        <v>CHHIN CHHOEUN</v>
      </c>
      <c r="D419" s="680">
        <v>309</v>
      </c>
      <c r="E419" s="681">
        <v>31947</v>
      </c>
      <c r="F419" s="682">
        <f t="shared" si="54"/>
        <v>12.78</v>
      </c>
      <c r="G419" s="683">
        <v>408283</v>
      </c>
      <c r="H419" s="682">
        <f>'KL 1'!AG421</f>
        <v>32.220000000000006</v>
      </c>
      <c r="I419" s="683">
        <f t="shared" si="60"/>
        <v>1029332</v>
      </c>
      <c r="J419" s="684"/>
      <c r="K419" s="683"/>
      <c r="L419" s="685">
        <f t="shared" si="55"/>
        <v>1437615</v>
      </c>
      <c r="M419" s="683">
        <f t="shared" si="56"/>
        <v>408283</v>
      </c>
      <c r="N419" s="686">
        <f t="shared" si="61"/>
        <v>24000</v>
      </c>
      <c r="O419" s="687">
        <f t="shared" si="57"/>
        <v>0</v>
      </c>
      <c r="P419" s="688">
        <f t="shared" si="58"/>
        <v>432283</v>
      </c>
      <c r="Q419" s="689"/>
      <c r="R419" s="683">
        <f t="shared" si="59"/>
        <v>1005332</v>
      </c>
      <c r="S419" s="567"/>
      <c r="U419" s="679"/>
    </row>
    <row r="420" spans="1:21" s="678" customFormat="1" ht="37.200000000000003" customHeight="1">
      <c r="A420" s="676">
        <v>406</v>
      </c>
      <c r="B420" s="677" t="str">
        <f>'Tên thang 01-26'!E409</f>
        <v>យ៉ាន ត្រប់</v>
      </c>
      <c r="C420" s="690" t="str">
        <f>'Tên thang 01-26'!F409</f>
        <v>YAN TROB</v>
      </c>
      <c r="D420" s="680">
        <v>310</v>
      </c>
      <c r="E420" s="681">
        <v>31947</v>
      </c>
      <c r="F420" s="682">
        <f t="shared" si="54"/>
        <v>15.36</v>
      </c>
      <c r="G420" s="683">
        <v>490706</v>
      </c>
      <c r="H420" s="682">
        <f>'KL 1'!AG422</f>
        <v>33.450000000000003</v>
      </c>
      <c r="I420" s="683">
        <f t="shared" si="60"/>
        <v>1068627</v>
      </c>
      <c r="J420" s="684"/>
      <c r="K420" s="683"/>
      <c r="L420" s="685">
        <f t="shared" si="55"/>
        <v>1559333</v>
      </c>
      <c r="M420" s="683">
        <f t="shared" si="56"/>
        <v>490706</v>
      </c>
      <c r="N420" s="686">
        <f t="shared" si="61"/>
        <v>24000</v>
      </c>
      <c r="O420" s="687">
        <f t="shared" si="57"/>
        <v>1767</v>
      </c>
      <c r="P420" s="688">
        <f t="shared" si="58"/>
        <v>516473</v>
      </c>
      <c r="Q420" s="689"/>
      <c r="R420" s="683">
        <f t="shared" si="59"/>
        <v>1042860</v>
      </c>
      <c r="S420" s="567"/>
      <c r="U420" s="679"/>
    </row>
    <row r="421" spans="1:21" s="678" customFormat="1" ht="37.200000000000003" customHeight="1">
      <c r="A421" s="676">
        <v>407</v>
      </c>
      <c r="B421" s="677" t="str">
        <f>'Tên thang 01-26'!E410</f>
        <v>ឃឹម បញ្ញា</v>
      </c>
      <c r="C421" s="690" t="str">
        <f>'Tên thang 01-26'!F410</f>
        <v>KHOEM PHANHA</v>
      </c>
      <c r="D421" s="680">
        <v>311</v>
      </c>
      <c r="E421" s="681">
        <v>31947</v>
      </c>
      <c r="F421" s="682">
        <f t="shared" si="54"/>
        <v>11.9</v>
      </c>
      <c r="G421" s="683">
        <v>380169</v>
      </c>
      <c r="H421" s="682">
        <f>'KL 1'!AG423</f>
        <v>33.04</v>
      </c>
      <c r="I421" s="683">
        <f t="shared" si="60"/>
        <v>1055529</v>
      </c>
      <c r="J421" s="684"/>
      <c r="K421" s="683"/>
      <c r="L421" s="685">
        <f t="shared" si="55"/>
        <v>1435698</v>
      </c>
      <c r="M421" s="683">
        <f t="shared" si="56"/>
        <v>380169</v>
      </c>
      <c r="N421" s="686">
        <f t="shared" si="61"/>
        <v>24000</v>
      </c>
      <c r="O421" s="687">
        <f t="shared" si="57"/>
        <v>0</v>
      </c>
      <c r="P421" s="688">
        <f t="shared" si="58"/>
        <v>404169</v>
      </c>
      <c r="Q421" s="689"/>
      <c r="R421" s="683">
        <f t="shared" si="59"/>
        <v>1031529</v>
      </c>
      <c r="S421" s="567"/>
      <c r="U421" s="679"/>
    </row>
    <row r="422" spans="1:21" s="678" customFormat="1" ht="37.200000000000003" customHeight="1">
      <c r="A422" s="676">
        <v>408</v>
      </c>
      <c r="B422" s="677" t="str">
        <f>'Tên thang 01-26'!E411</f>
        <v>ឈឿន ឈួយ</v>
      </c>
      <c r="C422" s="690" t="str">
        <f>'Tên thang 01-26'!F411</f>
        <v>CHHOEUN CHHUOY</v>
      </c>
      <c r="D422" s="680">
        <v>312</v>
      </c>
      <c r="E422" s="681">
        <v>31947</v>
      </c>
      <c r="F422" s="682">
        <f t="shared" si="54"/>
        <v>14.38</v>
      </c>
      <c r="G422" s="683">
        <v>459398</v>
      </c>
      <c r="H422" s="682">
        <f>'KL 1'!AG424</f>
        <v>35.510000000000005</v>
      </c>
      <c r="I422" s="683">
        <f t="shared" si="60"/>
        <v>1134438</v>
      </c>
      <c r="J422" s="684"/>
      <c r="K422" s="683"/>
      <c r="L422" s="685">
        <f t="shared" si="55"/>
        <v>1593836</v>
      </c>
      <c r="M422" s="683">
        <f t="shared" si="56"/>
        <v>459398</v>
      </c>
      <c r="N422" s="686">
        <f t="shared" si="61"/>
        <v>24000</v>
      </c>
      <c r="O422" s="687">
        <f t="shared" si="57"/>
        <v>3492</v>
      </c>
      <c r="P422" s="688">
        <f t="shared" si="58"/>
        <v>486890</v>
      </c>
      <c r="Q422" s="689"/>
      <c r="R422" s="683">
        <f t="shared" si="59"/>
        <v>1106946</v>
      </c>
      <c r="S422" s="567"/>
      <c r="U422" s="679"/>
    </row>
    <row r="423" spans="1:21" s="678" customFormat="1" ht="37.200000000000003" customHeight="1">
      <c r="A423" s="676">
        <v>409</v>
      </c>
      <c r="B423" s="677" t="str">
        <f>'Tên thang 01-26'!E412</f>
        <v>ក្រឹង រ៉ៃ</v>
      </c>
      <c r="C423" s="690" t="str">
        <f>'Tên thang 01-26'!F412</f>
        <v>KRENG REY</v>
      </c>
      <c r="D423" s="680">
        <v>313</v>
      </c>
      <c r="E423" s="681">
        <v>31947</v>
      </c>
      <c r="F423" s="682">
        <f t="shared" si="54"/>
        <v>13.11</v>
      </c>
      <c r="G423" s="683">
        <v>418825</v>
      </c>
      <c r="H423" s="682">
        <f>'KL 1'!AG425</f>
        <v>35.200000000000003</v>
      </c>
      <c r="I423" s="683">
        <f t="shared" si="60"/>
        <v>1124534</v>
      </c>
      <c r="J423" s="684"/>
      <c r="K423" s="683"/>
      <c r="L423" s="685">
        <f t="shared" si="55"/>
        <v>1543359</v>
      </c>
      <c r="M423" s="683">
        <f t="shared" si="56"/>
        <v>418825</v>
      </c>
      <c r="N423" s="686">
        <f t="shared" si="61"/>
        <v>24000</v>
      </c>
      <c r="O423" s="687">
        <f t="shared" si="57"/>
        <v>968</v>
      </c>
      <c r="P423" s="688">
        <f t="shared" si="58"/>
        <v>443793</v>
      </c>
      <c r="Q423" s="689"/>
      <c r="R423" s="683">
        <f t="shared" si="59"/>
        <v>1099566</v>
      </c>
      <c r="S423" s="567"/>
      <c r="U423" s="679"/>
    </row>
    <row r="424" spans="1:21" s="678" customFormat="1" ht="37.200000000000003" customHeight="1">
      <c r="A424" s="676">
        <v>410</v>
      </c>
      <c r="B424" s="677" t="str">
        <f>'Tên thang 01-26'!E413</f>
        <v>សេន សេត</v>
      </c>
      <c r="C424" s="690" t="str">
        <f>'Tên thang 01-26'!F413</f>
        <v>SEN SET</v>
      </c>
      <c r="D424" s="680">
        <v>314</v>
      </c>
      <c r="E424" s="681">
        <v>31947</v>
      </c>
      <c r="F424" s="682">
        <f t="shared" si="54"/>
        <v>17.04</v>
      </c>
      <c r="G424" s="683">
        <v>544377</v>
      </c>
      <c r="H424" s="682">
        <f>'KL 1'!AG426</f>
        <v>35.14</v>
      </c>
      <c r="I424" s="683">
        <f t="shared" si="60"/>
        <v>1122618</v>
      </c>
      <c r="J424" s="684"/>
      <c r="K424" s="683"/>
      <c r="L424" s="685">
        <f t="shared" si="55"/>
        <v>1666995</v>
      </c>
      <c r="M424" s="683">
        <f t="shared" si="56"/>
        <v>544377</v>
      </c>
      <c r="N424" s="686">
        <f t="shared" si="61"/>
        <v>24000</v>
      </c>
      <c r="O424" s="687">
        <f t="shared" si="57"/>
        <v>7150</v>
      </c>
      <c r="P424" s="688">
        <f t="shared" si="58"/>
        <v>575527</v>
      </c>
      <c r="Q424" s="689"/>
      <c r="R424" s="683">
        <f t="shared" si="59"/>
        <v>1091468</v>
      </c>
      <c r="S424" s="567"/>
      <c r="U424" s="679"/>
    </row>
    <row r="425" spans="1:21" s="678" customFormat="1" ht="37.200000000000003" customHeight="1">
      <c r="A425" s="676">
        <v>411</v>
      </c>
      <c r="B425" s="677" t="str">
        <f>'Tên thang 01-26'!E414</f>
        <v>សឿន សុគឿន</v>
      </c>
      <c r="C425" s="690" t="str">
        <f>'Tên thang 01-26'!F414</f>
        <v>SOEUN SO KOEUN</v>
      </c>
      <c r="D425" s="680">
        <v>315</v>
      </c>
      <c r="E425" s="681">
        <v>31947</v>
      </c>
      <c r="F425" s="682">
        <f t="shared" si="54"/>
        <v>17.829999999999998</v>
      </c>
      <c r="G425" s="683">
        <v>569615</v>
      </c>
      <c r="H425" s="682">
        <f>'KL 1'!AG427</f>
        <v>34.89</v>
      </c>
      <c r="I425" s="683">
        <f t="shared" si="60"/>
        <v>1114631</v>
      </c>
      <c r="J425" s="684"/>
      <c r="K425" s="683"/>
      <c r="L425" s="685">
        <f t="shared" si="55"/>
        <v>1684246</v>
      </c>
      <c r="M425" s="683">
        <f t="shared" si="56"/>
        <v>569615</v>
      </c>
      <c r="N425" s="686">
        <f t="shared" si="61"/>
        <v>24000</v>
      </c>
      <c r="O425" s="687">
        <f t="shared" si="57"/>
        <v>8012</v>
      </c>
      <c r="P425" s="688">
        <f t="shared" si="58"/>
        <v>601627</v>
      </c>
      <c r="Q425" s="689"/>
      <c r="R425" s="683">
        <f t="shared" si="59"/>
        <v>1082619</v>
      </c>
      <c r="S425" s="567"/>
      <c r="U425" s="679"/>
    </row>
    <row r="426" spans="1:21" s="678" customFormat="1" ht="37.200000000000003" customHeight="1">
      <c r="A426" s="676">
        <v>412</v>
      </c>
      <c r="B426" s="677" t="str">
        <f>'Tên thang 01-26'!E415</f>
        <v>ហ៊ាប យ៉ាន</v>
      </c>
      <c r="C426" s="690" t="str">
        <f>'Tên thang 01-26'!F415</f>
        <v>HEAB YAN</v>
      </c>
      <c r="D426" s="680">
        <v>316</v>
      </c>
      <c r="E426" s="681">
        <v>31947</v>
      </c>
      <c r="F426" s="682">
        <f t="shared" si="54"/>
        <v>15.97</v>
      </c>
      <c r="G426" s="683">
        <v>510194</v>
      </c>
      <c r="H426" s="682">
        <f>'KL 1'!AG428</f>
        <v>32.950000000000003</v>
      </c>
      <c r="I426" s="683">
        <f t="shared" si="60"/>
        <v>1052654</v>
      </c>
      <c r="J426" s="684"/>
      <c r="K426" s="683"/>
      <c r="L426" s="685">
        <f t="shared" si="55"/>
        <v>1562848</v>
      </c>
      <c r="M426" s="683">
        <f t="shared" si="56"/>
        <v>510194</v>
      </c>
      <c r="N426" s="686">
        <f t="shared" si="61"/>
        <v>24000</v>
      </c>
      <c r="O426" s="687">
        <f t="shared" si="57"/>
        <v>1942</v>
      </c>
      <c r="P426" s="688">
        <f t="shared" si="58"/>
        <v>536136</v>
      </c>
      <c r="Q426" s="689"/>
      <c r="R426" s="683">
        <f t="shared" si="59"/>
        <v>1026712</v>
      </c>
      <c r="S426" s="567"/>
      <c r="U426" s="679"/>
    </row>
    <row r="427" spans="1:21" s="678" customFormat="1" ht="37.200000000000003" customHeight="1">
      <c r="A427" s="676">
        <v>413</v>
      </c>
      <c r="B427" s="677" t="str">
        <f>'Tên thang 01-26'!E416</f>
        <v>ធី ​ពៅ</v>
      </c>
      <c r="C427" s="690" t="str">
        <f>'Tên thang 01-26'!F416</f>
        <v>THY POV</v>
      </c>
      <c r="D427" s="680">
        <v>317</v>
      </c>
      <c r="E427" s="681">
        <v>31947</v>
      </c>
      <c r="F427" s="682">
        <f t="shared" si="54"/>
        <v>15.55</v>
      </c>
      <c r="G427" s="683">
        <v>496776</v>
      </c>
      <c r="H427" s="682">
        <f>'KL 1'!AG429</f>
        <v>36.46</v>
      </c>
      <c r="I427" s="683">
        <f t="shared" si="60"/>
        <v>1164788</v>
      </c>
      <c r="J427" s="684"/>
      <c r="K427" s="683"/>
      <c r="L427" s="685">
        <f t="shared" si="55"/>
        <v>1661564</v>
      </c>
      <c r="M427" s="683">
        <f t="shared" si="56"/>
        <v>496776</v>
      </c>
      <c r="N427" s="686">
        <f t="shared" si="61"/>
        <v>24000</v>
      </c>
      <c r="O427" s="687">
        <f t="shared" si="57"/>
        <v>6878</v>
      </c>
      <c r="P427" s="688">
        <f t="shared" si="58"/>
        <v>527654</v>
      </c>
      <c r="Q427" s="689"/>
      <c r="R427" s="683">
        <f t="shared" si="59"/>
        <v>1133910</v>
      </c>
      <c r="S427" s="567"/>
      <c r="U427" s="679"/>
    </row>
    <row r="428" spans="1:21" s="678" customFormat="1" ht="37.200000000000003" customHeight="1">
      <c r="A428" s="676">
        <v>414</v>
      </c>
      <c r="B428" s="677" t="str">
        <f>'Tên thang 01-26'!E417</f>
        <v>ផា បូរី</v>
      </c>
      <c r="C428" s="690" t="str">
        <f>'Tên thang 01-26'!F417</f>
        <v>PHAA BOREY</v>
      </c>
      <c r="D428" s="680">
        <v>318</v>
      </c>
      <c r="E428" s="681">
        <v>31947</v>
      </c>
      <c r="F428" s="682">
        <f t="shared" si="54"/>
        <v>15.94</v>
      </c>
      <c r="G428" s="683">
        <v>509235</v>
      </c>
      <c r="H428" s="682">
        <f>'KL 1'!AG430</f>
        <v>34.97</v>
      </c>
      <c r="I428" s="683">
        <f t="shared" si="60"/>
        <v>1117187</v>
      </c>
      <c r="J428" s="684"/>
      <c r="K428" s="683"/>
      <c r="L428" s="685">
        <f t="shared" si="55"/>
        <v>1626422</v>
      </c>
      <c r="M428" s="683">
        <f t="shared" si="56"/>
        <v>509235</v>
      </c>
      <c r="N428" s="686">
        <f t="shared" si="61"/>
        <v>24000</v>
      </c>
      <c r="O428" s="687">
        <f t="shared" si="57"/>
        <v>5121</v>
      </c>
      <c r="P428" s="688">
        <f t="shared" si="58"/>
        <v>538356</v>
      </c>
      <c r="Q428" s="689"/>
      <c r="R428" s="683">
        <f t="shared" si="59"/>
        <v>1088066</v>
      </c>
      <c r="S428" s="567"/>
      <c r="U428" s="679"/>
    </row>
    <row r="429" spans="1:21" s="678" customFormat="1" ht="37.200000000000003" customHeight="1">
      <c r="A429" s="676">
        <v>415</v>
      </c>
      <c r="B429" s="677" t="str">
        <f>'Tên thang 01-26'!E418</f>
        <v>ងី នីម</v>
      </c>
      <c r="C429" s="690" t="str">
        <f>'Tên thang 01-26'!F418</f>
        <v>NGI NIM</v>
      </c>
      <c r="D429" s="680">
        <v>319</v>
      </c>
      <c r="E429" s="681">
        <v>31947</v>
      </c>
      <c r="F429" s="682">
        <f t="shared" si="54"/>
        <v>16.59</v>
      </c>
      <c r="G429" s="683">
        <v>530001</v>
      </c>
      <c r="H429" s="682">
        <f>'KL 1'!AG431</f>
        <v>36.1</v>
      </c>
      <c r="I429" s="683">
        <f t="shared" si="60"/>
        <v>1153287</v>
      </c>
      <c r="J429" s="684"/>
      <c r="K429" s="683"/>
      <c r="L429" s="685">
        <f t="shared" si="55"/>
        <v>1683288</v>
      </c>
      <c r="M429" s="683">
        <f t="shared" si="56"/>
        <v>530001</v>
      </c>
      <c r="N429" s="686">
        <f t="shared" si="61"/>
        <v>24000</v>
      </c>
      <c r="O429" s="687">
        <f t="shared" si="57"/>
        <v>7964</v>
      </c>
      <c r="P429" s="688">
        <f t="shared" si="58"/>
        <v>561965</v>
      </c>
      <c r="Q429" s="689"/>
      <c r="R429" s="683">
        <f t="shared" si="59"/>
        <v>1121323</v>
      </c>
      <c r="S429" s="567"/>
      <c r="U429" s="679"/>
    </row>
    <row r="430" spans="1:21" s="678" customFormat="1" ht="37.200000000000003" customHeight="1">
      <c r="A430" s="676">
        <v>416</v>
      </c>
      <c r="B430" s="677" t="str">
        <f>'Tên thang 01-26'!E419</f>
        <v>រ៉ុន រឿម</v>
      </c>
      <c r="C430" s="690" t="str">
        <f>'Tên thang 01-26'!F419</f>
        <v>RON ROEURM</v>
      </c>
      <c r="D430" s="680">
        <v>320</v>
      </c>
      <c r="E430" s="681">
        <v>31947</v>
      </c>
      <c r="F430" s="682">
        <f t="shared" si="54"/>
        <v>16.850000000000001</v>
      </c>
      <c r="G430" s="683">
        <v>538307</v>
      </c>
      <c r="H430" s="682">
        <f>'KL 1'!AG432</f>
        <v>33.86</v>
      </c>
      <c r="I430" s="683">
        <f t="shared" si="60"/>
        <v>1081725</v>
      </c>
      <c r="J430" s="684"/>
      <c r="K430" s="683"/>
      <c r="L430" s="685">
        <f t="shared" si="55"/>
        <v>1620032</v>
      </c>
      <c r="M430" s="683">
        <f t="shared" si="56"/>
        <v>538307</v>
      </c>
      <c r="N430" s="686">
        <f t="shared" si="61"/>
        <v>24000</v>
      </c>
      <c r="O430" s="687">
        <f t="shared" si="57"/>
        <v>4802</v>
      </c>
      <c r="P430" s="688">
        <f t="shared" si="58"/>
        <v>567109</v>
      </c>
      <c r="Q430" s="689"/>
      <c r="R430" s="683">
        <f t="shared" si="59"/>
        <v>1052923</v>
      </c>
      <c r="S430" s="567"/>
      <c r="U430" s="679"/>
    </row>
    <row r="431" spans="1:21" s="678" customFormat="1" ht="37.200000000000003" customHeight="1">
      <c r="A431" s="676">
        <v>417</v>
      </c>
      <c r="B431" s="677" t="str">
        <f>'Tên thang 01-26'!E420</f>
        <v>ទឹត្យ បូរី</v>
      </c>
      <c r="C431" s="690" t="str">
        <f>'Tên thang 01-26'!F420</f>
        <v>TOET BOUREY</v>
      </c>
      <c r="D431" s="680">
        <v>321</v>
      </c>
      <c r="E431" s="681">
        <v>31947</v>
      </c>
      <c r="F431" s="682">
        <f t="shared" si="54"/>
        <v>16.309999999999999</v>
      </c>
      <c r="G431" s="683">
        <v>521056</v>
      </c>
      <c r="H431" s="682">
        <f>'KL 1'!AG433</f>
        <v>32.980000000000004</v>
      </c>
      <c r="I431" s="683">
        <f t="shared" si="60"/>
        <v>1053612</v>
      </c>
      <c r="J431" s="684"/>
      <c r="K431" s="683"/>
      <c r="L431" s="685">
        <f t="shared" si="55"/>
        <v>1574668</v>
      </c>
      <c r="M431" s="683">
        <f t="shared" si="56"/>
        <v>521056</v>
      </c>
      <c r="N431" s="686">
        <f t="shared" si="61"/>
        <v>24000</v>
      </c>
      <c r="O431" s="687">
        <f t="shared" si="57"/>
        <v>2533</v>
      </c>
      <c r="P431" s="688">
        <f t="shared" si="58"/>
        <v>547589</v>
      </c>
      <c r="Q431" s="689"/>
      <c r="R431" s="683">
        <f t="shared" si="59"/>
        <v>1027079</v>
      </c>
      <c r="S431" s="567"/>
      <c r="U431" s="679"/>
    </row>
    <row r="432" spans="1:21" s="678" customFormat="1" ht="37.200000000000003" customHeight="1">
      <c r="A432" s="676">
        <v>418</v>
      </c>
      <c r="B432" s="677" t="str">
        <f>'Tên thang 01-26'!E421</f>
        <v>វិន មុំ</v>
      </c>
      <c r="C432" s="690" t="str">
        <f>'Tên thang 01-26'!F421</f>
        <v>VIN MOM</v>
      </c>
      <c r="D432" s="680">
        <v>322</v>
      </c>
      <c r="E432" s="681">
        <v>31947</v>
      </c>
      <c r="F432" s="682">
        <f t="shared" si="54"/>
        <v>14.74</v>
      </c>
      <c r="G432" s="683">
        <v>470899</v>
      </c>
      <c r="H432" s="682">
        <f>'KL 1'!AG434</f>
        <v>33.740000000000009</v>
      </c>
      <c r="I432" s="683">
        <f t="shared" si="60"/>
        <v>1077892</v>
      </c>
      <c r="J432" s="684"/>
      <c r="K432" s="683"/>
      <c r="L432" s="685">
        <f t="shared" si="55"/>
        <v>1548791</v>
      </c>
      <c r="M432" s="683">
        <f t="shared" si="56"/>
        <v>470899</v>
      </c>
      <c r="N432" s="686">
        <f t="shared" si="61"/>
        <v>24000</v>
      </c>
      <c r="O432" s="687">
        <f t="shared" si="57"/>
        <v>1240</v>
      </c>
      <c r="P432" s="688">
        <f t="shared" si="58"/>
        <v>496139</v>
      </c>
      <c r="Q432" s="689"/>
      <c r="R432" s="683">
        <f t="shared" si="59"/>
        <v>1052652</v>
      </c>
      <c r="S432" s="567"/>
      <c r="U432" s="679"/>
    </row>
    <row r="433" spans="1:21" s="678" customFormat="1" ht="37.200000000000003" customHeight="1">
      <c r="A433" s="676">
        <v>419</v>
      </c>
      <c r="B433" s="677" t="str">
        <f>'Tên thang 01-26'!E422</f>
        <v>មន ម៉ុក</v>
      </c>
      <c r="C433" s="690" t="str">
        <f>'Tên thang 01-26'!F422</f>
        <v>MON MOK</v>
      </c>
      <c r="D433" s="680">
        <v>323</v>
      </c>
      <c r="E433" s="681">
        <v>31947</v>
      </c>
      <c r="F433" s="682">
        <f t="shared" si="54"/>
        <v>15.28</v>
      </c>
      <c r="G433" s="683">
        <v>488150</v>
      </c>
      <c r="H433" s="682">
        <f>'KL 1'!AG435</f>
        <v>34.56</v>
      </c>
      <c r="I433" s="683">
        <f t="shared" si="60"/>
        <v>1104088</v>
      </c>
      <c r="J433" s="684"/>
      <c r="K433" s="683"/>
      <c r="L433" s="685">
        <f t="shared" si="55"/>
        <v>1592238</v>
      </c>
      <c r="M433" s="683">
        <f t="shared" si="56"/>
        <v>488150</v>
      </c>
      <c r="N433" s="686">
        <f t="shared" si="61"/>
        <v>24000</v>
      </c>
      <c r="O433" s="687">
        <f t="shared" si="57"/>
        <v>3412</v>
      </c>
      <c r="P433" s="688">
        <f t="shared" si="58"/>
        <v>515562</v>
      </c>
      <c r="Q433" s="689"/>
      <c r="R433" s="683">
        <f t="shared" si="59"/>
        <v>1076676</v>
      </c>
      <c r="S433" s="567"/>
      <c r="U433" s="679"/>
    </row>
    <row r="434" spans="1:21" s="678" customFormat="1" ht="37.200000000000003" customHeight="1">
      <c r="A434" s="676">
        <v>420</v>
      </c>
      <c r="B434" s="677" t="str">
        <f>'Tên thang 01-26'!E423</f>
        <v>ឡេង ឡៃហួត</v>
      </c>
      <c r="C434" s="690" t="str">
        <f>'Tên thang 01-26'!F423</f>
        <v>LENG LAYHUOT</v>
      </c>
      <c r="D434" s="680">
        <v>324</v>
      </c>
      <c r="E434" s="681">
        <v>31947</v>
      </c>
      <c r="F434" s="682">
        <f t="shared" si="54"/>
        <v>14.11</v>
      </c>
      <c r="G434" s="683">
        <v>450772</v>
      </c>
      <c r="H434" s="682">
        <f>'KL 1'!AG436</f>
        <v>33.910000000000004</v>
      </c>
      <c r="I434" s="683">
        <f t="shared" si="60"/>
        <v>1083323</v>
      </c>
      <c r="J434" s="684"/>
      <c r="K434" s="683"/>
      <c r="L434" s="685">
        <f t="shared" si="55"/>
        <v>1534095</v>
      </c>
      <c r="M434" s="683">
        <f t="shared" si="56"/>
        <v>450772</v>
      </c>
      <c r="N434" s="686">
        <f t="shared" si="61"/>
        <v>24000</v>
      </c>
      <c r="O434" s="687">
        <f t="shared" si="57"/>
        <v>505</v>
      </c>
      <c r="P434" s="688">
        <f t="shared" si="58"/>
        <v>475277</v>
      </c>
      <c r="Q434" s="689"/>
      <c r="R434" s="683">
        <f t="shared" si="59"/>
        <v>1058818</v>
      </c>
      <c r="S434" s="567"/>
      <c r="U434" s="679"/>
    </row>
    <row r="435" spans="1:21" s="678" customFormat="1" ht="37.200000000000003" customHeight="1">
      <c r="A435" s="676">
        <v>421</v>
      </c>
      <c r="B435" s="677" t="str">
        <f>'Tên thang 01-26'!E424</f>
        <v>កាន់ថេត</v>
      </c>
      <c r="C435" s="690" t="str">
        <f>'Tên thang 01-26'!F424</f>
        <v>KANN THET</v>
      </c>
      <c r="D435" s="680">
        <v>325</v>
      </c>
      <c r="E435" s="681">
        <v>31947</v>
      </c>
      <c r="F435" s="682">
        <f t="shared" si="54"/>
        <v>16.489999999999998</v>
      </c>
      <c r="G435" s="683">
        <v>526806</v>
      </c>
      <c r="H435" s="682">
        <f>'KL 1'!AG437</f>
        <v>34.770000000000003</v>
      </c>
      <c r="I435" s="683">
        <f t="shared" si="60"/>
        <v>1110797</v>
      </c>
      <c r="J435" s="684"/>
      <c r="K435" s="683"/>
      <c r="L435" s="685">
        <f t="shared" si="55"/>
        <v>1637603</v>
      </c>
      <c r="M435" s="683">
        <f t="shared" si="56"/>
        <v>526806</v>
      </c>
      <c r="N435" s="686">
        <f t="shared" si="61"/>
        <v>24000</v>
      </c>
      <c r="O435" s="687">
        <f t="shared" si="57"/>
        <v>5680</v>
      </c>
      <c r="P435" s="688">
        <f t="shared" si="58"/>
        <v>556486</v>
      </c>
      <c r="Q435" s="689"/>
      <c r="R435" s="683">
        <f t="shared" si="59"/>
        <v>1081117</v>
      </c>
      <c r="S435" s="567"/>
      <c r="U435" s="679"/>
    </row>
    <row r="436" spans="1:21" s="678" customFormat="1" ht="37.200000000000003" customHeight="1">
      <c r="A436" s="676">
        <v>422</v>
      </c>
      <c r="B436" s="677" t="str">
        <f>'Tên thang 01-26'!E425</f>
        <v>ឡាក់ ចាក់</v>
      </c>
      <c r="C436" s="690" t="str">
        <f>'Tên thang 01-26'!F425</f>
        <v>LAK CHHAK</v>
      </c>
      <c r="D436" s="680">
        <v>326</v>
      </c>
      <c r="E436" s="681">
        <v>31947</v>
      </c>
      <c r="F436" s="682">
        <f t="shared" si="54"/>
        <v>14.3</v>
      </c>
      <c r="G436" s="683">
        <v>456842</v>
      </c>
      <c r="H436" s="682">
        <f>'KL 1'!AG438</f>
        <v>34.400000000000006</v>
      </c>
      <c r="I436" s="683">
        <f t="shared" si="60"/>
        <v>1098977</v>
      </c>
      <c r="J436" s="684"/>
      <c r="K436" s="683"/>
      <c r="L436" s="685">
        <f t="shared" si="55"/>
        <v>1555819</v>
      </c>
      <c r="M436" s="683">
        <f t="shared" si="56"/>
        <v>456842</v>
      </c>
      <c r="N436" s="686">
        <f t="shared" si="61"/>
        <v>24000</v>
      </c>
      <c r="O436" s="687">
        <f t="shared" si="57"/>
        <v>1591</v>
      </c>
      <c r="P436" s="688">
        <f t="shared" si="58"/>
        <v>482433</v>
      </c>
      <c r="Q436" s="689"/>
      <c r="R436" s="683">
        <f t="shared" si="59"/>
        <v>1073386</v>
      </c>
      <c r="S436" s="567"/>
      <c r="U436" s="679"/>
    </row>
    <row r="437" spans="1:21" s="678" customFormat="1" ht="37.200000000000003" customHeight="1">
      <c r="A437" s="676">
        <v>423</v>
      </c>
      <c r="B437" s="677" t="str">
        <f>'Tên thang 01-26'!E426</f>
        <v>ឆាង ហ៊ឺ</v>
      </c>
      <c r="C437" s="690" t="str">
        <f>'Tên thang 01-26'!F426</f>
        <v>CHHANG HEU</v>
      </c>
      <c r="D437" s="680">
        <v>327</v>
      </c>
      <c r="E437" s="681">
        <v>31947</v>
      </c>
      <c r="F437" s="682">
        <f t="shared" ref="F437:F498" si="62">ROUND(G437/31947,2)</f>
        <v>16.73</v>
      </c>
      <c r="G437" s="683">
        <v>534473</v>
      </c>
      <c r="H437" s="682">
        <f>'KL 1'!AG439</f>
        <v>33.78</v>
      </c>
      <c r="I437" s="683">
        <f t="shared" si="60"/>
        <v>1079170</v>
      </c>
      <c r="J437" s="684"/>
      <c r="K437" s="683"/>
      <c r="L437" s="685">
        <f t="shared" ref="L437:L498" si="63">G437+I437+K437+J437</f>
        <v>1613643</v>
      </c>
      <c r="M437" s="683">
        <f t="shared" ref="M437:M498" si="64">G437</f>
        <v>534473</v>
      </c>
      <c r="N437" s="686">
        <f t="shared" si="61"/>
        <v>24000</v>
      </c>
      <c r="O437" s="687">
        <f t="shared" ref="O437:O498" si="65">ROUND(IF((L437-(K437+N437))&lt;=1500000,0,IF(AND((L437-(K437+N437))&gt;1500000,(L437-(K437+N437))&lt;=2000000),(L437-(K437+N437))*5%-75000,IF(AND((L437-(K437+N437))&gt;2000000,(L437-(K437+N437))&lt;=8500000),(L437-(K437+N437))*10%-175000))),0)</f>
        <v>4482</v>
      </c>
      <c r="P437" s="688">
        <f t="shared" ref="P437:P498" si="66">SUM(M437:O437)</f>
        <v>562955</v>
      </c>
      <c r="Q437" s="689"/>
      <c r="R437" s="683">
        <f t="shared" ref="R437:R498" si="67">L437-P437</f>
        <v>1050688</v>
      </c>
      <c r="S437" s="567"/>
      <c r="U437" s="679"/>
    </row>
    <row r="438" spans="1:21" s="678" customFormat="1" ht="37.200000000000003" customHeight="1">
      <c r="A438" s="676">
        <v>424</v>
      </c>
      <c r="B438" s="677" t="str">
        <f>'Tên thang 01-26'!E427</f>
        <v>ឡេង ឡុញ</v>
      </c>
      <c r="C438" s="690" t="str">
        <f>'Tên thang 01-26'!F427</f>
        <v>LENG LONH</v>
      </c>
      <c r="D438" s="680">
        <v>328</v>
      </c>
      <c r="E438" s="681">
        <v>31947</v>
      </c>
      <c r="F438" s="682">
        <f t="shared" si="62"/>
        <v>16.28</v>
      </c>
      <c r="G438" s="683">
        <v>520097</v>
      </c>
      <c r="H438" s="682">
        <f>'KL 1'!AG440</f>
        <v>31.750000000000007</v>
      </c>
      <c r="I438" s="683">
        <f t="shared" si="60"/>
        <v>1014317</v>
      </c>
      <c r="J438" s="684"/>
      <c r="K438" s="683"/>
      <c r="L438" s="685">
        <f t="shared" si="63"/>
        <v>1534414</v>
      </c>
      <c r="M438" s="683">
        <f t="shared" si="64"/>
        <v>520097</v>
      </c>
      <c r="N438" s="686">
        <f t="shared" si="61"/>
        <v>24000</v>
      </c>
      <c r="O438" s="687">
        <f t="shared" si="65"/>
        <v>521</v>
      </c>
      <c r="P438" s="688">
        <f t="shared" si="66"/>
        <v>544618</v>
      </c>
      <c r="Q438" s="689"/>
      <c r="R438" s="683">
        <f t="shared" si="67"/>
        <v>989796</v>
      </c>
      <c r="S438" s="567"/>
      <c r="U438" s="679"/>
    </row>
    <row r="439" spans="1:21" s="678" customFormat="1" ht="37.200000000000003" customHeight="1">
      <c r="A439" s="676">
        <v>425</v>
      </c>
      <c r="B439" s="677" t="str">
        <f>'Tên thang 01-26'!E428</f>
        <v>ធី សៀក</v>
      </c>
      <c r="C439" s="690" t="str">
        <f>'Tên thang 01-26'!F428</f>
        <v>THY SEAK</v>
      </c>
      <c r="D439" s="680">
        <v>329</v>
      </c>
      <c r="E439" s="681">
        <v>31947</v>
      </c>
      <c r="F439" s="682">
        <f t="shared" si="62"/>
        <v>15.51</v>
      </c>
      <c r="G439" s="683">
        <v>495498</v>
      </c>
      <c r="H439" s="682">
        <f>'KL 1'!AG441</f>
        <v>31.650000000000002</v>
      </c>
      <c r="I439" s="683">
        <f t="shared" si="60"/>
        <v>1011123</v>
      </c>
      <c r="J439" s="684"/>
      <c r="K439" s="683"/>
      <c r="L439" s="685">
        <f t="shared" si="63"/>
        <v>1506621</v>
      </c>
      <c r="M439" s="683">
        <f t="shared" si="64"/>
        <v>495498</v>
      </c>
      <c r="N439" s="686">
        <f t="shared" si="61"/>
        <v>24000</v>
      </c>
      <c r="O439" s="687">
        <f t="shared" si="65"/>
        <v>0</v>
      </c>
      <c r="P439" s="688">
        <f t="shared" si="66"/>
        <v>519498</v>
      </c>
      <c r="Q439" s="689"/>
      <c r="R439" s="683">
        <f t="shared" si="67"/>
        <v>987123</v>
      </c>
      <c r="S439" s="567"/>
      <c r="U439" s="679"/>
    </row>
    <row r="440" spans="1:21" s="678" customFormat="1" ht="37.200000000000003" customHeight="1">
      <c r="A440" s="676">
        <v>426</v>
      </c>
      <c r="B440" s="677" t="str">
        <f>'Tên thang 01-26'!E429</f>
        <v>រ៉ាត សារី</v>
      </c>
      <c r="C440" s="690" t="str">
        <f>'Tên thang 01-26'!F429</f>
        <v>RATH SARY</v>
      </c>
      <c r="D440" s="680">
        <v>330</v>
      </c>
      <c r="E440" s="681">
        <v>31947</v>
      </c>
      <c r="F440" s="682">
        <f t="shared" si="62"/>
        <v>11.33</v>
      </c>
      <c r="G440" s="683">
        <v>361960</v>
      </c>
      <c r="H440" s="682">
        <f>'KL 1'!AG442</f>
        <v>31.160000000000004</v>
      </c>
      <c r="I440" s="683">
        <f t="shared" si="60"/>
        <v>995469</v>
      </c>
      <c r="J440" s="684"/>
      <c r="K440" s="683"/>
      <c r="L440" s="685">
        <f t="shared" si="63"/>
        <v>1357429</v>
      </c>
      <c r="M440" s="683">
        <f t="shared" si="64"/>
        <v>361960</v>
      </c>
      <c r="N440" s="686">
        <f t="shared" si="61"/>
        <v>24000</v>
      </c>
      <c r="O440" s="687">
        <f t="shared" si="65"/>
        <v>0</v>
      </c>
      <c r="P440" s="688">
        <f t="shared" si="66"/>
        <v>385960</v>
      </c>
      <c r="Q440" s="689"/>
      <c r="R440" s="683">
        <f t="shared" si="67"/>
        <v>971469</v>
      </c>
      <c r="S440" s="567"/>
      <c r="U440" s="679"/>
    </row>
    <row r="441" spans="1:21" s="678" customFormat="1" ht="37.200000000000003" customHeight="1">
      <c r="A441" s="676">
        <v>427</v>
      </c>
      <c r="B441" s="677" t="str">
        <f>'Tên thang 01-26'!E430</f>
        <v>សឿន ផាត</v>
      </c>
      <c r="C441" s="690" t="str">
        <f>'Tên thang 01-26'!F430</f>
        <v>SOEUN PHAT</v>
      </c>
      <c r="D441" s="680">
        <v>331</v>
      </c>
      <c r="E441" s="681">
        <v>31947</v>
      </c>
      <c r="F441" s="682">
        <f t="shared" si="62"/>
        <v>11.37</v>
      </c>
      <c r="G441" s="683">
        <v>363237</v>
      </c>
      <c r="H441" s="682">
        <f>'KL 1'!AG443</f>
        <v>31.330000000000002</v>
      </c>
      <c r="I441" s="683">
        <f t="shared" si="60"/>
        <v>1000900</v>
      </c>
      <c r="J441" s="684"/>
      <c r="K441" s="683"/>
      <c r="L441" s="685">
        <f t="shared" si="63"/>
        <v>1364137</v>
      </c>
      <c r="M441" s="683">
        <f t="shared" si="64"/>
        <v>363237</v>
      </c>
      <c r="N441" s="686">
        <f t="shared" si="61"/>
        <v>24000</v>
      </c>
      <c r="O441" s="687">
        <f t="shared" si="65"/>
        <v>0</v>
      </c>
      <c r="P441" s="688">
        <f t="shared" si="66"/>
        <v>387237</v>
      </c>
      <c r="Q441" s="689"/>
      <c r="R441" s="683">
        <f t="shared" si="67"/>
        <v>976900</v>
      </c>
      <c r="S441" s="567"/>
      <c r="U441" s="679"/>
    </row>
    <row r="442" spans="1:21" s="678" customFormat="1" ht="37.200000000000003" customHeight="1">
      <c r="A442" s="676">
        <v>428</v>
      </c>
      <c r="B442" s="677" t="str">
        <f>'Tên thang 01-26'!E431</f>
        <v>ហាត់ ធីតា</v>
      </c>
      <c r="C442" s="690" t="str">
        <f>'Tên thang 01-26'!F431</f>
        <v>HAT THYDA</v>
      </c>
      <c r="D442" s="680">
        <v>332</v>
      </c>
      <c r="E442" s="681">
        <v>31947</v>
      </c>
      <c r="F442" s="682">
        <f t="shared" si="62"/>
        <v>13.75</v>
      </c>
      <c r="G442" s="683">
        <v>439271</v>
      </c>
      <c r="H442" s="682">
        <f>'KL 1'!AG444</f>
        <v>32.270000000000003</v>
      </c>
      <c r="I442" s="683">
        <f t="shared" si="60"/>
        <v>1030930</v>
      </c>
      <c r="J442" s="684"/>
      <c r="K442" s="683"/>
      <c r="L442" s="685">
        <f t="shared" si="63"/>
        <v>1470201</v>
      </c>
      <c r="M442" s="683">
        <f t="shared" si="64"/>
        <v>439271</v>
      </c>
      <c r="N442" s="686">
        <f t="shared" si="61"/>
        <v>24000</v>
      </c>
      <c r="O442" s="687">
        <f t="shared" si="65"/>
        <v>0</v>
      </c>
      <c r="P442" s="688">
        <f t="shared" si="66"/>
        <v>463271</v>
      </c>
      <c r="Q442" s="689"/>
      <c r="R442" s="683">
        <f t="shared" si="67"/>
        <v>1006930</v>
      </c>
      <c r="S442" s="567"/>
      <c r="U442" s="679"/>
    </row>
    <row r="443" spans="1:21" s="678" customFormat="1" ht="37.200000000000003" customHeight="1">
      <c r="A443" s="676">
        <v>429</v>
      </c>
      <c r="B443" s="677" t="str">
        <f>'Tên thang 01-26'!E432</f>
        <v>ពី ប៉ាត់</v>
      </c>
      <c r="C443" s="690" t="str">
        <f>'Tên thang 01-26'!F432</f>
        <v>PY PATH</v>
      </c>
      <c r="D443" s="680">
        <v>333</v>
      </c>
      <c r="E443" s="681">
        <v>31947</v>
      </c>
      <c r="F443" s="682">
        <f t="shared" si="62"/>
        <v>15.58</v>
      </c>
      <c r="G443" s="683">
        <v>497734</v>
      </c>
      <c r="H443" s="682">
        <f>'KL 1'!AG445</f>
        <v>35.61</v>
      </c>
      <c r="I443" s="683">
        <f t="shared" si="60"/>
        <v>1137633</v>
      </c>
      <c r="J443" s="684"/>
      <c r="K443" s="683"/>
      <c r="L443" s="685">
        <f t="shared" si="63"/>
        <v>1635367</v>
      </c>
      <c r="M443" s="683">
        <f t="shared" si="64"/>
        <v>497734</v>
      </c>
      <c r="N443" s="686">
        <f t="shared" si="61"/>
        <v>24000</v>
      </c>
      <c r="O443" s="687">
        <f t="shared" si="65"/>
        <v>5568</v>
      </c>
      <c r="P443" s="688">
        <f t="shared" si="66"/>
        <v>527302</v>
      </c>
      <c r="Q443" s="689"/>
      <c r="R443" s="683">
        <f t="shared" si="67"/>
        <v>1108065</v>
      </c>
      <c r="S443" s="567"/>
      <c r="U443" s="679"/>
    </row>
    <row r="444" spans="1:21" s="678" customFormat="1" ht="37.200000000000003" customHeight="1">
      <c r="A444" s="676">
        <v>430</v>
      </c>
      <c r="B444" s="677" t="str">
        <f>'Tên thang 01-26'!E433</f>
        <v>សរ ធាង</v>
      </c>
      <c r="C444" s="690" t="str">
        <f>'Tên thang 01-26'!F433</f>
        <v>SOR THEANG</v>
      </c>
      <c r="D444" s="680">
        <v>334</v>
      </c>
      <c r="E444" s="681">
        <v>31947</v>
      </c>
      <c r="F444" s="682">
        <f t="shared" si="62"/>
        <v>14.93</v>
      </c>
      <c r="G444" s="683">
        <v>476969</v>
      </c>
      <c r="H444" s="682">
        <f>'KL 1'!AG446</f>
        <v>34.68</v>
      </c>
      <c r="I444" s="683">
        <f t="shared" si="60"/>
        <v>1107922</v>
      </c>
      <c r="J444" s="684"/>
      <c r="K444" s="683"/>
      <c r="L444" s="685">
        <f t="shared" si="63"/>
        <v>1584891</v>
      </c>
      <c r="M444" s="683">
        <f t="shared" si="64"/>
        <v>476969</v>
      </c>
      <c r="N444" s="686">
        <f t="shared" si="61"/>
        <v>24000</v>
      </c>
      <c r="O444" s="687">
        <f t="shared" si="65"/>
        <v>3045</v>
      </c>
      <c r="P444" s="688">
        <f t="shared" si="66"/>
        <v>504014</v>
      </c>
      <c r="Q444" s="689"/>
      <c r="R444" s="683">
        <f t="shared" si="67"/>
        <v>1080877</v>
      </c>
      <c r="S444" s="567"/>
      <c r="U444" s="679"/>
    </row>
    <row r="445" spans="1:21" s="678" customFormat="1" ht="37.200000000000003" customHeight="1">
      <c r="A445" s="676">
        <v>431</v>
      </c>
      <c r="B445" s="677" t="str">
        <f>'Tên thang 01-26'!E434</f>
        <v>អ៊ាង អាន់</v>
      </c>
      <c r="C445" s="690" t="str">
        <f>'Tên thang 01-26'!F434</f>
        <v>EANG ANN</v>
      </c>
      <c r="D445" s="680">
        <v>335</v>
      </c>
      <c r="E445" s="681">
        <v>31947</v>
      </c>
      <c r="F445" s="682">
        <f t="shared" si="62"/>
        <v>17.329999999999998</v>
      </c>
      <c r="G445" s="683">
        <v>553642</v>
      </c>
      <c r="H445" s="682">
        <f>'KL 1'!AG447</f>
        <v>39.089999999999996</v>
      </c>
      <c r="I445" s="683">
        <f t="shared" si="60"/>
        <v>1248808</v>
      </c>
      <c r="J445" s="684"/>
      <c r="K445" s="683"/>
      <c r="L445" s="685">
        <f t="shared" si="63"/>
        <v>1802450</v>
      </c>
      <c r="M445" s="683">
        <f t="shared" si="64"/>
        <v>553642</v>
      </c>
      <c r="N445" s="686">
        <f t="shared" si="61"/>
        <v>24000</v>
      </c>
      <c r="O445" s="687">
        <f t="shared" si="65"/>
        <v>13923</v>
      </c>
      <c r="P445" s="688">
        <f t="shared" si="66"/>
        <v>591565</v>
      </c>
      <c r="Q445" s="689"/>
      <c r="R445" s="683">
        <f t="shared" si="67"/>
        <v>1210885</v>
      </c>
      <c r="S445" s="567"/>
      <c r="U445" s="679"/>
    </row>
    <row r="446" spans="1:21" s="678" customFormat="1" ht="37.200000000000003" customHeight="1">
      <c r="A446" s="676">
        <v>432</v>
      </c>
      <c r="B446" s="677" t="str">
        <f>'Tên thang 01-26'!E435</f>
        <v>អៀង ផុន</v>
      </c>
      <c r="C446" s="690" t="str">
        <f>'Tên thang 01-26'!F435</f>
        <v>EANG PHON</v>
      </c>
      <c r="D446" s="680">
        <v>336</v>
      </c>
      <c r="E446" s="681">
        <v>31947</v>
      </c>
      <c r="F446" s="682">
        <f t="shared" si="62"/>
        <v>17.32</v>
      </c>
      <c r="G446" s="683">
        <v>553322</v>
      </c>
      <c r="H446" s="682">
        <f>'KL 1'!AG448</f>
        <v>38.559999999999995</v>
      </c>
      <c r="I446" s="683">
        <f t="shared" si="60"/>
        <v>1231876</v>
      </c>
      <c r="J446" s="684"/>
      <c r="K446" s="683"/>
      <c r="L446" s="685">
        <f t="shared" si="63"/>
        <v>1785198</v>
      </c>
      <c r="M446" s="683">
        <f t="shared" si="64"/>
        <v>553322</v>
      </c>
      <c r="N446" s="686">
        <f t="shared" si="61"/>
        <v>24000</v>
      </c>
      <c r="O446" s="687">
        <f t="shared" si="65"/>
        <v>13060</v>
      </c>
      <c r="P446" s="688">
        <f t="shared" si="66"/>
        <v>590382</v>
      </c>
      <c r="Q446" s="689"/>
      <c r="R446" s="683">
        <f t="shared" si="67"/>
        <v>1194816</v>
      </c>
      <c r="S446" s="567"/>
      <c r="U446" s="679"/>
    </row>
    <row r="447" spans="1:21" s="678" customFormat="1" ht="37.200000000000003" customHeight="1">
      <c r="A447" s="676">
        <v>433</v>
      </c>
      <c r="B447" s="677" t="str">
        <f>'Tên thang 01-26'!E436</f>
        <v>ធី ធើយ</v>
      </c>
      <c r="C447" s="690" t="str">
        <f>'Tên thang 01-26'!F436</f>
        <v>THY THOEUY</v>
      </c>
      <c r="D447" s="680">
        <v>337</v>
      </c>
      <c r="E447" s="681">
        <v>31947</v>
      </c>
      <c r="F447" s="682">
        <f t="shared" si="62"/>
        <v>14.41</v>
      </c>
      <c r="G447" s="683">
        <v>460356</v>
      </c>
      <c r="H447" s="682">
        <f>'KL 1'!AG449</f>
        <v>34.940000000000005</v>
      </c>
      <c r="I447" s="683">
        <f t="shared" si="60"/>
        <v>1116228</v>
      </c>
      <c r="J447" s="684"/>
      <c r="K447" s="683"/>
      <c r="L447" s="685">
        <f t="shared" si="63"/>
        <v>1576584</v>
      </c>
      <c r="M447" s="683">
        <f t="shared" si="64"/>
        <v>460356</v>
      </c>
      <c r="N447" s="686">
        <f t="shared" si="61"/>
        <v>24000</v>
      </c>
      <c r="O447" s="687">
        <f t="shared" si="65"/>
        <v>2629</v>
      </c>
      <c r="P447" s="688">
        <f t="shared" si="66"/>
        <v>486985</v>
      </c>
      <c r="Q447" s="689"/>
      <c r="R447" s="683">
        <f t="shared" si="67"/>
        <v>1089599</v>
      </c>
      <c r="S447" s="567"/>
      <c r="U447" s="679"/>
    </row>
    <row r="448" spans="1:21" s="678" customFormat="1" ht="37.200000000000003" customHeight="1">
      <c r="A448" s="676">
        <v>434</v>
      </c>
      <c r="B448" s="677" t="str">
        <f>'Tên thang 01-26'!E437</f>
        <v>ចយ ជឿន</v>
      </c>
      <c r="C448" s="690" t="str">
        <f>'Tên thang 01-26'!F437</f>
        <v>CHAY CHOEUN</v>
      </c>
      <c r="D448" s="680">
        <v>338</v>
      </c>
      <c r="E448" s="681">
        <v>31947</v>
      </c>
      <c r="F448" s="682">
        <f t="shared" si="62"/>
        <v>13.98</v>
      </c>
      <c r="G448" s="683">
        <v>446619</v>
      </c>
      <c r="H448" s="682">
        <f>'KL 1'!AG450</f>
        <v>31.780000000000005</v>
      </c>
      <c r="I448" s="683">
        <f t="shared" si="60"/>
        <v>1015276</v>
      </c>
      <c r="J448" s="684"/>
      <c r="K448" s="683"/>
      <c r="L448" s="685">
        <f t="shared" si="63"/>
        <v>1461895</v>
      </c>
      <c r="M448" s="683">
        <f t="shared" si="64"/>
        <v>446619</v>
      </c>
      <c r="N448" s="686">
        <f t="shared" si="61"/>
        <v>24000</v>
      </c>
      <c r="O448" s="687">
        <f t="shared" si="65"/>
        <v>0</v>
      </c>
      <c r="P448" s="688">
        <f t="shared" si="66"/>
        <v>470619</v>
      </c>
      <c r="Q448" s="689"/>
      <c r="R448" s="683">
        <f t="shared" si="67"/>
        <v>991276</v>
      </c>
      <c r="S448" s="567"/>
      <c r="U448" s="679"/>
    </row>
    <row r="449" spans="1:21" s="678" customFormat="1" ht="37.200000000000003" customHeight="1">
      <c r="A449" s="676">
        <v>435</v>
      </c>
      <c r="B449" s="677" t="str">
        <f>'Tên thang 01-26'!E438</f>
        <v>ឈូក ស្រីម៉ៅ</v>
      </c>
      <c r="C449" s="690" t="str">
        <f>'Tên thang 01-26'!F438</f>
        <v>CHHOUK SREY MAO</v>
      </c>
      <c r="D449" s="680">
        <v>339</v>
      </c>
      <c r="E449" s="681">
        <v>31947</v>
      </c>
      <c r="F449" s="682">
        <f t="shared" si="62"/>
        <v>13.39</v>
      </c>
      <c r="G449" s="683">
        <v>427770</v>
      </c>
      <c r="H449" s="682">
        <f>'KL 1'!AG451</f>
        <v>32.11</v>
      </c>
      <c r="I449" s="683">
        <f t="shared" si="60"/>
        <v>1025818</v>
      </c>
      <c r="J449" s="684"/>
      <c r="K449" s="683"/>
      <c r="L449" s="685">
        <f t="shared" si="63"/>
        <v>1453588</v>
      </c>
      <c r="M449" s="683">
        <f t="shared" si="64"/>
        <v>427770</v>
      </c>
      <c r="N449" s="686">
        <f t="shared" si="61"/>
        <v>24000</v>
      </c>
      <c r="O449" s="687">
        <f t="shared" si="65"/>
        <v>0</v>
      </c>
      <c r="P449" s="688">
        <f t="shared" si="66"/>
        <v>451770</v>
      </c>
      <c r="Q449" s="689"/>
      <c r="R449" s="683">
        <f t="shared" si="67"/>
        <v>1001818</v>
      </c>
      <c r="S449" s="567"/>
      <c r="U449" s="679"/>
    </row>
    <row r="450" spans="1:21" s="678" customFormat="1" ht="40.950000000000003" customHeight="1">
      <c r="A450" s="676">
        <v>436</v>
      </c>
      <c r="B450" s="677" t="str">
        <f>'Tên thang 01-26'!E439</f>
        <v>ភួន ឡែម</v>
      </c>
      <c r="C450" s="690" t="str">
        <f>'Tên thang 01-26'!F439</f>
        <v>PHUON LEM</v>
      </c>
      <c r="D450" s="680">
        <v>340</v>
      </c>
      <c r="E450" s="681">
        <v>31947</v>
      </c>
      <c r="F450" s="682">
        <f t="shared" si="62"/>
        <v>16.07</v>
      </c>
      <c r="G450" s="683">
        <v>513388</v>
      </c>
      <c r="H450" s="682">
        <f>'KL 1'!AG452</f>
        <v>33.770000000000003</v>
      </c>
      <c r="I450" s="683">
        <f t="shared" si="60"/>
        <v>1078850</v>
      </c>
      <c r="J450" s="684"/>
      <c r="K450" s="683"/>
      <c r="L450" s="685">
        <f t="shared" si="63"/>
        <v>1592238</v>
      </c>
      <c r="M450" s="683">
        <f t="shared" si="64"/>
        <v>513388</v>
      </c>
      <c r="N450" s="686">
        <f t="shared" si="61"/>
        <v>24000</v>
      </c>
      <c r="O450" s="687">
        <f t="shared" si="65"/>
        <v>3412</v>
      </c>
      <c r="P450" s="688">
        <f t="shared" si="66"/>
        <v>540800</v>
      </c>
      <c r="Q450" s="689"/>
      <c r="R450" s="683">
        <f t="shared" si="67"/>
        <v>1051438</v>
      </c>
      <c r="S450" s="567"/>
      <c r="U450" s="679"/>
    </row>
    <row r="451" spans="1:21" s="678" customFormat="1" ht="39.6" customHeight="1">
      <c r="A451" s="676">
        <v>437</v>
      </c>
      <c r="B451" s="677" t="str">
        <f>'Tên thang 01-26'!E440</f>
        <v>ធីម ម៉ាប់</v>
      </c>
      <c r="C451" s="690" t="str">
        <f>'Tên thang 01-26'!F440</f>
        <v>THIM MAB</v>
      </c>
      <c r="D451" s="680">
        <v>341</v>
      </c>
      <c r="E451" s="681">
        <v>31947</v>
      </c>
      <c r="F451" s="682">
        <f t="shared" si="62"/>
        <v>14.93</v>
      </c>
      <c r="G451" s="683">
        <v>476969</v>
      </c>
      <c r="H451" s="682">
        <f>'KL 1'!AG453</f>
        <v>35.779999999999994</v>
      </c>
      <c r="I451" s="683">
        <f t="shared" si="60"/>
        <v>1143064</v>
      </c>
      <c r="J451" s="684"/>
      <c r="K451" s="683"/>
      <c r="L451" s="685">
        <f t="shared" si="63"/>
        <v>1620033</v>
      </c>
      <c r="M451" s="683">
        <f t="shared" si="64"/>
        <v>476969</v>
      </c>
      <c r="N451" s="686">
        <f t="shared" si="61"/>
        <v>24000</v>
      </c>
      <c r="O451" s="687">
        <f t="shared" si="65"/>
        <v>4802</v>
      </c>
      <c r="P451" s="688">
        <f t="shared" si="66"/>
        <v>505771</v>
      </c>
      <c r="Q451" s="689"/>
      <c r="R451" s="683">
        <f t="shared" si="67"/>
        <v>1114262</v>
      </c>
      <c r="S451" s="567"/>
      <c r="U451" s="679"/>
    </row>
    <row r="452" spans="1:21" s="678" customFormat="1" ht="49.95" customHeight="1">
      <c r="A452" s="676">
        <v>438</v>
      </c>
      <c r="B452" s="677" t="str">
        <f>'Tên thang 01-26'!E441</f>
        <v>ឆែម ហៀក</v>
      </c>
      <c r="C452" s="690" t="str">
        <f>'Tên thang 01-26'!F441</f>
        <v>CHHEM HEAK</v>
      </c>
      <c r="D452" s="680">
        <v>342</v>
      </c>
      <c r="E452" s="681">
        <v>31947</v>
      </c>
      <c r="F452" s="682">
        <f t="shared" si="62"/>
        <v>16.79</v>
      </c>
      <c r="G452" s="683">
        <v>536390</v>
      </c>
      <c r="H452" s="682">
        <f>'KL 1'!AG454</f>
        <v>34.410000000000004</v>
      </c>
      <c r="I452" s="683">
        <f t="shared" si="60"/>
        <v>1099296</v>
      </c>
      <c r="J452" s="684"/>
      <c r="K452" s="683"/>
      <c r="L452" s="685">
        <f t="shared" si="63"/>
        <v>1635686</v>
      </c>
      <c r="M452" s="683">
        <f t="shared" si="64"/>
        <v>536390</v>
      </c>
      <c r="N452" s="686">
        <f t="shared" si="61"/>
        <v>24000</v>
      </c>
      <c r="O452" s="687">
        <f t="shared" si="65"/>
        <v>5584</v>
      </c>
      <c r="P452" s="688">
        <f t="shared" si="66"/>
        <v>565974</v>
      </c>
      <c r="Q452" s="689"/>
      <c r="R452" s="683">
        <f t="shared" si="67"/>
        <v>1069712</v>
      </c>
      <c r="S452" s="567"/>
      <c r="U452" s="679"/>
    </row>
    <row r="453" spans="1:21" s="678" customFormat="1" ht="51.6" customHeight="1">
      <c r="A453" s="676">
        <v>439</v>
      </c>
      <c r="B453" s="677" t="str">
        <f>'Tên thang 01-26'!E442</f>
        <v>ហេន ហាត</v>
      </c>
      <c r="C453" s="690" t="str">
        <f>'Tên thang 01-26'!F442</f>
        <v>HEN HAT</v>
      </c>
      <c r="D453" s="680">
        <v>343</v>
      </c>
      <c r="E453" s="681">
        <v>31947</v>
      </c>
      <c r="F453" s="682">
        <f t="shared" si="62"/>
        <v>11.91</v>
      </c>
      <c r="G453" s="683">
        <v>380489</v>
      </c>
      <c r="H453" s="682">
        <f>'KL 1'!AG455</f>
        <v>27.970000000000002</v>
      </c>
      <c r="I453" s="683">
        <f t="shared" si="60"/>
        <v>893558</v>
      </c>
      <c r="J453" s="684"/>
      <c r="K453" s="683"/>
      <c r="L453" s="685">
        <f t="shared" si="63"/>
        <v>1274047</v>
      </c>
      <c r="M453" s="683">
        <f t="shared" si="64"/>
        <v>380489</v>
      </c>
      <c r="N453" s="686">
        <f t="shared" si="61"/>
        <v>24000</v>
      </c>
      <c r="O453" s="687">
        <f t="shared" si="65"/>
        <v>0</v>
      </c>
      <c r="P453" s="688">
        <f t="shared" si="66"/>
        <v>404489</v>
      </c>
      <c r="Q453" s="689"/>
      <c r="R453" s="683">
        <f t="shared" si="67"/>
        <v>869558</v>
      </c>
      <c r="S453" s="567"/>
      <c r="U453" s="679"/>
    </row>
    <row r="454" spans="1:21" s="678" customFormat="1" ht="30.6" customHeight="1">
      <c r="A454" s="676">
        <v>440</v>
      </c>
      <c r="B454" s="677" t="str">
        <f>'Tên thang 01-26'!E443</f>
        <v>ថន អន</v>
      </c>
      <c r="C454" s="690" t="str">
        <f>'Tên thang 01-26'!F443</f>
        <v>THORN ORN</v>
      </c>
      <c r="D454" s="680">
        <v>428</v>
      </c>
      <c r="E454" s="681">
        <v>31947</v>
      </c>
      <c r="F454" s="682">
        <f t="shared" si="62"/>
        <v>14.01</v>
      </c>
      <c r="G454" s="683">
        <v>447577</v>
      </c>
      <c r="H454" s="682">
        <f>'KL 1'!AG456</f>
        <v>33.25</v>
      </c>
      <c r="I454" s="683">
        <f t="shared" si="60"/>
        <v>1062238</v>
      </c>
      <c r="J454" s="684"/>
      <c r="K454" s="683"/>
      <c r="L454" s="685">
        <f t="shared" si="63"/>
        <v>1509815</v>
      </c>
      <c r="M454" s="683">
        <f t="shared" si="64"/>
        <v>447577</v>
      </c>
      <c r="N454" s="686">
        <f t="shared" si="61"/>
        <v>24000</v>
      </c>
      <c r="O454" s="687">
        <f t="shared" si="65"/>
        <v>0</v>
      </c>
      <c r="P454" s="688">
        <f t="shared" si="66"/>
        <v>471577</v>
      </c>
      <c r="Q454" s="689"/>
      <c r="R454" s="683">
        <f t="shared" si="67"/>
        <v>1038238</v>
      </c>
      <c r="S454" s="567"/>
      <c r="U454" s="679"/>
    </row>
    <row r="455" spans="1:21" s="678" customFormat="1" ht="30.6" customHeight="1">
      <c r="A455" s="676">
        <v>441</v>
      </c>
      <c r="B455" s="677" t="str">
        <f>'Tên thang 01-26'!E444</f>
        <v>យី​ សុខដា</v>
      </c>
      <c r="C455" s="690" t="str">
        <f>'Tên thang 01-26'!F444</f>
        <v>YI SOKDA</v>
      </c>
      <c r="D455" s="680">
        <v>429</v>
      </c>
      <c r="E455" s="681">
        <v>31947</v>
      </c>
      <c r="F455" s="682">
        <f t="shared" si="62"/>
        <v>17.64</v>
      </c>
      <c r="G455" s="683">
        <v>563545</v>
      </c>
      <c r="H455" s="682">
        <f>'KL 1'!AG457</f>
        <v>40.15</v>
      </c>
      <c r="I455" s="683">
        <f t="shared" si="60"/>
        <v>1282672</v>
      </c>
      <c r="J455" s="684"/>
      <c r="K455" s="683"/>
      <c r="L455" s="685">
        <f t="shared" si="63"/>
        <v>1846217</v>
      </c>
      <c r="M455" s="683">
        <f t="shared" si="64"/>
        <v>563545</v>
      </c>
      <c r="N455" s="686">
        <f t="shared" si="61"/>
        <v>24000</v>
      </c>
      <c r="O455" s="687">
        <f t="shared" si="65"/>
        <v>16111</v>
      </c>
      <c r="P455" s="688">
        <f t="shared" si="66"/>
        <v>603656</v>
      </c>
      <c r="Q455" s="689"/>
      <c r="R455" s="683">
        <f t="shared" si="67"/>
        <v>1242561</v>
      </c>
      <c r="S455" s="567"/>
      <c r="U455" s="679"/>
    </row>
    <row r="456" spans="1:21" s="678" customFormat="1" ht="30.6" customHeight="1">
      <c r="A456" s="676">
        <v>442</v>
      </c>
      <c r="B456" s="677" t="str">
        <f>'Tên thang 01-26'!E445</f>
        <v>អ៊ឹម អាន</v>
      </c>
      <c r="C456" s="690" t="str">
        <f>'Tên thang 01-26'!F445</f>
        <v>OEM AN</v>
      </c>
      <c r="D456" s="680">
        <v>430</v>
      </c>
      <c r="E456" s="681">
        <v>31947</v>
      </c>
      <c r="F456" s="682">
        <f t="shared" si="62"/>
        <v>17.23</v>
      </c>
      <c r="G456" s="683">
        <v>550447</v>
      </c>
      <c r="H456" s="682">
        <f>'KL 1'!AG458</f>
        <v>38.020000000000003</v>
      </c>
      <c r="I456" s="683">
        <f t="shared" si="60"/>
        <v>1214625</v>
      </c>
      <c r="J456" s="684"/>
      <c r="K456" s="683"/>
      <c r="L456" s="685">
        <f t="shared" si="63"/>
        <v>1765072</v>
      </c>
      <c r="M456" s="683">
        <f t="shared" si="64"/>
        <v>550447</v>
      </c>
      <c r="N456" s="686">
        <f t="shared" si="61"/>
        <v>24000</v>
      </c>
      <c r="O456" s="687">
        <f t="shared" si="65"/>
        <v>12054</v>
      </c>
      <c r="P456" s="688">
        <f t="shared" si="66"/>
        <v>586501</v>
      </c>
      <c r="Q456" s="689"/>
      <c r="R456" s="683">
        <f t="shared" si="67"/>
        <v>1178571</v>
      </c>
      <c r="S456" s="567"/>
      <c r="U456" s="679"/>
    </row>
    <row r="457" spans="1:21" s="678" customFormat="1" ht="30.6" customHeight="1">
      <c r="A457" s="676">
        <v>443</v>
      </c>
      <c r="B457" s="677" t="str">
        <f>'Tên thang 01-26'!E446</f>
        <v>យី អាន់</v>
      </c>
      <c r="C457" s="690" t="str">
        <f>'Tên thang 01-26'!F446</f>
        <v>YI ANN</v>
      </c>
      <c r="D457" s="680">
        <v>431</v>
      </c>
      <c r="E457" s="681">
        <v>31947</v>
      </c>
      <c r="F457" s="682">
        <f t="shared" si="62"/>
        <v>18.14</v>
      </c>
      <c r="G457" s="683">
        <v>579519</v>
      </c>
      <c r="H457" s="682">
        <f>'KL 1'!AG459</f>
        <v>39.489999999999995</v>
      </c>
      <c r="I457" s="683">
        <f t="shared" si="60"/>
        <v>1261587</v>
      </c>
      <c r="J457" s="684"/>
      <c r="K457" s="683"/>
      <c r="L457" s="685">
        <f t="shared" si="63"/>
        <v>1841106</v>
      </c>
      <c r="M457" s="683">
        <f t="shared" si="64"/>
        <v>579519</v>
      </c>
      <c r="N457" s="686">
        <f t="shared" si="61"/>
        <v>24000</v>
      </c>
      <c r="O457" s="687">
        <f t="shared" si="65"/>
        <v>15855</v>
      </c>
      <c r="P457" s="688">
        <f t="shared" si="66"/>
        <v>619374</v>
      </c>
      <c r="Q457" s="689"/>
      <c r="R457" s="683">
        <f t="shared" si="67"/>
        <v>1221732</v>
      </c>
      <c r="S457" s="567"/>
      <c r="U457" s="679"/>
    </row>
    <row r="458" spans="1:21" s="678" customFormat="1" ht="30.6" customHeight="1">
      <c r="A458" s="676">
        <v>444</v>
      </c>
      <c r="B458" s="677" t="str">
        <f>'Tên thang 01-26'!E447</f>
        <v>ជិន ជុំ</v>
      </c>
      <c r="C458" s="690" t="str">
        <f>'Tên thang 01-26'!F447</f>
        <v>CHIN CHUM</v>
      </c>
      <c r="D458" s="680">
        <v>432</v>
      </c>
      <c r="E458" s="681">
        <v>31947</v>
      </c>
      <c r="F458" s="682">
        <f t="shared" si="62"/>
        <v>20.55</v>
      </c>
      <c r="G458" s="683">
        <v>656511</v>
      </c>
      <c r="H458" s="682">
        <f>'KL 1'!AG460</f>
        <v>39.050000000000004</v>
      </c>
      <c r="I458" s="683">
        <f t="shared" si="60"/>
        <v>1247530</v>
      </c>
      <c r="J458" s="684"/>
      <c r="K458" s="683"/>
      <c r="L458" s="685">
        <f t="shared" si="63"/>
        <v>1904041</v>
      </c>
      <c r="M458" s="683">
        <f t="shared" si="64"/>
        <v>656511</v>
      </c>
      <c r="N458" s="686">
        <f t="shared" si="61"/>
        <v>24000</v>
      </c>
      <c r="O458" s="687">
        <f t="shared" si="65"/>
        <v>19002</v>
      </c>
      <c r="P458" s="688">
        <f t="shared" si="66"/>
        <v>699513</v>
      </c>
      <c r="Q458" s="689"/>
      <c r="R458" s="683">
        <f t="shared" si="67"/>
        <v>1204528</v>
      </c>
      <c r="S458" s="567"/>
      <c r="U458" s="679"/>
    </row>
    <row r="459" spans="1:21" s="678" customFormat="1" ht="30.6" customHeight="1">
      <c r="A459" s="676">
        <v>445</v>
      </c>
      <c r="B459" s="677" t="str">
        <f>'Tên thang 01-26'!E448</f>
        <v>ស៊ុំ សាលី</v>
      </c>
      <c r="C459" s="690" t="str">
        <f>'Tên thang 01-26'!F448</f>
        <v>SUM SALY</v>
      </c>
      <c r="D459" s="680">
        <v>433</v>
      </c>
      <c r="E459" s="681">
        <v>31947</v>
      </c>
      <c r="F459" s="682">
        <f t="shared" si="62"/>
        <v>20.21</v>
      </c>
      <c r="G459" s="683">
        <v>645649</v>
      </c>
      <c r="H459" s="682">
        <f>'KL 1'!AG461</f>
        <v>39.33</v>
      </c>
      <c r="I459" s="683">
        <f t="shared" si="60"/>
        <v>1256476</v>
      </c>
      <c r="J459" s="684"/>
      <c r="K459" s="683"/>
      <c r="L459" s="685">
        <f t="shared" si="63"/>
        <v>1902125</v>
      </c>
      <c r="M459" s="683">
        <f t="shared" si="64"/>
        <v>645649</v>
      </c>
      <c r="N459" s="686">
        <f t="shared" si="61"/>
        <v>24000</v>
      </c>
      <c r="O459" s="687">
        <f t="shared" si="65"/>
        <v>18906</v>
      </c>
      <c r="P459" s="688">
        <f t="shared" si="66"/>
        <v>688555</v>
      </c>
      <c r="Q459" s="689"/>
      <c r="R459" s="683">
        <f t="shared" si="67"/>
        <v>1213570</v>
      </c>
      <c r="S459" s="567"/>
      <c r="U459" s="679"/>
    </row>
    <row r="460" spans="1:21" s="678" customFormat="1" ht="30.6" customHeight="1">
      <c r="A460" s="676">
        <v>446</v>
      </c>
      <c r="B460" s="677" t="str">
        <f>'Tên thang 01-26'!E449</f>
        <v>យី​ វណ្ណី</v>
      </c>
      <c r="C460" s="690" t="str">
        <f>'Tên thang 01-26'!F449</f>
        <v>YI VANNY</v>
      </c>
      <c r="D460" s="680">
        <v>434</v>
      </c>
      <c r="E460" s="681">
        <v>31947</v>
      </c>
      <c r="F460" s="682">
        <f t="shared" si="62"/>
        <v>15.76</v>
      </c>
      <c r="G460" s="683">
        <v>503485</v>
      </c>
      <c r="H460" s="682">
        <f>'KL 1'!AG462</f>
        <v>36.950000000000003</v>
      </c>
      <c r="I460" s="683">
        <f t="shared" si="60"/>
        <v>1180442</v>
      </c>
      <c r="J460" s="684"/>
      <c r="K460" s="683"/>
      <c r="L460" s="685">
        <f t="shared" si="63"/>
        <v>1683927</v>
      </c>
      <c r="M460" s="683">
        <f t="shared" si="64"/>
        <v>503485</v>
      </c>
      <c r="N460" s="686">
        <f t="shared" si="61"/>
        <v>24000</v>
      </c>
      <c r="O460" s="687">
        <f t="shared" si="65"/>
        <v>7996</v>
      </c>
      <c r="P460" s="688">
        <f t="shared" si="66"/>
        <v>535481</v>
      </c>
      <c r="Q460" s="689"/>
      <c r="R460" s="683">
        <f t="shared" si="67"/>
        <v>1148446</v>
      </c>
      <c r="S460" s="567"/>
      <c r="U460" s="679"/>
    </row>
    <row r="461" spans="1:21" s="678" customFormat="1" ht="30.6" customHeight="1">
      <c r="A461" s="676">
        <v>447</v>
      </c>
      <c r="B461" s="677" t="str">
        <f>'Tên thang 01-26'!E450</f>
        <v>ស្រី ឈួង</v>
      </c>
      <c r="C461" s="690" t="str">
        <f>'Tên thang 01-26'!F450</f>
        <v>SREY CHHUONG</v>
      </c>
      <c r="D461" s="680">
        <v>435</v>
      </c>
      <c r="E461" s="681">
        <v>31947</v>
      </c>
      <c r="F461" s="682">
        <f t="shared" si="62"/>
        <v>16.649999999999999</v>
      </c>
      <c r="G461" s="683">
        <v>531918</v>
      </c>
      <c r="H461" s="682">
        <f>'KL 1'!AG463</f>
        <v>38.589999999999996</v>
      </c>
      <c r="I461" s="683">
        <f t="shared" si="60"/>
        <v>1232835</v>
      </c>
      <c r="J461" s="684"/>
      <c r="K461" s="683"/>
      <c r="L461" s="685">
        <f t="shared" si="63"/>
        <v>1764753</v>
      </c>
      <c r="M461" s="683">
        <f t="shared" si="64"/>
        <v>531918</v>
      </c>
      <c r="N461" s="686">
        <f t="shared" si="61"/>
        <v>24000</v>
      </c>
      <c r="O461" s="687">
        <f t="shared" si="65"/>
        <v>12038</v>
      </c>
      <c r="P461" s="688">
        <f t="shared" si="66"/>
        <v>567956</v>
      </c>
      <c r="Q461" s="689"/>
      <c r="R461" s="683">
        <f t="shared" si="67"/>
        <v>1196797</v>
      </c>
      <c r="S461" s="567"/>
      <c r="U461" s="679"/>
    </row>
    <row r="462" spans="1:21" s="678" customFormat="1" ht="30.6" customHeight="1">
      <c r="A462" s="676">
        <v>448</v>
      </c>
      <c r="B462" s="677" t="str">
        <f>'Tên thang 01-26'!E451</f>
        <v>សឿន សាន</v>
      </c>
      <c r="C462" s="690" t="str">
        <f>'Tên thang 01-26'!F451</f>
        <v>SOEUN SAN</v>
      </c>
      <c r="D462" s="680">
        <v>436</v>
      </c>
      <c r="E462" s="681">
        <v>31947</v>
      </c>
      <c r="F462" s="682">
        <f t="shared" si="62"/>
        <v>15.51</v>
      </c>
      <c r="G462" s="683">
        <v>495498</v>
      </c>
      <c r="H462" s="682">
        <f>'KL 1'!AG464</f>
        <v>37.47</v>
      </c>
      <c r="I462" s="683">
        <f t="shared" si="60"/>
        <v>1197054</v>
      </c>
      <c r="J462" s="684"/>
      <c r="K462" s="683"/>
      <c r="L462" s="685">
        <f t="shared" si="63"/>
        <v>1692552</v>
      </c>
      <c r="M462" s="683">
        <f t="shared" si="64"/>
        <v>495498</v>
      </c>
      <c r="N462" s="686">
        <f t="shared" si="61"/>
        <v>24000</v>
      </c>
      <c r="O462" s="687">
        <f t="shared" si="65"/>
        <v>8428</v>
      </c>
      <c r="P462" s="688">
        <f t="shared" si="66"/>
        <v>527926</v>
      </c>
      <c r="Q462" s="689"/>
      <c r="R462" s="683">
        <f t="shared" si="67"/>
        <v>1164626</v>
      </c>
      <c r="S462" s="567"/>
      <c r="U462" s="679"/>
    </row>
    <row r="463" spans="1:21" s="678" customFormat="1" ht="30.6" customHeight="1">
      <c r="A463" s="676">
        <v>449</v>
      </c>
      <c r="B463" s="677" t="str">
        <f>'Tên thang 01-26'!E452</f>
        <v>យួត លៀ</v>
      </c>
      <c r="C463" s="690" t="str">
        <f>'Tên thang 01-26'!F452</f>
        <v>YOUT LEA</v>
      </c>
      <c r="D463" s="680">
        <v>437</v>
      </c>
      <c r="E463" s="681">
        <v>31947</v>
      </c>
      <c r="F463" s="682">
        <f t="shared" si="62"/>
        <v>16.27</v>
      </c>
      <c r="G463" s="683">
        <v>519778</v>
      </c>
      <c r="H463" s="682">
        <f>'KL 1'!AG465</f>
        <v>36.79</v>
      </c>
      <c r="I463" s="683">
        <f t="shared" si="60"/>
        <v>1175330</v>
      </c>
      <c r="J463" s="684"/>
      <c r="K463" s="683"/>
      <c r="L463" s="685">
        <f t="shared" si="63"/>
        <v>1695108</v>
      </c>
      <c r="M463" s="683">
        <f t="shared" si="64"/>
        <v>519778</v>
      </c>
      <c r="N463" s="686">
        <f t="shared" si="61"/>
        <v>24000</v>
      </c>
      <c r="O463" s="687">
        <f t="shared" si="65"/>
        <v>8555</v>
      </c>
      <c r="P463" s="688">
        <f t="shared" si="66"/>
        <v>552333</v>
      </c>
      <c r="Q463" s="689"/>
      <c r="R463" s="683">
        <f t="shared" si="67"/>
        <v>1142775</v>
      </c>
      <c r="S463" s="567"/>
      <c r="U463" s="679"/>
    </row>
    <row r="464" spans="1:21" s="678" customFormat="1" ht="30.6" customHeight="1">
      <c r="A464" s="676">
        <v>450</v>
      </c>
      <c r="B464" s="677" t="str">
        <f>'Tên thang 01-26'!E453</f>
        <v>ទី វេន</v>
      </c>
      <c r="C464" s="690" t="str">
        <f>'Tên thang 01-26'!F453</f>
        <v>TY VEN</v>
      </c>
      <c r="D464" s="680">
        <v>438</v>
      </c>
      <c r="E464" s="681">
        <v>31947</v>
      </c>
      <c r="F464" s="682">
        <f t="shared" si="62"/>
        <v>18.68</v>
      </c>
      <c r="G464" s="683">
        <v>596770</v>
      </c>
      <c r="H464" s="682">
        <f>'KL 1'!AG466</f>
        <v>39.300000000000004</v>
      </c>
      <c r="I464" s="683">
        <f t="shared" ref="I464:I497" si="68">ROUND(E464*H464,0)</f>
        <v>1255517</v>
      </c>
      <c r="J464" s="684"/>
      <c r="K464" s="683"/>
      <c r="L464" s="685">
        <f t="shared" si="63"/>
        <v>1852287</v>
      </c>
      <c r="M464" s="683">
        <f t="shared" si="64"/>
        <v>596770</v>
      </c>
      <c r="N464" s="686">
        <f t="shared" ref="N464:N497" si="69">IF(L464&lt;=400000,400000*2%,IF(L464&lt;=1200000,ROUND(L464*2%,0),ROUND(1200000*2%,0)))</f>
        <v>24000</v>
      </c>
      <c r="O464" s="687">
        <f t="shared" si="65"/>
        <v>16414</v>
      </c>
      <c r="P464" s="688">
        <f t="shared" si="66"/>
        <v>637184</v>
      </c>
      <c r="Q464" s="689"/>
      <c r="R464" s="683">
        <f t="shared" si="67"/>
        <v>1215103</v>
      </c>
      <c r="S464" s="567"/>
      <c r="U464" s="679"/>
    </row>
    <row r="465" spans="1:21" s="678" customFormat="1" ht="30.6" customHeight="1">
      <c r="A465" s="676">
        <v>451</v>
      </c>
      <c r="B465" s="677" t="str">
        <f>'Tên thang 01-26'!E454</f>
        <v>យៀង សុលី</v>
      </c>
      <c r="C465" s="690" t="str">
        <f>'Tên thang 01-26'!F454</f>
        <v>YEANG SOLY</v>
      </c>
      <c r="D465" s="680">
        <v>439</v>
      </c>
      <c r="E465" s="681">
        <v>31947</v>
      </c>
      <c r="F465" s="682">
        <f t="shared" si="62"/>
        <v>15.59</v>
      </c>
      <c r="G465" s="683">
        <v>498054</v>
      </c>
      <c r="H465" s="682">
        <f>'KL 1'!AG467</f>
        <v>32.81</v>
      </c>
      <c r="I465" s="683">
        <f t="shared" si="68"/>
        <v>1048181</v>
      </c>
      <c r="J465" s="684"/>
      <c r="K465" s="683"/>
      <c r="L465" s="685">
        <f t="shared" si="63"/>
        <v>1546235</v>
      </c>
      <c r="M465" s="683">
        <f t="shared" si="64"/>
        <v>498054</v>
      </c>
      <c r="N465" s="686">
        <f t="shared" si="69"/>
        <v>24000</v>
      </c>
      <c r="O465" s="687">
        <f t="shared" si="65"/>
        <v>1112</v>
      </c>
      <c r="P465" s="688">
        <f t="shared" si="66"/>
        <v>523166</v>
      </c>
      <c r="Q465" s="689"/>
      <c r="R465" s="683">
        <f t="shared" si="67"/>
        <v>1023069</v>
      </c>
      <c r="S465" s="567"/>
      <c r="U465" s="679"/>
    </row>
    <row r="466" spans="1:21" s="678" customFormat="1" ht="30.6" customHeight="1">
      <c r="A466" s="676">
        <v>452</v>
      </c>
      <c r="B466" s="677" t="str">
        <f>'Tên thang 01-26'!E455</f>
        <v>អ៊ឹម អ៊ីន</v>
      </c>
      <c r="C466" s="690" t="str">
        <f>'Tên thang 01-26'!F455</f>
        <v>OEM IN</v>
      </c>
      <c r="D466" s="680">
        <v>440</v>
      </c>
      <c r="E466" s="681">
        <v>31947</v>
      </c>
      <c r="F466" s="682">
        <f t="shared" si="62"/>
        <v>17.04</v>
      </c>
      <c r="G466" s="683">
        <v>544377</v>
      </c>
      <c r="H466" s="682">
        <f>'KL 1'!AG468</f>
        <v>34.190000000000005</v>
      </c>
      <c r="I466" s="683">
        <f t="shared" si="68"/>
        <v>1092268</v>
      </c>
      <c r="J466" s="684"/>
      <c r="K466" s="683"/>
      <c r="L466" s="685">
        <f t="shared" si="63"/>
        <v>1636645</v>
      </c>
      <c r="M466" s="683">
        <f t="shared" si="64"/>
        <v>544377</v>
      </c>
      <c r="N466" s="686">
        <f t="shared" si="69"/>
        <v>24000</v>
      </c>
      <c r="O466" s="687">
        <f t="shared" si="65"/>
        <v>5632</v>
      </c>
      <c r="P466" s="688">
        <f t="shared" si="66"/>
        <v>574009</v>
      </c>
      <c r="Q466" s="689"/>
      <c r="R466" s="683">
        <f t="shared" si="67"/>
        <v>1062636</v>
      </c>
      <c r="S466" s="567"/>
      <c r="U466" s="679"/>
    </row>
    <row r="467" spans="1:21" s="678" customFormat="1" ht="30.6" customHeight="1">
      <c r="A467" s="676">
        <v>453</v>
      </c>
      <c r="B467" s="677" t="str">
        <f>'Tên thang 01-26'!E456</f>
        <v>លាង សុឃា</v>
      </c>
      <c r="C467" s="690" t="str">
        <f>'Tên thang 01-26'!F456</f>
        <v>LEANG SOKHEA</v>
      </c>
      <c r="D467" s="680">
        <v>441</v>
      </c>
      <c r="E467" s="681">
        <v>31947</v>
      </c>
      <c r="F467" s="682">
        <f t="shared" si="62"/>
        <v>19.21</v>
      </c>
      <c r="G467" s="683">
        <v>613702</v>
      </c>
      <c r="H467" s="682">
        <f>'KL 1'!AG469</f>
        <v>37.92</v>
      </c>
      <c r="I467" s="683">
        <f t="shared" si="68"/>
        <v>1211430</v>
      </c>
      <c r="J467" s="684"/>
      <c r="K467" s="683"/>
      <c r="L467" s="685">
        <f t="shared" si="63"/>
        <v>1825132</v>
      </c>
      <c r="M467" s="683">
        <f t="shared" si="64"/>
        <v>613702</v>
      </c>
      <c r="N467" s="686">
        <f t="shared" si="69"/>
        <v>24000</v>
      </c>
      <c r="O467" s="687">
        <f t="shared" si="65"/>
        <v>15057</v>
      </c>
      <c r="P467" s="688">
        <f t="shared" si="66"/>
        <v>652759</v>
      </c>
      <c r="Q467" s="689"/>
      <c r="R467" s="683">
        <f t="shared" si="67"/>
        <v>1172373</v>
      </c>
      <c r="S467" s="567"/>
      <c r="U467" s="679"/>
    </row>
    <row r="468" spans="1:21" s="678" customFormat="1" ht="30.6" customHeight="1">
      <c r="A468" s="676">
        <v>454</v>
      </c>
      <c r="B468" s="677" t="str">
        <f>'Tên thang 01-26'!E457</f>
        <v>មឿន ភាព</v>
      </c>
      <c r="C468" s="690" t="str">
        <f>'Tên thang 01-26'!F457</f>
        <v>MOEUN PHEP</v>
      </c>
      <c r="D468" s="680">
        <v>442</v>
      </c>
      <c r="E468" s="681">
        <v>31947</v>
      </c>
      <c r="F468" s="682">
        <f t="shared" si="62"/>
        <v>20.21</v>
      </c>
      <c r="G468" s="683">
        <v>645649</v>
      </c>
      <c r="H468" s="682">
        <f>'KL 1'!AG470</f>
        <v>38.159999999999997</v>
      </c>
      <c r="I468" s="683">
        <f t="shared" si="68"/>
        <v>1219098</v>
      </c>
      <c r="J468" s="684"/>
      <c r="K468" s="683"/>
      <c r="L468" s="685">
        <f t="shared" si="63"/>
        <v>1864747</v>
      </c>
      <c r="M468" s="683">
        <f t="shared" si="64"/>
        <v>645649</v>
      </c>
      <c r="N468" s="686">
        <f t="shared" si="69"/>
        <v>24000</v>
      </c>
      <c r="O468" s="687">
        <f t="shared" si="65"/>
        <v>17037</v>
      </c>
      <c r="P468" s="688">
        <f t="shared" si="66"/>
        <v>686686</v>
      </c>
      <c r="Q468" s="689"/>
      <c r="R468" s="683">
        <f t="shared" si="67"/>
        <v>1178061</v>
      </c>
      <c r="S468" s="567"/>
      <c r="U468" s="679"/>
    </row>
    <row r="469" spans="1:21" s="678" customFormat="1" ht="30.6" customHeight="1">
      <c r="A469" s="676">
        <v>455</v>
      </c>
      <c r="B469" s="677" t="str">
        <f>'Tên thang 01-26'!E458</f>
        <v>ហ៊ី ទីន</v>
      </c>
      <c r="C469" s="690" t="str">
        <f>'Tên thang 01-26'!F458</f>
        <v>HY TIN</v>
      </c>
      <c r="D469" s="680">
        <v>443</v>
      </c>
      <c r="E469" s="681">
        <v>31947</v>
      </c>
      <c r="F469" s="682">
        <f t="shared" si="62"/>
        <v>15.86</v>
      </c>
      <c r="G469" s="683">
        <v>506679</v>
      </c>
      <c r="H469" s="682">
        <f>'KL 1'!AG471</f>
        <v>38.85</v>
      </c>
      <c r="I469" s="683">
        <f t="shared" si="68"/>
        <v>1241141</v>
      </c>
      <c r="J469" s="684"/>
      <c r="K469" s="683"/>
      <c r="L469" s="685">
        <f t="shared" si="63"/>
        <v>1747820</v>
      </c>
      <c r="M469" s="683">
        <f t="shared" si="64"/>
        <v>506679</v>
      </c>
      <c r="N469" s="686">
        <f t="shared" si="69"/>
        <v>24000</v>
      </c>
      <c r="O469" s="687">
        <f t="shared" si="65"/>
        <v>11191</v>
      </c>
      <c r="P469" s="688">
        <f t="shared" si="66"/>
        <v>541870</v>
      </c>
      <c r="Q469" s="689"/>
      <c r="R469" s="683">
        <f t="shared" si="67"/>
        <v>1205950</v>
      </c>
      <c r="S469" s="567"/>
      <c r="U469" s="679"/>
    </row>
    <row r="470" spans="1:21" s="678" customFormat="1" ht="30.6" customHeight="1">
      <c r="A470" s="676">
        <v>456</v>
      </c>
      <c r="B470" s="677" t="str">
        <f>'Tên thang 01-26'!E459</f>
        <v>អឹម អន</v>
      </c>
      <c r="C470" s="690" t="str">
        <f>'Tên thang 01-26'!F459</f>
        <v>IM ON</v>
      </c>
      <c r="D470" s="680">
        <v>444</v>
      </c>
      <c r="E470" s="681">
        <v>31947</v>
      </c>
      <c r="F470" s="682">
        <f t="shared" si="62"/>
        <v>18.09</v>
      </c>
      <c r="G470" s="683">
        <v>577921</v>
      </c>
      <c r="H470" s="682">
        <f>'KL 1'!AG472</f>
        <v>40.639999999999993</v>
      </c>
      <c r="I470" s="683">
        <f t="shared" si="68"/>
        <v>1298326</v>
      </c>
      <c r="J470" s="684"/>
      <c r="K470" s="683"/>
      <c r="L470" s="685">
        <f t="shared" si="63"/>
        <v>1876247</v>
      </c>
      <c r="M470" s="683">
        <f t="shared" si="64"/>
        <v>577921</v>
      </c>
      <c r="N470" s="686">
        <f t="shared" si="69"/>
        <v>24000</v>
      </c>
      <c r="O470" s="687">
        <f t="shared" si="65"/>
        <v>17612</v>
      </c>
      <c r="P470" s="688">
        <f t="shared" si="66"/>
        <v>619533</v>
      </c>
      <c r="Q470" s="689"/>
      <c r="R470" s="683">
        <f t="shared" si="67"/>
        <v>1256714</v>
      </c>
      <c r="S470" s="567"/>
      <c r="U470" s="679"/>
    </row>
    <row r="471" spans="1:21" s="678" customFormat="1" ht="30.6" customHeight="1">
      <c r="A471" s="676">
        <v>457</v>
      </c>
      <c r="B471" s="677" t="str">
        <f>'Tên thang 01-26'!E460</f>
        <v>ហ៊ីម សុភក្តី</v>
      </c>
      <c r="C471" s="690" t="str">
        <f>'Tên thang 01-26'!F460</f>
        <v>HIM SOPHEAKDEY</v>
      </c>
      <c r="D471" s="680">
        <v>445</v>
      </c>
      <c r="E471" s="681">
        <v>31947</v>
      </c>
      <c r="F471" s="682">
        <f t="shared" si="62"/>
        <v>18.2</v>
      </c>
      <c r="G471" s="683">
        <v>581435</v>
      </c>
      <c r="H471" s="682">
        <f>'KL 1'!AG473</f>
        <v>37</v>
      </c>
      <c r="I471" s="683">
        <f t="shared" si="68"/>
        <v>1182039</v>
      </c>
      <c r="J471" s="684"/>
      <c r="K471" s="683"/>
      <c r="L471" s="685">
        <f t="shared" si="63"/>
        <v>1763474</v>
      </c>
      <c r="M471" s="683">
        <f t="shared" si="64"/>
        <v>581435</v>
      </c>
      <c r="N471" s="686">
        <f t="shared" si="69"/>
        <v>24000</v>
      </c>
      <c r="O471" s="687">
        <f t="shared" si="65"/>
        <v>11974</v>
      </c>
      <c r="P471" s="688">
        <f t="shared" si="66"/>
        <v>617409</v>
      </c>
      <c r="Q471" s="689"/>
      <c r="R471" s="683">
        <f t="shared" si="67"/>
        <v>1146065</v>
      </c>
      <c r="S471" s="567"/>
      <c r="U471" s="679"/>
    </row>
    <row r="472" spans="1:21" s="678" customFormat="1" ht="30.6" customHeight="1">
      <c r="A472" s="676">
        <v>458</v>
      </c>
      <c r="B472" s="677" t="str">
        <f>'Tên thang 01-26'!E461</f>
        <v>ម៉េត សុគន្ធា</v>
      </c>
      <c r="C472" s="690" t="str">
        <f>'Tên thang 01-26'!F461</f>
        <v>MET SOKUNTHEA</v>
      </c>
      <c r="D472" s="680">
        <v>446</v>
      </c>
      <c r="E472" s="681">
        <v>31947</v>
      </c>
      <c r="F472" s="682">
        <f t="shared" si="62"/>
        <v>18.43</v>
      </c>
      <c r="G472" s="683">
        <v>588783</v>
      </c>
      <c r="H472" s="682">
        <f>'KL 1'!AG474</f>
        <v>35.729999999999997</v>
      </c>
      <c r="I472" s="683">
        <f t="shared" si="68"/>
        <v>1141466</v>
      </c>
      <c r="J472" s="684"/>
      <c r="K472" s="683"/>
      <c r="L472" s="685">
        <f t="shared" si="63"/>
        <v>1730249</v>
      </c>
      <c r="M472" s="683">
        <f t="shared" si="64"/>
        <v>588783</v>
      </c>
      <c r="N472" s="686">
        <f t="shared" si="69"/>
        <v>24000</v>
      </c>
      <c r="O472" s="687">
        <f t="shared" si="65"/>
        <v>10312</v>
      </c>
      <c r="P472" s="688">
        <f t="shared" si="66"/>
        <v>623095</v>
      </c>
      <c r="Q472" s="689"/>
      <c r="R472" s="683">
        <f t="shared" si="67"/>
        <v>1107154</v>
      </c>
      <c r="S472" s="567"/>
      <c r="U472" s="679"/>
    </row>
    <row r="473" spans="1:21" s="678" customFormat="1" ht="30.6" customHeight="1">
      <c r="A473" s="676">
        <v>459</v>
      </c>
      <c r="B473" s="677" t="str">
        <f>'Tên thang 01-26'!E462</f>
        <v>ម៉ៅ ស្រីណុច</v>
      </c>
      <c r="C473" s="690" t="str">
        <f>'Tên thang 01-26'!F462</f>
        <v>MAO SREYNOCH</v>
      </c>
      <c r="D473" s="680">
        <v>447</v>
      </c>
      <c r="E473" s="681">
        <v>31947</v>
      </c>
      <c r="F473" s="682">
        <f t="shared" si="62"/>
        <v>11.58</v>
      </c>
      <c r="G473" s="683">
        <v>369946</v>
      </c>
      <c r="H473" s="682">
        <f>'KL 1'!AG475</f>
        <v>32.950000000000003</v>
      </c>
      <c r="I473" s="683">
        <f t="shared" si="68"/>
        <v>1052654</v>
      </c>
      <c r="J473" s="684"/>
      <c r="K473" s="683"/>
      <c r="L473" s="685">
        <f t="shared" si="63"/>
        <v>1422600</v>
      </c>
      <c r="M473" s="683">
        <f t="shared" si="64"/>
        <v>369946</v>
      </c>
      <c r="N473" s="686">
        <f t="shared" si="69"/>
        <v>24000</v>
      </c>
      <c r="O473" s="687">
        <f t="shared" si="65"/>
        <v>0</v>
      </c>
      <c r="P473" s="688">
        <f t="shared" si="66"/>
        <v>393946</v>
      </c>
      <c r="Q473" s="689"/>
      <c r="R473" s="683">
        <f t="shared" si="67"/>
        <v>1028654</v>
      </c>
      <c r="S473" s="567"/>
      <c r="U473" s="679"/>
    </row>
    <row r="474" spans="1:21" s="678" customFormat="1" ht="30.6" customHeight="1">
      <c r="A474" s="676">
        <v>460</v>
      </c>
      <c r="B474" s="677" t="str">
        <f>'Tên thang 01-26'!E463</f>
        <v>ឡេង ហ៊ីម</v>
      </c>
      <c r="C474" s="690" t="str">
        <f>'Tên thang 01-26'!F463</f>
        <v>LENG HIM</v>
      </c>
      <c r="D474" s="680">
        <v>448</v>
      </c>
      <c r="E474" s="681">
        <v>31947</v>
      </c>
      <c r="F474" s="682">
        <f t="shared" si="62"/>
        <v>14.81</v>
      </c>
      <c r="G474" s="683">
        <v>473135</v>
      </c>
      <c r="H474" s="682">
        <f>'KL 1'!AG476</f>
        <v>34.82</v>
      </c>
      <c r="I474" s="683">
        <f t="shared" si="68"/>
        <v>1112395</v>
      </c>
      <c r="J474" s="684"/>
      <c r="K474" s="683"/>
      <c r="L474" s="685">
        <f t="shared" si="63"/>
        <v>1585530</v>
      </c>
      <c r="M474" s="683">
        <f t="shared" si="64"/>
        <v>473135</v>
      </c>
      <c r="N474" s="686">
        <f t="shared" si="69"/>
        <v>24000</v>
      </c>
      <c r="O474" s="687">
        <f t="shared" si="65"/>
        <v>3077</v>
      </c>
      <c r="P474" s="688">
        <f t="shared" si="66"/>
        <v>500212</v>
      </c>
      <c r="Q474" s="689"/>
      <c r="R474" s="683">
        <f t="shared" si="67"/>
        <v>1085318</v>
      </c>
      <c r="S474" s="567"/>
      <c r="U474" s="679"/>
    </row>
    <row r="475" spans="1:21" s="678" customFormat="1" ht="30.6" customHeight="1">
      <c r="A475" s="676">
        <v>461</v>
      </c>
      <c r="B475" s="677" t="str">
        <f>'Tên thang 01-26'!E464</f>
        <v>ហ៊ីម ហ៊ី</v>
      </c>
      <c r="C475" s="690" t="str">
        <f>'Tên thang 01-26'!F464</f>
        <v>HIM HY</v>
      </c>
      <c r="D475" s="680">
        <v>449</v>
      </c>
      <c r="E475" s="681">
        <v>31947</v>
      </c>
      <c r="F475" s="682">
        <f t="shared" si="62"/>
        <v>18.61</v>
      </c>
      <c r="G475" s="683">
        <v>594534</v>
      </c>
      <c r="H475" s="682">
        <f>'KL 1'!AG477</f>
        <v>37.049999999999997</v>
      </c>
      <c r="I475" s="683">
        <f t="shared" si="68"/>
        <v>1183636</v>
      </c>
      <c r="J475" s="684"/>
      <c r="K475" s="683"/>
      <c r="L475" s="685">
        <f t="shared" si="63"/>
        <v>1778170</v>
      </c>
      <c r="M475" s="683">
        <f t="shared" si="64"/>
        <v>594534</v>
      </c>
      <c r="N475" s="686">
        <f t="shared" si="69"/>
        <v>24000</v>
      </c>
      <c r="O475" s="687">
        <f t="shared" si="65"/>
        <v>12709</v>
      </c>
      <c r="P475" s="688">
        <f t="shared" si="66"/>
        <v>631243</v>
      </c>
      <c r="Q475" s="689"/>
      <c r="R475" s="683">
        <f t="shared" si="67"/>
        <v>1146927</v>
      </c>
      <c r="S475" s="567"/>
      <c r="U475" s="679"/>
    </row>
    <row r="476" spans="1:21" s="678" customFormat="1" ht="30.6" customHeight="1">
      <c r="A476" s="676">
        <v>462</v>
      </c>
      <c r="B476" s="677" t="str">
        <f>'Tên thang 01-26'!E465</f>
        <v>ហួត ផន</v>
      </c>
      <c r="C476" s="690" t="str">
        <f>'Tên thang 01-26'!F465</f>
        <v>HOUT PHORN</v>
      </c>
      <c r="D476" s="680">
        <v>450</v>
      </c>
      <c r="E476" s="681">
        <v>31947</v>
      </c>
      <c r="F476" s="682">
        <f t="shared" si="62"/>
        <v>18.8</v>
      </c>
      <c r="G476" s="683">
        <v>600604</v>
      </c>
      <c r="H476" s="682">
        <f>'KL 1'!AG478</f>
        <v>41.69</v>
      </c>
      <c r="I476" s="683">
        <f t="shared" si="68"/>
        <v>1331870</v>
      </c>
      <c r="J476" s="684"/>
      <c r="K476" s="683"/>
      <c r="L476" s="685">
        <f t="shared" si="63"/>
        <v>1932474</v>
      </c>
      <c r="M476" s="683">
        <f t="shared" si="64"/>
        <v>600604</v>
      </c>
      <c r="N476" s="686">
        <f t="shared" si="69"/>
        <v>24000</v>
      </c>
      <c r="O476" s="687">
        <f t="shared" si="65"/>
        <v>20424</v>
      </c>
      <c r="P476" s="688">
        <f t="shared" si="66"/>
        <v>645028</v>
      </c>
      <c r="Q476" s="689"/>
      <c r="R476" s="683">
        <f t="shared" si="67"/>
        <v>1287446</v>
      </c>
      <c r="S476" s="567"/>
      <c r="U476" s="679"/>
    </row>
    <row r="477" spans="1:21" s="678" customFormat="1" ht="30.6" customHeight="1">
      <c r="A477" s="676">
        <v>463</v>
      </c>
      <c r="B477" s="677" t="str">
        <f>'Tên thang 01-26'!E466</f>
        <v>ម៉េត សុខផៃ</v>
      </c>
      <c r="C477" s="690" t="str">
        <f>'Tên thang 01-26'!F466</f>
        <v>MET SOKPHAI</v>
      </c>
      <c r="D477" s="680">
        <v>451</v>
      </c>
      <c r="E477" s="681">
        <v>31947</v>
      </c>
      <c r="F477" s="682">
        <f t="shared" si="62"/>
        <v>19.05</v>
      </c>
      <c r="G477" s="683">
        <v>608590</v>
      </c>
      <c r="H477" s="682">
        <f>'KL 1'!AG479</f>
        <v>34.869999999999997</v>
      </c>
      <c r="I477" s="683">
        <f t="shared" si="68"/>
        <v>1113992</v>
      </c>
      <c r="J477" s="684"/>
      <c r="K477" s="683"/>
      <c r="L477" s="685">
        <f t="shared" si="63"/>
        <v>1722582</v>
      </c>
      <c r="M477" s="683">
        <f t="shared" si="64"/>
        <v>608590</v>
      </c>
      <c r="N477" s="686">
        <f t="shared" si="69"/>
        <v>24000</v>
      </c>
      <c r="O477" s="687">
        <f t="shared" si="65"/>
        <v>9929</v>
      </c>
      <c r="P477" s="688">
        <f t="shared" si="66"/>
        <v>642519</v>
      </c>
      <c r="Q477" s="689"/>
      <c r="R477" s="683">
        <f t="shared" si="67"/>
        <v>1080063</v>
      </c>
      <c r="S477" s="567"/>
      <c r="U477" s="679"/>
    </row>
    <row r="478" spans="1:21" s="678" customFormat="1" ht="30.6" customHeight="1">
      <c r="A478" s="676">
        <v>464</v>
      </c>
      <c r="B478" s="677" t="str">
        <f>'Tên thang 01-26'!E467</f>
        <v>ឆាង ឆើត</v>
      </c>
      <c r="C478" s="690" t="str">
        <f>'Tên thang 01-26'!F467</f>
        <v>CHHANG CHHEUT</v>
      </c>
      <c r="D478" s="680">
        <v>452</v>
      </c>
      <c r="E478" s="681">
        <v>31947</v>
      </c>
      <c r="F478" s="682">
        <f t="shared" si="62"/>
        <v>13.89</v>
      </c>
      <c r="G478" s="683">
        <v>443744</v>
      </c>
      <c r="H478" s="682">
        <f>'KL 1'!AG480</f>
        <v>36.529999999999994</v>
      </c>
      <c r="I478" s="683">
        <f t="shared" si="68"/>
        <v>1167024</v>
      </c>
      <c r="J478" s="684"/>
      <c r="K478" s="683"/>
      <c r="L478" s="685">
        <f t="shared" si="63"/>
        <v>1610768</v>
      </c>
      <c r="M478" s="683">
        <f t="shared" si="64"/>
        <v>443744</v>
      </c>
      <c r="N478" s="686">
        <f t="shared" si="69"/>
        <v>24000</v>
      </c>
      <c r="O478" s="687">
        <f t="shared" si="65"/>
        <v>4338</v>
      </c>
      <c r="P478" s="688">
        <f t="shared" si="66"/>
        <v>472082</v>
      </c>
      <c r="Q478" s="689"/>
      <c r="R478" s="683">
        <f t="shared" si="67"/>
        <v>1138686</v>
      </c>
      <c r="S478" s="567"/>
      <c r="U478" s="679"/>
    </row>
    <row r="479" spans="1:21" s="678" customFormat="1" ht="30.6" customHeight="1">
      <c r="A479" s="676">
        <v>465</v>
      </c>
      <c r="B479" s="677" t="str">
        <f>'Tên thang 01-26'!E468</f>
        <v>ទ្រី អឹង</v>
      </c>
      <c r="C479" s="690" t="str">
        <f>'Tên thang 01-26'!F468</f>
        <v>TRY EUNG</v>
      </c>
      <c r="D479" s="680">
        <v>453</v>
      </c>
      <c r="E479" s="681">
        <v>31947</v>
      </c>
      <c r="F479" s="682">
        <f t="shared" si="62"/>
        <v>13.73</v>
      </c>
      <c r="G479" s="683">
        <v>438632</v>
      </c>
      <c r="H479" s="682">
        <f>'KL 1'!AG481</f>
        <v>36.479999999999997</v>
      </c>
      <c r="I479" s="683">
        <f t="shared" si="68"/>
        <v>1165427</v>
      </c>
      <c r="J479" s="684"/>
      <c r="K479" s="683"/>
      <c r="L479" s="685">
        <f t="shared" si="63"/>
        <v>1604059</v>
      </c>
      <c r="M479" s="683">
        <f t="shared" si="64"/>
        <v>438632</v>
      </c>
      <c r="N479" s="686">
        <f t="shared" si="69"/>
        <v>24000</v>
      </c>
      <c r="O479" s="687">
        <f t="shared" si="65"/>
        <v>4003</v>
      </c>
      <c r="P479" s="688">
        <f t="shared" si="66"/>
        <v>466635</v>
      </c>
      <c r="Q479" s="689"/>
      <c r="R479" s="683">
        <f t="shared" si="67"/>
        <v>1137424</v>
      </c>
      <c r="S479" s="567"/>
      <c r="U479" s="679"/>
    </row>
    <row r="480" spans="1:21" s="678" customFormat="1" ht="30.6" customHeight="1">
      <c r="A480" s="676">
        <v>466</v>
      </c>
      <c r="B480" s="677" t="str">
        <f>'Tên thang 01-26'!E469</f>
        <v>ជា ឡៃយ៉ុន</v>
      </c>
      <c r="C480" s="690" t="str">
        <f>'Tên thang 01-26'!F469</f>
        <v>CHEA LAIYON</v>
      </c>
      <c r="D480" s="680">
        <v>454</v>
      </c>
      <c r="E480" s="681">
        <v>31947</v>
      </c>
      <c r="F480" s="682">
        <f t="shared" si="62"/>
        <v>18.350000000000001</v>
      </c>
      <c r="G480" s="683">
        <v>586227</v>
      </c>
      <c r="H480" s="682">
        <f>'KL 1'!AG482</f>
        <v>38.949999999999996</v>
      </c>
      <c r="I480" s="683">
        <f t="shared" si="68"/>
        <v>1244336</v>
      </c>
      <c r="J480" s="684"/>
      <c r="K480" s="683"/>
      <c r="L480" s="685">
        <f t="shared" si="63"/>
        <v>1830563</v>
      </c>
      <c r="M480" s="683">
        <f t="shared" si="64"/>
        <v>586227</v>
      </c>
      <c r="N480" s="686">
        <f t="shared" si="69"/>
        <v>24000</v>
      </c>
      <c r="O480" s="687">
        <f t="shared" si="65"/>
        <v>15328</v>
      </c>
      <c r="P480" s="688">
        <f t="shared" si="66"/>
        <v>625555</v>
      </c>
      <c r="Q480" s="689"/>
      <c r="R480" s="683">
        <f t="shared" si="67"/>
        <v>1205008</v>
      </c>
      <c r="S480" s="567"/>
      <c r="U480" s="679"/>
    </row>
    <row r="481" spans="1:21" s="678" customFormat="1" ht="30.6" customHeight="1">
      <c r="A481" s="676">
        <v>467</v>
      </c>
      <c r="B481" s="677" t="str">
        <f>'Tên thang 01-26'!E470</f>
        <v>តិប កី</v>
      </c>
      <c r="C481" s="690" t="str">
        <f>'Tên thang 01-26'!F470</f>
        <v>TOEB KIE</v>
      </c>
      <c r="D481" s="680">
        <v>455</v>
      </c>
      <c r="E481" s="681">
        <v>31947</v>
      </c>
      <c r="F481" s="682">
        <f t="shared" si="62"/>
        <v>13.9</v>
      </c>
      <c r="G481" s="683">
        <v>444063</v>
      </c>
      <c r="H481" s="682">
        <f>'KL 1'!AG483</f>
        <v>31.880000000000003</v>
      </c>
      <c r="I481" s="683">
        <f t="shared" si="68"/>
        <v>1018470</v>
      </c>
      <c r="J481" s="684"/>
      <c r="K481" s="683"/>
      <c r="L481" s="685">
        <f t="shared" si="63"/>
        <v>1462533</v>
      </c>
      <c r="M481" s="683">
        <f t="shared" si="64"/>
        <v>444063</v>
      </c>
      <c r="N481" s="686">
        <f t="shared" si="69"/>
        <v>24000</v>
      </c>
      <c r="O481" s="687">
        <f t="shared" si="65"/>
        <v>0</v>
      </c>
      <c r="P481" s="688">
        <f t="shared" si="66"/>
        <v>468063</v>
      </c>
      <c r="Q481" s="689"/>
      <c r="R481" s="683">
        <f t="shared" si="67"/>
        <v>994470</v>
      </c>
      <c r="S481" s="567"/>
      <c r="U481" s="679"/>
    </row>
    <row r="482" spans="1:21" s="678" customFormat="1" ht="30.6" customHeight="1">
      <c r="A482" s="676">
        <v>468</v>
      </c>
      <c r="B482" s="677" t="str">
        <f>'Tên thang 01-26'!E471</f>
        <v>ពរ​ ឡូ</v>
      </c>
      <c r="C482" s="690" t="str">
        <f>'Tên thang 01-26'!F471</f>
        <v>POR LO</v>
      </c>
      <c r="D482" s="680">
        <v>456</v>
      </c>
      <c r="E482" s="681">
        <v>31947</v>
      </c>
      <c r="F482" s="682">
        <f t="shared" si="62"/>
        <v>19.829999999999998</v>
      </c>
      <c r="G482" s="683">
        <v>633509</v>
      </c>
      <c r="H482" s="682">
        <f>'KL 1'!AG484</f>
        <v>36.879999999999995</v>
      </c>
      <c r="I482" s="683">
        <f t="shared" si="68"/>
        <v>1178205</v>
      </c>
      <c r="J482" s="684"/>
      <c r="K482" s="683"/>
      <c r="L482" s="685">
        <f t="shared" si="63"/>
        <v>1811714</v>
      </c>
      <c r="M482" s="683">
        <f t="shared" si="64"/>
        <v>633509</v>
      </c>
      <c r="N482" s="686">
        <f t="shared" si="69"/>
        <v>24000</v>
      </c>
      <c r="O482" s="687">
        <f t="shared" si="65"/>
        <v>14386</v>
      </c>
      <c r="P482" s="688">
        <f t="shared" si="66"/>
        <v>671895</v>
      </c>
      <c r="Q482" s="689"/>
      <c r="R482" s="683">
        <f t="shared" si="67"/>
        <v>1139819</v>
      </c>
      <c r="S482" s="567"/>
      <c r="U482" s="679"/>
    </row>
    <row r="483" spans="1:21" s="678" customFormat="1" ht="30.6" customHeight="1">
      <c r="A483" s="676">
        <v>469</v>
      </c>
      <c r="B483" s="677" t="str">
        <f>'Tên thang 01-26'!E472</f>
        <v>ឈួន ឆេន</v>
      </c>
      <c r="C483" s="690" t="str">
        <f>'Tên thang 01-26'!F472</f>
        <v>CHHOUN CHHEN</v>
      </c>
      <c r="D483" s="680">
        <v>457</v>
      </c>
      <c r="E483" s="681">
        <v>31947</v>
      </c>
      <c r="F483" s="682">
        <f t="shared" si="62"/>
        <v>20.12</v>
      </c>
      <c r="G483" s="683">
        <v>642774</v>
      </c>
      <c r="H483" s="682">
        <f>'KL 1'!AG485</f>
        <v>40.889999999999993</v>
      </c>
      <c r="I483" s="683">
        <f t="shared" si="68"/>
        <v>1306313</v>
      </c>
      <c r="J483" s="684"/>
      <c r="K483" s="683"/>
      <c r="L483" s="685">
        <f t="shared" si="63"/>
        <v>1949087</v>
      </c>
      <c r="M483" s="683">
        <f t="shared" si="64"/>
        <v>642774</v>
      </c>
      <c r="N483" s="686">
        <f t="shared" si="69"/>
        <v>24000</v>
      </c>
      <c r="O483" s="687">
        <f t="shared" si="65"/>
        <v>21254</v>
      </c>
      <c r="P483" s="688">
        <f t="shared" si="66"/>
        <v>688028</v>
      </c>
      <c r="Q483" s="689"/>
      <c r="R483" s="683">
        <f t="shared" si="67"/>
        <v>1261059</v>
      </c>
      <c r="S483" s="567"/>
      <c r="U483" s="679"/>
    </row>
    <row r="484" spans="1:21" s="678" customFormat="1" ht="30.6" customHeight="1">
      <c r="A484" s="676">
        <v>470</v>
      </c>
      <c r="B484" s="677" t="str">
        <f>'Tên thang 01-26'!E473</f>
        <v>ស៊ុត សោន</v>
      </c>
      <c r="C484" s="690" t="str">
        <f>'Tên thang 01-26'!F473</f>
        <v>SUT SAON</v>
      </c>
      <c r="D484" s="680">
        <v>458</v>
      </c>
      <c r="E484" s="681">
        <v>31947</v>
      </c>
      <c r="F484" s="682">
        <f t="shared" si="62"/>
        <v>19.48</v>
      </c>
      <c r="G484" s="683">
        <v>622328</v>
      </c>
      <c r="H484" s="682">
        <f>'KL 1'!AG486</f>
        <v>40.699999999999996</v>
      </c>
      <c r="I484" s="683">
        <f t="shared" si="68"/>
        <v>1300243</v>
      </c>
      <c r="J484" s="684"/>
      <c r="K484" s="683"/>
      <c r="L484" s="685">
        <f t="shared" si="63"/>
        <v>1922571</v>
      </c>
      <c r="M484" s="683">
        <f t="shared" si="64"/>
        <v>622328</v>
      </c>
      <c r="N484" s="686">
        <f t="shared" si="69"/>
        <v>24000</v>
      </c>
      <c r="O484" s="687">
        <f t="shared" si="65"/>
        <v>19929</v>
      </c>
      <c r="P484" s="688">
        <f t="shared" si="66"/>
        <v>666257</v>
      </c>
      <c r="Q484" s="689"/>
      <c r="R484" s="683">
        <f t="shared" si="67"/>
        <v>1256314</v>
      </c>
      <c r="S484" s="567"/>
      <c r="U484" s="679"/>
    </row>
    <row r="485" spans="1:21" s="678" customFormat="1" ht="32.4" customHeight="1">
      <c r="A485" s="676">
        <v>471</v>
      </c>
      <c r="B485" s="677" t="str">
        <f>'Tên thang 01-26'!E474</f>
        <v>ឈួន ឈី</v>
      </c>
      <c r="C485" s="690" t="str">
        <f>'Tên thang 01-26'!F474</f>
        <v>CHHUON CHHY</v>
      </c>
      <c r="D485" s="680">
        <v>459</v>
      </c>
      <c r="E485" s="681">
        <v>31947</v>
      </c>
      <c r="F485" s="682">
        <f t="shared" si="62"/>
        <v>17.600000000000001</v>
      </c>
      <c r="G485" s="683">
        <v>562267</v>
      </c>
      <c r="H485" s="682">
        <f>'KL 1'!AG487</f>
        <v>39.499999999999993</v>
      </c>
      <c r="I485" s="683">
        <f t="shared" si="68"/>
        <v>1261907</v>
      </c>
      <c r="J485" s="684"/>
      <c r="K485" s="683"/>
      <c r="L485" s="685">
        <f t="shared" si="63"/>
        <v>1824174</v>
      </c>
      <c r="M485" s="683">
        <f t="shared" si="64"/>
        <v>562267</v>
      </c>
      <c r="N485" s="686">
        <f t="shared" si="69"/>
        <v>24000</v>
      </c>
      <c r="O485" s="687">
        <f t="shared" si="65"/>
        <v>15009</v>
      </c>
      <c r="P485" s="688">
        <f t="shared" si="66"/>
        <v>601276</v>
      </c>
      <c r="Q485" s="689"/>
      <c r="R485" s="683">
        <f t="shared" si="67"/>
        <v>1222898</v>
      </c>
      <c r="S485" s="567"/>
      <c r="U485" s="679"/>
    </row>
    <row r="486" spans="1:21" s="678" customFormat="1" ht="30.6" customHeight="1">
      <c r="A486" s="676">
        <v>472</v>
      </c>
      <c r="B486" s="677" t="str">
        <f>'Tên thang 01-26'!E475</f>
        <v>ម៉េត សុផល</v>
      </c>
      <c r="C486" s="690" t="str">
        <f>'Tên thang 01-26'!F475</f>
        <v>MET SOPHALL</v>
      </c>
      <c r="D486" s="680">
        <v>460</v>
      </c>
      <c r="E486" s="681">
        <v>31947</v>
      </c>
      <c r="F486" s="682">
        <f t="shared" si="62"/>
        <v>16.329999999999998</v>
      </c>
      <c r="G486" s="683">
        <v>521695</v>
      </c>
      <c r="H486" s="682">
        <f>'KL 1'!AG488</f>
        <v>35.69</v>
      </c>
      <c r="I486" s="683">
        <f t="shared" si="68"/>
        <v>1140188</v>
      </c>
      <c r="J486" s="684"/>
      <c r="K486" s="683"/>
      <c r="L486" s="685">
        <f t="shared" si="63"/>
        <v>1661883</v>
      </c>
      <c r="M486" s="683">
        <f t="shared" si="64"/>
        <v>521695</v>
      </c>
      <c r="N486" s="686">
        <f t="shared" si="69"/>
        <v>24000</v>
      </c>
      <c r="O486" s="687">
        <f t="shared" si="65"/>
        <v>6894</v>
      </c>
      <c r="P486" s="688">
        <f t="shared" si="66"/>
        <v>552589</v>
      </c>
      <c r="Q486" s="689"/>
      <c r="R486" s="683">
        <f t="shared" si="67"/>
        <v>1109294</v>
      </c>
      <c r="S486" s="567"/>
      <c r="U486" s="679"/>
    </row>
    <row r="487" spans="1:21" s="678" customFormat="1" ht="30.6" customHeight="1">
      <c r="A487" s="676">
        <v>473</v>
      </c>
      <c r="B487" s="677" t="str">
        <f>'Tên thang 01-26'!E476</f>
        <v>អ៊ឹម ថូ</v>
      </c>
      <c r="C487" s="690" t="str">
        <f>'Tên thang 01-26'!F476</f>
        <v>OEM THO</v>
      </c>
      <c r="D487" s="680">
        <v>461</v>
      </c>
      <c r="E487" s="681">
        <v>31947</v>
      </c>
      <c r="F487" s="682">
        <f t="shared" si="62"/>
        <v>21.22</v>
      </c>
      <c r="G487" s="683">
        <v>677915</v>
      </c>
      <c r="H487" s="682">
        <f>'KL 1'!AG489</f>
        <v>39.549999999999997</v>
      </c>
      <c r="I487" s="683">
        <f t="shared" si="68"/>
        <v>1263504</v>
      </c>
      <c r="J487" s="684"/>
      <c r="K487" s="683"/>
      <c r="L487" s="685">
        <f t="shared" si="63"/>
        <v>1941419</v>
      </c>
      <c r="M487" s="683">
        <f t="shared" si="64"/>
        <v>677915</v>
      </c>
      <c r="N487" s="686">
        <f t="shared" si="69"/>
        <v>24000</v>
      </c>
      <c r="O487" s="687">
        <f t="shared" si="65"/>
        <v>20871</v>
      </c>
      <c r="P487" s="688">
        <f t="shared" si="66"/>
        <v>722786</v>
      </c>
      <c r="Q487" s="689"/>
      <c r="R487" s="683">
        <f t="shared" si="67"/>
        <v>1218633</v>
      </c>
      <c r="S487" s="567"/>
      <c r="U487" s="679"/>
    </row>
    <row r="488" spans="1:21" s="678" customFormat="1" ht="30.6" customHeight="1">
      <c r="A488" s="676">
        <v>474</v>
      </c>
      <c r="B488" s="677" t="str">
        <f>'Tên thang 01-26'!E477</f>
        <v>សៀវ រីណា</v>
      </c>
      <c r="C488" s="690" t="str">
        <f>'Tên thang 01-26'!F477</f>
        <v>SEAV RINA</v>
      </c>
      <c r="D488" s="680">
        <v>462</v>
      </c>
      <c r="E488" s="681">
        <v>31947</v>
      </c>
      <c r="F488" s="682">
        <f t="shared" si="62"/>
        <v>19.39</v>
      </c>
      <c r="G488" s="683">
        <v>619452</v>
      </c>
      <c r="H488" s="682">
        <f>'KL 1'!AG490</f>
        <v>37.51</v>
      </c>
      <c r="I488" s="683">
        <f t="shared" si="68"/>
        <v>1198332</v>
      </c>
      <c r="J488" s="684"/>
      <c r="K488" s="683"/>
      <c r="L488" s="685">
        <f t="shared" si="63"/>
        <v>1817784</v>
      </c>
      <c r="M488" s="683">
        <f t="shared" si="64"/>
        <v>619452</v>
      </c>
      <c r="N488" s="686">
        <f t="shared" si="69"/>
        <v>24000</v>
      </c>
      <c r="O488" s="687">
        <f t="shared" si="65"/>
        <v>14689</v>
      </c>
      <c r="P488" s="688">
        <f t="shared" si="66"/>
        <v>658141</v>
      </c>
      <c r="Q488" s="689"/>
      <c r="R488" s="683">
        <f t="shared" si="67"/>
        <v>1159643</v>
      </c>
      <c r="S488" s="567"/>
      <c r="U488" s="679"/>
    </row>
    <row r="489" spans="1:21" s="678" customFormat="1" ht="30.6" customHeight="1">
      <c r="A489" s="676">
        <v>475</v>
      </c>
      <c r="B489" s="677" t="str">
        <f>'Tên thang 01-26'!E478</f>
        <v>ផា សុសាយ</v>
      </c>
      <c r="C489" s="690" t="str">
        <f>'Tên thang 01-26'!F478</f>
        <v>PHA SOSAY</v>
      </c>
      <c r="D489" s="680">
        <v>463</v>
      </c>
      <c r="E489" s="681">
        <v>31947</v>
      </c>
      <c r="F489" s="682">
        <f t="shared" si="62"/>
        <v>16.100000000000001</v>
      </c>
      <c r="G489" s="683">
        <v>514347</v>
      </c>
      <c r="H489" s="682">
        <f>'KL 1'!AG491</f>
        <v>36.25</v>
      </c>
      <c r="I489" s="683">
        <f t="shared" si="68"/>
        <v>1158079</v>
      </c>
      <c r="J489" s="684"/>
      <c r="K489" s="683"/>
      <c r="L489" s="685">
        <f t="shared" si="63"/>
        <v>1672426</v>
      </c>
      <c r="M489" s="683">
        <f t="shared" si="64"/>
        <v>514347</v>
      </c>
      <c r="N489" s="686">
        <f t="shared" si="69"/>
        <v>24000</v>
      </c>
      <c r="O489" s="687">
        <f t="shared" si="65"/>
        <v>7421</v>
      </c>
      <c r="P489" s="688">
        <f t="shared" si="66"/>
        <v>545768</v>
      </c>
      <c r="Q489" s="689"/>
      <c r="R489" s="683">
        <f t="shared" si="67"/>
        <v>1126658</v>
      </c>
      <c r="S489" s="567"/>
      <c r="U489" s="679"/>
    </row>
    <row r="490" spans="1:21" s="678" customFormat="1" ht="30.6" customHeight="1">
      <c r="A490" s="676">
        <v>476</v>
      </c>
      <c r="B490" s="677" t="str">
        <f>'Tên thang 01-26'!E479</f>
        <v>ធាន អូន</v>
      </c>
      <c r="C490" s="690" t="str">
        <f>'Tên thang 01-26'!F479</f>
        <v>THEAN OUN</v>
      </c>
      <c r="D490" s="680">
        <v>464</v>
      </c>
      <c r="E490" s="681">
        <v>31947</v>
      </c>
      <c r="F490" s="682">
        <f t="shared" si="62"/>
        <v>19.739999999999998</v>
      </c>
      <c r="G490" s="683">
        <v>630634</v>
      </c>
      <c r="H490" s="682">
        <f>'KL 1'!AG492</f>
        <v>40.07</v>
      </c>
      <c r="I490" s="683">
        <f t="shared" si="68"/>
        <v>1280116</v>
      </c>
      <c r="J490" s="684"/>
      <c r="K490" s="683"/>
      <c r="L490" s="685">
        <f t="shared" si="63"/>
        <v>1910750</v>
      </c>
      <c r="M490" s="683">
        <f t="shared" si="64"/>
        <v>630634</v>
      </c>
      <c r="N490" s="686">
        <f t="shared" si="69"/>
        <v>24000</v>
      </c>
      <c r="O490" s="687">
        <f t="shared" si="65"/>
        <v>19338</v>
      </c>
      <c r="P490" s="688">
        <f t="shared" si="66"/>
        <v>673972</v>
      </c>
      <c r="Q490" s="689"/>
      <c r="R490" s="683">
        <f t="shared" si="67"/>
        <v>1236778</v>
      </c>
      <c r="S490" s="567"/>
      <c r="U490" s="679"/>
    </row>
    <row r="491" spans="1:21" s="678" customFormat="1" ht="30.6" customHeight="1">
      <c r="A491" s="676">
        <v>477</v>
      </c>
      <c r="B491" s="677" t="str">
        <f>'Tên thang 01-26'!E480</f>
        <v>អ៊ឹម ធារ៉ា</v>
      </c>
      <c r="C491" s="690" t="str">
        <f>'Tên thang 01-26'!F480</f>
        <v>OEM THEARA</v>
      </c>
      <c r="D491" s="680">
        <v>465</v>
      </c>
      <c r="E491" s="681">
        <v>31947</v>
      </c>
      <c r="F491" s="682">
        <f t="shared" si="62"/>
        <v>21.16</v>
      </c>
      <c r="G491" s="683">
        <v>675999</v>
      </c>
      <c r="H491" s="682">
        <f>'KL 1'!AG493</f>
        <v>40.779999999999994</v>
      </c>
      <c r="I491" s="683">
        <f t="shared" si="68"/>
        <v>1302799</v>
      </c>
      <c r="J491" s="684"/>
      <c r="K491" s="683"/>
      <c r="L491" s="685">
        <f t="shared" si="63"/>
        <v>1978798</v>
      </c>
      <c r="M491" s="683">
        <f t="shared" si="64"/>
        <v>675999</v>
      </c>
      <c r="N491" s="686">
        <f t="shared" si="69"/>
        <v>24000</v>
      </c>
      <c r="O491" s="687">
        <f t="shared" si="65"/>
        <v>22740</v>
      </c>
      <c r="P491" s="688">
        <f t="shared" si="66"/>
        <v>722739</v>
      </c>
      <c r="Q491" s="689"/>
      <c r="R491" s="683">
        <f t="shared" si="67"/>
        <v>1256059</v>
      </c>
      <c r="S491" s="567"/>
      <c r="U491" s="679"/>
    </row>
    <row r="492" spans="1:21" s="678" customFormat="1" ht="30.6" customHeight="1">
      <c r="A492" s="676">
        <v>478</v>
      </c>
      <c r="B492" s="677" t="str">
        <f>'Tên thang 01-26'!E481</f>
        <v>ជី ប៊ុនរ៉ូ</v>
      </c>
      <c r="C492" s="690" t="str">
        <f>'Tên thang 01-26'!F481</f>
        <v>CHY BUNRO</v>
      </c>
      <c r="D492" s="680">
        <v>466</v>
      </c>
      <c r="E492" s="681">
        <v>31947</v>
      </c>
      <c r="F492" s="682">
        <f t="shared" si="62"/>
        <v>17.54</v>
      </c>
      <c r="G492" s="683">
        <v>560350</v>
      </c>
      <c r="H492" s="682">
        <f>'KL 1'!AG494</f>
        <v>35.169999999999995</v>
      </c>
      <c r="I492" s="683">
        <f t="shared" si="68"/>
        <v>1123576</v>
      </c>
      <c r="J492" s="684"/>
      <c r="K492" s="683"/>
      <c r="L492" s="685">
        <f t="shared" si="63"/>
        <v>1683926</v>
      </c>
      <c r="M492" s="683">
        <f t="shared" si="64"/>
        <v>560350</v>
      </c>
      <c r="N492" s="686">
        <f t="shared" si="69"/>
        <v>24000</v>
      </c>
      <c r="O492" s="687">
        <f t="shared" si="65"/>
        <v>7996</v>
      </c>
      <c r="P492" s="688">
        <f t="shared" si="66"/>
        <v>592346</v>
      </c>
      <c r="Q492" s="689"/>
      <c r="R492" s="683">
        <f t="shared" si="67"/>
        <v>1091580</v>
      </c>
      <c r="S492" s="567"/>
      <c r="U492" s="679"/>
    </row>
    <row r="493" spans="1:21" s="678" customFormat="1" ht="30.6" customHeight="1">
      <c r="A493" s="676">
        <v>479</v>
      </c>
      <c r="B493" s="677" t="str">
        <f>'Tên thang 01-26'!E482</f>
        <v>ហឿន ឡៃហឿ</v>
      </c>
      <c r="C493" s="690" t="str">
        <f>'Tên thang 01-26'!F482</f>
        <v>HOEUN LYHOEU</v>
      </c>
      <c r="D493" s="680">
        <v>467</v>
      </c>
      <c r="E493" s="681">
        <v>31947</v>
      </c>
      <c r="F493" s="682">
        <f t="shared" si="62"/>
        <v>21.04</v>
      </c>
      <c r="G493" s="683">
        <v>672165</v>
      </c>
      <c r="H493" s="682">
        <f>'KL 1'!AG495</f>
        <v>43.239999999999995</v>
      </c>
      <c r="I493" s="683">
        <f t="shared" si="68"/>
        <v>1381388</v>
      </c>
      <c r="J493" s="684"/>
      <c r="K493" s="683"/>
      <c r="L493" s="685">
        <f t="shared" si="63"/>
        <v>2053553</v>
      </c>
      <c r="M493" s="683">
        <f t="shared" si="64"/>
        <v>672165</v>
      </c>
      <c r="N493" s="686">
        <f t="shared" si="69"/>
        <v>24000</v>
      </c>
      <c r="O493" s="687">
        <f t="shared" si="65"/>
        <v>27955</v>
      </c>
      <c r="P493" s="688">
        <f t="shared" si="66"/>
        <v>724120</v>
      </c>
      <c r="Q493" s="689"/>
      <c r="R493" s="683">
        <f t="shared" si="67"/>
        <v>1329433</v>
      </c>
      <c r="S493" s="567"/>
      <c r="U493" s="679"/>
    </row>
    <row r="494" spans="1:21" s="678" customFormat="1" ht="30.6" customHeight="1">
      <c r="A494" s="676">
        <v>480</v>
      </c>
      <c r="B494" s="677" t="str">
        <f>'Tên thang 01-26'!E483</f>
        <v>ព បៀវ</v>
      </c>
      <c r="C494" s="690" t="str">
        <f>'Tên thang 01-26'!F483</f>
        <v>POR BEAV</v>
      </c>
      <c r="D494" s="680">
        <v>468</v>
      </c>
      <c r="E494" s="681">
        <v>31947</v>
      </c>
      <c r="F494" s="682">
        <f t="shared" si="62"/>
        <v>22.44</v>
      </c>
      <c r="G494" s="683">
        <v>716891</v>
      </c>
      <c r="H494" s="682">
        <f>'KL 1'!AG496</f>
        <v>43.98</v>
      </c>
      <c r="I494" s="683">
        <f t="shared" si="68"/>
        <v>1405029</v>
      </c>
      <c r="J494" s="684"/>
      <c r="K494" s="683"/>
      <c r="L494" s="685">
        <f t="shared" si="63"/>
        <v>2121920</v>
      </c>
      <c r="M494" s="683">
        <f t="shared" si="64"/>
        <v>716891</v>
      </c>
      <c r="N494" s="686">
        <f t="shared" si="69"/>
        <v>24000</v>
      </c>
      <c r="O494" s="687">
        <f t="shared" si="65"/>
        <v>34792</v>
      </c>
      <c r="P494" s="688">
        <f t="shared" si="66"/>
        <v>775683</v>
      </c>
      <c r="Q494" s="689"/>
      <c r="R494" s="683">
        <f t="shared" si="67"/>
        <v>1346237</v>
      </c>
      <c r="S494" s="567"/>
      <c r="U494" s="679"/>
    </row>
    <row r="495" spans="1:21" s="678" customFormat="1" ht="30.6" customHeight="1">
      <c r="A495" s="676">
        <v>481</v>
      </c>
      <c r="B495" s="677" t="str">
        <f>'Tên thang 01-26'!E484</f>
        <v>សេង ស្រីមុំ</v>
      </c>
      <c r="C495" s="690" t="str">
        <f>'Tên thang 01-26'!F484</f>
        <v>SENG SREYMOM</v>
      </c>
      <c r="D495" s="680">
        <v>469</v>
      </c>
      <c r="E495" s="681">
        <v>31947</v>
      </c>
      <c r="F495" s="682">
        <f t="shared" si="62"/>
        <v>22.94</v>
      </c>
      <c r="G495" s="683">
        <v>732864</v>
      </c>
      <c r="H495" s="682">
        <f>'KL 1'!AG497</f>
        <v>41.449999999999996</v>
      </c>
      <c r="I495" s="683">
        <f t="shared" si="68"/>
        <v>1324203</v>
      </c>
      <c r="J495" s="684"/>
      <c r="K495" s="683"/>
      <c r="L495" s="685">
        <f t="shared" si="63"/>
        <v>2057067</v>
      </c>
      <c r="M495" s="683">
        <f t="shared" si="64"/>
        <v>732864</v>
      </c>
      <c r="N495" s="686">
        <f t="shared" si="69"/>
        <v>24000</v>
      </c>
      <c r="O495" s="687">
        <f t="shared" si="65"/>
        <v>28307</v>
      </c>
      <c r="P495" s="688">
        <f t="shared" si="66"/>
        <v>785171</v>
      </c>
      <c r="Q495" s="689"/>
      <c r="R495" s="683">
        <f t="shared" si="67"/>
        <v>1271896</v>
      </c>
      <c r="S495" s="567"/>
      <c r="U495" s="679"/>
    </row>
    <row r="496" spans="1:21" s="678" customFormat="1" ht="30.6" customHeight="1">
      <c r="A496" s="676">
        <v>482</v>
      </c>
      <c r="B496" s="677" t="str">
        <f>'Tên thang 01-26'!E485</f>
        <v>ឆាយ គី</v>
      </c>
      <c r="C496" s="690" t="str">
        <f>'Tên thang 01-26'!F485</f>
        <v>CHHAY KY</v>
      </c>
      <c r="D496" s="680">
        <v>470</v>
      </c>
      <c r="E496" s="681">
        <v>31947</v>
      </c>
      <c r="F496" s="682">
        <f t="shared" si="62"/>
        <v>16.739999999999998</v>
      </c>
      <c r="G496" s="683">
        <v>534793</v>
      </c>
      <c r="H496" s="682">
        <f>'KL 1'!AG498</f>
        <v>36.409999999999997</v>
      </c>
      <c r="I496" s="683">
        <f t="shared" si="68"/>
        <v>1163190</v>
      </c>
      <c r="J496" s="684"/>
      <c r="K496" s="683"/>
      <c r="L496" s="685">
        <f t="shared" si="63"/>
        <v>1697983</v>
      </c>
      <c r="M496" s="683">
        <f t="shared" si="64"/>
        <v>534793</v>
      </c>
      <c r="N496" s="686">
        <f t="shared" si="69"/>
        <v>24000</v>
      </c>
      <c r="O496" s="687">
        <f t="shared" si="65"/>
        <v>8699</v>
      </c>
      <c r="P496" s="688">
        <f t="shared" si="66"/>
        <v>567492</v>
      </c>
      <c r="Q496" s="689"/>
      <c r="R496" s="683">
        <f t="shared" si="67"/>
        <v>1130491</v>
      </c>
      <c r="S496" s="567"/>
      <c r="U496" s="679"/>
    </row>
    <row r="497" spans="1:23" s="678" customFormat="1" ht="30.6" customHeight="1">
      <c r="A497" s="676">
        <v>483</v>
      </c>
      <c r="B497" s="677" t="str">
        <f>'Tên thang 01-26'!E486</f>
        <v>ម៉ុក សង់</v>
      </c>
      <c r="C497" s="690" t="str">
        <f>'Tên thang 01-26'!F486</f>
        <v>MORK SONG</v>
      </c>
      <c r="D497" s="680">
        <v>471</v>
      </c>
      <c r="E497" s="681">
        <v>31947</v>
      </c>
      <c r="F497" s="682">
        <f t="shared" si="62"/>
        <v>20.54</v>
      </c>
      <c r="G497" s="683">
        <v>656191</v>
      </c>
      <c r="H497" s="682">
        <f>'KL 1'!AG499</f>
        <v>40.589999999999996</v>
      </c>
      <c r="I497" s="683">
        <f t="shared" si="68"/>
        <v>1296729</v>
      </c>
      <c r="J497" s="684"/>
      <c r="K497" s="683"/>
      <c r="L497" s="685">
        <f t="shared" si="63"/>
        <v>1952920</v>
      </c>
      <c r="M497" s="683">
        <f t="shared" si="64"/>
        <v>656191</v>
      </c>
      <c r="N497" s="686">
        <f t="shared" si="69"/>
        <v>24000</v>
      </c>
      <c r="O497" s="687">
        <f t="shared" si="65"/>
        <v>21446</v>
      </c>
      <c r="P497" s="688">
        <f t="shared" si="66"/>
        <v>701637</v>
      </c>
      <c r="Q497" s="689"/>
      <c r="R497" s="683">
        <f t="shared" si="67"/>
        <v>1251283</v>
      </c>
      <c r="S497" s="567"/>
      <c r="U497" s="679"/>
    </row>
    <row r="498" spans="1:23" s="678" customFormat="1" ht="30.6" customHeight="1">
      <c r="A498" s="676">
        <v>484</v>
      </c>
      <c r="B498" s="677" t="str">
        <f>'Tên thang 01-26'!E487</f>
        <v>ហន ហូត</v>
      </c>
      <c r="C498" s="690" t="str">
        <f>'Tên thang 01-26'!F487</f>
        <v>HORN HOUT</v>
      </c>
      <c r="D498" s="680">
        <v>472</v>
      </c>
      <c r="E498" s="681">
        <v>31947</v>
      </c>
      <c r="F498" s="682">
        <f t="shared" si="62"/>
        <v>19.239999999999998</v>
      </c>
      <c r="G498" s="683">
        <v>614667</v>
      </c>
      <c r="H498" s="682">
        <f>'KL 1'!AG500</f>
        <v>39.520000000000003</v>
      </c>
      <c r="I498" s="683">
        <f>ROUND(E498*H498,0)-13</f>
        <v>1262532</v>
      </c>
      <c r="J498" s="684"/>
      <c r="K498" s="683"/>
      <c r="L498" s="685">
        <f t="shared" si="63"/>
        <v>1877199</v>
      </c>
      <c r="M498" s="683">
        <f t="shared" si="64"/>
        <v>614667</v>
      </c>
      <c r="N498" s="686">
        <f>IF(L498&lt;=400000,400000*2%,IF(L498&lt;=1200000,ROUND(L498*2%,0),ROUND(1200000*2%,0)))</f>
        <v>24000</v>
      </c>
      <c r="O498" s="687">
        <f t="shared" si="65"/>
        <v>17660</v>
      </c>
      <c r="P498" s="688">
        <f t="shared" si="66"/>
        <v>656327</v>
      </c>
      <c r="Q498" s="689"/>
      <c r="R498" s="683">
        <f t="shared" si="67"/>
        <v>1220872</v>
      </c>
      <c r="S498" s="567"/>
    </row>
    <row r="499" spans="1:23" s="97" customFormat="1" ht="16.95" customHeight="1">
      <c r="A499" s="638"/>
      <c r="B499" s="639"/>
      <c r="C499" s="640"/>
      <c r="D499" s="691"/>
      <c r="E499" s="693"/>
      <c r="F499" s="694"/>
      <c r="G499" s="695"/>
      <c r="H499" s="694"/>
      <c r="I499" s="695"/>
      <c r="J499" s="695"/>
      <c r="K499" s="695"/>
      <c r="L499" s="696"/>
      <c r="M499" s="695"/>
      <c r="N499" s="695"/>
      <c r="O499" s="697"/>
      <c r="P499" s="698"/>
      <c r="Q499" s="699"/>
      <c r="R499" s="695"/>
      <c r="S499" s="641"/>
      <c r="T499" s="642"/>
    </row>
    <row r="500" spans="1:23" s="645" customFormat="1" ht="42" customHeight="1">
      <c r="A500" s="1181" t="s">
        <v>73</v>
      </c>
      <c r="B500" s="1182"/>
      <c r="C500" s="1183"/>
      <c r="D500" s="692"/>
      <c r="E500" s="700"/>
      <c r="F500" s="701">
        <f>SUM(F15:F498)</f>
        <v>7400.7999999999965</v>
      </c>
      <c r="G500" s="702">
        <f>SUM(G15:G498)</f>
        <v>236433358</v>
      </c>
      <c r="H500" s="700">
        <f>SUM(H15:H498)</f>
        <v>18003.900000000001</v>
      </c>
      <c r="I500" s="702">
        <f>SUM(I15:I498)</f>
        <v>575170593</v>
      </c>
      <c r="J500" s="702">
        <f t="shared" ref="J500:R500" si="70">SUM(J15:J498)</f>
        <v>0</v>
      </c>
      <c r="K500" s="702">
        <f t="shared" si="70"/>
        <v>0</v>
      </c>
      <c r="L500" s="702">
        <f t="shared" si="70"/>
        <v>811603951</v>
      </c>
      <c r="M500" s="702">
        <f t="shared" si="70"/>
        <v>236433358</v>
      </c>
      <c r="N500" s="702">
        <f t="shared" si="70"/>
        <v>11550637</v>
      </c>
      <c r="O500" s="702">
        <f t="shared" si="70"/>
        <v>4524349</v>
      </c>
      <c r="P500" s="702">
        <f t="shared" si="70"/>
        <v>252508344</v>
      </c>
      <c r="Q500" s="702">
        <f t="shared" si="70"/>
        <v>0</v>
      </c>
      <c r="R500" s="702">
        <f t="shared" si="70"/>
        <v>559095607</v>
      </c>
      <c r="S500" s="643"/>
      <c r="T500" s="644"/>
      <c r="V500" s="646"/>
      <c r="W500" s="646"/>
    </row>
    <row r="501" spans="1:23" s="104" customFormat="1" ht="18">
      <c r="B501" s="18"/>
      <c r="C501" s="18"/>
      <c r="D501" s="18"/>
      <c r="E501" s="647"/>
      <c r="G501" s="607"/>
      <c r="H501" s="648"/>
      <c r="I501" s="607"/>
      <c r="J501" s="607"/>
      <c r="K501" s="607"/>
      <c r="L501" s="607"/>
      <c r="M501" s="607"/>
      <c r="N501" s="607"/>
      <c r="P501" s="607"/>
      <c r="R501" s="649"/>
      <c r="T501" s="650"/>
    </row>
    <row r="502" spans="1:23" s="605" customFormat="1" ht="33" customHeight="1">
      <c r="A502" s="651"/>
      <c r="B502" s="651"/>
      <c r="C502" s="651"/>
      <c r="D502" s="651"/>
      <c r="E502" s="652"/>
      <c r="F502" s="653"/>
      <c r="G502" s="654"/>
      <c r="H502" s="629"/>
      <c r="I502" s="709"/>
      <c r="J502"/>
      <c r="K502"/>
      <c r="L502" s="709"/>
      <c r="M502"/>
      <c r="N502" s="710"/>
      <c r="O502" s="711"/>
      <c r="P502" s="656" t="s">
        <v>2065</v>
      </c>
      <c r="Q502" s="103"/>
      <c r="R502" s="103"/>
      <c r="S502" s="103"/>
    </row>
    <row r="503" spans="1:23" s="609" customFormat="1" ht="33" customHeight="1">
      <c r="A503" s="1103" t="s">
        <v>1839</v>
      </c>
      <c r="B503" s="1103"/>
      <c r="C503" s="1103"/>
      <c r="D503" s="670"/>
      <c r="E503" s="657"/>
      <c r="F503" s="658"/>
      <c r="G503" s="659"/>
      <c r="H503" s="629"/>
      <c r="I503"/>
      <c r="J503" s="13"/>
      <c r="K503" s="655"/>
      <c r="L503" s="655"/>
      <c r="M503"/>
      <c r="N503" s="655"/>
      <c r="O503" s="658"/>
      <c r="P503" s="659"/>
      <c r="Q503" s="658"/>
      <c r="R503" s="1166" t="s">
        <v>197</v>
      </c>
      <c r="S503" s="1166"/>
    </row>
    <row r="504" spans="1:23" s="18" customFormat="1" ht="23.25" customHeight="1">
      <c r="A504" s="1112" t="s">
        <v>1698</v>
      </c>
      <c r="B504" s="1112"/>
      <c r="C504" s="1112"/>
      <c r="D504" s="667"/>
      <c r="E504" s="660"/>
      <c r="F504" s="512"/>
      <c r="G504" s="661"/>
      <c r="H504" s="629"/>
      <c r="I504" s="661"/>
      <c r="J504" s="661"/>
      <c r="K504" s="661"/>
      <c r="L504" s="661"/>
      <c r="M504" s="661"/>
      <c r="N504" s="661"/>
      <c r="O504" s="512"/>
      <c r="P504" s="661"/>
      <c r="Q504" s="512"/>
      <c r="R504" s="1112" t="s">
        <v>198</v>
      </c>
      <c r="S504" s="1112"/>
      <c r="T504" s="627" t="e">
        <f>R500+#REF!+#REF!+#REF!+#REF!+#REF!+#REF!+#REF!+#REF!+#REF!+#REF!+'TTL 2'!P45</f>
        <v>#REF!</v>
      </c>
    </row>
    <row r="505" spans="1:23" s="18" customFormat="1" ht="21">
      <c r="A505" s="512"/>
      <c r="B505" s="512"/>
      <c r="C505" s="512"/>
      <c r="D505" s="512"/>
      <c r="E505" s="660"/>
      <c r="F505" s="512"/>
      <c r="G505" s="661"/>
      <c r="H505" s="629"/>
      <c r="I505" s="661"/>
      <c r="J505" s="661"/>
      <c r="K505" s="661"/>
      <c r="L505" s="661"/>
      <c r="M505" s="661"/>
      <c r="N505" s="661"/>
      <c r="O505" s="512"/>
      <c r="P505" s="661"/>
      <c r="Q505" s="512"/>
      <c r="R505"/>
      <c r="S505" s="512"/>
    </row>
    <row r="506" spans="1:23" s="18" customFormat="1" ht="33" customHeight="1">
      <c r="A506" s="512"/>
      <c r="B506" s="512"/>
      <c r="C506" s="512"/>
      <c r="D506" s="512"/>
      <c r="E506" s="660"/>
      <c r="F506" s="512"/>
      <c r="G506" s="661"/>
      <c r="H506" s="629"/>
      <c r="I506" s="661"/>
      <c r="J506" s="661"/>
      <c r="K506" s="661"/>
      <c r="L506" s="661"/>
      <c r="M506" s="661"/>
      <c r="N506" s="661"/>
      <c r="O506" s="512"/>
      <c r="P506" s="661"/>
      <c r="Q506" s="512"/>
      <c r="R506"/>
      <c r="S506" s="512"/>
    </row>
    <row r="507" spans="1:23" s="18" customFormat="1" ht="33" customHeight="1">
      <c r="A507" s="512"/>
      <c r="B507" s="512"/>
      <c r="C507" s="512"/>
      <c r="D507" s="512"/>
      <c r="E507" s="660"/>
      <c r="F507" s="512"/>
      <c r="G507" s="661"/>
      <c r="H507" s="629"/>
      <c r="I507" s="661"/>
      <c r="J507" s="661"/>
      <c r="K507" s="661"/>
      <c r="L507" s="661"/>
      <c r="M507" s="661"/>
      <c r="N507" s="661"/>
      <c r="O507" s="512"/>
      <c r="P507" s="661"/>
      <c r="Q507" s="512"/>
      <c r="R507"/>
      <c r="S507" s="512"/>
    </row>
    <row r="508" spans="1:23" s="18" customFormat="1" ht="18" customHeight="1">
      <c r="A508" s="512"/>
      <c r="B508" s="512"/>
      <c r="C508" s="512"/>
      <c r="D508" s="512"/>
      <c r="E508" s="660"/>
      <c r="F508" s="512"/>
      <c r="G508" s="661"/>
      <c r="H508" s="629"/>
      <c r="I508" s="661"/>
      <c r="J508" s="661"/>
      <c r="K508" s="661"/>
      <c r="L508" s="661"/>
      <c r="M508" s="661"/>
      <c r="N508" s="661"/>
      <c r="O508" s="512"/>
      <c r="P508" s="661"/>
      <c r="Q508" s="512"/>
      <c r="R508"/>
      <c r="S508" s="512"/>
    </row>
    <row r="509" spans="1:23" s="18" customFormat="1" ht="18" customHeight="1">
      <c r="A509" s="1112" t="s">
        <v>199</v>
      </c>
      <c r="B509" s="1112"/>
      <c r="C509" s="1112"/>
      <c r="D509" s="667"/>
      <c r="E509" s="660"/>
      <c r="F509" s="512"/>
      <c r="G509" s="661"/>
      <c r="H509" s="629"/>
      <c r="I509" s="661"/>
      <c r="J509" s="661"/>
      <c r="K509" s="661"/>
      <c r="L509" s="661"/>
      <c r="M509" s="661"/>
      <c r="N509" s="661"/>
      <c r="O509" s="512"/>
      <c r="P509" s="661"/>
      <c r="Q509" s="512"/>
      <c r="R509" s="1112" t="s">
        <v>201</v>
      </c>
      <c r="S509" s="1112"/>
    </row>
    <row r="510" spans="1:23" s="662" customFormat="1" ht="18" customHeight="1">
      <c r="A510" s="668"/>
      <c r="B510" s="668"/>
      <c r="C510" s="668"/>
      <c r="D510" s="668"/>
      <c r="E510"/>
      <c r="G510" s="663"/>
      <c r="H510" s="664"/>
      <c r="I510" s="663"/>
      <c r="J510" s="663"/>
      <c r="K510" s="663"/>
      <c r="L510" s="663"/>
      <c r="M510" s="663"/>
      <c r="N510" s="663"/>
      <c r="P510" s="663"/>
      <c r="R510" s="1172"/>
      <c r="S510" s="1172"/>
    </row>
  </sheetData>
  <mergeCells count="34">
    <mergeCell ref="A509:C509"/>
    <mergeCell ref="R509:S509"/>
    <mergeCell ref="R510:S510"/>
    <mergeCell ref="A11:A12"/>
    <mergeCell ref="E11:E12"/>
    <mergeCell ref="J11:J12"/>
    <mergeCell ref="K11:K12"/>
    <mergeCell ref="L11:L12"/>
    <mergeCell ref="A14:C14"/>
    <mergeCell ref="A500:C500"/>
    <mergeCell ref="T12:T13"/>
    <mergeCell ref="B11:C12"/>
    <mergeCell ref="R503:S503"/>
    <mergeCell ref="S11:S12"/>
    <mergeCell ref="P11:P12"/>
    <mergeCell ref="Q11:Q12"/>
    <mergeCell ref="A504:C504"/>
    <mergeCell ref="R504:S504"/>
    <mergeCell ref="A4:F4"/>
    <mergeCell ref="A5:S5"/>
    <mergeCell ref="A6:S6"/>
    <mergeCell ref="A7:S7"/>
    <mergeCell ref="A8:S8"/>
    <mergeCell ref="F11:G11"/>
    <mergeCell ref="H11:I11"/>
    <mergeCell ref="R11:R12"/>
    <mergeCell ref="A503:C503"/>
    <mergeCell ref="M11:O11"/>
    <mergeCell ref="A1:F1"/>
    <mergeCell ref="P1:S1"/>
    <mergeCell ref="A2:F2"/>
    <mergeCell ref="P2:S2"/>
    <mergeCell ref="A3:F3"/>
    <mergeCell ref="P3:S3"/>
  </mergeCells>
  <conditionalFormatting sqref="D1:D1048576">
    <cfRule type="duplicateValues" dxfId="4004" priority="16" stopIfTrue="1"/>
  </conditionalFormatting>
  <conditionalFormatting sqref="B1:D10 B13:D13">
    <cfRule type="expression" dxfId="4003" priority="28762" stopIfTrue="1">
      <formula>AND(COUNTIF($B$1:$D$10,B1)+COUNTIF($B$13:$D$13,B1)+COUNTIF($B$11:$B$11,B1)&gt;1,NOT(ISBLANK(B1)))</formula>
    </cfRule>
    <cfRule type="expression" dxfId="4002" priority="28763" stopIfTrue="1">
      <formula>AND(COUNTIF($B$1:$D$10,B1)+COUNTIF($B$13:$D$13,B1)+COUNTIF($B$11:$B$11,B1)&gt;1,NOT(ISBLANK(B1)))</formula>
    </cfRule>
    <cfRule type="expression" dxfId="4001" priority="28764" stopIfTrue="1">
      <formula>AND(COUNTIF($B$1:$D$10,B1)+COUNTIF($B$13:$D$13,B1)+COUNTIF($B$11:$B$11,B1)&gt;1,NOT(ISBLANK(B1)))</formula>
    </cfRule>
  </conditionalFormatting>
  <conditionalFormatting sqref="C1:C10 C13:C65536">
    <cfRule type="duplicateValues" dxfId="4000" priority="5" stopIfTrue="1"/>
  </conditionalFormatting>
  <conditionalFormatting sqref="B11">
    <cfRule type="expression" dxfId="3999" priority="65190" stopIfTrue="1">
      <formula>AND(COUNTIF($B$60:$D$60,B11)+COUNTIF($B$13:$D$13,B11)+COUNTIF($B$11:$B$11,B11)+COUNTIF($B$499:$D$499,B11)&gt;1,NOT(ISBLANK(B11)))</formula>
    </cfRule>
    <cfRule type="expression" dxfId="3998" priority="65191" stopIfTrue="1">
      <formula>AND(COUNTIF($B$60:$D$60,B11)+COUNTIF($B$13:$D$13,B11)+COUNTIF($B$11:$B$11,B11)+COUNTIF($B$499:$D$499,B11)&gt;1,NOT(ISBLANK(B11)))</formula>
    </cfRule>
    <cfRule type="expression" dxfId="3997" priority="65192" stopIfTrue="1">
      <formula>AND(COUNTIF($B$60:$D$60,B11)+COUNTIF($B$13:$D$13,B11)+COUNTIF($B$11:$B$11,B11)+COUNTIF($B$499:$D$499,B11)&gt;1,NOT(ISBLANK(B11)))</formula>
    </cfRule>
  </conditionalFormatting>
  <conditionalFormatting sqref="B15:D499">
    <cfRule type="duplicateValues" dxfId="3996" priority="65193" stopIfTrue="1"/>
    <cfRule type="duplicateValues" dxfId="3995" priority="65194" stopIfTrue="1"/>
    <cfRule type="duplicateValues" dxfId="3994" priority="65195" stopIfTrue="1"/>
    <cfRule type="duplicateValues" dxfId="3993" priority="65196" stopIfTrue="1"/>
    <cfRule type="duplicateValues" dxfId="3992" priority="65197" stopIfTrue="1"/>
    <cfRule type="duplicateValues" dxfId="3991" priority="65198" stopIfTrue="1"/>
  </conditionalFormatting>
  <conditionalFormatting sqref="B1:B1048576">
    <cfRule type="duplicateValues" dxfId="3990" priority="1" stopIfTrue="1"/>
  </conditionalFormatting>
  <conditionalFormatting sqref="C1:C10 C13:C65536">
    <cfRule type="duplicateValues" dxfId="3989" priority="65202" stopIfTrue="1"/>
    <cfRule type="duplicateValues" dxfId="3988" priority="65203" stopIfTrue="1"/>
    <cfRule type="duplicateValues" dxfId="3987" priority="65204" stopIfTrue="1"/>
  </conditionalFormatting>
  <printOptions horizontalCentered="1"/>
  <pageMargins left="0.17" right="0.17" top="0.2" bottom="0.17" header="0.17" footer="0.17"/>
  <pageSetup paperSize="9" scale="5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FB306-1DFD-4215-9454-397A9CDF3C6F}">
  <sheetPr>
    <tabColor rgb="FF00B050"/>
  </sheetPr>
  <dimension ref="A1:V58"/>
  <sheetViews>
    <sheetView view="pageBreakPreview" topLeftCell="J37" zoomScale="70" zoomScaleNormal="60" workbookViewId="0">
      <selection activeCell="U52" activeCellId="1" sqref="T52 U52"/>
    </sheetView>
  </sheetViews>
  <sheetFormatPr defaultColWidth="8.69921875" defaultRowHeight="18"/>
  <cols>
    <col min="1" max="1" width="10" style="104" customWidth="1"/>
    <col min="2" max="2" width="20.8984375" style="605" customWidth="1"/>
    <col min="3" max="3" width="24.3984375" style="18" customWidth="1"/>
    <col min="4" max="4" width="15.5" style="104" customWidth="1"/>
    <col min="5" max="5" width="11.19921875" style="104" hidden="1" customWidth="1"/>
    <col min="6" max="6" width="13.59765625" style="104" hidden="1" customWidth="1"/>
    <col min="7" max="7" width="15.19921875" style="104" customWidth="1"/>
    <col min="8" max="8" width="18" style="606" customWidth="1"/>
    <col min="9" max="9" width="18" style="606" hidden="1" customWidth="1"/>
    <col min="10" max="10" width="9.765625E-2" style="607" customWidth="1"/>
    <col min="11" max="11" width="17.3984375" style="607" customWidth="1"/>
    <col min="12" max="12" width="18.3984375" style="104" customWidth="1"/>
    <col min="13" max="13" width="17.5" style="607" customWidth="1"/>
    <col min="14" max="14" width="16.5" style="104" customWidth="1"/>
    <col min="15" max="15" width="19" style="607" customWidth="1"/>
    <col min="16" max="16" width="20.19921875" style="607" customWidth="1"/>
    <col min="17" max="17" width="27.19921875" style="104" customWidth="1"/>
    <col min="18" max="18" width="23.69921875" style="104" customWidth="1"/>
    <col min="19" max="19" width="15.19921875" style="104" customWidth="1"/>
    <col min="20" max="20" width="34.69921875" style="104" customWidth="1"/>
    <col min="21" max="21" width="22.69921875" style="104" customWidth="1"/>
    <col min="22" max="22" width="21.8984375" style="104" customWidth="1"/>
    <col min="23" max="34" width="9" style="104" bestFit="1" customWidth="1"/>
    <col min="35" max="16384" width="8.69921875" style="104"/>
  </cols>
  <sheetData>
    <row r="1" spans="1:19" s="514" customFormat="1" ht="40.200000000000003" customHeight="1">
      <c r="A1" s="1184" t="s">
        <v>1679</v>
      </c>
      <c r="B1" s="1184"/>
      <c r="C1" s="1184"/>
      <c r="D1" s="1184"/>
      <c r="E1" s="1184"/>
      <c r="F1" s="513"/>
      <c r="H1" s="515"/>
      <c r="I1" s="515"/>
      <c r="J1" s="516"/>
      <c r="K1" s="516"/>
      <c r="M1" s="516"/>
      <c r="O1" s="1185" t="s">
        <v>237</v>
      </c>
      <c r="P1" s="1185"/>
      <c r="Q1" s="1185"/>
    </row>
    <row r="2" spans="1:19" s="514" customFormat="1" ht="39.6" customHeight="1">
      <c r="A2" s="1186" t="s">
        <v>177</v>
      </c>
      <c r="B2" s="1186"/>
      <c r="C2" s="1186"/>
      <c r="D2" s="1186"/>
      <c r="E2" s="1186"/>
      <c r="F2" s="517"/>
      <c r="G2" s="518"/>
      <c r="H2" s="519"/>
      <c r="I2" s="519"/>
      <c r="J2" s="520"/>
      <c r="K2" s="520"/>
      <c r="M2" s="516"/>
      <c r="O2" s="1185" t="s">
        <v>209</v>
      </c>
      <c r="P2" s="1185"/>
      <c r="Q2" s="1185"/>
    </row>
    <row r="3" spans="1:19" s="514" customFormat="1" ht="45" customHeight="1">
      <c r="A3" s="1186" t="s">
        <v>1838</v>
      </c>
      <c r="B3" s="1186"/>
      <c r="C3" s="1186"/>
      <c r="D3" s="1186"/>
      <c r="E3" s="1186"/>
      <c r="F3" s="517"/>
      <c r="G3" s="518"/>
      <c r="H3" s="519"/>
      <c r="I3" s="519"/>
      <c r="J3" s="520"/>
      <c r="K3" s="520"/>
      <c r="L3" s="521"/>
      <c r="M3" s="522"/>
      <c r="N3" s="518"/>
      <c r="O3" s="523"/>
      <c r="P3" s="523"/>
      <c r="Q3" s="523"/>
    </row>
    <row r="4" spans="1:19" s="514" customFormat="1" ht="3" customHeight="1">
      <c r="A4" s="1187" t="s">
        <v>178</v>
      </c>
      <c r="B4" s="1187"/>
      <c r="C4" s="1187"/>
      <c r="D4" s="1187"/>
      <c r="E4" s="1187"/>
      <c r="F4" s="517"/>
      <c r="G4" s="518"/>
      <c r="H4" s="519"/>
      <c r="I4" s="519"/>
      <c r="J4" s="520"/>
      <c r="K4" s="520"/>
      <c r="L4" s="521"/>
      <c r="M4" s="522"/>
      <c r="N4" s="518"/>
      <c r="O4" s="524"/>
      <c r="P4" s="524"/>
      <c r="Q4" s="525"/>
    </row>
    <row r="5" spans="1:19" s="514" customFormat="1" ht="49.95" customHeight="1">
      <c r="A5" s="1058" t="s">
        <v>1916</v>
      </c>
      <c r="B5" s="1058"/>
      <c r="C5" s="1058"/>
      <c r="D5" s="1058"/>
      <c r="E5" s="1058"/>
      <c r="F5" s="1058"/>
      <c r="G5" s="1058"/>
      <c r="H5" s="1058"/>
      <c r="I5" s="1058"/>
      <c r="J5" s="1058"/>
      <c r="K5" s="1058"/>
      <c r="L5" s="1058"/>
      <c r="M5" s="1058"/>
      <c r="N5" s="1058"/>
      <c r="O5" s="1058"/>
      <c r="P5" s="1058"/>
      <c r="Q5" s="1058"/>
    </row>
    <row r="6" spans="1:19" s="514" customFormat="1" ht="40.200000000000003" customHeight="1">
      <c r="A6" s="1058" t="str">
        <f>'TTL 1'!A6:S6</f>
        <v>ពីថ្ងៃទី 16-31 ខែ 01 ឆ្នាំ 2026</v>
      </c>
      <c r="B6" s="1058"/>
      <c r="C6" s="1058"/>
      <c r="D6" s="1058"/>
      <c r="E6" s="1058"/>
      <c r="F6" s="1058"/>
      <c r="G6" s="1058"/>
      <c r="H6" s="1058"/>
      <c r="I6" s="1058"/>
      <c r="J6" s="1058"/>
      <c r="K6" s="1058"/>
      <c r="L6" s="1058"/>
      <c r="M6" s="1058"/>
      <c r="N6" s="1058"/>
      <c r="O6" s="1058"/>
      <c r="P6" s="1058"/>
      <c r="Q6" s="1058"/>
    </row>
    <row r="7" spans="1:19" s="97" customFormat="1" ht="31.95" customHeight="1">
      <c r="A7" s="1105" t="s">
        <v>1680</v>
      </c>
      <c r="B7" s="1105"/>
      <c r="C7" s="1105"/>
      <c r="D7" s="1105"/>
      <c r="E7" s="1105"/>
      <c r="F7" s="1105"/>
      <c r="G7" s="1105"/>
      <c r="H7" s="1105"/>
      <c r="I7" s="1105"/>
      <c r="J7" s="1105"/>
      <c r="K7" s="1105"/>
      <c r="L7" s="1105"/>
      <c r="M7" s="1105"/>
      <c r="N7" s="1105"/>
      <c r="O7" s="1105"/>
      <c r="P7" s="1105"/>
      <c r="Q7" s="1105"/>
    </row>
    <row r="8" spans="1:19" s="97" customFormat="1" ht="36.6" customHeight="1">
      <c r="A8" s="1105" t="str">
        <f>'TTL 1'!A8:S8</f>
        <v>TỪ NGÀY 16-31 THÁNG 01 NĂM 2026</v>
      </c>
      <c r="B8" s="1105"/>
      <c r="C8" s="1105"/>
      <c r="D8" s="1105"/>
      <c r="E8" s="1105"/>
      <c r="F8" s="1105"/>
      <c r="G8" s="1105"/>
      <c r="H8" s="1105"/>
      <c r="I8" s="1105"/>
      <c r="J8" s="1105"/>
      <c r="K8" s="1105"/>
      <c r="L8" s="1105"/>
      <c r="M8" s="1105"/>
      <c r="N8" s="1105"/>
      <c r="O8" s="1105"/>
      <c r="P8" s="1105"/>
      <c r="Q8" s="1105"/>
    </row>
    <row r="9" spans="1:19" s="99" customFormat="1" ht="1.95" customHeight="1">
      <c r="A9" s="526"/>
      <c r="B9" s="527"/>
      <c r="C9" s="507"/>
      <c r="D9" s="526"/>
      <c r="E9" s="526"/>
      <c r="F9" s="528"/>
      <c r="G9" s="526"/>
      <c r="H9" s="529"/>
      <c r="I9" s="529"/>
      <c r="J9" s="530"/>
      <c r="K9" s="530"/>
      <c r="L9" s="526"/>
      <c r="M9" s="530"/>
      <c r="N9" s="526"/>
      <c r="O9" s="530"/>
      <c r="P9" s="530"/>
      <c r="Q9" s="528"/>
    </row>
    <row r="10" spans="1:19" s="99" customFormat="1" ht="23.4" customHeight="1">
      <c r="B10" s="531"/>
      <c r="C10" s="98"/>
      <c r="F10" s="532"/>
      <c r="H10" s="533"/>
      <c r="I10" s="533"/>
      <c r="J10" s="534"/>
      <c r="K10" s="534"/>
      <c r="M10" s="534"/>
      <c r="O10" s="534"/>
      <c r="P10" s="535"/>
      <c r="Q10" s="536" t="s">
        <v>1681</v>
      </c>
    </row>
    <row r="11" spans="1:19" s="514" customFormat="1" ht="52.2" customHeight="1">
      <c r="A11" s="1201" t="s">
        <v>1917</v>
      </c>
      <c r="B11" s="1162" t="s">
        <v>1918</v>
      </c>
      <c r="C11" s="1163"/>
      <c r="D11" s="1169" t="s">
        <v>1682</v>
      </c>
      <c r="E11" s="1188" t="s">
        <v>1919</v>
      </c>
      <c r="F11" s="1189"/>
      <c r="G11" s="1188" t="s">
        <v>1920</v>
      </c>
      <c r="H11" s="1189"/>
      <c r="I11" s="1204" t="s">
        <v>196</v>
      </c>
      <c r="J11" s="1169"/>
      <c r="K11" s="1158" t="s">
        <v>1921</v>
      </c>
      <c r="L11" s="1188" t="s">
        <v>1922</v>
      </c>
      <c r="M11" s="1190"/>
      <c r="N11" s="1189"/>
      <c r="O11" s="1158" t="s">
        <v>1684</v>
      </c>
      <c r="P11" s="1158" t="s">
        <v>1923</v>
      </c>
      <c r="Q11" s="1167" t="s">
        <v>1924</v>
      </c>
    </row>
    <row r="12" spans="1:19" s="514" customFormat="1" ht="106.2" customHeight="1">
      <c r="A12" s="1202"/>
      <c r="B12" s="1164"/>
      <c r="C12" s="1165"/>
      <c r="D12" s="1203"/>
      <c r="E12" s="537" t="s">
        <v>1925</v>
      </c>
      <c r="F12" s="538" t="s">
        <v>1926</v>
      </c>
      <c r="G12" s="537" t="s">
        <v>1925</v>
      </c>
      <c r="H12" s="539" t="s">
        <v>1926</v>
      </c>
      <c r="I12" s="1171"/>
      <c r="J12" s="1171"/>
      <c r="K12" s="1159"/>
      <c r="L12" s="540" t="s">
        <v>1927</v>
      </c>
      <c r="M12" s="541" t="s">
        <v>1928</v>
      </c>
      <c r="N12" s="542" t="s">
        <v>1929</v>
      </c>
      <c r="O12" s="1205"/>
      <c r="P12" s="1159"/>
      <c r="Q12" s="1168"/>
    </row>
    <row r="13" spans="1:19" s="99" customFormat="1" ht="29.4" customHeight="1">
      <c r="A13" s="543" t="s">
        <v>70</v>
      </c>
      <c r="B13" s="544"/>
      <c r="C13" s="545" t="s">
        <v>72</v>
      </c>
      <c r="D13" s="546">
        <v>1</v>
      </c>
      <c r="E13" s="546">
        <v>2</v>
      </c>
      <c r="F13" s="547" t="s">
        <v>188</v>
      </c>
      <c r="G13" s="546">
        <v>4</v>
      </c>
      <c r="H13" s="548" t="s">
        <v>1685</v>
      </c>
      <c r="I13" s="548"/>
      <c r="J13" s="549"/>
      <c r="K13" s="549">
        <v>4</v>
      </c>
      <c r="L13" s="550">
        <v>7</v>
      </c>
      <c r="M13" s="551"/>
      <c r="N13" s="550">
        <v>8</v>
      </c>
      <c r="O13" s="551" t="s">
        <v>1686</v>
      </c>
      <c r="P13" s="549">
        <v>5</v>
      </c>
      <c r="Q13" s="552"/>
    </row>
    <row r="14" spans="1:19" s="99" customFormat="1" ht="17.399999999999999" customHeight="1">
      <c r="A14" s="1191"/>
      <c r="B14" s="1192"/>
      <c r="C14" s="1193"/>
      <c r="D14" s="546"/>
      <c r="E14" s="546"/>
      <c r="F14" s="547"/>
      <c r="G14" s="546"/>
      <c r="H14" s="548"/>
      <c r="I14" s="548"/>
      <c r="J14" s="549"/>
      <c r="K14" s="549"/>
      <c r="L14" s="550"/>
      <c r="M14" s="551"/>
      <c r="N14" s="550"/>
      <c r="O14" s="551"/>
      <c r="P14" s="549"/>
      <c r="Q14" s="552"/>
    </row>
    <row r="15" spans="1:19" s="568" customFormat="1" ht="35.4" customHeight="1">
      <c r="A15" s="553">
        <v>485</v>
      </c>
      <c r="B15" s="554" t="str">
        <f>'Tên thang 01-26'!E488</f>
        <v>រួន រ៉ី</v>
      </c>
      <c r="C15" s="554" t="str">
        <f>'Tên thang 01-26'!F488</f>
        <v>RUON RY</v>
      </c>
      <c r="D15" s="555">
        <v>31947</v>
      </c>
      <c r="E15" s="556"/>
      <c r="F15" s="557">
        <f>ROUND(E15*D15,0)</f>
        <v>0</v>
      </c>
      <c r="G15" s="558">
        <f>'KL 2'!AB17</f>
        <v>52.540000000000006</v>
      </c>
      <c r="H15" s="559">
        <f>ROUND(G15*D15,0)</f>
        <v>1678495</v>
      </c>
      <c r="I15" s="560"/>
      <c r="J15" s="561"/>
      <c r="K15" s="562">
        <f>F15+H15+J15+I15</f>
        <v>1678495</v>
      </c>
      <c r="L15" s="563">
        <f t="shared" ref="L15:L43" si="0">F15</f>
        <v>0</v>
      </c>
      <c r="M15" s="564">
        <f t="shared" ref="M15:M43" si="1">IF(K15&lt;=400000,400000*2%,IF(K15&lt;=1200000,ROUND(K15*2%,0),ROUND(1200000*2%,0)))</f>
        <v>24000</v>
      </c>
      <c r="N15" s="565">
        <f>ROUND(IF((K15-(J15+M15))&lt;=1500000,0,IF(AND((K15-(J15+M15))&gt;1500000,(K15-(J15+M15))&lt;=2000000),(K15-(J15+M15))*5%-75000,IF(AND((K15-(J15+M15))&gt;2000000,(K15-(J15+M15))&lt;=8500000),(K15-(J15+M15))*10%-175000))),0)</f>
        <v>7725</v>
      </c>
      <c r="O15" s="566">
        <f>SUM(L15:N15)</f>
        <v>31725</v>
      </c>
      <c r="P15" s="555">
        <f>K15-O15</f>
        <v>1646770</v>
      </c>
      <c r="Q15" s="567"/>
      <c r="R15" s="568">
        <v>1608205</v>
      </c>
      <c r="S15" s="569"/>
    </row>
    <row r="16" spans="1:19" s="568" customFormat="1" ht="35.4" customHeight="1">
      <c r="A16" s="553">
        <v>486</v>
      </c>
      <c r="B16" s="554" t="str">
        <f>'Tên thang 01-26'!E489</f>
        <v>ជិន ឡូត</v>
      </c>
      <c r="C16" s="554" t="str">
        <f>'Tên thang 01-26'!F489</f>
        <v>CHIN LOUT</v>
      </c>
      <c r="D16" s="555">
        <v>31947</v>
      </c>
      <c r="E16" s="556"/>
      <c r="F16" s="557">
        <f t="shared" ref="F16:F33" si="2">ROUND(E16*D16,0)</f>
        <v>0</v>
      </c>
      <c r="G16" s="558">
        <f>'KL 2'!AB18</f>
        <v>52.540000000000006</v>
      </c>
      <c r="H16" s="559">
        <f t="shared" ref="H16:H42" si="3">ROUND(G16*D16,0)</f>
        <v>1678495</v>
      </c>
      <c r="I16" s="560"/>
      <c r="J16" s="561"/>
      <c r="K16" s="562">
        <f t="shared" ref="K16:K43" si="4">F16+H16+J16+I16</f>
        <v>1678495</v>
      </c>
      <c r="L16" s="563">
        <f t="shared" si="0"/>
        <v>0</v>
      </c>
      <c r="M16" s="564">
        <f t="shared" si="1"/>
        <v>24000</v>
      </c>
      <c r="N16" s="565">
        <f t="shared" ref="N16:N43" si="5">ROUND(IF((K16-(J16+M16))&lt;=1500000,0,IF(AND((K16-(J16+M16))&gt;1500000,(K16-(J16+M16))&lt;=2000000),(K16-(J16+M16))*5%-75000,IF(AND((K16-(J16+M16))&gt;2000000,(K16-(J16+M16))&lt;=8500000),(K16-(J16+M16))*10%-175000))),0)</f>
        <v>7725</v>
      </c>
      <c r="O16" s="566">
        <f t="shared" ref="O16:O43" si="6">SUM(L16:N16)</f>
        <v>31725</v>
      </c>
      <c r="P16" s="555">
        <f t="shared" ref="P16:P43" si="7">K16-O16</f>
        <v>1646770</v>
      </c>
      <c r="Q16" s="567"/>
      <c r="R16" s="568">
        <v>1725055</v>
      </c>
      <c r="S16" s="569"/>
    </row>
    <row r="17" spans="1:20" s="568" customFormat="1" ht="35.4" customHeight="1">
      <c r="A17" s="553">
        <v>487</v>
      </c>
      <c r="B17" s="554" t="str">
        <f>'Tên thang 01-26'!E490</f>
        <v>ឈីន ឈេន</v>
      </c>
      <c r="C17" s="554" t="str">
        <f>'Tên thang 01-26'!F490</f>
        <v>CHHIN CHHEN</v>
      </c>
      <c r="D17" s="555">
        <v>31947</v>
      </c>
      <c r="E17" s="556"/>
      <c r="F17" s="557">
        <f t="shared" si="2"/>
        <v>0</v>
      </c>
      <c r="G17" s="558">
        <f>'KL 2'!AB19</f>
        <v>52.540000000000006</v>
      </c>
      <c r="H17" s="559">
        <f t="shared" si="3"/>
        <v>1678495</v>
      </c>
      <c r="I17" s="560"/>
      <c r="J17" s="561"/>
      <c r="K17" s="562">
        <f t="shared" si="4"/>
        <v>1678495</v>
      </c>
      <c r="L17" s="563">
        <f t="shared" si="0"/>
        <v>0</v>
      </c>
      <c r="M17" s="564">
        <f t="shared" si="1"/>
        <v>24000</v>
      </c>
      <c r="N17" s="565">
        <f t="shared" si="5"/>
        <v>7725</v>
      </c>
      <c r="O17" s="566">
        <f t="shared" si="6"/>
        <v>31725</v>
      </c>
      <c r="P17" s="555">
        <f t="shared" si="7"/>
        <v>1646770</v>
      </c>
      <c r="Q17" s="567"/>
      <c r="R17" s="568">
        <v>1691187</v>
      </c>
      <c r="S17" s="569"/>
    </row>
    <row r="18" spans="1:20" s="568" customFormat="1" ht="35.4" customHeight="1">
      <c r="A18" s="553">
        <v>488</v>
      </c>
      <c r="B18" s="554" t="str">
        <f>'Tên thang 01-26'!E491</f>
        <v>សួរ សុខេង</v>
      </c>
      <c r="C18" s="554" t="str">
        <f>'Tên thang 01-26'!F491</f>
        <v>SOUR SOKKHENG</v>
      </c>
      <c r="D18" s="555">
        <v>31947</v>
      </c>
      <c r="E18" s="556"/>
      <c r="F18" s="557">
        <f t="shared" si="2"/>
        <v>0</v>
      </c>
      <c r="G18" s="558">
        <f>'KL 2'!AB20</f>
        <v>52.540000000000006</v>
      </c>
      <c r="H18" s="559">
        <f t="shared" si="3"/>
        <v>1678495</v>
      </c>
      <c r="I18" s="560"/>
      <c r="J18" s="561"/>
      <c r="K18" s="562">
        <f t="shared" si="4"/>
        <v>1678495</v>
      </c>
      <c r="L18" s="563">
        <f t="shared" si="0"/>
        <v>0</v>
      </c>
      <c r="M18" s="564">
        <f t="shared" si="1"/>
        <v>24000</v>
      </c>
      <c r="N18" s="565">
        <f t="shared" si="5"/>
        <v>7725</v>
      </c>
      <c r="O18" s="566">
        <f t="shared" si="6"/>
        <v>31725</v>
      </c>
      <c r="P18" s="555">
        <f t="shared" si="7"/>
        <v>1646770</v>
      </c>
      <c r="Q18" s="567"/>
      <c r="R18" s="568">
        <v>1732227</v>
      </c>
      <c r="S18" s="569"/>
    </row>
    <row r="19" spans="1:20" s="568" customFormat="1" ht="35.4" customHeight="1">
      <c r="A19" s="553">
        <v>489</v>
      </c>
      <c r="B19" s="554" t="str">
        <f>'Tên thang 01-26'!E492</f>
        <v>ឈួន ជឿន</v>
      </c>
      <c r="C19" s="554" t="str">
        <f>'Tên thang 01-26'!F492</f>
        <v>CHHOUN CHOEUN</v>
      </c>
      <c r="D19" s="555">
        <v>31947</v>
      </c>
      <c r="E19" s="556"/>
      <c r="F19" s="557">
        <f t="shared" si="2"/>
        <v>0</v>
      </c>
      <c r="G19" s="558">
        <f>'KL 2'!AB21</f>
        <v>48.790000000000006</v>
      </c>
      <c r="H19" s="559">
        <f t="shared" si="3"/>
        <v>1558694</v>
      </c>
      <c r="I19" s="560"/>
      <c r="J19" s="561"/>
      <c r="K19" s="562">
        <f t="shared" si="4"/>
        <v>1558694</v>
      </c>
      <c r="L19" s="563">
        <f t="shared" si="0"/>
        <v>0</v>
      </c>
      <c r="M19" s="564">
        <f t="shared" si="1"/>
        <v>24000</v>
      </c>
      <c r="N19" s="565">
        <f t="shared" si="5"/>
        <v>1735</v>
      </c>
      <c r="O19" s="566">
        <f t="shared" si="6"/>
        <v>25735</v>
      </c>
      <c r="P19" s="555">
        <f t="shared" si="7"/>
        <v>1532959</v>
      </c>
      <c r="Q19" s="567"/>
      <c r="R19" s="568">
        <v>1574765</v>
      </c>
      <c r="S19" s="569"/>
    </row>
    <row r="20" spans="1:20" s="568" customFormat="1" ht="35.4" customHeight="1">
      <c r="A20" s="553">
        <v>490</v>
      </c>
      <c r="B20" s="554" t="str">
        <f>'Tên thang 01-26'!E493</f>
        <v>ឈិត លេញ</v>
      </c>
      <c r="C20" s="554" t="str">
        <f>'Tên thang 01-26'!F493</f>
        <v>CHHIT LENH</v>
      </c>
      <c r="D20" s="555">
        <v>31947</v>
      </c>
      <c r="E20" s="556"/>
      <c r="F20" s="557">
        <f t="shared" si="2"/>
        <v>0</v>
      </c>
      <c r="G20" s="558">
        <f>'KL 2'!AB22</f>
        <v>51.290000000000006</v>
      </c>
      <c r="H20" s="559">
        <f t="shared" si="3"/>
        <v>1638562</v>
      </c>
      <c r="I20" s="560"/>
      <c r="J20" s="561"/>
      <c r="K20" s="562">
        <f t="shared" si="4"/>
        <v>1638562</v>
      </c>
      <c r="L20" s="563">
        <f t="shared" si="0"/>
        <v>0</v>
      </c>
      <c r="M20" s="564">
        <f t="shared" si="1"/>
        <v>24000</v>
      </c>
      <c r="N20" s="565">
        <f t="shared" si="5"/>
        <v>5728</v>
      </c>
      <c r="O20" s="566">
        <f t="shared" si="6"/>
        <v>29728</v>
      </c>
      <c r="P20" s="555">
        <f t="shared" si="7"/>
        <v>1608834</v>
      </c>
      <c r="Q20" s="567"/>
      <c r="R20" s="568">
        <v>1595427</v>
      </c>
      <c r="S20" s="569"/>
    </row>
    <row r="21" spans="1:20" s="568" customFormat="1" ht="35.4" customHeight="1">
      <c r="A21" s="553">
        <v>491</v>
      </c>
      <c r="B21" s="554" t="str">
        <f>'Tên thang 01-26'!E494</f>
        <v>ប៊ើង សំអាង</v>
      </c>
      <c r="C21" s="554" t="str">
        <f>'Tên thang 01-26'!F494</f>
        <v>BOEUNG SAMANG</v>
      </c>
      <c r="D21" s="555">
        <v>31947</v>
      </c>
      <c r="E21" s="556"/>
      <c r="F21" s="557">
        <f t="shared" si="2"/>
        <v>0</v>
      </c>
      <c r="G21" s="558">
        <f>'KL 2'!AB23</f>
        <v>47.53</v>
      </c>
      <c r="H21" s="559">
        <f t="shared" si="3"/>
        <v>1518441</v>
      </c>
      <c r="I21" s="560"/>
      <c r="J21" s="561"/>
      <c r="K21" s="562">
        <f t="shared" si="4"/>
        <v>1518441</v>
      </c>
      <c r="L21" s="563">
        <f t="shared" si="0"/>
        <v>0</v>
      </c>
      <c r="M21" s="564">
        <f t="shared" si="1"/>
        <v>24000</v>
      </c>
      <c r="N21" s="565">
        <f t="shared" si="5"/>
        <v>0</v>
      </c>
      <c r="O21" s="566">
        <f t="shared" si="6"/>
        <v>24000</v>
      </c>
      <c r="P21" s="555">
        <f t="shared" si="7"/>
        <v>1494441</v>
      </c>
      <c r="Q21" s="567"/>
      <c r="R21" s="568">
        <v>1496000</v>
      </c>
      <c r="S21" s="569"/>
    </row>
    <row r="22" spans="1:20" s="568" customFormat="1" ht="35.4" customHeight="1">
      <c r="A22" s="553">
        <v>492</v>
      </c>
      <c r="B22" s="554" t="str">
        <f>'Tên thang 01-26'!E495</f>
        <v>ឆាន វុទ្ធី</v>
      </c>
      <c r="C22" s="554" t="str">
        <f>'Tên thang 01-26'!F495</f>
        <v>CHHAN VUTHY</v>
      </c>
      <c r="D22" s="555">
        <v>31947</v>
      </c>
      <c r="E22" s="556"/>
      <c r="F22" s="557">
        <f t="shared" si="2"/>
        <v>0</v>
      </c>
      <c r="G22" s="558">
        <f>'KL 2'!AB24</f>
        <v>52.540000000000006</v>
      </c>
      <c r="H22" s="559">
        <f t="shared" si="3"/>
        <v>1678495</v>
      </c>
      <c r="I22" s="560"/>
      <c r="J22" s="561"/>
      <c r="K22" s="562">
        <f t="shared" si="4"/>
        <v>1678495</v>
      </c>
      <c r="L22" s="563">
        <f t="shared" si="0"/>
        <v>0</v>
      </c>
      <c r="M22" s="564">
        <f t="shared" si="1"/>
        <v>24000</v>
      </c>
      <c r="N22" s="565">
        <f t="shared" si="5"/>
        <v>7725</v>
      </c>
      <c r="O22" s="566">
        <f t="shared" si="6"/>
        <v>31725</v>
      </c>
      <c r="P22" s="555">
        <f t="shared" si="7"/>
        <v>1646770</v>
      </c>
      <c r="Q22" s="567"/>
      <c r="R22" s="568">
        <v>1508217</v>
      </c>
      <c r="S22" s="569"/>
    </row>
    <row r="23" spans="1:20" s="568" customFormat="1" ht="35.4" customHeight="1">
      <c r="A23" s="553">
        <v>493</v>
      </c>
      <c r="B23" s="554" t="str">
        <f>'Tên thang 01-26'!E496</f>
        <v>ញ៉ សុខា</v>
      </c>
      <c r="C23" s="554" t="str">
        <f>'Tên thang 01-26'!F496</f>
        <v>NHOR SOKHA</v>
      </c>
      <c r="D23" s="555">
        <v>31947</v>
      </c>
      <c r="E23" s="556"/>
      <c r="F23" s="557">
        <f t="shared" si="2"/>
        <v>0</v>
      </c>
      <c r="G23" s="558">
        <f>'KL 2'!AB25</f>
        <v>52.540000000000006</v>
      </c>
      <c r="H23" s="559">
        <f t="shared" si="3"/>
        <v>1678495</v>
      </c>
      <c r="I23" s="560"/>
      <c r="J23" s="561"/>
      <c r="K23" s="562">
        <f t="shared" si="4"/>
        <v>1678495</v>
      </c>
      <c r="L23" s="563">
        <f t="shared" si="0"/>
        <v>0</v>
      </c>
      <c r="M23" s="564">
        <f t="shared" si="1"/>
        <v>24000</v>
      </c>
      <c r="N23" s="565">
        <f t="shared" si="5"/>
        <v>7725</v>
      </c>
      <c r="O23" s="566">
        <f t="shared" si="6"/>
        <v>31725</v>
      </c>
      <c r="P23" s="555">
        <f t="shared" si="7"/>
        <v>1646770</v>
      </c>
      <c r="Q23" s="567"/>
      <c r="R23" s="568">
        <v>1515675</v>
      </c>
      <c r="S23" s="569"/>
    </row>
    <row r="24" spans="1:20" s="568" customFormat="1" ht="35.4" customHeight="1">
      <c r="A24" s="553">
        <v>494</v>
      </c>
      <c r="B24" s="554" t="str">
        <f>'Tên thang 01-26'!E497</f>
        <v>ឡឹក ឡូត</v>
      </c>
      <c r="C24" s="554" t="str">
        <f>'Tên thang 01-26'!F497</f>
        <v>LOEK LOTH</v>
      </c>
      <c r="D24" s="555">
        <v>31947</v>
      </c>
      <c r="E24" s="556"/>
      <c r="F24" s="557">
        <f t="shared" si="2"/>
        <v>0</v>
      </c>
      <c r="G24" s="558">
        <f>'KL 2'!AB26</f>
        <v>52.55</v>
      </c>
      <c r="H24" s="559">
        <f t="shared" si="3"/>
        <v>1678815</v>
      </c>
      <c r="I24" s="560"/>
      <c r="J24" s="561"/>
      <c r="K24" s="562">
        <f t="shared" si="4"/>
        <v>1678815</v>
      </c>
      <c r="L24" s="563">
        <f t="shared" si="0"/>
        <v>0</v>
      </c>
      <c r="M24" s="564">
        <f t="shared" si="1"/>
        <v>24000</v>
      </c>
      <c r="N24" s="565">
        <f t="shared" si="5"/>
        <v>7741</v>
      </c>
      <c r="O24" s="566">
        <f t="shared" si="6"/>
        <v>31741</v>
      </c>
      <c r="P24" s="555">
        <f t="shared" si="7"/>
        <v>1647074</v>
      </c>
      <c r="Q24" s="567"/>
      <c r="R24" s="568">
        <v>1440500</v>
      </c>
      <c r="S24" s="569"/>
    </row>
    <row r="25" spans="1:20" s="568" customFormat="1" ht="35.4" customHeight="1">
      <c r="A25" s="553">
        <v>495</v>
      </c>
      <c r="B25" s="554" t="str">
        <f>'Tên thang 01-26'!E498</f>
        <v>សាយ លាន</v>
      </c>
      <c r="C25" s="554" t="str">
        <f>'Tên thang 01-26'!F498</f>
        <v>SAY LEAN</v>
      </c>
      <c r="D25" s="555">
        <v>31947</v>
      </c>
      <c r="E25" s="556"/>
      <c r="F25" s="557">
        <f t="shared" si="2"/>
        <v>0</v>
      </c>
      <c r="G25" s="558">
        <f>'KL 2'!AB27</f>
        <v>47.784999999999997</v>
      </c>
      <c r="H25" s="559">
        <f t="shared" si="3"/>
        <v>1526587</v>
      </c>
      <c r="I25" s="560"/>
      <c r="J25" s="561"/>
      <c r="K25" s="562">
        <f t="shared" si="4"/>
        <v>1526587</v>
      </c>
      <c r="L25" s="563">
        <f t="shared" si="0"/>
        <v>0</v>
      </c>
      <c r="M25" s="564">
        <f t="shared" si="1"/>
        <v>24000</v>
      </c>
      <c r="N25" s="565">
        <f t="shared" si="5"/>
        <v>129</v>
      </c>
      <c r="O25" s="566">
        <f t="shared" si="6"/>
        <v>24129</v>
      </c>
      <c r="P25" s="555">
        <f t="shared" si="7"/>
        <v>1502458</v>
      </c>
      <c r="Q25" s="567"/>
      <c r="S25" s="569"/>
    </row>
    <row r="26" spans="1:20" s="568" customFormat="1" ht="35.4" customHeight="1">
      <c r="A26" s="553">
        <v>496</v>
      </c>
      <c r="B26" s="554" t="str">
        <f>'Tên thang 01-26'!E499</f>
        <v>ឡន លីន</v>
      </c>
      <c r="C26" s="554" t="str">
        <f>'Tên thang 01-26'!F499</f>
        <v>LORN LIN</v>
      </c>
      <c r="D26" s="555">
        <v>31947</v>
      </c>
      <c r="E26" s="556"/>
      <c r="F26" s="557">
        <f t="shared" si="2"/>
        <v>0</v>
      </c>
      <c r="G26" s="558">
        <f>'KL 2'!AB28</f>
        <v>47.784999999999997</v>
      </c>
      <c r="H26" s="559">
        <f t="shared" si="3"/>
        <v>1526587</v>
      </c>
      <c r="I26" s="560"/>
      <c r="J26" s="561"/>
      <c r="K26" s="562">
        <f t="shared" si="4"/>
        <v>1526587</v>
      </c>
      <c r="L26" s="563">
        <f t="shared" si="0"/>
        <v>0</v>
      </c>
      <c r="M26" s="564">
        <f t="shared" si="1"/>
        <v>24000</v>
      </c>
      <c r="N26" s="565">
        <f t="shared" si="5"/>
        <v>129</v>
      </c>
      <c r="O26" s="566">
        <f t="shared" si="6"/>
        <v>24129</v>
      </c>
      <c r="P26" s="555">
        <f t="shared" si="7"/>
        <v>1502458</v>
      </c>
      <c r="Q26" s="567"/>
      <c r="S26" s="569"/>
    </row>
    <row r="27" spans="1:20" s="568" customFormat="1" ht="35.4" customHeight="1">
      <c r="A27" s="553">
        <v>497</v>
      </c>
      <c r="B27" s="554" t="str">
        <f>'Tên thang 01-26'!E500</f>
        <v>ជន ចេន​</v>
      </c>
      <c r="C27" s="554" t="str">
        <f>'Tên thang 01-26'!F500</f>
        <v>CHON CHEN</v>
      </c>
      <c r="D27" s="555">
        <v>31947</v>
      </c>
      <c r="E27" s="556"/>
      <c r="F27" s="557">
        <f t="shared" si="2"/>
        <v>0</v>
      </c>
      <c r="G27" s="558">
        <f>'KL 2'!AB29</f>
        <v>47.784999999999997</v>
      </c>
      <c r="H27" s="559">
        <f t="shared" si="3"/>
        <v>1526587</v>
      </c>
      <c r="I27" s="560"/>
      <c r="J27" s="561"/>
      <c r="K27" s="562">
        <f t="shared" si="4"/>
        <v>1526587</v>
      </c>
      <c r="L27" s="563">
        <f t="shared" si="0"/>
        <v>0</v>
      </c>
      <c r="M27" s="564">
        <f t="shared" si="1"/>
        <v>24000</v>
      </c>
      <c r="N27" s="565">
        <f t="shared" si="5"/>
        <v>129</v>
      </c>
      <c r="O27" s="566">
        <f t="shared" si="6"/>
        <v>24129</v>
      </c>
      <c r="P27" s="555">
        <f t="shared" si="7"/>
        <v>1502458</v>
      </c>
      <c r="Q27" s="567"/>
      <c r="S27" s="569"/>
    </row>
    <row r="28" spans="1:20" s="568" customFormat="1" ht="35.4" customHeight="1">
      <c r="A28" s="553">
        <v>498</v>
      </c>
      <c r="B28" s="554" t="str">
        <f>'Tên thang 01-26'!E501</f>
        <v>ហាន ញូស</v>
      </c>
      <c r="C28" s="554" t="str">
        <f>'Tên thang 01-26'!F501</f>
        <v>HAN NHOUSH</v>
      </c>
      <c r="D28" s="555">
        <v>31947</v>
      </c>
      <c r="E28" s="556"/>
      <c r="F28" s="557">
        <f t="shared" si="2"/>
        <v>0</v>
      </c>
      <c r="G28" s="558">
        <f>'KL 2'!AB30</f>
        <v>47.784999999999997</v>
      </c>
      <c r="H28" s="559">
        <f t="shared" si="3"/>
        <v>1526587</v>
      </c>
      <c r="I28" s="560"/>
      <c r="J28" s="561"/>
      <c r="K28" s="562">
        <f t="shared" si="4"/>
        <v>1526587</v>
      </c>
      <c r="L28" s="563">
        <f t="shared" si="0"/>
        <v>0</v>
      </c>
      <c r="M28" s="564">
        <f t="shared" si="1"/>
        <v>24000</v>
      </c>
      <c r="N28" s="565">
        <f t="shared" si="5"/>
        <v>129</v>
      </c>
      <c r="O28" s="566">
        <f t="shared" si="6"/>
        <v>24129</v>
      </c>
      <c r="P28" s="555">
        <f t="shared" si="7"/>
        <v>1502458</v>
      </c>
      <c r="Q28" s="567"/>
      <c r="S28" s="569"/>
    </row>
    <row r="29" spans="1:20" s="568" customFormat="1" ht="35.4" customHeight="1">
      <c r="A29" s="553">
        <v>499</v>
      </c>
      <c r="B29" s="554" t="str">
        <f>'Tên thang 01-26'!E502</f>
        <v>ផន អូន</v>
      </c>
      <c r="C29" s="554" t="str">
        <f>'Tên thang 01-26'!F502</f>
        <v>PHORN OUN</v>
      </c>
      <c r="D29" s="555">
        <v>31947</v>
      </c>
      <c r="E29" s="556"/>
      <c r="F29" s="557">
        <f t="shared" si="2"/>
        <v>0</v>
      </c>
      <c r="G29" s="558">
        <f>'KL 2'!AB31</f>
        <v>47.784999999999997</v>
      </c>
      <c r="H29" s="559">
        <f t="shared" si="3"/>
        <v>1526587</v>
      </c>
      <c r="I29" s="560"/>
      <c r="J29" s="561"/>
      <c r="K29" s="562">
        <f t="shared" si="4"/>
        <v>1526587</v>
      </c>
      <c r="L29" s="563">
        <f t="shared" si="0"/>
        <v>0</v>
      </c>
      <c r="M29" s="564">
        <f t="shared" si="1"/>
        <v>24000</v>
      </c>
      <c r="N29" s="565">
        <f t="shared" si="5"/>
        <v>129</v>
      </c>
      <c r="O29" s="566">
        <f t="shared" si="6"/>
        <v>24129</v>
      </c>
      <c r="P29" s="555">
        <f t="shared" si="7"/>
        <v>1502458</v>
      </c>
      <c r="Q29" s="567"/>
      <c r="S29" s="569"/>
    </row>
    <row r="30" spans="1:20" s="568" customFormat="1" ht="35.4" customHeight="1">
      <c r="A30" s="553">
        <v>500</v>
      </c>
      <c r="B30" s="554" t="str">
        <f>'Tên thang 01-26'!E503</f>
        <v>ផន មើន</v>
      </c>
      <c r="C30" s="554" t="str">
        <f>'Tên thang 01-26'!F503</f>
        <v>PHAN MOEUN</v>
      </c>
      <c r="D30" s="555">
        <v>31947</v>
      </c>
      <c r="E30" s="556"/>
      <c r="F30" s="557">
        <f t="shared" si="2"/>
        <v>0</v>
      </c>
      <c r="G30" s="558">
        <f>'KL 2'!AB32</f>
        <v>47.894999999999996</v>
      </c>
      <c r="H30" s="559">
        <f t="shared" si="3"/>
        <v>1530102</v>
      </c>
      <c r="I30" s="559"/>
      <c r="J30" s="570"/>
      <c r="K30" s="562">
        <f t="shared" si="4"/>
        <v>1530102</v>
      </c>
      <c r="L30" s="563">
        <f t="shared" si="0"/>
        <v>0</v>
      </c>
      <c r="M30" s="564">
        <f t="shared" si="1"/>
        <v>24000</v>
      </c>
      <c r="N30" s="565">
        <f t="shared" si="5"/>
        <v>305</v>
      </c>
      <c r="O30" s="566">
        <f t="shared" si="6"/>
        <v>24305</v>
      </c>
      <c r="P30" s="555">
        <f t="shared" si="7"/>
        <v>1505797</v>
      </c>
      <c r="Q30" s="567"/>
      <c r="S30" s="569"/>
      <c r="T30" s="571">
        <f>7108.7*30456</f>
        <v>216502567.19999999</v>
      </c>
    </row>
    <row r="31" spans="1:20" s="568" customFormat="1" ht="35.4" customHeight="1">
      <c r="A31" s="553">
        <v>501</v>
      </c>
      <c r="B31" s="554" t="str">
        <f>'Tên thang 01-26'!E504</f>
        <v>ឡិក វិញ</v>
      </c>
      <c r="C31" s="554" t="str">
        <f>'Tên thang 01-26'!F504</f>
        <v>LEK VINH</v>
      </c>
      <c r="D31" s="555">
        <v>31947</v>
      </c>
      <c r="E31" s="556"/>
      <c r="F31" s="557">
        <f t="shared" si="2"/>
        <v>0</v>
      </c>
      <c r="G31" s="558">
        <f>'KL 2'!AB33</f>
        <v>47.894999999999996</v>
      </c>
      <c r="H31" s="559">
        <f t="shared" si="3"/>
        <v>1530102</v>
      </c>
      <c r="I31" s="559"/>
      <c r="J31" s="570"/>
      <c r="K31" s="562">
        <f t="shared" si="4"/>
        <v>1530102</v>
      </c>
      <c r="L31" s="563">
        <f t="shared" si="0"/>
        <v>0</v>
      </c>
      <c r="M31" s="564">
        <f t="shared" si="1"/>
        <v>24000</v>
      </c>
      <c r="N31" s="565">
        <f t="shared" si="5"/>
        <v>305</v>
      </c>
      <c r="O31" s="566">
        <f t="shared" si="6"/>
        <v>24305</v>
      </c>
      <c r="P31" s="555">
        <f t="shared" si="7"/>
        <v>1505797</v>
      </c>
      <c r="Q31" s="567"/>
      <c r="S31" s="569"/>
    </row>
    <row r="32" spans="1:20" s="568" customFormat="1" ht="35.4" customHeight="1">
      <c r="A32" s="553">
        <v>502</v>
      </c>
      <c r="B32" s="554" t="str">
        <f>'Tên thang 01-26'!E505</f>
        <v>បៀង ពេច្រ</v>
      </c>
      <c r="C32" s="554" t="str">
        <f>'Tên thang 01-26'!F505</f>
        <v>BEANG PECH</v>
      </c>
      <c r="D32" s="555">
        <v>31947</v>
      </c>
      <c r="E32" s="556"/>
      <c r="F32" s="557">
        <f t="shared" si="2"/>
        <v>0</v>
      </c>
      <c r="G32" s="558">
        <f>'KL 2'!AB34</f>
        <v>47.894999999999996</v>
      </c>
      <c r="H32" s="559">
        <f t="shared" si="3"/>
        <v>1530102</v>
      </c>
      <c r="I32" s="559"/>
      <c r="J32" s="570"/>
      <c r="K32" s="562">
        <f t="shared" si="4"/>
        <v>1530102</v>
      </c>
      <c r="L32" s="563">
        <f t="shared" si="0"/>
        <v>0</v>
      </c>
      <c r="M32" s="564">
        <f t="shared" si="1"/>
        <v>24000</v>
      </c>
      <c r="N32" s="565">
        <f t="shared" si="5"/>
        <v>305</v>
      </c>
      <c r="O32" s="566">
        <f t="shared" si="6"/>
        <v>24305</v>
      </c>
      <c r="P32" s="555">
        <f t="shared" si="7"/>
        <v>1505797</v>
      </c>
      <c r="Q32" s="567"/>
      <c r="S32" s="569"/>
    </row>
    <row r="33" spans="1:22" s="568" customFormat="1" ht="35.4" customHeight="1">
      <c r="A33" s="553">
        <v>503</v>
      </c>
      <c r="B33" s="554" t="str">
        <f>'Tên thang 01-26'!E506</f>
        <v>ជូន ជឿត</v>
      </c>
      <c r="C33" s="554" t="str">
        <f>'Tên thang 01-26'!F506</f>
        <v>CHUON CHOEURT</v>
      </c>
      <c r="D33" s="555">
        <v>31947</v>
      </c>
      <c r="E33" s="556"/>
      <c r="F33" s="557">
        <f t="shared" si="2"/>
        <v>0</v>
      </c>
      <c r="G33" s="558">
        <f>'KL 2'!AB35</f>
        <v>47.894999999999996</v>
      </c>
      <c r="H33" s="559">
        <f t="shared" si="3"/>
        <v>1530102</v>
      </c>
      <c r="I33" s="559"/>
      <c r="J33" s="570"/>
      <c r="K33" s="562">
        <f t="shared" si="4"/>
        <v>1530102</v>
      </c>
      <c r="L33" s="563">
        <f t="shared" si="0"/>
        <v>0</v>
      </c>
      <c r="M33" s="564">
        <f t="shared" si="1"/>
        <v>24000</v>
      </c>
      <c r="N33" s="565">
        <f t="shared" si="5"/>
        <v>305</v>
      </c>
      <c r="O33" s="566">
        <f t="shared" si="6"/>
        <v>24305</v>
      </c>
      <c r="P33" s="555">
        <f t="shared" si="7"/>
        <v>1505797</v>
      </c>
      <c r="Q33" s="567"/>
      <c r="R33" s="572"/>
      <c r="S33" s="573"/>
      <c r="T33" s="574" t="e">
        <f>'TTL 1'!O500+#REF!+#REF!+#REF!+#REF!+#REF!+#REF!+#REF!+#REF!+#REF!+#REF!+#REF!</f>
        <v>#REF!</v>
      </c>
      <c r="U33" s="575" t="e">
        <f>'TTL 1'!F500+#REF!+#REF!+#REF!+#REF!+#REF!+#REF!+#REF!+#REF!+#REF!+#REF!</f>
        <v>#REF!</v>
      </c>
      <c r="V33" s="571"/>
    </row>
    <row r="34" spans="1:22" s="568" customFormat="1" ht="35.4" customHeight="1">
      <c r="A34" s="553">
        <v>504</v>
      </c>
      <c r="B34" s="554" t="str">
        <f>'Tên thang 01-26'!E507</f>
        <v>ធឹម លិញ</v>
      </c>
      <c r="C34" s="554" t="str">
        <f>'Tên thang 01-26'!F507</f>
        <v>THOEM LENH</v>
      </c>
      <c r="D34" s="555">
        <v>31947</v>
      </c>
      <c r="E34" s="556"/>
      <c r="F34" s="557"/>
      <c r="G34" s="558">
        <f>'KL 2'!AB36</f>
        <v>47.894999999999996</v>
      </c>
      <c r="H34" s="559">
        <f t="shared" si="3"/>
        <v>1530102</v>
      </c>
      <c r="I34" s="559"/>
      <c r="J34" s="570"/>
      <c r="K34" s="562">
        <f t="shared" si="4"/>
        <v>1530102</v>
      </c>
      <c r="L34" s="563">
        <f t="shared" si="0"/>
        <v>0</v>
      </c>
      <c r="M34" s="564">
        <f t="shared" si="1"/>
        <v>24000</v>
      </c>
      <c r="N34" s="565">
        <f t="shared" si="5"/>
        <v>305</v>
      </c>
      <c r="O34" s="566">
        <f t="shared" si="6"/>
        <v>24305</v>
      </c>
      <c r="P34" s="555">
        <f t="shared" si="7"/>
        <v>1505797</v>
      </c>
      <c r="Q34" s="567"/>
      <c r="S34" s="569"/>
      <c r="T34" s="576" t="s">
        <v>1687</v>
      </c>
      <c r="U34" s="577" t="e">
        <f>'TTL 1'!G500+#REF!+#REF!+#REF!+#REF!+#REF!+#REF!+#REF!+#REF!+#REF!+#REF!</f>
        <v>#REF!</v>
      </c>
      <c r="V34" s="578" t="s">
        <v>224</v>
      </c>
    </row>
    <row r="35" spans="1:22" s="568" customFormat="1" ht="35.4" customHeight="1">
      <c r="A35" s="553">
        <v>505</v>
      </c>
      <c r="B35" s="554" t="str">
        <f>'Tên thang 01-26'!E508</f>
        <v>សួរ​ ឡុង</v>
      </c>
      <c r="C35" s="554" t="str">
        <f>'Tên thang 01-26'!F508</f>
        <v>SOUR LONG</v>
      </c>
      <c r="D35" s="555">
        <v>31947</v>
      </c>
      <c r="E35" s="556"/>
      <c r="F35" s="557"/>
      <c r="G35" s="558">
        <f>'KL 2'!AB37</f>
        <v>47.894999999999996</v>
      </c>
      <c r="H35" s="559">
        <f t="shared" si="3"/>
        <v>1530102</v>
      </c>
      <c r="I35" s="559"/>
      <c r="J35" s="570"/>
      <c r="K35" s="562">
        <f t="shared" si="4"/>
        <v>1530102</v>
      </c>
      <c r="L35" s="563">
        <f t="shared" si="0"/>
        <v>0</v>
      </c>
      <c r="M35" s="564">
        <f>IF(K35&lt;=400000,400000*2%,IF(K35&lt;=1200000,ROUND(K35*2%,0),ROUND(1200000*2%,0)))</f>
        <v>24000</v>
      </c>
      <c r="N35" s="565">
        <f t="shared" ref="N35:N40" si="8">ROUND(IF((K35-(J35+M35))&lt;=1500000,0,IF(AND((K35-(J35+M35))&gt;1500000,(K35-(J35+M35))&lt;=2000000),(K35-(J35+M35))*5%-75000,IF(AND((K35-(J35+M35))&gt;2000000,(K35-(J35+M35))&lt;=8500000),(K35-(J35+M35))*10%-175000))),0)</f>
        <v>305</v>
      </c>
      <c r="O35" s="566">
        <f t="shared" ref="O35:O40" si="9">SUM(L35:N35)</f>
        <v>24305</v>
      </c>
      <c r="P35" s="555">
        <f t="shared" ref="P35:P40" si="10">K35-O35</f>
        <v>1505797</v>
      </c>
      <c r="Q35" s="567"/>
      <c r="S35" s="569"/>
      <c r="T35" s="576"/>
      <c r="U35" s="577"/>
      <c r="V35" s="578"/>
    </row>
    <row r="36" spans="1:22" s="568" customFormat="1" ht="33" customHeight="1">
      <c r="A36" s="553">
        <v>506</v>
      </c>
      <c r="B36" s="554" t="str">
        <f>'Tên thang 01-26'!E509</f>
        <v>អ៊ុច ភា</v>
      </c>
      <c r="C36" s="554" t="str">
        <f>'Tên thang 01-26'!F509</f>
        <v>OCH PHEA</v>
      </c>
      <c r="D36" s="555">
        <v>31947</v>
      </c>
      <c r="E36" s="556"/>
      <c r="F36" s="557"/>
      <c r="G36" s="558">
        <f>'KL 2'!AB38</f>
        <v>47.894999999999996</v>
      </c>
      <c r="H36" s="559">
        <f t="shared" si="3"/>
        <v>1530102</v>
      </c>
      <c r="I36" s="559"/>
      <c r="J36" s="570"/>
      <c r="K36" s="562">
        <f t="shared" si="4"/>
        <v>1530102</v>
      </c>
      <c r="L36" s="563">
        <f t="shared" si="0"/>
        <v>0</v>
      </c>
      <c r="M36" s="564">
        <f t="shared" si="1"/>
        <v>24000</v>
      </c>
      <c r="N36" s="565">
        <f t="shared" si="8"/>
        <v>305</v>
      </c>
      <c r="O36" s="566">
        <f t="shared" si="9"/>
        <v>24305</v>
      </c>
      <c r="P36" s="555">
        <f t="shared" si="10"/>
        <v>1505797</v>
      </c>
      <c r="Q36" s="567"/>
      <c r="S36" s="569"/>
      <c r="T36" s="576"/>
      <c r="U36" s="577"/>
      <c r="V36" s="578"/>
    </row>
    <row r="37" spans="1:22" s="568" customFormat="1" ht="33.6" customHeight="1">
      <c r="A37" s="553">
        <v>507</v>
      </c>
      <c r="B37" s="554" t="str">
        <f>'Tên thang 01-26'!E510</f>
        <v>ងិន ច្រិប</v>
      </c>
      <c r="C37" s="554" t="str">
        <f>'Tên thang 01-26'!F510</f>
        <v>NGIN CHRIB</v>
      </c>
      <c r="D37" s="555">
        <v>31947</v>
      </c>
      <c r="E37" s="556"/>
      <c r="F37" s="557"/>
      <c r="G37" s="558">
        <f>'KL 2'!AB39</f>
        <v>47.894999999999996</v>
      </c>
      <c r="H37" s="559">
        <f t="shared" si="3"/>
        <v>1530102</v>
      </c>
      <c r="I37" s="559"/>
      <c r="J37" s="570"/>
      <c r="K37" s="562">
        <f t="shared" si="4"/>
        <v>1530102</v>
      </c>
      <c r="L37" s="563">
        <f t="shared" si="0"/>
        <v>0</v>
      </c>
      <c r="M37" s="564">
        <f t="shared" si="1"/>
        <v>24000</v>
      </c>
      <c r="N37" s="565">
        <f t="shared" si="8"/>
        <v>305</v>
      </c>
      <c r="O37" s="566">
        <f t="shared" si="9"/>
        <v>24305</v>
      </c>
      <c r="P37" s="555">
        <f t="shared" si="10"/>
        <v>1505797</v>
      </c>
      <c r="Q37" s="567"/>
      <c r="S37" s="569"/>
      <c r="T37" s="576"/>
      <c r="U37" s="577"/>
      <c r="V37" s="578"/>
    </row>
    <row r="38" spans="1:22" s="568" customFormat="1" ht="33.6" customHeight="1">
      <c r="A38" s="553">
        <v>508</v>
      </c>
      <c r="B38" s="554" t="str">
        <f>'Tên thang 01-26'!E511</f>
        <v>ហ៊ល ហេន</v>
      </c>
      <c r="C38" s="554" t="str">
        <f>'Tên thang 01-26'!F511</f>
        <v>HOL HEN</v>
      </c>
      <c r="D38" s="555">
        <v>31947</v>
      </c>
      <c r="E38" s="556"/>
      <c r="F38" s="557"/>
      <c r="G38" s="558">
        <f>'KL 2'!AB40</f>
        <v>47.894999999999996</v>
      </c>
      <c r="H38" s="559">
        <f t="shared" si="3"/>
        <v>1530102</v>
      </c>
      <c r="I38" s="559"/>
      <c r="J38" s="570"/>
      <c r="K38" s="562">
        <f>F38+H38+J38+I38</f>
        <v>1530102</v>
      </c>
      <c r="L38" s="563">
        <f>F38</f>
        <v>0</v>
      </c>
      <c r="M38" s="564">
        <f>IF(K38&lt;=400000,400000*2%,IF(K38&lt;=1200000,ROUND(K38*2%,0),ROUND(1200000*2%,0)))</f>
        <v>24000</v>
      </c>
      <c r="N38" s="565">
        <f t="shared" si="8"/>
        <v>305</v>
      </c>
      <c r="O38" s="566">
        <f t="shared" si="9"/>
        <v>24305</v>
      </c>
      <c r="P38" s="555">
        <f t="shared" si="10"/>
        <v>1505797</v>
      </c>
      <c r="Q38" s="567"/>
      <c r="S38" s="569"/>
      <c r="T38" s="576"/>
      <c r="U38" s="577"/>
      <c r="V38" s="578"/>
    </row>
    <row r="39" spans="1:22" s="568" customFormat="1" ht="33.6" customHeight="1">
      <c r="A39" s="553">
        <v>509</v>
      </c>
      <c r="B39" s="554" t="str">
        <f>'Tên thang 01-26'!E512</f>
        <v>ហោន ហឿន</v>
      </c>
      <c r="C39" s="554" t="str">
        <f>'Tên thang 01-26'!F512</f>
        <v>HORN HOEUN</v>
      </c>
      <c r="D39" s="555">
        <v>31947</v>
      </c>
      <c r="E39" s="556"/>
      <c r="F39" s="557"/>
      <c r="G39" s="558">
        <f>'KL 2'!AB41</f>
        <v>47.894999999999996</v>
      </c>
      <c r="H39" s="559">
        <f t="shared" si="3"/>
        <v>1530102</v>
      </c>
      <c r="I39" s="559"/>
      <c r="J39" s="570"/>
      <c r="K39" s="562">
        <f>F39+H39+J39+I39</f>
        <v>1530102</v>
      </c>
      <c r="L39" s="563">
        <f>F39</f>
        <v>0</v>
      </c>
      <c r="M39" s="564">
        <f>IF(K39&lt;=400000,400000*2%,IF(K39&lt;=1200000,ROUND(K39*2%,0),ROUND(1200000*2%,0)))</f>
        <v>24000</v>
      </c>
      <c r="N39" s="565">
        <f t="shared" si="8"/>
        <v>305</v>
      </c>
      <c r="O39" s="566">
        <f t="shared" si="9"/>
        <v>24305</v>
      </c>
      <c r="P39" s="555">
        <f t="shared" si="10"/>
        <v>1505797</v>
      </c>
      <c r="Q39" s="567"/>
      <c r="S39" s="569"/>
      <c r="T39" s="576"/>
      <c r="U39" s="577"/>
      <c r="V39" s="578"/>
    </row>
    <row r="40" spans="1:22" s="568" customFormat="1" ht="33" customHeight="1">
      <c r="A40" s="553">
        <v>510</v>
      </c>
      <c r="B40" s="554" t="str">
        <f>'Tên thang 01-26'!E513</f>
        <v>ឃុនស៊ី សង់</v>
      </c>
      <c r="C40" s="554" t="str">
        <f>'Tên thang 01-26'!F513</f>
        <v>KHOUNSY SONG</v>
      </c>
      <c r="D40" s="555">
        <v>31947</v>
      </c>
      <c r="E40" s="556"/>
      <c r="F40" s="557"/>
      <c r="G40" s="558">
        <f>'KL 2'!AB42</f>
        <v>47.914999999999999</v>
      </c>
      <c r="H40" s="559">
        <f t="shared" si="3"/>
        <v>1530741</v>
      </c>
      <c r="I40" s="559"/>
      <c r="J40" s="570"/>
      <c r="K40" s="562">
        <f t="shared" si="4"/>
        <v>1530741</v>
      </c>
      <c r="L40" s="563">
        <f t="shared" si="0"/>
        <v>0</v>
      </c>
      <c r="M40" s="564">
        <f>IF(K40&lt;=400000,400000*2%,IF(K40&lt;=1200000,ROUND(K40*2%,0),ROUND(1200000*2%,0)))</f>
        <v>24000</v>
      </c>
      <c r="N40" s="565">
        <f t="shared" si="8"/>
        <v>337</v>
      </c>
      <c r="O40" s="566">
        <f t="shared" si="9"/>
        <v>24337</v>
      </c>
      <c r="P40" s="555">
        <f t="shared" si="10"/>
        <v>1506404</v>
      </c>
      <c r="Q40" s="567"/>
      <c r="S40" s="569"/>
      <c r="T40" s="576"/>
      <c r="U40" s="577"/>
      <c r="V40" s="578"/>
    </row>
    <row r="41" spans="1:22" s="568" customFormat="1" ht="33.6" customHeight="1">
      <c r="A41" s="553">
        <v>511</v>
      </c>
      <c r="B41" s="554" t="str">
        <f>'Tên thang 01-26'!E514</f>
        <v>សួរ ឆវ័ន</v>
      </c>
      <c r="C41" s="554" t="str">
        <f>'Tên thang 01-26'!F514</f>
        <v>SOUR CHHORVORN</v>
      </c>
      <c r="D41" s="555">
        <v>31947</v>
      </c>
      <c r="E41" s="556"/>
      <c r="F41" s="557"/>
      <c r="G41" s="558">
        <f>'KL 2'!AB43</f>
        <v>31.31</v>
      </c>
      <c r="H41" s="559">
        <f t="shared" si="3"/>
        <v>1000261</v>
      </c>
      <c r="I41" s="560"/>
      <c r="J41" s="561"/>
      <c r="K41" s="562">
        <f t="shared" si="4"/>
        <v>1000261</v>
      </c>
      <c r="L41" s="563">
        <f t="shared" si="0"/>
        <v>0</v>
      </c>
      <c r="M41" s="564">
        <f>IF(K41&lt;=400000,400000*2%,IF(K41&lt;=1200000,ROUND(K41*2%,0),ROUND(1200000*2%,0)))</f>
        <v>20005</v>
      </c>
      <c r="N41" s="565">
        <f t="shared" si="5"/>
        <v>0</v>
      </c>
      <c r="O41" s="566">
        <f t="shared" si="6"/>
        <v>20005</v>
      </c>
      <c r="P41" s="555">
        <f t="shared" si="7"/>
        <v>980256</v>
      </c>
      <c r="Q41" s="567"/>
      <c r="S41" s="569"/>
      <c r="T41" s="579"/>
      <c r="U41" s="576" t="s">
        <v>1688</v>
      </c>
      <c r="V41" s="580"/>
    </row>
    <row r="42" spans="1:22" s="568" customFormat="1" ht="33" customHeight="1">
      <c r="A42" s="553">
        <v>512</v>
      </c>
      <c r="B42" s="554" t="str">
        <f>'Tên thang 01-26'!E515</f>
        <v>វ៉ន ស្រស់</v>
      </c>
      <c r="C42" s="554" t="str">
        <f>'Tên thang 01-26'!F515</f>
        <v>Vorn Sras</v>
      </c>
      <c r="D42" s="555">
        <v>31947</v>
      </c>
      <c r="E42" s="556"/>
      <c r="F42" s="557"/>
      <c r="G42" s="558">
        <f>'KL 2'!AB44</f>
        <v>55.7</v>
      </c>
      <c r="H42" s="559">
        <f t="shared" si="3"/>
        <v>1779448</v>
      </c>
      <c r="I42" s="560"/>
      <c r="J42" s="561"/>
      <c r="K42" s="562">
        <f t="shared" si="4"/>
        <v>1779448</v>
      </c>
      <c r="L42" s="563">
        <f t="shared" si="0"/>
        <v>0</v>
      </c>
      <c r="M42" s="564">
        <f t="shared" si="1"/>
        <v>24000</v>
      </c>
      <c r="N42" s="565">
        <f t="shared" si="5"/>
        <v>12772</v>
      </c>
      <c r="O42" s="566">
        <f t="shared" si="6"/>
        <v>36772</v>
      </c>
      <c r="P42" s="555">
        <f t="shared" si="7"/>
        <v>1742676</v>
      </c>
      <c r="Q42" s="567"/>
      <c r="S42" s="569"/>
      <c r="T42" s="579"/>
      <c r="U42" s="579">
        <f>'TTL 1'!R500+'TTL 2'!P45</f>
        <v>603801805</v>
      </c>
      <c r="V42" s="572"/>
    </row>
    <row r="43" spans="1:22" s="568" customFormat="1" ht="33" customHeight="1">
      <c r="A43" s="553">
        <v>513</v>
      </c>
      <c r="B43" s="554" t="str">
        <f>'Tên thang 01-26'!E516</f>
        <v>កុសល់ សង់</v>
      </c>
      <c r="C43" s="554" t="str">
        <f>'Tên thang 01-26'!F516</f>
        <v>Kosal Sang</v>
      </c>
      <c r="D43" s="555">
        <v>31947</v>
      </c>
      <c r="E43" s="556"/>
      <c r="F43" s="557"/>
      <c r="G43" s="558">
        <f>'KL 2'!AB45</f>
        <v>55.7</v>
      </c>
      <c r="H43" s="559">
        <f>ROUND(G43*D43,0)-2</f>
        <v>1779446</v>
      </c>
      <c r="I43" s="560"/>
      <c r="J43" s="561"/>
      <c r="K43" s="562">
        <f t="shared" si="4"/>
        <v>1779446</v>
      </c>
      <c r="L43" s="563">
        <f t="shared" si="0"/>
        <v>0</v>
      </c>
      <c r="M43" s="564">
        <f t="shared" si="1"/>
        <v>24000</v>
      </c>
      <c r="N43" s="565">
        <f t="shared" si="5"/>
        <v>12772</v>
      </c>
      <c r="O43" s="566">
        <f t="shared" si="6"/>
        <v>36772</v>
      </c>
      <c r="P43" s="555">
        <f t="shared" si="7"/>
        <v>1742674</v>
      </c>
      <c r="Q43" s="567"/>
      <c r="R43" s="581" t="e">
        <f>K45+#REF!+#REF!+#REF!+#REF!+#REF!+#REF!+#REF!+#REF!+#REF!+#REF!+'TTL 1'!I500</f>
        <v>#REF!</v>
      </c>
      <c r="S43" s="582"/>
      <c r="T43" s="581" t="e">
        <f>G45+#REF!+#REF!+#REF!+'TTL 1'!H500</f>
        <v>#REF!</v>
      </c>
      <c r="U43" s="581"/>
      <c r="V43" s="572" t="e">
        <f>#REF!+#REF!+#REF!+'TTL 1'!F500</f>
        <v>#REF!</v>
      </c>
    </row>
    <row r="44" spans="1:22" s="99" customFormat="1" ht="14.4" customHeight="1">
      <c r="A44" s="583"/>
      <c r="B44" s="584"/>
      <c r="C44" s="585"/>
      <c r="D44" s="586"/>
      <c r="E44" s="587"/>
      <c r="F44" s="588"/>
      <c r="G44" s="589"/>
      <c r="H44" s="590"/>
      <c r="I44" s="590"/>
      <c r="J44" s="591"/>
      <c r="K44" s="592"/>
      <c r="L44" s="593"/>
      <c r="M44" s="594"/>
      <c r="N44" s="595"/>
      <c r="O44" s="596"/>
      <c r="P44" s="594"/>
      <c r="Q44" s="597"/>
      <c r="T44" s="578" t="s">
        <v>1689</v>
      </c>
      <c r="U44" s="578" t="s">
        <v>214</v>
      </c>
      <c r="V44" s="578" t="s">
        <v>43</v>
      </c>
    </row>
    <row r="45" spans="1:22" s="18" customFormat="1" ht="35.4" customHeight="1">
      <c r="A45" s="1194" t="s">
        <v>73</v>
      </c>
      <c r="B45" s="1195"/>
      <c r="C45" s="1196"/>
      <c r="D45" s="598"/>
      <c r="E45" s="599">
        <f>SUM(E15:E44)</f>
        <v>0</v>
      </c>
      <c r="F45" s="599">
        <f>SUM(F15:F44)</f>
        <v>0</v>
      </c>
      <c r="G45" s="6">
        <f t="shared" ref="G45:P45" si="11">SUM(G15:G43)</f>
        <v>1423.8999999999999</v>
      </c>
      <c r="H45" s="6">
        <f t="shared" si="11"/>
        <v>45489333</v>
      </c>
      <c r="I45" s="6">
        <f t="shared" si="11"/>
        <v>0</v>
      </c>
      <c r="J45" s="6">
        <f t="shared" si="11"/>
        <v>0</v>
      </c>
      <c r="K45" s="6">
        <f t="shared" si="11"/>
        <v>45489333</v>
      </c>
      <c r="L45" s="6">
        <f t="shared" si="11"/>
        <v>0</v>
      </c>
      <c r="M45" s="6">
        <f t="shared" si="11"/>
        <v>692005</v>
      </c>
      <c r="N45" s="6">
        <f t="shared" si="11"/>
        <v>91130</v>
      </c>
      <c r="O45" s="6">
        <f t="shared" si="11"/>
        <v>783135</v>
      </c>
      <c r="P45" s="6">
        <f t="shared" si="11"/>
        <v>44706198</v>
      </c>
      <c r="Q45" s="600"/>
      <c r="R45" s="601"/>
      <c r="S45" s="601"/>
      <c r="T45" s="602">
        <f>'TTL 1'!I500+'TTL 2'!H45</f>
        <v>620659926</v>
      </c>
      <c r="U45" s="603">
        <f>'TTL 1'!L500+'TTL 2'!K45</f>
        <v>857093284</v>
      </c>
      <c r="V45" s="604">
        <f>'TTL 1'!G500</f>
        <v>236433358</v>
      </c>
    </row>
    <row r="46" spans="1:22" ht="9" customHeight="1"/>
    <row r="47" spans="1:22" ht="4.95" customHeight="1"/>
    <row r="48" spans="1:22" s="609" customFormat="1" ht="31.95" customHeight="1">
      <c r="A48" s="608"/>
      <c r="B48" s="608"/>
      <c r="C48" s="608"/>
      <c r="E48" s="610"/>
      <c r="F48" s="610"/>
      <c r="G48" s="610"/>
      <c r="H48" s="705"/>
      <c r="I48" s="611"/>
      <c r="J48" s="612"/>
      <c r="K48" s="612"/>
      <c r="M48" s="612"/>
      <c r="N48" s="949"/>
      <c r="O48" s="1197" t="s">
        <v>2066</v>
      </c>
      <c r="P48" s="1197"/>
      <c r="Q48" s="1197"/>
      <c r="R48" s="613">
        <f>R45-T45</f>
        <v>-620659926</v>
      </c>
      <c r="S48" s="613"/>
      <c r="T48" s="614" t="s">
        <v>1688</v>
      </c>
      <c r="U48" s="610" t="s">
        <v>1690</v>
      </c>
    </row>
    <row r="49" spans="1:22" s="609" customFormat="1" ht="30" customHeight="1">
      <c r="A49" s="1198" t="s">
        <v>1839</v>
      </c>
      <c r="B49" s="1198"/>
      <c r="C49" s="1198"/>
      <c r="E49" s="610" t="e">
        <f>E45+'TTL 1'!F500+#REF!+#REF!+#REF!+#REF!+#REF!+#REF!+#REF!</f>
        <v>#REF!</v>
      </c>
      <c r="F49" s="610" t="e">
        <f>F45+'TTL 1'!G500+#REF!+#REF!+#REF!+#REF!+#REF!+#REF!+#REF!</f>
        <v>#REF!</v>
      </c>
      <c r="G49" s="610"/>
      <c r="H49" s="611"/>
      <c r="I49" s="611"/>
      <c r="J49" s="615"/>
      <c r="K49" s="612"/>
      <c r="L49" s="610"/>
      <c r="M49" s="612"/>
      <c r="N49" s="610"/>
      <c r="O49" s="616"/>
      <c r="P49" s="1199" t="s">
        <v>197</v>
      </c>
      <c r="Q49" s="1199"/>
      <c r="T49" s="610"/>
      <c r="U49" s="617"/>
    </row>
    <row r="50" spans="1:22" s="18" customFormat="1" ht="22.95" customHeight="1">
      <c r="A50" s="1200" t="s">
        <v>1698</v>
      </c>
      <c r="B50" s="1200"/>
      <c r="C50" s="1200"/>
      <c r="G50" s="618"/>
      <c r="H50" s="619"/>
      <c r="I50" s="619"/>
      <c r="J50" s="620"/>
      <c r="K50" s="620"/>
      <c r="M50" s="620"/>
      <c r="O50" s="620"/>
      <c r="P50" s="1200" t="s">
        <v>198</v>
      </c>
      <c r="Q50" s="1200"/>
    </row>
    <row r="51" spans="1:22" s="18" customFormat="1">
      <c r="B51" s="605"/>
      <c r="H51" s="619"/>
      <c r="I51" s="619"/>
      <c r="J51" s="620"/>
      <c r="K51" s="620"/>
      <c r="M51" s="620"/>
      <c r="O51" s="620"/>
      <c r="P51" s="620"/>
      <c r="T51" s="621" t="s">
        <v>1691</v>
      </c>
      <c r="U51" s="622" t="s">
        <v>226</v>
      </c>
      <c r="V51" s="18" t="s">
        <v>1692</v>
      </c>
    </row>
    <row r="52" spans="1:22" s="18" customFormat="1" ht="33" customHeight="1">
      <c r="B52" s="605"/>
      <c r="H52" s="619"/>
      <c r="I52" s="619"/>
      <c r="J52" s="620"/>
      <c r="K52" s="620"/>
      <c r="M52" s="620"/>
      <c r="O52" s="620"/>
      <c r="P52" s="620"/>
      <c r="T52" s="623">
        <f>'TTL 1'!N500+'TTL 2'!M45</f>
        <v>12242642</v>
      </c>
      <c r="U52" s="624">
        <f>'TTL 1'!O500+'TTL 2'!N45</f>
        <v>4615479</v>
      </c>
      <c r="V52" s="625">
        <f>T52+U52</f>
        <v>16858121</v>
      </c>
    </row>
    <row r="53" spans="1:22" s="18" customFormat="1" ht="2.4" customHeight="1">
      <c r="B53" s="605"/>
      <c r="H53" s="619"/>
      <c r="I53" s="619"/>
      <c r="J53" s="620"/>
      <c r="K53" s="620"/>
      <c r="M53" s="620"/>
      <c r="O53" s="620"/>
      <c r="P53" s="620"/>
      <c r="T53" s="626"/>
    </row>
    <row r="54" spans="1:22" s="18" customFormat="1" ht="31.95" customHeight="1">
      <c r="B54" s="605"/>
      <c r="H54" s="619"/>
      <c r="I54" s="619"/>
      <c r="J54" s="620"/>
      <c r="K54" s="620"/>
      <c r="M54" s="620"/>
      <c r="O54" s="620"/>
      <c r="P54" s="620"/>
      <c r="T54" s="601"/>
      <c r="U54" s="627"/>
    </row>
    <row r="55" spans="1:22" s="18" customFormat="1" ht="18" hidden="1" customHeight="1">
      <c r="B55" s="605"/>
      <c r="H55" s="619"/>
      <c r="I55" s="619"/>
      <c r="J55" s="620"/>
      <c r="K55" s="620"/>
      <c r="M55" s="620"/>
      <c r="O55" s="620"/>
      <c r="P55" s="620"/>
    </row>
    <row r="56" spans="1:22" s="18" customFormat="1" ht="18" customHeight="1">
      <c r="B56" s="605"/>
      <c r="H56" s="619"/>
      <c r="I56" s="619"/>
      <c r="J56" s="620"/>
      <c r="K56" s="620"/>
      <c r="M56" s="620"/>
      <c r="O56" s="620"/>
      <c r="P56" s="620"/>
      <c r="U56" s="627"/>
    </row>
    <row r="57" spans="1:22" s="18" customFormat="1" ht="18" customHeight="1">
      <c r="A57" s="1200" t="str">
        <f>'TTL 1'!A509:C509</f>
        <v>Phạm Thành Tường</v>
      </c>
      <c r="B57" s="1200"/>
      <c r="C57" s="1200"/>
      <c r="H57" s="619"/>
      <c r="I57" s="619"/>
      <c r="J57" s="620"/>
      <c r="K57" s="620"/>
      <c r="M57" s="620"/>
      <c r="O57" s="620"/>
      <c r="P57" s="1200" t="s">
        <v>201</v>
      </c>
      <c r="Q57" s="1200"/>
      <c r="U57" s="627">
        <f>U52/31947</f>
        <v>144.47300215982722</v>
      </c>
    </row>
    <row r="58" spans="1:22" ht="18" customHeight="1">
      <c r="C58" s="628"/>
    </row>
  </sheetData>
  <mergeCells count="31">
    <mergeCell ref="A57:C57"/>
    <mergeCell ref="P57:Q57"/>
    <mergeCell ref="A11:A12"/>
    <mergeCell ref="D11:D12"/>
    <mergeCell ref="I11:I12"/>
    <mergeCell ref="J11:J12"/>
    <mergeCell ref="K11:K12"/>
    <mergeCell ref="O11:O12"/>
    <mergeCell ref="P11:P12"/>
    <mergeCell ref="Q11:Q12"/>
    <mergeCell ref="A45:C45"/>
    <mergeCell ref="O48:Q48"/>
    <mergeCell ref="A49:C49"/>
    <mergeCell ref="P49:Q49"/>
    <mergeCell ref="A50:C50"/>
    <mergeCell ref="P50:Q50"/>
    <mergeCell ref="E11:F11"/>
    <mergeCell ref="G11:H11"/>
    <mergeCell ref="L11:N11"/>
    <mergeCell ref="B11:C12"/>
    <mergeCell ref="A14:C14"/>
    <mergeCell ref="A4:E4"/>
    <mergeCell ref="A5:Q5"/>
    <mergeCell ref="A6:Q6"/>
    <mergeCell ref="A7:Q7"/>
    <mergeCell ref="A8:Q8"/>
    <mergeCell ref="A1:E1"/>
    <mergeCell ref="O1:Q1"/>
    <mergeCell ref="A2:E2"/>
    <mergeCell ref="O2:Q2"/>
    <mergeCell ref="A3:E3"/>
  </mergeCells>
  <conditionalFormatting sqref="C44:C65536">
    <cfRule type="duplicateValues" dxfId="3986" priority="34" stopIfTrue="1"/>
  </conditionalFormatting>
  <conditionalFormatting sqref="B1:C10">
    <cfRule type="duplicateValues" dxfId="3985" priority="29014" stopIfTrue="1"/>
    <cfRule type="duplicateValues" dxfId="3984" priority="29015" stopIfTrue="1"/>
    <cfRule type="duplicateValues" dxfId="3983" priority="29016" stopIfTrue="1"/>
  </conditionalFormatting>
  <conditionalFormatting sqref="C1:C10 C13:C65536">
    <cfRule type="duplicateValues" dxfId="3982" priority="68" stopIfTrue="1"/>
  </conditionalFormatting>
  <conditionalFormatting sqref="B44:C44 B13:C13 B46:C48">
    <cfRule type="expression" dxfId="3981" priority="29017" stopIfTrue="1">
      <formula>AND(COUNTIF($B$44:$C$44,B13)+COUNTIF($B$13:$C$13,B13)+COUNTIF($B$11:$B$11,B13)+COUNTIF($B$46:$C$48,B13)&gt;1,NOT(ISBLANK(B13)))</formula>
    </cfRule>
    <cfRule type="expression" dxfId="3980" priority="29018" stopIfTrue="1">
      <formula>AND(COUNTIF($B$44:$C$44,B13)+COUNTIF($B$13:$C$13,B13)+COUNTIF($B$11:$B$11,B13)+COUNTIF($B$46:$C$48,B13)&gt;1,NOT(ISBLANK(B13)))</formula>
    </cfRule>
    <cfRule type="expression" dxfId="3979" priority="29019" stopIfTrue="1">
      <formula>AND(COUNTIF($B$44:$C$44,B13)+COUNTIF($B$13:$C$13,B13)+COUNTIF($B$11:$B$11,B13)+COUNTIF($B$46:$C$48,B13)&gt;1,NOT(ISBLANK(B13)))</formula>
    </cfRule>
  </conditionalFormatting>
  <conditionalFormatting sqref="B1:B1048576">
    <cfRule type="duplicateValues" dxfId="3978" priority="1" stopIfTrue="1"/>
  </conditionalFormatting>
  <conditionalFormatting sqref="B15:C43">
    <cfRule type="duplicateValues" dxfId="3977" priority="65232" stopIfTrue="1"/>
    <cfRule type="duplicateValues" dxfId="3976" priority="65233" stopIfTrue="1"/>
    <cfRule type="duplicateValues" dxfId="3975" priority="65234" stopIfTrue="1"/>
  </conditionalFormatting>
  <printOptions horizontalCentered="1"/>
  <pageMargins left="0.17" right="0.17" top="0.35433070866141736" bottom="0.11811023622047245" header="0.31496062992125984" footer="0.31496062992125984"/>
  <pageSetup paperSize="9" scale="55" orientation="landscape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13</vt:i4>
      </vt:variant>
    </vt:vector>
  </HeadingPairs>
  <TitlesOfParts>
    <vt:vector size="24" baseType="lpstr">
      <vt:lpstr>Tên thang 01-26</vt:lpstr>
      <vt:lpstr>tên hang mục</vt:lpstr>
      <vt:lpstr>SAN LUONG</vt:lpstr>
      <vt:lpstr>CHAM CONG</vt:lpstr>
      <vt:lpstr>PTL </vt:lpstr>
      <vt:lpstr>CĐCN</vt:lpstr>
      <vt:lpstr>KL 1</vt:lpstr>
      <vt:lpstr>KL 2</vt:lpstr>
      <vt:lpstr>Sheet3</vt:lpstr>
      <vt:lpstr>TTL 1</vt:lpstr>
      <vt:lpstr>TTL 2</vt:lpstr>
      <vt:lpstr>CĐCN!Print_Area</vt:lpstr>
      <vt:lpstr>'KL 1'!Print_Area</vt:lpstr>
      <vt:lpstr>'KL 2'!Print_Area</vt:lpstr>
      <vt:lpstr>'PTL '!Print_Area</vt:lpstr>
      <vt:lpstr>'Tên thang 01-26'!Print_Area</vt:lpstr>
      <vt:lpstr>'TTL 1'!Print_Area</vt:lpstr>
      <vt:lpstr>'TTL 2'!Print_Area</vt:lpstr>
      <vt:lpstr>'KL 1'!Print_Titles</vt:lpstr>
      <vt:lpstr>'KL 2'!Print_Titles</vt:lpstr>
      <vt:lpstr>'PTL '!Print_Titles</vt:lpstr>
      <vt:lpstr>'Tên thang 01-26'!Print_Titles</vt:lpstr>
      <vt:lpstr>'TTL 1'!Print_Titles</vt:lpstr>
      <vt:lpstr>'TTL 2'!Print_Titles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EU</dc:creator>
  <cp:keywords/>
  <dc:description/>
  <cp:lastModifiedBy>Kế toán Khắc Phú Đỉnh</cp:lastModifiedBy>
  <cp:revision>1</cp:revision>
  <cp:lastPrinted>2026-02-03T16:34:06Z</cp:lastPrinted>
  <dcterms:created xsi:type="dcterms:W3CDTF">2010-01-30T09:17:35Z</dcterms:created>
  <dcterms:modified xsi:type="dcterms:W3CDTF">2026-04-15T01:42:33Z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1033-12.2.0.20795</vt:lpwstr>
  </property>
  <property fmtid="{D5CDD505-2E9C-101B-9397-08002B2CF9AE}" pid="3" name="ICV">
    <vt:lpwstr>73014A8C7B934900B6740C53F3A0977C</vt:lpwstr>
  </property>
</Properties>
</file>